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14/"/>
    </mc:Choice>
  </mc:AlternateContent>
  <xr:revisionPtr revIDLastSave="0" documentId="13_ncr:1_{DAFB8BF5-0D98-EB4F-BA1B-A2B4E18C4A45}" xr6:coauthVersionLast="47" xr6:coauthVersionMax="47" xr10:uidLastSave="{00000000-0000-0000-0000-000000000000}"/>
  <bookViews>
    <workbookView xWindow="780" yWindow="500" windowWidth="28020" windowHeight="15620" activeTab="6" xr2:uid="{703F31A7-3FB6-4B05-8EA8-379C6E25ED1D}"/>
  </bookViews>
  <sheets>
    <sheet name="240814A006" sheetId="1" r:id="rId1"/>
    <sheet name="240814A007" sheetId="9" r:id="rId2"/>
    <sheet name="240814A009" sheetId="11" r:id="rId3"/>
    <sheet name="240814A010" sheetId="12" r:id="rId4"/>
    <sheet name="240814A011" sheetId="13" r:id="rId5"/>
    <sheet name="240814A012" sheetId="14" r:id="rId6"/>
    <sheet name="240814A013" sheetId="15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5" l="1"/>
  <c r="I322" i="15"/>
  <c r="K322" i="15" s="1"/>
  <c r="L322" i="15" s="1"/>
  <c r="J321" i="15"/>
  <c r="I321" i="15"/>
  <c r="K321" i="15" s="1"/>
  <c r="J320" i="15"/>
  <c r="I320" i="15"/>
  <c r="K320" i="15" s="1"/>
  <c r="L320" i="15" s="1"/>
  <c r="J319" i="15"/>
  <c r="I319" i="15"/>
  <c r="K319" i="15" s="1"/>
  <c r="L319" i="15" s="1"/>
  <c r="V101" i="15" s="1"/>
  <c r="J318" i="15"/>
  <c r="I318" i="15"/>
  <c r="K318" i="15" s="1"/>
  <c r="L318" i="15" s="1"/>
  <c r="V100" i="15" s="1"/>
  <c r="J317" i="15"/>
  <c r="I317" i="15"/>
  <c r="K317" i="15" s="1"/>
  <c r="L317" i="15" s="1"/>
  <c r="J316" i="15"/>
  <c r="I316" i="15"/>
  <c r="K316" i="15" s="1"/>
  <c r="L316" i="15" s="1"/>
  <c r="V98" i="15" s="1"/>
  <c r="J315" i="15"/>
  <c r="I315" i="15"/>
  <c r="K315" i="15" s="1"/>
  <c r="J314" i="15"/>
  <c r="I314" i="15"/>
  <c r="K314" i="15" s="1"/>
  <c r="J313" i="15"/>
  <c r="I313" i="15"/>
  <c r="K313" i="15" s="1"/>
  <c r="J312" i="15"/>
  <c r="I312" i="15"/>
  <c r="K312" i="15" s="1"/>
  <c r="J311" i="15"/>
  <c r="I311" i="15"/>
  <c r="K311" i="15" s="1"/>
  <c r="K310" i="15"/>
  <c r="J310" i="15"/>
  <c r="I310" i="15"/>
  <c r="J309" i="15"/>
  <c r="I309" i="15"/>
  <c r="K309" i="15" s="1"/>
  <c r="L309" i="15" s="1"/>
  <c r="J308" i="15"/>
  <c r="I308" i="15"/>
  <c r="K308" i="15" s="1"/>
  <c r="L308" i="15" s="1"/>
  <c r="V90" i="15" s="1"/>
  <c r="J307" i="15"/>
  <c r="I307" i="15"/>
  <c r="K307" i="15" s="1"/>
  <c r="J306" i="15"/>
  <c r="I306" i="15"/>
  <c r="K306" i="15" s="1"/>
  <c r="L306" i="15" s="1"/>
  <c r="V88" i="15" s="1"/>
  <c r="J305" i="15"/>
  <c r="I305" i="15"/>
  <c r="K305" i="15" s="1"/>
  <c r="J304" i="15"/>
  <c r="I304" i="15"/>
  <c r="K304" i="15" s="1"/>
  <c r="L304" i="15" s="1"/>
  <c r="J303" i="15"/>
  <c r="I303" i="15"/>
  <c r="K303" i="15" s="1"/>
  <c r="L303" i="15" s="1"/>
  <c r="J302" i="15"/>
  <c r="I302" i="15"/>
  <c r="K302" i="15" s="1"/>
  <c r="L302" i="15" s="1"/>
  <c r="V84" i="15" s="1"/>
  <c r="J301" i="15"/>
  <c r="I301" i="15"/>
  <c r="K301" i="15" s="1"/>
  <c r="L301" i="15" s="1"/>
  <c r="K300" i="15"/>
  <c r="J300" i="15"/>
  <c r="I300" i="15"/>
  <c r="J299" i="15"/>
  <c r="I299" i="15"/>
  <c r="K299" i="15" s="1"/>
  <c r="J298" i="15"/>
  <c r="I298" i="15"/>
  <c r="K298" i="15" s="1"/>
  <c r="J297" i="15"/>
  <c r="I297" i="15"/>
  <c r="K297" i="15" s="1"/>
  <c r="J296" i="15"/>
  <c r="I296" i="15"/>
  <c r="K296" i="15" s="1"/>
  <c r="J295" i="15"/>
  <c r="I295" i="15"/>
  <c r="K295" i="15" s="1"/>
  <c r="J294" i="15"/>
  <c r="I294" i="15"/>
  <c r="K294" i="15" s="1"/>
  <c r="J293" i="15"/>
  <c r="I293" i="15"/>
  <c r="K293" i="15" s="1"/>
  <c r="L293" i="15" s="1"/>
  <c r="J292" i="15"/>
  <c r="I292" i="15"/>
  <c r="K292" i="15" s="1"/>
  <c r="L292" i="15" s="1"/>
  <c r="J291" i="15"/>
  <c r="I291" i="15"/>
  <c r="K291" i="15" s="1"/>
  <c r="L291" i="15" s="1"/>
  <c r="J290" i="15"/>
  <c r="I290" i="15"/>
  <c r="K290" i="15" s="1"/>
  <c r="L290" i="15" s="1"/>
  <c r="J289" i="15"/>
  <c r="I289" i="15"/>
  <c r="K289" i="15" s="1"/>
  <c r="L289" i="15" s="1"/>
  <c r="J288" i="15"/>
  <c r="I288" i="15"/>
  <c r="K288" i="15" s="1"/>
  <c r="L288" i="15" s="1"/>
  <c r="J287" i="15"/>
  <c r="I287" i="15"/>
  <c r="K287" i="15" s="1"/>
  <c r="L287" i="15" s="1"/>
  <c r="J286" i="15"/>
  <c r="I286" i="15"/>
  <c r="K286" i="15" s="1"/>
  <c r="L286" i="15" s="1"/>
  <c r="J285" i="15"/>
  <c r="I285" i="15"/>
  <c r="K285" i="15" s="1"/>
  <c r="L285" i="15" s="1"/>
  <c r="J284" i="15"/>
  <c r="I284" i="15"/>
  <c r="K284" i="15" s="1"/>
  <c r="L284" i="15" s="1"/>
  <c r="J283" i="15"/>
  <c r="I283" i="15"/>
  <c r="K283" i="15" s="1"/>
  <c r="J282" i="15"/>
  <c r="I282" i="15"/>
  <c r="K282" i="15" s="1"/>
  <c r="J281" i="15"/>
  <c r="I281" i="15"/>
  <c r="K281" i="15" s="1"/>
  <c r="J280" i="15"/>
  <c r="I280" i="15"/>
  <c r="K280" i="15" s="1"/>
  <c r="J279" i="15"/>
  <c r="I279" i="15"/>
  <c r="K279" i="15" s="1"/>
  <c r="L279" i="15" s="1"/>
  <c r="J278" i="15"/>
  <c r="I278" i="15"/>
  <c r="K278" i="15" s="1"/>
  <c r="J277" i="15"/>
  <c r="I277" i="15"/>
  <c r="K277" i="15" s="1"/>
  <c r="L277" i="15" s="1"/>
  <c r="J276" i="15"/>
  <c r="I276" i="15"/>
  <c r="K276" i="15" s="1"/>
  <c r="L276" i="15" s="1"/>
  <c r="J275" i="15"/>
  <c r="I275" i="15"/>
  <c r="K275" i="15" s="1"/>
  <c r="L275" i="15" s="1"/>
  <c r="J274" i="15"/>
  <c r="I274" i="15"/>
  <c r="K274" i="15" s="1"/>
  <c r="L274" i="15" s="1"/>
  <c r="J273" i="15"/>
  <c r="I273" i="15"/>
  <c r="K273" i="15" s="1"/>
  <c r="L273" i="15" s="1"/>
  <c r="J272" i="15"/>
  <c r="I272" i="15"/>
  <c r="K272" i="15" s="1"/>
  <c r="L272" i="15" s="1"/>
  <c r="J271" i="15"/>
  <c r="I271" i="15"/>
  <c r="K271" i="15" s="1"/>
  <c r="L271" i="15" s="1"/>
  <c r="J270" i="15"/>
  <c r="I270" i="15"/>
  <c r="K270" i="15" s="1"/>
  <c r="L270" i="15" s="1"/>
  <c r="J269" i="15"/>
  <c r="I269" i="15"/>
  <c r="K269" i="15" s="1"/>
  <c r="L269" i="15" s="1"/>
  <c r="J268" i="15"/>
  <c r="I268" i="15"/>
  <c r="K268" i="15" s="1"/>
  <c r="L268" i="15" s="1"/>
  <c r="J267" i="15"/>
  <c r="I267" i="15"/>
  <c r="K267" i="15" s="1"/>
  <c r="J266" i="15"/>
  <c r="I266" i="15"/>
  <c r="K266" i="15" s="1"/>
  <c r="J265" i="15"/>
  <c r="I265" i="15"/>
  <c r="K265" i="15" s="1"/>
  <c r="J264" i="15"/>
  <c r="I264" i="15"/>
  <c r="K264" i="15" s="1"/>
  <c r="J263" i="15"/>
  <c r="I263" i="15"/>
  <c r="K263" i="15" s="1"/>
  <c r="K262" i="15"/>
  <c r="J262" i="15"/>
  <c r="I262" i="15"/>
  <c r="J261" i="15"/>
  <c r="I261" i="15"/>
  <c r="K261" i="15" s="1"/>
  <c r="L261" i="15" s="1"/>
  <c r="J260" i="15"/>
  <c r="I260" i="15"/>
  <c r="K260" i="15" s="1"/>
  <c r="L260" i="15" s="1"/>
  <c r="J259" i="15"/>
  <c r="I259" i="15"/>
  <c r="K259" i="15" s="1"/>
  <c r="L259" i="15" s="1"/>
  <c r="J258" i="15"/>
  <c r="I258" i="15"/>
  <c r="K258" i="15" s="1"/>
  <c r="L258" i="15" s="1"/>
  <c r="J257" i="15"/>
  <c r="I257" i="15"/>
  <c r="K257" i="15" s="1"/>
  <c r="L257" i="15" s="1"/>
  <c r="J256" i="15"/>
  <c r="I256" i="15"/>
  <c r="K256" i="15" s="1"/>
  <c r="L256" i="15" s="1"/>
  <c r="J255" i="15"/>
  <c r="I255" i="15"/>
  <c r="K255" i="15" s="1"/>
  <c r="L255" i="15" s="1"/>
  <c r="J254" i="15"/>
  <c r="I254" i="15"/>
  <c r="K254" i="15" s="1"/>
  <c r="L254" i="15" s="1"/>
  <c r="J253" i="15"/>
  <c r="I253" i="15"/>
  <c r="K253" i="15" s="1"/>
  <c r="L253" i="15" s="1"/>
  <c r="J252" i="15"/>
  <c r="I252" i="15"/>
  <c r="K252" i="15" s="1"/>
  <c r="L252" i="15" s="1"/>
  <c r="J251" i="15"/>
  <c r="I251" i="15"/>
  <c r="K251" i="15" s="1"/>
  <c r="J250" i="15"/>
  <c r="I250" i="15"/>
  <c r="K250" i="15" s="1"/>
  <c r="J249" i="15"/>
  <c r="I249" i="15"/>
  <c r="K249" i="15" s="1"/>
  <c r="J248" i="15"/>
  <c r="I248" i="15"/>
  <c r="K248" i="15" s="1"/>
  <c r="J247" i="15"/>
  <c r="I247" i="15"/>
  <c r="K247" i="15" s="1"/>
  <c r="J246" i="15"/>
  <c r="I246" i="15"/>
  <c r="K246" i="15" s="1"/>
  <c r="J245" i="15"/>
  <c r="I245" i="15"/>
  <c r="K245" i="15" s="1"/>
  <c r="L245" i="15" s="1"/>
  <c r="J244" i="15"/>
  <c r="I244" i="15"/>
  <c r="K244" i="15" s="1"/>
  <c r="L244" i="15" s="1"/>
  <c r="J243" i="15"/>
  <c r="I243" i="15"/>
  <c r="K243" i="15" s="1"/>
  <c r="L243" i="15" s="1"/>
  <c r="J242" i="15"/>
  <c r="I242" i="15"/>
  <c r="K242" i="15" s="1"/>
  <c r="L242" i="15" s="1"/>
  <c r="J241" i="15"/>
  <c r="I241" i="15"/>
  <c r="K241" i="15" s="1"/>
  <c r="L241" i="15" s="1"/>
  <c r="J240" i="15"/>
  <c r="I240" i="15"/>
  <c r="K240" i="15" s="1"/>
  <c r="L240" i="15" s="1"/>
  <c r="J239" i="15"/>
  <c r="I239" i="15"/>
  <c r="K239" i="15" s="1"/>
  <c r="L239" i="15" s="1"/>
  <c r="J238" i="15"/>
  <c r="I238" i="15"/>
  <c r="K238" i="15" s="1"/>
  <c r="L238" i="15" s="1"/>
  <c r="J237" i="15"/>
  <c r="I237" i="15"/>
  <c r="K237" i="15" s="1"/>
  <c r="L237" i="15" s="1"/>
  <c r="J236" i="15"/>
  <c r="I236" i="15"/>
  <c r="K236" i="15" s="1"/>
  <c r="L236" i="15" s="1"/>
  <c r="J235" i="15"/>
  <c r="I235" i="15"/>
  <c r="K235" i="15" s="1"/>
  <c r="L235" i="15" s="1"/>
  <c r="J234" i="15"/>
  <c r="I234" i="15"/>
  <c r="K234" i="15" s="1"/>
  <c r="L234" i="15" s="1"/>
  <c r="J233" i="15"/>
  <c r="I233" i="15"/>
  <c r="K233" i="15" s="1"/>
  <c r="L233" i="15" s="1"/>
  <c r="J232" i="15"/>
  <c r="I232" i="15"/>
  <c r="K232" i="15" s="1"/>
  <c r="L232" i="15" s="1"/>
  <c r="J231" i="15"/>
  <c r="I231" i="15"/>
  <c r="K231" i="15" s="1"/>
  <c r="L231" i="15" s="1"/>
  <c r="J230" i="15"/>
  <c r="I230" i="15"/>
  <c r="K230" i="15" s="1"/>
  <c r="L230" i="15" s="1"/>
  <c r="J229" i="15"/>
  <c r="I229" i="15"/>
  <c r="K229" i="15" s="1"/>
  <c r="L229" i="15" s="1"/>
  <c r="K228" i="15"/>
  <c r="J228" i="15"/>
  <c r="I228" i="15"/>
  <c r="J227" i="15"/>
  <c r="I227" i="15"/>
  <c r="K227" i="15" s="1"/>
  <c r="J226" i="15"/>
  <c r="I226" i="15"/>
  <c r="K226" i="15" s="1"/>
  <c r="J225" i="15"/>
  <c r="I225" i="15"/>
  <c r="K225" i="15" s="1"/>
  <c r="J224" i="15"/>
  <c r="I224" i="15"/>
  <c r="K224" i="15" s="1"/>
  <c r="J223" i="15"/>
  <c r="I223" i="15"/>
  <c r="K223" i="15" s="1"/>
  <c r="J222" i="15"/>
  <c r="I222" i="15"/>
  <c r="K222" i="15" s="1"/>
  <c r="J221" i="15"/>
  <c r="I221" i="15"/>
  <c r="K221" i="15" s="1"/>
  <c r="L221" i="15" s="1"/>
  <c r="J220" i="15"/>
  <c r="I220" i="15"/>
  <c r="K220" i="15" s="1"/>
  <c r="L220" i="15" s="1"/>
  <c r="J219" i="15"/>
  <c r="I219" i="15"/>
  <c r="K219" i="15" s="1"/>
  <c r="J218" i="15"/>
  <c r="I218" i="15"/>
  <c r="K218" i="15" s="1"/>
  <c r="L218" i="15" s="1"/>
  <c r="J217" i="15"/>
  <c r="I217" i="15"/>
  <c r="K217" i="15" s="1"/>
  <c r="L217" i="15" s="1"/>
  <c r="J216" i="15"/>
  <c r="I216" i="15"/>
  <c r="K216" i="15" s="1"/>
  <c r="L216" i="15" s="1"/>
  <c r="J215" i="15"/>
  <c r="I215" i="15"/>
  <c r="K215" i="15" s="1"/>
  <c r="J214" i="15"/>
  <c r="I214" i="15"/>
  <c r="K214" i="15" s="1"/>
  <c r="J213" i="15"/>
  <c r="I213" i="15"/>
  <c r="K213" i="15" s="1"/>
  <c r="J212" i="15"/>
  <c r="I212" i="15"/>
  <c r="K212" i="15" s="1"/>
  <c r="J211" i="15"/>
  <c r="I211" i="15"/>
  <c r="K211" i="15" s="1"/>
  <c r="L211" i="15" s="1"/>
  <c r="J210" i="15"/>
  <c r="I210" i="15"/>
  <c r="K210" i="15" s="1"/>
  <c r="L210" i="15" s="1"/>
  <c r="J209" i="15"/>
  <c r="I209" i="15"/>
  <c r="K209" i="15" s="1"/>
  <c r="L209" i="15" s="1"/>
  <c r="J208" i="15"/>
  <c r="I208" i="15"/>
  <c r="K208" i="15" s="1"/>
  <c r="L208" i="15" s="1"/>
  <c r="J207" i="15"/>
  <c r="I207" i="15"/>
  <c r="K207" i="15" s="1"/>
  <c r="J206" i="15"/>
  <c r="I206" i="15"/>
  <c r="K206" i="15" s="1"/>
  <c r="L206" i="15" s="1"/>
  <c r="J205" i="15"/>
  <c r="I205" i="15"/>
  <c r="K205" i="15" s="1"/>
  <c r="L205" i="15" s="1"/>
  <c r="J204" i="15"/>
  <c r="I204" i="15"/>
  <c r="K204" i="15" s="1"/>
  <c r="L204" i="15" s="1"/>
  <c r="J203" i="15"/>
  <c r="I203" i="15"/>
  <c r="K203" i="15" s="1"/>
  <c r="L203" i="15" s="1"/>
  <c r="J202" i="15"/>
  <c r="I202" i="15"/>
  <c r="K202" i="15" s="1"/>
  <c r="L202" i="15" s="1"/>
  <c r="J201" i="15"/>
  <c r="I201" i="15"/>
  <c r="K201" i="15" s="1"/>
  <c r="J200" i="15"/>
  <c r="I200" i="15"/>
  <c r="K200" i="15" s="1"/>
  <c r="L200" i="15" s="1"/>
  <c r="J199" i="15"/>
  <c r="I199" i="15"/>
  <c r="K199" i="15" s="1"/>
  <c r="L199" i="15" s="1"/>
  <c r="J198" i="15"/>
  <c r="I198" i="15"/>
  <c r="K198" i="15" s="1"/>
  <c r="J197" i="15"/>
  <c r="I197" i="15"/>
  <c r="K197" i="15" s="1"/>
  <c r="L197" i="15" s="1"/>
  <c r="J196" i="15"/>
  <c r="I196" i="15"/>
  <c r="K196" i="15" s="1"/>
  <c r="L196" i="15" s="1"/>
  <c r="J195" i="15"/>
  <c r="I195" i="15"/>
  <c r="K195" i="15" s="1"/>
  <c r="L195" i="15" s="1"/>
  <c r="J194" i="15"/>
  <c r="I194" i="15"/>
  <c r="K194" i="15" s="1"/>
  <c r="J193" i="15"/>
  <c r="I193" i="15"/>
  <c r="K193" i="15" s="1"/>
  <c r="J192" i="15"/>
  <c r="I192" i="15"/>
  <c r="K192" i="15" s="1"/>
  <c r="L192" i="15" s="1"/>
  <c r="J191" i="15"/>
  <c r="I191" i="15"/>
  <c r="K191" i="15" s="1"/>
  <c r="L191" i="15" s="1"/>
  <c r="J190" i="15"/>
  <c r="I190" i="15"/>
  <c r="K190" i="15" s="1"/>
  <c r="L190" i="15" s="1"/>
  <c r="J189" i="15"/>
  <c r="I189" i="15"/>
  <c r="K189" i="15" s="1"/>
  <c r="L189" i="15" s="1"/>
  <c r="J188" i="15"/>
  <c r="I188" i="15"/>
  <c r="K188" i="15" s="1"/>
  <c r="L188" i="15" s="1"/>
  <c r="K187" i="15"/>
  <c r="J187" i="15"/>
  <c r="I187" i="15"/>
  <c r="J186" i="15"/>
  <c r="I186" i="15"/>
  <c r="K186" i="15" s="1"/>
  <c r="J185" i="15"/>
  <c r="I185" i="15"/>
  <c r="K185" i="15" s="1"/>
  <c r="J184" i="15"/>
  <c r="I184" i="15"/>
  <c r="K184" i="15" s="1"/>
  <c r="L184" i="15" s="1"/>
  <c r="J183" i="15"/>
  <c r="I183" i="15"/>
  <c r="K183" i="15" s="1"/>
  <c r="L183" i="15" s="1"/>
  <c r="J182" i="15"/>
  <c r="I182" i="15"/>
  <c r="K182" i="15" s="1"/>
  <c r="L182" i="15" s="1"/>
  <c r="J181" i="15"/>
  <c r="I181" i="15"/>
  <c r="K181" i="15" s="1"/>
  <c r="L181" i="15" s="1"/>
  <c r="J180" i="15"/>
  <c r="I180" i="15"/>
  <c r="K180" i="15" s="1"/>
  <c r="L180" i="15" s="1"/>
  <c r="J179" i="15"/>
  <c r="I179" i="15"/>
  <c r="K179" i="15" s="1"/>
  <c r="L179" i="15" s="1"/>
  <c r="J178" i="15"/>
  <c r="I178" i="15"/>
  <c r="K178" i="15" s="1"/>
  <c r="L178" i="15" s="1"/>
  <c r="J177" i="15"/>
  <c r="I177" i="15"/>
  <c r="K177" i="15" s="1"/>
  <c r="J176" i="15"/>
  <c r="I176" i="15"/>
  <c r="K176" i="15" s="1"/>
  <c r="J175" i="15"/>
  <c r="I175" i="15"/>
  <c r="K175" i="15" s="1"/>
  <c r="J174" i="15"/>
  <c r="I174" i="15"/>
  <c r="K174" i="15" s="1"/>
  <c r="L174" i="15" s="1"/>
  <c r="J173" i="15"/>
  <c r="I173" i="15"/>
  <c r="K173" i="15" s="1"/>
  <c r="J172" i="15"/>
  <c r="I172" i="15"/>
  <c r="K172" i="15" s="1"/>
  <c r="J171" i="15"/>
  <c r="I171" i="15"/>
  <c r="K171" i="15" s="1"/>
  <c r="J170" i="15"/>
  <c r="I170" i="15"/>
  <c r="K170" i="15" s="1"/>
  <c r="J169" i="15"/>
  <c r="I169" i="15"/>
  <c r="K169" i="15" s="1"/>
  <c r="J168" i="15"/>
  <c r="I168" i="15"/>
  <c r="K168" i="15" s="1"/>
  <c r="J167" i="15"/>
  <c r="I167" i="15"/>
  <c r="K167" i="15" s="1"/>
  <c r="J166" i="15"/>
  <c r="I166" i="15"/>
  <c r="K166" i="15" s="1"/>
  <c r="L166" i="15" s="1"/>
  <c r="J165" i="15"/>
  <c r="I165" i="15"/>
  <c r="K165" i="15" s="1"/>
  <c r="J164" i="15"/>
  <c r="I164" i="15"/>
  <c r="K164" i="15" s="1"/>
  <c r="J163" i="15"/>
  <c r="I163" i="15"/>
  <c r="K163" i="15" s="1"/>
  <c r="L163" i="15" s="1"/>
  <c r="J162" i="15"/>
  <c r="I162" i="15"/>
  <c r="K162" i="15" s="1"/>
  <c r="J161" i="15"/>
  <c r="I161" i="15"/>
  <c r="K161" i="15" s="1"/>
  <c r="L161" i="15" s="1"/>
  <c r="J160" i="15"/>
  <c r="I160" i="15"/>
  <c r="K160" i="15" s="1"/>
  <c r="J159" i="15"/>
  <c r="I159" i="15"/>
  <c r="K159" i="15" s="1"/>
  <c r="L159" i="15" s="1"/>
  <c r="J158" i="15"/>
  <c r="I158" i="15"/>
  <c r="K158" i="15" s="1"/>
  <c r="J157" i="15"/>
  <c r="I157" i="15"/>
  <c r="K157" i="15" s="1"/>
  <c r="J156" i="15"/>
  <c r="I156" i="15"/>
  <c r="K156" i="15" s="1"/>
  <c r="J155" i="15"/>
  <c r="I155" i="15"/>
  <c r="K155" i="15" s="1"/>
  <c r="L155" i="15" s="1"/>
  <c r="J154" i="15"/>
  <c r="I154" i="15"/>
  <c r="K154" i="15" s="1"/>
  <c r="J153" i="15"/>
  <c r="I153" i="15"/>
  <c r="K153" i="15" s="1"/>
  <c r="J152" i="15"/>
  <c r="I152" i="15"/>
  <c r="K152" i="15" s="1"/>
  <c r="J151" i="15"/>
  <c r="I151" i="15"/>
  <c r="K151" i="15" s="1"/>
  <c r="L151" i="15" s="1"/>
  <c r="J150" i="15"/>
  <c r="I150" i="15"/>
  <c r="K150" i="15" s="1"/>
  <c r="L150" i="15" s="1"/>
  <c r="J149" i="15"/>
  <c r="I149" i="15"/>
  <c r="K149" i="15" s="1"/>
  <c r="J148" i="15"/>
  <c r="I148" i="15"/>
  <c r="K148" i="15" s="1"/>
  <c r="J147" i="15"/>
  <c r="I147" i="15"/>
  <c r="K147" i="15" s="1"/>
  <c r="L147" i="15" s="1"/>
  <c r="J146" i="15"/>
  <c r="I146" i="15"/>
  <c r="K146" i="15" s="1"/>
  <c r="L146" i="15" s="1"/>
  <c r="J145" i="15"/>
  <c r="I145" i="15"/>
  <c r="K145" i="15" s="1"/>
  <c r="J144" i="15"/>
  <c r="I144" i="15"/>
  <c r="K144" i="15" s="1"/>
  <c r="L144" i="15" s="1"/>
  <c r="J143" i="15"/>
  <c r="I143" i="15"/>
  <c r="K143" i="15" s="1"/>
  <c r="L143" i="15" s="1"/>
  <c r="J142" i="15"/>
  <c r="I142" i="15"/>
  <c r="K142" i="15" s="1"/>
  <c r="J141" i="15"/>
  <c r="I141" i="15"/>
  <c r="K141" i="15" s="1"/>
  <c r="J140" i="15"/>
  <c r="I140" i="15"/>
  <c r="K140" i="15" s="1"/>
  <c r="J139" i="15"/>
  <c r="I139" i="15"/>
  <c r="K139" i="15" s="1"/>
  <c r="J138" i="15"/>
  <c r="I138" i="15"/>
  <c r="K138" i="15" s="1"/>
  <c r="J137" i="15"/>
  <c r="I137" i="15"/>
  <c r="K137" i="15" s="1"/>
  <c r="J136" i="15"/>
  <c r="I136" i="15"/>
  <c r="K136" i="15" s="1"/>
  <c r="L136" i="15" s="1"/>
  <c r="J135" i="15"/>
  <c r="I135" i="15"/>
  <c r="K135" i="15" s="1"/>
  <c r="L135" i="15" s="1"/>
  <c r="J134" i="15"/>
  <c r="I134" i="15"/>
  <c r="K134" i="15" s="1"/>
  <c r="J133" i="15"/>
  <c r="I133" i="15"/>
  <c r="K133" i="15" s="1"/>
  <c r="L133" i="15" s="1"/>
  <c r="J132" i="15"/>
  <c r="I132" i="15"/>
  <c r="K132" i="15" s="1"/>
  <c r="L132" i="15" s="1"/>
  <c r="J131" i="15"/>
  <c r="I131" i="15"/>
  <c r="K131" i="15" s="1"/>
  <c r="L131" i="15" s="1"/>
  <c r="J130" i="15"/>
  <c r="I130" i="15"/>
  <c r="K130" i="15" s="1"/>
  <c r="J129" i="15"/>
  <c r="I129" i="15"/>
  <c r="K129" i="15" s="1"/>
  <c r="J128" i="15"/>
  <c r="I128" i="15"/>
  <c r="K128" i="15" s="1"/>
  <c r="J127" i="15"/>
  <c r="I127" i="15"/>
  <c r="K127" i="15" s="1"/>
  <c r="L127" i="15" s="1"/>
  <c r="J126" i="15"/>
  <c r="I126" i="15"/>
  <c r="K126" i="15" s="1"/>
  <c r="J125" i="15"/>
  <c r="I125" i="15"/>
  <c r="K125" i="15" s="1"/>
  <c r="L125" i="15" s="1"/>
  <c r="J124" i="15"/>
  <c r="I124" i="15"/>
  <c r="K124" i="15" s="1"/>
  <c r="J123" i="15"/>
  <c r="I123" i="15"/>
  <c r="K123" i="15" s="1"/>
  <c r="L123" i="15" s="1"/>
  <c r="J122" i="15"/>
  <c r="I122" i="15"/>
  <c r="K122" i="15" s="1"/>
  <c r="J121" i="15"/>
  <c r="I121" i="15"/>
  <c r="K121" i="15" s="1"/>
  <c r="J120" i="15"/>
  <c r="I120" i="15"/>
  <c r="K120" i="15" s="1"/>
  <c r="L120" i="15" s="1"/>
  <c r="J119" i="15"/>
  <c r="I119" i="15"/>
  <c r="K119" i="15" s="1"/>
  <c r="L119" i="15" s="1"/>
  <c r="J118" i="15"/>
  <c r="I118" i="15"/>
  <c r="K118" i="15" s="1"/>
  <c r="L118" i="15" s="1"/>
  <c r="J117" i="15"/>
  <c r="I117" i="15"/>
  <c r="K117" i="15" s="1"/>
  <c r="L117" i="15" s="1"/>
  <c r="J116" i="15"/>
  <c r="I116" i="15"/>
  <c r="K116" i="15" s="1"/>
  <c r="L116" i="15" s="1"/>
  <c r="J115" i="15"/>
  <c r="I115" i="15"/>
  <c r="K115" i="15" s="1"/>
  <c r="L115" i="15" s="1"/>
  <c r="J114" i="15"/>
  <c r="I114" i="15"/>
  <c r="K114" i="15" s="1"/>
  <c r="J113" i="15"/>
  <c r="I113" i="15"/>
  <c r="K113" i="15" s="1"/>
  <c r="L113" i="15" s="1"/>
  <c r="J112" i="15"/>
  <c r="I112" i="15"/>
  <c r="K112" i="15" s="1"/>
  <c r="L112" i="15" s="1"/>
  <c r="J111" i="15"/>
  <c r="I111" i="15"/>
  <c r="K111" i="15" s="1"/>
  <c r="L111" i="15" s="1"/>
  <c r="J110" i="15"/>
  <c r="I110" i="15"/>
  <c r="K110" i="15" s="1"/>
  <c r="L110" i="15" s="1"/>
  <c r="J109" i="15"/>
  <c r="I109" i="15"/>
  <c r="K109" i="15" s="1"/>
  <c r="L109" i="15" s="1"/>
  <c r="J108" i="15"/>
  <c r="I108" i="15"/>
  <c r="K108" i="15" s="1"/>
  <c r="L108" i="15" s="1"/>
  <c r="J107" i="15"/>
  <c r="I107" i="15"/>
  <c r="K107" i="15" s="1"/>
  <c r="J106" i="15"/>
  <c r="I106" i="15"/>
  <c r="K106" i="15" s="1"/>
  <c r="J105" i="15"/>
  <c r="I105" i="15"/>
  <c r="K105" i="15" s="1"/>
  <c r="J104" i="15"/>
  <c r="I104" i="15"/>
  <c r="K104" i="15" s="1"/>
  <c r="J103" i="15"/>
  <c r="I103" i="15"/>
  <c r="K103" i="15" s="1"/>
  <c r="J102" i="15"/>
  <c r="I102" i="15"/>
  <c r="K102" i="15" s="1"/>
  <c r="J101" i="15"/>
  <c r="I101" i="15"/>
  <c r="K101" i="15" s="1"/>
  <c r="J100" i="15"/>
  <c r="I100" i="15"/>
  <c r="K100" i="15" s="1"/>
  <c r="L100" i="15" s="1"/>
  <c r="V99" i="15"/>
  <c r="K99" i="15"/>
  <c r="L99" i="15" s="1"/>
  <c r="J99" i="15"/>
  <c r="I99" i="15"/>
  <c r="J98" i="15"/>
  <c r="I98" i="15"/>
  <c r="K98" i="15" s="1"/>
  <c r="L98" i="15" s="1"/>
  <c r="J97" i="15"/>
  <c r="I97" i="15"/>
  <c r="K97" i="15" s="1"/>
  <c r="J96" i="15"/>
  <c r="I96" i="15"/>
  <c r="K96" i="15" s="1"/>
  <c r="J95" i="15"/>
  <c r="I95" i="15"/>
  <c r="K95" i="15" s="1"/>
  <c r="L95" i="15" s="1"/>
  <c r="J94" i="15"/>
  <c r="I94" i="15"/>
  <c r="K94" i="15" s="1"/>
  <c r="J93" i="15"/>
  <c r="I93" i="15"/>
  <c r="K93" i="15" s="1"/>
  <c r="J92" i="15"/>
  <c r="I92" i="15"/>
  <c r="K92" i="15" s="1"/>
  <c r="L92" i="15" s="1"/>
  <c r="V91" i="15"/>
  <c r="J91" i="15"/>
  <c r="I91" i="15"/>
  <c r="K91" i="15" s="1"/>
  <c r="L91" i="15" s="1"/>
  <c r="J90" i="15"/>
  <c r="I90" i="15"/>
  <c r="K90" i="15" s="1"/>
  <c r="J89" i="15"/>
  <c r="I89" i="15"/>
  <c r="K89" i="15" s="1"/>
  <c r="L89" i="15" s="1"/>
  <c r="J88" i="15"/>
  <c r="I88" i="15"/>
  <c r="K88" i="15" s="1"/>
  <c r="J87" i="15"/>
  <c r="I87" i="15"/>
  <c r="K87" i="15" s="1"/>
  <c r="L87" i="15" s="1"/>
  <c r="J86" i="15"/>
  <c r="I86" i="15"/>
  <c r="K86" i="15" s="1"/>
  <c r="L86" i="15" s="1"/>
  <c r="V85" i="15"/>
  <c r="J85" i="15"/>
  <c r="I85" i="15"/>
  <c r="K85" i="15" s="1"/>
  <c r="J84" i="15"/>
  <c r="I84" i="15"/>
  <c r="K84" i="15" s="1"/>
  <c r="L84" i="15" s="1"/>
  <c r="J83" i="15"/>
  <c r="I83" i="15"/>
  <c r="K83" i="15" s="1"/>
  <c r="J82" i="15"/>
  <c r="I82" i="15"/>
  <c r="K82" i="15" s="1"/>
  <c r="L82" i="15" s="1"/>
  <c r="J81" i="15"/>
  <c r="I81" i="15"/>
  <c r="K81" i="15" s="1"/>
  <c r="J80" i="15"/>
  <c r="I80" i="15"/>
  <c r="K80" i="15" s="1"/>
  <c r="L80" i="15" s="1"/>
  <c r="J79" i="15"/>
  <c r="I79" i="15"/>
  <c r="K79" i="15" s="1"/>
  <c r="L79" i="15" s="1"/>
  <c r="J78" i="15"/>
  <c r="I78" i="15"/>
  <c r="K78" i="15" s="1"/>
  <c r="L78" i="15" s="1"/>
  <c r="J77" i="15"/>
  <c r="I77" i="15"/>
  <c r="K77" i="15" s="1"/>
  <c r="J76" i="15"/>
  <c r="I76" i="15"/>
  <c r="K76" i="15" s="1"/>
  <c r="J75" i="15"/>
  <c r="I75" i="15"/>
  <c r="K75" i="15" s="1"/>
  <c r="J74" i="15"/>
  <c r="I74" i="15"/>
  <c r="K74" i="15" s="1"/>
  <c r="J73" i="15"/>
  <c r="I73" i="15"/>
  <c r="K73" i="15" s="1"/>
  <c r="L73" i="15" s="1"/>
  <c r="J72" i="15"/>
  <c r="I72" i="15"/>
  <c r="K72" i="15" s="1"/>
  <c r="L72" i="15" s="1"/>
  <c r="J71" i="15"/>
  <c r="I71" i="15"/>
  <c r="K71" i="15" s="1"/>
  <c r="J70" i="15"/>
  <c r="I70" i="15"/>
  <c r="K70" i="15" s="1"/>
  <c r="J69" i="15"/>
  <c r="I69" i="15"/>
  <c r="K69" i="15" s="1"/>
  <c r="L69" i="15" s="1"/>
  <c r="J68" i="15"/>
  <c r="I68" i="15"/>
  <c r="K68" i="15" s="1"/>
  <c r="L68" i="15" s="1"/>
  <c r="J67" i="15"/>
  <c r="I67" i="15"/>
  <c r="K67" i="15" s="1"/>
  <c r="J66" i="15"/>
  <c r="I66" i="15"/>
  <c r="K66" i="15" s="1"/>
  <c r="L66" i="15" s="1"/>
  <c r="J65" i="15"/>
  <c r="I65" i="15"/>
  <c r="K65" i="15" s="1"/>
  <c r="L65" i="15" s="1"/>
  <c r="J64" i="15"/>
  <c r="I64" i="15"/>
  <c r="K64" i="15" s="1"/>
  <c r="J63" i="15"/>
  <c r="I63" i="15"/>
  <c r="K63" i="15" s="1"/>
  <c r="J62" i="15"/>
  <c r="I62" i="15"/>
  <c r="K62" i="15" s="1"/>
  <c r="L62" i="15" s="1"/>
  <c r="J61" i="15"/>
  <c r="I61" i="15"/>
  <c r="K61" i="15" s="1"/>
  <c r="L61" i="15" s="1"/>
  <c r="J60" i="15"/>
  <c r="I60" i="15"/>
  <c r="K60" i="15" s="1"/>
  <c r="L60" i="15" s="1"/>
  <c r="J59" i="15"/>
  <c r="I59" i="15"/>
  <c r="K59" i="15" s="1"/>
  <c r="J58" i="15"/>
  <c r="I58" i="15"/>
  <c r="K58" i="15" s="1"/>
  <c r="L58" i="15" s="1"/>
  <c r="J57" i="15"/>
  <c r="I57" i="15"/>
  <c r="K57" i="15" s="1"/>
  <c r="J56" i="15"/>
  <c r="I56" i="15"/>
  <c r="K56" i="15" s="1"/>
  <c r="L56" i="15" s="1"/>
  <c r="J55" i="15"/>
  <c r="I55" i="15"/>
  <c r="K55" i="15" s="1"/>
  <c r="J54" i="15"/>
  <c r="I54" i="15"/>
  <c r="K54" i="15" s="1"/>
  <c r="J53" i="15"/>
  <c r="I53" i="15"/>
  <c r="K53" i="15" s="1"/>
  <c r="J52" i="15"/>
  <c r="I52" i="15"/>
  <c r="K52" i="15" s="1"/>
  <c r="L52" i="15" s="1"/>
  <c r="J51" i="15"/>
  <c r="I51" i="15"/>
  <c r="K51" i="15" s="1"/>
  <c r="J50" i="15"/>
  <c r="I50" i="15"/>
  <c r="K50" i="15" s="1"/>
  <c r="L50" i="15" s="1"/>
  <c r="J49" i="15"/>
  <c r="I49" i="15"/>
  <c r="K49" i="15" s="1"/>
  <c r="J48" i="15"/>
  <c r="I48" i="15"/>
  <c r="K48" i="15" s="1"/>
  <c r="L48" i="15" s="1"/>
  <c r="K47" i="15"/>
  <c r="L47" i="15" s="1"/>
  <c r="J47" i="15"/>
  <c r="I47" i="15"/>
  <c r="J46" i="15"/>
  <c r="I46" i="15"/>
  <c r="K46" i="15" s="1"/>
  <c r="J45" i="15"/>
  <c r="I45" i="15"/>
  <c r="K45" i="15" s="1"/>
  <c r="J44" i="15"/>
  <c r="I44" i="15"/>
  <c r="K44" i="15" s="1"/>
  <c r="L44" i="15" s="1"/>
  <c r="J43" i="15"/>
  <c r="I43" i="15"/>
  <c r="K43" i="15" s="1"/>
  <c r="J42" i="15"/>
  <c r="I42" i="15"/>
  <c r="K42" i="15" s="1"/>
  <c r="J41" i="15"/>
  <c r="I41" i="15"/>
  <c r="K41" i="15" s="1"/>
  <c r="J40" i="15"/>
  <c r="I40" i="15"/>
  <c r="K40" i="15" s="1"/>
  <c r="J39" i="15"/>
  <c r="I39" i="15"/>
  <c r="K39" i="15" s="1"/>
  <c r="J38" i="15"/>
  <c r="I38" i="15"/>
  <c r="K38" i="15" s="1"/>
  <c r="L38" i="15" s="1"/>
  <c r="J37" i="15"/>
  <c r="I37" i="15"/>
  <c r="K37" i="15" s="1"/>
  <c r="J36" i="15"/>
  <c r="I36" i="15"/>
  <c r="K36" i="15" s="1"/>
  <c r="L36" i="15" s="1"/>
  <c r="J35" i="15"/>
  <c r="I35" i="15"/>
  <c r="K35" i="15" s="1"/>
  <c r="J34" i="15"/>
  <c r="I34" i="15"/>
  <c r="K34" i="15" s="1"/>
  <c r="L34" i="15" s="1"/>
  <c r="J33" i="15"/>
  <c r="I33" i="15"/>
  <c r="K33" i="15" s="1"/>
  <c r="L33" i="15" s="1"/>
  <c r="J32" i="15"/>
  <c r="I32" i="15"/>
  <c r="K32" i="15" s="1"/>
  <c r="L32" i="15" s="1"/>
  <c r="J31" i="15"/>
  <c r="I31" i="15"/>
  <c r="K31" i="15" s="1"/>
  <c r="J30" i="15"/>
  <c r="I30" i="15"/>
  <c r="K30" i="15" s="1"/>
  <c r="L30" i="15" s="1"/>
  <c r="J29" i="15"/>
  <c r="I29" i="15"/>
  <c r="K29" i="15" s="1"/>
  <c r="J28" i="15"/>
  <c r="I28" i="15"/>
  <c r="K28" i="15" s="1"/>
  <c r="J27" i="15"/>
  <c r="I27" i="15"/>
  <c r="K27" i="15" s="1"/>
  <c r="L27" i="15" s="1"/>
  <c r="J26" i="15"/>
  <c r="I26" i="15"/>
  <c r="K26" i="15" s="1"/>
  <c r="L26" i="15" s="1"/>
  <c r="J25" i="15"/>
  <c r="I25" i="15"/>
  <c r="K25" i="15" s="1"/>
  <c r="L25" i="15" s="1"/>
  <c r="J24" i="15"/>
  <c r="I24" i="15"/>
  <c r="K24" i="15" s="1"/>
  <c r="J23" i="15"/>
  <c r="I23" i="15"/>
  <c r="K23" i="15" s="1"/>
  <c r="L23" i="15" s="1"/>
  <c r="J22" i="15"/>
  <c r="I22" i="15"/>
  <c r="K22" i="15" s="1"/>
  <c r="L22" i="15" s="1"/>
  <c r="J21" i="15"/>
  <c r="I21" i="15"/>
  <c r="K21" i="15" s="1"/>
  <c r="L21" i="15" s="1"/>
  <c r="J20" i="15"/>
  <c r="I20" i="15"/>
  <c r="K20" i="15" s="1"/>
  <c r="J19" i="15"/>
  <c r="I19" i="15"/>
  <c r="K19" i="15" s="1"/>
  <c r="L19" i="15" s="1"/>
  <c r="J18" i="15"/>
  <c r="I18" i="15"/>
  <c r="K18" i="15" s="1"/>
  <c r="L18" i="15" s="1"/>
  <c r="J17" i="15"/>
  <c r="I17" i="15"/>
  <c r="K17" i="15" s="1"/>
  <c r="L17" i="15" s="1"/>
  <c r="J16" i="15"/>
  <c r="I16" i="15"/>
  <c r="K16" i="15" s="1"/>
  <c r="J15" i="15"/>
  <c r="I15" i="15"/>
  <c r="K15" i="15" s="1"/>
  <c r="J14" i="15"/>
  <c r="I14" i="15"/>
  <c r="K14" i="15" s="1"/>
  <c r="L14" i="15" s="1"/>
  <c r="J13" i="15"/>
  <c r="I13" i="15"/>
  <c r="K13" i="15" s="1"/>
  <c r="L13" i="15" s="1"/>
  <c r="J12" i="15"/>
  <c r="I12" i="15"/>
  <c r="K12" i="15" s="1"/>
  <c r="L12" i="15" s="1"/>
  <c r="J11" i="15"/>
  <c r="I11" i="15"/>
  <c r="K11" i="15" s="1"/>
  <c r="J10" i="15"/>
  <c r="I10" i="15"/>
  <c r="K10" i="15" s="1"/>
  <c r="L10" i="15" s="1"/>
  <c r="J9" i="15"/>
  <c r="I9" i="15"/>
  <c r="K9" i="15" s="1"/>
  <c r="L9" i="15" s="1"/>
  <c r="J8" i="15"/>
  <c r="I8" i="15"/>
  <c r="K8" i="15" s="1"/>
  <c r="J7" i="15"/>
  <c r="I7" i="15"/>
  <c r="K7" i="15" s="1"/>
  <c r="L7" i="15" s="1"/>
  <c r="J6" i="15"/>
  <c r="I6" i="15"/>
  <c r="K6" i="15" s="1"/>
  <c r="L6" i="15" s="1"/>
  <c r="J5" i="15"/>
  <c r="I5" i="15"/>
  <c r="K5" i="15" s="1"/>
  <c r="L5" i="15" s="1"/>
  <c r="J4" i="15"/>
  <c r="I4" i="15"/>
  <c r="K4" i="15" s="1"/>
  <c r="J3" i="15"/>
  <c r="I3" i="15"/>
  <c r="K3" i="15" s="1"/>
  <c r="J2" i="15"/>
  <c r="I2" i="15"/>
  <c r="K2" i="15" s="1"/>
  <c r="J322" i="14"/>
  <c r="I322" i="14"/>
  <c r="K322" i="14" s="1"/>
  <c r="J321" i="14"/>
  <c r="I321" i="14"/>
  <c r="K321" i="14" s="1"/>
  <c r="J320" i="14"/>
  <c r="I320" i="14"/>
  <c r="K320" i="14" s="1"/>
  <c r="L320" i="14" s="1"/>
  <c r="V102" i="14" s="1"/>
  <c r="J319" i="14"/>
  <c r="I319" i="14"/>
  <c r="K319" i="14" s="1"/>
  <c r="J318" i="14"/>
  <c r="I318" i="14"/>
  <c r="K318" i="14" s="1"/>
  <c r="J317" i="14"/>
  <c r="I317" i="14"/>
  <c r="K317" i="14" s="1"/>
  <c r="J316" i="14"/>
  <c r="I316" i="14"/>
  <c r="K316" i="14" s="1"/>
  <c r="L316" i="14" s="1"/>
  <c r="J315" i="14"/>
  <c r="I315" i="14"/>
  <c r="K315" i="14" s="1"/>
  <c r="L315" i="14" s="1"/>
  <c r="J314" i="14"/>
  <c r="I314" i="14"/>
  <c r="K314" i="14" s="1"/>
  <c r="J313" i="14"/>
  <c r="I313" i="14"/>
  <c r="K313" i="14" s="1"/>
  <c r="J312" i="14"/>
  <c r="I312" i="14"/>
  <c r="K312" i="14" s="1"/>
  <c r="J311" i="14"/>
  <c r="I311" i="14"/>
  <c r="K311" i="14" s="1"/>
  <c r="J310" i="14"/>
  <c r="I310" i="14"/>
  <c r="K310" i="14" s="1"/>
  <c r="J309" i="14"/>
  <c r="I309" i="14"/>
  <c r="K309" i="14" s="1"/>
  <c r="J308" i="14"/>
  <c r="I308" i="14"/>
  <c r="K308" i="14" s="1"/>
  <c r="L308" i="14" s="1"/>
  <c r="V90" i="14" s="1"/>
  <c r="J307" i="14"/>
  <c r="I307" i="14"/>
  <c r="K307" i="14" s="1"/>
  <c r="L307" i="14" s="1"/>
  <c r="J306" i="14"/>
  <c r="I306" i="14"/>
  <c r="K306" i="14" s="1"/>
  <c r="J305" i="14"/>
  <c r="I305" i="14"/>
  <c r="K305" i="14" s="1"/>
  <c r="J304" i="14"/>
  <c r="I304" i="14"/>
  <c r="K304" i="14" s="1"/>
  <c r="L304" i="14" s="1"/>
  <c r="V86" i="14" s="1"/>
  <c r="J303" i="14"/>
  <c r="I303" i="14"/>
  <c r="K303" i="14" s="1"/>
  <c r="J302" i="14"/>
  <c r="I302" i="14"/>
  <c r="K302" i="14" s="1"/>
  <c r="J301" i="14"/>
  <c r="I301" i="14"/>
  <c r="K301" i="14" s="1"/>
  <c r="J300" i="14"/>
  <c r="I300" i="14"/>
  <c r="K300" i="14" s="1"/>
  <c r="J299" i="14"/>
  <c r="I299" i="14"/>
  <c r="K299" i="14" s="1"/>
  <c r="J298" i="14"/>
  <c r="I298" i="14"/>
  <c r="K298" i="14" s="1"/>
  <c r="J297" i="14"/>
  <c r="I297" i="14"/>
  <c r="K297" i="14" s="1"/>
  <c r="J296" i="14"/>
  <c r="I296" i="14"/>
  <c r="K296" i="14" s="1"/>
  <c r="J295" i="14"/>
  <c r="I295" i="14"/>
  <c r="K295" i="14" s="1"/>
  <c r="J294" i="14"/>
  <c r="I294" i="14"/>
  <c r="K294" i="14" s="1"/>
  <c r="J293" i="14"/>
  <c r="I293" i="14"/>
  <c r="K293" i="14" s="1"/>
  <c r="J292" i="14"/>
  <c r="I292" i="14"/>
  <c r="K292" i="14" s="1"/>
  <c r="L292" i="14" s="1"/>
  <c r="J291" i="14"/>
  <c r="I291" i="14"/>
  <c r="K291" i="14" s="1"/>
  <c r="L291" i="14" s="1"/>
  <c r="J290" i="14"/>
  <c r="I290" i="14"/>
  <c r="K290" i="14" s="1"/>
  <c r="J289" i="14"/>
  <c r="I289" i="14"/>
  <c r="K289" i="14" s="1"/>
  <c r="J288" i="14"/>
  <c r="I288" i="14"/>
  <c r="K288" i="14" s="1"/>
  <c r="J287" i="14"/>
  <c r="I287" i="14"/>
  <c r="K287" i="14" s="1"/>
  <c r="J286" i="14"/>
  <c r="I286" i="14"/>
  <c r="K286" i="14" s="1"/>
  <c r="J285" i="14"/>
  <c r="I285" i="14"/>
  <c r="K285" i="14" s="1"/>
  <c r="J284" i="14"/>
  <c r="I284" i="14"/>
  <c r="K284" i="14" s="1"/>
  <c r="J283" i="14"/>
  <c r="I283" i="14"/>
  <c r="K283" i="14" s="1"/>
  <c r="L283" i="14" s="1"/>
  <c r="J282" i="14"/>
  <c r="I282" i="14"/>
  <c r="K282" i="14" s="1"/>
  <c r="J281" i="14"/>
  <c r="I281" i="14"/>
  <c r="K281" i="14" s="1"/>
  <c r="J280" i="14"/>
  <c r="I280" i="14"/>
  <c r="K280" i="14" s="1"/>
  <c r="J279" i="14"/>
  <c r="I279" i="14"/>
  <c r="K279" i="14" s="1"/>
  <c r="J278" i="14"/>
  <c r="I278" i="14"/>
  <c r="K278" i="14" s="1"/>
  <c r="J277" i="14"/>
  <c r="I277" i="14"/>
  <c r="K277" i="14" s="1"/>
  <c r="J276" i="14"/>
  <c r="I276" i="14"/>
  <c r="K276" i="14" s="1"/>
  <c r="L276" i="14" s="1"/>
  <c r="J275" i="14"/>
  <c r="I275" i="14"/>
  <c r="K275" i="14" s="1"/>
  <c r="L275" i="14" s="1"/>
  <c r="J274" i="14"/>
  <c r="I274" i="14"/>
  <c r="K274" i="14" s="1"/>
  <c r="J273" i="14"/>
  <c r="I273" i="14"/>
  <c r="K273" i="14" s="1"/>
  <c r="J272" i="14"/>
  <c r="I272" i="14"/>
  <c r="K272" i="14" s="1"/>
  <c r="L272" i="14" s="1"/>
  <c r="J271" i="14"/>
  <c r="I271" i="14"/>
  <c r="K271" i="14" s="1"/>
  <c r="J270" i="14"/>
  <c r="I270" i="14"/>
  <c r="K270" i="14" s="1"/>
  <c r="J269" i="14"/>
  <c r="I269" i="14"/>
  <c r="K269" i="14" s="1"/>
  <c r="J268" i="14"/>
  <c r="I268" i="14"/>
  <c r="K268" i="14" s="1"/>
  <c r="L268" i="14" s="1"/>
  <c r="J267" i="14"/>
  <c r="I267" i="14"/>
  <c r="K267" i="14" s="1"/>
  <c r="L267" i="14" s="1"/>
  <c r="J266" i="14"/>
  <c r="I266" i="14"/>
  <c r="K266" i="14" s="1"/>
  <c r="J265" i="14"/>
  <c r="I265" i="14"/>
  <c r="K265" i="14" s="1"/>
  <c r="J264" i="14"/>
  <c r="I264" i="14"/>
  <c r="K264" i="14" s="1"/>
  <c r="L264" i="14" s="1"/>
  <c r="J263" i="14"/>
  <c r="I263" i="14"/>
  <c r="K263" i="14" s="1"/>
  <c r="J262" i="14"/>
  <c r="I262" i="14"/>
  <c r="K262" i="14" s="1"/>
  <c r="J261" i="14"/>
  <c r="I261" i="14"/>
  <c r="K261" i="14" s="1"/>
  <c r="J260" i="14"/>
  <c r="I260" i="14"/>
  <c r="K260" i="14" s="1"/>
  <c r="L260" i="14" s="1"/>
  <c r="J259" i="14"/>
  <c r="I259" i="14"/>
  <c r="K259" i="14" s="1"/>
  <c r="L259" i="14" s="1"/>
  <c r="J258" i="14"/>
  <c r="I258" i="14"/>
  <c r="K258" i="14" s="1"/>
  <c r="J257" i="14"/>
  <c r="I257" i="14"/>
  <c r="K257" i="14" s="1"/>
  <c r="J256" i="14"/>
  <c r="I256" i="14"/>
  <c r="K256" i="14" s="1"/>
  <c r="L256" i="14" s="1"/>
  <c r="J255" i="14"/>
  <c r="I255" i="14"/>
  <c r="K255" i="14" s="1"/>
  <c r="J254" i="14"/>
  <c r="I254" i="14"/>
  <c r="K254" i="14" s="1"/>
  <c r="J253" i="14"/>
  <c r="I253" i="14"/>
  <c r="K253" i="14" s="1"/>
  <c r="J252" i="14"/>
  <c r="I252" i="14"/>
  <c r="K252" i="14" s="1"/>
  <c r="L252" i="14" s="1"/>
  <c r="J251" i="14"/>
  <c r="I251" i="14"/>
  <c r="K251" i="14" s="1"/>
  <c r="J250" i="14"/>
  <c r="I250" i="14"/>
  <c r="K250" i="14" s="1"/>
  <c r="J249" i="14"/>
  <c r="I249" i="14"/>
  <c r="K249" i="14" s="1"/>
  <c r="J248" i="14"/>
  <c r="I248" i="14"/>
  <c r="K248" i="14" s="1"/>
  <c r="L248" i="14" s="1"/>
  <c r="K247" i="14"/>
  <c r="J247" i="14"/>
  <c r="I247" i="14"/>
  <c r="J246" i="14"/>
  <c r="I246" i="14"/>
  <c r="K246" i="14" s="1"/>
  <c r="J245" i="14"/>
  <c r="I245" i="14"/>
  <c r="K245" i="14" s="1"/>
  <c r="J244" i="14"/>
  <c r="I244" i="14"/>
  <c r="K244" i="14" s="1"/>
  <c r="J243" i="14"/>
  <c r="I243" i="14"/>
  <c r="K243" i="14" s="1"/>
  <c r="J242" i="14"/>
  <c r="I242" i="14"/>
  <c r="K242" i="14" s="1"/>
  <c r="J241" i="14"/>
  <c r="I241" i="14"/>
  <c r="K241" i="14" s="1"/>
  <c r="J240" i="14"/>
  <c r="I240" i="14"/>
  <c r="K240" i="14" s="1"/>
  <c r="J239" i="14"/>
  <c r="I239" i="14"/>
  <c r="K239" i="14" s="1"/>
  <c r="J238" i="14"/>
  <c r="I238" i="14"/>
  <c r="K238" i="14" s="1"/>
  <c r="J237" i="14"/>
  <c r="I237" i="14"/>
  <c r="K237" i="14" s="1"/>
  <c r="L237" i="14" s="1"/>
  <c r="J236" i="14"/>
  <c r="I236" i="14"/>
  <c r="K236" i="14" s="1"/>
  <c r="J235" i="14"/>
  <c r="I235" i="14"/>
  <c r="K235" i="14" s="1"/>
  <c r="J234" i="14"/>
  <c r="I234" i="14"/>
  <c r="K234" i="14" s="1"/>
  <c r="J233" i="14"/>
  <c r="I233" i="14"/>
  <c r="K233" i="14" s="1"/>
  <c r="L233" i="14" s="1"/>
  <c r="J232" i="14"/>
  <c r="I232" i="14"/>
  <c r="K232" i="14" s="1"/>
  <c r="J231" i="14"/>
  <c r="I231" i="14"/>
  <c r="K231" i="14" s="1"/>
  <c r="J230" i="14"/>
  <c r="I230" i="14"/>
  <c r="K230" i="14" s="1"/>
  <c r="J229" i="14"/>
  <c r="I229" i="14"/>
  <c r="K229" i="14" s="1"/>
  <c r="J228" i="14"/>
  <c r="I228" i="14"/>
  <c r="K228" i="14" s="1"/>
  <c r="L228" i="14" s="1"/>
  <c r="J227" i="14"/>
  <c r="I227" i="14"/>
  <c r="K227" i="14" s="1"/>
  <c r="J226" i="14"/>
  <c r="I226" i="14"/>
  <c r="K226" i="14" s="1"/>
  <c r="J225" i="14"/>
  <c r="I225" i="14"/>
  <c r="K225" i="14" s="1"/>
  <c r="J224" i="14"/>
  <c r="I224" i="14"/>
  <c r="K224" i="14" s="1"/>
  <c r="L224" i="14" s="1"/>
  <c r="J223" i="14"/>
  <c r="I223" i="14"/>
  <c r="K223" i="14" s="1"/>
  <c r="J222" i="14"/>
  <c r="I222" i="14"/>
  <c r="K222" i="14" s="1"/>
  <c r="J221" i="14"/>
  <c r="I221" i="14"/>
  <c r="K221" i="14" s="1"/>
  <c r="J220" i="14"/>
  <c r="I220" i="14"/>
  <c r="K220" i="14" s="1"/>
  <c r="L220" i="14" s="1"/>
  <c r="J219" i="14"/>
  <c r="I219" i="14"/>
  <c r="K219" i="14" s="1"/>
  <c r="J218" i="14"/>
  <c r="I218" i="14"/>
  <c r="K218" i="14" s="1"/>
  <c r="J217" i="14"/>
  <c r="I217" i="14"/>
  <c r="K217" i="14" s="1"/>
  <c r="J216" i="14"/>
  <c r="I216" i="14"/>
  <c r="K216" i="14" s="1"/>
  <c r="J215" i="14"/>
  <c r="I215" i="14"/>
  <c r="K215" i="14" s="1"/>
  <c r="J214" i="14"/>
  <c r="I214" i="14"/>
  <c r="K214" i="14" s="1"/>
  <c r="J213" i="14"/>
  <c r="I213" i="14"/>
  <c r="K213" i="14" s="1"/>
  <c r="L213" i="14" s="1"/>
  <c r="J212" i="14"/>
  <c r="I212" i="14"/>
  <c r="K212" i="14" s="1"/>
  <c r="L212" i="14" s="1"/>
  <c r="J211" i="14"/>
  <c r="I211" i="14"/>
  <c r="K211" i="14" s="1"/>
  <c r="J210" i="14"/>
  <c r="I210" i="14"/>
  <c r="K210" i="14" s="1"/>
  <c r="J209" i="14"/>
  <c r="I209" i="14"/>
  <c r="K209" i="14" s="1"/>
  <c r="J208" i="14"/>
  <c r="I208" i="14"/>
  <c r="K208" i="14" s="1"/>
  <c r="J207" i="14"/>
  <c r="I207" i="14"/>
  <c r="K207" i="14" s="1"/>
  <c r="J206" i="14"/>
  <c r="I206" i="14"/>
  <c r="K206" i="14" s="1"/>
  <c r="J205" i="14"/>
  <c r="I205" i="14"/>
  <c r="K205" i="14" s="1"/>
  <c r="L205" i="14" s="1"/>
  <c r="J204" i="14"/>
  <c r="I204" i="14"/>
  <c r="K204" i="14" s="1"/>
  <c r="J203" i="14"/>
  <c r="I203" i="14"/>
  <c r="K203" i="14" s="1"/>
  <c r="J202" i="14"/>
  <c r="I202" i="14"/>
  <c r="K202" i="14" s="1"/>
  <c r="J201" i="14"/>
  <c r="I201" i="14"/>
  <c r="K201" i="14" s="1"/>
  <c r="J200" i="14"/>
  <c r="I200" i="14"/>
  <c r="K200" i="14" s="1"/>
  <c r="J199" i="14"/>
  <c r="I199" i="14"/>
  <c r="K199" i="14" s="1"/>
  <c r="L199" i="14" s="1"/>
  <c r="J198" i="14"/>
  <c r="I198" i="14"/>
  <c r="K198" i="14" s="1"/>
  <c r="J197" i="14"/>
  <c r="I197" i="14"/>
  <c r="K197" i="14" s="1"/>
  <c r="J196" i="14"/>
  <c r="I196" i="14"/>
  <c r="K196" i="14" s="1"/>
  <c r="L196" i="14" s="1"/>
  <c r="J195" i="14"/>
  <c r="I195" i="14"/>
  <c r="K195" i="14" s="1"/>
  <c r="L195" i="14" s="1"/>
  <c r="J194" i="14"/>
  <c r="I194" i="14"/>
  <c r="K194" i="14" s="1"/>
  <c r="J193" i="14"/>
  <c r="I193" i="14"/>
  <c r="K193" i="14" s="1"/>
  <c r="L193" i="14" s="1"/>
  <c r="J192" i="14"/>
  <c r="I192" i="14"/>
  <c r="K192" i="14" s="1"/>
  <c r="L192" i="14" s="1"/>
  <c r="J191" i="14"/>
  <c r="I191" i="14"/>
  <c r="K191" i="14" s="1"/>
  <c r="J190" i="14"/>
  <c r="I190" i="14"/>
  <c r="K190" i="14" s="1"/>
  <c r="J189" i="14"/>
  <c r="I189" i="14"/>
  <c r="K189" i="14" s="1"/>
  <c r="J188" i="14"/>
  <c r="I188" i="14"/>
  <c r="K188" i="14" s="1"/>
  <c r="J187" i="14"/>
  <c r="I187" i="14"/>
  <c r="K187" i="14" s="1"/>
  <c r="J186" i="14"/>
  <c r="I186" i="14"/>
  <c r="K186" i="14" s="1"/>
  <c r="J185" i="14"/>
  <c r="I185" i="14"/>
  <c r="K185" i="14" s="1"/>
  <c r="J184" i="14"/>
  <c r="I184" i="14"/>
  <c r="K184" i="14" s="1"/>
  <c r="J183" i="14"/>
  <c r="I183" i="14"/>
  <c r="K183" i="14" s="1"/>
  <c r="J182" i="14"/>
  <c r="I182" i="14"/>
  <c r="K182" i="14" s="1"/>
  <c r="J181" i="14"/>
  <c r="I181" i="14"/>
  <c r="K181" i="14" s="1"/>
  <c r="J180" i="14"/>
  <c r="I180" i="14"/>
  <c r="K180" i="14" s="1"/>
  <c r="L180" i="14" s="1"/>
  <c r="J179" i="14"/>
  <c r="I179" i="14"/>
  <c r="K179" i="14" s="1"/>
  <c r="L179" i="14" s="1"/>
  <c r="J178" i="14"/>
  <c r="I178" i="14"/>
  <c r="K178" i="14" s="1"/>
  <c r="J177" i="14"/>
  <c r="I177" i="14"/>
  <c r="K177" i="14" s="1"/>
  <c r="J176" i="14"/>
  <c r="I176" i="14"/>
  <c r="K176" i="14" s="1"/>
  <c r="L176" i="14" s="1"/>
  <c r="J175" i="14"/>
  <c r="I175" i="14"/>
  <c r="K175" i="14" s="1"/>
  <c r="L175" i="14" s="1"/>
  <c r="J174" i="14"/>
  <c r="I174" i="14"/>
  <c r="K174" i="14" s="1"/>
  <c r="J173" i="14"/>
  <c r="I173" i="14"/>
  <c r="K173" i="14" s="1"/>
  <c r="L173" i="14" s="1"/>
  <c r="J172" i="14"/>
  <c r="I172" i="14"/>
  <c r="K172" i="14" s="1"/>
  <c r="L172" i="14" s="1"/>
  <c r="J171" i="14"/>
  <c r="I171" i="14"/>
  <c r="K171" i="14" s="1"/>
  <c r="J170" i="14"/>
  <c r="I170" i="14"/>
  <c r="K170" i="14" s="1"/>
  <c r="J169" i="14"/>
  <c r="I169" i="14"/>
  <c r="K169" i="14" s="1"/>
  <c r="L169" i="14" s="1"/>
  <c r="J168" i="14"/>
  <c r="I168" i="14"/>
  <c r="K168" i="14" s="1"/>
  <c r="J167" i="14"/>
  <c r="I167" i="14"/>
  <c r="K167" i="14" s="1"/>
  <c r="J166" i="14"/>
  <c r="I166" i="14"/>
  <c r="K166" i="14" s="1"/>
  <c r="J165" i="14"/>
  <c r="I165" i="14"/>
  <c r="K165" i="14" s="1"/>
  <c r="J164" i="14"/>
  <c r="I164" i="14"/>
  <c r="K164" i="14" s="1"/>
  <c r="J163" i="14"/>
  <c r="I163" i="14"/>
  <c r="K163" i="14" s="1"/>
  <c r="J162" i="14"/>
  <c r="I162" i="14"/>
  <c r="K162" i="14" s="1"/>
  <c r="J161" i="14"/>
  <c r="I161" i="14"/>
  <c r="K161" i="14" s="1"/>
  <c r="J160" i="14"/>
  <c r="I160" i="14"/>
  <c r="K160" i="14" s="1"/>
  <c r="L160" i="14" s="1"/>
  <c r="J159" i="14"/>
  <c r="I159" i="14"/>
  <c r="K159" i="14" s="1"/>
  <c r="J158" i="14"/>
  <c r="I158" i="14"/>
  <c r="K158" i="14" s="1"/>
  <c r="J157" i="14"/>
  <c r="I157" i="14"/>
  <c r="K157" i="14" s="1"/>
  <c r="J156" i="14"/>
  <c r="I156" i="14"/>
  <c r="K156" i="14" s="1"/>
  <c r="L156" i="14" s="1"/>
  <c r="J155" i="14"/>
  <c r="I155" i="14"/>
  <c r="K155" i="14" s="1"/>
  <c r="J154" i="14"/>
  <c r="I154" i="14"/>
  <c r="K154" i="14" s="1"/>
  <c r="J153" i="14"/>
  <c r="I153" i="14"/>
  <c r="K153" i="14" s="1"/>
  <c r="J152" i="14"/>
  <c r="I152" i="14"/>
  <c r="K152" i="14" s="1"/>
  <c r="J151" i="14"/>
  <c r="I151" i="14"/>
  <c r="K151" i="14" s="1"/>
  <c r="J150" i="14"/>
  <c r="I150" i="14"/>
  <c r="K150" i="14" s="1"/>
  <c r="J149" i="14"/>
  <c r="I149" i="14"/>
  <c r="K149" i="14" s="1"/>
  <c r="J148" i="14"/>
  <c r="I148" i="14"/>
  <c r="K148" i="14" s="1"/>
  <c r="J147" i="14"/>
  <c r="I147" i="14"/>
  <c r="K147" i="14" s="1"/>
  <c r="J146" i="14"/>
  <c r="I146" i="14"/>
  <c r="K146" i="14" s="1"/>
  <c r="J145" i="14"/>
  <c r="I145" i="14"/>
  <c r="K145" i="14" s="1"/>
  <c r="J144" i="14"/>
  <c r="I144" i="14"/>
  <c r="K144" i="14" s="1"/>
  <c r="J143" i="14"/>
  <c r="I143" i="14"/>
  <c r="K143" i="14" s="1"/>
  <c r="J142" i="14"/>
  <c r="I142" i="14"/>
  <c r="K142" i="14" s="1"/>
  <c r="J141" i="14"/>
  <c r="I141" i="14"/>
  <c r="K141" i="14" s="1"/>
  <c r="J140" i="14"/>
  <c r="I140" i="14"/>
  <c r="K140" i="14" s="1"/>
  <c r="J139" i="14"/>
  <c r="I139" i="14"/>
  <c r="K139" i="14" s="1"/>
  <c r="J138" i="14"/>
  <c r="I138" i="14"/>
  <c r="K138" i="14" s="1"/>
  <c r="J137" i="14"/>
  <c r="I137" i="14"/>
  <c r="K137" i="14" s="1"/>
  <c r="J136" i="14"/>
  <c r="I136" i="14"/>
  <c r="K136" i="14" s="1"/>
  <c r="J135" i="14"/>
  <c r="I135" i="14"/>
  <c r="K135" i="14" s="1"/>
  <c r="J134" i="14"/>
  <c r="I134" i="14"/>
  <c r="K134" i="14" s="1"/>
  <c r="J133" i="14"/>
  <c r="I133" i="14"/>
  <c r="K133" i="14" s="1"/>
  <c r="J132" i="14"/>
  <c r="I132" i="14"/>
  <c r="K132" i="14" s="1"/>
  <c r="J131" i="14"/>
  <c r="I131" i="14"/>
  <c r="K131" i="14" s="1"/>
  <c r="J130" i="14"/>
  <c r="I130" i="14"/>
  <c r="K130" i="14" s="1"/>
  <c r="J129" i="14"/>
  <c r="I129" i="14"/>
  <c r="K129" i="14" s="1"/>
  <c r="J128" i="14"/>
  <c r="I128" i="14"/>
  <c r="K128" i="14" s="1"/>
  <c r="L128" i="14" s="1"/>
  <c r="J127" i="14"/>
  <c r="I127" i="14"/>
  <c r="K127" i="14" s="1"/>
  <c r="J126" i="14"/>
  <c r="I126" i="14"/>
  <c r="K126" i="14" s="1"/>
  <c r="J125" i="14"/>
  <c r="I125" i="14"/>
  <c r="K125" i="14" s="1"/>
  <c r="L125" i="14" s="1"/>
  <c r="J124" i="14"/>
  <c r="I124" i="14"/>
  <c r="K124" i="14" s="1"/>
  <c r="J123" i="14"/>
  <c r="I123" i="14"/>
  <c r="K123" i="14" s="1"/>
  <c r="J122" i="14"/>
  <c r="I122" i="14"/>
  <c r="K122" i="14" s="1"/>
  <c r="J121" i="14"/>
  <c r="I121" i="14"/>
  <c r="K121" i="14" s="1"/>
  <c r="L121" i="14" s="1"/>
  <c r="J120" i="14"/>
  <c r="I120" i="14"/>
  <c r="K120" i="14" s="1"/>
  <c r="J119" i="14"/>
  <c r="I119" i="14"/>
  <c r="K119" i="14" s="1"/>
  <c r="J118" i="14"/>
  <c r="I118" i="14"/>
  <c r="K118" i="14" s="1"/>
  <c r="J117" i="14"/>
  <c r="I117" i="14"/>
  <c r="K117" i="14" s="1"/>
  <c r="J116" i="14"/>
  <c r="I116" i="14"/>
  <c r="K116" i="14" s="1"/>
  <c r="J115" i="14"/>
  <c r="I115" i="14"/>
  <c r="K115" i="14" s="1"/>
  <c r="J114" i="14"/>
  <c r="I114" i="14"/>
  <c r="K114" i="14" s="1"/>
  <c r="J113" i="14"/>
  <c r="I113" i="14"/>
  <c r="K113" i="14" s="1"/>
  <c r="L113" i="14" s="1"/>
  <c r="J112" i="14"/>
  <c r="I112" i="14"/>
  <c r="K112" i="14" s="1"/>
  <c r="J111" i="14"/>
  <c r="I111" i="14"/>
  <c r="K111" i="14" s="1"/>
  <c r="J110" i="14"/>
  <c r="I110" i="14"/>
  <c r="K110" i="14" s="1"/>
  <c r="J109" i="14"/>
  <c r="I109" i="14"/>
  <c r="K109" i="14" s="1"/>
  <c r="J108" i="14"/>
  <c r="I108" i="14"/>
  <c r="K108" i="14" s="1"/>
  <c r="J107" i="14"/>
  <c r="I107" i="14"/>
  <c r="K107" i="14" s="1"/>
  <c r="J106" i="14"/>
  <c r="I106" i="14"/>
  <c r="K106" i="14" s="1"/>
  <c r="J105" i="14"/>
  <c r="I105" i="14"/>
  <c r="K105" i="14" s="1"/>
  <c r="J104" i="14"/>
  <c r="I104" i="14"/>
  <c r="K104" i="14" s="1"/>
  <c r="J103" i="14"/>
  <c r="I103" i="14"/>
  <c r="K103" i="14" s="1"/>
  <c r="J102" i="14"/>
  <c r="I102" i="14"/>
  <c r="K102" i="14" s="1"/>
  <c r="J101" i="14"/>
  <c r="I101" i="14"/>
  <c r="K101" i="14" s="1"/>
  <c r="J100" i="14"/>
  <c r="I100" i="14"/>
  <c r="K100" i="14" s="1"/>
  <c r="J99" i="14"/>
  <c r="I99" i="14"/>
  <c r="K99" i="14" s="1"/>
  <c r="L99" i="14" s="1"/>
  <c r="J98" i="14"/>
  <c r="I98" i="14"/>
  <c r="K98" i="14" s="1"/>
  <c r="J97" i="14"/>
  <c r="I97" i="14"/>
  <c r="K97" i="14" s="1"/>
  <c r="J96" i="14"/>
  <c r="I96" i="14"/>
  <c r="K96" i="14" s="1"/>
  <c r="J95" i="14"/>
  <c r="I95" i="14"/>
  <c r="K95" i="14" s="1"/>
  <c r="J94" i="14"/>
  <c r="I94" i="14"/>
  <c r="K94" i="14" s="1"/>
  <c r="J93" i="14"/>
  <c r="I93" i="14"/>
  <c r="K93" i="14" s="1"/>
  <c r="J92" i="14"/>
  <c r="I92" i="14"/>
  <c r="K92" i="14" s="1"/>
  <c r="L92" i="14" s="1"/>
  <c r="J91" i="14"/>
  <c r="I91" i="14"/>
  <c r="K91" i="14" s="1"/>
  <c r="J90" i="14"/>
  <c r="I90" i="14"/>
  <c r="K90" i="14" s="1"/>
  <c r="J89" i="14"/>
  <c r="I89" i="14"/>
  <c r="K89" i="14" s="1"/>
  <c r="J88" i="14"/>
  <c r="I88" i="14"/>
  <c r="K88" i="14" s="1"/>
  <c r="J87" i="14"/>
  <c r="I87" i="14"/>
  <c r="K87" i="14" s="1"/>
  <c r="J86" i="14"/>
  <c r="I86" i="14"/>
  <c r="K86" i="14" s="1"/>
  <c r="J85" i="14"/>
  <c r="I85" i="14"/>
  <c r="K85" i="14" s="1"/>
  <c r="J84" i="14"/>
  <c r="I84" i="14"/>
  <c r="K84" i="14" s="1"/>
  <c r="J83" i="14"/>
  <c r="I83" i="14"/>
  <c r="K83" i="14" s="1"/>
  <c r="J82" i="14"/>
  <c r="I82" i="14"/>
  <c r="K82" i="14" s="1"/>
  <c r="J81" i="14"/>
  <c r="I81" i="14"/>
  <c r="K81" i="14" s="1"/>
  <c r="J80" i="14"/>
  <c r="I80" i="14"/>
  <c r="K80" i="14" s="1"/>
  <c r="J79" i="14"/>
  <c r="I79" i="14"/>
  <c r="K79" i="14" s="1"/>
  <c r="J78" i="14"/>
  <c r="I78" i="14"/>
  <c r="K78" i="14" s="1"/>
  <c r="J77" i="14"/>
  <c r="I77" i="14"/>
  <c r="K77" i="14" s="1"/>
  <c r="L77" i="14" s="1"/>
  <c r="V79" i="14" s="1"/>
  <c r="J76" i="14"/>
  <c r="I76" i="14"/>
  <c r="K76" i="14" s="1"/>
  <c r="J75" i="14"/>
  <c r="I75" i="14"/>
  <c r="K75" i="14" s="1"/>
  <c r="J74" i="14"/>
  <c r="I74" i="14"/>
  <c r="K74" i="14" s="1"/>
  <c r="J73" i="14"/>
  <c r="I73" i="14"/>
  <c r="K73" i="14" s="1"/>
  <c r="L73" i="14" s="1"/>
  <c r="V75" i="14" s="1"/>
  <c r="J72" i="14"/>
  <c r="I72" i="14"/>
  <c r="K72" i="14" s="1"/>
  <c r="J71" i="14"/>
  <c r="I71" i="14"/>
  <c r="K71" i="14" s="1"/>
  <c r="J70" i="14"/>
  <c r="I70" i="14"/>
  <c r="K70" i="14" s="1"/>
  <c r="J69" i="14"/>
  <c r="I69" i="14"/>
  <c r="K69" i="14" s="1"/>
  <c r="J68" i="14"/>
  <c r="I68" i="14"/>
  <c r="K68" i="14" s="1"/>
  <c r="J67" i="14"/>
  <c r="I67" i="14"/>
  <c r="K67" i="14" s="1"/>
  <c r="J66" i="14"/>
  <c r="I66" i="14"/>
  <c r="K66" i="14" s="1"/>
  <c r="J65" i="14"/>
  <c r="I65" i="14"/>
  <c r="K65" i="14" s="1"/>
  <c r="L65" i="14" s="1"/>
  <c r="J64" i="14"/>
  <c r="I64" i="14"/>
  <c r="K64" i="14" s="1"/>
  <c r="J63" i="14"/>
  <c r="I63" i="14"/>
  <c r="K63" i="14" s="1"/>
  <c r="J62" i="14"/>
  <c r="I62" i="14"/>
  <c r="K62" i="14" s="1"/>
  <c r="J61" i="14"/>
  <c r="I61" i="14"/>
  <c r="K61" i="14" s="1"/>
  <c r="L61" i="14" s="1"/>
  <c r="J60" i="14"/>
  <c r="I60" i="14"/>
  <c r="K60" i="14" s="1"/>
  <c r="J59" i="14"/>
  <c r="I59" i="14"/>
  <c r="K59" i="14" s="1"/>
  <c r="J58" i="14"/>
  <c r="I58" i="14"/>
  <c r="K58" i="14" s="1"/>
  <c r="L58" i="14" s="1"/>
  <c r="J57" i="14"/>
  <c r="I57" i="14"/>
  <c r="K57" i="14" s="1"/>
  <c r="J56" i="14"/>
  <c r="I56" i="14"/>
  <c r="K56" i="14" s="1"/>
  <c r="J55" i="14"/>
  <c r="I55" i="14"/>
  <c r="K55" i="14" s="1"/>
  <c r="J54" i="14"/>
  <c r="I54" i="14"/>
  <c r="K54" i="14" s="1"/>
  <c r="L54" i="14" s="1"/>
  <c r="J53" i="14"/>
  <c r="I53" i="14"/>
  <c r="K53" i="14" s="1"/>
  <c r="J52" i="14"/>
  <c r="I52" i="14"/>
  <c r="K52" i="14" s="1"/>
  <c r="J51" i="14"/>
  <c r="I51" i="14"/>
  <c r="K51" i="14" s="1"/>
  <c r="L51" i="14" s="1"/>
  <c r="J50" i="14"/>
  <c r="I50" i="14"/>
  <c r="K50" i="14" s="1"/>
  <c r="J49" i="14"/>
  <c r="I49" i="14"/>
  <c r="K49" i="14" s="1"/>
  <c r="J48" i="14"/>
  <c r="I48" i="14"/>
  <c r="K48" i="14" s="1"/>
  <c r="J47" i="14"/>
  <c r="I47" i="14"/>
  <c r="K47" i="14" s="1"/>
  <c r="J46" i="14"/>
  <c r="I46" i="14"/>
  <c r="K46" i="14" s="1"/>
  <c r="J45" i="14"/>
  <c r="I45" i="14"/>
  <c r="K45" i="14" s="1"/>
  <c r="J44" i="14"/>
  <c r="I44" i="14"/>
  <c r="K44" i="14" s="1"/>
  <c r="L44" i="14" s="1"/>
  <c r="J43" i="14"/>
  <c r="I43" i="14"/>
  <c r="K43" i="14" s="1"/>
  <c r="J42" i="14"/>
  <c r="I42" i="14"/>
  <c r="K42" i="14" s="1"/>
  <c r="J41" i="14"/>
  <c r="I41" i="14"/>
  <c r="K41" i="14" s="1"/>
  <c r="J40" i="14"/>
  <c r="I40" i="14"/>
  <c r="K40" i="14" s="1"/>
  <c r="L40" i="14" s="1"/>
  <c r="J39" i="14"/>
  <c r="I39" i="14"/>
  <c r="K39" i="14" s="1"/>
  <c r="L39" i="14" s="1"/>
  <c r="J38" i="14"/>
  <c r="I38" i="14"/>
  <c r="K38" i="14" s="1"/>
  <c r="L38" i="14" s="1"/>
  <c r="J37" i="14"/>
  <c r="I37" i="14"/>
  <c r="K37" i="14" s="1"/>
  <c r="J36" i="14"/>
  <c r="I36" i="14"/>
  <c r="K36" i="14" s="1"/>
  <c r="J35" i="14"/>
  <c r="I35" i="14"/>
  <c r="K35" i="14" s="1"/>
  <c r="J34" i="14"/>
  <c r="I34" i="14"/>
  <c r="K34" i="14" s="1"/>
  <c r="J33" i="14"/>
  <c r="I33" i="14"/>
  <c r="K33" i="14" s="1"/>
  <c r="J32" i="14"/>
  <c r="I32" i="14"/>
  <c r="K32" i="14" s="1"/>
  <c r="J31" i="14"/>
  <c r="I31" i="14"/>
  <c r="K31" i="14" s="1"/>
  <c r="J30" i="14"/>
  <c r="I30" i="14"/>
  <c r="K30" i="14" s="1"/>
  <c r="L30" i="14" s="1"/>
  <c r="J29" i="14"/>
  <c r="I29" i="14"/>
  <c r="K29" i="14" s="1"/>
  <c r="J28" i="14"/>
  <c r="I28" i="14"/>
  <c r="K28" i="14" s="1"/>
  <c r="J27" i="14"/>
  <c r="I27" i="14"/>
  <c r="K27" i="14" s="1"/>
  <c r="J26" i="14"/>
  <c r="I26" i="14"/>
  <c r="K26" i="14" s="1"/>
  <c r="J25" i="14"/>
  <c r="I25" i="14"/>
  <c r="K25" i="14" s="1"/>
  <c r="J24" i="14"/>
  <c r="I24" i="14"/>
  <c r="K24" i="14" s="1"/>
  <c r="J23" i="14"/>
  <c r="I23" i="14"/>
  <c r="K23" i="14" s="1"/>
  <c r="J22" i="14"/>
  <c r="I22" i="14"/>
  <c r="K22" i="14" s="1"/>
  <c r="J21" i="14"/>
  <c r="I21" i="14"/>
  <c r="K21" i="14" s="1"/>
  <c r="J20" i="14"/>
  <c r="I20" i="14"/>
  <c r="K20" i="14" s="1"/>
  <c r="J19" i="14"/>
  <c r="I19" i="14"/>
  <c r="K19" i="14" s="1"/>
  <c r="L19" i="14" s="1"/>
  <c r="J18" i="14"/>
  <c r="I18" i="14"/>
  <c r="K18" i="14" s="1"/>
  <c r="L18" i="14" s="1"/>
  <c r="J17" i="14"/>
  <c r="I17" i="14"/>
  <c r="K17" i="14" s="1"/>
  <c r="J16" i="14"/>
  <c r="I16" i="14"/>
  <c r="K16" i="14" s="1"/>
  <c r="J15" i="14"/>
  <c r="I15" i="14"/>
  <c r="K15" i="14" s="1"/>
  <c r="J14" i="14"/>
  <c r="I14" i="14"/>
  <c r="K14" i="14" s="1"/>
  <c r="J13" i="14"/>
  <c r="I13" i="14"/>
  <c r="K13" i="14" s="1"/>
  <c r="J12" i="14"/>
  <c r="I12" i="14"/>
  <c r="K12" i="14" s="1"/>
  <c r="J11" i="14"/>
  <c r="I11" i="14"/>
  <c r="K11" i="14" s="1"/>
  <c r="J10" i="14"/>
  <c r="I10" i="14"/>
  <c r="K10" i="14" s="1"/>
  <c r="L10" i="14" s="1"/>
  <c r="J9" i="14"/>
  <c r="I9" i="14"/>
  <c r="K9" i="14" s="1"/>
  <c r="J8" i="14"/>
  <c r="I8" i="14"/>
  <c r="K8" i="14" s="1"/>
  <c r="J7" i="14"/>
  <c r="I7" i="14"/>
  <c r="K7" i="14" s="1"/>
  <c r="J6" i="14"/>
  <c r="I6" i="14"/>
  <c r="K6" i="14" s="1"/>
  <c r="L6" i="14" s="1"/>
  <c r="K5" i="14"/>
  <c r="J5" i="14"/>
  <c r="I5" i="14"/>
  <c r="J4" i="14"/>
  <c r="I4" i="14"/>
  <c r="K4" i="14" s="1"/>
  <c r="J3" i="14"/>
  <c r="I3" i="14"/>
  <c r="K3" i="14" s="1"/>
  <c r="L3" i="14" s="1"/>
  <c r="J2" i="14"/>
  <c r="I2" i="14"/>
  <c r="K2" i="14" s="1"/>
  <c r="I322" i="1"/>
  <c r="K322" i="1" s="1"/>
  <c r="J322" i="1"/>
  <c r="I316" i="11"/>
  <c r="K316" i="11" s="1"/>
  <c r="J316" i="11"/>
  <c r="I317" i="11"/>
  <c r="K317" i="11" s="1"/>
  <c r="J317" i="11"/>
  <c r="I318" i="11"/>
  <c r="K318" i="11" s="1"/>
  <c r="L318" i="11" s="1"/>
  <c r="J318" i="11"/>
  <c r="I319" i="11"/>
  <c r="K319" i="11" s="1"/>
  <c r="J319" i="11"/>
  <c r="I320" i="11"/>
  <c r="K320" i="11" s="1"/>
  <c r="L320" i="11" s="1"/>
  <c r="J320" i="11"/>
  <c r="I321" i="11"/>
  <c r="K321" i="11" s="1"/>
  <c r="J321" i="11"/>
  <c r="L3" i="15" l="1"/>
  <c r="L76" i="15"/>
  <c r="L94" i="15"/>
  <c r="L104" i="15"/>
  <c r="L139" i="15"/>
  <c r="L154" i="15"/>
  <c r="L158" i="15"/>
  <c r="L169" i="15"/>
  <c r="L177" i="15"/>
  <c r="L214" i="15"/>
  <c r="L225" i="15"/>
  <c r="L228" i="15"/>
  <c r="L248" i="15"/>
  <c r="L263" i="15"/>
  <c r="L267" i="15"/>
  <c r="L282" i="15"/>
  <c r="L300" i="15"/>
  <c r="L312" i="15"/>
  <c r="V94" i="15" s="1"/>
  <c r="L41" i="15"/>
  <c r="L4" i="15"/>
  <c r="L15" i="15"/>
  <c r="L37" i="15"/>
  <c r="L105" i="15"/>
  <c r="L140" i="15"/>
  <c r="L162" i="15"/>
  <c r="L215" i="15"/>
  <c r="L226" i="15"/>
  <c r="L264" i="15"/>
  <c r="L283" i="15"/>
  <c r="L298" i="15"/>
  <c r="L42" i="15"/>
  <c r="L46" i="15"/>
  <c r="L81" i="15"/>
  <c r="L88" i="15"/>
  <c r="L129" i="15"/>
  <c r="L148" i="15"/>
  <c r="L16" i="15"/>
  <c r="L70" i="15"/>
  <c r="L74" i="15"/>
  <c r="L96" i="15"/>
  <c r="L102" i="15"/>
  <c r="L106" i="15"/>
  <c r="L137" i="15"/>
  <c r="L141" i="15"/>
  <c r="L152" i="15"/>
  <c r="L156" i="15"/>
  <c r="L171" i="15"/>
  <c r="L175" i="15"/>
  <c r="L193" i="15"/>
  <c r="L212" i="15"/>
  <c r="L223" i="15"/>
  <c r="L227" i="15"/>
  <c r="L250" i="15"/>
  <c r="L280" i="15"/>
  <c r="L295" i="15"/>
  <c r="L299" i="15"/>
  <c r="L314" i="15"/>
  <c r="V96" i="15" s="1"/>
  <c r="L24" i="15"/>
  <c r="L31" i="15"/>
  <c r="L35" i="15"/>
  <c r="L39" i="15"/>
  <c r="L43" i="15"/>
  <c r="L122" i="15"/>
  <c r="L126" i="15"/>
  <c r="L130" i="15"/>
  <c r="L145" i="15"/>
  <c r="L149" i="15"/>
  <c r="L160" i="15"/>
  <c r="L164" i="15"/>
  <c r="L307" i="15"/>
  <c r="V89" i="15" s="1"/>
  <c r="L28" i="15"/>
  <c r="L51" i="15"/>
  <c r="L55" i="15"/>
  <c r="L59" i="15"/>
  <c r="L63" i="15"/>
  <c r="L67" i="15"/>
  <c r="L71" i="15"/>
  <c r="V73" i="15" s="1"/>
  <c r="L75" i="15"/>
  <c r="V77" i="15" s="1"/>
  <c r="L97" i="15"/>
  <c r="L103" i="15"/>
  <c r="L134" i="15"/>
  <c r="L138" i="15"/>
  <c r="L142" i="15"/>
  <c r="L153" i="15"/>
  <c r="L168" i="15"/>
  <c r="L172" i="15"/>
  <c r="L176" i="15"/>
  <c r="L194" i="15"/>
  <c r="L224" i="15"/>
  <c r="L247" i="15"/>
  <c r="L251" i="15"/>
  <c r="L266" i="15"/>
  <c r="L296" i="15"/>
  <c r="L311" i="15"/>
  <c r="V93" i="15" s="1"/>
  <c r="L315" i="15"/>
  <c r="V97" i="15" s="1"/>
  <c r="L262" i="15"/>
  <c r="L310" i="15"/>
  <c r="V92" i="15" s="1"/>
  <c r="L305" i="15"/>
  <c r="V87" i="15" s="1"/>
  <c r="L321" i="15"/>
  <c r="V103" i="15" s="1"/>
  <c r="L29" i="15"/>
  <c r="L222" i="15"/>
  <c r="L246" i="15"/>
  <c r="L278" i="15"/>
  <c r="L53" i="15"/>
  <c r="L186" i="15"/>
  <c r="L77" i="15"/>
  <c r="L107" i="15"/>
  <c r="L187" i="15"/>
  <c r="L8" i="15"/>
  <c r="L124" i="15"/>
  <c r="L207" i="15"/>
  <c r="L83" i="15"/>
  <c r="L157" i="15"/>
  <c r="L294" i="15"/>
  <c r="L2" i="15"/>
  <c r="L11" i="15"/>
  <c r="L20" i="15"/>
  <c r="L54" i="15"/>
  <c r="L64" i="15"/>
  <c r="V66" i="15" s="1"/>
  <c r="L90" i="15"/>
  <c r="L114" i="15"/>
  <c r="L121" i="15"/>
  <c r="L128" i="15"/>
  <c r="L170" i="15"/>
  <c r="L198" i="15"/>
  <c r="L201" i="15"/>
  <c r="L213" i="15"/>
  <c r="L219" i="15"/>
  <c r="L249" i="15"/>
  <c r="L265" i="15"/>
  <c r="L281" i="15"/>
  <c r="L297" i="15"/>
  <c r="L313" i="15"/>
  <c r="V95" i="15" s="1"/>
  <c r="V68" i="15"/>
  <c r="V76" i="15"/>
  <c r="L45" i="15"/>
  <c r="V65" i="15"/>
  <c r="V81" i="15"/>
  <c r="L93" i="15"/>
  <c r="V71" i="15"/>
  <c r="V74" i="15"/>
  <c r="V79" i="15"/>
  <c r="V82" i="15"/>
  <c r="V86" i="15"/>
  <c r="V102" i="15"/>
  <c r="L85" i="15"/>
  <c r="V64" i="15"/>
  <c r="V67" i="15"/>
  <c r="V69" i="15"/>
  <c r="V72" i="15"/>
  <c r="V75" i="15"/>
  <c r="V80" i="15"/>
  <c r="V83" i="15"/>
  <c r="V70" i="15"/>
  <c r="V78" i="15"/>
  <c r="L40" i="15"/>
  <c r="L49" i="15"/>
  <c r="L57" i="15"/>
  <c r="L101" i="15"/>
  <c r="L173" i="15"/>
  <c r="L185" i="15"/>
  <c r="L165" i="15"/>
  <c r="L167" i="15"/>
  <c r="L8" i="14"/>
  <c r="L67" i="14"/>
  <c r="L90" i="14"/>
  <c r="L72" i="14"/>
  <c r="L91" i="14"/>
  <c r="L98" i="14"/>
  <c r="L245" i="14"/>
  <c r="L53" i="14"/>
  <c r="L76" i="14"/>
  <c r="L80" i="14"/>
  <c r="L84" i="14"/>
  <c r="L88" i="14"/>
  <c r="L122" i="14"/>
  <c r="L130" i="14"/>
  <c r="L134" i="14"/>
  <c r="L170" i="14"/>
  <c r="L182" i="14"/>
  <c r="L186" i="14"/>
  <c r="L190" i="14"/>
  <c r="L198" i="14"/>
  <c r="L202" i="14"/>
  <c r="L214" i="14"/>
  <c r="L218" i="14"/>
  <c r="L230" i="14"/>
  <c r="L234" i="14"/>
  <c r="L238" i="14"/>
  <c r="L249" i="14"/>
  <c r="L265" i="14"/>
  <c r="L273" i="14"/>
  <c r="L281" i="14"/>
  <c r="L289" i="14"/>
  <c r="L305" i="14"/>
  <c r="V87" i="14" s="1"/>
  <c r="L313" i="14"/>
  <c r="V95" i="14" s="1"/>
  <c r="L321" i="14"/>
  <c r="V103" i="14" s="1"/>
  <c r="L203" i="14"/>
  <c r="L207" i="14"/>
  <c r="L211" i="14"/>
  <c r="L219" i="14"/>
  <c r="L223" i="14"/>
  <c r="L227" i="14"/>
  <c r="L235" i="14"/>
  <c r="L239" i="14"/>
  <c r="L274" i="14"/>
  <c r="L282" i="14"/>
  <c r="L290" i="14"/>
  <c r="L306" i="14"/>
  <c r="V88" i="14" s="1"/>
  <c r="L314" i="14"/>
  <c r="V96" i="14" s="1"/>
  <c r="L322" i="14"/>
  <c r="L70" i="14"/>
  <c r="L74" i="14"/>
  <c r="L100" i="14"/>
  <c r="L167" i="14"/>
  <c r="L60" i="14"/>
  <c r="L110" i="14"/>
  <c r="L149" i="14"/>
  <c r="L153" i="14"/>
  <c r="L165" i="14"/>
  <c r="L246" i="14"/>
  <c r="L297" i="14"/>
  <c r="L24" i="14"/>
  <c r="L28" i="14"/>
  <c r="L138" i="14"/>
  <c r="L142" i="14"/>
  <c r="L146" i="14"/>
  <c r="L150" i="14"/>
  <c r="L154" i="14"/>
  <c r="L162" i="14"/>
  <c r="L166" i="14"/>
  <c r="L209" i="14"/>
  <c r="L243" i="14"/>
  <c r="L298" i="14"/>
  <c r="L57" i="14"/>
  <c r="L71" i="14"/>
  <c r="V73" i="14" s="1"/>
  <c r="L97" i="14"/>
  <c r="L2" i="14"/>
  <c r="L13" i="14"/>
  <c r="L17" i="14"/>
  <c r="L21" i="14"/>
  <c r="L29" i="14"/>
  <c r="L37" i="14"/>
  <c r="L83" i="14"/>
  <c r="L116" i="14"/>
  <c r="L120" i="14"/>
  <c r="L131" i="14"/>
  <c r="L143" i="14"/>
  <c r="L147" i="14"/>
  <c r="L163" i="14"/>
  <c r="L210" i="14"/>
  <c r="L217" i="14"/>
  <c r="L244" i="14"/>
  <c r="L247" i="14"/>
  <c r="L299" i="14"/>
  <c r="L240" i="14"/>
  <c r="L36" i="14"/>
  <c r="L300" i="14"/>
  <c r="L257" i="14"/>
  <c r="L106" i="14"/>
  <c r="L126" i="14"/>
  <c r="L177" i="14"/>
  <c r="L208" i="14"/>
  <c r="L23" i="14"/>
  <c r="L27" i="14"/>
  <c r="L34" i="14"/>
  <c r="L64" i="14"/>
  <c r="V66" i="14" s="1"/>
  <c r="L82" i="14"/>
  <c r="L112" i="14"/>
  <c r="L118" i="14"/>
  <c r="L144" i="14"/>
  <c r="L181" i="14"/>
  <c r="L191" i="14"/>
  <c r="L194" i="14"/>
  <c r="L197" i="14"/>
  <c r="L204" i="14"/>
  <c r="L232" i="14"/>
  <c r="L258" i="14"/>
  <c r="L284" i="14"/>
  <c r="L288" i="14"/>
  <c r="L9" i="14"/>
  <c r="L16" i="14"/>
  <c r="L20" i="14"/>
  <c r="L46" i="14"/>
  <c r="L68" i="14"/>
  <c r="L86" i="14"/>
  <c r="L93" i="14"/>
  <c r="L103" i="14"/>
  <c r="L109" i="14"/>
  <c r="L115" i="14"/>
  <c r="L133" i="14"/>
  <c r="L141" i="14"/>
  <c r="L155" i="14"/>
  <c r="L161" i="14"/>
  <c r="L164" i="14"/>
  <c r="L171" i="14"/>
  <c r="L178" i="14"/>
  <c r="L185" i="14"/>
  <c r="L188" i="14"/>
  <c r="L201" i="14"/>
  <c r="L222" i="14"/>
  <c r="L229" i="14"/>
  <c r="L236" i="14"/>
  <c r="L266" i="14"/>
  <c r="L296" i="14"/>
  <c r="L5" i="14"/>
  <c r="L12" i="14"/>
  <c r="L50" i="14"/>
  <c r="L105" i="14"/>
  <c r="L108" i="14"/>
  <c r="L114" i="14"/>
  <c r="L159" i="14"/>
  <c r="L263" i="14"/>
  <c r="L270" i="14"/>
  <c r="L277" i="14"/>
  <c r="L280" i="14"/>
  <c r="L295" i="14"/>
  <c r="L302" i="14"/>
  <c r="V84" i="14" s="1"/>
  <c r="L309" i="14"/>
  <c r="V91" i="14" s="1"/>
  <c r="L312" i="14"/>
  <c r="V94" i="14" s="1"/>
  <c r="L41" i="14"/>
  <c r="L48" i="14"/>
  <c r="L55" i="14"/>
  <c r="L62" i="14"/>
  <c r="V64" i="14" s="1"/>
  <c r="L75" i="14"/>
  <c r="V77" i="14" s="1"/>
  <c r="L78" i="14"/>
  <c r="V80" i="14" s="1"/>
  <c r="L89" i="14"/>
  <c r="L96" i="14"/>
  <c r="L129" i="14"/>
  <c r="L135" i="14"/>
  <c r="L250" i="14"/>
  <c r="L253" i="14"/>
  <c r="L271" i="14"/>
  <c r="L278" i="14"/>
  <c r="L285" i="14"/>
  <c r="L303" i="14"/>
  <c r="V85" i="14" s="1"/>
  <c r="L310" i="14"/>
  <c r="V92" i="14" s="1"/>
  <c r="L317" i="14"/>
  <c r="V99" i="14" s="1"/>
  <c r="L7" i="14"/>
  <c r="L14" i="14"/>
  <c r="L35" i="14"/>
  <c r="L45" i="14"/>
  <c r="L52" i="14"/>
  <c r="L59" i="14"/>
  <c r="L66" i="14"/>
  <c r="V68" i="14" s="1"/>
  <c r="L69" i="14"/>
  <c r="V71" i="14" s="1"/>
  <c r="L81" i="14"/>
  <c r="V83" i="14" s="1"/>
  <c r="L94" i="14"/>
  <c r="L101" i="14"/>
  <c r="L119" i="14"/>
  <c r="L145" i="14"/>
  <c r="L151" i="14"/>
  <c r="L221" i="14"/>
  <c r="L4" i="14"/>
  <c r="L25" i="14"/>
  <c r="L32" i="14"/>
  <c r="L42" i="14"/>
  <c r="L49" i="14"/>
  <c r="L56" i="14"/>
  <c r="L79" i="14"/>
  <c r="V81" i="14" s="1"/>
  <c r="L87" i="14"/>
  <c r="L104" i="14"/>
  <c r="L107" i="14"/>
  <c r="L123" i="14"/>
  <c r="L136" i="14"/>
  <c r="L139" i="14"/>
  <c r="L158" i="14"/>
  <c r="L183" i="14"/>
  <c r="L215" i="14"/>
  <c r="L225" i="14"/>
  <c r="L241" i="14"/>
  <c r="L254" i="14"/>
  <c r="L261" i="14"/>
  <c r="L279" i="14"/>
  <c r="L286" i="14"/>
  <c r="L293" i="14"/>
  <c r="L311" i="14"/>
  <c r="V93" i="14" s="1"/>
  <c r="L318" i="14"/>
  <c r="V100" i="14" s="1"/>
  <c r="L22" i="14"/>
  <c r="L26" i="14"/>
  <c r="L43" i="14"/>
  <c r="L85" i="14"/>
  <c r="L102" i="14"/>
  <c r="L111" i="14"/>
  <c r="L117" i="14"/>
  <c r="L124" i="14"/>
  <c r="L127" i="14"/>
  <c r="L137" i="14"/>
  <c r="L140" i="14"/>
  <c r="L168" i="14"/>
  <c r="L174" i="14"/>
  <c r="L184" i="14"/>
  <c r="L187" i="14"/>
  <c r="L200" i="14"/>
  <c r="L206" i="14"/>
  <c r="L216" i="14"/>
  <c r="L226" i="14"/>
  <c r="L242" i="14"/>
  <c r="L255" i="14"/>
  <c r="L262" i="14"/>
  <c r="L269" i="14"/>
  <c r="L287" i="14"/>
  <c r="L294" i="14"/>
  <c r="L301" i="14"/>
  <c r="L319" i="14"/>
  <c r="V101" i="14" s="1"/>
  <c r="V69" i="14"/>
  <c r="V70" i="14"/>
  <c r="V74" i="14"/>
  <c r="V78" i="14"/>
  <c r="V98" i="14"/>
  <c r="L157" i="14"/>
  <c r="L31" i="14"/>
  <c r="V82" i="14"/>
  <c r="V67" i="14"/>
  <c r="L231" i="14"/>
  <c r="L63" i="14"/>
  <c r="L132" i="14"/>
  <c r="V76" i="14"/>
  <c r="L15" i="14"/>
  <c r="V72" i="14"/>
  <c r="L95" i="14"/>
  <c r="L11" i="14"/>
  <c r="L33" i="14"/>
  <c r="L47" i="14"/>
  <c r="L251" i="14"/>
  <c r="V89" i="14"/>
  <c r="L189" i="14"/>
  <c r="L148" i="14"/>
  <c r="L152" i="14"/>
  <c r="V97" i="14"/>
  <c r="L319" i="11"/>
  <c r="L316" i="11"/>
  <c r="L321" i="11"/>
  <c r="L317" i="11"/>
  <c r="L322" i="1"/>
  <c r="N5" i="15" l="1"/>
  <c r="N2" i="15"/>
  <c r="M165" i="15" s="1"/>
  <c r="V65" i="14"/>
  <c r="I314" i="12"/>
  <c r="K314" i="12" s="1"/>
  <c r="J314" i="12"/>
  <c r="I315" i="12"/>
  <c r="K315" i="12" s="1"/>
  <c r="J315" i="12"/>
  <c r="I316" i="12"/>
  <c r="K316" i="12" s="1"/>
  <c r="J316" i="12"/>
  <c r="I317" i="12"/>
  <c r="K317" i="12" s="1"/>
  <c r="J317" i="12"/>
  <c r="I318" i="12"/>
  <c r="K318" i="12" s="1"/>
  <c r="J318" i="12"/>
  <c r="I319" i="12"/>
  <c r="K319" i="12" s="1"/>
  <c r="J319" i="12"/>
  <c r="I320" i="12"/>
  <c r="K320" i="12" s="1"/>
  <c r="J320" i="12"/>
  <c r="I321" i="12"/>
  <c r="K321" i="12" s="1"/>
  <c r="J321" i="12"/>
  <c r="I322" i="12"/>
  <c r="K322" i="12" s="1"/>
  <c r="J322" i="12"/>
  <c r="I320" i="13"/>
  <c r="K320" i="13" s="1"/>
  <c r="J320" i="13"/>
  <c r="I321" i="13"/>
  <c r="K321" i="13" s="1"/>
  <c r="J321" i="13"/>
  <c r="I322" i="13"/>
  <c r="K322" i="13" s="1"/>
  <c r="L322" i="13" s="1"/>
  <c r="J322" i="13"/>
  <c r="J319" i="13"/>
  <c r="I319" i="13"/>
  <c r="K319" i="13" s="1"/>
  <c r="J318" i="13"/>
  <c r="I318" i="13"/>
  <c r="K318" i="13" s="1"/>
  <c r="L318" i="13" s="1"/>
  <c r="J317" i="13"/>
  <c r="I317" i="13"/>
  <c r="K317" i="13" s="1"/>
  <c r="J316" i="13"/>
  <c r="I316" i="13"/>
  <c r="K316" i="13" s="1"/>
  <c r="J315" i="13"/>
  <c r="I315" i="13"/>
  <c r="K315" i="13" s="1"/>
  <c r="J314" i="13"/>
  <c r="I314" i="13"/>
  <c r="K314" i="13" s="1"/>
  <c r="J313" i="13"/>
  <c r="I313" i="13"/>
  <c r="K313" i="13" s="1"/>
  <c r="J312" i="13"/>
  <c r="I312" i="13"/>
  <c r="K312" i="13" s="1"/>
  <c r="J311" i="13"/>
  <c r="I311" i="13"/>
  <c r="K311" i="13" s="1"/>
  <c r="J310" i="13"/>
  <c r="I310" i="13"/>
  <c r="K310" i="13" s="1"/>
  <c r="J309" i="13"/>
  <c r="I309" i="13"/>
  <c r="K309" i="13" s="1"/>
  <c r="J308" i="13"/>
  <c r="I308" i="13"/>
  <c r="K308" i="13" s="1"/>
  <c r="J307" i="13"/>
  <c r="I307" i="13"/>
  <c r="K307" i="13" s="1"/>
  <c r="J306" i="13"/>
  <c r="I306" i="13"/>
  <c r="K306" i="13" s="1"/>
  <c r="J305" i="13"/>
  <c r="I305" i="13"/>
  <c r="K305" i="13" s="1"/>
  <c r="J304" i="13"/>
  <c r="I304" i="13"/>
  <c r="K304" i="13" s="1"/>
  <c r="J303" i="13"/>
  <c r="I303" i="13"/>
  <c r="K303" i="13" s="1"/>
  <c r="J302" i="13"/>
  <c r="I302" i="13"/>
  <c r="K302" i="13" s="1"/>
  <c r="L302" i="13" s="1"/>
  <c r="J301" i="13"/>
  <c r="I301" i="13"/>
  <c r="K301" i="13" s="1"/>
  <c r="J300" i="13"/>
  <c r="I300" i="13"/>
  <c r="K300" i="13" s="1"/>
  <c r="J299" i="13"/>
  <c r="I299" i="13"/>
  <c r="K299" i="13" s="1"/>
  <c r="J298" i="13"/>
  <c r="I298" i="13"/>
  <c r="K298" i="13" s="1"/>
  <c r="L298" i="13" s="1"/>
  <c r="J297" i="13"/>
  <c r="I297" i="13"/>
  <c r="K297" i="13" s="1"/>
  <c r="J296" i="13"/>
  <c r="I296" i="13"/>
  <c r="K296" i="13" s="1"/>
  <c r="J295" i="13"/>
  <c r="I295" i="13"/>
  <c r="K295" i="13" s="1"/>
  <c r="J294" i="13"/>
  <c r="I294" i="13"/>
  <c r="K294" i="13" s="1"/>
  <c r="L294" i="13" s="1"/>
  <c r="J293" i="13"/>
  <c r="I293" i="13"/>
  <c r="K293" i="13" s="1"/>
  <c r="J292" i="13"/>
  <c r="I292" i="13"/>
  <c r="K292" i="13" s="1"/>
  <c r="J291" i="13"/>
  <c r="I291" i="13"/>
  <c r="K291" i="13" s="1"/>
  <c r="J290" i="13"/>
  <c r="I290" i="13"/>
  <c r="K290" i="13" s="1"/>
  <c r="J289" i="13"/>
  <c r="I289" i="13"/>
  <c r="K289" i="13" s="1"/>
  <c r="J288" i="13"/>
  <c r="I288" i="13"/>
  <c r="K288" i="13" s="1"/>
  <c r="J287" i="13"/>
  <c r="I287" i="13"/>
  <c r="K287" i="13" s="1"/>
  <c r="J286" i="13"/>
  <c r="I286" i="13"/>
  <c r="K286" i="13" s="1"/>
  <c r="J285" i="13"/>
  <c r="I285" i="13"/>
  <c r="K285" i="13" s="1"/>
  <c r="J284" i="13"/>
  <c r="I284" i="13"/>
  <c r="K284" i="13" s="1"/>
  <c r="J283" i="13"/>
  <c r="I283" i="13"/>
  <c r="K283" i="13" s="1"/>
  <c r="J282" i="13"/>
  <c r="I282" i="13"/>
  <c r="K282" i="13" s="1"/>
  <c r="J281" i="13"/>
  <c r="I281" i="13"/>
  <c r="K281" i="13" s="1"/>
  <c r="J280" i="13"/>
  <c r="I280" i="13"/>
  <c r="K280" i="13" s="1"/>
  <c r="J279" i="13"/>
  <c r="I279" i="13"/>
  <c r="K279" i="13" s="1"/>
  <c r="J278" i="13"/>
  <c r="I278" i="13"/>
  <c r="K278" i="13" s="1"/>
  <c r="J277" i="13"/>
  <c r="I277" i="13"/>
  <c r="K277" i="13" s="1"/>
  <c r="J276" i="13"/>
  <c r="I276" i="13"/>
  <c r="K276" i="13" s="1"/>
  <c r="J275" i="13"/>
  <c r="I275" i="13"/>
  <c r="K275" i="13" s="1"/>
  <c r="J274" i="13"/>
  <c r="I274" i="13"/>
  <c r="K274" i="13" s="1"/>
  <c r="J273" i="13"/>
  <c r="I273" i="13"/>
  <c r="K273" i="13" s="1"/>
  <c r="J272" i="13"/>
  <c r="I272" i="13"/>
  <c r="K272" i="13" s="1"/>
  <c r="J271" i="13"/>
  <c r="I271" i="13"/>
  <c r="K271" i="13" s="1"/>
  <c r="J270" i="13"/>
  <c r="I270" i="13"/>
  <c r="K270" i="13" s="1"/>
  <c r="J269" i="13"/>
  <c r="I269" i="13"/>
  <c r="K269" i="13" s="1"/>
  <c r="J268" i="13"/>
  <c r="I268" i="13"/>
  <c r="K268" i="13" s="1"/>
  <c r="J267" i="13"/>
  <c r="I267" i="13"/>
  <c r="K267" i="13" s="1"/>
  <c r="J266" i="13"/>
  <c r="I266" i="13"/>
  <c r="K266" i="13" s="1"/>
  <c r="J265" i="13"/>
  <c r="I265" i="13"/>
  <c r="K265" i="13" s="1"/>
  <c r="J264" i="13"/>
  <c r="I264" i="13"/>
  <c r="K264" i="13" s="1"/>
  <c r="J263" i="13"/>
  <c r="I263" i="13"/>
  <c r="K263" i="13" s="1"/>
  <c r="J262" i="13"/>
  <c r="I262" i="13"/>
  <c r="K262" i="13" s="1"/>
  <c r="J261" i="13"/>
  <c r="I261" i="13"/>
  <c r="K261" i="13" s="1"/>
  <c r="J260" i="13"/>
  <c r="I260" i="13"/>
  <c r="K260" i="13" s="1"/>
  <c r="J259" i="13"/>
  <c r="I259" i="13"/>
  <c r="K259" i="13" s="1"/>
  <c r="J258" i="13"/>
  <c r="I258" i="13"/>
  <c r="K258" i="13" s="1"/>
  <c r="J257" i="13"/>
  <c r="I257" i="13"/>
  <c r="K257" i="13" s="1"/>
  <c r="J256" i="13"/>
  <c r="I256" i="13"/>
  <c r="K256" i="13" s="1"/>
  <c r="J255" i="13"/>
  <c r="I255" i="13"/>
  <c r="K255" i="13" s="1"/>
  <c r="J254" i="13"/>
  <c r="I254" i="13"/>
  <c r="K254" i="13" s="1"/>
  <c r="J253" i="13"/>
  <c r="I253" i="13"/>
  <c r="K253" i="13" s="1"/>
  <c r="J252" i="13"/>
  <c r="I252" i="13"/>
  <c r="K252" i="13" s="1"/>
  <c r="J251" i="13"/>
  <c r="I251" i="13"/>
  <c r="K251" i="13" s="1"/>
  <c r="J250" i="13"/>
  <c r="I250" i="13"/>
  <c r="K250" i="13" s="1"/>
  <c r="J249" i="13"/>
  <c r="I249" i="13"/>
  <c r="K249" i="13" s="1"/>
  <c r="J248" i="13"/>
  <c r="I248" i="13"/>
  <c r="K248" i="13" s="1"/>
  <c r="J247" i="13"/>
  <c r="I247" i="13"/>
  <c r="K247" i="13" s="1"/>
  <c r="J246" i="13"/>
  <c r="I246" i="13"/>
  <c r="K246" i="13" s="1"/>
  <c r="J245" i="13"/>
  <c r="I245" i="13"/>
  <c r="K245" i="13" s="1"/>
  <c r="J244" i="13"/>
  <c r="I244" i="13"/>
  <c r="K244" i="13" s="1"/>
  <c r="J243" i="13"/>
  <c r="I243" i="13"/>
  <c r="K243" i="13" s="1"/>
  <c r="J242" i="13"/>
  <c r="I242" i="13"/>
  <c r="K242" i="13" s="1"/>
  <c r="J241" i="13"/>
  <c r="I241" i="13"/>
  <c r="K241" i="13" s="1"/>
  <c r="J240" i="13"/>
  <c r="I240" i="13"/>
  <c r="K240" i="13" s="1"/>
  <c r="J239" i="13"/>
  <c r="I239" i="13"/>
  <c r="K239" i="13" s="1"/>
  <c r="J238" i="13"/>
  <c r="I238" i="13"/>
  <c r="K238" i="13" s="1"/>
  <c r="L238" i="13" s="1"/>
  <c r="J237" i="13"/>
  <c r="I237" i="13"/>
  <c r="K237" i="13" s="1"/>
  <c r="J236" i="13"/>
  <c r="I236" i="13"/>
  <c r="K236" i="13" s="1"/>
  <c r="J235" i="13"/>
  <c r="I235" i="13"/>
  <c r="K235" i="13" s="1"/>
  <c r="J234" i="13"/>
  <c r="I234" i="13"/>
  <c r="K234" i="13" s="1"/>
  <c r="J233" i="13"/>
  <c r="I233" i="13"/>
  <c r="K233" i="13" s="1"/>
  <c r="J232" i="13"/>
  <c r="I232" i="13"/>
  <c r="K232" i="13" s="1"/>
  <c r="J231" i="13"/>
  <c r="I231" i="13"/>
  <c r="K231" i="13" s="1"/>
  <c r="J230" i="13"/>
  <c r="I230" i="13"/>
  <c r="K230" i="13" s="1"/>
  <c r="J229" i="13"/>
  <c r="I229" i="13"/>
  <c r="K229" i="13" s="1"/>
  <c r="J228" i="13"/>
  <c r="I228" i="13"/>
  <c r="K228" i="13" s="1"/>
  <c r="J227" i="13"/>
  <c r="I227" i="13"/>
  <c r="K227" i="13" s="1"/>
  <c r="J226" i="13"/>
  <c r="I226" i="13"/>
  <c r="K226" i="13" s="1"/>
  <c r="L226" i="13" s="1"/>
  <c r="J225" i="13"/>
  <c r="I225" i="13"/>
  <c r="K225" i="13" s="1"/>
  <c r="J224" i="13"/>
  <c r="I224" i="13"/>
  <c r="K224" i="13" s="1"/>
  <c r="J223" i="13"/>
  <c r="I223" i="13"/>
  <c r="K223" i="13" s="1"/>
  <c r="J222" i="13"/>
  <c r="I222" i="13"/>
  <c r="K222" i="13" s="1"/>
  <c r="L222" i="13" s="1"/>
  <c r="J221" i="13"/>
  <c r="I221" i="13"/>
  <c r="K221" i="13" s="1"/>
  <c r="J220" i="13"/>
  <c r="I220" i="13"/>
  <c r="K220" i="13" s="1"/>
  <c r="J219" i="13"/>
  <c r="I219" i="13"/>
  <c r="K219" i="13" s="1"/>
  <c r="J218" i="13"/>
  <c r="I218" i="13"/>
  <c r="K218" i="13" s="1"/>
  <c r="J217" i="13"/>
  <c r="I217" i="13"/>
  <c r="K217" i="13" s="1"/>
  <c r="J216" i="13"/>
  <c r="I216" i="13"/>
  <c r="K216" i="13" s="1"/>
  <c r="J215" i="13"/>
  <c r="I215" i="13"/>
  <c r="K215" i="13" s="1"/>
  <c r="J214" i="13"/>
  <c r="I214" i="13"/>
  <c r="K214" i="13" s="1"/>
  <c r="J213" i="13"/>
  <c r="I213" i="13"/>
  <c r="K213" i="13" s="1"/>
  <c r="J212" i="13"/>
  <c r="I212" i="13"/>
  <c r="K212" i="13" s="1"/>
  <c r="J211" i="13"/>
  <c r="I211" i="13"/>
  <c r="K211" i="13" s="1"/>
  <c r="J210" i="13"/>
  <c r="I210" i="13"/>
  <c r="K210" i="13" s="1"/>
  <c r="J209" i="13"/>
  <c r="I209" i="13"/>
  <c r="K209" i="13" s="1"/>
  <c r="J208" i="13"/>
  <c r="I208" i="13"/>
  <c r="K208" i="13" s="1"/>
  <c r="J207" i="13"/>
  <c r="I207" i="13"/>
  <c r="K207" i="13" s="1"/>
  <c r="J206" i="13"/>
  <c r="I206" i="13"/>
  <c r="K206" i="13" s="1"/>
  <c r="L206" i="13" s="1"/>
  <c r="J205" i="13"/>
  <c r="I205" i="13"/>
  <c r="K205" i="13" s="1"/>
  <c r="J204" i="13"/>
  <c r="I204" i="13"/>
  <c r="K204" i="13" s="1"/>
  <c r="J203" i="13"/>
  <c r="I203" i="13"/>
  <c r="K203" i="13" s="1"/>
  <c r="J202" i="13"/>
  <c r="I202" i="13"/>
  <c r="K202" i="13" s="1"/>
  <c r="L202" i="13" s="1"/>
  <c r="J201" i="13"/>
  <c r="I201" i="13"/>
  <c r="K201" i="13" s="1"/>
  <c r="J200" i="13"/>
  <c r="I200" i="13"/>
  <c r="K200" i="13" s="1"/>
  <c r="J199" i="13"/>
  <c r="I199" i="13"/>
  <c r="K199" i="13" s="1"/>
  <c r="J198" i="13"/>
  <c r="I198" i="13"/>
  <c r="K198" i="13" s="1"/>
  <c r="J197" i="13"/>
  <c r="I197" i="13"/>
  <c r="K197" i="13" s="1"/>
  <c r="J196" i="13"/>
  <c r="I196" i="13"/>
  <c r="K196" i="13" s="1"/>
  <c r="J195" i="13"/>
  <c r="I195" i="13"/>
  <c r="K195" i="13" s="1"/>
  <c r="J194" i="13"/>
  <c r="I194" i="13"/>
  <c r="K194" i="13" s="1"/>
  <c r="L194" i="13" s="1"/>
  <c r="J193" i="13"/>
  <c r="I193" i="13"/>
  <c r="K193" i="13" s="1"/>
  <c r="J192" i="13"/>
  <c r="I192" i="13"/>
  <c r="K192" i="13" s="1"/>
  <c r="J191" i="13"/>
  <c r="I191" i="13"/>
  <c r="K191" i="13" s="1"/>
  <c r="J190" i="13"/>
  <c r="I190" i="13"/>
  <c r="K190" i="13" s="1"/>
  <c r="J189" i="13"/>
  <c r="I189" i="13"/>
  <c r="K189" i="13" s="1"/>
  <c r="J188" i="13"/>
  <c r="I188" i="13"/>
  <c r="K188" i="13" s="1"/>
  <c r="J187" i="13"/>
  <c r="I187" i="13"/>
  <c r="K187" i="13" s="1"/>
  <c r="L187" i="13" s="1"/>
  <c r="J186" i="13"/>
  <c r="I186" i="13"/>
  <c r="K186" i="13" s="1"/>
  <c r="L186" i="13" s="1"/>
  <c r="J185" i="13"/>
  <c r="I185" i="13"/>
  <c r="K185" i="13" s="1"/>
  <c r="J184" i="13"/>
  <c r="I184" i="13"/>
  <c r="K184" i="13" s="1"/>
  <c r="J183" i="13"/>
  <c r="I183" i="13"/>
  <c r="K183" i="13" s="1"/>
  <c r="J182" i="13"/>
  <c r="I182" i="13"/>
  <c r="K182" i="13" s="1"/>
  <c r="J181" i="13"/>
  <c r="I181" i="13"/>
  <c r="K181" i="13" s="1"/>
  <c r="J180" i="13"/>
  <c r="I180" i="13"/>
  <c r="K180" i="13" s="1"/>
  <c r="J179" i="13"/>
  <c r="I179" i="13"/>
  <c r="K179" i="13" s="1"/>
  <c r="J178" i="13"/>
  <c r="I178" i="13"/>
  <c r="K178" i="13" s="1"/>
  <c r="J177" i="13"/>
  <c r="I177" i="13"/>
  <c r="K177" i="13" s="1"/>
  <c r="J176" i="13"/>
  <c r="I176" i="13"/>
  <c r="K176" i="13" s="1"/>
  <c r="J175" i="13"/>
  <c r="I175" i="13"/>
  <c r="K175" i="13" s="1"/>
  <c r="J174" i="13"/>
  <c r="I174" i="13"/>
  <c r="K174" i="13" s="1"/>
  <c r="J173" i="13"/>
  <c r="I173" i="13"/>
  <c r="K173" i="13" s="1"/>
  <c r="J172" i="13"/>
  <c r="I172" i="13"/>
  <c r="K172" i="13" s="1"/>
  <c r="J171" i="13"/>
  <c r="I171" i="13"/>
  <c r="K171" i="13" s="1"/>
  <c r="J170" i="13"/>
  <c r="I170" i="13"/>
  <c r="K170" i="13" s="1"/>
  <c r="J169" i="13"/>
  <c r="I169" i="13"/>
  <c r="K169" i="13" s="1"/>
  <c r="J168" i="13"/>
  <c r="I168" i="13"/>
  <c r="K168" i="13" s="1"/>
  <c r="L168" i="13" s="1"/>
  <c r="J167" i="13"/>
  <c r="I167" i="13"/>
  <c r="K167" i="13" s="1"/>
  <c r="J166" i="13"/>
  <c r="I166" i="13"/>
  <c r="K166" i="13" s="1"/>
  <c r="J165" i="13"/>
  <c r="I165" i="13"/>
  <c r="K165" i="13" s="1"/>
  <c r="J164" i="13"/>
  <c r="I164" i="13"/>
  <c r="K164" i="13" s="1"/>
  <c r="J163" i="13"/>
  <c r="I163" i="13"/>
  <c r="K163" i="13" s="1"/>
  <c r="J162" i="13"/>
  <c r="I162" i="13"/>
  <c r="K162" i="13" s="1"/>
  <c r="J161" i="13"/>
  <c r="I161" i="13"/>
  <c r="K161" i="13" s="1"/>
  <c r="J160" i="13"/>
  <c r="I160" i="13"/>
  <c r="K160" i="13" s="1"/>
  <c r="L160" i="13" s="1"/>
  <c r="J159" i="13"/>
  <c r="I159" i="13"/>
  <c r="K159" i="13" s="1"/>
  <c r="J158" i="13"/>
  <c r="I158" i="13"/>
  <c r="K158" i="13" s="1"/>
  <c r="J157" i="13"/>
  <c r="I157" i="13"/>
  <c r="K157" i="13" s="1"/>
  <c r="J156" i="13"/>
  <c r="I156" i="13"/>
  <c r="K156" i="13" s="1"/>
  <c r="L156" i="13" s="1"/>
  <c r="J155" i="13"/>
  <c r="I155" i="13"/>
  <c r="K155" i="13" s="1"/>
  <c r="J154" i="13"/>
  <c r="I154" i="13"/>
  <c r="K154" i="13" s="1"/>
  <c r="J153" i="13"/>
  <c r="I153" i="13"/>
  <c r="K153" i="13" s="1"/>
  <c r="J152" i="13"/>
  <c r="I152" i="13"/>
  <c r="K152" i="13" s="1"/>
  <c r="L152" i="13" s="1"/>
  <c r="J151" i="13"/>
  <c r="I151" i="13"/>
  <c r="K151" i="13" s="1"/>
  <c r="J150" i="13"/>
  <c r="I150" i="13"/>
  <c r="K150" i="13" s="1"/>
  <c r="J149" i="13"/>
  <c r="I149" i="13"/>
  <c r="K149" i="13" s="1"/>
  <c r="J148" i="13"/>
  <c r="I148" i="13"/>
  <c r="K148" i="13" s="1"/>
  <c r="L148" i="13" s="1"/>
  <c r="J147" i="13"/>
  <c r="I147" i="13"/>
  <c r="K147" i="13" s="1"/>
  <c r="J146" i="13"/>
  <c r="I146" i="13"/>
  <c r="K146" i="13" s="1"/>
  <c r="J145" i="13"/>
  <c r="I145" i="13"/>
  <c r="K145" i="13" s="1"/>
  <c r="J144" i="13"/>
  <c r="I144" i="13"/>
  <c r="K144" i="13" s="1"/>
  <c r="L144" i="13" s="1"/>
  <c r="J143" i="13"/>
  <c r="I143" i="13"/>
  <c r="K143" i="13" s="1"/>
  <c r="J142" i="13"/>
  <c r="I142" i="13"/>
  <c r="K142" i="13" s="1"/>
  <c r="J141" i="13"/>
  <c r="I141" i="13"/>
  <c r="K141" i="13" s="1"/>
  <c r="J140" i="13"/>
  <c r="I140" i="13"/>
  <c r="K140" i="13" s="1"/>
  <c r="L140" i="13" s="1"/>
  <c r="J139" i="13"/>
  <c r="I139" i="13"/>
  <c r="K139" i="13" s="1"/>
  <c r="J138" i="13"/>
  <c r="I138" i="13"/>
  <c r="K138" i="13" s="1"/>
  <c r="J137" i="13"/>
  <c r="I137" i="13"/>
  <c r="K137" i="13" s="1"/>
  <c r="J136" i="13"/>
  <c r="I136" i="13"/>
  <c r="K136" i="13" s="1"/>
  <c r="L136" i="13" s="1"/>
  <c r="J135" i="13"/>
  <c r="I135" i="13"/>
  <c r="K135" i="13" s="1"/>
  <c r="J134" i="13"/>
  <c r="I134" i="13"/>
  <c r="K134" i="13" s="1"/>
  <c r="J133" i="13"/>
  <c r="I133" i="13"/>
  <c r="K133" i="13" s="1"/>
  <c r="J132" i="13"/>
  <c r="I132" i="13"/>
  <c r="K132" i="13" s="1"/>
  <c r="L132" i="13" s="1"/>
  <c r="J131" i="13"/>
  <c r="I131" i="13"/>
  <c r="K131" i="13" s="1"/>
  <c r="J130" i="13"/>
  <c r="I130" i="13"/>
  <c r="K130" i="13" s="1"/>
  <c r="J129" i="13"/>
  <c r="I129" i="13"/>
  <c r="K129" i="13" s="1"/>
  <c r="J128" i="13"/>
  <c r="I128" i="13"/>
  <c r="K128" i="13" s="1"/>
  <c r="L128" i="13" s="1"/>
  <c r="J127" i="13"/>
  <c r="I127" i="13"/>
  <c r="K127" i="13" s="1"/>
  <c r="J126" i="13"/>
  <c r="I126" i="13"/>
  <c r="K126" i="13" s="1"/>
  <c r="J125" i="13"/>
  <c r="I125" i="13"/>
  <c r="K125" i="13" s="1"/>
  <c r="J124" i="13"/>
  <c r="I124" i="13"/>
  <c r="K124" i="13" s="1"/>
  <c r="J123" i="13"/>
  <c r="I123" i="13"/>
  <c r="K123" i="13" s="1"/>
  <c r="J122" i="13"/>
  <c r="I122" i="13"/>
  <c r="K122" i="13" s="1"/>
  <c r="J121" i="13"/>
  <c r="I121" i="13"/>
  <c r="K121" i="13" s="1"/>
  <c r="J120" i="13"/>
  <c r="I120" i="13"/>
  <c r="K120" i="13" s="1"/>
  <c r="L120" i="13" s="1"/>
  <c r="J119" i="13"/>
  <c r="I119" i="13"/>
  <c r="K119" i="13" s="1"/>
  <c r="J118" i="13"/>
  <c r="I118" i="13"/>
  <c r="K118" i="13" s="1"/>
  <c r="J117" i="13"/>
  <c r="I117" i="13"/>
  <c r="K117" i="13" s="1"/>
  <c r="J116" i="13"/>
  <c r="I116" i="13"/>
  <c r="K116" i="13" s="1"/>
  <c r="J115" i="13"/>
  <c r="I115" i="13"/>
  <c r="K115" i="13" s="1"/>
  <c r="J114" i="13"/>
  <c r="I114" i="13"/>
  <c r="K114" i="13" s="1"/>
  <c r="J113" i="13"/>
  <c r="I113" i="13"/>
  <c r="K113" i="13" s="1"/>
  <c r="J112" i="13"/>
  <c r="I112" i="13"/>
  <c r="K112" i="13" s="1"/>
  <c r="J111" i="13"/>
  <c r="I111" i="13"/>
  <c r="K111" i="13" s="1"/>
  <c r="J110" i="13"/>
  <c r="I110" i="13"/>
  <c r="K110" i="13" s="1"/>
  <c r="J109" i="13"/>
  <c r="I109" i="13"/>
  <c r="K109" i="13" s="1"/>
  <c r="J108" i="13"/>
  <c r="I108" i="13"/>
  <c r="K108" i="13" s="1"/>
  <c r="J107" i="13"/>
  <c r="I107" i="13"/>
  <c r="K107" i="13" s="1"/>
  <c r="J106" i="13"/>
  <c r="I106" i="13"/>
  <c r="K106" i="13" s="1"/>
  <c r="J105" i="13"/>
  <c r="I105" i="13"/>
  <c r="K105" i="13" s="1"/>
  <c r="J104" i="13"/>
  <c r="I104" i="13"/>
  <c r="K104" i="13" s="1"/>
  <c r="J103" i="13"/>
  <c r="I103" i="13"/>
  <c r="K103" i="13" s="1"/>
  <c r="J102" i="13"/>
  <c r="I102" i="13"/>
  <c r="K102" i="13" s="1"/>
  <c r="J101" i="13"/>
  <c r="I101" i="13"/>
  <c r="K101" i="13" s="1"/>
  <c r="J100" i="13"/>
  <c r="I100" i="13"/>
  <c r="K100" i="13" s="1"/>
  <c r="L100" i="13" s="1"/>
  <c r="J99" i="13"/>
  <c r="I99" i="13"/>
  <c r="K99" i="13" s="1"/>
  <c r="J98" i="13"/>
  <c r="I98" i="13"/>
  <c r="K98" i="13" s="1"/>
  <c r="J97" i="13"/>
  <c r="I97" i="13"/>
  <c r="K97" i="13" s="1"/>
  <c r="J96" i="13"/>
  <c r="I96" i="13"/>
  <c r="K96" i="13" s="1"/>
  <c r="J95" i="13"/>
  <c r="I95" i="13"/>
  <c r="K95" i="13" s="1"/>
  <c r="J94" i="13"/>
  <c r="I94" i="13"/>
  <c r="K94" i="13" s="1"/>
  <c r="J93" i="13"/>
  <c r="I93" i="13"/>
  <c r="K93" i="13" s="1"/>
  <c r="J92" i="13"/>
  <c r="I92" i="13"/>
  <c r="K92" i="13" s="1"/>
  <c r="J91" i="13"/>
  <c r="I91" i="13"/>
  <c r="K91" i="13" s="1"/>
  <c r="J90" i="13"/>
  <c r="I90" i="13"/>
  <c r="K90" i="13" s="1"/>
  <c r="J89" i="13"/>
  <c r="I89" i="13"/>
  <c r="K89" i="13" s="1"/>
  <c r="J88" i="13"/>
  <c r="I88" i="13"/>
  <c r="K88" i="13" s="1"/>
  <c r="J87" i="13"/>
  <c r="I87" i="13"/>
  <c r="K87" i="13" s="1"/>
  <c r="J86" i="13"/>
  <c r="I86" i="13"/>
  <c r="K86" i="13" s="1"/>
  <c r="J85" i="13"/>
  <c r="I85" i="13"/>
  <c r="K85" i="13" s="1"/>
  <c r="J84" i="13"/>
  <c r="I84" i="13"/>
  <c r="K84" i="13" s="1"/>
  <c r="J83" i="13"/>
  <c r="I83" i="13"/>
  <c r="K83" i="13" s="1"/>
  <c r="J82" i="13"/>
  <c r="I82" i="13"/>
  <c r="K82" i="13" s="1"/>
  <c r="J81" i="13"/>
  <c r="I81" i="13"/>
  <c r="K81" i="13" s="1"/>
  <c r="J80" i="13"/>
  <c r="I80" i="13"/>
  <c r="K80" i="13" s="1"/>
  <c r="J79" i="13"/>
  <c r="I79" i="13"/>
  <c r="K79" i="13" s="1"/>
  <c r="J78" i="13"/>
  <c r="I78" i="13"/>
  <c r="K78" i="13" s="1"/>
  <c r="J77" i="13"/>
  <c r="I77" i="13"/>
  <c r="K77" i="13" s="1"/>
  <c r="J76" i="13"/>
  <c r="I76" i="13"/>
  <c r="K76" i="13" s="1"/>
  <c r="J75" i="13"/>
  <c r="I75" i="13"/>
  <c r="K75" i="13" s="1"/>
  <c r="J74" i="13"/>
  <c r="I74" i="13"/>
  <c r="K74" i="13" s="1"/>
  <c r="J73" i="13"/>
  <c r="I73" i="13"/>
  <c r="K73" i="13" s="1"/>
  <c r="J72" i="13"/>
  <c r="I72" i="13"/>
  <c r="K72" i="13" s="1"/>
  <c r="J71" i="13"/>
  <c r="I71" i="13"/>
  <c r="K71" i="13" s="1"/>
  <c r="J70" i="13"/>
  <c r="I70" i="13"/>
  <c r="K70" i="13" s="1"/>
  <c r="J69" i="13"/>
  <c r="I69" i="13"/>
  <c r="K69" i="13" s="1"/>
  <c r="J68" i="13"/>
  <c r="I68" i="13"/>
  <c r="K68" i="13" s="1"/>
  <c r="J67" i="13"/>
  <c r="I67" i="13"/>
  <c r="K67" i="13" s="1"/>
  <c r="J66" i="13"/>
  <c r="I66" i="13"/>
  <c r="K66" i="13" s="1"/>
  <c r="J65" i="13"/>
  <c r="I65" i="13"/>
  <c r="K65" i="13" s="1"/>
  <c r="J64" i="13"/>
  <c r="I64" i="13"/>
  <c r="K64" i="13" s="1"/>
  <c r="L64" i="13" s="1"/>
  <c r="J63" i="13"/>
  <c r="I63" i="13"/>
  <c r="K63" i="13" s="1"/>
  <c r="J62" i="13"/>
  <c r="I62" i="13"/>
  <c r="K62" i="13" s="1"/>
  <c r="J61" i="13"/>
  <c r="I61" i="13"/>
  <c r="K61" i="13" s="1"/>
  <c r="J60" i="13"/>
  <c r="I60" i="13"/>
  <c r="K60" i="13" s="1"/>
  <c r="J59" i="13"/>
  <c r="I59" i="13"/>
  <c r="K59" i="13" s="1"/>
  <c r="J58" i="13"/>
  <c r="I58" i="13"/>
  <c r="K58" i="13" s="1"/>
  <c r="J57" i="13"/>
  <c r="I57" i="13"/>
  <c r="K57" i="13" s="1"/>
  <c r="J56" i="13"/>
  <c r="I56" i="13"/>
  <c r="K56" i="13" s="1"/>
  <c r="J55" i="13"/>
  <c r="I55" i="13"/>
  <c r="K55" i="13" s="1"/>
  <c r="J54" i="13"/>
  <c r="I54" i="13"/>
  <c r="K54" i="13" s="1"/>
  <c r="J53" i="13"/>
  <c r="I53" i="13"/>
  <c r="K53" i="13" s="1"/>
  <c r="J52" i="13"/>
  <c r="I52" i="13"/>
  <c r="K52" i="13" s="1"/>
  <c r="L52" i="13" s="1"/>
  <c r="J51" i="13"/>
  <c r="I51" i="13"/>
  <c r="K51" i="13" s="1"/>
  <c r="J50" i="13"/>
  <c r="I50" i="13"/>
  <c r="K50" i="13" s="1"/>
  <c r="J49" i="13"/>
  <c r="I49" i="13"/>
  <c r="K49" i="13" s="1"/>
  <c r="J48" i="13"/>
  <c r="I48" i="13"/>
  <c r="K48" i="13" s="1"/>
  <c r="L48" i="13" s="1"/>
  <c r="J47" i="13"/>
  <c r="I47" i="13"/>
  <c r="K47" i="13" s="1"/>
  <c r="J46" i="13"/>
  <c r="I46" i="13"/>
  <c r="K46" i="13" s="1"/>
  <c r="J45" i="13"/>
  <c r="I45" i="13"/>
  <c r="K45" i="13" s="1"/>
  <c r="J44" i="13"/>
  <c r="I44" i="13"/>
  <c r="K44" i="13" s="1"/>
  <c r="L44" i="13" s="1"/>
  <c r="J43" i="13"/>
  <c r="I43" i="13"/>
  <c r="K43" i="13" s="1"/>
  <c r="J42" i="13"/>
  <c r="I42" i="13"/>
  <c r="K42" i="13" s="1"/>
  <c r="J41" i="13"/>
  <c r="I41" i="13"/>
  <c r="K41" i="13" s="1"/>
  <c r="J40" i="13"/>
  <c r="I40" i="13"/>
  <c r="K40" i="13" s="1"/>
  <c r="L40" i="13" s="1"/>
  <c r="J39" i="13"/>
  <c r="I39" i="13"/>
  <c r="K39" i="13" s="1"/>
  <c r="J38" i="13"/>
  <c r="I38" i="13"/>
  <c r="K38" i="13" s="1"/>
  <c r="J37" i="13"/>
  <c r="I37" i="13"/>
  <c r="K37" i="13" s="1"/>
  <c r="J36" i="13"/>
  <c r="I36" i="13"/>
  <c r="K36" i="13" s="1"/>
  <c r="J35" i="13"/>
  <c r="I35" i="13"/>
  <c r="K35" i="13" s="1"/>
  <c r="J34" i="13"/>
  <c r="I34" i="13"/>
  <c r="K34" i="13" s="1"/>
  <c r="J33" i="13"/>
  <c r="I33" i="13"/>
  <c r="K33" i="13" s="1"/>
  <c r="J32" i="13"/>
  <c r="I32" i="13"/>
  <c r="K32" i="13" s="1"/>
  <c r="L32" i="13" s="1"/>
  <c r="J31" i="13"/>
  <c r="I31" i="13"/>
  <c r="K31" i="13" s="1"/>
  <c r="L31" i="13" s="1"/>
  <c r="J30" i="13"/>
  <c r="I30" i="13"/>
  <c r="K30" i="13" s="1"/>
  <c r="J29" i="13"/>
  <c r="I29" i="13"/>
  <c r="K29" i="13" s="1"/>
  <c r="J28" i="13"/>
  <c r="I28" i="13"/>
  <c r="K28" i="13" s="1"/>
  <c r="J27" i="13"/>
  <c r="I27" i="13"/>
  <c r="K27" i="13" s="1"/>
  <c r="L27" i="13" s="1"/>
  <c r="J26" i="13"/>
  <c r="I26" i="13"/>
  <c r="K26" i="13" s="1"/>
  <c r="J25" i="13"/>
  <c r="I25" i="13"/>
  <c r="K25" i="13" s="1"/>
  <c r="J24" i="13"/>
  <c r="I24" i="13"/>
  <c r="K24" i="13" s="1"/>
  <c r="L24" i="13" s="1"/>
  <c r="J23" i="13"/>
  <c r="I23" i="13"/>
  <c r="K23" i="13" s="1"/>
  <c r="L23" i="13" s="1"/>
  <c r="J22" i="13"/>
  <c r="I22" i="13"/>
  <c r="K22" i="13" s="1"/>
  <c r="J21" i="13"/>
  <c r="I21" i="13"/>
  <c r="K21" i="13" s="1"/>
  <c r="J20" i="13"/>
  <c r="I20" i="13"/>
  <c r="K20" i="13" s="1"/>
  <c r="J19" i="13"/>
  <c r="I19" i="13"/>
  <c r="K19" i="13" s="1"/>
  <c r="L19" i="13" s="1"/>
  <c r="J18" i="13"/>
  <c r="I18" i="13"/>
  <c r="K18" i="13" s="1"/>
  <c r="J17" i="13"/>
  <c r="I17" i="13"/>
  <c r="K17" i="13" s="1"/>
  <c r="J16" i="13"/>
  <c r="I16" i="13"/>
  <c r="K16" i="13" s="1"/>
  <c r="L16" i="13" s="1"/>
  <c r="J15" i="13"/>
  <c r="I15" i="13"/>
  <c r="K15" i="13" s="1"/>
  <c r="J14" i="13"/>
  <c r="I14" i="13"/>
  <c r="K14" i="13" s="1"/>
  <c r="J13" i="13"/>
  <c r="I13" i="13"/>
  <c r="K13" i="13" s="1"/>
  <c r="J12" i="13"/>
  <c r="I12" i="13"/>
  <c r="K12" i="13" s="1"/>
  <c r="J11" i="13"/>
  <c r="I11" i="13"/>
  <c r="K11" i="13" s="1"/>
  <c r="J10" i="13"/>
  <c r="I10" i="13"/>
  <c r="K10" i="13" s="1"/>
  <c r="J9" i="13"/>
  <c r="I9" i="13"/>
  <c r="K9" i="13" s="1"/>
  <c r="J8" i="13"/>
  <c r="I8" i="13"/>
  <c r="K8" i="13" s="1"/>
  <c r="J7" i="13"/>
  <c r="I7" i="13"/>
  <c r="K7" i="13" s="1"/>
  <c r="J6" i="13"/>
  <c r="I6" i="13"/>
  <c r="K6" i="13" s="1"/>
  <c r="J5" i="13"/>
  <c r="I5" i="13"/>
  <c r="K5" i="13" s="1"/>
  <c r="J4" i="13"/>
  <c r="I4" i="13"/>
  <c r="K4" i="13" s="1"/>
  <c r="J3" i="13"/>
  <c r="I3" i="13"/>
  <c r="K3" i="13" s="1"/>
  <c r="J2" i="13"/>
  <c r="I2" i="13"/>
  <c r="K2" i="13" s="1"/>
  <c r="J313" i="12"/>
  <c r="I313" i="12"/>
  <c r="K313" i="12" s="1"/>
  <c r="J312" i="12"/>
  <c r="I312" i="12"/>
  <c r="K312" i="12" s="1"/>
  <c r="J311" i="12"/>
  <c r="I311" i="12"/>
  <c r="K311" i="12" s="1"/>
  <c r="L311" i="12" s="1"/>
  <c r="V93" i="12" s="1"/>
  <c r="J310" i="12"/>
  <c r="I310" i="12"/>
  <c r="K310" i="12" s="1"/>
  <c r="J309" i="12"/>
  <c r="I309" i="12"/>
  <c r="K309" i="12" s="1"/>
  <c r="J308" i="12"/>
  <c r="I308" i="12"/>
  <c r="K308" i="12" s="1"/>
  <c r="J307" i="12"/>
  <c r="I307" i="12"/>
  <c r="K307" i="12" s="1"/>
  <c r="L307" i="12" s="1"/>
  <c r="V89" i="12" s="1"/>
  <c r="J306" i="12"/>
  <c r="I306" i="12"/>
  <c r="K306" i="12" s="1"/>
  <c r="J305" i="12"/>
  <c r="I305" i="12"/>
  <c r="K305" i="12" s="1"/>
  <c r="J304" i="12"/>
  <c r="I304" i="12"/>
  <c r="K304" i="12" s="1"/>
  <c r="J303" i="12"/>
  <c r="I303" i="12"/>
  <c r="K303" i="12" s="1"/>
  <c r="L303" i="12" s="1"/>
  <c r="V85" i="12" s="1"/>
  <c r="J302" i="12"/>
  <c r="I302" i="12"/>
  <c r="K302" i="12" s="1"/>
  <c r="J301" i="12"/>
  <c r="I301" i="12"/>
  <c r="K301" i="12" s="1"/>
  <c r="J300" i="12"/>
  <c r="I300" i="12"/>
  <c r="K300" i="12" s="1"/>
  <c r="J299" i="12"/>
  <c r="I299" i="12"/>
  <c r="K299" i="12" s="1"/>
  <c r="J298" i="12"/>
  <c r="I298" i="12"/>
  <c r="K298" i="12" s="1"/>
  <c r="J297" i="12"/>
  <c r="I297" i="12"/>
  <c r="K297" i="12" s="1"/>
  <c r="J296" i="12"/>
  <c r="I296" i="12"/>
  <c r="K296" i="12" s="1"/>
  <c r="J295" i="12"/>
  <c r="I295" i="12"/>
  <c r="K295" i="12" s="1"/>
  <c r="J294" i="12"/>
  <c r="I294" i="12"/>
  <c r="K294" i="12" s="1"/>
  <c r="J293" i="12"/>
  <c r="I293" i="12"/>
  <c r="K293" i="12" s="1"/>
  <c r="J292" i="12"/>
  <c r="I292" i="12"/>
  <c r="K292" i="12" s="1"/>
  <c r="J291" i="12"/>
  <c r="I291" i="12"/>
  <c r="K291" i="12" s="1"/>
  <c r="J290" i="12"/>
  <c r="I290" i="12"/>
  <c r="K290" i="12" s="1"/>
  <c r="J289" i="12"/>
  <c r="I289" i="12"/>
  <c r="K289" i="12" s="1"/>
  <c r="J288" i="12"/>
  <c r="I288" i="12"/>
  <c r="K288" i="12" s="1"/>
  <c r="J287" i="12"/>
  <c r="I287" i="12"/>
  <c r="K287" i="12" s="1"/>
  <c r="J286" i="12"/>
  <c r="I286" i="12"/>
  <c r="K286" i="12" s="1"/>
  <c r="J285" i="12"/>
  <c r="I285" i="12"/>
  <c r="K285" i="12" s="1"/>
  <c r="J284" i="12"/>
  <c r="I284" i="12"/>
  <c r="K284" i="12" s="1"/>
  <c r="J283" i="12"/>
  <c r="I283" i="12"/>
  <c r="K283" i="12" s="1"/>
  <c r="J282" i="12"/>
  <c r="I282" i="12"/>
  <c r="K282" i="12" s="1"/>
  <c r="J281" i="12"/>
  <c r="I281" i="12"/>
  <c r="K281" i="12" s="1"/>
  <c r="J280" i="12"/>
  <c r="I280" i="12"/>
  <c r="K280" i="12" s="1"/>
  <c r="J279" i="12"/>
  <c r="I279" i="12"/>
  <c r="K279" i="12" s="1"/>
  <c r="J278" i="12"/>
  <c r="I278" i="12"/>
  <c r="K278" i="12" s="1"/>
  <c r="J277" i="12"/>
  <c r="I277" i="12"/>
  <c r="K277" i="12" s="1"/>
  <c r="J276" i="12"/>
  <c r="I276" i="12"/>
  <c r="K276" i="12" s="1"/>
  <c r="L276" i="12" s="1"/>
  <c r="J275" i="12"/>
  <c r="I275" i="12"/>
  <c r="K275" i="12" s="1"/>
  <c r="L275" i="12" s="1"/>
  <c r="J274" i="12"/>
  <c r="I274" i="12"/>
  <c r="K274" i="12" s="1"/>
  <c r="J273" i="12"/>
  <c r="I273" i="12"/>
  <c r="K273" i="12" s="1"/>
  <c r="J272" i="12"/>
  <c r="I272" i="12"/>
  <c r="K272" i="12" s="1"/>
  <c r="L272" i="12" s="1"/>
  <c r="J271" i="12"/>
  <c r="I271" i="12"/>
  <c r="K271" i="12" s="1"/>
  <c r="L271" i="12" s="1"/>
  <c r="J270" i="12"/>
  <c r="I270" i="12"/>
  <c r="K270" i="12" s="1"/>
  <c r="J269" i="12"/>
  <c r="I269" i="12"/>
  <c r="K269" i="12" s="1"/>
  <c r="J268" i="12"/>
  <c r="I268" i="12"/>
  <c r="K268" i="12" s="1"/>
  <c r="L268" i="12" s="1"/>
  <c r="J267" i="12"/>
  <c r="I267" i="12"/>
  <c r="K267" i="12" s="1"/>
  <c r="J266" i="12"/>
  <c r="I266" i="12"/>
  <c r="K266" i="12" s="1"/>
  <c r="J265" i="12"/>
  <c r="I265" i="12"/>
  <c r="K265" i="12" s="1"/>
  <c r="J264" i="12"/>
  <c r="I264" i="12"/>
  <c r="K264" i="12" s="1"/>
  <c r="J263" i="12"/>
  <c r="I263" i="12"/>
  <c r="K263" i="12" s="1"/>
  <c r="L263" i="12" s="1"/>
  <c r="J262" i="12"/>
  <c r="I262" i="12"/>
  <c r="K262" i="12" s="1"/>
  <c r="J261" i="12"/>
  <c r="I261" i="12"/>
  <c r="K261" i="12" s="1"/>
  <c r="J260" i="12"/>
  <c r="I260" i="12"/>
  <c r="K260" i="12" s="1"/>
  <c r="L260" i="12" s="1"/>
  <c r="J259" i="12"/>
  <c r="I259" i="12"/>
  <c r="K259" i="12" s="1"/>
  <c r="L259" i="12" s="1"/>
  <c r="J258" i="12"/>
  <c r="I258" i="12"/>
  <c r="K258" i="12" s="1"/>
  <c r="J257" i="12"/>
  <c r="I257" i="12"/>
  <c r="K257" i="12" s="1"/>
  <c r="J256" i="12"/>
  <c r="I256" i="12"/>
  <c r="K256" i="12" s="1"/>
  <c r="L256" i="12" s="1"/>
  <c r="J255" i="12"/>
  <c r="I255" i="12"/>
  <c r="K255" i="12" s="1"/>
  <c r="L255" i="12" s="1"/>
  <c r="J254" i="12"/>
  <c r="I254" i="12"/>
  <c r="K254" i="12" s="1"/>
  <c r="J253" i="12"/>
  <c r="I253" i="12"/>
  <c r="K253" i="12" s="1"/>
  <c r="J252" i="12"/>
  <c r="I252" i="12"/>
  <c r="K252" i="12" s="1"/>
  <c r="L252" i="12" s="1"/>
  <c r="J251" i="12"/>
  <c r="I251" i="12"/>
  <c r="K251" i="12" s="1"/>
  <c r="J250" i="12"/>
  <c r="I250" i="12"/>
  <c r="K250" i="12" s="1"/>
  <c r="J249" i="12"/>
  <c r="I249" i="12"/>
  <c r="K249" i="12" s="1"/>
  <c r="J248" i="12"/>
  <c r="I248" i="12"/>
  <c r="K248" i="12" s="1"/>
  <c r="L248" i="12" s="1"/>
  <c r="J247" i="12"/>
  <c r="I247" i="12"/>
  <c r="K247" i="12" s="1"/>
  <c r="L247" i="12" s="1"/>
  <c r="J246" i="12"/>
  <c r="I246" i="12"/>
  <c r="K246" i="12" s="1"/>
  <c r="J245" i="12"/>
  <c r="I245" i="12"/>
  <c r="K245" i="12" s="1"/>
  <c r="J244" i="12"/>
  <c r="I244" i="12"/>
  <c r="K244" i="12" s="1"/>
  <c r="L244" i="12" s="1"/>
  <c r="J243" i="12"/>
  <c r="I243" i="12"/>
  <c r="K243" i="12" s="1"/>
  <c r="J242" i="12"/>
  <c r="I242" i="12"/>
  <c r="K242" i="12" s="1"/>
  <c r="J241" i="12"/>
  <c r="I241" i="12"/>
  <c r="K241" i="12" s="1"/>
  <c r="J240" i="12"/>
  <c r="I240" i="12"/>
  <c r="K240" i="12" s="1"/>
  <c r="L240" i="12" s="1"/>
  <c r="J239" i="12"/>
  <c r="I239" i="12"/>
  <c r="K239" i="12" s="1"/>
  <c r="J238" i="12"/>
  <c r="I238" i="12"/>
  <c r="K238" i="12" s="1"/>
  <c r="J237" i="12"/>
  <c r="I237" i="12"/>
  <c r="K237" i="12" s="1"/>
  <c r="J236" i="12"/>
  <c r="I236" i="12"/>
  <c r="K236" i="12" s="1"/>
  <c r="L236" i="12" s="1"/>
  <c r="J235" i="12"/>
  <c r="I235" i="12"/>
  <c r="K235" i="12" s="1"/>
  <c r="J234" i="12"/>
  <c r="I234" i="12"/>
  <c r="K234" i="12" s="1"/>
  <c r="J233" i="12"/>
  <c r="I233" i="12"/>
  <c r="K233" i="12" s="1"/>
  <c r="J232" i="12"/>
  <c r="I232" i="12"/>
  <c r="K232" i="12" s="1"/>
  <c r="J231" i="12"/>
  <c r="I231" i="12"/>
  <c r="K231" i="12" s="1"/>
  <c r="L231" i="12" s="1"/>
  <c r="J230" i="12"/>
  <c r="I230" i="12"/>
  <c r="K230" i="12" s="1"/>
  <c r="J229" i="12"/>
  <c r="I229" i="12"/>
  <c r="K229" i="12" s="1"/>
  <c r="J228" i="12"/>
  <c r="I228" i="12"/>
  <c r="K228" i="12" s="1"/>
  <c r="L228" i="12" s="1"/>
  <c r="J227" i="12"/>
  <c r="I227" i="12"/>
  <c r="K227" i="12" s="1"/>
  <c r="L227" i="12" s="1"/>
  <c r="J226" i="12"/>
  <c r="I226" i="12"/>
  <c r="K226" i="12" s="1"/>
  <c r="J225" i="12"/>
  <c r="I225" i="12"/>
  <c r="K225" i="12" s="1"/>
  <c r="J224" i="12"/>
  <c r="I224" i="12"/>
  <c r="K224" i="12" s="1"/>
  <c r="J223" i="12"/>
  <c r="I223" i="12"/>
  <c r="K223" i="12" s="1"/>
  <c r="L223" i="12" s="1"/>
  <c r="J222" i="12"/>
  <c r="I222" i="12"/>
  <c r="K222" i="12" s="1"/>
  <c r="J221" i="12"/>
  <c r="I221" i="12"/>
  <c r="K221" i="12" s="1"/>
  <c r="J220" i="12"/>
  <c r="I220" i="12"/>
  <c r="K220" i="12" s="1"/>
  <c r="L220" i="12" s="1"/>
  <c r="J219" i="12"/>
  <c r="I219" i="12"/>
  <c r="K219" i="12" s="1"/>
  <c r="J218" i="12"/>
  <c r="I218" i="12"/>
  <c r="K218" i="12" s="1"/>
  <c r="J217" i="12"/>
  <c r="I217" i="12"/>
  <c r="K217" i="12" s="1"/>
  <c r="J216" i="12"/>
  <c r="I216" i="12"/>
  <c r="K216" i="12" s="1"/>
  <c r="L216" i="12" s="1"/>
  <c r="J215" i="12"/>
  <c r="I215" i="12"/>
  <c r="K215" i="12" s="1"/>
  <c r="L215" i="12" s="1"/>
  <c r="J214" i="12"/>
  <c r="I214" i="12"/>
  <c r="K214" i="12" s="1"/>
  <c r="J213" i="12"/>
  <c r="I213" i="12"/>
  <c r="K213" i="12" s="1"/>
  <c r="J212" i="12"/>
  <c r="I212" i="12"/>
  <c r="K212" i="12" s="1"/>
  <c r="L212" i="12" s="1"/>
  <c r="J211" i="12"/>
  <c r="I211" i="12"/>
  <c r="K211" i="12" s="1"/>
  <c r="L211" i="12" s="1"/>
  <c r="J210" i="12"/>
  <c r="I210" i="12"/>
  <c r="K210" i="12" s="1"/>
  <c r="J209" i="12"/>
  <c r="I209" i="12"/>
  <c r="K209" i="12" s="1"/>
  <c r="J208" i="12"/>
  <c r="I208" i="12"/>
  <c r="K208" i="12" s="1"/>
  <c r="L208" i="12" s="1"/>
  <c r="J207" i="12"/>
  <c r="I207" i="12"/>
  <c r="K207" i="12" s="1"/>
  <c r="L207" i="12" s="1"/>
  <c r="J206" i="12"/>
  <c r="I206" i="12"/>
  <c r="K206" i="12" s="1"/>
  <c r="J205" i="12"/>
  <c r="I205" i="12"/>
  <c r="K205" i="12" s="1"/>
  <c r="J204" i="12"/>
  <c r="I204" i="12"/>
  <c r="K204" i="12" s="1"/>
  <c r="L204" i="12" s="1"/>
  <c r="J203" i="12"/>
  <c r="I203" i="12"/>
  <c r="K203" i="12" s="1"/>
  <c r="J202" i="12"/>
  <c r="I202" i="12"/>
  <c r="K202" i="12" s="1"/>
  <c r="J201" i="12"/>
  <c r="I201" i="12"/>
  <c r="K201" i="12" s="1"/>
  <c r="J200" i="12"/>
  <c r="I200" i="12"/>
  <c r="K200" i="12" s="1"/>
  <c r="L200" i="12" s="1"/>
  <c r="J199" i="12"/>
  <c r="I199" i="12"/>
  <c r="K199" i="12" s="1"/>
  <c r="L199" i="12" s="1"/>
  <c r="J198" i="12"/>
  <c r="I198" i="12"/>
  <c r="K198" i="12" s="1"/>
  <c r="J197" i="12"/>
  <c r="I197" i="12"/>
  <c r="K197" i="12" s="1"/>
  <c r="J196" i="12"/>
  <c r="I196" i="12"/>
  <c r="K196" i="12" s="1"/>
  <c r="L196" i="12" s="1"/>
  <c r="J195" i="12"/>
  <c r="I195" i="12"/>
  <c r="K195" i="12" s="1"/>
  <c r="J194" i="12"/>
  <c r="I194" i="12"/>
  <c r="K194" i="12" s="1"/>
  <c r="J193" i="12"/>
  <c r="I193" i="12"/>
  <c r="K193" i="12" s="1"/>
  <c r="J192" i="12"/>
  <c r="I192" i="12"/>
  <c r="K192" i="12" s="1"/>
  <c r="L192" i="12" s="1"/>
  <c r="J191" i="12"/>
  <c r="I191" i="12"/>
  <c r="K191" i="12" s="1"/>
  <c r="J190" i="12"/>
  <c r="I190" i="12"/>
  <c r="K190" i="12" s="1"/>
  <c r="J189" i="12"/>
  <c r="I189" i="12"/>
  <c r="K189" i="12" s="1"/>
  <c r="J188" i="12"/>
  <c r="I188" i="12"/>
  <c r="K188" i="12" s="1"/>
  <c r="L188" i="12" s="1"/>
  <c r="J187" i="12"/>
  <c r="I187" i="12"/>
  <c r="K187" i="12" s="1"/>
  <c r="J186" i="12"/>
  <c r="I186" i="12"/>
  <c r="K186" i="12" s="1"/>
  <c r="J185" i="12"/>
  <c r="I185" i="12"/>
  <c r="K185" i="12" s="1"/>
  <c r="J184" i="12"/>
  <c r="I184" i="12"/>
  <c r="K184" i="12" s="1"/>
  <c r="J183" i="12"/>
  <c r="I183" i="12"/>
  <c r="K183" i="12" s="1"/>
  <c r="L183" i="12" s="1"/>
  <c r="J182" i="12"/>
  <c r="I182" i="12"/>
  <c r="K182" i="12" s="1"/>
  <c r="J181" i="12"/>
  <c r="I181" i="12"/>
  <c r="K181" i="12" s="1"/>
  <c r="J180" i="12"/>
  <c r="I180" i="12"/>
  <c r="K180" i="12" s="1"/>
  <c r="J179" i="12"/>
  <c r="I179" i="12"/>
  <c r="K179" i="12" s="1"/>
  <c r="J178" i="12"/>
  <c r="I178" i="12"/>
  <c r="K178" i="12" s="1"/>
  <c r="L178" i="12" s="1"/>
  <c r="J177" i="12"/>
  <c r="I177" i="12"/>
  <c r="K177" i="12" s="1"/>
  <c r="J176" i="12"/>
  <c r="I176" i="12"/>
  <c r="K176" i="12" s="1"/>
  <c r="J175" i="12"/>
  <c r="I175" i="12"/>
  <c r="K175" i="12" s="1"/>
  <c r="J174" i="12"/>
  <c r="I174" i="12"/>
  <c r="K174" i="12" s="1"/>
  <c r="L174" i="12" s="1"/>
  <c r="J173" i="12"/>
  <c r="I173" i="12"/>
  <c r="K173" i="12" s="1"/>
  <c r="J172" i="12"/>
  <c r="I172" i="12"/>
  <c r="K172" i="12" s="1"/>
  <c r="J171" i="12"/>
  <c r="I171" i="12"/>
  <c r="K171" i="12" s="1"/>
  <c r="J170" i="12"/>
  <c r="I170" i="12"/>
  <c r="K170" i="12" s="1"/>
  <c r="J169" i="12"/>
  <c r="I169" i="12"/>
  <c r="K169" i="12" s="1"/>
  <c r="J168" i="12"/>
  <c r="I168" i="12"/>
  <c r="K168" i="12" s="1"/>
  <c r="J167" i="12"/>
  <c r="I167" i="12"/>
  <c r="K167" i="12" s="1"/>
  <c r="J166" i="12"/>
  <c r="I166" i="12"/>
  <c r="K166" i="12" s="1"/>
  <c r="J165" i="12"/>
  <c r="I165" i="12"/>
  <c r="K165" i="12" s="1"/>
  <c r="J164" i="12"/>
  <c r="I164" i="12"/>
  <c r="K164" i="12" s="1"/>
  <c r="J163" i="12"/>
  <c r="I163" i="12"/>
  <c r="K163" i="12" s="1"/>
  <c r="J162" i="12"/>
  <c r="I162" i="12"/>
  <c r="K162" i="12" s="1"/>
  <c r="J161" i="12"/>
  <c r="I161" i="12"/>
  <c r="K161" i="12" s="1"/>
  <c r="J160" i="12"/>
  <c r="I160" i="12"/>
  <c r="K160" i="12" s="1"/>
  <c r="L160" i="12" s="1"/>
  <c r="J159" i="12"/>
  <c r="I159" i="12"/>
  <c r="K159" i="12" s="1"/>
  <c r="J158" i="12"/>
  <c r="I158" i="12"/>
  <c r="K158" i="12" s="1"/>
  <c r="J157" i="12"/>
  <c r="I157" i="12"/>
  <c r="K157" i="12" s="1"/>
  <c r="J156" i="12"/>
  <c r="I156" i="12"/>
  <c r="K156" i="12" s="1"/>
  <c r="J155" i="12"/>
  <c r="I155" i="12"/>
  <c r="K155" i="12" s="1"/>
  <c r="J154" i="12"/>
  <c r="I154" i="12"/>
  <c r="K154" i="12" s="1"/>
  <c r="J153" i="12"/>
  <c r="I153" i="12"/>
  <c r="K153" i="12" s="1"/>
  <c r="J152" i="12"/>
  <c r="I152" i="12"/>
  <c r="K152" i="12" s="1"/>
  <c r="L152" i="12" s="1"/>
  <c r="J151" i="12"/>
  <c r="I151" i="12"/>
  <c r="K151" i="12" s="1"/>
  <c r="L151" i="12" s="1"/>
  <c r="J150" i="12"/>
  <c r="I150" i="12"/>
  <c r="K150" i="12" s="1"/>
  <c r="J149" i="12"/>
  <c r="I149" i="12"/>
  <c r="K149" i="12" s="1"/>
  <c r="J148" i="12"/>
  <c r="I148" i="12"/>
  <c r="K148" i="12" s="1"/>
  <c r="J147" i="12"/>
  <c r="I147" i="12"/>
  <c r="K147" i="12" s="1"/>
  <c r="L147" i="12" s="1"/>
  <c r="J146" i="12"/>
  <c r="I146" i="12"/>
  <c r="K146" i="12" s="1"/>
  <c r="J145" i="12"/>
  <c r="I145" i="12"/>
  <c r="K145" i="12" s="1"/>
  <c r="J144" i="12"/>
  <c r="I144" i="12"/>
  <c r="K144" i="12" s="1"/>
  <c r="L144" i="12" s="1"/>
  <c r="J143" i="12"/>
  <c r="I143" i="12"/>
  <c r="K143" i="12" s="1"/>
  <c r="L143" i="12" s="1"/>
  <c r="J142" i="12"/>
  <c r="I142" i="12"/>
  <c r="K142" i="12" s="1"/>
  <c r="J141" i="12"/>
  <c r="I141" i="12"/>
  <c r="K141" i="12" s="1"/>
  <c r="J140" i="12"/>
  <c r="I140" i="12"/>
  <c r="K140" i="12" s="1"/>
  <c r="L140" i="12" s="1"/>
  <c r="J139" i="12"/>
  <c r="I139" i="12"/>
  <c r="K139" i="12" s="1"/>
  <c r="J138" i="12"/>
  <c r="I138" i="12"/>
  <c r="K138" i="12" s="1"/>
  <c r="L138" i="12" s="1"/>
  <c r="J137" i="12"/>
  <c r="I137" i="12"/>
  <c r="K137" i="12" s="1"/>
  <c r="J136" i="12"/>
  <c r="I136" i="12"/>
  <c r="K136" i="12" s="1"/>
  <c r="J135" i="12"/>
  <c r="I135" i="12"/>
  <c r="K135" i="12" s="1"/>
  <c r="L135" i="12" s="1"/>
  <c r="J134" i="12"/>
  <c r="I134" i="12"/>
  <c r="K134" i="12" s="1"/>
  <c r="J133" i="12"/>
  <c r="I133" i="12"/>
  <c r="K133" i="12" s="1"/>
  <c r="J132" i="12"/>
  <c r="I132" i="12"/>
  <c r="K132" i="12" s="1"/>
  <c r="J131" i="12"/>
  <c r="I131" i="12"/>
  <c r="K131" i="12" s="1"/>
  <c r="L131" i="12" s="1"/>
  <c r="J130" i="12"/>
  <c r="I130" i="12"/>
  <c r="K130" i="12" s="1"/>
  <c r="J129" i="12"/>
  <c r="I129" i="12"/>
  <c r="K129" i="12" s="1"/>
  <c r="J128" i="12"/>
  <c r="I128" i="12"/>
  <c r="K128" i="12" s="1"/>
  <c r="L128" i="12" s="1"/>
  <c r="J127" i="12"/>
  <c r="I127" i="12"/>
  <c r="K127" i="12" s="1"/>
  <c r="L127" i="12" s="1"/>
  <c r="J126" i="12"/>
  <c r="I126" i="12"/>
  <c r="K126" i="12" s="1"/>
  <c r="J125" i="12"/>
  <c r="I125" i="12"/>
  <c r="K125" i="12" s="1"/>
  <c r="J124" i="12"/>
  <c r="I124" i="12"/>
  <c r="K124" i="12" s="1"/>
  <c r="L124" i="12" s="1"/>
  <c r="J123" i="12"/>
  <c r="I123" i="12"/>
  <c r="K123" i="12" s="1"/>
  <c r="L123" i="12" s="1"/>
  <c r="J122" i="12"/>
  <c r="I122" i="12"/>
  <c r="K122" i="12" s="1"/>
  <c r="J121" i="12"/>
  <c r="I121" i="12"/>
  <c r="K121" i="12" s="1"/>
  <c r="J120" i="12"/>
  <c r="I120" i="12"/>
  <c r="K120" i="12" s="1"/>
  <c r="J119" i="12"/>
  <c r="I119" i="12"/>
  <c r="K119" i="12" s="1"/>
  <c r="L119" i="12" s="1"/>
  <c r="J118" i="12"/>
  <c r="I118" i="12"/>
  <c r="K118" i="12" s="1"/>
  <c r="J117" i="12"/>
  <c r="I117" i="12"/>
  <c r="K117" i="12" s="1"/>
  <c r="J116" i="12"/>
  <c r="I116" i="12"/>
  <c r="K116" i="12" s="1"/>
  <c r="J115" i="12"/>
  <c r="I115" i="12"/>
  <c r="K115" i="12" s="1"/>
  <c r="L115" i="12" s="1"/>
  <c r="J114" i="12"/>
  <c r="I114" i="12"/>
  <c r="K114" i="12" s="1"/>
  <c r="L114" i="12" s="1"/>
  <c r="J113" i="12"/>
  <c r="I113" i="12"/>
  <c r="K113" i="12" s="1"/>
  <c r="J112" i="12"/>
  <c r="I112" i="12"/>
  <c r="K112" i="12" s="1"/>
  <c r="L112" i="12" s="1"/>
  <c r="J111" i="12"/>
  <c r="I111" i="12"/>
  <c r="K111" i="12" s="1"/>
  <c r="L111" i="12" s="1"/>
  <c r="J110" i="12"/>
  <c r="I110" i="12"/>
  <c r="K110" i="12" s="1"/>
  <c r="L110" i="12" s="1"/>
  <c r="J109" i="12"/>
  <c r="I109" i="12"/>
  <c r="K109" i="12" s="1"/>
  <c r="J108" i="12"/>
  <c r="I108" i="12"/>
  <c r="K108" i="12" s="1"/>
  <c r="L108" i="12" s="1"/>
  <c r="J107" i="12"/>
  <c r="I107" i="12"/>
  <c r="K107" i="12" s="1"/>
  <c r="L107" i="12" s="1"/>
  <c r="J106" i="12"/>
  <c r="I106" i="12"/>
  <c r="K106" i="12" s="1"/>
  <c r="J105" i="12"/>
  <c r="I105" i="12"/>
  <c r="K105" i="12" s="1"/>
  <c r="J104" i="12"/>
  <c r="I104" i="12"/>
  <c r="K104" i="12" s="1"/>
  <c r="J103" i="12"/>
  <c r="I103" i="12"/>
  <c r="K103" i="12" s="1"/>
  <c r="J102" i="12"/>
  <c r="I102" i="12"/>
  <c r="K102" i="12" s="1"/>
  <c r="J101" i="12"/>
  <c r="I101" i="12"/>
  <c r="K101" i="12" s="1"/>
  <c r="J100" i="12"/>
  <c r="I100" i="12"/>
  <c r="K100" i="12" s="1"/>
  <c r="J99" i="12"/>
  <c r="I99" i="12"/>
  <c r="K99" i="12" s="1"/>
  <c r="J98" i="12"/>
  <c r="I98" i="12"/>
  <c r="K98" i="12" s="1"/>
  <c r="L98" i="12" s="1"/>
  <c r="J97" i="12"/>
  <c r="I97" i="12"/>
  <c r="K97" i="12" s="1"/>
  <c r="J96" i="12"/>
  <c r="I96" i="12"/>
  <c r="K96" i="12" s="1"/>
  <c r="J95" i="12"/>
  <c r="I95" i="12"/>
  <c r="K95" i="12" s="1"/>
  <c r="J94" i="12"/>
  <c r="I94" i="12"/>
  <c r="K94" i="12" s="1"/>
  <c r="L94" i="12" s="1"/>
  <c r="J93" i="12"/>
  <c r="I93" i="12"/>
  <c r="K93" i="12" s="1"/>
  <c r="J92" i="12"/>
  <c r="I92" i="12"/>
  <c r="K92" i="12" s="1"/>
  <c r="J91" i="12"/>
  <c r="I91" i="12"/>
  <c r="K91" i="12" s="1"/>
  <c r="J90" i="12"/>
  <c r="I90" i="12"/>
  <c r="K90" i="12" s="1"/>
  <c r="J89" i="12"/>
  <c r="I89" i="12"/>
  <c r="K89" i="12" s="1"/>
  <c r="J88" i="12"/>
  <c r="I88" i="12"/>
  <c r="K88" i="12" s="1"/>
  <c r="L88" i="12" s="1"/>
  <c r="J87" i="12"/>
  <c r="I87" i="12"/>
  <c r="K87" i="12" s="1"/>
  <c r="J86" i="12"/>
  <c r="I86" i="12"/>
  <c r="K86" i="12" s="1"/>
  <c r="L86" i="12" s="1"/>
  <c r="J85" i="12"/>
  <c r="I85" i="12"/>
  <c r="K85" i="12" s="1"/>
  <c r="J84" i="12"/>
  <c r="I84" i="12"/>
  <c r="K84" i="12" s="1"/>
  <c r="L84" i="12" s="1"/>
  <c r="J83" i="12"/>
  <c r="I83" i="12"/>
  <c r="K83" i="12" s="1"/>
  <c r="J82" i="12"/>
  <c r="I82" i="12"/>
  <c r="K82" i="12" s="1"/>
  <c r="L82" i="12" s="1"/>
  <c r="J81" i="12"/>
  <c r="I81" i="12"/>
  <c r="K81" i="12" s="1"/>
  <c r="J80" i="12"/>
  <c r="I80" i="12"/>
  <c r="K80" i="12" s="1"/>
  <c r="J79" i="12"/>
  <c r="I79" i="12"/>
  <c r="K79" i="12" s="1"/>
  <c r="J78" i="12"/>
  <c r="I78" i="12"/>
  <c r="K78" i="12" s="1"/>
  <c r="L78" i="12" s="1"/>
  <c r="V80" i="12" s="1"/>
  <c r="J77" i="12"/>
  <c r="I77" i="12"/>
  <c r="K77" i="12" s="1"/>
  <c r="J76" i="12"/>
  <c r="I76" i="12"/>
  <c r="K76" i="12" s="1"/>
  <c r="J75" i="12"/>
  <c r="I75" i="12"/>
  <c r="K75" i="12" s="1"/>
  <c r="J74" i="12"/>
  <c r="I74" i="12"/>
  <c r="K74" i="12" s="1"/>
  <c r="L74" i="12" s="1"/>
  <c r="J73" i="12"/>
  <c r="I73" i="12"/>
  <c r="K73" i="12" s="1"/>
  <c r="J72" i="12"/>
  <c r="I72" i="12"/>
  <c r="K72" i="12" s="1"/>
  <c r="J71" i="12"/>
  <c r="I71" i="12"/>
  <c r="K71" i="12" s="1"/>
  <c r="J70" i="12"/>
  <c r="I70" i="12"/>
  <c r="K70" i="12" s="1"/>
  <c r="L70" i="12" s="1"/>
  <c r="V72" i="12" s="1"/>
  <c r="J69" i="12"/>
  <c r="I69" i="12"/>
  <c r="K69" i="12" s="1"/>
  <c r="J68" i="12"/>
  <c r="I68" i="12"/>
  <c r="K68" i="12" s="1"/>
  <c r="J67" i="12"/>
  <c r="I67" i="12"/>
  <c r="K67" i="12" s="1"/>
  <c r="J66" i="12"/>
  <c r="I66" i="12"/>
  <c r="K66" i="12" s="1"/>
  <c r="L66" i="12" s="1"/>
  <c r="J65" i="12"/>
  <c r="I65" i="12"/>
  <c r="K65" i="12" s="1"/>
  <c r="J64" i="12"/>
  <c r="I64" i="12"/>
  <c r="K64" i="12" s="1"/>
  <c r="L64" i="12" s="1"/>
  <c r="J63" i="12"/>
  <c r="I63" i="12"/>
  <c r="K63" i="12" s="1"/>
  <c r="L63" i="12" s="1"/>
  <c r="V65" i="12" s="1"/>
  <c r="J62" i="12"/>
  <c r="I62" i="12"/>
  <c r="K62" i="12" s="1"/>
  <c r="L62" i="12" s="1"/>
  <c r="J61" i="12"/>
  <c r="I61" i="12"/>
  <c r="K61" i="12" s="1"/>
  <c r="J60" i="12"/>
  <c r="I60" i="12"/>
  <c r="K60" i="12" s="1"/>
  <c r="L60" i="12" s="1"/>
  <c r="J59" i="12"/>
  <c r="I59" i="12"/>
  <c r="K59" i="12" s="1"/>
  <c r="L59" i="12" s="1"/>
  <c r="J58" i="12"/>
  <c r="I58" i="12"/>
  <c r="K58" i="12" s="1"/>
  <c r="L58" i="12" s="1"/>
  <c r="J57" i="12"/>
  <c r="I57" i="12"/>
  <c r="K57" i="12" s="1"/>
  <c r="J56" i="12"/>
  <c r="I56" i="12"/>
  <c r="K56" i="12" s="1"/>
  <c r="L56" i="12" s="1"/>
  <c r="J55" i="12"/>
  <c r="I55" i="12"/>
  <c r="K55" i="12" s="1"/>
  <c r="L55" i="12" s="1"/>
  <c r="J54" i="12"/>
  <c r="I54" i="12"/>
  <c r="K54" i="12" s="1"/>
  <c r="L54" i="12" s="1"/>
  <c r="K53" i="12"/>
  <c r="J53" i="12"/>
  <c r="I53" i="12"/>
  <c r="J52" i="12"/>
  <c r="I52" i="12"/>
  <c r="K52" i="12" s="1"/>
  <c r="J51" i="12"/>
  <c r="I51" i="12"/>
  <c r="K51" i="12" s="1"/>
  <c r="J50" i="12"/>
  <c r="I50" i="12"/>
  <c r="K50" i="12" s="1"/>
  <c r="L50" i="12" s="1"/>
  <c r="J49" i="12"/>
  <c r="I49" i="12"/>
  <c r="K49" i="12" s="1"/>
  <c r="J48" i="12"/>
  <c r="I48" i="12"/>
  <c r="K48" i="12" s="1"/>
  <c r="J47" i="12"/>
  <c r="I47" i="12"/>
  <c r="K47" i="12" s="1"/>
  <c r="J46" i="12"/>
  <c r="I46" i="12"/>
  <c r="K46" i="12" s="1"/>
  <c r="L46" i="12" s="1"/>
  <c r="J45" i="12"/>
  <c r="I45" i="12"/>
  <c r="K45" i="12" s="1"/>
  <c r="J44" i="12"/>
  <c r="I44" i="12"/>
  <c r="K44" i="12" s="1"/>
  <c r="J43" i="12"/>
  <c r="I43" i="12"/>
  <c r="K43" i="12" s="1"/>
  <c r="J42" i="12"/>
  <c r="I42" i="12"/>
  <c r="K42" i="12" s="1"/>
  <c r="J41" i="12"/>
  <c r="I41" i="12"/>
  <c r="K41" i="12" s="1"/>
  <c r="J40" i="12"/>
  <c r="I40" i="12"/>
  <c r="K40" i="12" s="1"/>
  <c r="J39" i="12"/>
  <c r="I39" i="12"/>
  <c r="K39" i="12" s="1"/>
  <c r="J38" i="12"/>
  <c r="I38" i="12"/>
  <c r="K38" i="12" s="1"/>
  <c r="J37" i="12"/>
  <c r="I37" i="12"/>
  <c r="K37" i="12" s="1"/>
  <c r="J36" i="12"/>
  <c r="I36" i="12"/>
  <c r="K36" i="12" s="1"/>
  <c r="J35" i="12"/>
  <c r="I35" i="12"/>
  <c r="K35" i="12" s="1"/>
  <c r="J34" i="12"/>
  <c r="I34" i="12"/>
  <c r="K34" i="12" s="1"/>
  <c r="L34" i="12" s="1"/>
  <c r="J33" i="12"/>
  <c r="I33" i="12"/>
  <c r="K33" i="12" s="1"/>
  <c r="J32" i="12"/>
  <c r="I32" i="12"/>
  <c r="K32" i="12" s="1"/>
  <c r="J31" i="12"/>
  <c r="I31" i="12"/>
  <c r="K31" i="12" s="1"/>
  <c r="J30" i="12"/>
  <c r="I30" i="12"/>
  <c r="K30" i="12" s="1"/>
  <c r="L30" i="12" s="1"/>
  <c r="J29" i="12"/>
  <c r="I29" i="12"/>
  <c r="K29" i="12" s="1"/>
  <c r="J28" i="12"/>
  <c r="I28" i="12"/>
  <c r="K28" i="12" s="1"/>
  <c r="J27" i="12"/>
  <c r="I27" i="12"/>
  <c r="K27" i="12" s="1"/>
  <c r="J26" i="12"/>
  <c r="I26" i="12"/>
  <c r="K26" i="12" s="1"/>
  <c r="J25" i="12"/>
  <c r="I25" i="12"/>
  <c r="K25" i="12" s="1"/>
  <c r="J24" i="12"/>
  <c r="I24" i="12"/>
  <c r="K24" i="12" s="1"/>
  <c r="J23" i="12"/>
  <c r="I23" i="12"/>
  <c r="K23" i="12" s="1"/>
  <c r="J22" i="12"/>
  <c r="I22" i="12"/>
  <c r="K22" i="12" s="1"/>
  <c r="L22" i="12" s="1"/>
  <c r="J21" i="12"/>
  <c r="I21" i="12"/>
  <c r="K21" i="12" s="1"/>
  <c r="J20" i="12"/>
  <c r="I20" i="12"/>
  <c r="K20" i="12" s="1"/>
  <c r="J19" i="12"/>
  <c r="I19" i="12"/>
  <c r="K19" i="12" s="1"/>
  <c r="J18" i="12"/>
  <c r="I18" i="12"/>
  <c r="K18" i="12" s="1"/>
  <c r="J17" i="12"/>
  <c r="I17" i="12"/>
  <c r="K17" i="12" s="1"/>
  <c r="J16" i="12"/>
  <c r="I16" i="12"/>
  <c r="K16" i="12" s="1"/>
  <c r="J15" i="12"/>
  <c r="I15" i="12"/>
  <c r="K15" i="12" s="1"/>
  <c r="J14" i="12"/>
  <c r="I14" i="12"/>
  <c r="K14" i="12" s="1"/>
  <c r="L14" i="12" s="1"/>
  <c r="J13" i="12"/>
  <c r="I13" i="12"/>
  <c r="K13" i="12" s="1"/>
  <c r="J12" i="12"/>
  <c r="I12" i="12"/>
  <c r="K12" i="12" s="1"/>
  <c r="J11" i="12"/>
  <c r="I11" i="12"/>
  <c r="K11" i="12" s="1"/>
  <c r="J10" i="12"/>
  <c r="I10" i="12"/>
  <c r="K10" i="12" s="1"/>
  <c r="J9" i="12"/>
  <c r="I9" i="12"/>
  <c r="K9" i="12" s="1"/>
  <c r="J8" i="12"/>
  <c r="I8" i="12"/>
  <c r="K8" i="12" s="1"/>
  <c r="L8" i="12" s="1"/>
  <c r="J7" i="12"/>
  <c r="I7" i="12"/>
  <c r="K7" i="12" s="1"/>
  <c r="J6" i="12"/>
  <c r="I6" i="12"/>
  <c r="K6" i="12" s="1"/>
  <c r="L6" i="12" s="1"/>
  <c r="J5" i="12"/>
  <c r="I5" i="12"/>
  <c r="K5" i="12" s="1"/>
  <c r="J4" i="12"/>
  <c r="I4" i="12"/>
  <c r="K4" i="12" s="1"/>
  <c r="L4" i="12" s="1"/>
  <c r="J3" i="12"/>
  <c r="I3" i="12"/>
  <c r="K3" i="12" s="1"/>
  <c r="J2" i="12"/>
  <c r="I2" i="12"/>
  <c r="K2" i="12" s="1"/>
  <c r="L2" i="12" s="1"/>
  <c r="V98" i="11"/>
  <c r="J315" i="11"/>
  <c r="I315" i="11"/>
  <c r="K315" i="11" s="1"/>
  <c r="J314" i="11"/>
  <c r="I314" i="11"/>
  <c r="K314" i="11" s="1"/>
  <c r="J313" i="11"/>
  <c r="I313" i="11"/>
  <c r="K313" i="11" s="1"/>
  <c r="J312" i="11"/>
  <c r="I312" i="11"/>
  <c r="K312" i="11" s="1"/>
  <c r="J311" i="11"/>
  <c r="I311" i="11"/>
  <c r="K311" i="11" s="1"/>
  <c r="J310" i="11"/>
  <c r="I310" i="11"/>
  <c r="K310" i="11" s="1"/>
  <c r="J309" i="11"/>
  <c r="I309" i="11"/>
  <c r="K309" i="11" s="1"/>
  <c r="J308" i="11"/>
  <c r="I308" i="11"/>
  <c r="K308" i="11" s="1"/>
  <c r="J307" i="11"/>
  <c r="I307" i="11"/>
  <c r="K307" i="11" s="1"/>
  <c r="L307" i="11" s="1"/>
  <c r="V89" i="11" s="1"/>
  <c r="J306" i="11"/>
  <c r="I306" i="11"/>
  <c r="K306" i="11" s="1"/>
  <c r="J305" i="11"/>
  <c r="I305" i="11"/>
  <c r="K305" i="11" s="1"/>
  <c r="J304" i="11"/>
  <c r="I304" i="11"/>
  <c r="K304" i="11" s="1"/>
  <c r="J303" i="11"/>
  <c r="I303" i="11"/>
  <c r="K303" i="11" s="1"/>
  <c r="L303" i="11" s="1"/>
  <c r="J302" i="11"/>
  <c r="I302" i="11"/>
  <c r="K302" i="11" s="1"/>
  <c r="J301" i="11"/>
  <c r="I301" i="11"/>
  <c r="K301" i="11" s="1"/>
  <c r="L301" i="11" s="1"/>
  <c r="J300" i="11"/>
  <c r="I300" i="11"/>
  <c r="K300" i="11" s="1"/>
  <c r="J299" i="11"/>
  <c r="I299" i="11"/>
  <c r="K299" i="11" s="1"/>
  <c r="L299" i="11" s="1"/>
  <c r="J298" i="11"/>
  <c r="I298" i="11"/>
  <c r="K298" i="11" s="1"/>
  <c r="J297" i="11"/>
  <c r="I297" i="11"/>
  <c r="K297" i="11" s="1"/>
  <c r="L297" i="11" s="1"/>
  <c r="J296" i="11"/>
  <c r="I296" i="11"/>
  <c r="K296" i="11" s="1"/>
  <c r="J295" i="11"/>
  <c r="I295" i="11"/>
  <c r="K295" i="11" s="1"/>
  <c r="L295" i="11" s="1"/>
  <c r="J294" i="11"/>
  <c r="I294" i="11"/>
  <c r="K294" i="11" s="1"/>
  <c r="J293" i="11"/>
  <c r="I293" i="11"/>
  <c r="K293" i="11" s="1"/>
  <c r="J292" i="11"/>
  <c r="I292" i="11"/>
  <c r="K292" i="11" s="1"/>
  <c r="J291" i="11"/>
  <c r="I291" i="11"/>
  <c r="K291" i="11" s="1"/>
  <c r="L291" i="11" s="1"/>
  <c r="J290" i="11"/>
  <c r="I290" i="11"/>
  <c r="K290" i="11" s="1"/>
  <c r="J289" i="11"/>
  <c r="I289" i="11"/>
  <c r="K289" i="11" s="1"/>
  <c r="L289" i="11" s="1"/>
  <c r="J288" i="11"/>
  <c r="I288" i="11"/>
  <c r="K288" i="11" s="1"/>
  <c r="J287" i="11"/>
  <c r="I287" i="11"/>
  <c r="K287" i="11" s="1"/>
  <c r="L287" i="11" s="1"/>
  <c r="J286" i="11"/>
  <c r="I286" i="11"/>
  <c r="K286" i="11" s="1"/>
  <c r="J285" i="11"/>
  <c r="I285" i="11"/>
  <c r="K285" i="11" s="1"/>
  <c r="L285" i="11" s="1"/>
  <c r="J284" i="11"/>
  <c r="I284" i="11"/>
  <c r="K284" i="11" s="1"/>
  <c r="J283" i="11"/>
  <c r="I283" i="11"/>
  <c r="K283" i="11" s="1"/>
  <c r="L283" i="11" s="1"/>
  <c r="J282" i="11"/>
  <c r="I282" i="11"/>
  <c r="K282" i="11" s="1"/>
  <c r="J281" i="11"/>
  <c r="I281" i="11"/>
  <c r="K281" i="11" s="1"/>
  <c r="J280" i="11"/>
  <c r="I280" i="11"/>
  <c r="K280" i="11" s="1"/>
  <c r="J279" i="11"/>
  <c r="I279" i="11"/>
  <c r="K279" i="11" s="1"/>
  <c r="J278" i="11"/>
  <c r="I278" i="11"/>
  <c r="K278" i="11" s="1"/>
  <c r="J277" i="11"/>
  <c r="I277" i="11"/>
  <c r="K277" i="11" s="1"/>
  <c r="J276" i="11"/>
  <c r="I276" i="11"/>
  <c r="K276" i="11" s="1"/>
  <c r="J275" i="11"/>
  <c r="I275" i="11"/>
  <c r="K275" i="11" s="1"/>
  <c r="L275" i="11" s="1"/>
  <c r="J274" i="11"/>
  <c r="I274" i="11"/>
  <c r="K274" i="11" s="1"/>
  <c r="J273" i="11"/>
  <c r="I273" i="11"/>
  <c r="K273" i="11" s="1"/>
  <c r="J272" i="11"/>
  <c r="I272" i="11"/>
  <c r="K272" i="11" s="1"/>
  <c r="J271" i="11"/>
  <c r="I271" i="11"/>
  <c r="K271" i="11" s="1"/>
  <c r="J270" i="11"/>
  <c r="I270" i="11"/>
  <c r="K270" i="11" s="1"/>
  <c r="J269" i="11"/>
  <c r="I269" i="11"/>
  <c r="K269" i="11" s="1"/>
  <c r="J268" i="11"/>
  <c r="I268" i="11"/>
  <c r="K268" i="11" s="1"/>
  <c r="J267" i="11"/>
  <c r="I267" i="11"/>
  <c r="K267" i="11" s="1"/>
  <c r="L267" i="11" s="1"/>
  <c r="J266" i="11"/>
  <c r="I266" i="11"/>
  <c r="K266" i="11" s="1"/>
  <c r="J265" i="11"/>
  <c r="I265" i="11"/>
  <c r="K265" i="11" s="1"/>
  <c r="J264" i="11"/>
  <c r="I264" i="11"/>
  <c r="K264" i="11" s="1"/>
  <c r="J263" i="11"/>
  <c r="I263" i="11"/>
  <c r="K263" i="11" s="1"/>
  <c r="L263" i="11" s="1"/>
  <c r="J262" i="11"/>
  <c r="I262" i="11"/>
  <c r="K262" i="11" s="1"/>
  <c r="J261" i="11"/>
  <c r="I261" i="11"/>
  <c r="K261" i="11" s="1"/>
  <c r="J260" i="11"/>
  <c r="I260" i="11"/>
  <c r="K260" i="11" s="1"/>
  <c r="J259" i="11"/>
  <c r="I259" i="11"/>
  <c r="K259" i="11" s="1"/>
  <c r="L259" i="11" s="1"/>
  <c r="J258" i="11"/>
  <c r="I258" i="11"/>
  <c r="K258" i="11" s="1"/>
  <c r="J257" i="11"/>
  <c r="I257" i="11"/>
  <c r="K257" i="11" s="1"/>
  <c r="J256" i="11"/>
  <c r="I256" i="11"/>
  <c r="K256" i="11" s="1"/>
  <c r="J255" i="11"/>
  <c r="I255" i="11"/>
  <c r="K255" i="11" s="1"/>
  <c r="L255" i="11" s="1"/>
  <c r="J254" i="11"/>
  <c r="I254" i="11"/>
  <c r="K254" i="11" s="1"/>
  <c r="J253" i="11"/>
  <c r="I253" i="11"/>
  <c r="K253" i="11" s="1"/>
  <c r="J252" i="11"/>
  <c r="I252" i="11"/>
  <c r="K252" i="11" s="1"/>
  <c r="J251" i="11"/>
  <c r="I251" i="11"/>
  <c r="K251" i="11" s="1"/>
  <c r="J250" i="11"/>
  <c r="I250" i="11"/>
  <c r="K250" i="11" s="1"/>
  <c r="J249" i="11"/>
  <c r="I249" i="11"/>
  <c r="K249" i="11" s="1"/>
  <c r="J248" i="11"/>
  <c r="I248" i="11"/>
  <c r="K248" i="11" s="1"/>
  <c r="J247" i="11"/>
  <c r="I247" i="11"/>
  <c r="K247" i="11" s="1"/>
  <c r="L247" i="11" s="1"/>
  <c r="J246" i="11"/>
  <c r="I246" i="11"/>
  <c r="K246" i="11" s="1"/>
  <c r="J245" i="11"/>
  <c r="I245" i="11"/>
  <c r="K245" i="11" s="1"/>
  <c r="L245" i="11" s="1"/>
  <c r="J244" i="11"/>
  <c r="I244" i="11"/>
  <c r="K244" i="11" s="1"/>
  <c r="J243" i="11"/>
  <c r="I243" i="11"/>
  <c r="K243" i="11" s="1"/>
  <c r="L243" i="11" s="1"/>
  <c r="J242" i="11"/>
  <c r="I242" i="11"/>
  <c r="K242" i="11" s="1"/>
  <c r="J241" i="11"/>
  <c r="I241" i="11"/>
  <c r="K241" i="11" s="1"/>
  <c r="L241" i="11" s="1"/>
  <c r="J240" i="11"/>
  <c r="I240" i="11"/>
  <c r="K240" i="11" s="1"/>
  <c r="J239" i="11"/>
  <c r="I239" i="11"/>
  <c r="K239" i="11" s="1"/>
  <c r="L239" i="11" s="1"/>
  <c r="J238" i="11"/>
  <c r="I238" i="11"/>
  <c r="K238" i="11" s="1"/>
  <c r="J237" i="11"/>
  <c r="I237" i="11"/>
  <c r="K237" i="11" s="1"/>
  <c r="L237" i="11" s="1"/>
  <c r="J236" i="11"/>
  <c r="I236" i="11"/>
  <c r="K236" i="11" s="1"/>
  <c r="J235" i="11"/>
  <c r="I235" i="11"/>
  <c r="K235" i="11" s="1"/>
  <c r="L235" i="11" s="1"/>
  <c r="J234" i="11"/>
  <c r="I234" i="11"/>
  <c r="K234" i="11" s="1"/>
  <c r="L234" i="11" s="1"/>
  <c r="J233" i="11"/>
  <c r="I233" i="11"/>
  <c r="K233" i="11" s="1"/>
  <c r="J232" i="11"/>
  <c r="I232" i="11"/>
  <c r="K232" i="11" s="1"/>
  <c r="J231" i="11"/>
  <c r="I231" i="11"/>
  <c r="K231" i="11" s="1"/>
  <c r="L231" i="11" s="1"/>
  <c r="J230" i="11"/>
  <c r="I230" i="11"/>
  <c r="K230" i="11" s="1"/>
  <c r="L230" i="11" s="1"/>
  <c r="J229" i="11"/>
  <c r="I229" i="11"/>
  <c r="K229" i="11" s="1"/>
  <c r="J228" i="11"/>
  <c r="I228" i="11"/>
  <c r="K228" i="11" s="1"/>
  <c r="J227" i="11"/>
  <c r="I227" i="11"/>
  <c r="K227" i="11" s="1"/>
  <c r="L227" i="11" s="1"/>
  <c r="J226" i="11"/>
  <c r="I226" i="11"/>
  <c r="K226" i="11" s="1"/>
  <c r="J225" i="11"/>
  <c r="I225" i="11"/>
  <c r="K225" i="11" s="1"/>
  <c r="L225" i="11" s="1"/>
  <c r="J224" i="11"/>
  <c r="I224" i="11"/>
  <c r="K224" i="11" s="1"/>
  <c r="J223" i="11"/>
  <c r="I223" i="11"/>
  <c r="K223" i="11" s="1"/>
  <c r="L223" i="11" s="1"/>
  <c r="J222" i="11"/>
  <c r="I222" i="11"/>
  <c r="K222" i="11" s="1"/>
  <c r="L222" i="11" s="1"/>
  <c r="J221" i="11"/>
  <c r="I221" i="11"/>
  <c r="K221" i="11" s="1"/>
  <c r="L221" i="11" s="1"/>
  <c r="J220" i="11"/>
  <c r="I220" i="11"/>
  <c r="K220" i="11" s="1"/>
  <c r="J219" i="11"/>
  <c r="I219" i="11"/>
  <c r="K219" i="11" s="1"/>
  <c r="J218" i="11"/>
  <c r="I218" i="11"/>
  <c r="K218" i="11" s="1"/>
  <c r="J217" i="11"/>
  <c r="I217" i="11"/>
  <c r="K217" i="11" s="1"/>
  <c r="J216" i="11"/>
  <c r="I216" i="11"/>
  <c r="K216" i="11" s="1"/>
  <c r="J215" i="11"/>
  <c r="I215" i="11"/>
  <c r="K215" i="11" s="1"/>
  <c r="L215" i="11" s="1"/>
  <c r="J214" i="11"/>
  <c r="I214" i="11"/>
  <c r="K214" i="11" s="1"/>
  <c r="J213" i="11"/>
  <c r="I213" i="11"/>
  <c r="K213" i="11" s="1"/>
  <c r="J212" i="11"/>
  <c r="I212" i="11"/>
  <c r="K212" i="11" s="1"/>
  <c r="J211" i="11"/>
  <c r="I211" i="11"/>
  <c r="K211" i="11" s="1"/>
  <c r="L211" i="11" s="1"/>
  <c r="J210" i="11"/>
  <c r="I210" i="11"/>
  <c r="K210" i="11" s="1"/>
  <c r="J209" i="11"/>
  <c r="I209" i="11"/>
  <c r="K209" i="11" s="1"/>
  <c r="J208" i="11"/>
  <c r="I208" i="11"/>
  <c r="K208" i="11" s="1"/>
  <c r="J207" i="11"/>
  <c r="I207" i="11"/>
  <c r="K207" i="11" s="1"/>
  <c r="L207" i="11" s="1"/>
  <c r="J206" i="11"/>
  <c r="I206" i="11"/>
  <c r="K206" i="11" s="1"/>
  <c r="J205" i="11"/>
  <c r="I205" i="11"/>
  <c r="K205" i="11" s="1"/>
  <c r="L205" i="11" s="1"/>
  <c r="J204" i="11"/>
  <c r="I204" i="11"/>
  <c r="K204" i="11" s="1"/>
  <c r="J203" i="11"/>
  <c r="I203" i="11"/>
  <c r="K203" i="11" s="1"/>
  <c r="L203" i="11" s="1"/>
  <c r="J202" i="11"/>
  <c r="I202" i="11"/>
  <c r="K202" i="11" s="1"/>
  <c r="J201" i="11"/>
  <c r="I201" i="11"/>
  <c r="K201" i="11" s="1"/>
  <c r="J200" i="11"/>
  <c r="I200" i="11"/>
  <c r="K200" i="11" s="1"/>
  <c r="J199" i="11"/>
  <c r="I199" i="11"/>
  <c r="K199" i="11" s="1"/>
  <c r="L199" i="11" s="1"/>
  <c r="J198" i="11"/>
  <c r="I198" i="11"/>
  <c r="K198" i="11" s="1"/>
  <c r="J197" i="11"/>
  <c r="I197" i="11"/>
  <c r="K197" i="11" s="1"/>
  <c r="L197" i="11" s="1"/>
  <c r="J196" i="11"/>
  <c r="I196" i="11"/>
  <c r="K196" i="11" s="1"/>
  <c r="J195" i="11"/>
  <c r="I195" i="11"/>
  <c r="K195" i="11" s="1"/>
  <c r="L195" i="11" s="1"/>
  <c r="J194" i="11"/>
  <c r="I194" i="11"/>
  <c r="K194" i="11" s="1"/>
  <c r="J193" i="11"/>
  <c r="I193" i="11"/>
  <c r="K193" i="11" s="1"/>
  <c r="L193" i="11" s="1"/>
  <c r="J192" i="11"/>
  <c r="I192" i="11"/>
  <c r="K192" i="11" s="1"/>
  <c r="J191" i="11"/>
  <c r="I191" i="11"/>
  <c r="K191" i="11" s="1"/>
  <c r="J190" i="11"/>
  <c r="I190" i="11"/>
  <c r="K190" i="11" s="1"/>
  <c r="J189" i="11"/>
  <c r="I189" i="11"/>
  <c r="K189" i="11" s="1"/>
  <c r="J188" i="11"/>
  <c r="I188" i="11"/>
  <c r="K188" i="11" s="1"/>
  <c r="J187" i="11"/>
  <c r="I187" i="11"/>
  <c r="K187" i="11" s="1"/>
  <c r="L187" i="11" s="1"/>
  <c r="J186" i="11"/>
  <c r="I186" i="11"/>
  <c r="K186" i="11" s="1"/>
  <c r="J185" i="11"/>
  <c r="I185" i="11"/>
  <c r="K185" i="11" s="1"/>
  <c r="L185" i="11" s="1"/>
  <c r="J184" i="11"/>
  <c r="I184" i="11"/>
  <c r="K184" i="11" s="1"/>
  <c r="J183" i="11"/>
  <c r="I183" i="11"/>
  <c r="K183" i="11" s="1"/>
  <c r="L183" i="11" s="1"/>
  <c r="J182" i="11"/>
  <c r="I182" i="11"/>
  <c r="K182" i="11" s="1"/>
  <c r="J181" i="11"/>
  <c r="I181" i="11"/>
  <c r="K181" i="11" s="1"/>
  <c r="L181" i="11" s="1"/>
  <c r="J180" i="11"/>
  <c r="I180" i="11"/>
  <c r="K180" i="11" s="1"/>
  <c r="J179" i="11"/>
  <c r="I179" i="11"/>
  <c r="K179" i="11" s="1"/>
  <c r="L179" i="11" s="1"/>
  <c r="J178" i="11"/>
  <c r="I178" i="11"/>
  <c r="K178" i="11" s="1"/>
  <c r="J177" i="11"/>
  <c r="I177" i="11"/>
  <c r="K177" i="11" s="1"/>
  <c r="L177" i="11" s="1"/>
  <c r="J176" i="11"/>
  <c r="I176" i="11"/>
  <c r="K176" i="11" s="1"/>
  <c r="J175" i="11"/>
  <c r="I175" i="11"/>
  <c r="K175" i="11" s="1"/>
  <c r="L175" i="11" s="1"/>
  <c r="J174" i="11"/>
  <c r="I174" i="11"/>
  <c r="K174" i="11" s="1"/>
  <c r="J173" i="11"/>
  <c r="I173" i="11"/>
  <c r="K173" i="11" s="1"/>
  <c r="J172" i="11"/>
  <c r="I172" i="11"/>
  <c r="K172" i="11" s="1"/>
  <c r="J171" i="11"/>
  <c r="I171" i="11"/>
  <c r="K171" i="11" s="1"/>
  <c r="L171" i="11" s="1"/>
  <c r="J170" i="11"/>
  <c r="I170" i="11"/>
  <c r="K170" i="11" s="1"/>
  <c r="J169" i="11"/>
  <c r="I169" i="11"/>
  <c r="K169" i="11" s="1"/>
  <c r="L169" i="11" s="1"/>
  <c r="J168" i="11"/>
  <c r="I168" i="11"/>
  <c r="K168" i="11" s="1"/>
  <c r="J167" i="11"/>
  <c r="I167" i="11"/>
  <c r="K167" i="11" s="1"/>
  <c r="L167" i="11" s="1"/>
  <c r="J166" i="11"/>
  <c r="I166" i="11"/>
  <c r="K166" i="11" s="1"/>
  <c r="J165" i="11"/>
  <c r="I165" i="11"/>
  <c r="K165" i="11" s="1"/>
  <c r="L165" i="11" s="1"/>
  <c r="J164" i="11"/>
  <c r="I164" i="11"/>
  <c r="K164" i="11" s="1"/>
  <c r="J163" i="11"/>
  <c r="I163" i="11"/>
  <c r="K163" i="11" s="1"/>
  <c r="L163" i="11" s="1"/>
  <c r="J162" i="11"/>
  <c r="I162" i="11"/>
  <c r="K162" i="11" s="1"/>
  <c r="J161" i="11"/>
  <c r="I161" i="11"/>
  <c r="K161" i="11" s="1"/>
  <c r="L161" i="11" s="1"/>
  <c r="J160" i="11"/>
  <c r="I160" i="11"/>
  <c r="K160" i="11" s="1"/>
  <c r="J159" i="11"/>
  <c r="I159" i="11"/>
  <c r="K159" i="11" s="1"/>
  <c r="J158" i="11"/>
  <c r="I158" i="11"/>
  <c r="K158" i="11" s="1"/>
  <c r="J157" i="11"/>
  <c r="I157" i="11"/>
  <c r="K157" i="11" s="1"/>
  <c r="J156" i="11"/>
  <c r="I156" i="11"/>
  <c r="K156" i="11" s="1"/>
  <c r="J155" i="11"/>
  <c r="I155" i="11"/>
  <c r="K155" i="11" s="1"/>
  <c r="L155" i="11" s="1"/>
  <c r="J154" i="11"/>
  <c r="I154" i="11"/>
  <c r="K154" i="11" s="1"/>
  <c r="J153" i="11"/>
  <c r="I153" i="11"/>
  <c r="K153" i="11" s="1"/>
  <c r="L153" i="11" s="1"/>
  <c r="J152" i="11"/>
  <c r="I152" i="11"/>
  <c r="K152" i="11" s="1"/>
  <c r="J151" i="11"/>
  <c r="I151" i="11"/>
  <c r="K151" i="11" s="1"/>
  <c r="L151" i="11" s="1"/>
  <c r="J150" i="11"/>
  <c r="I150" i="11"/>
  <c r="K150" i="11" s="1"/>
  <c r="J149" i="11"/>
  <c r="I149" i="11"/>
  <c r="K149" i="11" s="1"/>
  <c r="J148" i="11"/>
  <c r="I148" i="11"/>
  <c r="K148" i="11" s="1"/>
  <c r="J147" i="11"/>
  <c r="I147" i="11"/>
  <c r="K147" i="11" s="1"/>
  <c r="L147" i="11" s="1"/>
  <c r="J146" i="11"/>
  <c r="I146" i="11"/>
  <c r="K146" i="11" s="1"/>
  <c r="J145" i="11"/>
  <c r="I145" i="11"/>
  <c r="K145" i="11" s="1"/>
  <c r="L145" i="11" s="1"/>
  <c r="J144" i="11"/>
  <c r="I144" i="11"/>
  <c r="K144" i="11" s="1"/>
  <c r="J143" i="11"/>
  <c r="I143" i="11"/>
  <c r="K143" i="11" s="1"/>
  <c r="J142" i="11"/>
  <c r="I142" i="11"/>
  <c r="K142" i="11" s="1"/>
  <c r="J141" i="11"/>
  <c r="I141" i="11"/>
  <c r="K141" i="11" s="1"/>
  <c r="J140" i="11"/>
  <c r="I140" i="11"/>
  <c r="K140" i="11" s="1"/>
  <c r="J139" i="11"/>
  <c r="I139" i="11"/>
  <c r="K139" i="11" s="1"/>
  <c r="J138" i="11"/>
  <c r="I138" i="11"/>
  <c r="K138" i="11" s="1"/>
  <c r="J137" i="11"/>
  <c r="I137" i="11"/>
  <c r="K137" i="11" s="1"/>
  <c r="L137" i="11" s="1"/>
  <c r="J136" i="11"/>
  <c r="I136" i="11"/>
  <c r="K136" i="11" s="1"/>
  <c r="J135" i="11"/>
  <c r="I135" i="11"/>
  <c r="K135" i="11" s="1"/>
  <c r="J134" i="11"/>
  <c r="I134" i="11"/>
  <c r="K134" i="11" s="1"/>
  <c r="L134" i="11" s="1"/>
  <c r="J133" i="11"/>
  <c r="I133" i="11"/>
  <c r="K133" i="11" s="1"/>
  <c r="L133" i="11" s="1"/>
  <c r="J132" i="11"/>
  <c r="I132" i="11"/>
  <c r="K132" i="11" s="1"/>
  <c r="J131" i="11"/>
  <c r="I131" i="11"/>
  <c r="K131" i="11" s="1"/>
  <c r="J130" i="11"/>
  <c r="I130" i="11"/>
  <c r="K130" i="11" s="1"/>
  <c r="J129" i="11"/>
  <c r="I129" i="11"/>
  <c r="K129" i="11" s="1"/>
  <c r="J128" i="11"/>
  <c r="I128" i="11"/>
  <c r="K128" i="11" s="1"/>
  <c r="J127" i="11"/>
  <c r="I127" i="11"/>
  <c r="K127" i="11" s="1"/>
  <c r="J126" i="11"/>
  <c r="I126" i="11"/>
  <c r="K126" i="11" s="1"/>
  <c r="J125" i="11"/>
  <c r="I125" i="11"/>
  <c r="K125" i="11" s="1"/>
  <c r="J124" i="11"/>
  <c r="I124" i="11"/>
  <c r="K124" i="11" s="1"/>
  <c r="J123" i="11"/>
  <c r="I123" i="11"/>
  <c r="K123" i="11" s="1"/>
  <c r="J122" i="11"/>
  <c r="I122" i="11"/>
  <c r="K122" i="11" s="1"/>
  <c r="J121" i="11"/>
  <c r="I121" i="11"/>
  <c r="K121" i="11" s="1"/>
  <c r="L121" i="11" s="1"/>
  <c r="J120" i="11"/>
  <c r="I120" i="11"/>
  <c r="K120" i="11" s="1"/>
  <c r="J119" i="11"/>
  <c r="I119" i="11"/>
  <c r="K119" i="11" s="1"/>
  <c r="J118" i="11"/>
  <c r="I118" i="11"/>
  <c r="K118" i="11" s="1"/>
  <c r="J117" i="11"/>
  <c r="I117" i="11"/>
  <c r="K117" i="11" s="1"/>
  <c r="L117" i="11" s="1"/>
  <c r="J116" i="11"/>
  <c r="I116" i="11"/>
  <c r="K116" i="11" s="1"/>
  <c r="J115" i="11"/>
  <c r="I115" i="11"/>
  <c r="K115" i="11" s="1"/>
  <c r="J114" i="11"/>
  <c r="I114" i="11"/>
  <c r="K114" i="11" s="1"/>
  <c r="J113" i="11"/>
  <c r="I113" i="11"/>
  <c r="K113" i="11" s="1"/>
  <c r="J112" i="11"/>
  <c r="I112" i="11"/>
  <c r="K112" i="11" s="1"/>
  <c r="J111" i="11"/>
  <c r="I111" i="11"/>
  <c r="K111" i="11" s="1"/>
  <c r="J110" i="11"/>
  <c r="I110" i="11"/>
  <c r="K110" i="11" s="1"/>
  <c r="J109" i="11"/>
  <c r="I109" i="11"/>
  <c r="K109" i="11" s="1"/>
  <c r="L109" i="11" s="1"/>
  <c r="J108" i="11"/>
  <c r="I108" i="11"/>
  <c r="K108" i="11" s="1"/>
  <c r="J107" i="11"/>
  <c r="I107" i="11"/>
  <c r="K107" i="11" s="1"/>
  <c r="J106" i="11"/>
  <c r="I106" i="11"/>
  <c r="K106" i="11" s="1"/>
  <c r="J105" i="11"/>
  <c r="I105" i="11"/>
  <c r="K105" i="11" s="1"/>
  <c r="L105" i="11" s="1"/>
  <c r="J104" i="11"/>
  <c r="I104" i="11"/>
  <c r="K104" i="11" s="1"/>
  <c r="J103" i="11"/>
  <c r="I103" i="11"/>
  <c r="K103" i="11" s="1"/>
  <c r="V102" i="11"/>
  <c r="J102" i="11"/>
  <c r="I102" i="11"/>
  <c r="K102" i="11" s="1"/>
  <c r="J101" i="11"/>
  <c r="I101" i="11"/>
  <c r="K101" i="11" s="1"/>
  <c r="J100" i="11"/>
  <c r="I100" i="11"/>
  <c r="K100" i="11" s="1"/>
  <c r="J99" i="11"/>
  <c r="I99" i="11"/>
  <c r="K99" i="11" s="1"/>
  <c r="J98" i="11"/>
  <c r="I98" i="11"/>
  <c r="K98" i="11" s="1"/>
  <c r="J97" i="11"/>
  <c r="I97" i="11"/>
  <c r="K97" i="11" s="1"/>
  <c r="J96" i="11"/>
  <c r="I96" i="11"/>
  <c r="K96" i="11" s="1"/>
  <c r="J95" i="11"/>
  <c r="I95" i="11"/>
  <c r="K95" i="11" s="1"/>
  <c r="J94" i="11"/>
  <c r="I94" i="11"/>
  <c r="K94" i="11" s="1"/>
  <c r="J93" i="11"/>
  <c r="I93" i="11"/>
  <c r="K93" i="11" s="1"/>
  <c r="J92" i="11"/>
  <c r="I92" i="11"/>
  <c r="K92" i="11" s="1"/>
  <c r="J91" i="11"/>
  <c r="I91" i="11"/>
  <c r="K91" i="11" s="1"/>
  <c r="J90" i="11"/>
  <c r="I90" i="11"/>
  <c r="K90" i="11" s="1"/>
  <c r="J89" i="11"/>
  <c r="I89" i="11"/>
  <c r="K89" i="11" s="1"/>
  <c r="J88" i="11"/>
  <c r="I88" i="11"/>
  <c r="K88" i="11" s="1"/>
  <c r="J87" i="11"/>
  <c r="I87" i="11"/>
  <c r="K87" i="11" s="1"/>
  <c r="J86" i="11"/>
  <c r="I86" i="11"/>
  <c r="K86" i="11" s="1"/>
  <c r="J85" i="11"/>
  <c r="I85" i="11"/>
  <c r="K85" i="11" s="1"/>
  <c r="J84" i="11"/>
  <c r="I84" i="11"/>
  <c r="K84" i="11" s="1"/>
  <c r="J83" i="11"/>
  <c r="I83" i="11"/>
  <c r="K83" i="11" s="1"/>
  <c r="J82" i="11"/>
  <c r="I82" i="11"/>
  <c r="K82" i="11" s="1"/>
  <c r="J81" i="11"/>
  <c r="I81" i="11"/>
  <c r="K81" i="11" s="1"/>
  <c r="J80" i="11"/>
  <c r="I80" i="11"/>
  <c r="K80" i="11" s="1"/>
  <c r="J79" i="11"/>
  <c r="I79" i="11"/>
  <c r="K79" i="11" s="1"/>
  <c r="J78" i="11"/>
  <c r="I78" i="11"/>
  <c r="K78" i="11" s="1"/>
  <c r="K77" i="11"/>
  <c r="J77" i="11"/>
  <c r="I77" i="11"/>
  <c r="J76" i="11"/>
  <c r="I76" i="11"/>
  <c r="K76" i="11" s="1"/>
  <c r="J75" i="11"/>
  <c r="I75" i="11"/>
  <c r="K75" i="11" s="1"/>
  <c r="J74" i="11"/>
  <c r="I74" i="11"/>
  <c r="K74" i="11" s="1"/>
  <c r="J73" i="11"/>
  <c r="I73" i="11"/>
  <c r="K73" i="11" s="1"/>
  <c r="J72" i="11"/>
  <c r="I72" i="11"/>
  <c r="K72" i="11" s="1"/>
  <c r="L72" i="11" s="1"/>
  <c r="J71" i="11"/>
  <c r="I71" i="11"/>
  <c r="K71" i="11" s="1"/>
  <c r="J70" i="11"/>
  <c r="I70" i="11"/>
  <c r="K70" i="11" s="1"/>
  <c r="L70" i="11" s="1"/>
  <c r="J69" i="11"/>
  <c r="I69" i="11"/>
  <c r="K69" i="11" s="1"/>
  <c r="J68" i="11"/>
  <c r="I68" i="11"/>
  <c r="K68" i="11" s="1"/>
  <c r="J67" i="11"/>
  <c r="I67" i="11"/>
  <c r="K67" i="11" s="1"/>
  <c r="L67" i="11" s="1"/>
  <c r="J66" i="11"/>
  <c r="I66" i="11"/>
  <c r="K66" i="11" s="1"/>
  <c r="J65" i="11"/>
  <c r="I65" i="11"/>
  <c r="K65" i="11" s="1"/>
  <c r="J64" i="11"/>
  <c r="I64" i="11"/>
  <c r="K64" i="11" s="1"/>
  <c r="L64" i="11" s="1"/>
  <c r="J63" i="11"/>
  <c r="I63" i="11"/>
  <c r="K63" i="11" s="1"/>
  <c r="L63" i="11" s="1"/>
  <c r="J62" i="11"/>
  <c r="I62" i="11"/>
  <c r="K62" i="11" s="1"/>
  <c r="J61" i="11"/>
  <c r="I61" i="11"/>
  <c r="K61" i="11" s="1"/>
  <c r="J60" i="11"/>
  <c r="I60" i="11"/>
  <c r="K60" i="11" s="1"/>
  <c r="L60" i="11" s="1"/>
  <c r="J59" i="11"/>
  <c r="I59" i="11"/>
  <c r="K59" i="11" s="1"/>
  <c r="L59" i="11" s="1"/>
  <c r="J58" i="11"/>
  <c r="I58" i="11"/>
  <c r="K58" i="11" s="1"/>
  <c r="J57" i="11"/>
  <c r="I57" i="11"/>
  <c r="K57" i="11" s="1"/>
  <c r="J56" i="11"/>
  <c r="I56" i="11"/>
  <c r="K56" i="11" s="1"/>
  <c r="L56" i="11" s="1"/>
  <c r="J55" i="11"/>
  <c r="I55" i="11"/>
  <c r="K55" i="11" s="1"/>
  <c r="J54" i="11"/>
  <c r="I54" i="11"/>
  <c r="K54" i="11" s="1"/>
  <c r="L54" i="11" s="1"/>
  <c r="J53" i="11"/>
  <c r="I53" i="11"/>
  <c r="K53" i="11" s="1"/>
  <c r="J52" i="11"/>
  <c r="I52" i="11"/>
  <c r="K52" i="11" s="1"/>
  <c r="J51" i="11"/>
  <c r="I51" i="11"/>
  <c r="K51" i="11" s="1"/>
  <c r="L51" i="11" s="1"/>
  <c r="J50" i="11"/>
  <c r="I50" i="11"/>
  <c r="K50" i="11" s="1"/>
  <c r="J49" i="11"/>
  <c r="I49" i="11"/>
  <c r="K49" i="11" s="1"/>
  <c r="J48" i="11"/>
  <c r="I48" i="11"/>
  <c r="K48" i="11" s="1"/>
  <c r="L48" i="11" s="1"/>
  <c r="J47" i="11"/>
  <c r="I47" i="11"/>
  <c r="K47" i="11" s="1"/>
  <c r="L47" i="11" s="1"/>
  <c r="J46" i="11"/>
  <c r="I46" i="11"/>
  <c r="K46" i="11" s="1"/>
  <c r="J45" i="11"/>
  <c r="I45" i="11"/>
  <c r="K45" i="11" s="1"/>
  <c r="J44" i="11"/>
  <c r="I44" i="11"/>
  <c r="K44" i="11" s="1"/>
  <c r="J43" i="11"/>
  <c r="I43" i="11"/>
  <c r="K43" i="11" s="1"/>
  <c r="J42" i="11"/>
  <c r="I42" i="11"/>
  <c r="K42" i="11" s="1"/>
  <c r="J41" i="11"/>
  <c r="I41" i="11"/>
  <c r="K41" i="11" s="1"/>
  <c r="J40" i="11"/>
  <c r="I40" i="11"/>
  <c r="K40" i="11" s="1"/>
  <c r="J39" i="11"/>
  <c r="I39" i="11"/>
  <c r="K39" i="11" s="1"/>
  <c r="L39" i="11" s="1"/>
  <c r="J38" i="11"/>
  <c r="I38" i="11"/>
  <c r="K38" i="11" s="1"/>
  <c r="L38" i="11" s="1"/>
  <c r="J37" i="11"/>
  <c r="I37" i="11"/>
  <c r="K37" i="11" s="1"/>
  <c r="J36" i="11"/>
  <c r="I36" i="11"/>
  <c r="K36" i="11" s="1"/>
  <c r="L36" i="11" s="1"/>
  <c r="J35" i="11"/>
  <c r="I35" i="11"/>
  <c r="K35" i="11" s="1"/>
  <c r="J34" i="11"/>
  <c r="I34" i="11"/>
  <c r="K34" i="11" s="1"/>
  <c r="J33" i="11"/>
  <c r="I33" i="11"/>
  <c r="K33" i="11" s="1"/>
  <c r="J32" i="11"/>
  <c r="I32" i="11"/>
  <c r="K32" i="11" s="1"/>
  <c r="J31" i="11"/>
  <c r="I31" i="11"/>
  <c r="K31" i="11" s="1"/>
  <c r="L31" i="11" s="1"/>
  <c r="J30" i="11"/>
  <c r="I30" i="11"/>
  <c r="K30" i="11" s="1"/>
  <c r="J29" i="11"/>
  <c r="I29" i="11"/>
  <c r="K29" i="11" s="1"/>
  <c r="J28" i="11"/>
  <c r="I28" i="11"/>
  <c r="K28" i="11" s="1"/>
  <c r="J27" i="11"/>
  <c r="I27" i="11"/>
  <c r="K27" i="11" s="1"/>
  <c r="J26" i="11"/>
  <c r="I26" i="11"/>
  <c r="K26" i="11" s="1"/>
  <c r="L26" i="11" s="1"/>
  <c r="J25" i="11"/>
  <c r="I25" i="11"/>
  <c r="K25" i="11" s="1"/>
  <c r="J24" i="11"/>
  <c r="I24" i="11"/>
  <c r="K24" i="11" s="1"/>
  <c r="J23" i="11"/>
  <c r="I23" i="11"/>
  <c r="K23" i="11" s="1"/>
  <c r="L23" i="11" s="1"/>
  <c r="J22" i="11"/>
  <c r="I22" i="11"/>
  <c r="K22" i="11" s="1"/>
  <c r="L22" i="11" s="1"/>
  <c r="J21" i="11"/>
  <c r="I21" i="11"/>
  <c r="K21" i="11" s="1"/>
  <c r="J20" i="11"/>
  <c r="I20" i="11"/>
  <c r="K20" i="11" s="1"/>
  <c r="J19" i="11"/>
  <c r="I19" i="11"/>
  <c r="K19" i="11" s="1"/>
  <c r="L19" i="11" s="1"/>
  <c r="J18" i="11"/>
  <c r="I18" i="11"/>
  <c r="K18" i="11" s="1"/>
  <c r="L18" i="11" s="1"/>
  <c r="J17" i="11"/>
  <c r="I17" i="11"/>
  <c r="K17" i="11" s="1"/>
  <c r="J16" i="11"/>
  <c r="I16" i="11"/>
  <c r="K16" i="11" s="1"/>
  <c r="L16" i="11" s="1"/>
  <c r="J15" i="11"/>
  <c r="I15" i="11"/>
  <c r="K15" i="11" s="1"/>
  <c r="L15" i="11" s="1"/>
  <c r="J14" i="11"/>
  <c r="I14" i="11"/>
  <c r="K14" i="11" s="1"/>
  <c r="J13" i="11"/>
  <c r="I13" i="11"/>
  <c r="K13" i="11" s="1"/>
  <c r="J12" i="11"/>
  <c r="I12" i="11"/>
  <c r="K12" i="11" s="1"/>
  <c r="J11" i="11"/>
  <c r="I11" i="11"/>
  <c r="K11" i="11" s="1"/>
  <c r="J10" i="11"/>
  <c r="I10" i="11"/>
  <c r="K10" i="11" s="1"/>
  <c r="J9" i="11"/>
  <c r="I9" i="11"/>
  <c r="K9" i="11" s="1"/>
  <c r="J8" i="11"/>
  <c r="I8" i="11"/>
  <c r="K8" i="11" s="1"/>
  <c r="J7" i="11"/>
  <c r="I7" i="11"/>
  <c r="K7" i="11" s="1"/>
  <c r="J6" i="11"/>
  <c r="I6" i="11"/>
  <c r="K6" i="11" s="1"/>
  <c r="J5" i="11"/>
  <c r="I5" i="11"/>
  <c r="K5" i="11" s="1"/>
  <c r="J4" i="11"/>
  <c r="I4" i="11"/>
  <c r="K4" i="11" s="1"/>
  <c r="J3" i="11"/>
  <c r="I3" i="11"/>
  <c r="K3" i="11" s="1"/>
  <c r="J2" i="11"/>
  <c r="I2" i="11"/>
  <c r="K2" i="11" s="1"/>
  <c r="L2" i="11" s="1"/>
  <c r="M101" i="15" l="1"/>
  <c r="M85" i="15"/>
  <c r="M40" i="15"/>
  <c r="M185" i="15"/>
  <c r="M57" i="15"/>
  <c r="M144" i="15"/>
  <c r="M148" i="15"/>
  <c r="M120" i="15"/>
  <c r="M104" i="15"/>
  <c r="M155" i="15"/>
  <c r="M140" i="15"/>
  <c r="M132" i="15"/>
  <c r="M60" i="15"/>
  <c r="M52" i="15"/>
  <c r="M152" i="15"/>
  <c r="M116" i="15"/>
  <c r="M17" i="15"/>
  <c r="M14" i="15"/>
  <c r="M26" i="15"/>
  <c r="M112" i="15"/>
  <c r="M56" i="15"/>
  <c r="M8" i="15"/>
  <c r="M11" i="15"/>
  <c r="M66" i="15"/>
  <c r="M126" i="15"/>
  <c r="M37" i="15"/>
  <c r="M135" i="15"/>
  <c r="M228" i="15"/>
  <c r="M288" i="15"/>
  <c r="M41" i="15"/>
  <c r="M102" i="15"/>
  <c r="M118" i="15"/>
  <c r="M133" i="15"/>
  <c r="M122" i="15"/>
  <c r="M157" i="15"/>
  <c r="M204" i="15"/>
  <c r="M268" i="15"/>
  <c r="M166" i="15"/>
  <c r="M216" i="15"/>
  <c r="M285" i="15"/>
  <c r="M214" i="15"/>
  <c r="M282" i="15"/>
  <c r="M188" i="15"/>
  <c r="M244" i="15"/>
  <c r="M308" i="15"/>
  <c r="M197" i="15"/>
  <c r="M261" i="15"/>
  <c r="M177" i="15"/>
  <c r="M255" i="15"/>
  <c r="M319" i="15"/>
  <c r="M224" i="15"/>
  <c r="M290" i="15"/>
  <c r="M212" i="15"/>
  <c r="M218" i="15"/>
  <c r="M322" i="15"/>
  <c r="M23" i="15"/>
  <c r="M29" i="15"/>
  <c r="M38" i="15"/>
  <c r="M136" i="15"/>
  <c r="M72" i="15"/>
  <c r="M10" i="15"/>
  <c r="M20" i="15"/>
  <c r="M137" i="15"/>
  <c r="M71" i="15"/>
  <c r="M55" i="15"/>
  <c r="M91" i="15"/>
  <c r="M143" i="15"/>
  <c r="M234" i="15"/>
  <c r="M295" i="15"/>
  <c r="M50" i="15"/>
  <c r="M130" i="15"/>
  <c r="M121" i="15"/>
  <c r="M65" i="15"/>
  <c r="M75" i="15"/>
  <c r="M139" i="15"/>
  <c r="M68" i="15"/>
  <c r="M125" i="15"/>
  <c r="M86" i="15"/>
  <c r="M159" i="15"/>
  <c r="M210" i="15"/>
  <c r="M275" i="15"/>
  <c r="M168" i="15"/>
  <c r="M222" i="15"/>
  <c r="M294" i="15"/>
  <c r="M229" i="15"/>
  <c r="M289" i="15"/>
  <c r="M191" i="15"/>
  <c r="M251" i="15"/>
  <c r="M315" i="15"/>
  <c r="M206" i="15"/>
  <c r="M270" i="15"/>
  <c r="M200" i="15"/>
  <c r="M264" i="15"/>
  <c r="M172" i="15"/>
  <c r="M230" i="15"/>
  <c r="M297" i="15"/>
  <c r="M286" i="15"/>
  <c r="M313" i="15"/>
  <c r="M293" i="15"/>
  <c r="M32" i="15"/>
  <c r="M48" i="15"/>
  <c r="M108" i="15"/>
  <c r="M7" i="15"/>
  <c r="M13" i="15"/>
  <c r="M25" i="15"/>
  <c r="M22" i="15"/>
  <c r="M74" i="15"/>
  <c r="M150" i="15"/>
  <c r="M100" i="15"/>
  <c r="M145" i="15"/>
  <c r="M240" i="15"/>
  <c r="M304" i="15"/>
  <c r="M53" i="15"/>
  <c r="M146" i="15"/>
  <c r="M127" i="15"/>
  <c r="M141" i="15"/>
  <c r="M134" i="15"/>
  <c r="M97" i="15"/>
  <c r="M164" i="15"/>
  <c r="M225" i="15"/>
  <c r="M284" i="15"/>
  <c r="M190" i="15"/>
  <c r="M237" i="15"/>
  <c r="M301" i="15"/>
  <c r="M235" i="15"/>
  <c r="M298" i="15"/>
  <c r="M194" i="15"/>
  <c r="M260" i="15"/>
  <c r="M161" i="15"/>
  <c r="M221" i="15"/>
  <c r="M277" i="15"/>
  <c r="M207" i="15"/>
  <c r="M271" i="15"/>
  <c r="M184" i="15"/>
  <c r="M242" i="15"/>
  <c r="M306" i="15"/>
  <c r="M287" i="15"/>
  <c r="M34" i="15"/>
  <c r="M80" i="15"/>
  <c r="M4" i="15"/>
  <c r="M16" i="15"/>
  <c r="M19" i="15"/>
  <c r="M31" i="15"/>
  <c r="M43" i="15"/>
  <c r="M82" i="15"/>
  <c r="M162" i="15"/>
  <c r="M79" i="15"/>
  <c r="M107" i="15"/>
  <c r="M171" i="15"/>
  <c r="M247" i="15"/>
  <c r="M58" i="15"/>
  <c r="M160" i="15"/>
  <c r="M151" i="15"/>
  <c r="M67" i="15"/>
  <c r="M78" i="15"/>
  <c r="M154" i="15"/>
  <c r="M76" i="15"/>
  <c r="M142" i="15"/>
  <c r="M180" i="15"/>
  <c r="M231" i="15"/>
  <c r="M291" i="15"/>
  <c r="M192" i="15"/>
  <c r="M246" i="15"/>
  <c r="M310" i="15"/>
  <c r="M241" i="15"/>
  <c r="M305" i="15"/>
  <c r="M196" i="15"/>
  <c r="M267" i="15"/>
  <c r="M163" i="15"/>
  <c r="M227" i="15"/>
  <c r="M280" i="15"/>
  <c r="M187" i="15"/>
  <c r="M249" i="15"/>
  <c r="M198" i="15"/>
  <c r="M44" i="15"/>
  <c r="M88" i="15"/>
  <c r="M6" i="15"/>
  <c r="M18" i="15"/>
  <c r="M28" i="15"/>
  <c r="M39" i="15"/>
  <c r="M54" i="15"/>
  <c r="M99" i="15"/>
  <c r="M178" i="15"/>
  <c r="M89" i="15"/>
  <c r="M69" i="15"/>
  <c r="M114" i="15"/>
  <c r="M182" i="15"/>
  <c r="M256" i="15"/>
  <c r="M311" i="15"/>
  <c r="M61" i="15"/>
  <c r="M92" i="15"/>
  <c r="M153" i="15"/>
  <c r="M156" i="15"/>
  <c r="M84" i="15"/>
  <c r="M170" i="15"/>
  <c r="M103" i="15"/>
  <c r="M236" i="15"/>
  <c r="M300" i="15"/>
  <c r="M199" i="15"/>
  <c r="M253" i="15"/>
  <c r="M317" i="15"/>
  <c r="M250" i="15"/>
  <c r="M314" i="15"/>
  <c r="M209" i="15"/>
  <c r="M276" i="15"/>
  <c r="M174" i="15"/>
  <c r="M232" i="15"/>
  <c r="M258" i="15"/>
  <c r="M47" i="15"/>
  <c r="M9" i="15"/>
  <c r="M21" i="15"/>
  <c r="M33" i="15"/>
  <c r="M30" i="15"/>
  <c r="M124" i="15"/>
  <c r="M64" i="15"/>
  <c r="M110" i="15"/>
  <c r="M117" i="15"/>
  <c r="M193" i="15"/>
  <c r="M263" i="15"/>
  <c r="M94" i="15"/>
  <c r="M169" i="15"/>
  <c r="M70" i="15"/>
  <c r="M81" i="15"/>
  <c r="M186" i="15"/>
  <c r="M106" i="15"/>
  <c r="M183" i="15"/>
  <c r="M131" i="15"/>
  <c r="M175" i="15"/>
  <c r="M243" i="15"/>
  <c r="M307" i="15"/>
  <c r="M202" i="15"/>
  <c r="M262" i="15"/>
  <c r="M181" i="15"/>
  <c r="M257" i="15"/>
  <c r="M321" i="15"/>
  <c r="M215" i="15"/>
  <c r="M283" i="15"/>
  <c r="M176" i="15"/>
  <c r="M238" i="15"/>
  <c r="M302" i="15"/>
  <c r="M233" i="15"/>
  <c r="M296" i="15"/>
  <c r="M201" i="15"/>
  <c r="M265" i="15"/>
  <c r="M309" i="15"/>
  <c r="M213" i="15"/>
  <c r="M3" i="15"/>
  <c r="M15" i="15"/>
  <c r="M27" i="15"/>
  <c r="M35" i="15"/>
  <c r="M36" i="15"/>
  <c r="M2" i="15"/>
  <c r="M128" i="15"/>
  <c r="M113" i="15"/>
  <c r="M63" i="15"/>
  <c r="M95" i="15"/>
  <c r="M123" i="15"/>
  <c r="M217" i="15"/>
  <c r="M272" i="15"/>
  <c r="M320" i="15"/>
  <c r="M87" i="15"/>
  <c r="M105" i="15"/>
  <c r="M62" i="15"/>
  <c r="M83" i="15"/>
  <c r="M51" i="15"/>
  <c r="M109" i="15"/>
  <c r="M147" i="15"/>
  <c r="M252" i="15"/>
  <c r="M316" i="15"/>
  <c r="M205" i="15"/>
  <c r="M269" i="15"/>
  <c r="M203" i="15"/>
  <c r="M266" i="15"/>
  <c r="M220" i="15"/>
  <c r="M292" i="15"/>
  <c r="M179" i="15"/>
  <c r="M245" i="15"/>
  <c r="M239" i="15"/>
  <c r="M303" i="15"/>
  <c r="M274" i="15"/>
  <c r="M12" i="15"/>
  <c r="M24" i="15"/>
  <c r="M42" i="15"/>
  <c r="M46" i="15"/>
  <c r="M96" i="15"/>
  <c r="M5" i="15"/>
  <c r="M119" i="15"/>
  <c r="M138" i="15"/>
  <c r="M77" i="15"/>
  <c r="M129" i="15"/>
  <c r="M223" i="15"/>
  <c r="M279" i="15"/>
  <c r="M98" i="15"/>
  <c r="M111" i="15"/>
  <c r="M73" i="15"/>
  <c r="M90" i="15"/>
  <c r="M59" i="15"/>
  <c r="M115" i="15"/>
  <c r="M149" i="15"/>
  <c r="M195" i="15"/>
  <c r="M259" i="15"/>
  <c r="M158" i="15"/>
  <c r="M211" i="15"/>
  <c r="M278" i="15"/>
  <c r="M208" i="15"/>
  <c r="M273" i="15"/>
  <c r="M226" i="15"/>
  <c r="M299" i="15"/>
  <c r="M189" i="15"/>
  <c r="M254" i="15"/>
  <c r="M318" i="15"/>
  <c r="M248" i="15"/>
  <c r="M312" i="15"/>
  <c r="M219" i="15"/>
  <c r="M281" i="15"/>
  <c r="M173" i="15"/>
  <c r="M45" i="15"/>
  <c r="M49" i="15"/>
  <c r="M93" i="15"/>
  <c r="M167" i="15"/>
  <c r="L59" i="13"/>
  <c r="L63" i="13"/>
  <c r="L67" i="13"/>
  <c r="V69" i="13" s="1"/>
  <c r="L71" i="13"/>
  <c r="L75" i="13"/>
  <c r="L83" i="13"/>
  <c r="L87" i="13"/>
  <c r="L95" i="13"/>
  <c r="L99" i="13"/>
  <c r="L103" i="13"/>
  <c r="L107" i="13"/>
  <c r="L111" i="13"/>
  <c r="L119" i="13"/>
  <c r="L127" i="13"/>
  <c r="L131" i="13"/>
  <c r="L249" i="13"/>
  <c r="L253" i="13"/>
  <c r="L273" i="13"/>
  <c r="L281" i="13"/>
  <c r="L289" i="13"/>
  <c r="L297" i="13"/>
  <c r="L320" i="13"/>
  <c r="V102" i="13" s="1"/>
  <c r="L195" i="13"/>
  <c r="L199" i="13"/>
  <c r="L203" i="13"/>
  <c r="L61" i="13"/>
  <c r="L65" i="13"/>
  <c r="V67" i="13" s="1"/>
  <c r="L77" i="13"/>
  <c r="V79" i="13" s="1"/>
  <c r="L81" i="13"/>
  <c r="V83" i="13" s="1"/>
  <c r="L89" i="13"/>
  <c r="L93" i="13"/>
  <c r="L105" i="13"/>
  <c r="L3" i="12"/>
  <c r="L39" i="12"/>
  <c r="L47" i="12"/>
  <c r="L16" i="12"/>
  <c r="L24" i="12"/>
  <c r="L32" i="12"/>
  <c r="L36" i="12"/>
  <c r="L40" i="12"/>
  <c r="L44" i="12"/>
  <c r="L48" i="12"/>
  <c r="L322" i="12"/>
  <c r="N5" i="14"/>
  <c r="N2" i="14"/>
  <c r="L52" i="12"/>
  <c r="L321" i="12"/>
  <c r="V103" i="12" s="1"/>
  <c r="L73" i="12"/>
  <c r="V75" i="12" s="1"/>
  <c r="L77" i="12"/>
  <c r="L85" i="12"/>
  <c r="L89" i="12"/>
  <c r="L93" i="12"/>
  <c r="L101" i="12"/>
  <c r="L109" i="12"/>
  <c r="L113" i="12"/>
  <c r="L125" i="12"/>
  <c r="L161" i="12"/>
  <c r="L165" i="12"/>
  <c r="L169" i="12"/>
  <c r="L173" i="12"/>
  <c r="L189" i="12"/>
  <c r="L197" i="12"/>
  <c r="L205" i="12"/>
  <c r="L229" i="12"/>
  <c r="L277" i="12"/>
  <c r="L281" i="12"/>
  <c r="L285" i="12"/>
  <c r="L293" i="12"/>
  <c r="L297" i="12"/>
  <c r="L301" i="12"/>
  <c r="L309" i="12"/>
  <c r="V91" i="12" s="1"/>
  <c r="L318" i="12"/>
  <c r="V100" i="12" s="1"/>
  <c r="L314" i="12"/>
  <c r="L305" i="11"/>
  <c r="V87" i="11" s="1"/>
  <c r="L238" i="11"/>
  <c r="L242" i="11"/>
  <c r="L246" i="11"/>
  <c r="L254" i="11"/>
  <c r="L262" i="11"/>
  <c r="L266" i="11"/>
  <c r="L270" i="11"/>
  <c r="L274" i="11"/>
  <c r="L314" i="11"/>
  <c r="L320" i="12"/>
  <c r="V102" i="12" s="1"/>
  <c r="L317" i="12"/>
  <c r="V99" i="12" s="1"/>
  <c r="L142" i="12"/>
  <c r="L146" i="12"/>
  <c r="L158" i="12"/>
  <c r="L181" i="12"/>
  <c r="L185" i="12"/>
  <c r="L51" i="12"/>
  <c r="L155" i="12"/>
  <c r="L182" i="12"/>
  <c r="L92" i="12"/>
  <c r="L100" i="12"/>
  <c r="L104" i="12"/>
  <c r="L163" i="12"/>
  <c r="L167" i="12"/>
  <c r="L171" i="12"/>
  <c r="L175" i="12"/>
  <c r="L179" i="12"/>
  <c r="L194" i="12"/>
  <c r="L234" i="12"/>
  <c r="L242" i="12"/>
  <c r="L246" i="12"/>
  <c r="L258" i="12"/>
  <c r="L262" i="12"/>
  <c r="L266" i="12"/>
  <c r="L274" i="12"/>
  <c r="L278" i="12"/>
  <c r="L282" i="12"/>
  <c r="L290" i="12"/>
  <c r="L294" i="12"/>
  <c r="L298" i="12"/>
  <c r="L319" i="12"/>
  <c r="V101" i="12" s="1"/>
  <c r="L316" i="12"/>
  <c r="V98" i="12" s="1"/>
  <c r="L53" i="12"/>
  <c r="L187" i="12"/>
  <c r="L90" i="12"/>
  <c r="L221" i="12"/>
  <c r="L232" i="12"/>
  <c r="L279" i="12"/>
  <c r="L287" i="12"/>
  <c r="L315" i="12"/>
  <c r="V97" i="12" s="1"/>
  <c r="L102" i="12"/>
  <c r="L180" i="12"/>
  <c r="L68" i="12"/>
  <c r="V70" i="12" s="1"/>
  <c r="L75" i="12"/>
  <c r="V77" i="12" s="1"/>
  <c r="L79" i="12"/>
  <c r="V81" i="12" s="1"/>
  <c r="L83" i="12"/>
  <c r="L87" i="12"/>
  <c r="L118" i="12"/>
  <c r="L122" i="12"/>
  <c r="L126" i="12"/>
  <c r="L130" i="12"/>
  <c r="L137" i="12"/>
  <c r="L198" i="12"/>
  <c r="L210" i="12"/>
  <c r="L214" i="12"/>
  <c r="L218" i="12"/>
  <c r="L226" i="12"/>
  <c r="L233" i="12"/>
  <c r="L284" i="12"/>
  <c r="L288" i="12"/>
  <c r="L292" i="12"/>
  <c r="L296" i="12"/>
  <c r="L5" i="12"/>
  <c r="L9" i="12"/>
  <c r="L13" i="12"/>
  <c r="L17" i="12"/>
  <c r="L21" i="12"/>
  <c r="L25" i="12"/>
  <c r="L29" i="12"/>
  <c r="L33" i="12"/>
  <c r="L45" i="12"/>
  <c r="L95" i="12"/>
  <c r="L103" i="12"/>
  <c r="L134" i="12"/>
  <c r="L164" i="12"/>
  <c r="L168" i="12"/>
  <c r="L176" i="12"/>
  <c r="L230" i="12"/>
  <c r="L237" i="12"/>
  <c r="L245" i="12"/>
  <c r="L253" i="12"/>
  <c r="L269" i="12"/>
  <c r="L300" i="12"/>
  <c r="L304" i="12"/>
  <c r="V86" i="12" s="1"/>
  <c r="L308" i="12"/>
  <c r="V90" i="12" s="1"/>
  <c r="L312" i="12"/>
  <c r="V94" i="12" s="1"/>
  <c r="L7" i="11"/>
  <c r="L90" i="11"/>
  <c r="L102" i="11"/>
  <c r="L4" i="11"/>
  <c r="L79" i="11"/>
  <c r="V81" i="11" s="1"/>
  <c r="L87" i="11"/>
  <c r="L91" i="11"/>
  <c r="L95" i="11"/>
  <c r="L5" i="11"/>
  <c r="L9" i="11"/>
  <c r="L80" i="11"/>
  <c r="L88" i="11"/>
  <c r="L104" i="11"/>
  <c r="L108" i="11"/>
  <c r="L120" i="11"/>
  <c r="L136" i="11"/>
  <c r="L144" i="11"/>
  <c r="L152" i="11"/>
  <c r="L156" i="11"/>
  <c r="L160" i="11"/>
  <c r="L164" i="11"/>
  <c r="L168" i="11"/>
  <c r="L172" i="11"/>
  <c r="L176" i="11"/>
  <c r="L184" i="11"/>
  <c r="L192" i="11"/>
  <c r="L196" i="11"/>
  <c r="L200" i="11"/>
  <c r="L204" i="11"/>
  <c r="L212" i="11"/>
  <c r="L220" i="11"/>
  <c r="L224" i="11"/>
  <c r="L228" i="11"/>
  <c r="L232" i="11"/>
  <c r="L244" i="11"/>
  <c r="L252" i="11"/>
  <c r="L256" i="11"/>
  <c r="L260" i="11"/>
  <c r="L264" i="11"/>
  <c r="L272" i="11"/>
  <c r="L276" i="11"/>
  <c r="L77" i="11"/>
  <c r="L75" i="11"/>
  <c r="L32" i="11"/>
  <c r="L76" i="11"/>
  <c r="V78" i="11" s="1"/>
  <c r="L209" i="11"/>
  <c r="L213" i="11"/>
  <c r="L249" i="11"/>
  <c r="L37" i="11"/>
  <c r="L41" i="11"/>
  <c r="L45" i="11"/>
  <c r="L49" i="11"/>
  <c r="L53" i="11"/>
  <c r="L57" i="11"/>
  <c r="L65" i="11"/>
  <c r="V67" i="11" s="1"/>
  <c r="L69" i="11"/>
  <c r="V71" i="11" s="1"/>
  <c r="L73" i="11"/>
  <c r="V75" i="11" s="1"/>
  <c r="L96" i="11"/>
  <c r="L103" i="11"/>
  <c r="L162" i="11"/>
  <c r="L170" i="11"/>
  <c r="L174" i="11"/>
  <c r="L178" i="11"/>
  <c r="L182" i="11"/>
  <c r="L186" i="11"/>
  <c r="L202" i="11"/>
  <c r="L206" i="11"/>
  <c r="L210" i="11"/>
  <c r="L214" i="11"/>
  <c r="L253" i="11"/>
  <c r="L257" i="11"/>
  <c r="L261" i="11"/>
  <c r="L265" i="11"/>
  <c r="L269" i="11"/>
  <c r="L273" i="11"/>
  <c r="L280" i="11"/>
  <c r="L312" i="11"/>
  <c r="V94" i="11" s="1"/>
  <c r="L18" i="13"/>
  <c r="L22" i="13"/>
  <c r="L26" i="13"/>
  <c r="L30" i="13"/>
  <c r="L34" i="13"/>
  <c r="L38" i="13"/>
  <c r="L189" i="13"/>
  <c r="L193" i="13"/>
  <c r="L197" i="13"/>
  <c r="L205" i="13"/>
  <c r="L209" i="13"/>
  <c r="L288" i="13"/>
  <c r="L292" i="13"/>
  <c r="L296" i="13"/>
  <c r="L304" i="13"/>
  <c r="V86" i="13" s="1"/>
  <c r="L312" i="13"/>
  <c r="V94" i="13" s="1"/>
  <c r="L316" i="13"/>
  <c r="V98" i="13" s="1"/>
  <c r="L58" i="13"/>
  <c r="L62" i="13"/>
  <c r="V64" i="13" s="1"/>
  <c r="L70" i="13"/>
  <c r="V72" i="13" s="1"/>
  <c r="L102" i="13"/>
  <c r="L106" i="13"/>
  <c r="L134" i="13"/>
  <c r="L138" i="13"/>
  <c r="L154" i="13"/>
  <c r="L158" i="13"/>
  <c r="L162" i="13"/>
  <c r="L174" i="13"/>
  <c r="L182" i="13"/>
  <c r="L237" i="13"/>
  <c r="L241" i="13"/>
  <c r="L176" i="13"/>
  <c r="L239" i="13"/>
  <c r="L243" i="13"/>
  <c r="L29" i="13"/>
  <c r="L33" i="13"/>
  <c r="L37" i="13"/>
  <c r="L192" i="13"/>
  <c r="L196" i="13"/>
  <c r="L204" i="13"/>
  <c r="L208" i="13"/>
  <c r="L212" i="13"/>
  <c r="L216" i="13"/>
  <c r="L228" i="13"/>
  <c r="L232" i="13"/>
  <c r="L255" i="13"/>
  <c r="L259" i="13"/>
  <c r="L263" i="13"/>
  <c r="L267" i="13"/>
  <c r="L271" i="13"/>
  <c r="L275" i="13"/>
  <c r="L279" i="13"/>
  <c r="L283" i="13"/>
  <c r="L287" i="13"/>
  <c r="L121" i="13"/>
  <c r="L125" i="13"/>
  <c r="L240" i="13"/>
  <c r="L244" i="13"/>
  <c r="L321" i="13"/>
  <c r="V103" i="13" s="1"/>
  <c r="L2" i="13"/>
  <c r="L6" i="13"/>
  <c r="L10" i="13"/>
  <c r="L53" i="13"/>
  <c r="L80" i="13"/>
  <c r="V82" i="13" s="1"/>
  <c r="L84" i="13"/>
  <c r="L88" i="13"/>
  <c r="L155" i="13"/>
  <c r="L159" i="13"/>
  <c r="L163" i="13"/>
  <c r="L167" i="13"/>
  <c r="L171" i="13"/>
  <c r="L175" i="13"/>
  <c r="L179" i="13"/>
  <c r="L183" i="13"/>
  <c r="L217" i="13"/>
  <c r="L221" i="13"/>
  <c r="L225" i="13"/>
  <c r="L233" i="13"/>
  <c r="L248" i="13"/>
  <c r="L252" i="13"/>
  <c r="L256" i="13"/>
  <c r="L260" i="13"/>
  <c r="L268" i="13"/>
  <c r="L272" i="13"/>
  <c r="L284" i="13"/>
  <c r="L303" i="13"/>
  <c r="V85" i="13" s="1"/>
  <c r="L307" i="13"/>
  <c r="V89" i="13" s="1"/>
  <c r="L311" i="13"/>
  <c r="V93" i="13" s="1"/>
  <c r="L315" i="13"/>
  <c r="V97" i="13" s="1"/>
  <c r="L319" i="13"/>
  <c r="V101" i="13" s="1"/>
  <c r="L3" i="13"/>
  <c r="L46" i="13"/>
  <c r="L54" i="13"/>
  <c r="L116" i="13"/>
  <c r="L234" i="13"/>
  <c r="L74" i="13"/>
  <c r="V76" i="13" s="1"/>
  <c r="L133" i="13"/>
  <c r="L207" i="13"/>
  <c r="L242" i="13"/>
  <c r="L8" i="13"/>
  <c r="L43" i="13"/>
  <c r="L51" i="13"/>
  <c r="L55" i="13"/>
  <c r="L78" i="13"/>
  <c r="V80" i="13" s="1"/>
  <c r="L82" i="13"/>
  <c r="L90" i="13"/>
  <c r="L141" i="13"/>
  <c r="L145" i="13"/>
  <c r="L149" i="13"/>
  <c r="L153" i="13"/>
  <c r="L157" i="13"/>
  <c r="L161" i="13"/>
  <c r="L165" i="13"/>
  <c r="L169" i="13"/>
  <c r="L211" i="13"/>
  <c r="L215" i="13"/>
  <c r="L223" i="13"/>
  <c r="L227" i="13"/>
  <c r="L250" i="13"/>
  <c r="L254" i="13"/>
  <c r="L258" i="13"/>
  <c r="L262" i="13"/>
  <c r="L266" i="13"/>
  <c r="L270" i="13"/>
  <c r="L274" i="13"/>
  <c r="L278" i="13"/>
  <c r="L286" i="13"/>
  <c r="L301" i="13"/>
  <c r="L317" i="13"/>
  <c r="V99" i="13" s="1"/>
  <c r="L11" i="13"/>
  <c r="L235" i="13"/>
  <c r="L137" i="13"/>
  <c r="L181" i="13"/>
  <c r="L218" i="13"/>
  <c r="L247" i="13"/>
  <c r="L251" i="13"/>
  <c r="L285" i="13"/>
  <c r="L300" i="13"/>
  <c r="L184" i="13"/>
  <c r="L210" i="13"/>
  <c r="L191" i="13"/>
  <c r="L118" i="13"/>
  <c r="L49" i="13"/>
  <c r="L56" i="13"/>
  <c r="L115" i="13"/>
  <c r="L150" i="13"/>
  <c r="L172" i="13"/>
  <c r="L313" i="13"/>
  <c r="V95" i="13" s="1"/>
  <c r="L97" i="13"/>
  <c r="L135" i="13"/>
  <c r="L166" i="13"/>
  <c r="L299" i="13"/>
  <c r="L7" i="13"/>
  <c r="L21" i="13"/>
  <c r="L36" i="13"/>
  <c r="L68" i="13"/>
  <c r="V70" i="13" s="1"/>
  <c r="L101" i="13"/>
  <c r="L104" i="13"/>
  <c r="L108" i="13"/>
  <c r="L112" i="13"/>
  <c r="L139" i="13"/>
  <c r="L143" i="13"/>
  <c r="L147" i="13"/>
  <c r="L151" i="13"/>
  <c r="L170" i="13"/>
  <c r="L173" i="13"/>
  <c r="L180" i="13"/>
  <c r="L224" i="13"/>
  <c r="L231" i="13"/>
  <c r="L257" i="13"/>
  <c r="L261" i="13"/>
  <c r="L265" i="13"/>
  <c r="L269" i="13"/>
  <c r="L276" i="13"/>
  <c r="L280" i="13"/>
  <c r="L291" i="13"/>
  <c r="L295" i="13"/>
  <c r="L310" i="13"/>
  <c r="V92" i="13" s="1"/>
  <c r="L314" i="13"/>
  <c r="V96" i="13" s="1"/>
  <c r="L39" i="13"/>
  <c r="L94" i="13"/>
  <c r="L28" i="13"/>
  <c r="L66" i="13"/>
  <c r="V68" i="13" s="1"/>
  <c r="L98" i="13"/>
  <c r="L124" i="13"/>
  <c r="L190" i="13"/>
  <c r="L282" i="13"/>
  <c r="L246" i="13"/>
  <c r="L92" i="13"/>
  <c r="L13" i="13"/>
  <c r="L72" i="13"/>
  <c r="V74" i="13" s="1"/>
  <c r="L85" i="13"/>
  <c r="L177" i="13"/>
  <c r="L200" i="13"/>
  <c r="L213" i="13"/>
  <c r="L229" i="13"/>
  <c r="L245" i="13"/>
  <c r="L305" i="13"/>
  <c r="V87" i="13" s="1"/>
  <c r="L308" i="13"/>
  <c r="V90" i="13" s="1"/>
  <c r="L17" i="13"/>
  <c r="L123" i="13"/>
  <c r="L4" i="13"/>
  <c r="L41" i="13"/>
  <c r="L219" i="13"/>
  <c r="L214" i="13"/>
  <c r="L230" i="13"/>
  <c r="L114" i="13"/>
  <c r="L14" i="13"/>
  <c r="L20" i="13"/>
  <c r="L35" i="13"/>
  <c r="L42" i="13"/>
  <c r="L45" i="13"/>
  <c r="L60" i="13"/>
  <c r="L73" i="13"/>
  <c r="V75" i="13" s="1"/>
  <c r="L76" i="13"/>
  <c r="V78" i="13" s="1"/>
  <c r="L79" i="13"/>
  <c r="V81" i="13" s="1"/>
  <c r="L91" i="13"/>
  <c r="L96" i="13"/>
  <c r="L110" i="13"/>
  <c r="L122" i="13"/>
  <c r="L129" i="13"/>
  <c r="L178" i="13"/>
  <c r="L185" i="13"/>
  <c r="L188" i="13"/>
  <c r="L198" i="13"/>
  <c r="L201" i="13"/>
  <c r="L220" i="13"/>
  <c r="L236" i="13"/>
  <c r="L264" i="13"/>
  <c r="L277" i="13"/>
  <c r="L290" i="13"/>
  <c r="L293" i="13"/>
  <c r="L306" i="13"/>
  <c r="V88" i="13" s="1"/>
  <c r="L309" i="13"/>
  <c r="V91" i="13" s="1"/>
  <c r="V65" i="13"/>
  <c r="L5" i="13"/>
  <c r="L12" i="13"/>
  <c r="L47" i="13"/>
  <c r="L50" i="13"/>
  <c r="L57" i="13"/>
  <c r="L15" i="13"/>
  <c r="L25" i="13"/>
  <c r="L86" i="13"/>
  <c r="L9" i="13"/>
  <c r="V66" i="13"/>
  <c r="L69" i="13"/>
  <c r="V73" i="13"/>
  <c r="V77" i="13"/>
  <c r="L130" i="13"/>
  <c r="L146" i="13"/>
  <c r="L164" i="13"/>
  <c r="L109" i="13"/>
  <c r="L113" i="13"/>
  <c r="L117" i="13"/>
  <c r="L126" i="13"/>
  <c r="L142" i="13"/>
  <c r="V100" i="13"/>
  <c r="V84" i="13"/>
  <c r="L69" i="12"/>
  <c r="V71" i="12" s="1"/>
  <c r="L105" i="12"/>
  <c r="L120" i="12"/>
  <c r="L149" i="12"/>
  <c r="L201" i="12"/>
  <c r="L249" i="12"/>
  <c r="L264" i="12"/>
  <c r="L313" i="12"/>
  <c r="V95" i="12" s="1"/>
  <c r="L106" i="12"/>
  <c r="L136" i="12"/>
  <c r="L150" i="12"/>
  <c r="L49" i="12"/>
  <c r="L72" i="12"/>
  <c r="V74" i="12" s="1"/>
  <c r="L153" i="12"/>
  <c r="L224" i="12"/>
  <c r="L291" i="12"/>
  <c r="L306" i="12"/>
  <c r="V88" i="12" s="1"/>
  <c r="L7" i="12"/>
  <c r="L15" i="12"/>
  <c r="L23" i="12"/>
  <c r="L31" i="12"/>
  <c r="L38" i="12"/>
  <c r="L57" i="12"/>
  <c r="L61" i="12"/>
  <c r="L65" i="12"/>
  <c r="V67" i="12" s="1"/>
  <c r="L76" i="12"/>
  <c r="V78" i="12" s="1"/>
  <c r="L80" i="12"/>
  <c r="V82" i="12" s="1"/>
  <c r="L96" i="12"/>
  <c r="L157" i="12"/>
  <c r="L170" i="12"/>
  <c r="L177" i="12"/>
  <c r="L191" i="12"/>
  <c r="L195" i="12"/>
  <c r="L202" i="12"/>
  <c r="L213" i="12"/>
  <c r="L217" i="12"/>
  <c r="L239" i="12"/>
  <c r="L243" i="12"/>
  <c r="L250" i="12"/>
  <c r="L261" i="12"/>
  <c r="L265" i="12"/>
  <c r="L280" i="12"/>
  <c r="L295" i="12"/>
  <c r="L310" i="12"/>
  <c r="V92" i="12" s="1"/>
  <c r="V96" i="12"/>
  <c r="L20" i="12"/>
  <c r="L27" i="12"/>
  <c r="L37" i="12"/>
  <c r="L41" i="12"/>
  <c r="L116" i="12"/>
  <c r="L148" i="12"/>
  <c r="L166" i="12"/>
  <c r="L172" i="12"/>
  <c r="L184" i="12"/>
  <c r="L203" i="12"/>
  <c r="L219" i="12"/>
  <c r="L235" i="12"/>
  <c r="L251" i="12"/>
  <c r="L267" i="12"/>
  <c r="L283" i="12"/>
  <c r="L299" i="12"/>
  <c r="L10" i="12"/>
  <c r="L28" i="12"/>
  <c r="L35" i="12"/>
  <c r="L42" i="12"/>
  <c r="L129" i="12"/>
  <c r="L71" i="12"/>
  <c r="V73" i="12" s="1"/>
  <c r="L141" i="12"/>
  <c r="L186" i="12"/>
  <c r="L11" i="12"/>
  <c r="L18" i="12"/>
  <c r="L43" i="12"/>
  <c r="L121" i="12"/>
  <c r="L132" i="12"/>
  <c r="L156" i="12"/>
  <c r="L159" i="12"/>
  <c r="L162" i="12"/>
  <c r="L133" i="12"/>
  <c r="L12" i="12"/>
  <c r="L19" i="12"/>
  <c r="L26" i="12"/>
  <c r="L81" i="12"/>
  <c r="V83" i="12" s="1"/>
  <c r="L97" i="12"/>
  <c r="L139" i="12"/>
  <c r="L145" i="12"/>
  <c r="L154" i="12"/>
  <c r="L190" i="12"/>
  <c r="L193" i="12"/>
  <c r="L206" i="12"/>
  <c r="L209" i="12"/>
  <c r="L222" i="12"/>
  <c r="L225" i="12"/>
  <c r="L238" i="12"/>
  <c r="L241" i="12"/>
  <c r="L254" i="12"/>
  <c r="L257" i="12"/>
  <c r="L270" i="12"/>
  <c r="L273" i="12"/>
  <c r="L286" i="12"/>
  <c r="L289" i="12"/>
  <c r="L302" i="12"/>
  <c r="V84" i="12" s="1"/>
  <c r="L305" i="12"/>
  <c r="V87" i="12" s="1"/>
  <c r="V66" i="12"/>
  <c r="V64" i="12"/>
  <c r="V79" i="12"/>
  <c r="V76" i="12"/>
  <c r="L67" i="12"/>
  <c r="L91" i="12"/>
  <c r="V68" i="12"/>
  <c r="L99" i="12"/>
  <c r="L117" i="12"/>
  <c r="L14" i="11"/>
  <c r="L78" i="11"/>
  <c r="V80" i="11" s="1"/>
  <c r="L82" i="11"/>
  <c r="L85" i="11"/>
  <c r="L101" i="11"/>
  <c r="L112" i="11"/>
  <c r="L123" i="11"/>
  <c r="L127" i="11"/>
  <c r="L131" i="11"/>
  <c r="L142" i="11"/>
  <c r="L149" i="11"/>
  <c r="L159" i="11"/>
  <c r="L284" i="11"/>
  <c r="L292" i="11"/>
  <c r="L296" i="11"/>
  <c r="L304" i="11"/>
  <c r="V86" i="11" s="1"/>
  <c r="L315" i="11"/>
  <c r="V97" i="11" s="1"/>
  <c r="L27" i="11"/>
  <c r="L86" i="11"/>
  <c r="L93" i="11"/>
  <c r="L124" i="11"/>
  <c r="L128" i="11"/>
  <c r="L135" i="11"/>
  <c r="L139" i="11"/>
  <c r="L143" i="11"/>
  <c r="L157" i="11"/>
  <c r="L188" i="11"/>
  <c r="L250" i="11"/>
  <c r="L277" i="11"/>
  <c r="L308" i="11"/>
  <c r="V90" i="11" s="1"/>
  <c r="L13" i="11"/>
  <c r="L43" i="11"/>
  <c r="L94" i="11"/>
  <c r="L125" i="11"/>
  <c r="L129" i="11"/>
  <c r="L140" i="11"/>
  <c r="L158" i="11"/>
  <c r="L189" i="11"/>
  <c r="L216" i="11"/>
  <c r="L278" i="11"/>
  <c r="L309" i="11"/>
  <c r="V91" i="11" s="1"/>
  <c r="L6" i="11"/>
  <c r="L17" i="11"/>
  <c r="L97" i="11"/>
  <c r="L107" i="11"/>
  <c r="L271" i="11"/>
  <c r="L290" i="11"/>
  <c r="L294" i="11"/>
  <c r="L298" i="11"/>
  <c r="L302" i="11"/>
  <c r="V84" i="11" s="1"/>
  <c r="L306" i="11"/>
  <c r="V88" i="11" s="1"/>
  <c r="L313" i="11"/>
  <c r="V95" i="11" s="1"/>
  <c r="V99" i="11"/>
  <c r="V103" i="11"/>
  <c r="L3" i="11"/>
  <c r="L10" i="11"/>
  <c r="L21" i="11"/>
  <c r="L25" i="11"/>
  <c r="L29" i="11"/>
  <c r="L40" i="11"/>
  <c r="L44" i="11"/>
  <c r="L66" i="11"/>
  <c r="V68" i="11" s="1"/>
  <c r="L81" i="11"/>
  <c r="V83" i="11" s="1"/>
  <c r="L111" i="11"/>
  <c r="L115" i="11"/>
  <c r="L126" i="11"/>
  <c r="L148" i="11"/>
  <c r="L190" i="11"/>
  <c r="L217" i="11"/>
  <c r="L248" i="11"/>
  <c r="L310" i="11"/>
  <c r="V92" i="11" s="1"/>
  <c r="L191" i="11"/>
  <c r="L35" i="11"/>
  <c r="L98" i="11"/>
  <c r="L281" i="11"/>
  <c r="L288" i="11"/>
  <c r="L116" i="11"/>
  <c r="L279" i="11"/>
  <c r="L46" i="11"/>
  <c r="L110" i="11"/>
  <c r="L219" i="11"/>
  <c r="L251" i="11"/>
  <c r="L194" i="11"/>
  <c r="L229" i="11"/>
  <c r="L236" i="11"/>
  <c r="L52" i="11"/>
  <c r="L132" i="11"/>
  <c r="L311" i="11"/>
  <c r="V93" i="11" s="1"/>
  <c r="L11" i="11"/>
  <c r="L33" i="11"/>
  <c r="L55" i="11"/>
  <c r="L61" i="11"/>
  <c r="L71" i="11"/>
  <c r="V73" i="11" s="1"/>
  <c r="L74" i="11"/>
  <c r="V76" i="11" s="1"/>
  <c r="L89" i="11"/>
  <c r="L99" i="11"/>
  <c r="L113" i="11"/>
  <c r="L119" i="11"/>
  <c r="L141" i="11"/>
  <c r="L166" i="11"/>
  <c r="L173" i="11"/>
  <c r="L180" i="11"/>
  <c r="L198" i="11"/>
  <c r="L201" i="11"/>
  <c r="L208" i="11"/>
  <c r="L226" i="11"/>
  <c r="L233" i="11"/>
  <c r="L240" i="11"/>
  <c r="L258" i="11"/>
  <c r="L268" i="11"/>
  <c r="L286" i="11"/>
  <c r="L293" i="11"/>
  <c r="L300" i="11"/>
  <c r="V100" i="11"/>
  <c r="V79" i="11"/>
  <c r="V101" i="11"/>
  <c r="V65" i="11"/>
  <c r="V72" i="11"/>
  <c r="V85" i="11"/>
  <c r="V69" i="11"/>
  <c r="L28" i="11"/>
  <c r="L50" i="11"/>
  <c r="L84" i="11"/>
  <c r="L92" i="11"/>
  <c r="L100" i="11"/>
  <c r="L106" i="11"/>
  <c r="L138" i="11"/>
  <c r="L20" i="11"/>
  <c r="L30" i="11"/>
  <c r="V74" i="11"/>
  <c r="V77" i="11"/>
  <c r="L42" i="11"/>
  <c r="V66" i="11"/>
  <c r="L58" i="11"/>
  <c r="L68" i="11"/>
  <c r="L114" i="11"/>
  <c r="L146" i="11"/>
  <c r="L24" i="11"/>
  <c r="L118" i="11"/>
  <c r="L8" i="11"/>
  <c r="L130" i="11"/>
  <c r="L62" i="11"/>
  <c r="L150" i="11"/>
  <c r="L12" i="11"/>
  <c r="L34" i="11"/>
  <c r="V82" i="11"/>
  <c r="L83" i="11"/>
  <c r="V96" i="11"/>
  <c r="L122" i="11"/>
  <c r="L218" i="11"/>
  <c r="L282" i="11"/>
  <c r="L154" i="11"/>
  <c r="O2" i="15" l="1"/>
  <c r="P274" i="15" s="1"/>
  <c r="P45" i="15"/>
  <c r="P124" i="15"/>
  <c r="P249" i="15"/>
  <c r="P241" i="15"/>
  <c r="P215" i="15"/>
  <c r="P33" i="15"/>
  <c r="P132" i="15"/>
  <c r="P281" i="15"/>
  <c r="P246" i="15"/>
  <c r="P79" i="15"/>
  <c r="P26" i="15"/>
  <c r="P93" i="15"/>
  <c r="P296" i="15"/>
  <c r="P9" i="15"/>
  <c r="P190" i="15"/>
  <c r="P146" i="15"/>
  <c r="P248" i="15"/>
  <c r="P119" i="15"/>
  <c r="P233" i="15"/>
  <c r="P106" i="15"/>
  <c r="P6" i="15"/>
  <c r="P53" i="15"/>
  <c r="P25" i="15"/>
  <c r="P255" i="15"/>
  <c r="P104" i="15"/>
  <c r="M313" i="14"/>
  <c r="M281" i="14"/>
  <c r="M225" i="14"/>
  <c r="M297" i="14"/>
  <c r="M241" i="14"/>
  <c r="M253" i="14"/>
  <c r="M114" i="14"/>
  <c r="M111" i="14"/>
  <c r="M249" i="14"/>
  <c r="M130" i="14"/>
  <c r="M265" i="14"/>
  <c r="M150" i="14"/>
  <c r="M123" i="14"/>
  <c r="M64" i="14"/>
  <c r="M285" i="14"/>
  <c r="M245" i="14"/>
  <c r="M139" i="14"/>
  <c r="M16" i="14"/>
  <c r="M186" i="14"/>
  <c r="M167" i="14"/>
  <c r="M88" i="14"/>
  <c r="M98" i="14"/>
  <c r="M240" i="14"/>
  <c r="M145" i="14"/>
  <c r="M56" i="14"/>
  <c r="M12" i="14"/>
  <c r="M21" i="14"/>
  <c r="M54" i="14"/>
  <c r="M72" i="14"/>
  <c r="M137" i="14"/>
  <c r="M109" i="14"/>
  <c r="M185" i="14"/>
  <c r="M138" i="14"/>
  <c r="M144" i="14"/>
  <c r="M220" i="14"/>
  <c r="M160" i="14"/>
  <c r="M46" i="14"/>
  <c r="M198" i="14"/>
  <c r="M293" i="14"/>
  <c r="M55" i="14"/>
  <c r="M127" i="14"/>
  <c r="M86" i="14"/>
  <c r="M175" i="14"/>
  <c r="M62" i="14"/>
  <c r="M122" i="14"/>
  <c r="M192" i="14"/>
  <c r="M301" i="14"/>
  <c r="M314" i="14"/>
  <c r="M254" i="14"/>
  <c r="M278" i="14"/>
  <c r="M203" i="14"/>
  <c r="M279" i="14"/>
  <c r="M283" i="14"/>
  <c r="M250" i="14"/>
  <c r="M296" i="14"/>
  <c r="M67" i="14"/>
  <c r="M129" i="14"/>
  <c r="M53" i="14"/>
  <c r="M182" i="14"/>
  <c r="M84" i="14"/>
  <c r="M50" i="14"/>
  <c r="M99" i="14"/>
  <c r="M9" i="14"/>
  <c r="M180" i="14"/>
  <c r="M124" i="14"/>
  <c r="M191" i="14"/>
  <c r="M232" i="14"/>
  <c r="M310" i="14"/>
  <c r="M79" i="14"/>
  <c r="M174" i="14"/>
  <c r="M80" i="14"/>
  <c r="M119" i="14"/>
  <c r="M206" i="14"/>
  <c r="M40" i="14"/>
  <c r="M73" i="14"/>
  <c r="M135" i="14"/>
  <c r="M110" i="14"/>
  <c r="M178" i="14"/>
  <c r="M104" i="14"/>
  <c r="M74" i="14"/>
  <c r="M2" i="14"/>
  <c r="M78" i="14"/>
  <c r="M201" i="14"/>
  <c r="M168" i="14"/>
  <c r="M320" i="14"/>
  <c r="M257" i="14"/>
  <c r="M284" i="14"/>
  <c r="M223" i="14"/>
  <c r="M282" i="14"/>
  <c r="M286" i="14"/>
  <c r="M258" i="14"/>
  <c r="M303" i="14"/>
  <c r="M141" i="14"/>
  <c r="M121" i="14"/>
  <c r="M214" i="14"/>
  <c r="M87" i="14"/>
  <c r="M37" i="14"/>
  <c r="M113" i="14"/>
  <c r="M51" i="14"/>
  <c r="M106" i="14"/>
  <c r="M195" i="14"/>
  <c r="M131" i="14"/>
  <c r="M211" i="14"/>
  <c r="M217" i="14"/>
  <c r="M166" i="14"/>
  <c r="M20" i="14"/>
  <c r="M177" i="14"/>
  <c r="M159" i="14"/>
  <c r="M27" i="14"/>
  <c r="M212" i="14"/>
  <c r="M196" i="14"/>
  <c r="M155" i="14"/>
  <c r="M120" i="14"/>
  <c r="M210" i="14"/>
  <c r="M190" i="14"/>
  <c r="M29" i="14"/>
  <c r="M13" i="14"/>
  <c r="M115" i="14"/>
  <c r="M204" i="14"/>
  <c r="M200" i="14"/>
  <c r="M273" i="14"/>
  <c r="M291" i="14"/>
  <c r="M295" i="14"/>
  <c r="M242" i="14"/>
  <c r="M184" i="14"/>
  <c r="M288" i="14"/>
  <c r="M292" i="14"/>
  <c r="M264" i="14"/>
  <c r="M306" i="14"/>
  <c r="M5" i="14"/>
  <c r="M60" i="14"/>
  <c r="M105" i="14"/>
  <c r="M4" i="14"/>
  <c r="M154" i="14"/>
  <c r="M41" i="14"/>
  <c r="M116" i="14"/>
  <c r="M34" i="14"/>
  <c r="M18" i="14"/>
  <c r="M26" i="14"/>
  <c r="M149" i="14"/>
  <c r="M227" i="14"/>
  <c r="M7" i="14"/>
  <c r="M317" i="14"/>
  <c r="M81" i="14"/>
  <c r="M209" i="14"/>
  <c r="M14" i="14"/>
  <c r="M49" i="14"/>
  <c r="M221" i="14"/>
  <c r="M71" i="14"/>
  <c r="M58" i="14"/>
  <c r="M42" i="14"/>
  <c r="M219" i="14"/>
  <c r="M238" i="14"/>
  <c r="M10" i="14"/>
  <c r="M30" i="14"/>
  <c r="M128" i="14"/>
  <c r="M207" i="14"/>
  <c r="M246" i="14"/>
  <c r="M162" i="14"/>
  <c r="M321" i="14"/>
  <c r="M298" i="14"/>
  <c r="M216" i="14"/>
  <c r="M309" i="14"/>
  <c r="M299" i="14"/>
  <c r="M271" i="14"/>
  <c r="M312" i="14"/>
  <c r="M108" i="14"/>
  <c r="M134" i="14"/>
  <c r="M25" i="14"/>
  <c r="M163" i="14"/>
  <c r="M125" i="14"/>
  <c r="M161" i="14"/>
  <c r="M52" i="14"/>
  <c r="M277" i="14"/>
  <c r="M230" i="14"/>
  <c r="M218" i="14"/>
  <c r="M274" i="14"/>
  <c r="M83" i="14"/>
  <c r="M85" i="14"/>
  <c r="M76" i="14"/>
  <c r="M170" i="14"/>
  <c r="M97" i="14"/>
  <c r="M103" i="14"/>
  <c r="M235" i="14"/>
  <c r="M188" i="14"/>
  <c r="M244" i="14"/>
  <c r="M57" i="14"/>
  <c r="M22" i="14"/>
  <c r="M256" i="14"/>
  <c r="M151" i="14"/>
  <c r="M69" i="14"/>
  <c r="M197" i="14"/>
  <c r="M136" i="14"/>
  <c r="M93" i="14"/>
  <c r="M215" i="14"/>
  <c r="M187" i="14"/>
  <c r="M82" i="14"/>
  <c r="M224" i="14"/>
  <c r="M96" i="14"/>
  <c r="M39" i="14"/>
  <c r="M59" i="14"/>
  <c r="M147" i="14"/>
  <c r="M228" i="14"/>
  <c r="M36" i="14"/>
  <c r="M222" i="14"/>
  <c r="M181" i="14"/>
  <c r="M255" i="14"/>
  <c r="M302" i="14"/>
  <c r="M319" i="14"/>
  <c r="M146" i="14"/>
  <c r="M176" i="14"/>
  <c r="M133" i="14"/>
  <c r="M28" i="14"/>
  <c r="M202" i="14"/>
  <c r="M260" i="14"/>
  <c r="M193" i="14"/>
  <c r="M143" i="14"/>
  <c r="M233" i="14"/>
  <c r="M304" i="14"/>
  <c r="M44" i="14"/>
  <c r="M316" i="14"/>
  <c r="M243" i="14"/>
  <c r="M38" i="14"/>
  <c r="M118" i="14"/>
  <c r="M179" i="14"/>
  <c r="M248" i="14"/>
  <c r="M75" i="14"/>
  <c r="M269" i="14"/>
  <c r="M164" i="14"/>
  <c r="M213" i="14"/>
  <c r="M275" i="14"/>
  <c r="M267" i="14"/>
  <c r="M290" i="14"/>
  <c r="M48" i="14"/>
  <c r="M247" i="14"/>
  <c r="M35" i="14"/>
  <c r="M65" i="14"/>
  <c r="M272" i="14"/>
  <c r="M229" i="14"/>
  <c r="M239" i="14"/>
  <c r="M305" i="14"/>
  <c r="M270" i="14"/>
  <c r="M322" i="14"/>
  <c r="M91" i="14"/>
  <c r="M19" i="14"/>
  <c r="M94" i="14"/>
  <c r="M3" i="14"/>
  <c r="M226" i="14"/>
  <c r="M77" i="14"/>
  <c r="M89" i="14"/>
  <c r="M263" i="14"/>
  <c r="M234" i="14"/>
  <c r="M276" i="14"/>
  <c r="M6" i="14"/>
  <c r="M90" i="14"/>
  <c r="M112" i="14"/>
  <c r="M101" i="14"/>
  <c r="M252" i="14"/>
  <c r="M165" i="14"/>
  <c r="M23" i="14"/>
  <c r="M266" i="14"/>
  <c r="M308" i="14"/>
  <c r="M24" i="14"/>
  <c r="M66" i="14"/>
  <c r="M102" i="14"/>
  <c r="M126" i="14"/>
  <c r="M107" i="14"/>
  <c r="M140" i="14"/>
  <c r="M43" i="14"/>
  <c r="M153" i="14"/>
  <c r="M17" i="14"/>
  <c r="M294" i="14"/>
  <c r="M261" i="14"/>
  <c r="M315" i="14"/>
  <c r="M8" i="14"/>
  <c r="M158" i="14"/>
  <c r="M183" i="14"/>
  <c r="M169" i="14"/>
  <c r="M300" i="14"/>
  <c r="M307" i="14"/>
  <c r="M237" i="14"/>
  <c r="M318" i="14"/>
  <c r="M68" i="14"/>
  <c r="M199" i="14"/>
  <c r="M100" i="14"/>
  <c r="M205" i="14"/>
  <c r="M289" i="14"/>
  <c r="M61" i="14"/>
  <c r="M172" i="14"/>
  <c r="M142" i="14"/>
  <c r="M311" i="14"/>
  <c r="M262" i="14"/>
  <c r="M280" i="14"/>
  <c r="M32" i="14"/>
  <c r="M92" i="14"/>
  <c r="M173" i="14"/>
  <c r="M208" i="14"/>
  <c r="M45" i="14"/>
  <c r="M236" i="14"/>
  <c r="M117" i="14"/>
  <c r="M259" i="14"/>
  <c r="M70" i="14"/>
  <c r="M171" i="14"/>
  <c r="M268" i="14"/>
  <c r="M287" i="14"/>
  <c r="M194" i="14"/>
  <c r="M156" i="14"/>
  <c r="M231" i="14"/>
  <c r="M31" i="14"/>
  <c r="M11" i="14"/>
  <c r="M15" i="14"/>
  <c r="M95" i="14"/>
  <c r="M63" i="14"/>
  <c r="M132" i="14"/>
  <c r="M33" i="14"/>
  <c r="M152" i="14"/>
  <c r="M47" i="14"/>
  <c r="M251" i="14"/>
  <c r="M157" i="14"/>
  <c r="M189" i="14"/>
  <c r="M148" i="14"/>
  <c r="V71" i="13"/>
  <c r="N5" i="13" s="1"/>
  <c r="V69" i="12"/>
  <c r="N2" i="12" s="1"/>
  <c r="V70" i="11"/>
  <c r="V64" i="11"/>
  <c r="P126" i="15" l="1"/>
  <c r="P284" i="15"/>
  <c r="P27" i="15"/>
  <c r="P14" i="15"/>
  <c r="P221" i="15"/>
  <c r="P217" i="15"/>
  <c r="P135" i="15"/>
  <c r="P28" i="15"/>
  <c r="P290" i="15"/>
  <c r="P265" i="15"/>
  <c r="P316" i="15"/>
  <c r="P152" i="15"/>
  <c r="P133" i="15"/>
  <c r="P151" i="15"/>
  <c r="P51" i="15"/>
  <c r="P282" i="15"/>
  <c r="P34" i="15"/>
  <c r="P109" i="15"/>
  <c r="P224" i="15"/>
  <c r="P182" i="15"/>
  <c r="P294" i="15"/>
  <c r="P299" i="15"/>
  <c r="P98" i="15"/>
  <c r="P58" i="15"/>
  <c r="P214" i="15"/>
  <c r="P163" i="15"/>
  <c r="P266" i="15"/>
  <c r="P319" i="15"/>
  <c r="P227" i="15"/>
  <c r="P220" i="15"/>
  <c r="P222" i="15"/>
  <c r="P21" i="15"/>
  <c r="P150" i="15"/>
  <c r="P60" i="15"/>
  <c r="P259" i="15"/>
  <c r="P44" i="15"/>
  <c r="P59" i="15"/>
  <c r="P38" i="15"/>
  <c r="P114" i="15"/>
  <c r="P24" i="15"/>
  <c r="P270" i="15"/>
  <c r="P36" i="15"/>
  <c r="P141" i="15"/>
  <c r="P268" i="15"/>
  <c r="P20" i="15"/>
  <c r="P275" i="15"/>
  <c r="P69" i="15"/>
  <c r="P312" i="15"/>
  <c r="P91" i="15"/>
  <c r="P84" i="15"/>
  <c r="P219" i="15"/>
  <c r="P293" i="15"/>
  <c r="P42" i="15"/>
  <c r="P4" i="15"/>
  <c r="P308" i="15"/>
  <c r="P289" i="15"/>
  <c r="P225" i="15"/>
  <c r="P286" i="15"/>
  <c r="P317" i="15"/>
  <c r="P64" i="15"/>
  <c r="P206" i="15"/>
  <c r="P250" i="15"/>
  <c r="P318" i="15"/>
  <c r="P74" i="15"/>
  <c r="P226" i="15"/>
  <c r="P39" i="15"/>
  <c r="P16" i="15"/>
  <c r="P61" i="15"/>
  <c r="P260" i="15"/>
  <c r="P100" i="15"/>
  <c r="P283" i="15"/>
  <c r="P41" i="15"/>
  <c r="P142" i="15"/>
  <c r="P5" i="15"/>
  <c r="P240" i="15"/>
  <c r="P23" i="15"/>
  <c r="P17" i="15"/>
  <c r="P315" i="15"/>
  <c r="P291" i="15"/>
  <c r="P181" i="15"/>
  <c r="P208" i="15"/>
  <c r="P37" i="15"/>
  <c r="P22" i="15"/>
  <c r="P18" i="15"/>
  <c r="P35" i="15"/>
  <c r="P81" i="15"/>
  <c r="P136" i="15"/>
  <c r="P78" i="15"/>
  <c r="P292" i="15"/>
  <c r="P68" i="15"/>
  <c r="P209" i="15"/>
  <c r="P57" i="15"/>
  <c r="P271" i="15"/>
  <c r="P87" i="15"/>
  <c r="P218" i="15"/>
  <c r="P99" i="15"/>
  <c r="P254" i="15"/>
  <c r="P164" i="15"/>
  <c r="P71" i="15"/>
  <c r="P172" i="15"/>
  <c r="P70" i="15"/>
  <c r="P11" i="15"/>
  <c r="P178" i="15"/>
  <c r="P89" i="15"/>
  <c r="P252" i="15"/>
  <c r="P295" i="15"/>
  <c r="P236" i="15"/>
  <c r="P199" i="15"/>
  <c r="P213" i="15"/>
  <c r="P261" i="15"/>
  <c r="P153" i="15"/>
  <c r="P29" i="15"/>
  <c r="P287" i="15"/>
  <c r="P47" i="15"/>
  <c r="P12" i="15"/>
  <c r="P85" i="15"/>
  <c r="P75" i="15"/>
  <c r="P162" i="15"/>
  <c r="P193" i="15"/>
  <c r="P115" i="15"/>
  <c r="P157" i="15"/>
  <c r="P127" i="15"/>
  <c r="P263" i="15"/>
  <c r="P112" i="15"/>
  <c r="P107" i="15"/>
  <c r="P179" i="15"/>
  <c r="P125" i="15"/>
  <c r="P276" i="15"/>
  <c r="P73" i="15"/>
  <c r="P298" i="15"/>
  <c r="P113" i="15"/>
  <c r="P322" i="15"/>
  <c r="P303" i="15"/>
  <c r="P15" i="15"/>
  <c r="P97" i="15"/>
  <c r="P65" i="15"/>
  <c r="P82" i="15"/>
  <c r="P117" i="15"/>
  <c r="P77" i="15"/>
  <c r="P155" i="15"/>
  <c r="P168" i="15"/>
  <c r="P67" i="15"/>
  <c r="P257" i="15"/>
  <c r="P273" i="15"/>
  <c r="P188" i="15"/>
  <c r="P237" i="15"/>
  <c r="P201" i="15"/>
  <c r="P244" i="15"/>
  <c r="P187" i="15"/>
  <c r="P195" i="15"/>
  <c r="P48" i="15"/>
  <c r="P243" i="15"/>
  <c r="P8" i="15"/>
  <c r="P247" i="15"/>
  <c r="P239" i="15"/>
  <c r="P191" i="15"/>
  <c r="P211" i="15"/>
  <c r="P95" i="15"/>
  <c r="P131" i="15"/>
  <c r="P223" i="15"/>
  <c r="P228" i="15"/>
  <c r="P200" i="15"/>
  <c r="P154" i="15"/>
  <c r="P94" i="15"/>
  <c r="P46" i="15"/>
  <c r="P56" i="15"/>
  <c r="P229" i="15"/>
  <c r="P171" i="15"/>
  <c r="P30" i="15"/>
  <c r="P245" i="15"/>
  <c r="P144" i="15"/>
  <c r="P50" i="15"/>
  <c r="P184" i="15"/>
  <c r="P300" i="15"/>
  <c r="P105" i="15"/>
  <c r="P238" i="15"/>
  <c r="P137" i="15"/>
  <c r="P194" i="15"/>
  <c r="P92" i="15"/>
  <c r="P120" i="15"/>
  <c r="P121" i="15"/>
  <c r="P306" i="15"/>
  <c r="P253" i="15"/>
  <c r="P83" i="15"/>
  <c r="P280" i="15"/>
  <c r="P321" i="15"/>
  <c r="P149" i="15"/>
  <c r="P204" i="15"/>
  <c r="P32" i="15"/>
  <c r="P310" i="15"/>
  <c r="P175" i="15"/>
  <c r="P279" i="15"/>
  <c r="P288" i="15"/>
  <c r="P264" i="15"/>
  <c r="P76" i="15"/>
  <c r="P169" i="15"/>
  <c r="P96" i="15"/>
  <c r="P52" i="15"/>
  <c r="P86" i="15"/>
  <c r="P19" i="15"/>
  <c r="P174" i="15"/>
  <c r="P205" i="15"/>
  <c r="P148" i="15"/>
  <c r="P130" i="15"/>
  <c r="P242" i="15"/>
  <c r="P202" i="15"/>
  <c r="P116" i="15"/>
  <c r="P210" i="15"/>
  <c r="P43" i="15"/>
  <c r="P258" i="15"/>
  <c r="P203" i="15"/>
  <c r="P159" i="15"/>
  <c r="P31" i="15"/>
  <c r="P63" i="15"/>
  <c r="P66" i="15"/>
  <c r="P251" i="15"/>
  <c r="P160" i="15"/>
  <c r="P110" i="15"/>
  <c r="P165" i="15"/>
  <c r="P101" i="15"/>
  <c r="P118" i="15"/>
  <c r="P297" i="15"/>
  <c r="P231" i="15"/>
  <c r="P186" i="15"/>
  <c r="P138" i="15"/>
  <c r="P40" i="15"/>
  <c r="P143" i="15"/>
  <c r="P277" i="15"/>
  <c r="P170" i="15"/>
  <c r="P272" i="15"/>
  <c r="P3" i="15"/>
  <c r="P72" i="15"/>
  <c r="P301" i="15"/>
  <c r="P256" i="15"/>
  <c r="P2" i="15"/>
  <c r="P232" i="15"/>
  <c r="P212" i="15"/>
  <c r="P134" i="15"/>
  <c r="P54" i="15"/>
  <c r="P309" i="15"/>
  <c r="P189" i="15"/>
  <c r="P166" i="15"/>
  <c r="P108" i="15"/>
  <c r="P305" i="15"/>
  <c r="P307" i="15"/>
  <c r="P111" i="15"/>
  <c r="P102" i="15"/>
  <c r="P230" i="15"/>
  <c r="P180" i="15"/>
  <c r="P62" i="15"/>
  <c r="P285" i="15"/>
  <c r="P13" i="15"/>
  <c r="P267" i="15"/>
  <c r="P262" i="15"/>
  <c r="P90" i="15"/>
  <c r="P55" i="15"/>
  <c r="P161" i="15"/>
  <c r="P156" i="15"/>
  <c r="P123" i="15"/>
  <c r="P167" i="15"/>
  <c r="P122" i="15"/>
  <c r="P313" i="15"/>
  <c r="P192" i="15"/>
  <c r="P183" i="15"/>
  <c r="P129" i="15"/>
  <c r="P140" i="15"/>
  <c r="P139" i="15"/>
  <c r="P80" i="15"/>
  <c r="P314" i="15"/>
  <c r="P147" i="15"/>
  <c r="P185" i="15"/>
  <c r="P234" i="15"/>
  <c r="P207" i="15"/>
  <c r="P103" i="15"/>
  <c r="P320" i="15"/>
  <c r="P49" i="15"/>
  <c r="P10" i="15"/>
  <c r="P235" i="15"/>
  <c r="P311" i="15"/>
  <c r="P128" i="15"/>
  <c r="P173" i="15"/>
  <c r="P197" i="15"/>
  <c r="P145" i="15"/>
  <c r="P198" i="15"/>
  <c r="P176" i="15"/>
  <c r="P158" i="15"/>
  <c r="P216" i="15"/>
  <c r="P7" i="15"/>
  <c r="P196" i="15"/>
  <c r="P269" i="15"/>
  <c r="P177" i="15"/>
  <c r="P304" i="15"/>
  <c r="P88" i="15"/>
  <c r="P302" i="15"/>
  <c r="P278" i="15"/>
  <c r="O2" i="14"/>
  <c r="P189" i="14" s="1"/>
  <c r="P100" i="14"/>
  <c r="P35" i="14"/>
  <c r="P236" i="14"/>
  <c r="P300" i="14"/>
  <c r="P271" i="14"/>
  <c r="P165" i="14"/>
  <c r="P247" i="14"/>
  <c r="P12" i="14"/>
  <c r="P245" i="14"/>
  <c r="P260" i="14"/>
  <c r="P43" i="14"/>
  <c r="P156" i="14"/>
  <c r="P220" i="14"/>
  <c r="P21" i="14"/>
  <c r="P265" i="14"/>
  <c r="P216" i="14"/>
  <c r="P287" i="14"/>
  <c r="P208" i="14"/>
  <c r="P290" i="14"/>
  <c r="P274" i="14"/>
  <c r="P37" i="14"/>
  <c r="P282" i="14"/>
  <c r="P56" i="14"/>
  <c r="M318" i="12"/>
  <c r="M322" i="12"/>
  <c r="M315" i="12"/>
  <c r="M316" i="12"/>
  <c r="M314" i="12"/>
  <c r="M319" i="12"/>
  <c r="M321" i="12"/>
  <c r="M320" i="12"/>
  <c r="M317" i="12"/>
  <c r="N2" i="13"/>
  <c r="M180" i="13" s="1"/>
  <c r="M268" i="12"/>
  <c r="M187" i="12"/>
  <c r="M288" i="12"/>
  <c r="M256" i="12"/>
  <c r="M224" i="12"/>
  <c r="M192" i="12"/>
  <c r="M176" i="12"/>
  <c r="M296" i="12"/>
  <c r="M264" i="12"/>
  <c r="M232" i="12"/>
  <c r="M200" i="12"/>
  <c r="M184" i="12"/>
  <c r="M164" i="12"/>
  <c r="M312" i="12"/>
  <c r="M280" i="12"/>
  <c r="M248" i="12"/>
  <c r="M216" i="12"/>
  <c r="M168" i="12"/>
  <c r="M70" i="12"/>
  <c r="M51" i="12"/>
  <c r="M47" i="12"/>
  <c r="M93" i="12"/>
  <c r="M59" i="12"/>
  <c r="M78" i="12"/>
  <c r="M55" i="12"/>
  <c r="M63" i="12"/>
  <c r="M107" i="12"/>
  <c r="M23" i="12"/>
  <c r="M31" i="12"/>
  <c r="M40" i="12"/>
  <c r="M54" i="12"/>
  <c r="M17" i="12"/>
  <c r="M106" i="12"/>
  <c r="M58" i="12"/>
  <c r="M101" i="12"/>
  <c r="M92" i="12"/>
  <c r="M62" i="12"/>
  <c r="M170" i="12"/>
  <c r="M75" i="12"/>
  <c r="M76" i="12"/>
  <c r="M135" i="12"/>
  <c r="M188" i="12"/>
  <c r="M159" i="12"/>
  <c r="M144" i="12"/>
  <c r="M151" i="12"/>
  <c r="M139" i="12"/>
  <c r="M205" i="12"/>
  <c r="M295" i="12"/>
  <c r="M226" i="12"/>
  <c r="M313" i="12"/>
  <c r="M255" i="12"/>
  <c r="M203" i="12"/>
  <c r="M282" i="12"/>
  <c r="M215" i="12"/>
  <c r="M294" i="12"/>
  <c r="M242" i="12"/>
  <c r="M190" i="12"/>
  <c r="M277" i="12"/>
  <c r="M193" i="12"/>
  <c r="M283" i="12"/>
  <c r="M13" i="12"/>
  <c r="M252" i="12"/>
  <c r="M208" i="12"/>
  <c r="M173" i="12"/>
  <c r="M293" i="12"/>
  <c r="M161" i="12"/>
  <c r="M291" i="12"/>
  <c r="M234" i="12"/>
  <c r="M28" i="12"/>
  <c r="M302" i="12"/>
  <c r="M245" i="12"/>
  <c r="M35" i="12"/>
  <c r="M290" i="12"/>
  <c r="M254" i="12"/>
  <c r="M16" i="12"/>
  <c r="M198" i="12"/>
  <c r="M53" i="12"/>
  <c r="M38" i="12"/>
  <c r="M2" i="12"/>
  <c r="M102" i="12"/>
  <c r="M32" i="12"/>
  <c r="M20" i="12"/>
  <c r="M8" i="12"/>
  <c r="M50" i="12"/>
  <c r="M77" i="12"/>
  <c r="M73" i="12"/>
  <c r="M182" i="12"/>
  <c r="M71" i="12"/>
  <c r="M141" i="12"/>
  <c r="M204" i="12"/>
  <c r="M136" i="12"/>
  <c r="M96" i="12"/>
  <c r="M82" i="12"/>
  <c r="M79" i="12"/>
  <c r="M157" i="12"/>
  <c r="M196" i="12"/>
  <c r="M72" i="12"/>
  <c r="M145" i="12"/>
  <c r="M214" i="12"/>
  <c r="M301" i="12"/>
  <c r="M243" i="12"/>
  <c r="M169" i="12"/>
  <c r="M261" i="12"/>
  <c r="M209" i="12"/>
  <c r="M299" i="12"/>
  <c r="M221" i="12"/>
  <c r="M311" i="12"/>
  <c r="M259" i="12"/>
  <c r="M207" i="12"/>
  <c r="M286" i="12"/>
  <c r="M202" i="12"/>
  <c r="M289" i="12"/>
  <c r="M34" i="12"/>
  <c r="M100" i="12"/>
  <c r="M201" i="12"/>
  <c r="M3" i="12"/>
  <c r="M178" i="12"/>
  <c r="M7" i="12"/>
  <c r="M267" i="12"/>
  <c r="M257" i="12"/>
  <c r="M42" i="12"/>
  <c r="M273" i="12"/>
  <c r="M266" i="12"/>
  <c r="M86" i="12"/>
  <c r="M48" i="12"/>
  <c r="M37" i="12"/>
  <c r="M111" i="12"/>
  <c r="M39" i="12"/>
  <c r="M4" i="12"/>
  <c r="M68" i="12"/>
  <c r="M15" i="12"/>
  <c r="M12" i="12"/>
  <c r="M90" i="12"/>
  <c r="M98" i="12"/>
  <c r="M84" i="12"/>
  <c r="M88" i="12"/>
  <c r="M103" i="12"/>
  <c r="M80" i="12"/>
  <c r="M146" i="12"/>
  <c r="M220" i="12"/>
  <c r="M160" i="12"/>
  <c r="M109" i="12"/>
  <c r="M125" i="12"/>
  <c r="M171" i="12"/>
  <c r="M228" i="12"/>
  <c r="M95" i="12"/>
  <c r="M150" i="12"/>
  <c r="M231" i="12"/>
  <c r="M310" i="12"/>
  <c r="M249" i="12"/>
  <c r="M191" i="12"/>
  <c r="M270" i="12"/>
  <c r="M218" i="12"/>
  <c r="M305" i="12"/>
  <c r="M230" i="12"/>
  <c r="M265" i="12"/>
  <c r="M213" i="12"/>
  <c r="M303" i="12"/>
  <c r="M219" i="12"/>
  <c r="M298" i="12"/>
  <c r="M137" i="12"/>
  <c r="M180" i="12"/>
  <c r="M206" i="12"/>
  <c r="M253" i="12"/>
  <c r="M64" i="12"/>
  <c r="M281" i="12"/>
  <c r="M110" i="12"/>
  <c r="M166" i="12"/>
  <c r="M14" i="12"/>
  <c r="M217" i="12"/>
  <c r="M185" i="12"/>
  <c r="M5" i="12"/>
  <c r="M57" i="12"/>
  <c r="M10" i="12"/>
  <c r="M60" i="12"/>
  <c r="M45" i="12"/>
  <c r="M11" i="12"/>
  <c r="M94" i="12"/>
  <c r="M22" i="12"/>
  <c r="M19" i="12"/>
  <c r="M175" i="12"/>
  <c r="M113" i="12"/>
  <c r="M105" i="12"/>
  <c r="M120" i="12"/>
  <c r="M142" i="12"/>
  <c r="M83" i="12"/>
  <c r="M152" i="12"/>
  <c r="M236" i="12"/>
  <c r="M244" i="12"/>
  <c r="M126" i="12"/>
  <c r="M260" i="12"/>
  <c r="M81" i="12"/>
  <c r="M183" i="12"/>
  <c r="M112" i="12"/>
  <c r="M97" i="12"/>
  <c r="M154" i="12"/>
  <c r="M237" i="12"/>
  <c r="M158" i="12"/>
  <c r="M258" i="12"/>
  <c r="M197" i="12"/>
  <c r="M287" i="12"/>
  <c r="M235" i="12"/>
  <c r="M247" i="12"/>
  <c r="M195" i="12"/>
  <c r="M274" i="12"/>
  <c r="M222" i="12"/>
  <c r="M309" i="12"/>
  <c r="M225" i="12"/>
  <c r="M41" i="12"/>
  <c r="M52" i="12"/>
  <c r="M18" i="12"/>
  <c r="M115" i="12"/>
  <c r="M25" i="12"/>
  <c r="M26" i="12"/>
  <c r="M276" i="12"/>
  <c r="M123" i="12"/>
  <c r="M130" i="12"/>
  <c r="M129" i="12"/>
  <c r="M44" i="12"/>
  <c r="M167" i="12"/>
  <c r="M132" i="12"/>
  <c r="M116" i="12"/>
  <c r="M131" i="12"/>
  <c r="M246" i="12"/>
  <c r="M275" i="12"/>
  <c r="M241" i="12"/>
  <c r="M239" i="12"/>
  <c r="M6" i="12"/>
  <c r="M61" i="12"/>
  <c r="M21" i="12"/>
  <c r="M33" i="12"/>
  <c r="M49" i="12"/>
  <c r="M29" i="12"/>
  <c r="M308" i="12"/>
  <c r="M128" i="12"/>
  <c r="M212" i="12"/>
  <c r="M134" i="12"/>
  <c r="M108" i="12"/>
  <c r="M174" i="12"/>
  <c r="M284" i="12"/>
  <c r="M147" i="12"/>
  <c r="M66" i="12"/>
  <c r="M127" i="12"/>
  <c r="M240" i="12"/>
  <c r="M163" i="12"/>
  <c r="M104" i="12"/>
  <c r="M162" i="12"/>
  <c r="M263" i="12"/>
  <c r="M194" i="12"/>
  <c r="M223" i="12"/>
  <c r="M250" i="12"/>
  <c r="M262" i="12"/>
  <c r="M210" i="12"/>
  <c r="M297" i="12"/>
  <c r="M251" i="12"/>
  <c r="M9" i="12"/>
  <c r="M114" i="12"/>
  <c r="M36" i="12"/>
  <c r="M119" i="12"/>
  <c r="M56" i="12"/>
  <c r="M46" i="12"/>
  <c r="M155" i="12"/>
  <c r="M143" i="12"/>
  <c r="M292" i="12"/>
  <c r="M140" i="12"/>
  <c r="M74" i="12"/>
  <c r="M118" i="12"/>
  <c r="M179" i="12"/>
  <c r="M300" i="12"/>
  <c r="M87" i="12"/>
  <c r="M153" i="12"/>
  <c r="M148" i="12"/>
  <c r="M133" i="12"/>
  <c r="M272" i="12"/>
  <c r="M177" i="12"/>
  <c r="M269" i="12"/>
  <c r="M211" i="12"/>
  <c r="M229" i="12"/>
  <c r="M189" i="12"/>
  <c r="M279" i="12"/>
  <c r="M227" i="12"/>
  <c r="M306" i="12"/>
  <c r="M24" i="12"/>
  <c r="M30" i="12"/>
  <c r="M43" i="12"/>
  <c r="M27" i="12"/>
  <c r="M85" i="12"/>
  <c r="M172" i="12"/>
  <c r="M149" i="12"/>
  <c r="M122" i="12"/>
  <c r="M121" i="12"/>
  <c r="M186" i="12"/>
  <c r="M89" i="12"/>
  <c r="M156" i="12"/>
  <c r="M69" i="12"/>
  <c r="M138" i="12"/>
  <c r="M304" i="12"/>
  <c r="M65" i="12"/>
  <c r="M124" i="12"/>
  <c r="M199" i="12"/>
  <c r="M278" i="12"/>
  <c r="M307" i="12"/>
  <c r="M238" i="12"/>
  <c r="M165" i="12"/>
  <c r="M285" i="12"/>
  <c r="M233" i="12"/>
  <c r="M271" i="12"/>
  <c r="M181" i="12"/>
  <c r="M117" i="12"/>
  <c r="M67" i="12"/>
  <c r="M99" i="12"/>
  <c r="M91" i="12"/>
  <c r="N5" i="12"/>
  <c r="N5" i="11"/>
  <c r="N2" i="11"/>
  <c r="P166" i="14" l="1"/>
  <c r="P191" i="14"/>
  <c r="P107" i="14"/>
  <c r="P180" i="14"/>
  <c r="P82" i="14"/>
  <c r="P116" i="14"/>
  <c r="P120" i="14"/>
  <c r="P40" i="14"/>
  <c r="P68" i="14"/>
  <c r="P16" i="14"/>
  <c r="P164" i="14"/>
  <c r="P167" i="14"/>
  <c r="P319" i="14"/>
  <c r="P244" i="14"/>
  <c r="P28" i="14"/>
  <c r="P210" i="14"/>
  <c r="P171" i="14"/>
  <c r="P123" i="14"/>
  <c r="P139" i="14"/>
  <c r="P143" i="14"/>
  <c r="P248" i="14"/>
  <c r="P65" i="14"/>
  <c r="P295" i="14"/>
  <c r="P145" i="14"/>
  <c r="P141" i="14"/>
  <c r="P4" i="14"/>
  <c r="P168" i="14"/>
  <c r="P280" i="14"/>
  <c r="P8" i="14"/>
  <c r="P266" i="14"/>
  <c r="P267" i="14"/>
  <c r="P181" i="14"/>
  <c r="P135" i="14"/>
  <c r="P71" i="14"/>
  <c r="P138" i="14"/>
  <c r="P209" i="14"/>
  <c r="P305" i="14"/>
  <c r="P286" i="14"/>
  <c r="P270" i="14"/>
  <c r="P60" i="14"/>
  <c r="P22" i="14"/>
  <c r="P47" i="14"/>
  <c r="P218" i="14"/>
  <c r="P252" i="14"/>
  <c r="P311" i="14"/>
  <c r="P259" i="14"/>
  <c r="P66" i="14"/>
  <c r="P6" i="14"/>
  <c r="P303" i="14"/>
  <c r="P219" i="14"/>
  <c r="P48" i="14"/>
  <c r="P155" i="14"/>
  <c r="P127" i="14"/>
  <c r="P238" i="14"/>
  <c r="P261" i="14"/>
  <c r="P113" i="14"/>
  <c r="P89" i="14"/>
  <c r="P26" i="14"/>
  <c r="P36" i="14"/>
  <c r="P214" i="14"/>
  <c r="P268" i="14"/>
  <c r="P232" i="14"/>
  <c r="P128" i="14"/>
  <c r="P9" i="14"/>
  <c r="P173" i="14"/>
  <c r="P251" i="14"/>
  <c r="P276" i="14"/>
  <c r="P302" i="14"/>
  <c r="P298" i="14"/>
  <c r="P18" i="14"/>
  <c r="P126" i="14"/>
  <c r="P30" i="14"/>
  <c r="P234" i="14"/>
  <c r="P281" i="14"/>
  <c r="P201" i="14"/>
  <c r="P161" i="14"/>
  <c r="P211" i="14"/>
  <c r="P225" i="14"/>
  <c r="P157" i="14"/>
  <c r="P55" i="14"/>
  <c r="P115" i="14"/>
  <c r="P177" i="14"/>
  <c r="P233" i="14"/>
  <c r="P254" i="14"/>
  <c r="P237" i="14"/>
  <c r="P42" i="14"/>
  <c r="P2" i="14"/>
  <c r="P25" i="14"/>
  <c r="P172" i="14"/>
  <c r="P10" i="14"/>
  <c r="P194" i="14"/>
  <c r="P263" i="14"/>
  <c r="P199" i="14"/>
  <c r="P230" i="14"/>
  <c r="P130" i="14"/>
  <c r="P51" i="14"/>
  <c r="P91" i="14"/>
  <c r="P317" i="14"/>
  <c r="P175" i="14"/>
  <c r="P87" i="14"/>
  <c r="P223" i="14"/>
  <c r="P288" i="14"/>
  <c r="P150" i="14"/>
  <c r="P159" i="14"/>
  <c r="P241" i="14"/>
  <c r="P227" i="14"/>
  <c r="P307" i="14"/>
  <c r="P277" i="14"/>
  <c r="P192" i="14"/>
  <c r="P97" i="14"/>
  <c r="P179" i="14"/>
  <c r="P278" i="14"/>
  <c r="P163" i="14"/>
  <c r="P132" i="14"/>
  <c r="P125" i="14"/>
  <c r="P269" i="14"/>
  <c r="P114" i="14"/>
  <c r="P81" i="14"/>
  <c r="P14" i="14"/>
  <c r="P49" i="14"/>
  <c r="P187" i="14"/>
  <c r="P70" i="14"/>
  <c r="P67" i="14"/>
  <c r="P29" i="14"/>
  <c r="P301" i="14"/>
  <c r="P54" i="14"/>
  <c r="P31" i="14"/>
  <c r="P88" i="14"/>
  <c r="P11" i="14"/>
  <c r="P250" i="14"/>
  <c r="P243" i="14"/>
  <c r="P83" i="14"/>
  <c r="P304" i="14"/>
  <c r="P44" i="14"/>
  <c r="P240" i="14"/>
  <c r="P217" i="14"/>
  <c r="P76" i="14"/>
  <c r="P90" i="14"/>
  <c r="P160" i="14"/>
  <c r="P213" i="14"/>
  <c r="P79" i="14"/>
  <c r="P293" i="14"/>
  <c r="P99" i="14"/>
  <c r="P169" i="14"/>
  <c r="P3" i="14"/>
  <c r="P110" i="14"/>
  <c r="P284" i="14"/>
  <c r="P174" i="14"/>
  <c r="P38" i="14"/>
  <c r="P140" i="14"/>
  <c r="P314" i="14"/>
  <c r="P310" i="14"/>
  <c r="P15" i="14"/>
  <c r="P320" i="14"/>
  <c r="P292" i="14"/>
  <c r="P212" i="14"/>
  <c r="P289" i="14"/>
  <c r="P185" i="14"/>
  <c r="P153" i="14"/>
  <c r="P72" i="14"/>
  <c r="P170" i="14"/>
  <c r="P253" i="14"/>
  <c r="P154" i="14"/>
  <c r="P74" i="14"/>
  <c r="P221" i="14"/>
  <c r="P285" i="14"/>
  <c r="P264" i="14"/>
  <c r="P46" i="14"/>
  <c r="P195" i="14"/>
  <c r="P316" i="14"/>
  <c r="P96" i="14"/>
  <c r="P64" i="14"/>
  <c r="P178" i="14"/>
  <c r="P7" i="14"/>
  <c r="P109" i="14"/>
  <c r="P134" i="14"/>
  <c r="P63" i="14"/>
  <c r="P142" i="14"/>
  <c r="P133" i="14"/>
  <c r="P193" i="14"/>
  <c r="P129" i="14"/>
  <c r="P273" i="14"/>
  <c r="P188" i="14"/>
  <c r="P77" i="14"/>
  <c r="P20" i="14"/>
  <c r="P93" i="14"/>
  <c r="P315" i="14"/>
  <c r="P182" i="14"/>
  <c r="P215" i="14"/>
  <c r="P242" i="14"/>
  <c r="P117" i="14"/>
  <c r="P224" i="14"/>
  <c r="P275" i="14"/>
  <c r="P118" i="14"/>
  <c r="P86" i="14"/>
  <c r="P309" i="14"/>
  <c r="P33" i="14"/>
  <c r="P23" i="14"/>
  <c r="P151" i="14"/>
  <c r="P162" i="14"/>
  <c r="P200" i="14"/>
  <c r="P190" i="14"/>
  <c r="P231" i="14"/>
  <c r="P104" i="14"/>
  <c r="P39" i="14"/>
  <c r="P62" i="14"/>
  <c r="P80" i="14"/>
  <c r="P197" i="14"/>
  <c r="P122" i="14"/>
  <c r="P27" i="14"/>
  <c r="P183" i="14"/>
  <c r="P24" i="14"/>
  <c r="P98" i="14"/>
  <c r="P257" i="14"/>
  <c r="P58" i="14"/>
  <c r="P296" i="14"/>
  <c r="P313" i="14"/>
  <c r="P124" i="14"/>
  <c r="P306" i="14"/>
  <c r="P136" i="14"/>
  <c r="P101" i="14"/>
  <c r="P148" i="14"/>
  <c r="P291" i="14"/>
  <c r="P147" i="14"/>
  <c r="P318" i="14"/>
  <c r="P73" i="14"/>
  <c r="P176" i="14"/>
  <c r="P149" i="14"/>
  <c r="P207" i="14"/>
  <c r="P94" i="14"/>
  <c r="P17" i="14"/>
  <c r="P239" i="14"/>
  <c r="P53" i="14"/>
  <c r="P186" i="14"/>
  <c r="P57" i="14"/>
  <c r="P106" i="14"/>
  <c r="P262" i="14"/>
  <c r="P272" i="14"/>
  <c r="P255" i="14"/>
  <c r="P321" i="14"/>
  <c r="P85" i="14"/>
  <c r="P52" i="14"/>
  <c r="P204" i="14"/>
  <c r="P294" i="14"/>
  <c r="P279" i="14"/>
  <c r="P158" i="14"/>
  <c r="P41" i="14"/>
  <c r="P226" i="14"/>
  <c r="P283" i="14"/>
  <c r="P13" i="14"/>
  <c r="P202" i="14"/>
  <c r="P111" i="14"/>
  <c r="P137" i="14"/>
  <c r="P121" i="14"/>
  <c r="P246" i="14"/>
  <c r="P196" i="14"/>
  <c r="P112" i="14"/>
  <c r="P249" i="14"/>
  <c r="P206" i="14"/>
  <c r="P34" i="14"/>
  <c r="P59" i="14"/>
  <c r="P102" i="14"/>
  <c r="P144" i="14"/>
  <c r="P5" i="14"/>
  <c r="P146" i="14"/>
  <c r="P45" i="14"/>
  <c r="P258" i="14"/>
  <c r="P75" i="14"/>
  <c r="P299" i="14"/>
  <c r="P256" i="14"/>
  <c r="P32" i="14"/>
  <c r="P92" i="14"/>
  <c r="P61" i="14"/>
  <c r="P78" i="14"/>
  <c r="P203" i="14"/>
  <c r="P228" i="14"/>
  <c r="P105" i="14"/>
  <c r="P152" i="14"/>
  <c r="P205" i="14"/>
  <c r="P229" i="14"/>
  <c r="P235" i="14"/>
  <c r="P322" i="14"/>
  <c r="P19" i="14"/>
  <c r="P103" i="14"/>
  <c r="P297" i="14"/>
  <c r="P84" i="14"/>
  <c r="P222" i="14"/>
  <c r="P69" i="14"/>
  <c r="P95" i="14"/>
  <c r="P50" i="14"/>
  <c r="P184" i="14"/>
  <c r="P308" i="14"/>
  <c r="P119" i="14"/>
  <c r="P198" i="14"/>
  <c r="P131" i="14"/>
  <c r="P312" i="14"/>
  <c r="P108" i="14"/>
  <c r="M320" i="11"/>
  <c r="M321" i="11"/>
  <c r="M318" i="11"/>
  <c r="M317" i="11"/>
  <c r="M316" i="11"/>
  <c r="M319" i="11"/>
  <c r="M146" i="13"/>
  <c r="M229" i="13"/>
  <c r="M266" i="13"/>
  <c r="M221" i="13"/>
  <c r="M78" i="13"/>
  <c r="M142" i="13"/>
  <c r="M238" i="13"/>
  <c r="M183" i="13"/>
  <c r="M100" i="13"/>
  <c r="M47" i="13"/>
  <c r="M137" i="13"/>
  <c r="M268" i="13"/>
  <c r="M110" i="13"/>
  <c r="M282" i="13"/>
  <c r="M272" i="13"/>
  <c r="M135" i="13"/>
  <c r="M263" i="13"/>
  <c r="M230" i="13"/>
  <c r="M107" i="13"/>
  <c r="M200" i="13"/>
  <c r="M320" i="13"/>
  <c r="M321" i="13"/>
  <c r="M322" i="13"/>
  <c r="M218" i="13"/>
  <c r="M236" i="13"/>
  <c r="M21" i="13"/>
  <c r="M66" i="13"/>
  <c r="M68" i="13"/>
  <c r="M209" i="13"/>
  <c r="M295" i="13"/>
  <c r="M259" i="13"/>
  <c r="M19" i="13"/>
  <c r="M284" i="13"/>
  <c r="M121" i="13"/>
  <c r="M303" i="13"/>
  <c r="M99" i="13"/>
  <c r="M287" i="13"/>
  <c r="M34" i="13"/>
  <c r="M134" i="13"/>
  <c r="M242" i="13"/>
  <c r="M215" i="13"/>
  <c r="M203" i="13"/>
  <c r="M136" i="13"/>
  <c r="M158" i="13"/>
  <c r="M77" i="13"/>
  <c r="M155" i="13"/>
  <c r="M167" i="13"/>
  <c r="M20" i="13"/>
  <c r="M58" i="13"/>
  <c r="M17" i="13"/>
  <c r="M177" i="13"/>
  <c r="M75" i="13"/>
  <c r="M22" i="13"/>
  <c r="M62" i="13"/>
  <c r="M106" i="13"/>
  <c r="M211" i="13"/>
  <c r="M195" i="13"/>
  <c r="M226" i="13"/>
  <c r="M7" i="13"/>
  <c r="M32" i="13"/>
  <c r="M84" i="13"/>
  <c r="M151" i="13"/>
  <c r="M280" i="13"/>
  <c r="M13" i="13"/>
  <c r="M228" i="13"/>
  <c r="M102" i="13"/>
  <c r="M5" i="13"/>
  <c r="M25" i="13"/>
  <c r="M149" i="13"/>
  <c r="M63" i="13"/>
  <c r="M85" i="13"/>
  <c r="M122" i="13"/>
  <c r="M172" i="13"/>
  <c r="M43" i="13"/>
  <c r="M174" i="13"/>
  <c r="M306" i="13"/>
  <c r="M297" i="13"/>
  <c r="M257" i="13"/>
  <c r="M288" i="13"/>
  <c r="M194" i="13"/>
  <c r="M283" i="13"/>
  <c r="M175" i="13"/>
  <c r="M55" i="13"/>
  <c r="M262" i="13"/>
  <c r="M274" i="13"/>
  <c r="M292" i="13"/>
  <c r="M3" i="13"/>
  <c r="M273" i="13"/>
  <c r="M291" i="13"/>
  <c r="M275" i="13"/>
  <c r="M207" i="13"/>
  <c r="M315" i="13"/>
  <c r="M214" i="13"/>
  <c r="M193" i="13"/>
  <c r="M256" i="13"/>
  <c r="M198" i="13"/>
  <c r="M132" i="13"/>
  <c r="M70" i="13"/>
  <c r="M239" i="13"/>
  <c r="M15" i="13"/>
  <c r="M300" i="13"/>
  <c r="M129" i="13"/>
  <c r="M59" i="13"/>
  <c r="M281" i="13"/>
  <c r="M299" i="13"/>
  <c r="M76" i="13"/>
  <c r="M105" i="13"/>
  <c r="M61" i="13"/>
  <c r="M197" i="13"/>
  <c r="M244" i="13"/>
  <c r="M254" i="13"/>
  <c r="M83" i="13"/>
  <c r="M150" i="13"/>
  <c r="M310" i="13"/>
  <c r="M141" i="13"/>
  <c r="M144" i="13"/>
  <c r="M60" i="13"/>
  <c r="M289" i="13"/>
  <c r="M298" i="13"/>
  <c r="M45" i="13"/>
  <c r="M233" i="13"/>
  <c r="M108" i="13"/>
  <c r="M10" i="13"/>
  <c r="M205" i="13"/>
  <c r="M305" i="13"/>
  <c r="M269" i="13"/>
  <c r="M103" i="13"/>
  <c r="M31" i="13"/>
  <c r="M87" i="13"/>
  <c r="M264" i="13"/>
  <c r="M86" i="13"/>
  <c r="M286" i="13"/>
  <c r="M294" i="13"/>
  <c r="M52" i="13"/>
  <c r="M185" i="13"/>
  <c r="M79" i="13"/>
  <c r="M14" i="13"/>
  <c r="M243" i="13"/>
  <c r="M161" i="13"/>
  <c r="M82" i="13"/>
  <c r="M179" i="13"/>
  <c r="M41" i="13"/>
  <c r="M115" i="13"/>
  <c r="M112" i="13"/>
  <c r="M97" i="13"/>
  <c r="M245" i="13"/>
  <c r="M237" i="13"/>
  <c r="M71" i="13"/>
  <c r="M72" i="13"/>
  <c r="M277" i="13"/>
  <c r="M249" i="13"/>
  <c r="M313" i="13"/>
  <c r="M276" i="13"/>
  <c r="M39" i="13"/>
  <c r="M36" i="13"/>
  <c r="M293" i="13"/>
  <c r="M208" i="13"/>
  <c r="M27" i="13"/>
  <c r="M29" i="13"/>
  <c r="M26" i="13"/>
  <c r="M159" i="13"/>
  <c r="M12" i="13"/>
  <c r="M64" i="13"/>
  <c r="M56" i="13"/>
  <c r="M138" i="13"/>
  <c r="M192" i="13"/>
  <c r="M33" i="13"/>
  <c r="M181" i="13"/>
  <c r="M42" i="13"/>
  <c r="M30" i="13"/>
  <c r="M44" i="13"/>
  <c r="M46" i="13"/>
  <c r="M48" i="13"/>
  <c r="M311" i="13"/>
  <c r="M251" i="13"/>
  <c r="M319" i="13"/>
  <c r="M190" i="13"/>
  <c r="M163" i="13"/>
  <c r="M89" i="13"/>
  <c r="M24" i="13"/>
  <c r="M301" i="13"/>
  <c r="M169" i="13"/>
  <c r="M309" i="13"/>
  <c r="M227" i="13"/>
  <c r="M53" i="13"/>
  <c r="M145" i="13"/>
  <c r="M92" i="13"/>
  <c r="M240" i="13"/>
  <c r="M316" i="13"/>
  <c r="M235" i="13"/>
  <c r="M67" i="13"/>
  <c r="M232" i="13"/>
  <c r="M248" i="13"/>
  <c r="M9" i="13"/>
  <c r="M124" i="13"/>
  <c r="M290" i="13"/>
  <c r="M279" i="13"/>
  <c r="M222" i="13"/>
  <c r="M148" i="13"/>
  <c r="M152" i="13"/>
  <c r="M2" i="13"/>
  <c r="M128" i="13"/>
  <c r="M120" i="13"/>
  <c r="M162" i="13"/>
  <c r="M225" i="13"/>
  <c r="M189" i="13"/>
  <c r="M96" i="13"/>
  <c r="M139" i="13"/>
  <c r="M153" i="13"/>
  <c r="M111" i="13"/>
  <c r="M88" i="13"/>
  <c r="M307" i="13"/>
  <c r="M217" i="13"/>
  <c r="M16" i="13"/>
  <c r="M302" i="13"/>
  <c r="M246" i="13"/>
  <c r="M49" i="13"/>
  <c r="M199" i="13"/>
  <c r="M304" i="13"/>
  <c r="M318" i="13"/>
  <c r="M224" i="13"/>
  <c r="M165" i="13"/>
  <c r="M104" i="13"/>
  <c r="M184" i="13"/>
  <c r="M312" i="13"/>
  <c r="M164" i="13"/>
  <c r="M109" i="13"/>
  <c r="M219" i="13"/>
  <c r="M18" i="13"/>
  <c r="M241" i="13"/>
  <c r="M253" i="13"/>
  <c r="M267" i="13"/>
  <c r="M73" i="13"/>
  <c r="M231" i="13"/>
  <c r="M65" i="13"/>
  <c r="M91" i="13"/>
  <c r="M188" i="13"/>
  <c r="M213" i="13"/>
  <c r="M250" i="13"/>
  <c r="M8" i="13"/>
  <c r="M11" i="13"/>
  <c r="M37" i="13"/>
  <c r="M317" i="13"/>
  <c r="M258" i="13"/>
  <c r="M116" i="13"/>
  <c r="M94" i="13"/>
  <c r="M265" i="13"/>
  <c r="M204" i="13"/>
  <c r="M176" i="13"/>
  <c r="M271" i="13"/>
  <c r="M191" i="13"/>
  <c r="M125" i="13"/>
  <c r="M220" i="13"/>
  <c r="M118" i="13"/>
  <c r="M4" i="13"/>
  <c r="M196" i="13"/>
  <c r="M216" i="13"/>
  <c r="M126" i="13"/>
  <c r="M74" i="13"/>
  <c r="M171" i="13"/>
  <c r="M90" i="13"/>
  <c r="M247" i="13"/>
  <c r="M160" i="13"/>
  <c r="M157" i="13"/>
  <c r="M234" i="13"/>
  <c r="M127" i="13"/>
  <c r="M168" i="13"/>
  <c r="M51" i="13"/>
  <c r="M261" i="13"/>
  <c r="M133" i="13"/>
  <c r="M285" i="13"/>
  <c r="M314" i="13"/>
  <c r="M143" i="13"/>
  <c r="M98" i="13"/>
  <c r="M23" i="13"/>
  <c r="M101" i="13"/>
  <c r="M260" i="13"/>
  <c r="M130" i="13"/>
  <c r="M117" i="13"/>
  <c r="M113" i="13"/>
  <c r="M93" i="13"/>
  <c r="M186" i="13"/>
  <c r="M270" i="13"/>
  <c r="M119" i="13"/>
  <c r="M154" i="13"/>
  <c r="M140" i="13"/>
  <c r="M6" i="13"/>
  <c r="M182" i="13"/>
  <c r="M80" i="13"/>
  <c r="M210" i="13"/>
  <c r="M28" i="13"/>
  <c r="M187" i="13"/>
  <c r="M173" i="13"/>
  <c r="M147" i="13"/>
  <c r="M308" i="13"/>
  <c r="M35" i="13"/>
  <c r="M255" i="13"/>
  <c r="M278" i="13"/>
  <c r="M223" i="13"/>
  <c r="M123" i="13"/>
  <c r="M95" i="13"/>
  <c r="M202" i="13"/>
  <c r="M170" i="13"/>
  <c r="M131" i="13"/>
  <c r="M156" i="13"/>
  <c r="M212" i="13"/>
  <c r="M114" i="13"/>
  <c r="M38" i="13"/>
  <c r="M166" i="13"/>
  <c r="M252" i="13"/>
  <c r="M201" i="13"/>
  <c r="M206" i="13"/>
  <c r="M81" i="13"/>
  <c r="M40" i="13"/>
  <c r="M54" i="13"/>
  <c r="M178" i="13"/>
  <c r="M296" i="13"/>
  <c r="M50" i="13"/>
  <c r="M57" i="13"/>
  <c r="M69" i="13"/>
  <c r="O2" i="12"/>
  <c r="P140" i="12" s="1"/>
  <c r="P66" i="12"/>
  <c r="M296" i="11"/>
  <c r="M288" i="11"/>
  <c r="M280" i="11"/>
  <c r="M272" i="11"/>
  <c r="M264" i="11"/>
  <c r="M256" i="11"/>
  <c r="M248" i="11"/>
  <c r="M240" i="11"/>
  <c r="M232" i="11"/>
  <c r="M224" i="11"/>
  <c r="M216" i="11"/>
  <c r="M208" i="11"/>
  <c r="M200" i="11"/>
  <c r="M192" i="11"/>
  <c r="M184" i="11"/>
  <c r="M176" i="11"/>
  <c r="M168" i="11"/>
  <c r="M160" i="11"/>
  <c r="M260" i="11"/>
  <c r="M196" i="11"/>
  <c r="M188" i="11"/>
  <c r="M276" i="11"/>
  <c r="M212" i="11"/>
  <c r="M236" i="11"/>
  <c r="M172" i="11"/>
  <c r="M284" i="11"/>
  <c r="M220" i="11"/>
  <c r="M252" i="11"/>
  <c r="M3" i="11"/>
  <c r="M300" i="11"/>
  <c r="M308" i="11"/>
  <c r="M244" i="11"/>
  <c r="M180" i="11"/>
  <c r="M268" i="11"/>
  <c r="M204" i="11"/>
  <c r="M103" i="11"/>
  <c r="M292" i="11"/>
  <c r="M228" i="11"/>
  <c r="M164" i="11"/>
  <c r="M95" i="11"/>
  <c r="M87" i="11"/>
  <c r="M71" i="11"/>
  <c r="M5" i="11"/>
  <c r="M111" i="11"/>
  <c r="M19" i="11"/>
  <c r="M231" i="11"/>
  <c r="M51" i="11"/>
  <c r="M15" i="11"/>
  <c r="M239" i="11"/>
  <c r="M255" i="11"/>
  <c r="M183" i="11"/>
  <c r="M227" i="11"/>
  <c r="M33" i="11"/>
  <c r="M283" i="11"/>
  <c r="M145" i="11"/>
  <c r="M179" i="11"/>
  <c r="M195" i="11"/>
  <c r="M194" i="11"/>
  <c r="M274" i="11"/>
  <c r="M96" i="11"/>
  <c r="M202" i="11"/>
  <c r="M263" i="11"/>
  <c r="M117" i="11"/>
  <c r="M275" i="11"/>
  <c r="M66" i="11"/>
  <c r="M105" i="11"/>
  <c r="M205" i="11"/>
  <c r="M269" i="11"/>
  <c r="M166" i="11"/>
  <c r="M230" i="11"/>
  <c r="M294" i="11"/>
  <c r="M185" i="11"/>
  <c r="M249" i="11"/>
  <c r="M313" i="11"/>
  <c r="M207" i="11"/>
  <c r="M72" i="11"/>
  <c r="M242" i="11"/>
  <c r="M261" i="11"/>
  <c r="M305" i="11"/>
  <c r="M6" i="11"/>
  <c r="M2" i="11"/>
  <c r="M35" i="11"/>
  <c r="M27" i="11"/>
  <c r="M123" i="11"/>
  <c r="M14" i="11"/>
  <c r="M7" i="11"/>
  <c r="M271" i="11"/>
  <c r="M40" i="11"/>
  <c r="M314" i="11"/>
  <c r="M170" i="11"/>
  <c r="M38" i="11"/>
  <c r="M75" i="11"/>
  <c r="M226" i="11"/>
  <c r="M304" i="11"/>
  <c r="M104" i="11"/>
  <c r="M235" i="11"/>
  <c r="M291" i="11"/>
  <c r="M210" i="11"/>
  <c r="M124" i="11"/>
  <c r="M306" i="11"/>
  <c r="M112" i="11"/>
  <c r="M312" i="11"/>
  <c r="M213" i="11"/>
  <c r="M277" i="11"/>
  <c r="M174" i="11"/>
  <c r="M238" i="11"/>
  <c r="M302" i="11"/>
  <c r="M193" i="11"/>
  <c r="M257" i="11"/>
  <c r="M43" i="11"/>
  <c r="M52" i="11"/>
  <c r="M177" i="11"/>
  <c r="M77" i="11"/>
  <c r="M25" i="11"/>
  <c r="M94" i="11"/>
  <c r="M47" i="11"/>
  <c r="M215" i="11"/>
  <c r="M70" i="11"/>
  <c r="M139" i="11"/>
  <c r="M147" i="11"/>
  <c r="M10" i="11"/>
  <c r="M303" i="11"/>
  <c r="M67" i="11"/>
  <c r="M121" i="11"/>
  <c r="M16" i="11"/>
  <c r="M53" i="11"/>
  <c r="M109" i="11"/>
  <c r="M259" i="11"/>
  <c r="M41" i="11"/>
  <c r="M266" i="11"/>
  <c r="M120" i="11"/>
  <c r="M134" i="11"/>
  <c r="M243" i="11"/>
  <c r="M73" i="11"/>
  <c r="M315" i="11"/>
  <c r="M221" i="11"/>
  <c r="M285" i="11"/>
  <c r="M182" i="11"/>
  <c r="M246" i="11"/>
  <c r="M310" i="11"/>
  <c r="M201" i="11"/>
  <c r="M265" i="11"/>
  <c r="M279" i="11"/>
  <c r="M99" i="11"/>
  <c r="M222" i="11"/>
  <c r="M107" i="11"/>
  <c r="M59" i="11"/>
  <c r="M159" i="11"/>
  <c r="M135" i="11"/>
  <c r="M131" i="11"/>
  <c r="M17" i="11"/>
  <c r="M247" i="11"/>
  <c r="M23" i="11"/>
  <c r="M234" i="11"/>
  <c r="M79" i="11"/>
  <c r="M128" i="11"/>
  <c r="M93" i="11"/>
  <c r="M60" i="11"/>
  <c r="M116" i="11"/>
  <c r="M290" i="11"/>
  <c r="M64" i="11"/>
  <c r="M48" i="11"/>
  <c r="M129" i="11"/>
  <c r="M299" i="11"/>
  <c r="M152" i="11"/>
  <c r="M36" i="11"/>
  <c r="M149" i="11"/>
  <c r="M76" i="11"/>
  <c r="M137" i="11"/>
  <c r="M165" i="11"/>
  <c r="M229" i="11"/>
  <c r="M293" i="11"/>
  <c r="M190" i="11"/>
  <c r="M254" i="11"/>
  <c r="M209" i="11"/>
  <c r="M273" i="11"/>
  <c r="M29" i="11"/>
  <c r="M171" i="11"/>
  <c r="M251" i="11"/>
  <c r="M241" i="11"/>
  <c r="M21" i="11"/>
  <c r="M127" i="11"/>
  <c r="M31" i="11"/>
  <c r="M63" i="11"/>
  <c r="M191" i="11"/>
  <c r="M155" i="11"/>
  <c r="M39" i="11"/>
  <c r="M151" i="11"/>
  <c r="M11" i="11"/>
  <c r="M18" i="11"/>
  <c r="M45" i="11"/>
  <c r="M199" i="11"/>
  <c r="M81" i="11"/>
  <c r="M126" i="11"/>
  <c r="M113" i="11"/>
  <c r="M136" i="11"/>
  <c r="M54" i="11"/>
  <c r="M267" i="11"/>
  <c r="M46" i="11"/>
  <c r="M157" i="11"/>
  <c r="M97" i="11"/>
  <c r="M80" i="11"/>
  <c r="M144" i="11"/>
  <c r="M173" i="11"/>
  <c r="M237" i="11"/>
  <c r="M301" i="11"/>
  <c r="M198" i="11"/>
  <c r="M262" i="11"/>
  <c r="M217" i="11"/>
  <c r="M281" i="11"/>
  <c r="M13" i="11"/>
  <c r="M119" i="11"/>
  <c r="M57" i="11"/>
  <c r="M162" i="11"/>
  <c r="M142" i="11"/>
  <c r="M286" i="11"/>
  <c r="M167" i="11"/>
  <c r="M223" i="11"/>
  <c r="M102" i="11"/>
  <c r="M175" i="11"/>
  <c r="M86" i="11"/>
  <c r="M311" i="11"/>
  <c r="M26" i="11"/>
  <c r="M44" i="11"/>
  <c r="M153" i="11"/>
  <c r="M90" i="11"/>
  <c r="M186" i="11"/>
  <c r="M258" i="11"/>
  <c r="M108" i="11"/>
  <c r="M65" i="11"/>
  <c r="M141" i="11"/>
  <c r="M37" i="11"/>
  <c r="M203" i="11"/>
  <c r="M85" i="11"/>
  <c r="M61" i="11"/>
  <c r="M178" i="11"/>
  <c r="M163" i="11"/>
  <c r="M49" i="11"/>
  <c r="M187" i="11"/>
  <c r="M181" i="11"/>
  <c r="M245" i="11"/>
  <c r="M309" i="11"/>
  <c r="M206" i="11"/>
  <c r="M270" i="11"/>
  <c r="M161" i="11"/>
  <c r="M225" i="11"/>
  <c r="M289" i="11"/>
  <c r="M143" i="11"/>
  <c r="M88" i="11"/>
  <c r="M197" i="11"/>
  <c r="M78" i="11"/>
  <c r="M287" i="11"/>
  <c r="M4" i="11"/>
  <c r="M69" i="11"/>
  <c r="M22" i="11"/>
  <c r="M295" i="11"/>
  <c r="M115" i="11"/>
  <c r="M55" i="11"/>
  <c r="M125" i="11"/>
  <c r="M307" i="11"/>
  <c r="M219" i="11"/>
  <c r="M133" i="11"/>
  <c r="M148" i="11"/>
  <c r="M89" i="11"/>
  <c r="M298" i="11"/>
  <c r="M82" i="11"/>
  <c r="M156" i="11"/>
  <c r="M110" i="11"/>
  <c r="M91" i="11"/>
  <c r="M211" i="11"/>
  <c r="M32" i="11"/>
  <c r="M56" i="11"/>
  <c r="M189" i="11"/>
  <c r="M253" i="11"/>
  <c r="M214" i="11"/>
  <c r="M278" i="11"/>
  <c r="M169" i="11"/>
  <c r="M233" i="11"/>
  <c r="M297" i="11"/>
  <c r="M9" i="11"/>
  <c r="M132" i="11"/>
  <c r="M98" i="11"/>
  <c r="M250" i="11"/>
  <c r="M140" i="11"/>
  <c r="M101" i="11"/>
  <c r="M74" i="11"/>
  <c r="M158" i="11"/>
  <c r="M218" i="11"/>
  <c r="M130" i="11"/>
  <c r="M122" i="11"/>
  <c r="M282" i="11"/>
  <c r="M58" i="11"/>
  <c r="M20" i="11"/>
  <c r="M28" i="11"/>
  <c r="M8" i="11"/>
  <c r="M62" i="11"/>
  <c r="M50" i="11"/>
  <c r="M92" i="11"/>
  <c r="M154" i="11"/>
  <c r="M114" i="11"/>
  <c r="M100" i="11"/>
  <c r="M138" i="11"/>
  <c r="M83" i="11"/>
  <c r="M34" i="11"/>
  <c r="M30" i="11"/>
  <c r="M118" i="11"/>
  <c r="M150" i="11"/>
  <c r="M84" i="11"/>
  <c r="M42" i="11"/>
  <c r="M68" i="11"/>
  <c r="M12" i="11"/>
  <c r="M106" i="11"/>
  <c r="M24" i="11"/>
  <c r="M146" i="11"/>
  <c r="P277" i="12" l="1"/>
  <c r="P121" i="12"/>
  <c r="P281" i="12"/>
  <c r="P98" i="12"/>
  <c r="P232" i="12"/>
  <c r="P317" i="12"/>
  <c r="P119" i="12"/>
  <c r="P319" i="12"/>
  <c r="P65" i="12"/>
  <c r="P19" i="12"/>
  <c r="P291" i="12"/>
  <c r="P36" i="12"/>
  <c r="P16" i="12"/>
  <c r="P141" i="12"/>
  <c r="P300" i="12"/>
  <c r="P322" i="12"/>
  <c r="P315" i="12"/>
  <c r="P267" i="12"/>
  <c r="P101" i="12"/>
  <c r="P164" i="12"/>
  <c r="P316" i="12"/>
  <c r="P321" i="12"/>
  <c r="P295" i="12"/>
  <c r="P290" i="12"/>
  <c r="P113" i="12"/>
  <c r="P97" i="12"/>
  <c r="P320" i="12"/>
  <c r="P219" i="12"/>
  <c r="P32" i="12"/>
  <c r="P56" i="12"/>
  <c r="P318" i="12"/>
  <c r="P314" i="12"/>
  <c r="P47" i="12"/>
  <c r="P31" i="12"/>
  <c r="P71" i="12"/>
  <c r="P74" i="12"/>
  <c r="P72" i="12"/>
  <c r="P68" i="12"/>
  <c r="P8" i="12"/>
  <c r="P104" i="12"/>
  <c r="P196" i="12"/>
  <c r="P272" i="12"/>
  <c r="P175" i="12"/>
  <c r="P137" i="12"/>
  <c r="P136" i="12"/>
  <c r="P207" i="12"/>
  <c r="P209" i="12"/>
  <c r="P304" i="12"/>
  <c r="P127" i="12"/>
  <c r="P10" i="12"/>
  <c r="P222" i="12"/>
  <c r="P265" i="12"/>
  <c r="P59" i="12"/>
  <c r="P216" i="12"/>
  <c r="P5" i="12"/>
  <c r="P172" i="12"/>
  <c r="P298" i="12"/>
  <c r="P107" i="12"/>
  <c r="P262" i="12"/>
  <c r="P258" i="12"/>
  <c r="P309" i="12"/>
  <c r="P54" i="12"/>
  <c r="P242" i="12"/>
  <c r="P154" i="12"/>
  <c r="P149" i="12"/>
  <c r="P57" i="12"/>
  <c r="P313" i="12"/>
  <c r="P179" i="12"/>
  <c r="P46" i="12"/>
  <c r="P297" i="12"/>
  <c r="P310" i="12"/>
  <c r="O2" i="13"/>
  <c r="P77" i="13" s="1"/>
  <c r="P155" i="12"/>
  <c r="P253" i="12"/>
  <c r="P75" i="12"/>
  <c r="P168" i="12"/>
  <c r="P299" i="12"/>
  <c r="P18" i="12"/>
  <c r="P233" i="12"/>
  <c r="P204" i="12"/>
  <c r="P126" i="12"/>
  <c r="P263" i="12"/>
  <c r="P266" i="12"/>
  <c r="P211" i="12"/>
  <c r="P50" i="12"/>
  <c r="P152" i="12"/>
  <c r="P33" i="12"/>
  <c r="P235" i="12"/>
  <c r="P55" i="12"/>
  <c r="P289" i="12"/>
  <c r="P247" i="12"/>
  <c r="P285" i="12"/>
  <c r="P63" i="12"/>
  <c r="P34" i="12"/>
  <c r="P44" i="12"/>
  <c r="P249" i="12"/>
  <c r="P145" i="12"/>
  <c r="P158" i="12"/>
  <c r="P227" i="12"/>
  <c r="P230" i="12"/>
  <c r="P181" i="12"/>
  <c r="P86" i="12"/>
  <c r="P93" i="12"/>
  <c r="P153" i="12"/>
  <c r="P284" i="12"/>
  <c r="P106" i="12"/>
  <c r="P257" i="12"/>
  <c r="P241" i="12"/>
  <c r="P109" i="12"/>
  <c r="P58" i="12"/>
  <c r="P228" i="12"/>
  <c r="P239" i="12"/>
  <c r="P125" i="12"/>
  <c r="P100" i="12"/>
  <c r="P212" i="12"/>
  <c r="P256" i="12"/>
  <c r="P105" i="12"/>
  <c r="P117" i="12"/>
  <c r="P12" i="12"/>
  <c r="P40" i="12"/>
  <c r="P189" i="12"/>
  <c r="P296" i="12"/>
  <c r="P135" i="12"/>
  <c r="P88" i="12"/>
  <c r="P308" i="12"/>
  <c r="P49" i="12"/>
  <c r="P188" i="12"/>
  <c r="P218" i="12"/>
  <c r="P128" i="12"/>
  <c r="P70" i="12"/>
  <c r="P273" i="12"/>
  <c r="P240" i="12"/>
  <c r="P184" i="12"/>
  <c r="P260" i="12"/>
  <c r="P224" i="12"/>
  <c r="P220" i="12"/>
  <c r="P170" i="12"/>
  <c r="P85" i="12"/>
  <c r="P248" i="12"/>
  <c r="P231" i="12"/>
  <c r="P87" i="12"/>
  <c r="P151" i="12"/>
  <c r="P14" i="12"/>
  <c r="P156" i="12"/>
  <c r="P73" i="12"/>
  <c r="P78" i="12"/>
  <c r="P194" i="12"/>
  <c r="P161" i="12"/>
  <c r="P80" i="12"/>
  <c r="P274" i="12"/>
  <c r="P124" i="12"/>
  <c r="P51" i="12"/>
  <c r="P15" i="12"/>
  <c r="P25" i="12"/>
  <c r="P213" i="12"/>
  <c r="P283" i="12"/>
  <c r="P120" i="12"/>
  <c r="P246" i="12"/>
  <c r="P77" i="12"/>
  <c r="P225" i="12"/>
  <c r="P9" i="12"/>
  <c r="P79" i="12"/>
  <c r="P245" i="12"/>
  <c r="P35" i="12"/>
  <c r="P171" i="12"/>
  <c r="P52" i="12"/>
  <c r="P306" i="12"/>
  <c r="P185" i="12"/>
  <c r="P226" i="12"/>
  <c r="P42" i="12"/>
  <c r="P237" i="12"/>
  <c r="P118" i="12"/>
  <c r="P288" i="12"/>
  <c r="P254" i="12"/>
  <c r="P95" i="12"/>
  <c r="P115" i="12"/>
  <c r="P271" i="12"/>
  <c r="P23" i="12"/>
  <c r="P146" i="12"/>
  <c r="P163" i="12"/>
  <c r="P234" i="12"/>
  <c r="P81" i="12"/>
  <c r="P292" i="12"/>
  <c r="P82" i="12"/>
  <c r="P276" i="12"/>
  <c r="P99" i="12"/>
  <c r="P169" i="12"/>
  <c r="P2" i="12"/>
  <c r="P264" i="12"/>
  <c r="P102" i="12"/>
  <c r="P270" i="12"/>
  <c r="P129" i="12"/>
  <c r="P122" i="12"/>
  <c r="P29" i="12"/>
  <c r="P190" i="12"/>
  <c r="P103" i="12"/>
  <c r="P195" i="12"/>
  <c r="P177" i="12"/>
  <c r="P200" i="12"/>
  <c r="P20" i="12"/>
  <c r="P305" i="12"/>
  <c r="P167" i="12"/>
  <c r="P278" i="12"/>
  <c r="P193" i="12"/>
  <c r="P150" i="12"/>
  <c r="P210" i="12"/>
  <c r="P148" i="12"/>
  <c r="P198" i="12"/>
  <c r="P197" i="12"/>
  <c r="P111" i="12"/>
  <c r="P243" i="12"/>
  <c r="P131" i="12"/>
  <c r="P261" i="12"/>
  <c r="P112" i="12"/>
  <c r="P202" i="12"/>
  <c r="P139" i="12"/>
  <c r="P286" i="12"/>
  <c r="P279" i="12"/>
  <c r="P17" i="12"/>
  <c r="P191" i="12"/>
  <c r="P96" i="12"/>
  <c r="P26" i="12"/>
  <c r="P229" i="12"/>
  <c r="P147" i="12"/>
  <c r="P282" i="12"/>
  <c r="P178" i="12"/>
  <c r="P11" i="12"/>
  <c r="P174" i="12"/>
  <c r="P307" i="12"/>
  <c r="P114" i="12"/>
  <c r="P215" i="12"/>
  <c r="P7" i="12"/>
  <c r="P84" i="12"/>
  <c r="P76" i="12"/>
  <c r="P303" i="12"/>
  <c r="P269" i="12"/>
  <c r="P238" i="12"/>
  <c r="P92" i="12"/>
  <c r="P214" i="12"/>
  <c r="P180" i="12"/>
  <c r="P132" i="12"/>
  <c r="P43" i="12"/>
  <c r="P182" i="12"/>
  <c r="P62" i="12"/>
  <c r="P301" i="12"/>
  <c r="P206" i="12"/>
  <c r="P116" i="12"/>
  <c r="P27" i="12"/>
  <c r="P165" i="12"/>
  <c r="P13" i="12"/>
  <c r="P48" i="12"/>
  <c r="P142" i="12"/>
  <c r="P162" i="12"/>
  <c r="P67" i="12"/>
  <c r="P91" i="12"/>
  <c r="P252" i="12"/>
  <c r="P37" i="12"/>
  <c r="P22" i="12"/>
  <c r="P205" i="12"/>
  <c r="P64" i="12"/>
  <c r="P30" i="12"/>
  <c r="P157" i="12"/>
  <c r="P159" i="12"/>
  <c r="P311" i="12"/>
  <c r="P61" i="12"/>
  <c r="P41" i="12"/>
  <c r="P144" i="12"/>
  <c r="P259" i="12"/>
  <c r="P166" i="12"/>
  <c r="P21" i="12"/>
  <c r="P89" i="12"/>
  <c r="P192" i="12"/>
  <c r="P28" i="12"/>
  <c r="P90" i="12"/>
  <c r="P183" i="12"/>
  <c r="P251" i="12"/>
  <c r="P217" i="12"/>
  <c r="P176" i="12"/>
  <c r="P302" i="12"/>
  <c r="P275" i="12"/>
  <c r="P294" i="12"/>
  <c r="P268" i="12"/>
  <c r="P173" i="12"/>
  <c r="P39" i="12"/>
  <c r="P236" i="12"/>
  <c r="P223" i="12"/>
  <c r="P24" i="12"/>
  <c r="P187" i="12"/>
  <c r="P293" i="12"/>
  <c r="P4" i="12"/>
  <c r="P244" i="12"/>
  <c r="P250" i="12"/>
  <c r="P69" i="12"/>
  <c r="P221" i="12"/>
  <c r="P110" i="12"/>
  <c r="P6" i="12"/>
  <c r="P186" i="12"/>
  <c r="P130" i="12"/>
  <c r="P255" i="12"/>
  <c r="P201" i="12"/>
  <c r="P60" i="12"/>
  <c r="P134" i="12"/>
  <c r="P199" i="12"/>
  <c r="P133" i="12"/>
  <c r="P203" i="12"/>
  <c r="P3" i="12"/>
  <c r="P45" i="12"/>
  <c r="P108" i="12"/>
  <c r="P94" i="12"/>
  <c r="P312" i="12"/>
  <c r="P53" i="12"/>
  <c r="P160" i="12"/>
  <c r="P287" i="12"/>
  <c r="P143" i="12"/>
  <c r="P123" i="12"/>
  <c r="P280" i="12"/>
  <c r="P38" i="12"/>
  <c r="P83" i="12"/>
  <c r="P138" i="12"/>
  <c r="P208" i="12"/>
  <c r="O2" i="11"/>
  <c r="P118" i="11" s="1"/>
  <c r="P307" i="13" l="1"/>
  <c r="P275" i="13"/>
  <c r="P198" i="13"/>
  <c r="P267" i="13"/>
  <c r="P165" i="13"/>
  <c r="P305" i="13"/>
  <c r="P239" i="13"/>
  <c r="P91" i="13"/>
  <c r="P21" i="13"/>
  <c r="P246" i="13"/>
  <c r="P30" i="13"/>
  <c r="P277" i="13"/>
  <c r="P214" i="13"/>
  <c r="P82" i="13"/>
  <c r="P102" i="13"/>
  <c r="P185" i="13"/>
  <c r="P59" i="13"/>
  <c r="P210" i="13"/>
  <c r="P311" i="13"/>
  <c r="P172" i="13"/>
  <c r="P243" i="13"/>
  <c r="P176" i="13"/>
  <c r="P226" i="13"/>
  <c r="P284" i="13"/>
  <c r="P121" i="13"/>
  <c r="P282" i="13"/>
  <c r="P41" i="13"/>
  <c r="P183" i="13"/>
  <c r="P278" i="13"/>
  <c r="P3" i="13"/>
  <c r="P125" i="13"/>
  <c r="P205" i="13"/>
  <c r="P236" i="13"/>
  <c r="P228" i="13"/>
  <c r="P180" i="13"/>
  <c r="P115" i="13"/>
  <c r="P32" i="13"/>
  <c r="P12" i="13"/>
  <c r="P186" i="13"/>
  <c r="P301" i="13"/>
  <c r="P317" i="13"/>
  <c r="P230" i="13"/>
  <c r="P196" i="13"/>
  <c r="P235" i="13"/>
  <c r="P208" i="13"/>
  <c r="P22" i="11"/>
  <c r="P131" i="13"/>
  <c r="P124" i="13"/>
  <c r="P302" i="13"/>
  <c r="P67" i="13"/>
  <c r="P177" i="13"/>
  <c r="P266" i="13"/>
  <c r="P96" i="13"/>
  <c r="P169" i="13"/>
  <c r="P308" i="13"/>
  <c r="P254" i="13"/>
  <c r="P92" i="13"/>
  <c r="P313" i="13"/>
  <c r="P223" i="13"/>
  <c r="P167" i="13"/>
  <c r="P191" i="13"/>
  <c r="P240" i="13"/>
  <c r="P189" i="13"/>
  <c r="P174" i="13"/>
  <c r="P260" i="13"/>
  <c r="P56" i="13"/>
  <c r="P225" i="13"/>
  <c r="P114" i="13"/>
  <c r="P279" i="13"/>
  <c r="P94" i="13"/>
  <c r="P288" i="13"/>
  <c r="P85" i="13"/>
  <c r="P320" i="11"/>
  <c r="P316" i="11"/>
  <c r="P321" i="11"/>
  <c r="P319" i="11"/>
  <c r="P318" i="11"/>
  <c r="P279" i="11"/>
  <c r="P317" i="11"/>
  <c r="P131" i="11"/>
  <c r="P302" i="11"/>
  <c r="P195" i="11"/>
  <c r="P191" i="11"/>
  <c r="P69" i="11"/>
  <c r="P75" i="11"/>
  <c r="P140" i="11"/>
  <c r="P120" i="11"/>
  <c r="P244" i="11"/>
  <c r="P58" i="11"/>
  <c r="P246" i="11"/>
  <c r="P277" i="11"/>
  <c r="P222" i="11"/>
  <c r="P257" i="11"/>
  <c r="P315" i="11"/>
  <c r="P289" i="11"/>
  <c r="P85" i="11"/>
  <c r="P119" i="11"/>
  <c r="P124" i="11"/>
  <c r="P253" i="11"/>
  <c r="P122" i="13"/>
  <c r="P101" i="13"/>
  <c r="P209" i="13"/>
  <c r="P274" i="13"/>
  <c r="P259" i="13"/>
  <c r="P93" i="13"/>
  <c r="P4" i="13"/>
  <c r="P262" i="13"/>
  <c r="P141" i="13"/>
  <c r="P212" i="13"/>
  <c r="P72" i="13"/>
  <c r="P245" i="13"/>
  <c r="P136" i="13"/>
  <c r="P48" i="13"/>
  <c r="P26" i="13"/>
  <c r="P281" i="13"/>
  <c r="P298" i="13"/>
  <c r="P195" i="13"/>
  <c r="P15" i="13"/>
  <c r="P280" i="13"/>
  <c r="P173" i="13"/>
  <c r="P64" i="13"/>
  <c r="P312" i="13"/>
  <c r="P147" i="13"/>
  <c r="P73" i="13"/>
  <c r="P201" i="13"/>
  <c r="P25" i="13"/>
  <c r="P148" i="13"/>
  <c r="P161" i="13"/>
  <c r="P58" i="13"/>
  <c r="P304" i="13"/>
  <c r="P129" i="13"/>
  <c r="P109" i="13"/>
  <c r="P159" i="13"/>
  <c r="P107" i="13"/>
  <c r="P211" i="13"/>
  <c r="P100" i="13"/>
  <c r="P80" i="13"/>
  <c r="P134" i="13"/>
  <c r="P233" i="13"/>
  <c r="P204" i="13"/>
  <c r="P216" i="13"/>
  <c r="P49" i="13"/>
  <c r="P116" i="13"/>
  <c r="P286" i="13"/>
  <c r="P60" i="13"/>
  <c r="P27" i="13"/>
  <c r="P315" i="13"/>
  <c r="P119" i="13"/>
  <c r="P200" i="13"/>
  <c r="P24" i="13"/>
  <c r="P7" i="13"/>
  <c r="P95" i="13"/>
  <c r="P150" i="13"/>
  <c r="P272" i="13"/>
  <c r="P202" i="13"/>
  <c r="P55" i="13"/>
  <c r="P264" i="13"/>
  <c r="P164" i="13"/>
  <c r="P146" i="13"/>
  <c r="P227" i="13"/>
  <c r="P9" i="13"/>
  <c r="P126" i="13"/>
  <c r="P19" i="13"/>
  <c r="P291" i="13"/>
  <c r="P110" i="13"/>
  <c r="P310" i="13"/>
  <c r="P257" i="13"/>
  <c r="P255" i="13"/>
  <c r="P188" i="13"/>
  <c r="P103" i="13"/>
  <c r="P43" i="13"/>
  <c r="P268" i="13"/>
  <c r="P104" i="13"/>
  <c r="P52" i="13"/>
  <c r="P190" i="13"/>
  <c r="P47" i="13"/>
  <c r="P70" i="13"/>
  <c r="P187" i="13"/>
  <c r="P224" i="13"/>
  <c r="P145" i="13"/>
  <c r="P219" i="13"/>
  <c r="P166" i="13"/>
  <c r="P69" i="13"/>
  <c r="P290" i="13"/>
  <c r="P252" i="13"/>
  <c r="P16" i="13"/>
  <c r="P142" i="13"/>
  <c r="P170" i="13"/>
  <c r="P97" i="13"/>
  <c r="P322" i="13"/>
  <c r="P39" i="13"/>
  <c r="P13" i="13"/>
  <c r="P154" i="13"/>
  <c r="P140" i="13"/>
  <c r="P135" i="13"/>
  <c r="P57" i="13"/>
  <c r="P113" i="13"/>
  <c r="P10" i="13"/>
  <c r="P256" i="13"/>
  <c r="P182" i="13"/>
  <c r="P250" i="13"/>
  <c r="P309" i="13"/>
  <c r="P66" i="13"/>
  <c r="P156" i="13"/>
  <c r="P88" i="13"/>
  <c r="P75" i="13"/>
  <c r="P283" i="13"/>
  <c r="P89" i="13"/>
  <c r="P193" i="13"/>
  <c r="P276" i="13"/>
  <c r="P270" i="13"/>
  <c r="P87" i="13"/>
  <c r="P258" i="13"/>
  <c r="P207" i="13"/>
  <c r="P123" i="13"/>
  <c r="P112" i="13"/>
  <c r="P232" i="13"/>
  <c r="P65" i="13"/>
  <c r="P192" i="13"/>
  <c r="P120" i="13"/>
  <c r="P79" i="13"/>
  <c r="P318" i="13"/>
  <c r="P78" i="13"/>
  <c r="P237" i="13"/>
  <c r="P238" i="13"/>
  <c r="P321" i="13"/>
  <c r="P137" i="13"/>
  <c r="P35" i="13"/>
  <c r="P287" i="13"/>
  <c r="P316" i="13"/>
  <c r="P299" i="13"/>
  <c r="P68" i="13"/>
  <c r="P84" i="13"/>
  <c r="P139" i="13"/>
  <c r="P130" i="13"/>
  <c r="P53" i="13"/>
  <c r="P31" i="13"/>
  <c r="P29" i="13"/>
  <c r="P28" i="13"/>
  <c r="P151" i="13"/>
  <c r="P271" i="13"/>
  <c r="P118" i="13"/>
  <c r="P38" i="13"/>
  <c r="P62" i="13"/>
  <c r="P242" i="13"/>
  <c r="P37" i="13"/>
  <c r="P83" i="13"/>
  <c r="P50" i="13"/>
  <c r="P111" i="13"/>
  <c r="P175" i="13"/>
  <c r="P152" i="13"/>
  <c r="P6" i="13"/>
  <c r="P293" i="13"/>
  <c r="P106" i="13"/>
  <c r="P320" i="13"/>
  <c r="P46" i="13"/>
  <c r="P269" i="13"/>
  <c r="P289" i="13"/>
  <c r="P221" i="13"/>
  <c r="P295" i="13"/>
  <c r="P220" i="13"/>
  <c r="P138" i="13"/>
  <c r="P265" i="13"/>
  <c r="P99" i="13"/>
  <c r="P215" i="13"/>
  <c r="P74" i="13"/>
  <c r="P231" i="13"/>
  <c r="P171" i="13"/>
  <c r="P206" i="13"/>
  <c r="P144" i="13"/>
  <c r="P300" i="13"/>
  <c r="P128" i="13"/>
  <c r="P90" i="13"/>
  <c r="P81" i="13"/>
  <c r="P108" i="13"/>
  <c r="P63" i="13"/>
  <c r="P44" i="13"/>
  <c r="P247" i="13"/>
  <c r="P248" i="13"/>
  <c r="P17" i="13"/>
  <c r="P179" i="13"/>
  <c r="P160" i="13"/>
  <c r="P54" i="13"/>
  <c r="P117" i="13"/>
  <c r="P229" i="13"/>
  <c r="P244" i="13"/>
  <c r="P157" i="13"/>
  <c r="P178" i="13"/>
  <c r="P18" i="13"/>
  <c r="P253" i="13"/>
  <c r="P194" i="13"/>
  <c r="P234" i="13"/>
  <c r="P296" i="13"/>
  <c r="P162" i="13"/>
  <c r="P263" i="13"/>
  <c r="P127" i="13"/>
  <c r="P5" i="13"/>
  <c r="P149" i="13"/>
  <c r="P181" i="13"/>
  <c r="P86" i="13"/>
  <c r="P303" i="13"/>
  <c r="P218" i="13"/>
  <c r="P8" i="13"/>
  <c r="P34" i="13"/>
  <c r="P40" i="13"/>
  <c r="P11" i="13"/>
  <c r="P51" i="13"/>
  <c r="P197" i="13"/>
  <c r="P158" i="13"/>
  <c r="P61" i="13"/>
  <c r="P153" i="13"/>
  <c r="P261" i="13"/>
  <c r="P319" i="13"/>
  <c r="P241" i="13"/>
  <c r="P297" i="13"/>
  <c r="P163" i="13"/>
  <c r="P133" i="13"/>
  <c r="P273" i="13"/>
  <c r="P222" i="13"/>
  <c r="P203" i="13"/>
  <c r="P71" i="13"/>
  <c r="P285" i="13"/>
  <c r="P36" i="13"/>
  <c r="P33" i="13"/>
  <c r="P155" i="13"/>
  <c r="P292" i="13"/>
  <c r="P314" i="13"/>
  <c r="P184" i="13"/>
  <c r="P14" i="13"/>
  <c r="P213" i="13"/>
  <c r="P20" i="13"/>
  <c r="P143" i="13"/>
  <c r="P294" i="13"/>
  <c r="P105" i="13"/>
  <c r="P217" i="13"/>
  <c r="P98" i="13"/>
  <c r="P2" i="13"/>
  <c r="P306" i="13"/>
  <c r="P251" i="13"/>
  <c r="P45" i="13"/>
  <c r="P22" i="13"/>
  <c r="P76" i="13"/>
  <c r="P249" i="13"/>
  <c r="P42" i="13"/>
  <c r="P199" i="13"/>
  <c r="P23" i="13"/>
  <c r="P168" i="13"/>
  <c r="P132" i="13"/>
  <c r="P66" i="11"/>
  <c r="P216" i="11"/>
  <c r="P148" i="11"/>
  <c r="P44" i="11"/>
  <c r="P298" i="11"/>
  <c r="P9" i="11"/>
  <c r="P291" i="11"/>
  <c r="P260" i="11"/>
  <c r="P86" i="11"/>
  <c r="P76" i="11"/>
  <c r="P220" i="11"/>
  <c r="P175" i="11"/>
  <c r="P236" i="11"/>
  <c r="P164" i="11"/>
  <c r="P57" i="11"/>
  <c r="P117" i="11"/>
  <c r="P168" i="11"/>
  <c r="P108" i="11"/>
  <c r="P209" i="11"/>
  <c r="P41" i="11"/>
  <c r="P178" i="11"/>
  <c r="P264" i="11"/>
  <c r="P14" i="11"/>
  <c r="P215" i="11"/>
  <c r="P37" i="11"/>
  <c r="P172" i="11"/>
  <c r="P305" i="11"/>
  <c r="P31" i="11"/>
  <c r="P285" i="11"/>
  <c r="P274" i="11"/>
  <c r="P200" i="11"/>
  <c r="P226" i="11"/>
  <c r="P190" i="11"/>
  <c r="P95" i="11"/>
  <c r="P91" i="11"/>
  <c r="P177" i="11"/>
  <c r="P311" i="11"/>
  <c r="P84" i="11"/>
  <c r="P105" i="11"/>
  <c r="P233" i="11"/>
  <c r="P92" i="11"/>
  <c r="P303" i="11"/>
  <c r="P295" i="11"/>
  <c r="P252" i="11"/>
  <c r="P126" i="11"/>
  <c r="P173" i="11"/>
  <c r="P128" i="11"/>
  <c r="P53" i="11"/>
  <c r="P61" i="11"/>
  <c r="P219" i="11"/>
  <c r="P114" i="11"/>
  <c r="P159" i="11"/>
  <c r="P6" i="11"/>
  <c r="P149" i="11"/>
  <c r="P278" i="11"/>
  <c r="P180" i="11"/>
  <c r="P147" i="11"/>
  <c r="P65" i="11"/>
  <c r="P176" i="11"/>
  <c r="P313" i="11"/>
  <c r="P46" i="11"/>
  <c r="P42" i="11"/>
  <c r="P204" i="11"/>
  <c r="P48" i="11"/>
  <c r="P28" i="11"/>
  <c r="P269" i="11"/>
  <c r="P97" i="11"/>
  <c r="P276" i="11"/>
  <c r="P293" i="11"/>
  <c r="P21" i="11"/>
  <c r="P206" i="11"/>
  <c r="P54" i="11"/>
  <c r="P250" i="11"/>
  <c r="P87" i="11"/>
  <c r="P259" i="11"/>
  <c r="P49" i="11"/>
  <c r="P35" i="11"/>
  <c r="P198" i="11"/>
  <c r="P143" i="11"/>
  <c r="P5" i="11"/>
  <c r="P165" i="11"/>
  <c r="P138" i="11"/>
  <c r="P72" i="11"/>
  <c r="P167" i="11"/>
  <c r="P3" i="11"/>
  <c r="P281" i="11"/>
  <c r="P231" i="11"/>
  <c r="P50" i="11"/>
  <c r="P17" i="11"/>
  <c r="P214" i="11"/>
  <c r="P174" i="11"/>
  <c r="P45" i="11"/>
  <c r="P194" i="11"/>
  <c r="P63" i="11"/>
  <c r="P32" i="11"/>
  <c r="P98" i="11"/>
  <c r="P25" i="11"/>
  <c r="P181" i="11"/>
  <c r="P188" i="11"/>
  <c r="P79" i="11"/>
  <c r="P294" i="11"/>
  <c r="P241" i="11"/>
  <c r="P185" i="11"/>
  <c r="P116" i="11"/>
  <c r="P288" i="11"/>
  <c r="P199" i="11"/>
  <c r="P40" i="11"/>
  <c r="P122" i="11"/>
  <c r="P232" i="11"/>
  <c r="P235" i="11"/>
  <c r="P237" i="11"/>
  <c r="P282" i="11"/>
  <c r="P239" i="11"/>
  <c r="P290" i="11"/>
  <c r="P225" i="11"/>
  <c r="P280" i="11"/>
  <c r="P10" i="11"/>
  <c r="P142" i="11"/>
  <c r="P308" i="11"/>
  <c r="P183" i="11"/>
  <c r="P29" i="11"/>
  <c r="P68" i="11"/>
  <c r="P123" i="11"/>
  <c r="P115" i="11"/>
  <c r="P19" i="11"/>
  <c r="P223" i="11"/>
  <c r="P283" i="11"/>
  <c r="P30" i="11"/>
  <c r="P59" i="11"/>
  <c r="P217" i="11"/>
  <c r="P189" i="11"/>
  <c r="P73" i="11"/>
  <c r="P292" i="11"/>
  <c r="P112" i="11"/>
  <c r="P299" i="11"/>
  <c r="P90" i="11"/>
  <c r="P218" i="11"/>
  <c r="P287" i="11"/>
  <c r="P263" i="11"/>
  <c r="P16" i="11"/>
  <c r="P151" i="11"/>
  <c r="P78" i="11"/>
  <c r="P24" i="11"/>
  <c r="P248" i="11"/>
  <c r="P230" i="11"/>
  <c r="P243" i="11"/>
  <c r="P113" i="11"/>
  <c r="P125" i="11"/>
  <c r="P51" i="11"/>
  <c r="P213" i="11"/>
  <c r="P205" i="11"/>
  <c r="P266" i="11"/>
  <c r="P89" i="11"/>
  <c r="P271" i="11"/>
  <c r="P103" i="11"/>
  <c r="P306" i="11"/>
  <c r="P129" i="11"/>
  <c r="P153" i="11"/>
  <c r="P158" i="11"/>
  <c r="P307" i="11"/>
  <c r="P33" i="11"/>
  <c r="P47" i="11"/>
  <c r="P251" i="11"/>
  <c r="P62" i="11"/>
  <c r="P184" i="11"/>
  <c r="P261" i="11"/>
  <c r="P201" i="11"/>
  <c r="P144" i="11"/>
  <c r="P156" i="11"/>
  <c r="P70" i="11"/>
  <c r="P15" i="11"/>
  <c r="P52" i="11"/>
  <c r="P163" i="11"/>
  <c r="P154" i="11"/>
  <c r="P224" i="11"/>
  <c r="P249" i="11"/>
  <c r="P221" i="11"/>
  <c r="P267" i="11"/>
  <c r="P133" i="11"/>
  <c r="P104" i="11"/>
  <c r="P268" i="11"/>
  <c r="P210" i="11"/>
  <c r="P64" i="11"/>
  <c r="P26" i="11"/>
  <c r="P101" i="11"/>
  <c r="P43" i="11"/>
  <c r="P208" i="11"/>
  <c r="P207" i="11"/>
  <c r="P182" i="11"/>
  <c r="P157" i="11"/>
  <c r="P56" i="11"/>
  <c r="P265" i="11"/>
  <c r="P111" i="11"/>
  <c r="P193" i="11"/>
  <c r="P229" i="11"/>
  <c r="P203" i="11"/>
  <c r="P8" i="11"/>
  <c r="P146" i="11"/>
  <c r="P202" i="11"/>
  <c r="P121" i="11"/>
  <c r="P39" i="11"/>
  <c r="P197" i="11"/>
  <c r="P34" i="11"/>
  <c r="P212" i="11"/>
  <c r="P7" i="11"/>
  <c r="P135" i="11"/>
  <c r="P13" i="11"/>
  <c r="P11" i="11"/>
  <c r="P161" i="11"/>
  <c r="P211" i="11"/>
  <c r="P137" i="11"/>
  <c r="P20" i="11"/>
  <c r="P60" i="11"/>
  <c r="P196" i="11"/>
  <c r="P27" i="11"/>
  <c r="P107" i="11"/>
  <c r="P262" i="11"/>
  <c r="P297" i="11"/>
  <c r="P136" i="11"/>
  <c r="P227" i="11"/>
  <c r="P171" i="11"/>
  <c r="P245" i="11"/>
  <c r="P83" i="11"/>
  <c r="P256" i="11"/>
  <c r="P166" i="11"/>
  <c r="P134" i="11"/>
  <c r="P55" i="11"/>
  <c r="P106" i="11"/>
  <c r="P300" i="11"/>
  <c r="P304" i="11"/>
  <c r="P93" i="11"/>
  <c r="P102" i="11"/>
  <c r="P132" i="11"/>
  <c r="P270" i="11"/>
  <c r="P170" i="11"/>
  <c r="P23" i="11"/>
  <c r="P272" i="11"/>
  <c r="P81" i="11"/>
  <c r="P309" i="11"/>
  <c r="P179" i="11"/>
  <c r="P139" i="11"/>
  <c r="P127" i="11"/>
  <c r="P150" i="11"/>
  <c r="P160" i="11"/>
  <c r="P2" i="11"/>
  <c r="P99" i="11"/>
  <c r="P301" i="11"/>
  <c r="P36" i="11"/>
  <c r="P71" i="11"/>
  <c r="P238" i="11"/>
  <c r="P141" i="11"/>
  <c r="P94" i="11"/>
  <c r="P296" i="11"/>
  <c r="P275" i="11"/>
  <c r="P109" i="11"/>
  <c r="P18" i="11"/>
  <c r="P4" i="11"/>
  <c r="P240" i="11"/>
  <c r="P284" i="11"/>
  <c r="P314" i="11"/>
  <c r="P247" i="11"/>
  <c r="P162" i="11"/>
  <c r="P169" i="11"/>
  <c r="P258" i="11"/>
  <c r="P255" i="11"/>
  <c r="P77" i="11"/>
  <c r="P273" i="11"/>
  <c r="P187" i="11"/>
  <c r="P100" i="11"/>
  <c r="P254" i="11"/>
  <c r="P38" i="11"/>
  <c r="P234" i="11"/>
  <c r="P286" i="11"/>
  <c r="P74" i="11"/>
  <c r="P110" i="11"/>
  <c r="P96" i="11"/>
  <c r="P67" i="11"/>
  <c r="P155" i="11"/>
  <c r="P88" i="11"/>
  <c r="P12" i="11"/>
  <c r="P192" i="11"/>
  <c r="P242" i="11"/>
  <c r="P310" i="11"/>
  <c r="P80" i="11"/>
  <c r="P82" i="11"/>
  <c r="P145" i="11"/>
  <c r="P228" i="11"/>
  <c r="P312" i="11"/>
  <c r="P152" i="11"/>
  <c r="P186" i="11"/>
  <c r="P130" i="11"/>
  <c r="J321" i="9"/>
  <c r="I321" i="9"/>
  <c r="K321" i="9" s="1"/>
  <c r="J320" i="9"/>
  <c r="I320" i="9"/>
  <c r="K320" i="9" s="1"/>
  <c r="J319" i="9"/>
  <c r="I319" i="9"/>
  <c r="K319" i="9" s="1"/>
  <c r="L319" i="9" s="1"/>
  <c r="V101" i="9" s="1"/>
  <c r="J318" i="9"/>
  <c r="I318" i="9"/>
  <c r="K318" i="9" s="1"/>
  <c r="J317" i="9"/>
  <c r="I317" i="9"/>
  <c r="K317" i="9" s="1"/>
  <c r="J316" i="9"/>
  <c r="I316" i="9"/>
  <c r="K316" i="9" s="1"/>
  <c r="L316" i="9" s="1"/>
  <c r="V98" i="9" s="1"/>
  <c r="J315" i="9"/>
  <c r="I315" i="9"/>
  <c r="K315" i="9" s="1"/>
  <c r="L315" i="9" s="1"/>
  <c r="V97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L308" i="9" s="1"/>
  <c r="J307" i="9"/>
  <c r="I307" i="9"/>
  <c r="K307" i="9" s="1"/>
  <c r="L307" i="9" s="1"/>
  <c r="V89" i="9" s="1"/>
  <c r="J306" i="9"/>
  <c r="I306" i="9"/>
  <c r="K306" i="9" s="1"/>
  <c r="J305" i="9"/>
  <c r="I305" i="9"/>
  <c r="K305" i="9" s="1"/>
  <c r="J304" i="9"/>
  <c r="I304" i="9"/>
  <c r="K304" i="9" s="1"/>
  <c r="L304" i="9" s="1"/>
  <c r="V86" i="9" s="1"/>
  <c r="J303" i="9"/>
  <c r="I303" i="9"/>
  <c r="K303" i="9" s="1"/>
  <c r="L303" i="9" s="1"/>
  <c r="V85" i="9" s="1"/>
  <c r="J302" i="9"/>
  <c r="I302" i="9"/>
  <c r="K302" i="9" s="1"/>
  <c r="L302" i="9" s="1"/>
  <c r="V84" i="9" s="1"/>
  <c r="J301" i="9"/>
  <c r="I301" i="9"/>
  <c r="K301" i="9" s="1"/>
  <c r="J300" i="9"/>
  <c r="I300" i="9"/>
  <c r="K300" i="9" s="1"/>
  <c r="J299" i="9"/>
  <c r="I299" i="9"/>
  <c r="K299" i="9" s="1"/>
  <c r="L299" i="9" s="1"/>
  <c r="J298" i="9"/>
  <c r="I298" i="9"/>
  <c r="K298" i="9" s="1"/>
  <c r="J297" i="9"/>
  <c r="I297" i="9"/>
  <c r="K297" i="9" s="1"/>
  <c r="J296" i="9"/>
  <c r="I296" i="9"/>
  <c r="K296" i="9" s="1"/>
  <c r="L296" i="9" s="1"/>
  <c r="J295" i="9"/>
  <c r="I295" i="9"/>
  <c r="K295" i="9" s="1"/>
  <c r="L295" i="9" s="1"/>
  <c r="J294" i="9"/>
  <c r="I294" i="9"/>
  <c r="K294" i="9" s="1"/>
  <c r="L294" i="9" s="1"/>
  <c r="J293" i="9"/>
  <c r="I293" i="9"/>
  <c r="K293" i="9" s="1"/>
  <c r="J292" i="9"/>
  <c r="I292" i="9"/>
  <c r="K292" i="9" s="1"/>
  <c r="L292" i="9" s="1"/>
  <c r="J291" i="9"/>
  <c r="I291" i="9"/>
  <c r="K291" i="9" s="1"/>
  <c r="L291" i="9" s="1"/>
  <c r="J290" i="9"/>
  <c r="I290" i="9"/>
  <c r="K290" i="9" s="1"/>
  <c r="L290" i="9" s="1"/>
  <c r="J289" i="9"/>
  <c r="I289" i="9"/>
  <c r="K289" i="9" s="1"/>
  <c r="J288" i="9"/>
  <c r="I288" i="9"/>
  <c r="K288" i="9" s="1"/>
  <c r="J287" i="9"/>
  <c r="I287" i="9"/>
  <c r="K287" i="9" s="1"/>
  <c r="L287" i="9" s="1"/>
  <c r="J286" i="9"/>
  <c r="I286" i="9"/>
  <c r="K286" i="9" s="1"/>
  <c r="J285" i="9"/>
  <c r="I285" i="9"/>
  <c r="K285" i="9" s="1"/>
  <c r="J284" i="9"/>
  <c r="I284" i="9"/>
  <c r="K284" i="9" s="1"/>
  <c r="L284" i="9" s="1"/>
  <c r="J283" i="9"/>
  <c r="I283" i="9"/>
  <c r="K283" i="9" s="1"/>
  <c r="L283" i="9" s="1"/>
  <c r="J282" i="9"/>
  <c r="I282" i="9"/>
  <c r="K282" i="9" s="1"/>
  <c r="L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L278" i="9" s="1"/>
  <c r="J277" i="9"/>
  <c r="I277" i="9"/>
  <c r="K277" i="9" s="1"/>
  <c r="J276" i="9"/>
  <c r="I276" i="9"/>
  <c r="K276" i="9" s="1"/>
  <c r="J275" i="9"/>
  <c r="I275" i="9"/>
  <c r="K275" i="9" s="1"/>
  <c r="L275" i="9" s="1"/>
  <c r="J274" i="9"/>
  <c r="I274" i="9"/>
  <c r="K274" i="9" s="1"/>
  <c r="J273" i="9"/>
  <c r="I273" i="9"/>
  <c r="K273" i="9" s="1"/>
  <c r="J272" i="9"/>
  <c r="I272" i="9"/>
  <c r="K272" i="9" s="1"/>
  <c r="L272" i="9" s="1"/>
  <c r="J271" i="9"/>
  <c r="I271" i="9"/>
  <c r="K271" i="9" s="1"/>
  <c r="L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L267" i="9" s="1"/>
  <c r="J266" i="9"/>
  <c r="I266" i="9"/>
  <c r="K266" i="9" s="1"/>
  <c r="J265" i="9"/>
  <c r="I265" i="9"/>
  <c r="K265" i="9" s="1"/>
  <c r="J264" i="9"/>
  <c r="I264" i="9"/>
  <c r="K264" i="9" s="1"/>
  <c r="L264" i="9" s="1"/>
  <c r="J263" i="9"/>
  <c r="I263" i="9"/>
  <c r="K263" i="9" s="1"/>
  <c r="L263" i="9" s="1"/>
  <c r="J262" i="9"/>
  <c r="I262" i="9"/>
  <c r="K262" i="9" s="1"/>
  <c r="J261" i="9"/>
  <c r="I261" i="9"/>
  <c r="K261" i="9" s="1"/>
  <c r="J260" i="9"/>
  <c r="I260" i="9"/>
  <c r="K260" i="9" s="1"/>
  <c r="L260" i="9" s="1"/>
  <c r="J259" i="9"/>
  <c r="I259" i="9"/>
  <c r="K259" i="9" s="1"/>
  <c r="L259" i="9" s="1"/>
  <c r="J258" i="9"/>
  <c r="I258" i="9"/>
  <c r="K258" i="9" s="1"/>
  <c r="J257" i="9"/>
  <c r="I257" i="9"/>
  <c r="K257" i="9" s="1"/>
  <c r="J256" i="9"/>
  <c r="I256" i="9"/>
  <c r="K256" i="9" s="1"/>
  <c r="L256" i="9" s="1"/>
  <c r="J255" i="9"/>
  <c r="I255" i="9"/>
  <c r="K255" i="9" s="1"/>
  <c r="L255" i="9" s="1"/>
  <c r="J254" i="9"/>
  <c r="I254" i="9"/>
  <c r="K254" i="9" s="1"/>
  <c r="J253" i="9"/>
  <c r="I253" i="9"/>
  <c r="K253" i="9" s="1"/>
  <c r="J252" i="9"/>
  <c r="I252" i="9"/>
  <c r="K252" i="9" s="1"/>
  <c r="L252" i="9" s="1"/>
  <c r="J251" i="9"/>
  <c r="I251" i="9"/>
  <c r="K251" i="9" s="1"/>
  <c r="L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L243" i="9" s="1"/>
  <c r="J242" i="9"/>
  <c r="I242" i="9"/>
  <c r="K242" i="9" s="1"/>
  <c r="J241" i="9"/>
  <c r="I241" i="9"/>
  <c r="K241" i="9" s="1"/>
  <c r="J240" i="9"/>
  <c r="I240" i="9"/>
  <c r="K240" i="9" s="1"/>
  <c r="L240" i="9" s="1"/>
  <c r="J239" i="9"/>
  <c r="I239" i="9"/>
  <c r="K239" i="9" s="1"/>
  <c r="L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L235" i="9" s="1"/>
  <c r="J234" i="9"/>
  <c r="I234" i="9"/>
  <c r="K234" i="9" s="1"/>
  <c r="J233" i="9"/>
  <c r="I233" i="9"/>
  <c r="K233" i="9" s="1"/>
  <c r="J232" i="9"/>
  <c r="I232" i="9"/>
  <c r="K232" i="9" s="1"/>
  <c r="L232" i="9" s="1"/>
  <c r="J231" i="9"/>
  <c r="I231" i="9"/>
  <c r="K231" i="9" s="1"/>
  <c r="L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L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L223" i="9" s="1"/>
  <c r="J222" i="9"/>
  <c r="I222" i="9"/>
  <c r="K222" i="9" s="1"/>
  <c r="J221" i="9"/>
  <c r="I221" i="9"/>
  <c r="K221" i="9" s="1"/>
  <c r="J220" i="9"/>
  <c r="I220" i="9"/>
  <c r="K220" i="9" s="1"/>
  <c r="L220" i="9" s="1"/>
  <c r="J219" i="9"/>
  <c r="I219" i="9"/>
  <c r="K219" i="9" s="1"/>
  <c r="L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L211" i="9" s="1"/>
  <c r="J210" i="9"/>
  <c r="I210" i="9"/>
  <c r="K210" i="9" s="1"/>
  <c r="J209" i="9"/>
  <c r="I209" i="9"/>
  <c r="K209" i="9" s="1"/>
  <c r="J208" i="9"/>
  <c r="I208" i="9"/>
  <c r="K208" i="9" s="1"/>
  <c r="L208" i="9" s="1"/>
  <c r="J207" i="9"/>
  <c r="I207" i="9"/>
  <c r="K207" i="9" s="1"/>
  <c r="L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L203" i="9" s="1"/>
  <c r="J202" i="9"/>
  <c r="I202" i="9"/>
  <c r="K202" i="9" s="1"/>
  <c r="J201" i="9"/>
  <c r="I201" i="9"/>
  <c r="K201" i="9" s="1"/>
  <c r="J200" i="9"/>
  <c r="I200" i="9"/>
  <c r="K200" i="9" s="1"/>
  <c r="L200" i="9" s="1"/>
  <c r="J199" i="9"/>
  <c r="I199" i="9"/>
  <c r="K199" i="9" s="1"/>
  <c r="L199" i="9" s="1"/>
  <c r="J198" i="9"/>
  <c r="I198" i="9"/>
  <c r="K198" i="9" s="1"/>
  <c r="J197" i="9"/>
  <c r="I197" i="9"/>
  <c r="K197" i="9" s="1"/>
  <c r="J196" i="9"/>
  <c r="I196" i="9"/>
  <c r="K196" i="9" s="1"/>
  <c r="L196" i="9" s="1"/>
  <c r="J195" i="9"/>
  <c r="I195" i="9"/>
  <c r="K195" i="9" s="1"/>
  <c r="L195" i="9" s="1"/>
  <c r="J194" i="9"/>
  <c r="I194" i="9"/>
  <c r="K194" i="9" s="1"/>
  <c r="J193" i="9"/>
  <c r="I193" i="9"/>
  <c r="K193" i="9" s="1"/>
  <c r="J192" i="9"/>
  <c r="I192" i="9"/>
  <c r="K192" i="9" s="1"/>
  <c r="L192" i="9" s="1"/>
  <c r="J191" i="9"/>
  <c r="I191" i="9"/>
  <c r="K191" i="9" s="1"/>
  <c r="L191" i="9" s="1"/>
  <c r="J190" i="9"/>
  <c r="I190" i="9"/>
  <c r="K190" i="9" s="1"/>
  <c r="J189" i="9"/>
  <c r="I189" i="9"/>
  <c r="K189" i="9" s="1"/>
  <c r="J188" i="9"/>
  <c r="I188" i="9"/>
  <c r="K188" i="9" s="1"/>
  <c r="L188" i="9" s="1"/>
  <c r="J187" i="9"/>
  <c r="I187" i="9"/>
  <c r="K187" i="9" s="1"/>
  <c r="L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L183" i="9" s="1"/>
  <c r="J182" i="9"/>
  <c r="I182" i="9"/>
  <c r="K182" i="9" s="1"/>
  <c r="J181" i="9"/>
  <c r="I181" i="9"/>
  <c r="K181" i="9" s="1"/>
  <c r="J180" i="9"/>
  <c r="I180" i="9"/>
  <c r="K180" i="9" s="1"/>
  <c r="L180" i="9" s="1"/>
  <c r="J179" i="9"/>
  <c r="I179" i="9"/>
  <c r="K179" i="9" s="1"/>
  <c r="L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L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L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L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L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L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L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L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L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L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L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L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L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L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L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L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L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L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L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5" i="9" l="1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L67" i="9"/>
  <c r="V69" i="9" s="1"/>
  <c r="L75" i="9"/>
  <c r="V77" i="9" s="1"/>
  <c r="L79" i="9"/>
  <c r="L56" i="9"/>
  <c r="L60" i="9"/>
  <c r="L64" i="9"/>
  <c r="V66" i="9" s="1"/>
  <c r="L72" i="9"/>
  <c r="L76" i="9"/>
  <c r="V78" i="9" s="1"/>
  <c r="L80" i="9"/>
  <c r="V82" i="9" s="1"/>
  <c r="L73" i="9"/>
  <c r="L77" i="9"/>
  <c r="V79" i="9" s="1"/>
  <c r="L81" i="9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65" i="9"/>
  <c r="V74" i="9"/>
  <c r="V75" i="9"/>
  <c r="L126" i="9"/>
  <c r="L27" i="9"/>
  <c r="V90" i="9"/>
  <c r="L93" i="9"/>
  <c r="L161" i="9"/>
  <c r="L11" i="9"/>
  <c r="V72" i="9"/>
  <c r="L117" i="9"/>
  <c r="L156" i="9"/>
  <c r="V81" i="9"/>
  <c r="V83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L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L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L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L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L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L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L80" i="1" s="1"/>
  <c r="J79" i="1"/>
  <c r="I79" i="1"/>
  <c r="K79" i="1" s="1"/>
  <c r="J78" i="1"/>
  <c r="I78" i="1"/>
  <c r="K78" i="1" s="1"/>
  <c r="J77" i="1"/>
  <c r="I77" i="1"/>
  <c r="K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L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5" i="1" l="1"/>
  <c r="L272" i="1"/>
  <c r="L77" i="1"/>
  <c r="L292" i="1"/>
  <c r="L97" i="1"/>
  <c r="N2" i="9"/>
  <c r="M154" i="9" s="1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82" i="1"/>
  <c r="V79" i="1"/>
  <c r="M153" i="9" l="1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2" i="1"/>
  <c r="M322" i="1" s="1"/>
  <c r="N5" i="1"/>
  <c r="O2" i="9" l="1"/>
  <c r="P211" i="9" s="1"/>
  <c r="P285" i="9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17" i="9" l="1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<sst xmlns="http://schemas.openxmlformats.org/spreadsheetml/2006/main" count="147" uniqueCount="19">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</sst>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'240814A006'!$J$2:$J$321</c:f>
              <c:numCache>
                <c:formatCode>0.0</c:formatCode>
                <c:ptCount val="320"/>
                <c:pt idx="0">
                  <c:v>1405.6414766575201</c:v>
                </c:pt>
                <c:pt idx="1">
                  <c:v>1439.09258105508</c:v>
                </c:pt>
                <c:pt idx="2">
                  <c:v>1454.3385258502601</c:v>
                </c:pt>
                <c:pt idx="3">
                  <c:v>1435.6555267075501</c:v>
                </c:pt>
                <c:pt idx="4">
                  <c:v>1403.3809909663701</c:v>
                </c:pt>
                <c:pt idx="5">
                  <c:v>1419.9076310788798</c:v>
                </c:pt>
                <c:pt idx="6">
                  <c:v>1528.7208758491101</c:v>
                </c:pt>
                <c:pt idx="7">
                  <c:v>1481.9152700879099</c:v>
                </c:pt>
                <c:pt idx="8">
                  <c:v>1516.5537524440999</c:v>
                </c:pt>
                <c:pt idx="9">
                  <c:v>1522.3405527652899</c:v>
                </c:pt>
                <c:pt idx="10">
                  <c:v>1548.7530715867199</c:v>
                </c:pt>
                <c:pt idx="11">
                  <c:v>1477.6340931500499</c:v>
                </c:pt>
                <c:pt idx="12">
                  <c:v>1518.0660340741802</c:v>
                </c:pt>
                <c:pt idx="13">
                  <c:v>1487.4267875917901</c:v>
                </c:pt>
                <c:pt idx="14">
                  <c:v>1458.0917934592101</c:v>
                </c:pt>
                <c:pt idx="15">
                  <c:v>1502.3020456597201</c:v>
                </c:pt>
                <c:pt idx="16">
                  <c:v>1505.10104411975</c:v>
                </c:pt>
                <c:pt idx="17">
                  <c:v>1533.1455014948401</c:v>
                </c:pt>
                <c:pt idx="18">
                  <c:v>1528.4629529492699</c:v>
                </c:pt>
                <c:pt idx="19">
                  <c:v>1544.07002420256</c:v>
                </c:pt>
                <c:pt idx="20">
                  <c:v>1490.71157437489</c:v>
                </c:pt>
                <c:pt idx="21">
                  <c:v>1541.3776614739702</c:v>
                </c:pt>
                <c:pt idx="22">
                  <c:v>1506.3724586601099</c:v>
                </c:pt>
                <c:pt idx="23">
                  <c:v>1549.62995858667</c:v>
                </c:pt>
                <c:pt idx="24">
                  <c:v>1495.46405932482</c:v>
                </c:pt>
                <c:pt idx="25">
                  <c:v>1451.02450873976</c:v>
                </c:pt>
                <c:pt idx="26">
                  <c:v>1469.5010421413699</c:v>
                </c:pt>
                <c:pt idx="27">
                  <c:v>1454.4061784897001</c:v>
                </c:pt>
                <c:pt idx="28">
                  <c:v>1534.45059252791</c:v>
                </c:pt>
                <c:pt idx="29">
                  <c:v>1465.6075285516799</c:v>
                </c:pt>
                <c:pt idx="30">
                  <c:v>1441.8840841474901</c:v>
                </c:pt>
                <c:pt idx="31">
                  <c:v>1504.5068904448199</c:v>
                </c:pt>
                <c:pt idx="32">
                  <c:v>1520.31736509393</c:v>
                </c:pt>
                <c:pt idx="33">
                  <c:v>1522.0959247661001</c:v>
                </c:pt>
                <c:pt idx="34">
                  <c:v>1439.75972352389</c:v>
                </c:pt>
                <c:pt idx="35">
                  <c:v>1390.80161733318</c:v>
                </c:pt>
                <c:pt idx="36">
                  <c:v>1375.21370990836</c:v>
                </c:pt>
                <c:pt idx="37">
                  <c:v>1459.97457070682</c:v>
                </c:pt>
                <c:pt idx="38">
                  <c:v>1502.9906988968598</c:v>
                </c:pt>
                <c:pt idx="39">
                  <c:v>1524.1878893439</c:v>
                </c:pt>
                <c:pt idx="40">
                  <c:v>1499.4019010183399</c:v>
                </c:pt>
                <c:pt idx="41">
                  <c:v>1494.7947088452399</c:v>
                </c:pt>
                <c:pt idx="42">
                  <c:v>1442.3695805677</c:v>
                </c:pt>
                <c:pt idx="43">
                  <c:v>1452.3215941721501</c:v>
                </c:pt>
                <c:pt idx="44">
                  <c:v>1517.67105309455</c:v>
                </c:pt>
                <c:pt idx="45">
                  <c:v>1533.8989069115501</c:v>
                </c:pt>
                <c:pt idx="46">
                  <c:v>1566.1527293980801</c:v>
                </c:pt>
                <c:pt idx="47">
                  <c:v>1586.8725785705799</c:v>
                </c:pt>
                <c:pt idx="48">
                  <c:v>1529.3680748586098</c:v>
                </c:pt>
                <c:pt idx="49">
                  <c:v>1491.2726426859699</c:v>
                </c:pt>
                <c:pt idx="50">
                  <c:v>1516.30156308295</c:v>
                </c:pt>
                <c:pt idx="51">
                  <c:v>1507.6896607831002</c:v>
                </c:pt>
                <c:pt idx="52">
                  <c:v>1450.1566229303799</c:v>
                </c:pt>
                <c:pt idx="53">
                  <c:v>1482.89599044529</c:v>
                </c:pt>
                <c:pt idx="54">
                  <c:v>1510.3508062184801</c:v>
                </c:pt>
                <c:pt idx="55">
                  <c:v>1489.6090894737501</c:v>
                </c:pt>
                <c:pt idx="56">
                  <c:v>1457.4725963047699</c:v>
                </c:pt>
                <c:pt idx="57">
                  <c:v>1436.3708643823002</c:v>
                </c:pt>
                <c:pt idx="58">
                  <c:v>1436.8126147181099</c:v>
                </c:pt>
                <c:pt idx="59">
                  <c:v>1453.6021272927201</c:v>
                </c:pt>
                <c:pt idx="60">
                  <c:v>1455.60843789813</c:v>
                </c:pt>
                <c:pt idx="61">
                  <c:v>1450.0118547194099</c:v>
                </c:pt>
                <c:pt idx="62">
                  <c:v>1445.2458506842702</c:v>
                </c:pt>
                <c:pt idx="63">
                  <c:v>1442.7204581115</c:v>
                </c:pt>
                <c:pt idx="64">
                  <c:v>1450.4289687246201</c:v>
                </c:pt>
                <c:pt idx="65">
                  <c:v>1441.4155508608901</c:v>
                </c:pt>
                <c:pt idx="66">
                  <c:v>1437.6622873707099</c:v>
                </c:pt>
                <c:pt idx="67">
                  <c:v>1438.2841362479599</c:v>
                </c:pt>
                <c:pt idx="68">
                  <c:v>1434.93667134167</c:v>
                </c:pt>
                <c:pt idx="69">
                  <c:v>1435.6128768610599</c:v>
                </c:pt>
                <c:pt idx="70">
                  <c:v>1438.0151996779</c:v>
                </c:pt>
                <c:pt idx="71">
                  <c:v>1431.2704446371999</c:v>
                </c:pt>
                <c:pt idx="72">
                  <c:v>1423.7775187836301</c:v>
                </c:pt>
                <c:pt idx="73">
                  <c:v>1426.8548741059399</c:v>
                </c:pt>
                <c:pt idx="74">
                  <c:v>1418.9058146480099</c:v>
                </c:pt>
                <c:pt idx="75">
                  <c:v>1419.6268504147902</c:v>
                </c:pt>
                <c:pt idx="76">
                  <c:v>1417.92580997956</c:v>
                </c:pt>
                <c:pt idx="77">
                  <c:v>1418.7512030113901</c:v>
                </c:pt>
                <c:pt idx="78">
                  <c:v>1418.6298731060001</c:v>
                </c:pt>
                <c:pt idx="79">
                  <c:v>1417.94114440006</c:v>
                </c:pt>
                <c:pt idx="80">
                  <c:v>1400.60465264956</c:v>
                </c:pt>
                <c:pt idx="81">
                  <c:v>1408.63484087598</c:v>
                </c:pt>
                <c:pt idx="82">
                  <c:v>1426.40382957264</c:v>
                </c:pt>
                <c:pt idx="83">
                  <c:v>1431.1162077224399</c:v>
                </c:pt>
                <c:pt idx="84">
                  <c:v>1415.1478148434701</c:v>
                </c:pt>
                <c:pt idx="85">
                  <c:v>1386.77187762892</c:v>
                </c:pt>
                <c:pt idx="86">
                  <c:v>1382.31138439908</c:v>
                </c:pt>
                <c:pt idx="87">
                  <c:v>1389.3452608333698</c:v>
                </c:pt>
                <c:pt idx="88">
                  <c:v>1384.0235425677799</c:v>
                </c:pt>
                <c:pt idx="89">
                  <c:v>1392.1199428114298</c:v>
                </c:pt>
                <c:pt idx="90">
                  <c:v>1357.31233218651</c:v>
                </c:pt>
                <c:pt idx="91">
                  <c:v>1348.46047519851</c:v>
                </c:pt>
                <c:pt idx="92">
                  <c:v>1346.9654603440499</c:v>
                </c:pt>
                <c:pt idx="93">
                  <c:v>1346.81855656986</c:v>
                </c:pt>
                <c:pt idx="94">
                  <c:v>1350.09409585147</c:v>
                </c:pt>
                <c:pt idx="95">
                  <c:v>1373.7273129324999</c:v>
                </c:pt>
                <c:pt idx="96">
                  <c:v>1352.5515644229899</c:v>
                </c:pt>
                <c:pt idx="97">
                  <c:v>1337.4444169058102</c:v>
                </c:pt>
                <c:pt idx="98">
                  <c:v>1328.7263287547098</c:v>
                </c:pt>
                <c:pt idx="99">
                  <c:v>1335.2219399513601</c:v>
                </c:pt>
                <c:pt idx="100">
                  <c:v>1354.3201820040399</c:v>
                </c:pt>
                <c:pt idx="101">
                  <c:v>1379.8235263069498</c:v>
                </c:pt>
                <c:pt idx="102">
                  <c:v>1398.9928812672599</c:v>
                </c:pt>
                <c:pt idx="103">
                  <c:v>1406.6344153387702</c:v>
                </c:pt>
                <c:pt idx="104">
                  <c:v>1359.4985306180199</c:v>
                </c:pt>
                <c:pt idx="105">
                  <c:v>1370.6323328947101</c:v>
                </c:pt>
                <c:pt idx="106">
                  <c:v>1363.8986375596398</c:v>
                </c:pt>
                <c:pt idx="107">
                  <c:v>1377.2146291040399</c:v>
                </c:pt>
                <c:pt idx="108">
                  <c:v>1347.38412940946</c:v>
                </c:pt>
                <c:pt idx="109">
                  <c:v>1311.37330983837</c:v>
                </c:pt>
                <c:pt idx="110">
                  <c:v>1290.59569695445</c:v>
                </c:pt>
                <c:pt idx="111">
                  <c:v>1345.67454742012</c:v>
                </c:pt>
                <c:pt idx="112">
                  <c:v>1331.8065785802401</c:v>
                </c:pt>
                <c:pt idx="113">
                  <c:v>1328.7375310029602</c:v>
                </c:pt>
                <c:pt idx="114">
                  <c:v>1362.2444936199199</c:v>
                </c:pt>
                <c:pt idx="115">
                  <c:v>1266.36062179602</c:v>
                </c:pt>
                <c:pt idx="116">
                  <c:v>1284.8272912439702</c:v>
                </c:pt>
                <c:pt idx="117">
                  <c:v>1312.86433349361</c:v>
                </c:pt>
                <c:pt idx="118">
                  <c:v>1265.4429256144801</c:v>
                </c:pt>
                <c:pt idx="119">
                  <c:v>1238.97642376718</c:v>
                </c:pt>
                <c:pt idx="120">
                  <c:v>1283.9856818857299</c:v>
                </c:pt>
                <c:pt idx="121">
                  <c:v>1322.6524833318902</c:v>
                </c:pt>
                <c:pt idx="122">
                  <c:v>1299.7391635092799</c:v>
                </c:pt>
                <c:pt idx="123">
                  <c:v>1340.57158567639</c:v>
                </c:pt>
                <c:pt idx="124">
                  <c:v>1382.28886595325</c:v>
                </c:pt>
                <c:pt idx="125">
                  <c:v>1370.76995221417</c:v>
                </c:pt>
                <c:pt idx="126">
                  <c:v>1382.4480318145499</c:v>
                </c:pt>
                <c:pt idx="127">
                  <c:v>1354.91095186848</c:v>
                </c:pt>
                <c:pt idx="128">
                  <c:v>1370.99627246758</c:v>
                </c:pt>
                <c:pt idx="129">
                  <c:v>1371.7183107472601</c:v>
                </c:pt>
                <c:pt idx="130">
                  <c:v>1366.92219948261</c:v>
                </c:pt>
                <c:pt idx="131">
                  <c:v>1414.48834496775</c:v>
                </c:pt>
                <c:pt idx="132">
                  <c:v>1340.3859925285799</c:v>
                </c:pt>
                <c:pt idx="133">
                  <c:v>1330.3406952833202</c:v>
                </c:pt>
                <c:pt idx="134">
                  <c:v>1438.9227039361001</c:v>
                </c:pt>
                <c:pt idx="135">
                  <c:v>1454.9437851263699</c:v>
                </c:pt>
                <c:pt idx="136">
                  <c:v>1248.0910927364298</c:v>
                </c:pt>
                <c:pt idx="137">
                  <c:v>1243.20918974445</c:v>
                </c:pt>
                <c:pt idx="138">
                  <c:v>1374.6189556244699</c:v>
                </c:pt>
                <c:pt idx="139">
                  <c:v>1391.4395573878498</c:v>
                </c:pt>
                <c:pt idx="140">
                  <c:v>1416.9189251089299</c:v>
                </c:pt>
                <c:pt idx="141">
                  <c:v>1377.9164478515299</c:v>
                </c:pt>
                <c:pt idx="142">
                  <c:v>1401.11786060445</c:v>
                </c:pt>
                <c:pt idx="143">
                  <c:v>1286.8891444180599</c:v>
                </c:pt>
                <c:pt idx="144">
                  <c:v>1275.9313889623099</c:v>
                </c:pt>
                <c:pt idx="145">
                  <c:v>1386.4218492084801</c:v>
                </c:pt>
                <c:pt idx="146">
                  <c:v>1327.73162686872</c:v>
                </c:pt>
                <c:pt idx="147">
                  <c:v>1304.43756444109</c:v>
                </c:pt>
                <c:pt idx="148">
                  <c:v>1292.59336468934</c:v>
                </c:pt>
                <c:pt idx="149">
                  <c:v>1315.4284899801598</c:v>
                </c:pt>
                <c:pt idx="150">
                  <c:v>1418.65170044296</c:v>
                </c:pt>
                <c:pt idx="151">
                  <c:v>1405.64364912012</c:v>
                </c:pt>
                <c:pt idx="152">
                  <c:v>1281.25264435591</c:v>
                </c:pt>
                <c:pt idx="153">
                  <c:v>1417.2597768926601</c:v>
                </c:pt>
                <c:pt idx="154">
                  <c:v>1440.76731164745</c:v>
                </c:pt>
                <c:pt idx="155">
                  <c:v>1307.9381749193299</c:v>
                </c:pt>
                <c:pt idx="156">
                  <c:v>1301.83463732265</c:v>
                </c:pt>
                <c:pt idx="157">
                  <c:v>1360.7454963769801</c:v>
                </c:pt>
                <c:pt idx="158">
                  <c:v>1365.35393297275</c:v>
                </c:pt>
                <c:pt idx="159">
                  <c:v>1377.9384776658201</c:v>
                </c:pt>
                <c:pt idx="160">
                  <c:v>1348.52799304366</c:v>
                </c:pt>
                <c:pt idx="161">
                  <c:v>1310.6886896701201</c:v>
                </c:pt>
                <c:pt idx="162">
                  <c:v>1338.2789467366899</c:v>
                </c:pt>
                <c:pt idx="163">
                  <c:v>1290.6321275835201</c:v>
                </c:pt>
                <c:pt idx="164">
                  <c:v>1222.0485920307499</c:v>
                </c:pt>
                <c:pt idx="165">
                  <c:v>1394.22852755537</c:v>
                </c:pt>
                <c:pt idx="166">
                  <c:v>1319.85980556288</c:v>
                </c:pt>
                <c:pt idx="167">
                  <c:v>1340.7186741857099</c:v>
                </c:pt>
                <c:pt idx="168">
                  <c:v>1375.6397685552101</c:v>
                </c:pt>
                <c:pt idx="169">
                  <c:v>1294.0802390812598</c:v>
                </c:pt>
                <c:pt idx="170">
                  <c:v>1359.99466611452</c:v>
                </c:pt>
                <c:pt idx="171">
                  <c:v>1259.50146798788</c:v>
                </c:pt>
                <c:pt idx="172">
                  <c:v>1285.0406882534301</c:v>
                </c:pt>
                <c:pt idx="173">
                  <c:v>1227.5897870175099</c:v>
                </c:pt>
                <c:pt idx="174">
                  <c:v>1288.24035478425</c:v>
                </c:pt>
                <c:pt idx="175">
                  <c:v>1322.5249864969799</c:v>
                </c:pt>
                <c:pt idx="176">
                  <c:v>1329.91178600223</c:v>
                </c:pt>
                <c:pt idx="177">
                  <c:v>1290.5366182927498</c:v>
                </c:pt>
                <c:pt idx="178">
                  <c:v>1229.85277047565</c:v>
                </c:pt>
                <c:pt idx="179">
                  <c:v>1204.64316449173</c:v>
                </c:pt>
                <c:pt idx="180">
                  <c:v>1194.2622086568899</c:v>
                </c:pt>
                <c:pt idx="181">
                  <c:v>1245.15554380705</c:v>
                </c:pt>
                <c:pt idx="182">
                  <c:v>1228.6859018415498</c:v>
                </c:pt>
                <c:pt idx="183">
                  <c:v>1242.5192733574299</c:v>
                </c:pt>
                <c:pt idx="184">
                  <c:v>1232.0233618234099</c:v>
                </c:pt>
                <c:pt idx="185">
                  <c:v>1257.3295473903302</c:v>
                </c:pt>
                <c:pt idx="186">
                  <c:v>1252.65181660644</c:v>
                </c:pt>
                <c:pt idx="187">
                  <c:v>1242.90937233824</c:v>
                </c:pt>
                <c:pt idx="188">
                  <c:v>1242.86572972657</c:v>
                </c:pt>
                <c:pt idx="189">
                  <c:v>1241.27512556173</c:v>
                </c:pt>
                <c:pt idx="190">
                  <c:v>1232.7458307633699</c:v>
                </c:pt>
                <c:pt idx="191">
                  <c:v>1232.495303551</c:v>
                </c:pt>
                <c:pt idx="192">
                  <c:v>1231.8944136047301</c:v>
                </c:pt>
                <c:pt idx="193">
                  <c:v>1227.3583722501401</c:v>
                </c:pt>
                <c:pt idx="194">
                  <c:v>1250.7819807913102</c:v>
                </c:pt>
                <c:pt idx="195">
                  <c:v>1239.70406496897</c:v>
                </c:pt>
                <c:pt idx="196">
                  <c:v>1246.3001541256401</c:v>
                </c:pt>
                <c:pt idx="197">
                  <c:v>1238.6274535971302</c:v>
                </c:pt>
                <c:pt idx="198">
                  <c:v>1257.31073031087</c:v>
                </c:pt>
                <c:pt idx="199">
                  <c:v>1247.63058582793</c:v>
                </c:pt>
                <c:pt idx="200">
                  <c:v>1240.74435259709</c:v>
                </c:pt>
                <c:pt idx="201">
                  <c:v>1232.3633737683801</c:v>
                </c:pt>
                <c:pt idx="202">
                  <c:v>1250.9952401605601</c:v>
                </c:pt>
                <c:pt idx="203">
                  <c:v>1248.0056685003601</c:v>
                </c:pt>
                <c:pt idx="204">
                  <c:v>1238.71664170958</c:v>
                </c:pt>
                <c:pt idx="205">
                  <c:v>1235.6803041038099</c:v>
                </c:pt>
                <c:pt idx="206">
                  <c:v>1237.44132333481</c:v>
                </c:pt>
                <c:pt idx="207">
                  <c:v>1236.7707646031699</c:v>
                </c:pt>
                <c:pt idx="208">
                  <c:v>1234.53289267528</c:v>
                </c:pt>
                <c:pt idx="209">
                  <c:v>1230.8343303090001</c:v>
                </c:pt>
                <c:pt idx="210">
                  <c:v>1241.2724635178299</c:v>
                </c:pt>
                <c:pt idx="211">
                  <c:v>1240.0781252146198</c:v>
                </c:pt>
                <c:pt idx="212">
                  <c:v>1243.2405517907</c:v>
                </c:pt>
                <c:pt idx="213">
                  <c:v>1230.2608154529098</c:v>
                </c:pt>
                <c:pt idx="214">
                  <c:v>1235.02957138547</c:v>
                </c:pt>
                <c:pt idx="215">
                  <c:v>1240.2688583123099</c:v>
                </c:pt>
                <c:pt idx="216">
                  <c:v>1228.5908081979301</c:v>
                </c:pt>
                <c:pt idx="217">
                  <c:v>1230.9074408797801</c:v>
                </c:pt>
                <c:pt idx="218">
                  <c:v>1227.5488868085499</c:v>
                </c:pt>
                <c:pt idx="219">
                  <c:v>1212.9905212076699</c:v>
                </c:pt>
                <c:pt idx="220">
                  <c:v>1229.5373878974999</c:v>
                </c:pt>
                <c:pt idx="221">
                  <c:v>1274.4533560597199</c:v>
                </c:pt>
                <c:pt idx="222">
                  <c:v>1244.5543724646</c:v>
                </c:pt>
                <c:pt idx="223">
                  <c:v>1247.5866731038</c:v>
                </c:pt>
                <c:pt idx="224">
                  <c:v>1237.4329631963101</c:v>
                </c:pt>
                <c:pt idx="225">
                  <c:v>1228.63932637413</c:v>
                </c:pt>
                <c:pt idx="226">
                  <c:v>1246.9593388952601</c:v>
                </c:pt>
                <c:pt idx="227">
                  <c:v>1242.4656651770799</c:v>
                </c:pt>
                <c:pt idx="228">
                  <c:v>1232.9529144857599</c:v>
                </c:pt>
                <c:pt idx="229">
                  <c:v>1232.7351469263501</c:v>
                </c:pt>
                <c:pt idx="230">
                  <c:v>1239.97668195496</c:v>
                </c:pt>
                <c:pt idx="231">
                  <c:v>1229.56359645253</c:v>
                </c:pt>
                <c:pt idx="232">
                  <c:v>1234.5208507918301</c:v>
                </c:pt>
                <c:pt idx="233">
                  <c:v>1258.022936329</c:v>
                </c:pt>
                <c:pt idx="234">
                  <c:v>1230.2082815710701</c:v>
                </c:pt>
                <c:pt idx="235">
                  <c:v>1216.8051808719601</c:v>
                </c:pt>
                <c:pt idx="236">
                  <c:v>1215.2235515232201</c:v>
                </c:pt>
                <c:pt idx="237">
                  <c:v>1229.0514606936999</c:v>
                </c:pt>
                <c:pt idx="238">
                  <c:v>1258.7806175884898</c:v>
                </c:pt>
                <c:pt idx="239">
                  <c:v>1238.7398433099702</c:v>
                </c:pt>
                <c:pt idx="240">
                  <c:v>1230.04624358001</c:v>
                </c:pt>
                <c:pt idx="241">
                  <c:v>1222.8532306526499</c:v>
                </c:pt>
                <c:pt idx="242">
                  <c:v>1238.1140052190999</c:v>
                </c:pt>
                <c:pt idx="243">
                  <c:v>1228.5518342325099</c:v>
                </c:pt>
                <c:pt idx="244">
                  <c:v>1219.4716388540801</c:v>
                </c:pt>
                <c:pt idx="245">
                  <c:v>1254.6896844415301</c:v>
                </c:pt>
                <c:pt idx="246">
                  <c:v>1224.4134783396401</c:v>
                </c:pt>
                <c:pt idx="247">
                  <c:v>1259.7832565649499</c:v>
                </c:pt>
                <c:pt idx="248">
                  <c:v>1211.81483792928</c:v>
                </c:pt>
                <c:pt idx="249">
                  <c:v>1224.61916901682</c:v>
                </c:pt>
                <c:pt idx="250">
                  <c:v>1214.94566567531</c:v>
                </c:pt>
                <c:pt idx="251">
                  <c:v>1219.00241895146</c:v>
                </c:pt>
                <c:pt idx="252">
                  <c:v>1298.73507845266</c:v>
                </c:pt>
                <c:pt idx="253">
                  <c:v>1263.6369718176702</c:v>
                </c:pt>
                <c:pt idx="254">
                  <c:v>1165.9832266879</c:v>
                </c:pt>
                <c:pt idx="255">
                  <c:v>1188.1802677206501</c:v>
                </c:pt>
                <c:pt idx="256">
                  <c:v>1152.9917881535</c:v>
                </c:pt>
                <c:pt idx="257">
                  <c:v>1194.1435603724399</c:v>
                </c:pt>
                <c:pt idx="258">
                  <c:v>1200.7135489176299</c:v>
                </c:pt>
                <c:pt idx="259">
                  <c:v>1259.7985020707001</c:v>
                </c:pt>
                <c:pt idx="260">
                  <c:v>1261.6898522630499</c:v>
                </c:pt>
                <c:pt idx="261">
                  <c:v>1202.7232296531602</c:v>
                </c:pt>
                <c:pt idx="262">
                  <c:v>1197.60714012984</c:v>
                </c:pt>
                <c:pt idx="263">
                  <c:v>1212.5645255088898</c:v>
                </c:pt>
                <c:pt idx="264">
                  <c:v>1201.4573530707901</c:v>
                </c:pt>
                <c:pt idx="265">
                  <c:v>1200.2740887597001</c:v>
                </c:pt>
                <c:pt idx="266">
                  <c:v>1223.5209122683</c:v>
                </c:pt>
                <c:pt idx="267">
                  <c:v>1267.4662172878598</c:v>
                </c:pt>
                <c:pt idx="268">
                  <c:v>1204.07584809233</c:v>
                </c:pt>
                <c:pt idx="269">
                  <c:v>1228.2345551737401</c:v>
                </c:pt>
                <c:pt idx="270">
                  <c:v>1205.1311099362799</c:v>
                </c:pt>
                <c:pt idx="271">
                  <c:v>1204.38200722529</c:v>
                </c:pt>
                <c:pt idx="272">
                  <c:v>1222.7756513055299</c:v>
                </c:pt>
                <c:pt idx="273">
                  <c:v>1212.0040590947699</c:v>
                </c:pt>
                <c:pt idx="274">
                  <c:v>1174.9984932592999</c:v>
                </c:pt>
                <c:pt idx="275">
                  <c:v>1160.90975710047</c:v>
                </c:pt>
                <c:pt idx="276">
                  <c:v>1174.0502540605398</c:v>
                </c:pt>
                <c:pt idx="277">
                  <c:v>1178.37691720267</c:v>
                </c:pt>
                <c:pt idx="278">
                  <c:v>1160.9337269069301</c:v>
                </c:pt>
                <c:pt idx="279">
                  <c:v>1186.14549299502</c:v>
                </c:pt>
                <c:pt idx="280">
                  <c:v>1179.6889711281599</c:v>
                </c:pt>
                <c:pt idx="281">
                  <c:v>1176.52868094101</c:v>
                </c:pt>
                <c:pt idx="282">
                  <c:v>1145.2312802890101</c:v>
                </c:pt>
                <c:pt idx="283">
                  <c:v>1174.09505683322</c:v>
                </c:pt>
                <c:pt idx="284">
                  <c:v>1196.3296824976801</c:v>
                </c:pt>
                <c:pt idx="285">
                  <c:v>1163.2078362264299</c:v>
                </c:pt>
                <c:pt idx="286">
                  <c:v>1195.9538902106101</c:v>
                </c:pt>
                <c:pt idx="287">
                  <c:v>1168.9703145651602</c:v>
                </c:pt>
                <c:pt idx="288">
                  <c:v>1158.5048873615799</c:v>
                </c:pt>
                <c:pt idx="289">
                  <c:v>1142.0281581342999</c:v>
                </c:pt>
                <c:pt idx="290">
                  <c:v>1156.10815343491</c:v>
                </c:pt>
                <c:pt idx="291">
                  <c:v>1100.6530296355099</c:v>
                </c:pt>
                <c:pt idx="292">
                  <c:v>1101.18008341411</c:v>
                </c:pt>
                <c:pt idx="293">
                  <c:v>1152.48745851323</c:v>
                </c:pt>
                <c:pt idx="294">
                  <c:v>1138.9847093723301</c:v>
                </c:pt>
                <c:pt idx="295">
                  <c:v>1122.8727523717</c:v>
                </c:pt>
                <c:pt idx="296">
                  <c:v>1177.4818385465701</c:v>
                </c:pt>
                <c:pt idx="297">
                  <c:v>1187.32490842063</c:v>
                </c:pt>
                <c:pt idx="298">
                  <c:v>1216.3179945189002</c:v>
                </c:pt>
                <c:pt idx="299">
                  <c:v>1184.6172352993799</c:v>
                </c:pt>
                <c:pt idx="300">
                  <c:v>1162.4236186856799</c:v>
                </c:pt>
                <c:pt idx="301">
                  <c:v>1168.0045115309999</c:v>
                </c:pt>
                <c:pt idx="302">
                  <c:v>1207.7197260241501</c:v>
                </c:pt>
                <c:pt idx="303">
                  <c:v>1209.2923131956099</c:v>
                </c:pt>
                <c:pt idx="304">
                  <c:v>1195.0004808650901</c:v>
                </c:pt>
                <c:pt idx="305">
                  <c:v>1162.6224974490599</c:v>
                </c:pt>
                <c:pt idx="306">
                  <c:v>1171.3168001751801</c:v>
                </c:pt>
                <c:pt idx="307">
                  <c:v>1226.64858535744</c:v>
                </c:pt>
                <c:pt idx="308">
                  <c:v>1238.70010438295</c:v>
                </c:pt>
                <c:pt idx="309">
                  <c:v>1270.77076809403</c:v>
                </c:pt>
                <c:pt idx="310">
                  <c:v>1178.74908811564</c:v>
                </c:pt>
                <c:pt idx="311">
                  <c:v>1228.4242383371</c:v>
                </c:pt>
                <c:pt idx="312">
                  <c:v>1190.4955020089499</c:v>
                </c:pt>
                <c:pt idx="313">
                  <c:v>1123.2295575577</c:v>
                </c:pt>
                <c:pt idx="314">
                  <c:v>1188.90075441358</c:v>
                </c:pt>
                <c:pt idx="315">
                  <c:v>1241.9023887161702</c:v>
                </c:pt>
                <c:pt idx="316">
                  <c:v>1147.7648936191201</c:v>
                </c:pt>
                <c:pt idx="317">
                  <c:v>1115.34183951249</c:v>
                </c:pt>
                <c:pt idx="318">
                  <c:v>1159.8880890703001</c:v>
                </c:pt>
                <c:pt idx="319">
                  <c:v>1150.75538090794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'240814A006'!$P$2:$P$321</c:f>
              <c:numCache>
                <c:formatCode>General</c:formatCode>
                <c:ptCount val="320"/>
                <c:pt idx="0">
                  <c:v>2.8254049598543545</c:v>
                </c:pt>
                <c:pt idx="1">
                  <c:v>2.1615940129442999</c:v>
                </c:pt>
                <c:pt idx="2">
                  <c:v>1.1252692541906679</c:v>
                </c:pt>
                <c:pt idx="3">
                  <c:v>2.0967696928946506</c:v>
                </c:pt>
                <c:pt idx="4">
                  <c:v>4.2693179986368417</c:v>
                </c:pt>
                <c:pt idx="5">
                  <c:v>3.2175504702425424</c:v>
                </c:pt>
                <c:pt idx="6">
                  <c:v>1.4397014906380583</c:v>
                </c:pt>
                <c:pt idx="7">
                  <c:v>2.3407289539902498</c:v>
                </c:pt>
                <c:pt idx="8">
                  <c:v>1.701149807323231</c:v>
                </c:pt>
                <c:pt idx="9">
                  <c:v>1.5945657033040301</c:v>
                </c:pt>
                <c:pt idx="10">
                  <c:v>0.32900722798724236</c:v>
                </c:pt>
                <c:pt idx="11">
                  <c:v>2.1627477143062053</c:v>
                </c:pt>
                <c:pt idx="12">
                  <c:v>0.51288130091721529</c:v>
                </c:pt>
                <c:pt idx="13">
                  <c:v>1.1954901144365815</c:v>
                </c:pt>
                <c:pt idx="14">
                  <c:v>1.7198424479403476</c:v>
                </c:pt>
                <c:pt idx="15">
                  <c:v>0.33540169634725281</c:v>
                </c:pt>
                <c:pt idx="16">
                  <c:v>-0.24886691260713167</c:v>
                </c:pt>
                <c:pt idx="17">
                  <c:v>-1.2793007205588698</c:v>
                </c:pt>
                <c:pt idx="18">
                  <c:v>-1.7037721011540927</c:v>
                </c:pt>
                <c:pt idx="19">
                  <c:v>-1.9813331364290032</c:v>
                </c:pt>
                <c:pt idx="20">
                  <c:v>-1.2200232832050713</c:v>
                </c:pt>
                <c:pt idx="21">
                  <c:v>-2.2351344948818981</c:v>
                </c:pt>
                <c:pt idx="22">
                  <c:v>-2.0740954563390503</c:v>
                </c:pt>
                <c:pt idx="23">
                  <c:v>-3.4721220665847694</c:v>
                </c:pt>
                <c:pt idx="24">
                  <c:v>-1.1727142814356979</c:v>
                </c:pt>
                <c:pt idx="25">
                  <c:v>1.593255994588334</c:v>
                </c:pt>
                <c:pt idx="26">
                  <c:v>1.1352689076419191</c:v>
                </c:pt>
                <c:pt idx="27">
                  <c:v>0.11348667349179173</c:v>
                </c:pt>
                <c:pt idx="28">
                  <c:v>-0.10522101497356892</c:v>
                </c:pt>
                <c:pt idx="29">
                  <c:v>2.2268069126956242E-2</c:v>
                </c:pt>
                <c:pt idx="30">
                  <c:v>1.0359308687018081</c:v>
                </c:pt>
                <c:pt idx="31">
                  <c:v>-0.29028277735695812</c:v>
                </c:pt>
                <c:pt idx="32">
                  <c:v>-0.35054092727544106</c:v>
                </c:pt>
                <c:pt idx="33">
                  <c:v>-0.90883660550009204</c:v>
                </c:pt>
                <c:pt idx="34">
                  <c:v>8.7964337782871979E-2</c:v>
                </c:pt>
                <c:pt idx="35">
                  <c:v>1.1892329683756031</c:v>
                </c:pt>
                <c:pt idx="36">
                  <c:v>0.98278528808253851</c:v>
                </c:pt>
                <c:pt idx="37">
                  <c:v>0.78018319048554341</c:v>
                </c:pt>
                <c:pt idx="38">
                  <c:v>-0.79848957833070688</c:v>
                </c:pt>
                <c:pt idx="39">
                  <c:v>-1.1165414089352292</c:v>
                </c:pt>
                <c:pt idx="40">
                  <c:v>-1.1107227652544041</c:v>
                </c:pt>
                <c:pt idx="41">
                  <c:v>-1.1940411484115974</c:v>
                </c:pt>
                <c:pt idx="42">
                  <c:v>0.52574980838686436</c:v>
                </c:pt>
                <c:pt idx="43">
                  <c:v>0.44144079324999291</c:v>
                </c:pt>
                <c:pt idx="44">
                  <c:v>-0.84435366973805281</c:v>
                </c:pt>
                <c:pt idx="45">
                  <c:v>-0.74886873902627626</c:v>
                </c:pt>
                <c:pt idx="46">
                  <c:v>-1.2088787227859539</c:v>
                </c:pt>
                <c:pt idx="47">
                  <c:v>-1.3553080944411764</c:v>
                </c:pt>
                <c:pt idx="48">
                  <c:v>-0.95012912712708497</c:v>
                </c:pt>
                <c:pt idx="49">
                  <c:v>0.27349199275493086</c:v>
                </c:pt>
                <c:pt idx="50">
                  <c:v>-1.2452507079231234</c:v>
                </c:pt>
                <c:pt idx="51">
                  <c:v>-0.49540439684169302</c:v>
                </c:pt>
                <c:pt idx="52">
                  <c:v>0.51257788683048222</c:v>
                </c:pt>
                <c:pt idx="53">
                  <c:v>1.6113542647005856</c:v>
                </c:pt>
                <c:pt idx="54">
                  <c:v>1.2902867368179531</c:v>
                </c:pt>
                <c:pt idx="55">
                  <c:v>0.75302398560910111</c:v>
                </c:pt>
                <c:pt idx="56">
                  <c:v>1.415937407691982</c:v>
                </c:pt>
                <c:pt idx="57">
                  <c:v>1.6607106679833215</c:v>
                </c:pt>
                <c:pt idx="58">
                  <c:v>0.78443572164593645</c:v>
                </c:pt>
                <c:pt idx="59">
                  <c:v>0.13585180787210993</c:v>
                </c:pt>
                <c:pt idx="60">
                  <c:v>-0.67236814548123269</c:v>
                </c:pt>
                <c:pt idx="61">
                  <c:v>-0.93596868293371938</c:v>
                </c:pt>
                <c:pt idx="62">
                  <c:v>-0.94813107329467861</c:v>
                </c:pt>
                <c:pt idx="63">
                  <c:v>-0.50386276640454031</c:v>
                </c:pt>
                <c:pt idx="64">
                  <c:v>-1.3564889985208599</c:v>
                </c:pt>
                <c:pt idx="65">
                  <c:v>-0.69332599604310408</c:v>
                </c:pt>
                <c:pt idx="66">
                  <c:v>-0.42496622768485343</c:v>
                </c:pt>
                <c:pt idx="67">
                  <c:v>-0.15490407558526853</c:v>
                </c:pt>
                <c:pt idx="68">
                  <c:v>-4.6406784974324525E-3</c:v>
                </c:pt>
                <c:pt idx="69">
                  <c:v>-0.178938974217764</c:v>
                </c:pt>
                <c:pt idx="70">
                  <c:v>0.20894896965693716</c:v>
                </c:pt>
                <c:pt idx="71">
                  <c:v>0.2161295418822182</c:v>
                </c:pt>
                <c:pt idx="72">
                  <c:v>-6.6022687920513898E-2</c:v>
                </c:pt>
                <c:pt idx="73">
                  <c:v>0.2159108515388663</c:v>
                </c:pt>
                <c:pt idx="74">
                  <c:v>3.4280118316978553E-2</c:v>
                </c:pt>
                <c:pt idx="75">
                  <c:v>0.48411101389329431</c:v>
                </c:pt>
                <c:pt idx="76">
                  <c:v>0.90195910528538847</c:v>
                </c:pt>
                <c:pt idx="77">
                  <c:v>1.1923892596422894</c:v>
                </c:pt>
                <c:pt idx="78">
                  <c:v>1.0629382579912203</c:v>
                </c:pt>
                <c:pt idx="79">
                  <c:v>1.6229511883767331</c:v>
                </c:pt>
                <c:pt idx="80">
                  <c:v>2.3008870703497388</c:v>
                </c:pt>
                <c:pt idx="81">
                  <c:v>2.6873245424586987</c:v>
                </c:pt>
                <c:pt idx="82">
                  <c:v>3.4071448644823255</c:v>
                </c:pt>
                <c:pt idx="83">
                  <c:v>3.1973433508752551</c:v>
                </c:pt>
                <c:pt idx="84">
                  <c:v>3.0953028494524912</c:v>
                </c:pt>
                <c:pt idx="85">
                  <c:v>4.6138016187220572</c:v>
                </c:pt>
                <c:pt idx="86">
                  <c:v>5.6038077973293454</c:v>
                </c:pt>
                <c:pt idx="87">
                  <c:v>5.9502269712811042</c:v>
                </c:pt>
                <c:pt idx="88">
                  <c:v>6.4666693178047598</c:v>
                </c:pt>
                <c:pt idx="89">
                  <c:v>5.9102346684968996</c:v>
                </c:pt>
                <c:pt idx="90">
                  <c:v>6.4857944421600573</c:v>
                </c:pt>
                <c:pt idx="91">
                  <c:v>7.375055466348396</c:v>
                </c:pt>
                <c:pt idx="92">
                  <c:v>7.7563118751099447</c:v>
                </c:pt>
                <c:pt idx="93">
                  <c:v>6.9956073758685386</c:v>
                </c:pt>
                <c:pt idx="94">
                  <c:v>7.1170737787031824</c:v>
                </c:pt>
                <c:pt idx="95">
                  <c:v>6.9952644840934486</c:v>
                </c:pt>
                <c:pt idx="96">
                  <c:v>7.3747067149677772</c:v>
                </c:pt>
                <c:pt idx="97">
                  <c:v>7.7447828379897459</c:v>
                </c:pt>
                <c:pt idx="98">
                  <c:v>7.6276013974097667</c:v>
                </c:pt>
                <c:pt idx="99">
                  <c:v>8.6370468022783289</c:v>
                </c:pt>
                <c:pt idx="100">
                  <c:v>9.5024967944143395</c:v>
                </c:pt>
                <c:pt idx="101">
                  <c:v>9.9924331544784994</c:v>
                </c:pt>
                <c:pt idx="102">
                  <c:v>11.12581373203254</c:v>
                </c:pt>
                <c:pt idx="103">
                  <c:v>12.977932465452033</c:v>
                </c:pt>
                <c:pt idx="104">
                  <c:v>11.901207912096719</c:v>
                </c:pt>
                <c:pt idx="105">
                  <c:v>14.502760449337499</c:v>
                </c:pt>
                <c:pt idx="106">
                  <c:v>13.545789125449684</c:v>
                </c:pt>
                <c:pt idx="107">
                  <c:v>14.285436308350461</c:v>
                </c:pt>
                <c:pt idx="108">
                  <c:v>13.719122562958827</c:v>
                </c:pt>
                <c:pt idx="109">
                  <c:v>15.337504721590614</c:v>
                </c:pt>
                <c:pt idx="110">
                  <c:v>15.031061948427984</c:v>
                </c:pt>
                <c:pt idx="111">
                  <c:v>14.784595809964426</c:v>
                </c:pt>
                <c:pt idx="112">
                  <c:v>14.175338019434403</c:v>
                </c:pt>
                <c:pt idx="113">
                  <c:v>14.252849527251538</c:v>
                </c:pt>
                <c:pt idx="114">
                  <c:v>11.53775359861123</c:v>
                </c:pt>
                <c:pt idx="115">
                  <c:v>11.270753778508356</c:v>
                </c:pt>
                <c:pt idx="116">
                  <c:v>12.572072509998829</c:v>
                </c:pt>
                <c:pt idx="117">
                  <c:v>11.732494123982708</c:v>
                </c:pt>
                <c:pt idx="118">
                  <c:v>12.663098187789352</c:v>
                </c:pt>
                <c:pt idx="119">
                  <c:v>12.177861883017282</c:v>
                </c:pt>
                <c:pt idx="120">
                  <c:v>12.912635556139158</c:v>
                </c:pt>
                <c:pt idx="121">
                  <c:v>12.002966845698428</c:v>
                </c:pt>
                <c:pt idx="122">
                  <c:v>12.662951331648561</c:v>
                </c:pt>
                <c:pt idx="123">
                  <c:v>12.399873641015612</c:v>
                </c:pt>
                <c:pt idx="124">
                  <c:v>12.474467743802563</c:v>
                </c:pt>
                <c:pt idx="125">
                  <c:v>11.60392911629736</c:v>
                </c:pt>
                <c:pt idx="126">
                  <c:v>11.225945157333866</c:v>
                </c:pt>
                <c:pt idx="127">
                  <c:v>12.206536852005213</c:v>
                </c:pt>
                <c:pt idx="128">
                  <c:v>12.637576864871667</c:v>
                </c:pt>
                <c:pt idx="129">
                  <c:v>12.362202922494339</c:v>
                </c:pt>
                <c:pt idx="130">
                  <c:v>12.521654317331873</c:v>
                </c:pt>
                <c:pt idx="131">
                  <c:v>11.218553962748503</c:v>
                </c:pt>
                <c:pt idx="132">
                  <c:v>12.379373504870205</c:v>
                </c:pt>
                <c:pt idx="133">
                  <c:v>14.466473027713469</c:v>
                </c:pt>
                <c:pt idx="134">
                  <c:v>14.119853215577397</c:v>
                </c:pt>
                <c:pt idx="135">
                  <c:v>14.641083152130612</c:v>
                </c:pt>
                <c:pt idx="136">
                  <c:v>17.044972767976596</c:v>
                </c:pt>
                <c:pt idx="137">
                  <c:v>17.392293450158579</c:v>
                </c:pt>
                <c:pt idx="138">
                  <c:v>16.645645299947279</c:v>
                </c:pt>
                <c:pt idx="139">
                  <c:v>17.293251607649289</c:v>
                </c:pt>
                <c:pt idx="140">
                  <c:v>15.329524146811258</c:v>
                </c:pt>
                <c:pt idx="141">
                  <c:v>13.561877418663457</c:v>
                </c:pt>
                <c:pt idx="142">
                  <c:v>12.4094144169022</c:v>
                </c:pt>
                <c:pt idx="143">
                  <c:v>13.785762301749207</c:v>
                </c:pt>
                <c:pt idx="144">
                  <c:v>14.015442715054615</c:v>
                </c:pt>
                <c:pt idx="145">
                  <c:v>12.506351060629678</c:v>
                </c:pt>
                <c:pt idx="146">
                  <c:v>13.064299769179144</c:v>
                </c:pt>
                <c:pt idx="147">
                  <c:v>16.392512561869893</c:v>
                </c:pt>
                <c:pt idx="148">
                  <c:v>15.916722789233685</c:v>
                </c:pt>
                <c:pt idx="149">
                  <c:v>15.232470150146831</c:v>
                </c:pt>
                <c:pt idx="150">
                  <c:v>13.345184602505238</c:v>
                </c:pt>
                <c:pt idx="151">
                  <c:v>13.280004710827612</c:v>
                </c:pt>
                <c:pt idx="152">
                  <c:v>14.504553305227436</c:v>
                </c:pt>
                <c:pt idx="153">
                  <c:v>12.330502815127646</c:v>
                </c:pt>
                <c:pt idx="154">
                  <c:v>12.441108704559234</c:v>
                </c:pt>
                <c:pt idx="155">
                  <c:v>13.90086885740835</c:v>
                </c:pt>
                <c:pt idx="156">
                  <c:v>15.38074277176811</c:v>
                </c:pt>
                <c:pt idx="157">
                  <c:v>13.955735968239127</c:v>
                </c:pt>
                <c:pt idx="158">
                  <c:v>14.428870073510652</c:v>
                </c:pt>
                <c:pt idx="159">
                  <c:v>13.83801954150479</c:v>
                </c:pt>
                <c:pt idx="160">
                  <c:v>15.100033539600712</c:v>
                </c:pt>
                <c:pt idx="161">
                  <c:v>15.202963311602383</c:v>
                </c:pt>
                <c:pt idx="162">
                  <c:v>14.097840831136649</c:v>
                </c:pt>
                <c:pt idx="163">
                  <c:v>14.342521686739879</c:v>
                </c:pt>
                <c:pt idx="164">
                  <c:v>14.70288207586224</c:v>
                </c:pt>
                <c:pt idx="165">
                  <c:v>9.7886282284714152</c:v>
                </c:pt>
                <c:pt idx="166">
                  <c:v>7.8505783827158728</c:v>
                </c:pt>
                <c:pt idx="167">
                  <c:v>8.1026672723508035</c:v>
                </c:pt>
                <c:pt idx="168">
                  <c:v>8.1242666364763458</c:v>
                </c:pt>
                <c:pt idx="169">
                  <c:v>9.1568674351814519</c:v>
                </c:pt>
                <c:pt idx="170">
                  <c:v>9.0831508385391793</c:v>
                </c:pt>
                <c:pt idx="171">
                  <c:v>11.689680117485688</c:v>
                </c:pt>
                <c:pt idx="172">
                  <c:v>9.2272351616753312</c:v>
                </c:pt>
                <c:pt idx="173">
                  <c:v>9.3046844160338988</c:v>
                </c:pt>
                <c:pt idx="174">
                  <c:v>6.975143701747176</c:v>
                </c:pt>
                <c:pt idx="175">
                  <c:v>5.1604972143973464</c:v>
                </c:pt>
                <c:pt idx="176">
                  <c:v>7.4473343160031273</c:v>
                </c:pt>
                <c:pt idx="177">
                  <c:v>10.643195703968013</c:v>
                </c:pt>
                <c:pt idx="178">
                  <c:v>11.413422410553901</c:v>
                </c:pt>
                <c:pt idx="179">
                  <c:v>12.939494460937592</c:v>
                </c:pt>
                <c:pt idx="180">
                  <c:v>11.776428373621521</c:v>
                </c:pt>
                <c:pt idx="181">
                  <c:v>11.988061152521626</c:v>
                </c:pt>
                <c:pt idx="182">
                  <c:v>12.106864360817534</c:v>
                </c:pt>
                <c:pt idx="183">
                  <c:v>11.400309173982876</c:v>
                </c:pt>
                <c:pt idx="184">
                  <c:v>11.765424020080822</c:v>
                </c:pt>
                <c:pt idx="185">
                  <c:v>12.296323537240223</c:v>
                </c:pt>
                <c:pt idx="186">
                  <c:v>11.681366999664121</c:v>
                </c:pt>
                <c:pt idx="187">
                  <c:v>12.012972432008858</c:v>
                </c:pt>
                <c:pt idx="188">
                  <c:v>11.092016950790507</c:v>
                </c:pt>
                <c:pt idx="189">
                  <c:v>12.541175067213914</c:v>
                </c:pt>
                <c:pt idx="190">
                  <c:v>11.873624170602966</c:v>
                </c:pt>
                <c:pt idx="191">
                  <c:v>12.567826069181761</c:v>
                </c:pt>
                <c:pt idx="192">
                  <c:v>12.954523056971828</c:v>
                </c:pt>
                <c:pt idx="193">
                  <c:v>13.653577189677929</c:v>
                </c:pt>
                <c:pt idx="194">
                  <c:v>13.326304380818584</c:v>
                </c:pt>
                <c:pt idx="195">
                  <c:v>15.223647733444151</c:v>
                </c:pt>
                <c:pt idx="196">
                  <c:v>14.940640075719443</c:v>
                </c:pt>
                <c:pt idx="197">
                  <c:v>15.296857677532207</c:v>
                </c:pt>
                <c:pt idx="198">
                  <c:v>14.2189645789768</c:v>
                </c:pt>
                <c:pt idx="199">
                  <c:v>15.533583230533157</c:v>
                </c:pt>
                <c:pt idx="200">
                  <c:v>15.263562680520362</c:v>
                </c:pt>
                <c:pt idx="201">
                  <c:v>16.925643452050533</c:v>
                </c:pt>
                <c:pt idx="202">
                  <c:v>17.19176990759955</c:v>
                </c:pt>
                <c:pt idx="203">
                  <c:v>17.727344970738361</c:v>
                </c:pt>
                <c:pt idx="204">
                  <c:v>18.028964188390336</c:v>
                </c:pt>
                <c:pt idx="205">
                  <c:v>17.464446752370584</c:v>
                </c:pt>
                <c:pt idx="206">
                  <c:v>17.991265771484137</c:v>
                </c:pt>
                <c:pt idx="207">
                  <c:v>18.616815160226182</c:v>
                </c:pt>
                <c:pt idx="208">
                  <c:v>18.709631663848096</c:v>
                </c:pt>
                <c:pt idx="209">
                  <c:v>17.897651454285413</c:v>
                </c:pt>
                <c:pt idx="210">
                  <c:v>18.319808769416685</c:v>
                </c:pt>
                <c:pt idx="211">
                  <c:v>17.685077123582428</c:v>
                </c:pt>
                <c:pt idx="212">
                  <c:v>17.866428060603077</c:v>
                </c:pt>
                <c:pt idx="213">
                  <c:v>17.481853441286951</c:v>
                </c:pt>
                <c:pt idx="214">
                  <c:v>18.303712464107448</c:v>
                </c:pt>
                <c:pt idx="215">
                  <c:v>17.561452489241482</c:v>
                </c:pt>
                <c:pt idx="216">
                  <c:v>17.917178477911364</c:v>
                </c:pt>
                <c:pt idx="217">
                  <c:v>18.006814830924426</c:v>
                </c:pt>
                <c:pt idx="218">
                  <c:v>17.490960289475368</c:v>
                </c:pt>
                <c:pt idx="219">
                  <c:v>16.924812609393001</c:v>
                </c:pt>
                <c:pt idx="220">
                  <c:v>16.749166461679788</c:v>
                </c:pt>
                <c:pt idx="221">
                  <c:v>15.593988236912329</c:v>
                </c:pt>
                <c:pt idx="222">
                  <c:v>16.58946825033814</c:v>
                </c:pt>
                <c:pt idx="223">
                  <c:v>16.56267794486148</c:v>
                </c:pt>
                <c:pt idx="224">
                  <c:v>16.113469804935384</c:v>
                </c:pt>
                <c:pt idx="225">
                  <c:v>16.823669756435304</c:v>
                </c:pt>
                <c:pt idx="226">
                  <c:v>15.88270477601233</c:v>
                </c:pt>
                <c:pt idx="227">
                  <c:v>16.841077571566906</c:v>
                </c:pt>
                <c:pt idx="228">
                  <c:v>16.696868756108959</c:v>
                </c:pt>
                <c:pt idx="229">
                  <c:v>16.038820784253417</c:v>
                </c:pt>
                <c:pt idx="230">
                  <c:v>15.79879258780694</c:v>
                </c:pt>
                <c:pt idx="231">
                  <c:v>15.269264026320617</c:v>
                </c:pt>
                <c:pt idx="232">
                  <c:v>14.935874156431725</c:v>
                </c:pt>
                <c:pt idx="233">
                  <c:v>13.691489522865735</c:v>
                </c:pt>
                <c:pt idx="234">
                  <c:v>14.203700334154906</c:v>
                </c:pt>
                <c:pt idx="235">
                  <c:v>13.692300287043796</c:v>
                </c:pt>
                <c:pt idx="236">
                  <c:v>13.194563753669977</c:v>
                </c:pt>
                <c:pt idx="237">
                  <c:v>12.984490398632149</c:v>
                </c:pt>
                <c:pt idx="238">
                  <c:v>11.05417219158787</c:v>
                </c:pt>
                <c:pt idx="239">
                  <c:v>11.618185917152381</c:v>
                </c:pt>
                <c:pt idx="240">
                  <c:v>11.591592591160097</c:v>
                </c:pt>
                <c:pt idx="241">
                  <c:v>11.942491307663596</c:v>
                </c:pt>
                <c:pt idx="242">
                  <c:v>11.122650251659943</c:v>
                </c:pt>
                <c:pt idx="243">
                  <c:v>11.505941760815352</c:v>
                </c:pt>
                <c:pt idx="244">
                  <c:v>11.436788076776363</c:v>
                </c:pt>
                <c:pt idx="245">
                  <c:v>9.5068963753881359</c:v>
                </c:pt>
                <c:pt idx="246">
                  <c:v>10.049033781712794</c:v>
                </c:pt>
                <c:pt idx="247">
                  <c:v>8.6383365246064372</c:v>
                </c:pt>
                <c:pt idx="248">
                  <c:v>10.658208517131472</c:v>
                </c:pt>
                <c:pt idx="249">
                  <c:v>9.7982838558978287</c:v>
                </c:pt>
                <c:pt idx="250">
                  <c:v>8.9008171094851143</c:v>
                </c:pt>
                <c:pt idx="251">
                  <c:v>7.6513893411351495</c:v>
                </c:pt>
                <c:pt idx="252">
                  <c:v>4.9830157148877401</c:v>
                </c:pt>
                <c:pt idx="253">
                  <c:v>5.4850117967836631</c:v>
                </c:pt>
                <c:pt idx="254">
                  <c:v>6.1792585543759726</c:v>
                </c:pt>
                <c:pt idx="255">
                  <c:v>6.8347087702848972</c:v>
                </c:pt>
                <c:pt idx="256">
                  <c:v>7.3097374950861163</c:v>
                </c:pt>
                <c:pt idx="257">
                  <c:v>8.4983161351609606</c:v>
                </c:pt>
                <c:pt idx="258">
                  <c:v>8.3244716762413287</c:v>
                </c:pt>
                <c:pt idx="259">
                  <c:v>7.2166086803363987</c:v>
                </c:pt>
                <c:pt idx="260">
                  <c:v>8.4451339296304653</c:v>
                </c:pt>
                <c:pt idx="261">
                  <c:v>10.574768513436432</c:v>
                </c:pt>
                <c:pt idx="262">
                  <c:v>10.878977634323769</c:v>
                </c:pt>
                <c:pt idx="263">
                  <c:v>11.223704915193448</c:v>
                </c:pt>
                <c:pt idx="264">
                  <c:v>10.646097535010748</c:v>
                </c:pt>
                <c:pt idx="265">
                  <c:v>11.104534294937048</c:v>
                </c:pt>
                <c:pt idx="266">
                  <c:v>11.915979597752777</c:v>
                </c:pt>
                <c:pt idx="267">
                  <c:v>11.133897541295692</c:v>
                </c:pt>
                <c:pt idx="268">
                  <c:v>13.822974041472264</c:v>
                </c:pt>
                <c:pt idx="269">
                  <c:v>12.400932730067678</c:v>
                </c:pt>
                <c:pt idx="270">
                  <c:v>13.382548700692777</c:v>
                </c:pt>
                <c:pt idx="271">
                  <c:v>12.86798862374452</c:v>
                </c:pt>
                <c:pt idx="272">
                  <c:v>12.168780265748332</c:v>
                </c:pt>
                <c:pt idx="273">
                  <c:v>13.106345132983535</c:v>
                </c:pt>
                <c:pt idx="274">
                  <c:v>12.758523946888795</c:v>
                </c:pt>
                <c:pt idx="275">
                  <c:v>12.846673201057282</c:v>
                </c:pt>
                <c:pt idx="276">
                  <c:v>12.302533406285002</c:v>
                </c:pt>
                <c:pt idx="277">
                  <c:v>11.301521095662443</c:v>
                </c:pt>
                <c:pt idx="278">
                  <c:v>10.191011777596657</c:v>
                </c:pt>
                <c:pt idx="279">
                  <c:v>10.197334263771204</c:v>
                </c:pt>
                <c:pt idx="280">
                  <c:v>9.8116994421128023</c:v>
                </c:pt>
                <c:pt idx="281">
                  <c:v>9.7537202652009043</c:v>
                </c:pt>
                <c:pt idx="282">
                  <c:v>8.6328864058549719</c:v>
                </c:pt>
                <c:pt idx="283">
                  <c:v>8.6458573526838922</c:v>
                </c:pt>
                <c:pt idx="284">
                  <c:v>7.9536498821225434</c:v>
                </c:pt>
                <c:pt idx="285">
                  <c:v>8.0679609008171873</c:v>
                </c:pt>
                <c:pt idx="286">
                  <c:v>7.4816536332205752</c:v>
                </c:pt>
                <c:pt idx="287">
                  <c:v>6.9922565363099087</c:v>
                </c:pt>
                <c:pt idx="288">
                  <c:v>6.5907022375507998</c:v>
                </c:pt>
                <c:pt idx="289">
                  <c:v>6.8993756675325075</c:v>
                </c:pt>
                <c:pt idx="290">
                  <c:v>6.4800497358236893</c:v>
                </c:pt>
                <c:pt idx="291">
                  <c:v>6.7326788415099257</c:v>
                </c:pt>
                <c:pt idx="292">
                  <c:v>6.7820119810975186</c:v>
                </c:pt>
                <c:pt idx="293">
                  <c:v>5.5215867817526076</c:v>
                </c:pt>
                <c:pt idx="294">
                  <c:v>4.8172197883557146</c:v>
                </c:pt>
                <c:pt idx="295">
                  <c:v>4.2548329526951196</c:v>
                </c:pt>
                <c:pt idx="296">
                  <c:v>4.3812826332572818</c:v>
                </c:pt>
                <c:pt idx="297">
                  <c:v>3.313183948517235</c:v>
                </c:pt>
                <c:pt idx="298">
                  <c:v>2.4876728240062569</c:v>
                </c:pt>
                <c:pt idx="299">
                  <c:v>2.8112456658397527</c:v>
                </c:pt>
                <c:pt idx="300">
                  <c:v>2.254099658486687</c:v>
                </c:pt>
                <c:pt idx="301">
                  <c:v>2.8312914742535722</c:v>
                </c:pt>
                <c:pt idx="302">
                  <c:v>1.4007240436199517</c:v>
                </c:pt>
                <c:pt idx="303">
                  <c:v>1.1348389897940148</c:v>
                </c:pt>
                <c:pt idx="304">
                  <c:v>1.4759941769234479</c:v>
                </c:pt>
                <c:pt idx="305">
                  <c:v>2.0420821343508662</c:v>
                </c:pt>
                <c:pt idx="306">
                  <c:v>1.4889144815426529</c:v>
                </c:pt>
                <c:pt idx="307">
                  <c:v>0.75524082089559919</c:v>
                </c:pt>
                <c:pt idx="308">
                  <c:v>0.21793683192911215</c:v>
                </c:pt>
                <c:pt idx="309">
                  <c:v>-0.71064277159793277</c:v>
                </c:pt>
                <c:pt idx="310">
                  <c:v>0.13785461602387736</c:v>
                </c:pt>
                <c:pt idx="311">
                  <c:v>-1.1982415910945097</c:v>
                </c:pt>
                <c:pt idx="312">
                  <c:v>-1.7780010723182502</c:v>
                </c:pt>
                <c:pt idx="313">
                  <c:v>-1.1295112602477859</c:v>
                </c:pt>
                <c:pt idx="314">
                  <c:v>-2.2881764591359777</c:v>
                </c:pt>
                <c:pt idx="315">
                  <c:v>-3.4435821226600729</c:v>
                </c:pt>
                <c:pt idx="316">
                  <c:v>-1.355193020287639</c:v>
                </c:pt>
                <c:pt idx="317">
                  <c:v>-1.1274038258225978</c:v>
                </c:pt>
                <c:pt idx="318">
                  <c:v>-0.49613284460938406</c:v>
                </c:pt>
                <c:pt idx="319">
                  <c:v>0.33017535884848892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'240814A007'!$J$2:$J$321</c:f>
              <c:numCache>
                <c:formatCode>0.0</c:formatCode>
                <c:ptCount val="320"/>
                <c:pt idx="0">
                  <c:v>846.07530782727008</c:v>
                </c:pt>
                <c:pt idx="1">
                  <c:v>851.66870550103999</c:v>
                </c:pt>
                <c:pt idx="2">
                  <c:v>828.42549919071007</c:v>
                </c:pt>
                <c:pt idx="3">
                  <c:v>853.35101638955007</c:v>
                </c:pt>
                <c:pt idx="4">
                  <c:v>803.73530762736004</c:v>
                </c:pt>
                <c:pt idx="5">
                  <c:v>779.60970725593995</c:v>
                </c:pt>
                <c:pt idx="6">
                  <c:v>801.04696842828002</c:v>
                </c:pt>
                <c:pt idx="7">
                  <c:v>836.84492405879007</c:v>
                </c:pt>
                <c:pt idx="8">
                  <c:v>854.77035115477997</c:v>
                </c:pt>
                <c:pt idx="9">
                  <c:v>829.26280873962992</c:v>
                </c:pt>
                <c:pt idx="10">
                  <c:v>801.65981487737008</c:v>
                </c:pt>
                <c:pt idx="11">
                  <c:v>818.07134644788994</c:v>
                </c:pt>
                <c:pt idx="12">
                  <c:v>823.35663250721996</c:v>
                </c:pt>
                <c:pt idx="13">
                  <c:v>828.29712715083008</c:v>
                </c:pt>
                <c:pt idx="14">
                  <c:v>840.56905752370994</c:v>
                </c:pt>
                <c:pt idx="15">
                  <c:v>821.80547737211009</c:v>
                </c:pt>
                <c:pt idx="16">
                  <c:v>809.92321953701003</c:v>
                </c:pt>
                <c:pt idx="17">
                  <c:v>771.49577809402001</c:v>
                </c:pt>
                <c:pt idx="18">
                  <c:v>838.07810788824997</c:v>
                </c:pt>
                <c:pt idx="19">
                  <c:v>838.82351900470996</c:v>
                </c:pt>
                <c:pt idx="20">
                  <c:v>809.3052738265601</c:v>
                </c:pt>
                <c:pt idx="21">
                  <c:v>797.86237448316001</c:v>
                </c:pt>
                <c:pt idx="22">
                  <c:v>788.00945067927</c:v>
                </c:pt>
                <c:pt idx="23">
                  <c:v>788.71766095688008</c:v>
                </c:pt>
                <c:pt idx="24">
                  <c:v>782.12876550501994</c:v>
                </c:pt>
                <c:pt idx="25">
                  <c:v>801.0490253987</c:v>
                </c:pt>
                <c:pt idx="26">
                  <c:v>811.01240401654002</c:v>
                </c:pt>
                <c:pt idx="27">
                  <c:v>802.2699350265799</c:v>
                </c:pt>
                <c:pt idx="28">
                  <c:v>729.24276432368003</c:v>
                </c:pt>
                <c:pt idx="29">
                  <c:v>691.42528056703998</c:v>
                </c:pt>
                <c:pt idx="30">
                  <c:v>813.07028942705006</c:v>
                </c:pt>
                <c:pt idx="31">
                  <c:v>800.04252805671001</c:v>
                </c:pt>
                <c:pt idx="32">
                  <c:v>766.14189156523003</c:v>
                </c:pt>
                <c:pt idx="33">
                  <c:v>766.62491460545994</c:v>
                </c:pt>
                <c:pt idx="34">
                  <c:v>802.39246559168998</c:v>
                </c:pt>
                <c:pt idx="35">
                  <c:v>797.97601911155994</c:v>
                </c:pt>
                <c:pt idx="36">
                  <c:v>788.4993970707701</c:v>
                </c:pt>
                <c:pt idx="37">
                  <c:v>799.6656888773</c:v>
                </c:pt>
                <c:pt idx="38">
                  <c:v>812.52392203190004</c:v>
                </c:pt>
                <c:pt idx="39">
                  <c:v>814.36444181926004</c:v>
                </c:pt>
                <c:pt idx="40">
                  <c:v>719.9350265800399</c:v>
                </c:pt>
                <c:pt idx="41">
                  <c:v>766.90785587713992</c:v>
                </c:pt>
                <c:pt idx="42">
                  <c:v>754.83225044300002</c:v>
                </c:pt>
                <c:pt idx="43">
                  <c:v>762.46012994683997</c:v>
                </c:pt>
                <c:pt idx="44">
                  <c:v>826.37625516833998</c:v>
                </c:pt>
                <c:pt idx="45">
                  <c:v>853.18369757826997</c:v>
                </c:pt>
                <c:pt idx="46">
                  <c:v>854.17661340885002</c:v>
                </c:pt>
                <c:pt idx="47">
                  <c:v>813.18480106514994</c:v>
                </c:pt>
                <c:pt idx="48">
                  <c:v>826.75952972085997</c:v>
                </c:pt>
                <c:pt idx="49">
                  <c:v>826.32732395432004</c:v>
                </c:pt>
                <c:pt idx="50">
                  <c:v>825.66107872613009</c:v>
                </c:pt>
                <c:pt idx="51">
                  <c:v>875.82919731898994</c:v>
                </c:pt>
                <c:pt idx="52">
                  <c:v>867.66530548220999</c:v>
                </c:pt>
                <c:pt idx="53">
                  <c:v>872.04455460277995</c:v>
                </c:pt>
                <c:pt idx="54">
                  <c:v>905.32204961254013</c:v>
                </c:pt>
                <c:pt idx="55">
                  <c:v>931.22181015944011</c:v>
                </c:pt>
                <c:pt idx="56">
                  <c:v>924.19772059080992</c:v>
                </c:pt>
                <c:pt idx="57">
                  <c:v>933.23631144803994</c:v>
                </c:pt>
                <c:pt idx="58">
                  <c:v>932.29458655199994</c:v>
                </c:pt>
                <c:pt idx="59">
                  <c:v>930.84799293856997</c:v>
                </c:pt>
                <c:pt idx="60">
                  <c:v>927.86004542568003</c:v>
                </c:pt>
                <c:pt idx="61">
                  <c:v>926.23503907968006</c:v>
                </c:pt>
                <c:pt idx="62">
                  <c:v>927.77954168826989</c:v>
                </c:pt>
                <c:pt idx="63">
                  <c:v>922.50430290908992</c:v>
                </c:pt>
                <c:pt idx="64">
                  <c:v>926.06913750298008</c:v>
                </c:pt>
                <c:pt idx="65">
                  <c:v>920.36311868210998</c:v>
                </c:pt>
                <c:pt idx="66">
                  <c:v>917.44915305566985</c:v>
                </c:pt>
                <c:pt idx="67">
                  <c:v>921.12698369900988</c:v>
                </c:pt>
                <c:pt idx="68">
                  <c:v>928.80795604906996</c:v>
                </c:pt>
                <c:pt idx="69">
                  <c:v>903.4895537291801</c:v>
                </c:pt>
                <c:pt idx="70">
                  <c:v>900.14688327507997</c:v>
                </c:pt>
                <c:pt idx="71">
                  <c:v>935.84861091611992</c:v>
                </c:pt>
                <c:pt idx="72">
                  <c:v>950.8085205790801</c:v>
                </c:pt>
                <c:pt idx="73">
                  <c:v>927.23886815665992</c:v>
                </c:pt>
                <c:pt idx="74">
                  <c:v>861.78471855443001</c:v>
                </c:pt>
                <c:pt idx="75">
                  <c:v>878.58357944477996</c:v>
                </c:pt>
                <c:pt idx="76">
                  <c:v>898.44240992322989</c:v>
                </c:pt>
                <c:pt idx="77">
                  <c:v>808.19488678642006</c:v>
                </c:pt>
                <c:pt idx="78">
                  <c:v>804.3537594462199</c:v>
                </c:pt>
                <c:pt idx="79">
                  <c:v>830.71237327665006</c:v>
                </c:pt>
                <c:pt idx="80">
                  <c:v>865.04535584654002</c:v>
                </c:pt>
                <c:pt idx="81">
                  <c:v>850.54149622466002</c:v>
                </c:pt>
                <c:pt idx="82">
                  <c:v>845.92983494242992</c:v>
                </c:pt>
                <c:pt idx="83">
                  <c:v>852.56204600760009</c:v>
                </c:pt>
                <c:pt idx="84">
                  <c:v>837.36644504376</c:v>
                </c:pt>
                <c:pt idx="85">
                  <c:v>779.89936512008001</c:v>
                </c:pt>
                <c:pt idx="86">
                  <c:v>823.10530547688995</c:v>
                </c:pt>
                <c:pt idx="87">
                  <c:v>852.53080989783007</c:v>
                </c:pt>
                <c:pt idx="88">
                  <c:v>856.09395482893001</c:v>
                </c:pt>
                <c:pt idx="89">
                  <c:v>847.40519229468009</c:v>
                </c:pt>
                <c:pt idx="90">
                  <c:v>850.50502799568994</c:v>
                </c:pt>
                <c:pt idx="91">
                  <c:v>804.90336415450997</c:v>
                </c:pt>
                <c:pt idx="92">
                  <c:v>851.35005763715003</c:v>
                </c:pt>
                <c:pt idx="93">
                  <c:v>854.13950770273993</c:v>
                </c:pt>
                <c:pt idx="94">
                  <c:v>850.10364819094002</c:v>
                </c:pt>
                <c:pt idx="95">
                  <c:v>849.26999011835005</c:v>
                </c:pt>
                <c:pt idx="96">
                  <c:v>832.52025040952003</c:v>
                </c:pt>
                <c:pt idx="97">
                  <c:v>815.57508450310002</c:v>
                </c:pt>
                <c:pt idx="98">
                  <c:v>840.94494972353004</c:v>
                </c:pt>
                <c:pt idx="99">
                  <c:v>831.35226834115997</c:v>
                </c:pt>
                <c:pt idx="100">
                  <c:v>809.94890884641006</c:v>
                </c:pt>
                <c:pt idx="101">
                  <c:v>797.97789643723002</c:v>
                </c:pt>
                <c:pt idx="102">
                  <c:v>820.45625702004997</c:v>
                </c:pt>
                <c:pt idx="103">
                  <c:v>837.19373892498004</c:v>
                </c:pt>
                <c:pt idx="104">
                  <c:v>856.76959712539997</c:v>
                </c:pt>
                <c:pt idx="105">
                  <c:v>822.95098128544998</c:v>
                </c:pt>
                <c:pt idx="106">
                  <c:v>775.05429908931001</c:v>
                </c:pt>
                <c:pt idx="107">
                  <c:v>743.00300021563999</c:v>
                </c:pt>
                <c:pt idx="108">
                  <c:v>816.92189994211992</c:v>
                </c:pt>
                <c:pt idx="109">
                  <c:v>855.20909627880008</c:v>
                </c:pt>
                <c:pt idx="110">
                  <c:v>866.21913762552003</c:v>
                </c:pt>
                <c:pt idx="111">
                  <c:v>861.57353809804999</c:v>
                </c:pt>
                <c:pt idx="112">
                  <c:v>849.69285292380005</c:v>
                </c:pt>
                <c:pt idx="113">
                  <c:v>844.54873006496996</c:v>
                </c:pt>
                <c:pt idx="114">
                  <c:v>879.87991064969003</c:v>
                </c:pt>
                <c:pt idx="115">
                  <c:v>886.87826685424</c:v>
                </c:pt>
                <c:pt idx="116">
                  <c:v>894.00846623347991</c:v>
                </c:pt>
                <c:pt idx="117">
                  <c:v>890.44639595990009</c:v>
                </c:pt>
                <c:pt idx="118">
                  <c:v>875.26917564732003</c:v>
                </c:pt>
                <c:pt idx="119">
                  <c:v>872.37667712398002</c:v>
                </c:pt>
                <c:pt idx="120">
                  <c:v>855.72289207973995</c:v>
                </c:pt>
                <c:pt idx="121">
                  <c:v>870.71713192736001</c:v>
                </c:pt>
                <c:pt idx="122">
                  <c:v>893.02436212668999</c:v>
                </c:pt>
                <c:pt idx="123">
                  <c:v>894.42928879342003</c:v>
                </c:pt>
                <c:pt idx="124">
                  <c:v>901.38543147078008</c:v>
                </c:pt>
                <c:pt idx="125">
                  <c:v>906.88200704361998</c:v>
                </c:pt>
                <c:pt idx="126">
                  <c:v>917.66250593049995</c:v>
                </c:pt>
                <c:pt idx="127">
                  <c:v>888.68930891907007</c:v>
                </c:pt>
                <c:pt idx="128">
                  <c:v>778.94388659185006</c:v>
                </c:pt>
                <c:pt idx="129">
                  <c:v>792.84642646191003</c:v>
                </c:pt>
                <c:pt idx="130">
                  <c:v>801.92262256348999</c:v>
                </c:pt>
                <c:pt idx="131">
                  <c:v>816.76904902539991</c:v>
                </c:pt>
                <c:pt idx="132">
                  <c:v>773.84642646189991</c:v>
                </c:pt>
                <c:pt idx="133">
                  <c:v>759.00886001181004</c:v>
                </c:pt>
                <c:pt idx="134">
                  <c:v>777.55640874187998</c:v>
                </c:pt>
                <c:pt idx="135">
                  <c:v>830.64028352037997</c:v>
                </c:pt>
                <c:pt idx="136">
                  <c:v>806.27170702894</c:v>
                </c:pt>
                <c:pt idx="137">
                  <c:v>735.00649734199999</c:v>
                </c:pt>
                <c:pt idx="138">
                  <c:v>802.10750147667</c:v>
                </c:pt>
                <c:pt idx="139">
                  <c:v>817.72593030123994</c:v>
                </c:pt>
                <c:pt idx="140">
                  <c:v>813.30714707619006</c:v>
                </c:pt>
                <c:pt idx="141">
                  <c:v>769.61961015949009</c:v>
                </c:pt>
                <c:pt idx="142">
                  <c:v>804.98936798582997</c:v>
                </c:pt>
                <c:pt idx="143">
                  <c:v>771.19019492025996</c:v>
                </c:pt>
                <c:pt idx="144">
                  <c:v>720.10277613704</c:v>
                </c:pt>
                <c:pt idx="145">
                  <c:v>751.07049884871003</c:v>
                </c:pt>
                <c:pt idx="146">
                  <c:v>799.53577473538007</c:v>
                </c:pt>
                <c:pt idx="147">
                  <c:v>798.54933724721991</c:v>
                </c:pt>
                <c:pt idx="148">
                  <c:v>769.54829472633992</c:v>
                </c:pt>
                <c:pt idx="149">
                  <c:v>739.07683995711</c:v>
                </c:pt>
                <c:pt idx="150">
                  <c:v>686.35603285622005</c:v>
                </c:pt>
                <c:pt idx="151">
                  <c:v>678.20745864627997</c:v>
                </c:pt>
                <c:pt idx="152">
                  <c:v>676.29594958890993</c:v>
                </c:pt>
                <c:pt idx="153">
                  <c:v>746.52533676442999</c:v>
                </c:pt>
                <c:pt idx="154">
                  <c:v>771.56161242418</c:v>
                </c:pt>
                <c:pt idx="155">
                  <c:v>778.41346721796003</c:v>
                </c:pt>
                <c:pt idx="156">
                  <c:v>744.19964559951995</c:v>
                </c:pt>
                <c:pt idx="157">
                  <c:v>720.19989919182001</c:v>
                </c:pt>
                <c:pt idx="158">
                  <c:v>763.11153869395991</c:v>
                </c:pt>
                <c:pt idx="159">
                  <c:v>792.20120647416002</c:v>
                </c:pt>
                <c:pt idx="160">
                  <c:v>799.86394643772996</c:v>
                </c:pt>
                <c:pt idx="161">
                  <c:v>831.57185594172006</c:v>
                </c:pt>
                <c:pt idx="162">
                  <c:v>859.50257521269998</c:v>
                </c:pt>
                <c:pt idx="163">
                  <c:v>825.60818641437004</c:v>
                </c:pt>
                <c:pt idx="164">
                  <c:v>793.13986008587005</c:v>
                </c:pt>
                <c:pt idx="165">
                  <c:v>770.97637330183011</c:v>
                </c:pt>
                <c:pt idx="166">
                  <c:v>759.93916125221006</c:v>
                </c:pt>
                <c:pt idx="167">
                  <c:v>796.25221500295004</c:v>
                </c:pt>
                <c:pt idx="168">
                  <c:v>797.17830725573992</c:v>
                </c:pt>
                <c:pt idx="169">
                  <c:v>801.02430815664002</c:v>
                </c:pt>
                <c:pt idx="170">
                  <c:v>757.50239928144003</c:v>
                </c:pt>
                <c:pt idx="171">
                  <c:v>726.68108525207003</c:v>
                </c:pt>
                <c:pt idx="172">
                  <c:v>768.81263707563994</c:v>
                </c:pt>
                <c:pt idx="173">
                  <c:v>791.08033992050002</c:v>
                </c:pt>
                <c:pt idx="174">
                  <c:v>759.99522822313997</c:v>
                </c:pt>
                <c:pt idx="175">
                  <c:v>736.36046827018004</c:v>
                </c:pt>
                <c:pt idx="176">
                  <c:v>745.77856091737999</c:v>
                </c:pt>
                <c:pt idx="177">
                  <c:v>753.73795648761995</c:v>
                </c:pt>
                <c:pt idx="178">
                  <c:v>765.19598092836998</c:v>
                </c:pt>
                <c:pt idx="179">
                  <c:v>672.21017277814997</c:v>
                </c:pt>
                <c:pt idx="180">
                  <c:v>716.03544004725006</c:v>
                </c:pt>
                <c:pt idx="181">
                  <c:v>764.34140578853999</c:v>
                </c:pt>
                <c:pt idx="182">
                  <c:v>796.05609519065001</c:v>
                </c:pt>
                <c:pt idx="183">
                  <c:v>817.75096990679003</c:v>
                </c:pt>
                <c:pt idx="184">
                  <c:v>808.40222736983992</c:v>
                </c:pt>
                <c:pt idx="185">
                  <c:v>810.64035358769002</c:v>
                </c:pt>
                <c:pt idx="186">
                  <c:v>778.16344987630009</c:v>
                </c:pt>
                <c:pt idx="187">
                  <c:v>750.47002520321007</c:v>
                </c:pt>
                <c:pt idx="188">
                  <c:v>723.28992908486998</c:v>
                </c:pt>
                <c:pt idx="189">
                  <c:v>768.77748110823006</c:v>
                </c:pt>
                <c:pt idx="190">
                  <c:v>759.46757096285</c:v>
                </c:pt>
                <c:pt idx="191">
                  <c:v>780.69054496476997</c:v>
                </c:pt>
                <c:pt idx="192">
                  <c:v>794.37035719543996</c:v>
                </c:pt>
                <c:pt idx="193">
                  <c:v>801.04889343734999</c:v>
                </c:pt>
                <c:pt idx="194">
                  <c:v>844.97694571931004</c:v>
                </c:pt>
                <c:pt idx="195">
                  <c:v>835.97331441334006</c:v>
                </c:pt>
                <c:pt idx="196">
                  <c:v>839.50318331311996</c:v>
                </c:pt>
                <c:pt idx="197">
                  <c:v>849.92319571412008</c:v>
                </c:pt>
                <c:pt idx="198">
                  <c:v>810.90391564175002</c:v>
                </c:pt>
                <c:pt idx="199">
                  <c:v>839.96973314172999</c:v>
                </c:pt>
                <c:pt idx="200">
                  <c:v>842.57768470291001</c:v>
                </c:pt>
                <c:pt idx="201">
                  <c:v>840.71727981317997</c:v>
                </c:pt>
                <c:pt idx="202">
                  <c:v>827.02288967995992</c:v>
                </c:pt>
                <c:pt idx="203">
                  <c:v>825.10657634332995</c:v>
                </c:pt>
                <c:pt idx="204">
                  <c:v>837.1667366833999</c:v>
                </c:pt>
                <c:pt idx="205">
                  <c:v>830.80989106519996</c:v>
                </c:pt>
                <c:pt idx="206">
                  <c:v>822.90294733584005</c:v>
                </c:pt>
                <c:pt idx="207">
                  <c:v>837.80586062844998</c:v>
                </c:pt>
                <c:pt idx="208">
                  <c:v>824.86959059339995</c:v>
                </c:pt>
                <c:pt idx="209">
                  <c:v>834.71890020035994</c:v>
                </c:pt>
                <c:pt idx="210">
                  <c:v>844.05923134616</c:v>
                </c:pt>
                <c:pt idx="211">
                  <c:v>844.32726626959004</c:v>
                </c:pt>
                <c:pt idx="212">
                  <c:v>849.52548064993005</c:v>
                </c:pt>
                <c:pt idx="213">
                  <c:v>855.53655908657004</c:v>
                </c:pt>
                <c:pt idx="214">
                  <c:v>862.09770439883994</c:v>
                </c:pt>
                <c:pt idx="215">
                  <c:v>841.51652693151993</c:v>
                </c:pt>
                <c:pt idx="216">
                  <c:v>839.75496987174995</c:v>
                </c:pt>
                <c:pt idx="217">
                  <c:v>855.98271341327995</c:v>
                </c:pt>
                <c:pt idx="218">
                  <c:v>844.50133523133002</c:v>
                </c:pt>
                <c:pt idx="219">
                  <c:v>836.42900461478007</c:v>
                </c:pt>
                <c:pt idx="220">
                  <c:v>843.14681332626992</c:v>
                </c:pt>
                <c:pt idx="221">
                  <c:v>845.8192213648299</c:v>
                </c:pt>
                <c:pt idx="222">
                  <c:v>837.70850648875</c:v>
                </c:pt>
                <c:pt idx="223">
                  <c:v>849.36588426919002</c:v>
                </c:pt>
                <c:pt idx="224">
                  <c:v>842.76540604964998</c:v>
                </c:pt>
                <c:pt idx="225">
                  <c:v>841.52710981115001</c:v>
                </c:pt>
                <c:pt idx="226">
                  <c:v>841.92258185202002</c:v>
                </c:pt>
                <c:pt idx="227">
                  <c:v>841.18855066771994</c:v>
                </c:pt>
                <c:pt idx="228">
                  <c:v>832.92431349385004</c:v>
                </c:pt>
                <c:pt idx="229">
                  <c:v>835.91421704625009</c:v>
                </c:pt>
                <c:pt idx="230">
                  <c:v>835.40182724363001</c:v>
                </c:pt>
                <c:pt idx="231">
                  <c:v>826.62242732386005</c:v>
                </c:pt>
                <c:pt idx="232">
                  <c:v>842.08932871329</c:v>
                </c:pt>
                <c:pt idx="233">
                  <c:v>840.73858806262001</c:v>
                </c:pt>
                <c:pt idx="234">
                  <c:v>843.55539516635997</c:v>
                </c:pt>
                <c:pt idx="235">
                  <c:v>841.88724533827008</c:v>
                </c:pt>
                <c:pt idx="236">
                  <c:v>843.16967808798995</c:v>
                </c:pt>
                <c:pt idx="237">
                  <c:v>834.11751018401003</c:v>
                </c:pt>
                <c:pt idx="238">
                  <c:v>847.03170441779002</c:v>
                </c:pt>
                <c:pt idx="239">
                  <c:v>863.73557822062003</c:v>
                </c:pt>
                <c:pt idx="240">
                  <c:v>863.2665865071599</c:v>
                </c:pt>
                <c:pt idx="241">
                  <c:v>856.81331223354994</c:v>
                </c:pt>
                <c:pt idx="242">
                  <c:v>842.23712683627002</c:v>
                </c:pt>
                <c:pt idx="243">
                  <c:v>859.62726637488004</c:v>
                </c:pt>
                <c:pt idx="244">
                  <c:v>852.44153532826999</c:v>
                </c:pt>
                <c:pt idx="245">
                  <c:v>879.59779020878</c:v>
                </c:pt>
                <c:pt idx="246">
                  <c:v>851.70916524263998</c:v>
                </c:pt>
                <c:pt idx="247">
                  <c:v>856.52519286186998</c:v>
                </c:pt>
                <c:pt idx="248">
                  <c:v>860.42411993883002</c:v>
                </c:pt>
                <c:pt idx="249">
                  <c:v>856.98420605063995</c:v>
                </c:pt>
                <c:pt idx="250">
                  <c:v>868.53539319395998</c:v>
                </c:pt>
                <c:pt idx="251">
                  <c:v>868.89880143289997</c:v>
                </c:pt>
                <c:pt idx="252">
                  <c:v>827.21080756490005</c:v>
                </c:pt>
                <c:pt idx="253">
                  <c:v>827.62470576301996</c:v>
                </c:pt>
                <c:pt idx="254">
                  <c:v>870.17492144614005</c:v>
                </c:pt>
                <c:pt idx="255">
                  <c:v>833.67042721435996</c:v>
                </c:pt>
                <c:pt idx="256">
                  <c:v>828.93898050728001</c:v>
                </c:pt>
                <c:pt idx="257">
                  <c:v>880.20952550414006</c:v>
                </c:pt>
                <c:pt idx="258">
                  <c:v>908.04907172560002</c:v>
                </c:pt>
                <c:pt idx="259">
                  <c:v>896.65127176005001</c:v>
                </c:pt>
                <c:pt idx="260">
                  <c:v>891.32686863068</c:v>
                </c:pt>
                <c:pt idx="261">
                  <c:v>887.98676455677003</c:v>
                </c:pt>
                <c:pt idx="262">
                  <c:v>755.81469538685008</c:v>
                </c:pt>
                <c:pt idx="263">
                  <c:v>773.21775349825998</c:v>
                </c:pt>
                <c:pt idx="264">
                  <c:v>778.08704479800997</c:v>
                </c:pt>
                <c:pt idx="265">
                  <c:v>778.86976933284996</c:v>
                </c:pt>
                <c:pt idx="266">
                  <c:v>760.74684041728005</c:v>
                </c:pt>
                <c:pt idx="267">
                  <c:v>793.85115180153991</c:v>
                </c:pt>
                <c:pt idx="268">
                  <c:v>800.39338452452</c:v>
                </c:pt>
                <c:pt idx="269">
                  <c:v>791.27889512176</c:v>
                </c:pt>
                <c:pt idx="270">
                  <c:v>781.83546505054005</c:v>
                </c:pt>
                <c:pt idx="271">
                  <c:v>762.77605415879998</c:v>
                </c:pt>
                <c:pt idx="272">
                  <c:v>799.35037852583002</c:v>
                </c:pt>
                <c:pt idx="273">
                  <c:v>810.76675623835001</c:v>
                </c:pt>
                <c:pt idx="274">
                  <c:v>779.93126204072996</c:v>
                </c:pt>
                <c:pt idx="275">
                  <c:v>736.46411186019998</c:v>
                </c:pt>
                <c:pt idx="276">
                  <c:v>768.36850731100003</c:v>
                </c:pt>
                <c:pt idx="277">
                  <c:v>789.82797144006997</c:v>
                </c:pt>
                <c:pt idx="278">
                  <c:v>790.91964991190002</c:v>
                </c:pt>
                <c:pt idx="279">
                  <c:v>790.15959574747001</c:v>
                </c:pt>
                <c:pt idx="280">
                  <c:v>757.10427668521004</c:v>
                </c:pt>
                <c:pt idx="281">
                  <c:v>765.57213025867998</c:v>
                </c:pt>
                <c:pt idx="282">
                  <c:v>778.74660366213993</c:v>
                </c:pt>
                <c:pt idx="283">
                  <c:v>735.61015948021009</c:v>
                </c:pt>
                <c:pt idx="284">
                  <c:v>791.28034593529003</c:v>
                </c:pt>
                <c:pt idx="285">
                  <c:v>784.60913186624998</c:v>
                </c:pt>
                <c:pt idx="286">
                  <c:v>782.01565145917994</c:v>
                </c:pt>
                <c:pt idx="287">
                  <c:v>787.83190228964008</c:v>
                </c:pt>
                <c:pt idx="288">
                  <c:v>797.26357912188996</c:v>
                </c:pt>
                <c:pt idx="289">
                  <c:v>791.32463083284006</c:v>
                </c:pt>
                <c:pt idx="290">
                  <c:v>799.76590078186996</c:v>
                </c:pt>
                <c:pt idx="291">
                  <c:v>768.79385705847994</c:v>
                </c:pt>
                <c:pt idx="292">
                  <c:v>753.54932073243003</c:v>
                </c:pt>
                <c:pt idx="293">
                  <c:v>724.90076786768998</c:v>
                </c:pt>
                <c:pt idx="294">
                  <c:v>727.64933079152001</c:v>
                </c:pt>
                <c:pt idx="295">
                  <c:v>764.36958122062003</c:v>
                </c:pt>
                <c:pt idx="296">
                  <c:v>723.71381060243004</c:v>
                </c:pt>
                <c:pt idx="297">
                  <c:v>750.49041040190991</c:v>
                </c:pt>
                <c:pt idx="298">
                  <c:v>749.03018632618</c:v>
                </c:pt>
                <c:pt idx="299">
                  <c:v>750.99103361204993</c:v>
                </c:pt>
                <c:pt idx="300">
                  <c:v>730.97891604464007</c:v>
                </c:pt>
                <c:pt idx="301">
                  <c:v>739.30855607512001</c:v>
                </c:pt>
                <c:pt idx="302">
                  <c:v>709.61461134326998</c:v>
                </c:pt>
                <c:pt idx="303">
                  <c:v>730.91000172408997</c:v>
                </c:pt>
                <c:pt idx="304">
                  <c:v>734.26411088460998</c:v>
                </c:pt>
                <c:pt idx="305">
                  <c:v>749.84876954771994</c:v>
                </c:pt>
                <c:pt idx="306">
                  <c:v>688.47785521618005</c:v>
                </c:pt>
                <c:pt idx="307">
                  <c:v>717.84185429713</c:v>
                </c:pt>
                <c:pt idx="308">
                  <c:v>751.83133524068</c:v>
                </c:pt>
                <c:pt idx="309">
                  <c:v>751.37518691008006</c:v>
                </c:pt>
                <c:pt idx="310">
                  <c:v>748.67859207125002</c:v>
                </c:pt>
                <c:pt idx="311">
                  <c:v>765.17992934518998</c:v>
                </c:pt>
                <c:pt idx="312">
                  <c:v>748.39114504202007</c:v>
                </c:pt>
                <c:pt idx="313">
                  <c:v>744.63221071421003</c:v>
                </c:pt>
                <c:pt idx="314">
                  <c:v>736.35677612790994</c:v>
                </c:pt>
                <c:pt idx="315">
                  <c:v>725.15081428228996</c:v>
                </c:pt>
                <c:pt idx="316">
                  <c:v>714.85796066231001</c:v>
                </c:pt>
                <c:pt idx="317">
                  <c:v>693.65540796446999</c:v>
                </c:pt>
                <c:pt idx="318">
                  <c:v>733.28942705257009</c:v>
                </c:pt>
                <c:pt idx="319">
                  <c:v>730.9509746013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'240814A007'!$P$2:$P$321</c:f>
              <c:numCache>
                <c:formatCode>General</c:formatCode>
                <c:ptCount val="320"/>
                <c:pt idx="0">
                  <c:v>-2.4919992959774468</c:v>
                </c:pt>
                <c:pt idx="1">
                  <c:v>-1.2329512738735231</c:v>
                </c:pt>
                <c:pt idx="2">
                  <c:v>0.21788312090135886</c:v>
                </c:pt>
                <c:pt idx="3">
                  <c:v>-0.65787230845175049</c:v>
                </c:pt>
                <c:pt idx="4">
                  <c:v>-0.70653382178564617</c:v>
                </c:pt>
                <c:pt idx="5">
                  <c:v>0.47426212228389653</c:v>
                </c:pt>
                <c:pt idx="6">
                  <c:v>-1.882465907947467</c:v>
                </c:pt>
                <c:pt idx="7">
                  <c:v>-2.4391606818723623</c:v>
                </c:pt>
                <c:pt idx="8">
                  <c:v>-3.4360542835469881</c:v>
                </c:pt>
                <c:pt idx="9">
                  <c:v>-4.3997712189561975</c:v>
                </c:pt>
                <c:pt idx="10">
                  <c:v>-4.3127543826952222</c:v>
                </c:pt>
                <c:pt idx="11">
                  <c:v>-6.5596589352014272</c:v>
                </c:pt>
                <c:pt idx="12">
                  <c:v>-8.0511500108276906</c:v>
                </c:pt>
                <c:pt idx="13">
                  <c:v>-7.5714839377699894</c:v>
                </c:pt>
                <c:pt idx="14">
                  <c:v>-8.0753634282373721</c:v>
                </c:pt>
                <c:pt idx="15">
                  <c:v>-9.3218667461417031</c:v>
                </c:pt>
                <c:pt idx="16">
                  <c:v>-9.6667610401982333</c:v>
                </c:pt>
                <c:pt idx="17">
                  <c:v>-7.1983841777426925</c:v>
                </c:pt>
                <c:pt idx="18">
                  <c:v>-9.7340625125872169</c:v>
                </c:pt>
                <c:pt idx="19">
                  <c:v>-12.759382837229804</c:v>
                </c:pt>
                <c:pt idx="20">
                  <c:v>-12.229204619564552</c:v>
                </c:pt>
                <c:pt idx="21">
                  <c:v>-12.613791712139284</c:v>
                </c:pt>
                <c:pt idx="22">
                  <c:v>-13.687259670992511</c:v>
                </c:pt>
                <c:pt idx="23">
                  <c:v>-14.246597861311006</c:v>
                </c:pt>
                <c:pt idx="24">
                  <c:v>-14.090992577383265</c:v>
                </c:pt>
                <c:pt idx="25">
                  <c:v>-15.318736448480596</c:v>
                </c:pt>
                <c:pt idx="26">
                  <c:v>-16.188969413037732</c:v>
                </c:pt>
                <c:pt idx="27">
                  <c:v>-17.002461309577267</c:v>
                </c:pt>
                <c:pt idx="28">
                  <c:v>-14.60380935026026</c:v>
                </c:pt>
                <c:pt idx="29">
                  <c:v>-12.65857539855495</c:v>
                </c:pt>
                <c:pt idx="30">
                  <c:v>-14.858915501053946</c:v>
                </c:pt>
                <c:pt idx="31">
                  <c:v>-14.631835242097543</c:v>
                </c:pt>
                <c:pt idx="32">
                  <c:v>-14.890784113006342</c:v>
                </c:pt>
                <c:pt idx="33">
                  <c:v>-14.554219988069555</c:v>
                </c:pt>
                <c:pt idx="34">
                  <c:v>-13.634889219053351</c:v>
                </c:pt>
                <c:pt idx="35">
                  <c:v>-14.31774911661679</c:v>
                </c:pt>
                <c:pt idx="36">
                  <c:v>-14.349069353465705</c:v>
                </c:pt>
                <c:pt idx="37">
                  <c:v>-13.069001360921401</c:v>
                </c:pt>
                <c:pt idx="38">
                  <c:v>-12.930404475772296</c:v>
                </c:pt>
                <c:pt idx="39">
                  <c:v>-12.788506850590849</c:v>
                </c:pt>
                <c:pt idx="40">
                  <c:v>-10.618235305338072</c:v>
                </c:pt>
                <c:pt idx="41">
                  <c:v>-12.577830456641067</c:v>
                </c:pt>
                <c:pt idx="42">
                  <c:v>-12.755801743145009</c:v>
                </c:pt>
                <c:pt idx="43">
                  <c:v>-11.05932117831035</c:v>
                </c:pt>
                <c:pt idx="44">
                  <c:v>-10.593620920661118</c:v>
                </c:pt>
                <c:pt idx="45">
                  <c:v>-10.196401908079155</c:v>
                </c:pt>
                <c:pt idx="46">
                  <c:v>-9.3427316275046959</c:v>
                </c:pt>
                <c:pt idx="47">
                  <c:v>-8.3663331528461509</c:v>
                </c:pt>
                <c:pt idx="48">
                  <c:v>-8.6066111244607271</c:v>
                </c:pt>
                <c:pt idx="49">
                  <c:v>-8.3169398884059547</c:v>
                </c:pt>
                <c:pt idx="50">
                  <c:v>-6.6883729360234412</c:v>
                </c:pt>
                <c:pt idx="51">
                  <c:v>-8.5084991278446065</c:v>
                </c:pt>
                <c:pt idx="52">
                  <c:v>-7.7508959571834266</c:v>
                </c:pt>
                <c:pt idx="53">
                  <c:v>-7.1746338794166089</c:v>
                </c:pt>
                <c:pt idx="54">
                  <c:v>-8.0430196427684226</c:v>
                </c:pt>
                <c:pt idx="55">
                  <c:v>-7.072754667553399</c:v>
                </c:pt>
                <c:pt idx="56">
                  <c:v>-7.6171204486965767</c:v>
                </c:pt>
                <c:pt idx="57">
                  <c:v>-7.3371829236410928</c:v>
                </c:pt>
                <c:pt idx="58">
                  <c:v>-7.0635853843778298</c:v>
                </c:pt>
                <c:pt idx="59">
                  <c:v>-6.3784022307344204</c:v>
                </c:pt>
                <c:pt idx="60">
                  <c:v>-6.3749354174772916</c:v>
                </c:pt>
                <c:pt idx="61">
                  <c:v>-5.7717049369104654</c:v>
                </c:pt>
                <c:pt idx="62">
                  <c:v>-4.9345914221409739</c:v>
                </c:pt>
                <c:pt idx="63">
                  <c:v>-4.6068253995458663</c:v>
                </c:pt>
                <c:pt idx="64">
                  <c:v>-4.8235826628512015</c:v>
                </c:pt>
                <c:pt idx="65">
                  <c:v>-4.254098269375155</c:v>
                </c:pt>
                <c:pt idx="66">
                  <c:v>-4.19957202542665</c:v>
                </c:pt>
                <c:pt idx="67">
                  <c:v>-3.0671249824719942</c:v>
                </c:pt>
                <c:pt idx="68">
                  <c:v>-2.482569605377003</c:v>
                </c:pt>
                <c:pt idx="69">
                  <c:v>1.655129448851334</c:v>
                </c:pt>
                <c:pt idx="70">
                  <c:v>2.9844209307401734</c:v>
                </c:pt>
                <c:pt idx="71">
                  <c:v>2.934990806760978</c:v>
                </c:pt>
                <c:pt idx="72">
                  <c:v>2.7913706373251652</c:v>
                </c:pt>
                <c:pt idx="73">
                  <c:v>3.4717040395305441</c:v>
                </c:pt>
                <c:pt idx="74">
                  <c:v>5.4732038534568535</c:v>
                </c:pt>
                <c:pt idx="75">
                  <c:v>4.905655747531334</c:v>
                </c:pt>
                <c:pt idx="76">
                  <c:v>3.3794718735221085</c:v>
                </c:pt>
                <c:pt idx="77">
                  <c:v>6.0130015803890471</c:v>
                </c:pt>
                <c:pt idx="78">
                  <c:v>3.8146578516322536</c:v>
                </c:pt>
                <c:pt idx="79">
                  <c:v>3.0913979518371115</c:v>
                </c:pt>
                <c:pt idx="80">
                  <c:v>2.236314912825319</c:v>
                </c:pt>
                <c:pt idx="81">
                  <c:v>1.2565885840165947</c:v>
                </c:pt>
                <c:pt idx="82">
                  <c:v>1.7849427934876729</c:v>
                </c:pt>
                <c:pt idx="83">
                  <c:v>1.084663053371542</c:v>
                </c:pt>
                <c:pt idx="84">
                  <c:v>2.0468275437483356</c:v>
                </c:pt>
                <c:pt idx="85">
                  <c:v>3.9925929937815137</c:v>
                </c:pt>
                <c:pt idx="86">
                  <c:v>1.3933932300148568</c:v>
                </c:pt>
                <c:pt idx="87">
                  <c:v>1.5435782853324445</c:v>
                </c:pt>
                <c:pt idx="88">
                  <c:v>0.6068157282612926</c:v>
                </c:pt>
                <c:pt idx="89">
                  <c:v>0.47769510517786479</c:v>
                </c:pt>
                <c:pt idx="90">
                  <c:v>0.95600317065010143</c:v>
                </c:pt>
                <c:pt idx="91">
                  <c:v>2.5066076643246111</c:v>
                </c:pt>
                <c:pt idx="92">
                  <c:v>2.2534638881524676</c:v>
                </c:pt>
                <c:pt idx="93">
                  <c:v>1.6270265176685152</c:v>
                </c:pt>
                <c:pt idx="94">
                  <c:v>1.35114489449946</c:v>
                </c:pt>
                <c:pt idx="95">
                  <c:v>0.59781081954139792</c:v>
                </c:pt>
                <c:pt idx="96">
                  <c:v>0.66408629365504235</c:v>
                </c:pt>
                <c:pt idx="97">
                  <c:v>1.3885557346911663</c:v>
                </c:pt>
                <c:pt idx="98">
                  <c:v>1.2297391919372345</c:v>
                </c:pt>
                <c:pt idx="99">
                  <c:v>1.4823058618462985</c:v>
                </c:pt>
                <c:pt idx="100">
                  <c:v>2.6742459052449306</c:v>
                </c:pt>
                <c:pt idx="101">
                  <c:v>2.8872510214341887</c:v>
                </c:pt>
                <c:pt idx="102">
                  <c:v>4.6811898377616119</c:v>
                </c:pt>
                <c:pt idx="103">
                  <c:v>5.3300702938843596</c:v>
                </c:pt>
                <c:pt idx="104">
                  <c:v>5.6006783932313828</c:v>
                </c:pt>
                <c:pt idx="105">
                  <c:v>6.385519519011849</c:v>
                </c:pt>
                <c:pt idx="106">
                  <c:v>5.999598875970733</c:v>
                </c:pt>
                <c:pt idx="107">
                  <c:v>7.8153745142548177</c:v>
                </c:pt>
                <c:pt idx="108">
                  <c:v>6.8986143278518837</c:v>
                </c:pt>
                <c:pt idx="109">
                  <c:v>6.3321691803363001</c:v>
                </c:pt>
                <c:pt idx="110">
                  <c:v>9.1542715583561325</c:v>
                </c:pt>
                <c:pt idx="111">
                  <c:v>9.6024983568938787</c:v>
                </c:pt>
                <c:pt idx="112">
                  <c:v>9.8187424034387689</c:v>
                </c:pt>
                <c:pt idx="113">
                  <c:v>10.190094726960769</c:v>
                </c:pt>
                <c:pt idx="114">
                  <c:v>11.15414963224727</c:v>
                </c:pt>
                <c:pt idx="115">
                  <c:v>11.156840979029765</c:v>
                </c:pt>
                <c:pt idx="116">
                  <c:v>12.305259506013211</c:v>
                </c:pt>
                <c:pt idx="117">
                  <c:v>11.272471769831945</c:v>
                </c:pt>
                <c:pt idx="118">
                  <c:v>11.736435292587824</c:v>
                </c:pt>
                <c:pt idx="119">
                  <c:v>11.662201634509577</c:v>
                </c:pt>
                <c:pt idx="120">
                  <c:v>12.520340874087497</c:v>
                </c:pt>
                <c:pt idx="121">
                  <c:v>12.406921447986443</c:v>
                </c:pt>
                <c:pt idx="122">
                  <c:v>12.742919151573645</c:v>
                </c:pt>
                <c:pt idx="123">
                  <c:v>13.013129547586363</c:v>
                </c:pt>
                <c:pt idx="124">
                  <c:v>13.71888228600108</c:v>
                </c:pt>
                <c:pt idx="125">
                  <c:v>15.610234228096735</c:v>
                </c:pt>
                <c:pt idx="126">
                  <c:v>15.841062357151689</c:v>
                </c:pt>
                <c:pt idx="127">
                  <c:v>15.789108914301849</c:v>
                </c:pt>
                <c:pt idx="128">
                  <c:v>18.413852685899158</c:v>
                </c:pt>
                <c:pt idx="129">
                  <c:v>16.505930050628724</c:v>
                </c:pt>
                <c:pt idx="130">
                  <c:v>15.352068128598898</c:v>
                </c:pt>
                <c:pt idx="131">
                  <c:v>13.783736485348857</c:v>
                </c:pt>
                <c:pt idx="132">
                  <c:v>13.825265715776593</c:v>
                </c:pt>
                <c:pt idx="133">
                  <c:v>13.992245731522207</c:v>
                </c:pt>
                <c:pt idx="134">
                  <c:v>11.951080985048314</c:v>
                </c:pt>
                <c:pt idx="135">
                  <c:v>9.3869995839138785</c:v>
                </c:pt>
                <c:pt idx="136">
                  <c:v>9.0959879396685128</c:v>
                </c:pt>
                <c:pt idx="137">
                  <c:v>12.513711635450123</c:v>
                </c:pt>
                <c:pt idx="138">
                  <c:v>8.9453670151408176</c:v>
                </c:pt>
                <c:pt idx="139">
                  <c:v>8.8683695592365197</c:v>
                </c:pt>
                <c:pt idx="140">
                  <c:v>8.3429310116445521</c:v>
                </c:pt>
                <c:pt idx="141">
                  <c:v>10.404052311415219</c:v>
                </c:pt>
                <c:pt idx="142">
                  <c:v>9.6835144299919609</c:v>
                </c:pt>
                <c:pt idx="143">
                  <c:v>9.2970381409928464</c:v>
                </c:pt>
                <c:pt idx="144">
                  <c:v>9.5879391058199399</c:v>
                </c:pt>
                <c:pt idx="145">
                  <c:v>9.7596116274858264</c:v>
                </c:pt>
                <c:pt idx="146">
                  <c:v>9.9001885042018891</c:v>
                </c:pt>
                <c:pt idx="147">
                  <c:v>9.8992466031602149</c:v>
                </c:pt>
                <c:pt idx="148">
                  <c:v>8.5653675735028116</c:v>
                </c:pt>
                <c:pt idx="149">
                  <c:v>7.6988236064100546</c:v>
                </c:pt>
                <c:pt idx="150">
                  <c:v>9.7016210558946963</c:v>
                </c:pt>
                <c:pt idx="151">
                  <c:v>10.904385348221869</c:v>
                </c:pt>
                <c:pt idx="152">
                  <c:v>10.537112017160712</c:v>
                </c:pt>
                <c:pt idx="153">
                  <c:v>9.3959747446795774</c:v>
                </c:pt>
                <c:pt idx="154">
                  <c:v>6.5311115447018881</c:v>
                </c:pt>
                <c:pt idx="155">
                  <c:v>6.3338652554465122</c:v>
                </c:pt>
                <c:pt idx="156">
                  <c:v>6.5724513538729354</c:v>
                </c:pt>
                <c:pt idx="157">
                  <c:v>6.7329478552575299</c:v>
                </c:pt>
                <c:pt idx="158">
                  <c:v>4.1328240322273944</c:v>
                </c:pt>
                <c:pt idx="159">
                  <c:v>2.8694188126364337</c:v>
                </c:pt>
                <c:pt idx="160">
                  <c:v>3.0098773278599342</c:v>
                </c:pt>
                <c:pt idx="161">
                  <c:v>3.2400414053593694</c:v>
                </c:pt>
                <c:pt idx="162">
                  <c:v>2.9346361206552838</c:v>
                </c:pt>
                <c:pt idx="163">
                  <c:v>4.7907308383268683</c:v>
                </c:pt>
                <c:pt idx="164">
                  <c:v>4.1381987781597172</c:v>
                </c:pt>
                <c:pt idx="165">
                  <c:v>2.7496997337763713</c:v>
                </c:pt>
                <c:pt idx="166">
                  <c:v>1.6955169470925187</c:v>
                </c:pt>
                <c:pt idx="167">
                  <c:v>0.91528727878101102</c:v>
                </c:pt>
                <c:pt idx="168">
                  <c:v>0.3553547969352574</c:v>
                </c:pt>
                <c:pt idx="169">
                  <c:v>-1.1925356841024299</c:v>
                </c:pt>
                <c:pt idx="170">
                  <c:v>-0.59437512308511609</c:v>
                </c:pt>
                <c:pt idx="171">
                  <c:v>1.1636336800964937</c:v>
                </c:pt>
                <c:pt idx="172">
                  <c:v>1.1291040627856475</c:v>
                </c:pt>
                <c:pt idx="173">
                  <c:v>1.0544698126668635</c:v>
                </c:pt>
                <c:pt idx="174">
                  <c:v>1.1740669776922725</c:v>
                </c:pt>
                <c:pt idx="175">
                  <c:v>1.1662472538948714</c:v>
                </c:pt>
                <c:pt idx="176">
                  <c:v>0.47027288827774827</c:v>
                </c:pt>
                <c:pt idx="177">
                  <c:v>1.4045803468981304</c:v>
                </c:pt>
                <c:pt idx="178">
                  <c:v>2.6354500624988555</c:v>
                </c:pt>
                <c:pt idx="179">
                  <c:v>5.9669243456801846</c:v>
                </c:pt>
                <c:pt idx="180">
                  <c:v>2.9882868757053944</c:v>
                </c:pt>
                <c:pt idx="181">
                  <c:v>2.4006661526860844</c:v>
                </c:pt>
                <c:pt idx="182">
                  <c:v>0.85489988100705427</c:v>
                </c:pt>
                <c:pt idx="183">
                  <c:v>-0.70873230354520877</c:v>
                </c:pt>
                <c:pt idx="184">
                  <c:v>0.69738297942530014</c:v>
                </c:pt>
                <c:pt idx="185">
                  <c:v>0.84378128950811193</c:v>
                </c:pt>
                <c:pt idx="186">
                  <c:v>0.59716204399851414</c:v>
                </c:pt>
                <c:pt idx="187">
                  <c:v>1.6341736325895115</c:v>
                </c:pt>
                <c:pt idx="188">
                  <c:v>2.075632668570377</c:v>
                </c:pt>
                <c:pt idx="189">
                  <c:v>-0.30514950612009167</c:v>
                </c:pt>
                <c:pt idx="190">
                  <c:v>0.44472715683035352</c:v>
                </c:pt>
                <c:pt idx="191">
                  <c:v>-0.54848158294609439</c:v>
                </c:pt>
                <c:pt idx="192">
                  <c:v>-0.59655250096058043</c:v>
                </c:pt>
                <c:pt idx="193">
                  <c:v>-1.6376873785303792</c:v>
                </c:pt>
                <c:pt idx="194">
                  <c:v>-3.4176357273377445</c:v>
                </c:pt>
                <c:pt idx="195">
                  <c:v>-3.0800627140087502</c:v>
                </c:pt>
                <c:pt idx="196">
                  <c:v>-2.4124931930514282</c:v>
                </c:pt>
                <c:pt idx="197">
                  <c:v>-3.2659951432627503</c:v>
                </c:pt>
                <c:pt idx="198">
                  <c:v>-1.1707801358386181</c:v>
                </c:pt>
                <c:pt idx="199">
                  <c:v>-4.4792873038039485</c:v>
                </c:pt>
                <c:pt idx="200">
                  <c:v>-4.6459792926010701</c:v>
                </c:pt>
                <c:pt idx="201">
                  <c:v>-4.2836573921494905</c:v>
                </c:pt>
                <c:pt idx="202">
                  <c:v>-4.017084913738028</c:v>
                </c:pt>
                <c:pt idx="203">
                  <c:v>-3.880069278402281</c:v>
                </c:pt>
                <c:pt idx="204">
                  <c:v>-3.7680760038951098</c:v>
                </c:pt>
                <c:pt idx="205">
                  <c:v>-3.7407253170935095</c:v>
                </c:pt>
                <c:pt idx="206">
                  <c:v>-2.5839022355937762</c:v>
                </c:pt>
                <c:pt idx="207">
                  <c:v>-2.6055213726129041</c:v>
                </c:pt>
                <c:pt idx="208">
                  <c:v>-2.3032230335063208</c:v>
                </c:pt>
                <c:pt idx="209">
                  <c:v>-1.744132083840231</c:v>
                </c:pt>
                <c:pt idx="210">
                  <c:v>-3.2652309267608564</c:v>
                </c:pt>
                <c:pt idx="211">
                  <c:v>-3.0846727434971002</c:v>
                </c:pt>
                <c:pt idx="212">
                  <c:v>-3.484082707475475</c:v>
                </c:pt>
                <c:pt idx="213">
                  <c:v>-3.1711566376221452</c:v>
                </c:pt>
                <c:pt idx="214">
                  <c:v>-4.3340425491856349</c:v>
                </c:pt>
                <c:pt idx="215">
                  <c:v>-3.8363935465851915</c:v>
                </c:pt>
                <c:pt idx="216">
                  <c:v>-2.2946518183238132</c:v>
                </c:pt>
                <c:pt idx="217">
                  <c:v>-2.9265582335329232</c:v>
                </c:pt>
                <c:pt idx="218">
                  <c:v>-2.159805946747718</c:v>
                </c:pt>
                <c:pt idx="219">
                  <c:v>-1.9487851184138156</c:v>
                </c:pt>
                <c:pt idx="220">
                  <c:v>-1.9320664058493822</c:v>
                </c:pt>
                <c:pt idx="221">
                  <c:v>-0.97107841127777716</c:v>
                </c:pt>
                <c:pt idx="222">
                  <c:v>-0.7572618686482383</c:v>
                </c:pt>
                <c:pt idx="223">
                  <c:v>-1.3768630730571023</c:v>
                </c:pt>
                <c:pt idx="224">
                  <c:v>-0.77881434511916503</c:v>
                </c:pt>
                <c:pt idx="225">
                  <c:v>-0.53502576878553432</c:v>
                </c:pt>
                <c:pt idx="226">
                  <c:v>-0.50572172920409464</c:v>
                </c:pt>
                <c:pt idx="227">
                  <c:v>-0.65312298259794588</c:v>
                </c:pt>
                <c:pt idx="228">
                  <c:v>-0.48359383404635353</c:v>
                </c:pt>
                <c:pt idx="229">
                  <c:v>-1.0640133474486067</c:v>
                </c:pt>
                <c:pt idx="230">
                  <c:v>-0.21929103683794035</c:v>
                </c:pt>
                <c:pt idx="231">
                  <c:v>0.54727262534076304</c:v>
                </c:pt>
                <c:pt idx="232">
                  <c:v>-9.3034580324565977E-2</c:v>
                </c:pt>
                <c:pt idx="233">
                  <c:v>-0.61394412133152521</c:v>
                </c:pt>
                <c:pt idx="234">
                  <c:v>-0.62599151400664321</c:v>
                </c:pt>
                <c:pt idx="235">
                  <c:v>-0.36537792687192633</c:v>
                </c:pt>
                <c:pt idx="236">
                  <c:v>0.29239343030324538</c:v>
                </c:pt>
                <c:pt idx="237">
                  <c:v>2.0269363886069773</c:v>
                </c:pt>
                <c:pt idx="238">
                  <c:v>1.9762884434928221</c:v>
                </c:pt>
                <c:pt idx="239">
                  <c:v>2.1894736347488517</c:v>
                </c:pt>
                <c:pt idx="240">
                  <c:v>2.9157988010352782</c:v>
                </c:pt>
                <c:pt idx="241">
                  <c:v>4.3095473228169876</c:v>
                </c:pt>
                <c:pt idx="242">
                  <c:v>5.566710919346459</c:v>
                </c:pt>
                <c:pt idx="243">
                  <c:v>5.6860651320463891</c:v>
                </c:pt>
                <c:pt idx="244">
                  <c:v>6.2182397536921155</c:v>
                </c:pt>
                <c:pt idx="245">
                  <c:v>6.5978330804205898</c:v>
                </c:pt>
                <c:pt idx="246">
                  <c:v>8.3259309627240743</c:v>
                </c:pt>
                <c:pt idx="247">
                  <c:v>8.3662497237700997</c:v>
                </c:pt>
                <c:pt idx="248">
                  <c:v>9.1037768900138172</c:v>
                </c:pt>
                <c:pt idx="249">
                  <c:v>10.441684037350644</c:v>
                </c:pt>
                <c:pt idx="250">
                  <c:v>9.9044028947770286</c:v>
                </c:pt>
                <c:pt idx="251">
                  <c:v>10.545513161551133</c:v>
                </c:pt>
                <c:pt idx="252">
                  <c:v>10.722249766946641</c:v>
                </c:pt>
                <c:pt idx="253">
                  <c:v>12.162096044329125</c:v>
                </c:pt>
                <c:pt idx="254">
                  <c:v>12.423656127761147</c:v>
                </c:pt>
                <c:pt idx="255">
                  <c:v>13.824908359376678</c:v>
                </c:pt>
                <c:pt idx="256">
                  <c:v>14.879351662910745</c:v>
                </c:pt>
                <c:pt idx="257">
                  <c:v>15.28558989368628</c:v>
                </c:pt>
                <c:pt idx="258">
                  <c:v>13.668479862454102</c:v>
                </c:pt>
                <c:pt idx="259">
                  <c:v>12.373940846355797</c:v>
                </c:pt>
                <c:pt idx="260">
                  <c:v>11.780485883089566</c:v>
                </c:pt>
                <c:pt idx="261">
                  <c:v>12.177807269431481</c:v>
                </c:pt>
                <c:pt idx="262">
                  <c:v>16.329849345997388</c:v>
                </c:pt>
                <c:pt idx="263">
                  <c:v>14.379531945864201</c:v>
                </c:pt>
                <c:pt idx="264">
                  <c:v>12.426064891157386</c:v>
                </c:pt>
                <c:pt idx="265">
                  <c:v>12.621595735089466</c:v>
                </c:pt>
                <c:pt idx="266">
                  <c:v>12.005573859303999</c:v>
                </c:pt>
                <c:pt idx="267">
                  <c:v>10.661890454068949</c:v>
                </c:pt>
                <c:pt idx="268">
                  <c:v>10.272931922346729</c:v>
                </c:pt>
                <c:pt idx="269">
                  <c:v>10.012861466993375</c:v>
                </c:pt>
                <c:pt idx="270">
                  <c:v>10.365238117813561</c:v>
                </c:pt>
                <c:pt idx="271">
                  <c:v>10.696792264914734</c:v>
                </c:pt>
                <c:pt idx="272">
                  <c:v>9.0688896100230991</c:v>
                </c:pt>
                <c:pt idx="273">
                  <c:v>8.1119549911442803</c:v>
                </c:pt>
                <c:pt idx="274">
                  <c:v>8.3175967549715644</c:v>
                </c:pt>
                <c:pt idx="275">
                  <c:v>9.8727733643097526</c:v>
                </c:pt>
                <c:pt idx="276">
                  <c:v>7.5782320506805902</c:v>
                </c:pt>
                <c:pt idx="277">
                  <c:v>7.5447033707353768</c:v>
                </c:pt>
                <c:pt idx="278">
                  <c:v>7.2892899515916154</c:v>
                </c:pt>
                <c:pt idx="279">
                  <c:v>6.6991255031122394</c:v>
                </c:pt>
                <c:pt idx="280">
                  <c:v>8.9258354144073344</c:v>
                </c:pt>
                <c:pt idx="281">
                  <c:v>8.3271377288507384</c:v>
                </c:pt>
                <c:pt idx="282">
                  <c:v>6.6748769601851663</c:v>
                </c:pt>
                <c:pt idx="283">
                  <c:v>6.9843532934105292</c:v>
                </c:pt>
                <c:pt idx="284">
                  <c:v>5.0534830735971328</c:v>
                </c:pt>
                <c:pt idx="285">
                  <c:v>4.4579828593352966</c:v>
                </c:pt>
                <c:pt idx="286">
                  <c:v>3.6964724982196886</c:v>
                </c:pt>
                <c:pt idx="287">
                  <c:v>2.7767512559882181</c:v>
                </c:pt>
                <c:pt idx="288">
                  <c:v>2.4165062264518919</c:v>
                </c:pt>
                <c:pt idx="289">
                  <c:v>1.7665675669807586</c:v>
                </c:pt>
                <c:pt idx="290">
                  <c:v>1.1209384703110885</c:v>
                </c:pt>
                <c:pt idx="291">
                  <c:v>0.95026925146053398</c:v>
                </c:pt>
                <c:pt idx="292">
                  <c:v>2.222669842418973</c:v>
                </c:pt>
                <c:pt idx="293">
                  <c:v>2.6226543609874358</c:v>
                </c:pt>
                <c:pt idx="294">
                  <c:v>1.7606729862190611</c:v>
                </c:pt>
                <c:pt idx="295">
                  <c:v>1.3420779983694076</c:v>
                </c:pt>
                <c:pt idx="296">
                  <c:v>1.8163588129269956</c:v>
                </c:pt>
                <c:pt idx="297">
                  <c:v>0.83551118928964629</c:v>
                </c:pt>
                <c:pt idx="298">
                  <c:v>0.57131178394267101</c:v>
                </c:pt>
                <c:pt idx="299">
                  <c:v>0.67050289729577328</c:v>
                </c:pt>
                <c:pt idx="300">
                  <c:v>1.0299465574325106</c:v>
                </c:pt>
                <c:pt idx="301">
                  <c:v>0.44711246654025283</c:v>
                </c:pt>
                <c:pt idx="302">
                  <c:v>0.80500355638343135</c:v>
                </c:pt>
                <c:pt idx="303">
                  <c:v>-0.3195069348416813</c:v>
                </c:pt>
                <c:pt idx="304">
                  <c:v>0.16930583620922415</c:v>
                </c:pt>
                <c:pt idx="305">
                  <c:v>-1.3920549675198415</c:v>
                </c:pt>
                <c:pt idx="306">
                  <c:v>0.83016982899960701</c:v>
                </c:pt>
                <c:pt idx="307">
                  <c:v>-8.5903282877305101E-2</c:v>
                </c:pt>
                <c:pt idx="308">
                  <c:v>-1.1000545019719832</c:v>
                </c:pt>
                <c:pt idx="309">
                  <c:v>-0.98522533031041637</c:v>
                </c:pt>
                <c:pt idx="310">
                  <c:v>-0.63781265663333231</c:v>
                </c:pt>
                <c:pt idx="311">
                  <c:v>0.68354027819750784</c:v>
                </c:pt>
                <c:pt idx="312">
                  <c:v>-0.3659969319993841</c:v>
                </c:pt>
                <c:pt idx="313">
                  <c:v>-0.87900318998687577</c:v>
                </c:pt>
                <c:pt idx="314">
                  <c:v>-0.41510940896376863</c:v>
                </c:pt>
                <c:pt idx="315">
                  <c:v>-0.30609473460124575</c:v>
                </c:pt>
                <c:pt idx="316">
                  <c:v>0.16630740122171356</c:v>
                </c:pt>
                <c:pt idx="317">
                  <c:v>0.65804659898834583</c:v>
                </c:pt>
                <c:pt idx="318">
                  <c:v>-0.72425887894097685</c:v>
                </c:pt>
                <c:pt idx="319">
                  <c:v>-1.1017349463595176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'240814A009'!$A$2:$A$321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'240814A009'!$J$2:$J$321</c:f>
              <c:numCache>
                <c:formatCode>0.0</c:formatCode>
                <c:ptCount val="320"/>
                <c:pt idx="0">
                  <c:v>802.72322435174999</c:v>
                </c:pt>
                <c:pt idx="1">
                  <c:v>772.86245772266</c:v>
                </c:pt>
                <c:pt idx="2">
                  <c:v>742.96110484780002</c:v>
                </c:pt>
                <c:pt idx="3">
                  <c:v>736.78692220970004</c:v>
                </c:pt>
                <c:pt idx="4">
                  <c:v>698.61499436302006</c:v>
                </c:pt>
                <c:pt idx="5">
                  <c:v>678.30326944756996</c:v>
                </c:pt>
                <c:pt idx="6">
                  <c:v>675.62965050732998</c:v>
                </c:pt>
                <c:pt idx="7">
                  <c:v>826.00563697858001</c:v>
                </c:pt>
                <c:pt idx="8">
                  <c:v>832.10428410371992</c:v>
                </c:pt>
                <c:pt idx="9">
                  <c:v>1318.28969489056</c:v>
                </c:pt>
                <c:pt idx="10">
                  <c:v>1328.98170272383</c:v>
                </c:pt>
                <c:pt idx="11">
                  <c:v>1353.66490261894</c:v>
                </c:pt>
                <c:pt idx="12">
                  <c:v>1353.42295026485</c:v>
                </c:pt>
                <c:pt idx="13">
                  <c:v>1347.36569866727</c:v>
                </c:pt>
                <c:pt idx="14">
                  <c:v>1317.27868814916</c:v>
                </c:pt>
                <c:pt idx="15">
                  <c:v>1310.9920586042101</c:v>
                </c:pt>
                <c:pt idx="16">
                  <c:v>1263.6821914740501</c:v>
                </c:pt>
                <c:pt idx="17">
                  <c:v>1326.7002577995602</c:v>
                </c:pt>
                <c:pt idx="18">
                  <c:v>1284.14350500455</c:v>
                </c:pt>
                <c:pt idx="19">
                  <c:v>1263.4038171122099</c:v>
                </c:pt>
                <c:pt idx="20">
                  <c:v>1185.23887829509</c:v>
                </c:pt>
                <c:pt idx="21">
                  <c:v>1318.9999765522</c:v>
                </c:pt>
                <c:pt idx="22">
                  <c:v>1408.5563273262999</c:v>
                </c:pt>
                <c:pt idx="23">
                  <c:v>1376.95808229931</c:v>
                </c:pt>
                <c:pt idx="24">
                  <c:v>1286.1810074541002</c:v>
                </c:pt>
                <c:pt idx="25">
                  <c:v>1304.7750209318699</c:v>
                </c:pt>
                <c:pt idx="26">
                  <c:v>1397.25417238208</c:v>
                </c:pt>
                <c:pt idx="27">
                  <c:v>1271.7504493404299</c:v>
                </c:pt>
                <c:pt idx="28">
                  <c:v>1293.83231876174</c:v>
                </c:pt>
                <c:pt idx="29">
                  <c:v>1299.8656372069599</c:v>
                </c:pt>
                <c:pt idx="30">
                  <c:v>1268.6171355901001</c:v>
                </c:pt>
                <c:pt idx="31">
                  <c:v>1323.46052053072</c:v>
                </c:pt>
                <c:pt idx="32">
                  <c:v>1345.07666290866</c:v>
                </c:pt>
                <c:pt idx="33">
                  <c:v>1502.9325435215399</c:v>
                </c:pt>
                <c:pt idx="34">
                  <c:v>1484.9966438394299</c:v>
                </c:pt>
                <c:pt idx="35">
                  <c:v>1393.3645954311401</c:v>
                </c:pt>
                <c:pt idx="36">
                  <c:v>1405.6342249265099</c:v>
                </c:pt>
                <c:pt idx="37">
                  <c:v>1380.2031907138298</c:v>
                </c:pt>
                <c:pt idx="38">
                  <c:v>1465.54635876522</c:v>
                </c:pt>
                <c:pt idx="39">
                  <c:v>1499.8830554957699</c:v>
                </c:pt>
                <c:pt idx="40">
                  <c:v>1543.5332258718302</c:v>
                </c:pt>
                <c:pt idx="41">
                  <c:v>1491.80281658384</c:v>
                </c:pt>
                <c:pt idx="42">
                  <c:v>1456.59183479679</c:v>
                </c:pt>
                <c:pt idx="43">
                  <c:v>1550.6786553821501</c:v>
                </c:pt>
                <c:pt idx="44">
                  <c:v>1473.04762659382</c:v>
                </c:pt>
                <c:pt idx="45">
                  <c:v>1457.8033579203002</c:v>
                </c:pt>
                <c:pt idx="46">
                  <c:v>1489.78512052519</c:v>
                </c:pt>
                <c:pt idx="47">
                  <c:v>1487.95227972118</c:v>
                </c:pt>
                <c:pt idx="48">
                  <c:v>1512.92652428669</c:v>
                </c:pt>
                <c:pt idx="49">
                  <c:v>1500.9482471378501</c:v>
                </c:pt>
                <c:pt idx="50">
                  <c:v>1367.49711958331</c:v>
                </c:pt>
                <c:pt idx="51">
                  <c:v>1457.6171450480501</c:v>
                </c:pt>
                <c:pt idx="52">
                  <c:v>1479.9305356653499</c:v>
                </c:pt>
                <c:pt idx="53">
                  <c:v>1440.2326453426599</c:v>
                </c:pt>
                <c:pt idx="54">
                  <c:v>1385.77514616452</c:v>
                </c:pt>
                <c:pt idx="55">
                  <c:v>1378.46780514386</c:v>
                </c:pt>
                <c:pt idx="56">
                  <c:v>1331.83739861821</c:v>
                </c:pt>
                <c:pt idx="57">
                  <c:v>1420.9921000100999</c:v>
                </c:pt>
                <c:pt idx="58">
                  <c:v>1348.7691284658101</c:v>
                </c:pt>
                <c:pt idx="59">
                  <c:v>1307.4148816234999</c:v>
                </c:pt>
                <c:pt idx="60">
                  <c:v>1330.6837655017398</c:v>
                </c:pt>
                <c:pt idx="61">
                  <c:v>1338.90868094705</c:v>
                </c:pt>
                <c:pt idx="62">
                  <c:v>1404.25591882752</c:v>
                </c:pt>
                <c:pt idx="63">
                  <c:v>1332.1693904114602</c:v>
                </c:pt>
                <c:pt idx="64">
                  <c:v>1288.25781880401</c:v>
                </c:pt>
                <c:pt idx="65">
                  <c:v>1343.71402130262</c:v>
                </c:pt>
                <c:pt idx="66">
                  <c:v>1368.67925591881</c:v>
                </c:pt>
                <c:pt idx="67">
                  <c:v>1412.4360342586001</c:v>
                </c:pt>
                <c:pt idx="68">
                  <c:v>1477.0312222817001</c:v>
                </c:pt>
                <c:pt idx="69">
                  <c:v>1481.5254828125701</c:v>
                </c:pt>
                <c:pt idx="70">
                  <c:v>1389.9470636465801</c:v>
                </c:pt>
                <c:pt idx="71">
                  <c:v>1504.5053873273398</c:v>
                </c:pt>
                <c:pt idx="72">
                  <c:v>1516.7468628643699</c:v>
                </c:pt>
                <c:pt idx="73">
                  <c:v>1532.7402878697098</c:v>
                </c:pt>
                <c:pt idx="74">
                  <c:v>1505.9445701335999</c:v>
                </c:pt>
                <c:pt idx="75">
                  <c:v>1566.35419861328</c:v>
                </c:pt>
                <c:pt idx="76">
                  <c:v>1576.8736798564601</c:v>
                </c:pt>
                <c:pt idx="77">
                  <c:v>1576.7398466030002</c:v>
                </c:pt>
                <c:pt idx="78">
                  <c:v>1573.94823014144</c:v>
                </c:pt>
                <c:pt idx="79">
                  <c:v>1445.3530370972001</c:v>
                </c:pt>
                <c:pt idx="80">
                  <c:v>1427.2965050732801</c:v>
                </c:pt>
                <c:pt idx="81">
                  <c:v>1422.1257803334299</c:v>
                </c:pt>
                <c:pt idx="82">
                  <c:v>1475.25531886465</c:v>
                </c:pt>
                <c:pt idx="83">
                  <c:v>1487.7810657325101</c:v>
                </c:pt>
                <c:pt idx="84">
                  <c:v>1514.7147790635499</c:v>
                </c:pt>
                <c:pt idx="85">
                  <c:v>1452.2039190513201</c:v>
                </c:pt>
                <c:pt idx="86">
                  <c:v>1338.41799065583</c:v>
                </c:pt>
                <c:pt idx="87">
                  <c:v>1334.6545414192701</c:v>
                </c:pt>
                <c:pt idx="88">
                  <c:v>1478.5611022553301</c:v>
                </c:pt>
                <c:pt idx="89">
                  <c:v>1443.0518602028999</c:v>
                </c:pt>
                <c:pt idx="90">
                  <c:v>1385.8568207441301</c:v>
                </c:pt>
                <c:pt idx="91">
                  <c:v>1397.0411499436</c:v>
                </c:pt>
                <c:pt idx="92">
                  <c:v>1391.59798931864</c:v>
                </c:pt>
                <c:pt idx="93">
                  <c:v>1402.8698849903301</c:v>
                </c:pt>
                <c:pt idx="94">
                  <c:v>1427.59609258208</c:v>
                </c:pt>
                <c:pt idx="95">
                  <c:v>1381.2177965022202</c:v>
                </c:pt>
                <c:pt idx="96">
                  <c:v>1465.6783145212298</c:v>
                </c:pt>
                <c:pt idx="97">
                  <c:v>1411.1712237776201</c:v>
                </c:pt>
                <c:pt idx="98">
                  <c:v>1457.4771928416201</c:v>
                </c:pt>
                <c:pt idx="99">
                  <c:v>1478.84726064336</c:v>
                </c:pt>
                <c:pt idx="100">
                  <c:v>1427.8802698770801</c:v>
                </c:pt>
                <c:pt idx="101">
                  <c:v>1443.3542040059801</c:v>
                </c:pt>
                <c:pt idx="102">
                  <c:v>1389.25491356106</c:v>
                </c:pt>
                <c:pt idx="103">
                  <c:v>1419.2407748006299</c:v>
                </c:pt>
                <c:pt idx="104">
                  <c:v>1381.2837296155399</c:v>
                </c:pt>
                <c:pt idx="105">
                  <c:v>1390.7941990366198</c:v>
                </c:pt>
                <c:pt idx="106">
                  <c:v>1346.6797642336501</c:v>
                </c:pt>
                <c:pt idx="107">
                  <c:v>1469.39399360996</c:v>
                </c:pt>
                <c:pt idx="108">
                  <c:v>1458.84418832591</c:v>
                </c:pt>
                <c:pt idx="109">
                  <c:v>1412.8287361487401</c:v>
                </c:pt>
                <c:pt idx="110">
                  <c:v>1451.9136482169599</c:v>
                </c:pt>
                <c:pt idx="111">
                  <c:v>1457.57528533247</c:v>
                </c:pt>
                <c:pt idx="112">
                  <c:v>1422.9830200271199</c:v>
                </c:pt>
                <c:pt idx="113">
                  <c:v>1428.78167160364</c:v>
                </c:pt>
                <c:pt idx="114">
                  <c:v>1459.3731315018101</c:v>
                </c:pt>
                <c:pt idx="115">
                  <c:v>1441.5769239564099</c:v>
                </c:pt>
                <c:pt idx="116">
                  <c:v>1379.2273984378201</c:v>
                </c:pt>
                <c:pt idx="117">
                  <c:v>1283.33656122753</c:v>
                </c:pt>
                <c:pt idx="118">
                  <c:v>1396.4185578587301</c:v>
                </c:pt>
                <c:pt idx="119">
                  <c:v>1378.20509714898</c:v>
                </c:pt>
                <c:pt idx="120">
                  <c:v>1393.5425769624999</c:v>
                </c:pt>
                <c:pt idx="121">
                  <c:v>1400.1288814827799</c:v>
                </c:pt>
                <c:pt idx="122">
                  <c:v>1364.70467643238</c:v>
                </c:pt>
                <c:pt idx="123">
                  <c:v>1330.95218689943</c:v>
                </c:pt>
                <c:pt idx="124">
                  <c:v>1399.95495556079</c:v>
                </c:pt>
                <c:pt idx="125">
                  <c:v>1413.6290541359499</c:v>
                </c:pt>
                <c:pt idx="126">
                  <c:v>1328.92276416299</c:v>
                </c:pt>
                <c:pt idx="127">
                  <c:v>1343.3290245427399</c:v>
                </c:pt>
                <c:pt idx="128">
                  <c:v>1302.7617415846701</c:v>
                </c:pt>
                <c:pt idx="129">
                  <c:v>1315.7023675309899</c:v>
                </c:pt>
                <c:pt idx="130">
                  <c:v>1372.9106475415401</c:v>
                </c:pt>
                <c:pt idx="131">
                  <c:v>1281.66989269429</c:v>
                </c:pt>
                <c:pt idx="132">
                  <c:v>1346.5148751484999</c:v>
                </c:pt>
                <c:pt idx="133">
                  <c:v>1414.4891538946001</c:v>
                </c:pt>
                <c:pt idx="134">
                  <c:v>1380.9744670711</c:v>
                </c:pt>
                <c:pt idx="135">
                  <c:v>1407.24973154962</c:v>
                </c:pt>
                <c:pt idx="136">
                  <c:v>1349.09352535433</c:v>
                </c:pt>
                <c:pt idx="137">
                  <c:v>1313.04914730726</c:v>
                </c:pt>
                <c:pt idx="138">
                  <c:v>1234.9800469461502</c:v>
                </c:pt>
                <c:pt idx="139">
                  <c:v>1199.34489631724</c:v>
                </c:pt>
                <c:pt idx="140">
                  <c:v>1370.2914729384202</c:v>
                </c:pt>
                <c:pt idx="141">
                  <c:v>1420.0381422897599</c:v>
                </c:pt>
                <c:pt idx="142">
                  <c:v>1304.4099778949101</c:v>
                </c:pt>
                <c:pt idx="143">
                  <c:v>1319.5009198840598</c:v>
                </c:pt>
                <c:pt idx="144">
                  <c:v>1300.9959452978999</c:v>
                </c:pt>
                <c:pt idx="145">
                  <c:v>1390.0502456609599</c:v>
                </c:pt>
                <c:pt idx="146">
                  <c:v>1462.02474197066</c:v>
                </c:pt>
                <c:pt idx="147">
                  <c:v>1432.5514806992799</c:v>
                </c:pt>
                <c:pt idx="148">
                  <c:v>1470.3760106070499</c:v>
                </c:pt>
                <c:pt idx="149">
                  <c:v>1375.6306099389401</c:v>
                </c:pt>
                <c:pt idx="150">
                  <c:v>1325.5627810536498</c:v>
                </c:pt>
                <c:pt idx="151">
                  <c:v>1324.6836609959</c:v>
                </c:pt>
                <c:pt idx="152">
                  <c:v>1402.05489023731</c:v>
                </c:pt>
                <c:pt idx="153">
                  <c:v>1474.00142567531</c:v>
                </c:pt>
                <c:pt idx="154">
                  <c:v>1424.02987598648</c:v>
                </c:pt>
                <c:pt idx="155">
                  <c:v>1401.32525366405</c:v>
                </c:pt>
                <c:pt idx="156">
                  <c:v>1451.2558116836401</c:v>
                </c:pt>
                <c:pt idx="157">
                  <c:v>1437.30474702882</c:v>
                </c:pt>
                <c:pt idx="158">
                  <c:v>1509.2231714460399</c:v>
                </c:pt>
                <c:pt idx="159">
                  <c:v>1588.1059751972998</c:v>
                </c:pt>
                <c:pt idx="160">
                  <c:v>1645.5107102592601</c:v>
                </c:pt>
                <c:pt idx="161">
                  <c:v>1545.6899661781802</c:v>
                </c:pt>
                <c:pt idx="162">
                  <c:v>1466.6887869590601</c:v>
                </c:pt>
                <c:pt idx="163">
                  <c:v>1396.3788322259902</c:v>
                </c:pt>
                <c:pt idx="164">
                  <c:v>1445.22127807068</c:v>
                </c:pt>
                <c:pt idx="165">
                  <c:v>1459.63068395337</c:v>
                </c:pt>
                <c:pt idx="166">
                  <c:v>1377.7474836730901</c:v>
                </c:pt>
                <c:pt idx="167">
                  <c:v>1419.32710536077</c:v>
                </c:pt>
                <c:pt idx="168">
                  <c:v>1454.5722936155198</c:v>
                </c:pt>
                <c:pt idx="169">
                  <c:v>1471.86174802197</c:v>
                </c:pt>
                <c:pt idx="170">
                  <c:v>1425.08459132386</c:v>
                </c:pt>
                <c:pt idx="171">
                  <c:v>1402.0973944986599</c:v>
                </c:pt>
                <c:pt idx="172">
                  <c:v>1427.7196393223701</c:v>
                </c:pt>
                <c:pt idx="173">
                  <c:v>1408.66060143038</c:v>
                </c:pt>
                <c:pt idx="174">
                  <c:v>1394.16647304459</c:v>
                </c:pt>
                <c:pt idx="175">
                  <c:v>1306.9401895271199</c:v>
                </c:pt>
                <c:pt idx="176">
                  <c:v>1334.5692615047801</c:v>
                </c:pt>
                <c:pt idx="177">
                  <c:v>1289.1805832749001</c:v>
                </c:pt>
                <c:pt idx="178">
                  <c:v>1282.1851153346602</c:v>
                </c:pt>
                <c:pt idx="179">
                  <c:v>1402.69573402077</c:v>
                </c:pt>
                <c:pt idx="180">
                  <c:v>1428.4435087194402</c:v>
                </c:pt>
                <c:pt idx="181">
                  <c:v>1452.9711005828701</c:v>
                </c:pt>
                <c:pt idx="182">
                  <c:v>1508.2461467971798</c:v>
                </c:pt>
                <c:pt idx="183">
                  <c:v>1496.2771114615202</c:v>
                </c:pt>
                <c:pt idx="184">
                  <c:v>1379.4376476106902</c:v>
                </c:pt>
                <c:pt idx="185">
                  <c:v>1504.7680191397201</c:v>
                </c:pt>
                <c:pt idx="186">
                  <c:v>1454.8545021259199</c:v>
                </c:pt>
                <c:pt idx="187">
                  <c:v>1373.95652531939</c:v>
                </c:pt>
                <c:pt idx="188">
                  <c:v>1391.27531346756</c:v>
                </c:pt>
                <c:pt idx="189">
                  <c:v>1445.01295519473</c:v>
                </c:pt>
                <c:pt idx="190">
                  <c:v>1449.0966150292099</c:v>
                </c:pt>
                <c:pt idx="191">
                  <c:v>1507.50723533993</c:v>
                </c:pt>
                <c:pt idx="192">
                  <c:v>1365.0813119074801</c:v>
                </c:pt>
                <c:pt idx="193">
                  <c:v>1394.23630112059</c:v>
                </c:pt>
                <c:pt idx="194">
                  <c:v>1403.8188174218899</c:v>
                </c:pt>
                <c:pt idx="195">
                  <c:v>1264.9651685536101</c:v>
                </c:pt>
                <c:pt idx="196">
                  <c:v>1252.9612948548202</c:v>
                </c:pt>
                <c:pt idx="197">
                  <c:v>1243.8295836729601</c:v>
                </c:pt>
                <c:pt idx="198">
                  <c:v>1242.5285455076501</c:v>
                </c:pt>
                <c:pt idx="199">
                  <c:v>1309.6695483517399</c:v>
                </c:pt>
                <c:pt idx="200">
                  <c:v>1328.5790775358601</c:v>
                </c:pt>
                <c:pt idx="201">
                  <c:v>1241.53889515224</c:v>
                </c:pt>
                <c:pt idx="202">
                  <c:v>1254.7406989853598</c:v>
                </c:pt>
                <c:pt idx="203">
                  <c:v>1252.7584456616698</c:v>
                </c:pt>
                <c:pt idx="204">
                  <c:v>1194.3427131138799</c:v>
                </c:pt>
                <c:pt idx="205">
                  <c:v>1267.15015240719</c:v>
                </c:pt>
                <c:pt idx="206">
                  <c:v>1325.8709112925401</c:v>
                </c:pt>
                <c:pt idx="207">
                  <c:v>1285.9604986186598</c:v>
                </c:pt>
                <c:pt idx="208">
                  <c:v>1224.4627635668201</c:v>
                </c:pt>
                <c:pt idx="209">
                  <c:v>1250.25669581644</c:v>
                </c:pt>
                <c:pt idx="210">
                  <c:v>1157.6729823641201</c:v>
                </c:pt>
                <c:pt idx="211">
                  <c:v>1200.4038630571899</c:v>
                </c:pt>
                <c:pt idx="212">
                  <c:v>1178.79039564401</c:v>
                </c:pt>
                <c:pt idx="213">
                  <c:v>1249.93323787289</c:v>
                </c:pt>
                <c:pt idx="214">
                  <c:v>1276.5806087936598</c:v>
                </c:pt>
                <c:pt idx="215">
                  <c:v>1228.1251409245001</c:v>
                </c:pt>
                <c:pt idx="216">
                  <c:v>1322.4526442901001</c:v>
                </c:pt>
                <c:pt idx="217">
                  <c:v>1291.19306651635</c:v>
                </c:pt>
                <c:pt idx="218">
                  <c:v>1399.2115443922899</c:v>
                </c:pt>
                <c:pt idx="219">
                  <c:v>1338.9884001600399</c:v>
                </c:pt>
                <c:pt idx="220">
                  <c:v>1309.0165170149401</c:v>
                </c:pt>
                <c:pt idx="221">
                  <c:v>1301.3519962462001</c:v>
                </c:pt>
                <c:pt idx="222">
                  <c:v>1340.5672193790001</c:v>
                </c:pt>
                <c:pt idx="223">
                  <c:v>1300.37107288368</c:v>
                </c:pt>
                <c:pt idx="224">
                  <c:v>1302.3215985351501</c:v>
                </c:pt>
                <c:pt idx="225">
                  <c:v>1390.2722102349198</c:v>
                </c:pt>
                <c:pt idx="226">
                  <c:v>1377.4784997665702</c:v>
                </c:pt>
                <c:pt idx="227">
                  <c:v>1404.7267318050599</c:v>
                </c:pt>
                <c:pt idx="228">
                  <c:v>1398.6263727087198</c:v>
                </c:pt>
                <c:pt idx="229">
                  <c:v>1335.4956061934399</c:v>
                </c:pt>
                <c:pt idx="230">
                  <c:v>1288.29715870941</c:v>
                </c:pt>
                <c:pt idx="231">
                  <c:v>1295.84715054706</c:v>
                </c:pt>
                <c:pt idx="232">
                  <c:v>1249.8669493653799</c:v>
                </c:pt>
                <c:pt idx="233">
                  <c:v>1338.16864647843</c:v>
                </c:pt>
                <c:pt idx="234">
                  <c:v>1396.7024853518001</c:v>
                </c:pt>
                <c:pt idx="235">
                  <c:v>1372.8354643758801</c:v>
                </c:pt>
                <c:pt idx="236">
                  <c:v>1308.5971481796</c:v>
                </c:pt>
                <c:pt idx="237">
                  <c:v>1256.8411990735799</c:v>
                </c:pt>
                <c:pt idx="238">
                  <c:v>1309.1835674628499</c:v>
                </c:pt>
                <c:pt idx="239">
                  <c:v>1326.64660932223</c:v>
                </c:pt>
                <c:pt idx="240">
                  <c:v>1318.5779792677101</c:v>
                </c:pt>
                <c:pt idx="241">
                  <c:v>1377.17931337392</c:v>
                </c:pt>
                <c:pt idx="242">
                  <c:v>1393.6278464188699</c:v>
                </c:pt>
                <c:pt idx="243">
                  <c:v>1366.5629159545099</c:v>
                </c:pt>
                <c:pt idx="244">
                  <c:v>1325.76492969891</c:v>
                </c:pt>
                <c:pt idx="245">
                  <c:v>1275.4329889145299</c:v>
                </c:pt>
                <c:pt idx="246">
                  <c:v>1216.47018954496</c:v>
                </c:pt>
                <c:pt idx="247">
                  <c:v>1208.3288343542999</c:v>
                </c:pt>
                <c:pt idx="248">
                  <c:v>1212.0545698972298</c:v>
                </c:pt>
                <c:pt idx="249">
                  <c:v>1265.1582120471201</c:v>
                </c:pt>
                <c:pt idx="250">
                  <c:v>1256.5246576457598</c:v>
                </c:pt>
                <c:pt idx="251">
                  <c:v>1259.73567660289</c:v>
                </c:pt>
                <c:pt idx="252">
                  <c:v>1298.1299126331501</c:v>
                </c:pt>
                <c:pt idx="253">
                  <c:v>1298.4090855879599</c:v>
                </c:pt>
                <c:pt idx="254">
                  <c:v>1297.6055565594202</c:v>
                </c:pt>
                <c:pt idx="255">
                  <c:v>1297.4610132310499</c:v>
                </c:pt>
                <c:pt idx="256">
                  <c:v>1294.9038144403601</c:v>
                </c:pt>
                <c:pt idx="257">
                  <c:v>1290.8449620935799</c:v>
                </c:pt>
                <c:pt idx="258">
                  <c:v>1286.5260738889699</c:v>
                </c:pt>
                <c:pt idx="259">
                  <c:v>1295.5307533446598</c:v>
                </c:pt>
                <c:pt idx="260">
                  <c:v>1259.31792304701</c:v>
                </c:pt>
                <c:pt idx="261">
                  <c:v>1239.62442198705</c:v>
                </c:pt>
                <c:pt idx="262">
                  <c:v>1230.41007937574</c:v>
                </c:pt>
                <c:pt idx="263">
                  <c:v>1269.3695527487901</c:v>
                </c:pt>
                <c:pt idx="264">
                  <c:v>1260.07922736827</c:v>
                </c:pt>
                <c:pt idx="265">
                  <c:v>1248.4505659551698</c:v>
                </c:pt>
                <c:pt idx="266">
                  <c:v>1283.14445162981</c:v>
                </c:pt>
                <c:pt idx="267">
                  <c:v>1293.3911913705401</c:v>
                </c:pt>
                <c:pt idx="268">
                  <c:v>1284.2773120037898</c:v>
                </c:pt>
                <c:pt idx="269">
                  <c:v>1311.91625192109</c:v>
                </c:pt>
                <c:pt idx="270">
                  <c:v>1307.5076164387901</c:v>
                </c:pt>
                <c:pt idx="271">
                  <c:v>1308.4041500625299</c:v>
                </c:pt>
                <c:pt idx="272">
                  <c:v>1306.27722139241</c:v>
                </c:pt>
                <c:pt idx="273">
                  <c:v>1327.0967598660202</c:v>
                </c:pt>
                <c:pt idx="274">
                  <c:v>1318.0586245772199</c:v>
                </c:pt>
                <c:pt idx="275">
                  <c:v>1333.6420518601699</c:v>
                </c:pt>
                <c:pt idx="276">
                  <c:v>1295.26719278465</c:v>
                </c:pt>
                <c:pt idx="277">
                  <c:v>1239.77170236758</c:v>
                </c:pt>
                <c:pt idx="278">
                  <c:v>1210.73506200674</c:v>
                </c:pt>
                <c:pt idx="279">
                  <c:v>1200.5005636978399</c:v>
                </c:pt>
                <c:pt idx="280">
                  <c:v>1198.7457722660399</c:v>
                </c:pt>
                <c:pt idx="281">
                  <c:v>1197.1397970688101</c:v>
                </c:pt>
                <c:pt idx="282">
                  <c:v>1181.40642615559</c:v>
                </c:pt>
                <c:pt idx="283">
                  <c:v>1179.3449830890499</c:v>
                </c:pt>
                <c:pt idx="284">
                  <c:v>1167.96448703495</c:v>
                </c:pt>
                <c:pt idx="285">
                  <c:v>1194.6211950395</c:v>
                </c:pt>
                <c:pt idx="286">
                  <c:v>1274.02198421648</c:v>
                </c:pt>
                <c:pt idx="287">
                  <c:v>1298.8280721533399</c:v>
                </c:pt>
                <c:pt idx="288">
                  <c:v>1317.1037204058798</c:v>
                </c:pt>
                <c:pt idx="289">
                  <c:v>1271.46448703493</c:v>
                </c:pt>
                <c:pt idx="290">
                  <c:v>1325.4391206313901</c:v>
                </c:pt>
                <c:pt idx="291">
                  <c:v>1375.91431792561</c:v>
                </c:pt>
                <c:pt idx="292">
                  <c:v>1282.2422114690701</c:v>
                </c:pt>
                <c:pt idx="293">
                  <c:v>1415.38857530121</c:v>
                </c:pt>
                <c:pt idx="294">
                  <c:v>1494.1122131795698</c:v>
                </c:pt>
                <c:pt idx="295">
                  <c:v>1521.06986625075</c:v>
                </c:pt>
                <c:pt idx="296">
                  <c:v>1522.1856493476098</c:v>
                </c:pt>
                <c:pt idx="297">
                  <c:v>1445.28780589554</c:v>
                </c:pt>
                <c:pt idx="298">
                  <c:v>1451.4667506886101</c:v>
                </c:pt>
                <c:pt idx="299">
                  <c:v>1601.6002135152098</c:v>
                </c:pt>
                <c:pt idx="300">
                  <c:v>1641.50658934632</c:v>
                </c:pt>
                <c:pt idx="301">
                  <c:v>1543.4708210183601</c:v>
                </c:pt>
                <c:pt idx="302">
                  <c:v>1247.41812923411</c:v>
                </c:pt>
                <c:pt idx="303">
                  <c:v>1428.5396486505401</c:v>
                </c:pt>
                <c:pt idx="304">
                  <c:v>1411.7488499486099</c:v>
                </c:pt>
                <c:pt idx="305">
                  <c:v>1337.50755367802</c:v>
                </c:pt>
                <c:pt idx="306">
                  <c:v>1310.8123802301602</c:v>
                </c:pt>
                <c:pt idx="307">
                  <c:v>1363.13557569716</c:v>
                </c:pt>
                <c:pt idx="308">
                  <c:v>1320.64526926436</c:v>
                </c:pt>
                <c:pt idx="309">
                  <c:v>1344.32526384371</c:v>
                </c:pt>
                <c:pt idx="310">
                  <c:v>1249.48917458349</c:v>
                </c:pt>
                <c:pt idx="311">
                  <c:v>1339.9883570307502</c:v>
                </c:pt>
                <c:pt idx="312">
                  <c:v>1533.92713593849</c:v>
                </c:pt>
                <c:pt idx="313">
                  <c:v>1496.13370055734</c:v>
                </c:pt>
                <c:pt idx="314">
                  <c:v>1502.7154047528802</c:v>
                </c:pt>
                <c:pt idx="315">
                  <c:v>1395.8278170259598</c:v>
                </c:pt>
                <c:pt idx="316">
                  <c:v>1427.10171074195</c:v>
                </c:pt>
                <c:pt idx="317">
                  <c:v>1479.5603536728602</c:v>
                </c:pt>
                <c:pt idx="318">
                  <c:v>1513.71883954246</c:v>
                </c:pt>
                <c:pt idx="319">
                  <c:v>1452.1873997694902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D-A541-B314-592E0C2FA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F3-4041-A58D-2CAA7793AA9F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'240814A009'!$A$2:$A$321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'240814A009'!$P$2:$P$321</c:f>
              <c:numCache>
                <c:formatCode>General</c:formatCode>
                <c:ptCount val="320"/>
                <c:pt idx="0">
                  <c:v>18.225974520681156</c:v>
                </c:pt>
                <c:pt idx="1">
                  <c:v>19.12082298403638</c:v>
                </c:pt>
                <c:pt idx="2">
                  <c:v>22.863718831368942</c:v>
                </c:pt>
                <c:pt idx="3">
                  <c:v>23.227066638385455</c:v>
                </c:pt>
                <c:pt idx="4">
                  <c:v>23.903822318503266</c:v>
                </c:pt>
                <c:pt idx="5">
                  <c:v>24.940244611516853</c:v>
                </c:pt>
                <c:pt idx="6">
                  <c:v>23.685243769425686</c:v>
                </c:pt>
                <c:pt idx="7">
                  <c:v>21.874637153840631</c:v>
                </c:pt>
                <c:pt idx="8">
                  <c:v>23.588940871422373</c:v>
                </c:pt>
                <c:pt idx="9">
                  <c:v>15.326170900357738</c:v>
                </c:pt>
                <c:pt idx="10">
                  <c:v>17.024386280056369</c:v>
                </c:pt>
                <c:pt idx="11">
                  <c:v>16.972160700644721</c:v>
                </c:pt>
                <c:pt idx="12">
                  <c:v>18.509073400987681</c:v>
                </c:pt>
                <c:pt idx="13">
                  <c:v>20.008227261927519</c:v>
                </c:pt>
                <c:pt idx="14">
                  <c:v>19.561476072022973</c:v>
                </c:pt>
                <c:pt idx="15">
                  <c:v>20.995894811801143</c:v>
                </c:pt>
                <c:pt idx="16">
                  <c:v>24.136820767430642</c:v>
                </c:pt>
                <c:pt idx="17">
                  <c:v>23.638743828128522</c:v>
                </c:pt>
                <c:pt idx="18">
                  <c:v>23.87750884913812</c:v>
                </c:pt>
                <c:pt idx="19">
                  <c:v>23.774494982116945</c:v>
                </c:pt>
                <c:pt idx="20">
                  <c:v>26.425548363517027</c:v>
                </c:pt>
                <c:pt idx="21">
                  <c:v>23.763077216300072</c:v>
                </c:pt>
                <c:pt idx="22">
                  <c:v>25.43470823318275</c:v>
                </c:pt>
                <c:pt idx="23">
                  <c:v>25.768896357576089</c:v>
                </c:pt>
                <c:pt idx="24">
                  <c:v>23.187066548026287</c:v>
                </c:pt>
                <c:pt idx="25">
                  <c:v>23.402189976235181</c:v>
                </c:pt>
                <c:pt idx="26">
                  <c:v>21.749865254012253</c:v>
                </c:pt>
                <c:pt idx="27">
                  <c:v>22.51815060233282</c:v>
                </c:pt>
                <c:pt idx="28">
                  <c:v>22.646755734379926</c:v>
                </c:pt>
                <c:pt idx="29">
                  <c:v>22.26758777130318</c:v>
                </c:pt>
                <c:pt idx="30">
                  <c:v>22.82442697592294</c:v>
                </c:pt>
                <c:pt idx="31">
                  <c:v>22.122740861012534</c:v>
                </c:pt>
                <c:pt idx="32">
                  <c:v>21.110624660642003</c:v>
                </c:pt>
                <c:pt idx="33">
                  <c:v>20.279816795294973</c:v>
                </c:pt>
                <c:pt idx="34">
                  <c:v>19.739991805864989</c:v>
                </c:pt>
                <c:pt idx="35">
                  <c:v>20.82570772075206</c:v>
                </c:pt>
                <c:pt idx="36">
                  <c:v>21.248842816561282</c:v>
                </c:pt>
                <c:pt idx="37">
                  <c:v>20.283130041111505</c:v>
                </c:pt>
                <c:pt idx="38">
                  <c:v>20.294031761161978</c:v>
                </c:pt>
                <c:pt idx="39">
                  <c:v>19.309231114097873</c:v>
                </c:pt>
                <c:pt idx="40">
                  <c:v>18.13658375683999</c:v>
                </c:pt>
                <c:pt idx="41">
                  <c:v>16.877066811161736</c:v>
                </c:pt>
                <c:pt idx="42">
                  <c:v>15.44720695269579</c:v>
                </c:pt>
                <c:pt idx="43">
                  <c:v>14.452359027502764</c:v>
                </c:pt>
                <c:pt idx="44">
                  <c:v>13.69403129318864</c:v>
                </c:pt>
                <c:pt idx="45">
                  <c:v>12.146183644002374</c:v>
                </c:pt>
                <c:pt idx="46">
                  <c:v>11.00460515779357</c:v>
                </c:pt>
                <c:pt idx="47">
                  <c:v>10.519697832397092</c:v>
                </c:pt>
                <c:pt idx="48">
                  <c:v>10.109214718564274</c:v>
                </c:pt>
                <c:pt idx="49">
                  <c:v>9.5592346618326651</c:v>
                </c:pt>
                <c:pt idx="50">
                  <c:v>10.826183377132581</c:v>
                </c:pt>
                <c:pt idx="51">
                  <c:v>8.3738290293174913</c:v>
                </c:pt>
                <c:pt idx="52">
                  <c:v>8.7939634910926134</c:v>
                </c:pt>
                <c:pt idx="53">
                  <c:v>7.2318335008992847</c:v>
                </c:pt>
                <c:pt idx="54">
                  <c:v>7.1092165685305133</c:v>
                </c:pt>
                <c:pt idx="55">
                  <c:v>6.1660723063099647</c:v>
                </c:pt>
                <c:pt idx="56">
                  <c:v>5.2620546337300835</c:v>
                </c:pt>
                <c:pt idx="57">
                  <c:v>4.3350561562001211</c:v>
                </c:pt>
                <c:pt idx="58">
                  <c:v>5.4613153373086005</c:v>
                </c:pt>
                <c:pt idx="59">
                  <c:v>5.4163798873484721</c:v>
                </c:pt>
                <c:pt idx="60">
                  <c:v>4.9356078489326611</c:v>
                </c:pt>
                <c:pt idx="61">
                  <c:v>4.6377729664856382</c:v>
                </c:pt>
                <c:pt idx="62">
                  <c:v>3.7805683384553279</c:v>
                </c:pt>
                <c:pt idx="63">
                  <c:v>4.4346554787110142</c:v>
                </c:pt>
                <c:pt idx="64">
                  <c:v>4.2973882873961751</c:v>
                </c:pt>
                <c:pt idx="65">
                  <c:v>3.1637389386835482</c:v>
                </c:pt>
                <c:pt idx="66">
                  <c:v>2.9174619886708175</c:v>
                </c:pt>
                <c:pt idx="67">
                  <c:v>1.584046815789415</c:v>
                </c:pt>
                <c:pt idx="68">
                  <c:v>0.36091693581798834</c:v>
                </c:pt>
                <c:pt idx="69">
                  <c:v>0.55769852671756637</c:v>
                </c:pt>
                <c:pt idx="70">
                  <c:v>-0.94999875599883266</c:v>
                </c:pt>
                <c:pt idx="71">
                  <c:v>-0.75198243281073074</c:v>
                </c:pt>
                <c:pt idx="72">
                  <c:v>-1.2737973889039016</c:v>
                </c:pt>
                <c:pt idx="73">
                  <c:v>-1.9890649111870158</c:v>
                </c:pt>
                <c:pt idx="74">
                  <c:v>-3.0227611008628652</c:v>
                </c:pt>
                <c:pt idx="75">
                  <c:v>-3.2242073968958778</c:v>
                </c:pt>
                <c:pt idx="76">
                  <c:v>-3.767023762431486</c:v>
                </c:pt>
                <c:pt idx="77">
                  <c:v>-4.3625218503122936</c:v>
                </c:pt>
                <c:pt idx="78">
                  <c:v>-5.6680418886966635</c:v>
                </c:pt>
                <c:pt idx="79">
                  <c:v>-5.660456637559907</c:v>
                </c:pt>
                <c:pt idx="80">
                  <c:v>-6.205938199484053</c:v>
                </c:pt>
                <c:pt idx="81">
                  <c:v>-6.6640657147646429</c:v>
                </c:pt>
                <c:pt idx="82">
                  <c:v>-6.6950504046969073</c:v>
                </c:pt>
                <c:pt idx="83">
                  <c:v>-5.7411489366734845</c:v>
                </c:pt>
                <c:pt idx="84">
                  <c:v>-7.9059020501367563</c:v>
                </c:pt>
                <c:pt idx="85">
                  <c:v>-7.5249181536817895</c:v>
                </c:pt>
                <c:pt idx="86">
                  <c:v>-6.8286579024206473</c:v>
                </c:pt>
                <c:pt idx="87">
                  <c:v>-6.7902449380520951</c:v>
                </c:pt>
                <c:pt idx="88">
                  <c:v>-6.0487816777039498</c:v>
                </c:pt>
                <c:pt idx="89">
                  <c:v>-8.3871447731519133</c:v>
                </c:pt>
                <c:pt idx="90">
                  <c:v>-8.4427727190534583</c:v>
                </c:pt>
                <c:pt idx="91">
                  <c:v>-6.3416794991778689</c:v>
                </c:pt>
                <c:pt idx="92">
                  <c:v>-8.6612527692872465</c:v>
                </c:pt>
                <c:pt idx="93">
                  <c:v>-8.4617836508494015</c:v>
                </c:pt>
                <c:pt idx="94">
                  <c:v>-8.2185507016312283</c:v>
                </c:pt>
                <c:pt idx="95">
                  <c:v>-8.9742336192105476</c:v>
                </c:pt>
                <c:pt idx="96">
                  <c:v>-8.4193139753136457</c:v>
                </c:pt>
                <c:pt idx="97">
                  <c:v>-9.2696524738962989</c:v>
                </c:pt>
                <c:pt idx="98">
                  <c:v>-8.8793484845256536</c:v>
                </c:pt>
                <c:pt idx="99">
                  <c:v>-8.5841585803828</c:v>
                </c:pt>
                <c:pt idx="100">
                  <c:v>-8.7320986741293627</c:v>
                </c:pt>
                <c:pt idx="101">
                  <c:v>-8.4535959574168693</c:v>
                </c:pt>
                <c:pt idx="102">
                  <c:v>-10.207039669189644</c:v>
                </c:pt>
                <c:pt idx="103">
                  <c:v>-8.4722456312921857</c:v>
                </c:pt>
                <c:pt idx="104">
                  <c:v>-9.5241375706947249</c:v>
                </c:pt>
                <c:pt idx="105">
                  <c:v>-8.6374889464659361</c:v>
                </c:pt>
                <c:pt idx="106">
                  <c:v>-9.371207106078657</c:v>
                </c:pt>
                <c:pt idx="107">
                  <c:v>-10.297076761627707</c:v>
                </c:pt>
                <c:pt idx="108">
                  <c:v>-9.9828053763581632</c:v>
                </c:pt>
                <c:pt idx="109">
                  <c:v>-10.766912835395139</c:v>
                </c:pt>
                <c:pt idx="110">
                  <c:v>-8.0793927866010424</c:v>
                </c:pt>
                <c:pt idx="111">
                  <c:v>-10.556927781562758</c:v>
                </c:pt>
                <c:pt idx="112">
                  <c:v>-11.644682109729636</c:v>
                </c:pt>
                <c:pt idx="113">
                  <c:v>-10.950224722422645</c:v>
                </c:pt>
                <c:pt idx="114">
                  <c:v>-9.9481734525215906</c:v>
                </c:pt>
                <c:pt idx="115">
                  <c:v>-11.374021072689525</c:v>
                </c:pt>
                <c:pt idx="116">
                  <c:v>-12.020705628275655</c:v>
                </c:pt>
                <c:pt idx="117">
                  <c:v>-10.231836146007407</c:v>
                </c:pt>
                <c:pt idx="118">
                  <c:v>-10.733013504142273</c:v>
                </c:pt>
                <c:pt idx="119">
                  <c:v>-11.899010622445727</c:v>
                </c:pt>
                <c:pt idx="120">
                  <c:v>-11.69175380488384</c:v>
                </c:pt>
                <c:pt idx="121">
                  <c:v>-12.045967828657894</c:v>
                </c:pt>
                <c:pt idx="122">
                  <c:v>-11.891127785191141</c:v>
                </c:pt>
                <c:pt idx="123">
                  <c:v>-10.075660203387699</c:v>
                </c:pt>
                <c:pt idx="124">
                  <c:v>-11.628700025892121</c:v>
                </c:pt>
                <c:pt idx="125">
                  <c:v>-12.633777940047592</c:v>
                </c:pt>
                <c:pt idx="126">
                  <c:v>-12.661334924175661</c:v>
                </c:pt>
                <c:pt idx="127">
                  <c:v>-12.454627881630286</c:v>
                </c:pt>
                <c:pt idx="128">
                  <c:v>-12.322804519970077</c:v>
                </c:pt>
                <c:pt idx="129">
                  <c:v>-13.322267759752554</c:v>
                </c:pt>
                <c:pt idx="130">
                  <c:v>-12.501216487795427</c:v>
                </c:pt>
                <c:pt idx="131">
                  <c:v>-11.452846238176736</c:v>
                </c:pt>
                <c:pt idx="132">
                  <c:v>-12.618260446464181</c:v>
                </c:pt>
                <c:pt idx="133">
                  <c:v>-10.918692133265868</c:v>
                </c:pt>
                <c:pt idx="134">
                  <c:v>-11.984765437427011</c:v>
                </c:pt>
                <c:pt idx="135">
                  <c:v>-12.372503585544637</c:v>
                </c:pt>
                <c:pt idx="136">
                  <c:v>-13.433528992525723</c:v>
                </c:pt>
                <c:pt idx="137">
                  <c:v>-10.877963891487139</c:v>
                </c:pt>
                <c:pt idx="138">
                  <c:v>-9.6352217750817175</c:v>
                </c:pt>
                <c:pt idx="139">
                  <c:v>-9.0532047065827133</c:v>
                </c:pt>
                <c:pt idx="140">
                  <c:v>-8.405148723620929</c:v>
                </c:pt>
                <c:pt idx="141">
                  <c:v>-6.1078958503762513</c:v>
                </c:pt>
                <c:pt idx="142">
                  <c:v>-7.1252920448596058</c:v>
                </c:pt>
                <c:pt idx="143">
                  <c:v>-7.015090000283748</c:v>
                </c:pt>
                <c:pt idx="144">
                  <c:v>-6.8401207243940538</c:v>
                </c:pt>
                <c:pt idx="145">
                  <c:v>-6.3799939996241157</c:v>
                </c:pt>
                <c:pt idx="146">
                  <c:v>-5.9540966743103336</c:v>
                </c:pt>
                <c:pt idx="147">
                  <c:v>-7.5178459883820405</c:v>
                </c:pt>
                <c:pt idx="148">
                  <c:v>-5.5659325559202415</c:v>
                </c:pt>
                <c:pt idx="149">
                  <c:v>-6.5958307891814076</c:v>
                </c:pt>
                <c:pt idx="150">
                  <c:v>-6.323513034625619</c:v>
                </c:pt>
                <c:pt idx="151">
                  <c:v>-7.9421750869559746</c:v>
                </c:pt>
                <c:pt idx="152">
                  <c:v>-4.8329423607584205</c:v>
                </c:pt>
                <c:pt idx="153">
                  <c:v>-6.0321382938866126</c:v>
                </c:pt>
                <c:pt idx="154">
                  <c:v>-6.5441738827549445</c:v>
                </c:pt>
                <c:pt idx="155">
                  <c:v>-6.6402518292410813</c:v>
                </c:pt>
                <c:pt idx="156">
                  <c:v>-7.2866377642974074</c:v>
                </c:pt>
                <c:pt idx="157">
                  <c:v>-7.6374558727817714</c:v>
                </c:pt>
                <c:pt idx="158">
                  <c:v>-7.3575511956697968</c:v>
                </c:pt>
                <c:pt idx="159">
                  <c:v>-11.261929350147888</c:v>
                </c:pt>
                <c:pt idx="160">
                  <c:v>-12.629379309764555</c:v>
                </c:pt>
                <c:pt idx="161">
                  <c:v>-11.246432213496037</c:v>
                </c:pt>
                <c:pt idx="162">
                  <c:v>-9.4772674512970312</c:v>
                </c:pt>
                <c:pt idx="163">
                  <c:v>-8.5467521944473095</c:v>
                </c:pt>
                <c:pt idx="164">
                  <c:v>-10.768817713299224</c:v>
                </c:pt>
                <c:pt idx="165">
                  <c:v>-10.382120364427246</c:v>
                </c:pt>
                <c:pt idx="166">
                  <c:v>-9.9523546880092884</c:v>
                </c:pt>
                <c:pt idx="167">
                  <c:v>-10.050256125993466</c:v>
                </c:pt>
                <c:pt idx="168">
                  <c:v>-10.581758168547189</c:v>
                </c:pt>
                <c:pt idx="169">
                  <c:v>-10.983895549594118</c:v>
                </c:pt>
                <c:pt idx="170">
                  <c:v>-10.599346020133414</c:v>
                </c:pt>
                <c:pt idx="171">
                  <c:v>-10.111796841349822</c:v>
                </c:pt>
                <c:pt idx="172">
                  <c:v>-10.752239033313689</c:v>
                </c:pt>
                <c:pt idx="173">
                  <c:v>-10.830930486347521</c:v>
                </c:pt>
                <c:pt idx="174">
                  <c:v>-10.297945114892878</c:v>
                </c:pt>
                <c:pt idx="175">
                  <c:v>-9.5704307973394602</c:v>
                </c:pt>
                <c:pt idx="176">
                  <c:v>-9.8086353585044996</c:v>
                </c:pt>
                <c:pt idx="177">
                  <c:v>-9.5354253071313266</c:v>
                </c:pt>
                <c:pt idx="178">
                  <c:v>-9.8847492489102091</c:v>
                </c:pt>
                <c:pt idx="179">
                  <c:v>-10.76362452613127</c:v>
                </c:pt>
                <c:pt idx="180">
                  <c:v>-10.616941971111524</c:v>
                </c:pt>
                <c:pt idx="181">
                  <c:v>-10.464211344495371</c:v>
                </c:pt>
                <c:pt idx="182">
                  <c:v>-11.474795215264114</c:v>
                </c:pt>
                <c:pt idx="183">
                  <c:v>-11.937206320294164</c:v>
                </c:pt>
                <c:pt idx="184">
                  <c:v>-11.626949925689056</c:v>
                </c:pt>
                <c:pt idx="185">
                  <c:v>-12.118269720767669</c:v>
                </c:pt>
                <c:pt idx="186">
                  <c:v>-11.693838247325854</c:v>
                </c:pt>
                <c:pt idx="187">
                  <c:v>-10.976019027496664</c:v>
                </c:pt>
                <c:pt idx="188">
                  <c:v>-10.245451700818506</c:v>
                </c:pt>
                <c:pt idx="189">
                  <c:v>-11.11802910461542</c:v>
                </c:pt>
                <c:pt idx="190">
                  <c:v>-11.389215748451646</c:v>
                </c:pt>
                <c:pt idx="191">
                  <c:v>-13.097042425936003</c:v>
                </c:pt>
                <c:pt idx="192">
                  <c:v>-12.262716240053075</c:v>
                </c:pt>
                <c:pt idx="193">
                  <c:v>-12.515038287288505</c:v>
                </c:pt>
                <c:pt idx="194">
                  <c:v>-12.630176652233574</c:v>
                </c:pt>
                <c:pt idx="195">
                  <c:v>-8.6769761391346503</c:v>
                </c:pt>
                <c:pt idx="196">
                  <c:v>-9.4891773374377273</c:v>
                </c:pt>
                <c:pt idx="197">
                  <c:v>-9.1671632966706031</c:v>
                </c:pt>
                <c:pt idx="198">
                  <c:v>-9.5614461510907898</c:v>
                </c:pt>
                <c:pt idx="199">
                  <c:v>-11.703563684914739</c:v>
                </c:pt>
                <c:pt idx="200">
                  <c:v>-12.540127358340733</c:v>
                </c:pt>
                <c:pt idx="201">
                  <c:v>-11.011629543556891</c:v>
                </c:pt>
                <c:pt idx="202">
                  <c:v>-10.673513636461712</c:v>
                </c:pt>
                <c:pt idx="203">
                  <c:v>-10.19937852802979</c:v>
                </c:pt>
                <c:pt idx="204">
                  <c:v>-10.012979885357348</c:v>
                </c:pt>
                <c:pt idx="205">
                  <c:v>-11.155124304986783</c:v>
                </c:pt>
                <c:pt idx="206">
                  <c:v>-10.835601323370581</c:v>
                </c:pt>
                <c:pt idx="207">
                  <c:v>-11.046700887806022</c:v>
                </c:pt>
                <c:pt idx="208">
                  <c:v>-11.396502168860403</c:v>
                </c:pt>
                <c:pt idx="209">
                  <c:v>-9.5315885544619317</c:v>
                </c:pt>
                <c:pt idx="210">
                  <c:v>-10.217662217145845</c:v>
                </c:pt>
                <c:pt idx="211">
                  <c:v>-11.168534576059393</c:v>
                </c:pt>
                <c:pt idx="212">
                  <c:v>-10.140712629148585</c:v>
                </c:pt>
                <c:pt idx="213">
                  <c:v>-11.595772239752451</c:v>
                </c:pt>
                <c:pt idx="214">
                  <c:v>-11.843887774614712</c:v>
                </c:pt>
                <c:pt idx="215">
                  <c:v>-11.43031914384415</c:v>
                </c:pt>
                <c:pt idx="216">
                  <c:v>-11.598164975601902</c:v>
                </c:pt>
                <c:pt idx="217">
                  <c:v>-10.213603841116266</c:v>
                </c:pt>
                <c:pt idx="218">
                  <c:v>-11.891472934453907</c:v>
                </c:pt>
                <c:pt idx="219">
                  <c:v>-11.056818011208829</c:v>
                </c:pt>
                <c:pt idx="220">
                  <c:v>-9.6619418858194095</c:v>
                </c:pt>
                <c:pt idx="221">
                  <c:v>-10.10215677899382</c:v>
                </c:pt>
                <c:pt idx="222">
                  <c:v>-9.7057202367919206</c:v>
                </c:pt>
                <c:pt idx="223">
                  <c:v>-8.7393262166456704</c:v>
                </c:pt>
                <c:pt idx="224">
                  <c:v>-8.7672676881814091</c:v>
                </c:pt>
                <c:pt idx="225">
                  <c:v>-10.988584686421564</c:v>
                </c:pt>
                <c:pt idx="226">
                  <c:v>-11.139957738405929</c:v>
                </c:pt>
                <c:pt idx="227">
                  <c:v>-11.639070674974894</c:v>
                </c:pt>
                <c:pt idx="228">
                  <c:v>-11.314349294487029</c:v>
                </c:pt>
                <c:pt idx="229">
                  <c:v>-11.207291144894352</c:v>
                </c:pt>
                <c:pt idx="230">
                  <c:v>-12.164183913862557</c:v>
                </c:pt>
                <c:pt idx="231">
                  <c:v>-12.624600557304991</c:v>
                </c:pt>
                <c:pt idx="232">
                  <c:v>-10.602231894128456</c:v>
                </c:pt>
                <c:pt idx="233">
                  <c:v>-9.9559808414809741</c:v>
                </c:pt>
                <c:pt idx="234">
                  <c:v>-11.643740687440616</c:v>
                </c:pt>
                <c:pt idx="235">
                  <c:v>-9.8039261654376659</c:v>
                </c:pt>
                <c:pt idx="236">
                  <c:v>-9.7974982573134746</c:v>
                </c:pt>
                <c:pt idx="237">
                  <c:v>-8.9898176744587843</c:v>
                </c:pt>
                <c:pt idx="238">
                  <c:v>-8.8700653825349214</c:v>
                </c:pt>
                <c:pt idx="239">
                  <c:v>-10.314440048493809</c:v>
                </c:pt>
                <c:pt idx="240">
                  <c:v>-9.8307373154405315</c:v>
                </c:pt>
                <c:pt idx="241">
                  <c:v>-10.502077145628014</c:v>
                </c:pt>
                <c:pt idx="242">
                  <c:v>-10.6260476097241</c:v>
                </c:pt>
                <c:pt idx="243">
                  <c:v>-9.1648733266051465</c:v>
                </c:pt>
                <c:pt idx="244">
                  <c:v>-8.7323875998935314</c:v>
                </c:pt>
                <c:pt idx="245">
                  <c:v>-7.8051459001088785</c:v>
                </c:pt>
                <c:pt idx="246">
                  <c:v>-8.6215614466375641</c:v>
                </c:pt>
                <c:pt idx="247">
                  <c:v>-8.5316996754874399</c:v>
                </c:pt>
                <c:pt idx="248">
                  <c:v>-8.1857714022641765</c:v>
                </c:pt>
                <c:pt idx="249">
                  <c:v>-8.2042663114818186</c:v>
                </c:pt>
                <c:pt idx="250">
                  <c:v>-7.9667698403125167</c:v>
                </c:pt>
                <c:pt idx="251">
                  <c:v>-7.2092257957210082</c:v>
                </c:pt>
                <c:pt idx="252">
                  <c:v>-6.2190189959391224</c:v>
                </c:pt>
                <c:pt idx="253">
                  <c:v>-6.3013108274902407</c:v>
                </c:pt>
                <c:pt idx="254">
                  <c:v>-5.5031937420787367</c:v>
                </c:pt>
                <c:pt idx="255">
                  <c:v>-5.1084433387887858</c:v>
                </c:pt>
                <c:pt idx="256">
                  <c:v>-4.280522261307099</c:v>
                </c:pt>
                <c:pt idx="257">
                  <c:v>-3.6663143562605964</c:v>
                </c:pt>
                <c:pt idx="258">
                  <c:v>-2.0605583260467073</c:v>
                </c:pt>
                <c:pt idx="259">
                  <c:v>-1.3420173812009746</c:v>
                </c:pt>
                <c:pt idx="260">
                  <c:v>-1.3623516332919079</c:v>
                </c:pt>
                <c:pt idx="261">
                  <c:v>-2.0901767320006885</c:v>
                </c:pt>
                <c:pt idx="262">
                  <c:v>-2.3326604787515075</c:v>
                </c:pt>
                <c:pt idx="263">
                  <c:v>-2.0851810381564362</c:v>
                </c:pt>
                <c:pt idx="264">
                  <c:v>-2.1616150030106565</c:v>
                </c:pt>
                <c:pt idx="265">
                  <c:v>-1.9690923037715298</c:v>
                </c:pt>
                <c:pt idx="266">
                  <c:v>-1.4724165314924333</c:v>
                </c:pt>
                <c:pt idx="267">
                  <c:v>-1.7426232056240887</c:v>
                </c:pt>
                <c:pt idx="268">
                  <c:v>-1.2329689143284517</c:v>
                </c:pt>
                <c:pt idx="269">
                  <c:v>-1.1454733733776319</c:v>
                </c:pt>
                <c:pt idx="270">
                  <c:v>-0.21040424526423321</c:v>
                </c:pt>
                <c:pt idx="271">
                  <c:v>3.6395366503385554E-2</c:v>
                </c:pt>
                <c:pt idx="272">
                  <c:v>-0.26853153825430592</c:v>
                </c:pt>
                <c:pt idx="273">
                  <c:v>1.319463787026937</c:v>
                </c:pt>
                <c:pt idx="274">
                  <c:v>1.1345701889984132</c:v>
                </c:pt>
                <c:pt idx="275">
                  <c:v>2.3098569199585661</c:v>
                </c:pt>
                <c:pt idx="276">
                  <c:v>2.0397040782340858</c:v>
                </c:pt>
                <c:pt idx="277">
                  <c:v>1.3809863911303797</c:v>
                </c:pt>
                <c:pt idx="278">
                  <c:v>1.5728070997446009</c:v>
                </c:pt>
                <c:pt idx="279">
                  <c:v>1.3939354900450931</c:v>
                </c:pt>
                <c:pt idx="280">
                  <c:v>1.027583397511481</c:v>
                </c:pt>
                <c:pt idx="281">
                  <c:v>0.89005335717757295</c:v>
                </c:pt>
                <c:pt idx="282">
                  <c:v>0.92836556684728599</c:v>
                </c:pt>
                <c:pt idx="283">
                  <c:v>1.0097025737160321</c:v>
                </c:pt>
                <c:pt idx="284">
                  <c:v>1.3780170437313455</c:v>
                </c:pt>
                <c:pt idx="285">
                  <c:v>0.71423528866776365</c:v>
                </c:pt>
                <c:pt idx="286">
                  <c:v>0.38578914396013159</c:v>
                </c:pt>
                <c:pt idx="287">
                  <c:v>0.13574727761497313</c:v>
                </c:pt>
                <c:pt idx="288">
                  <c:v>0.91329072413288037</c:v>
                </c:pt>
                <c:pt idx="289">
                  <c:v>2.0429753404802753</c:v>
                </c:pt>
                <c:pt idx="290">
                  <c:v>2.6070745461440472</c:v>
                </c:pt>
                <c:pt idx="291">
                  <c:v>6.2096264821586731</c:v>
                </c:pt>
                <c:pt idx="292">
                  <c:v>2.291311835679696</c:v>
                </c:pt>
                <c:pt idx="293">
                  <c:v>4.0146508179338971</c:v>
                </c:pt>
                <c:pt idx="294">
                  <c:v>3.2621642744303436</c:v>
                </c:pt>
                <c:pt idx="295">
                  <c:v>0.41844576378794512</c:v>
                </c:pt>
                <c:pt idx="296">
                  <c:v>-0.26818148757419508</c:v>
                </c:pt>
                <c:pt idx="297">
                  <c:v>0.23414343602223447</c:v>
                </c:pt>
                <c:pt idx="298">
                  <c:v>-0.31944622328162564</c:v>
                </c:pt>
                <c:pt idx="299">
                  <c:v>-1.7983929509214907</c:v>
                </c:pt>
                <c:pt idx="300">
                  <c:v>-2.2549438161830446</c:v>
                </c:pt>
                <c:pt idx="301">
                  <c:v>-1.9983098528097967</c:v>
                </c:pt>
                <c:pt idx="302">
                  <c:v>0.6886036345178318</c:v>
                </c:pt>
                <c:pt idx="303">
                  <c:v>-1.7973554639830933</c:v>
                </c:pt>
                <c:pt idx="304">
                  <c:v>-1.5762627746144533</c:v>
                </c:pt>
                <c:pt idx="305">
                  <c:v>-0.72200185909027881</c:v>
                </c:pt>
                <c:pt idx="306">
                  <c:v>-0.16698909762346945</c:v>
                </c:pt>
                <c:pt idx="307">
                  <c:v>-0.49243151463227181</c:v>
                </c:pt>
                <c:pt idx="308">
                  <c:v>-6.5701843846750721E-2</c:v>
                </c:pt>
                <c:pt idx="309">
                  <c:v>-0.29871303544589023</c:v>
                </c:pt>
                <c:pt idx="310">
                  <c:v>0.70840997108715131</c:v>
                </c:pt>
                <c:pt idx="311">
                  <c:v>0.92040140327412545</c:v>
                </c:pt>
                <c:pt idx="312">
                  <c:v>0.24008464179711433</c:v>
                </c:pt>
                <c:pt idx="313">
                  <c:v>0.25453006531385536</c:v>
                </c:pt>
                <c:pt idx="314">
                  <c:v>1.2274371838602254</c:v>
                </c:pt>
                <c:pt idx="315">
                  <c:v>1.8888022183393411</c:v>
                </c:pt>
                <c:pt idx="316">
                  <c:v>1.8821674000531057</c:v>
                </c:pt>
                <c:pt idx="317">
                  <c:v>1.0464280715802219</c:v>
                </c:pt>
                <c:pt idx="318">
                  <c:v>1.6674111779592264</c:v>
                </c:pt>
                <c:pt idx="319">
                  <c:v>1.1436756303117783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F3-4041-A58D-2CAA7793A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'240814A010'!$J$2:$J$321</c:f>
              <c:numCache>
                <c:formatCode>0.0</c:formatCode>
                <c:ptCount val="320"/>
                <c:pt idx="0">
                  <c:v>1694.0211321770198</c:v>
                </c:pt>
                <c:pt idx="1">
                  <c:v>1715.6369501210002</c:v>
                </c:pt>
                <c:pt idx="2">
                  <c:v>1725.9444373619899</c:v>
                </c:pt>
                <c:pt idx="3">
                  <c:v>1616.07828059852</c:v>
                </c:pt>
                <c:pt idx="4">
                  <c:v>1725.81047416857</c:v>
                </c:pt>
                <c:pt idx="5">
                  <c:v>1596.3198719707</c:v>
                </c:pt>
                <c:pt idx="6">
                  <c:v>1752.7509614195501</c:v>
                </c:pt>
                <c:pt idx="7">
                  <c:v>1461.1558367513201</c:v>
                </c:pt>
                <c:pt idx="8">
                  <c:v>2019.52403371536</c:v>
                </c:pt>
                <c:pt idx="9">
                  <c:v>2065.79605259449</c:v>
                </c:pt>
                <c:pt idx="10">
                  <c:v>1997.6530991240502</c:v>
                </c:pt>
                <c:pt idx="11">
                  <c:v>2020.6033125879899</c:v>
                </c:pt>
                <c:pt idx="12">
                  <c:v>1928.1057026860499</c:v>
                </c:pt>
                <c:pt idx="13">
                  <c:v>1833.0523225109</c:v>
                </c:pt>
                <c:pt idx="14">
                  <c:v>1938.8276816371401</c:v>
                </c:pt>
                <c:pt idx="15">
                  <c:v>1992.5361994728901</c:v>
                </c:pt>
                <c:pt idx="16">
                  <c:v>1946.4667693435802</c:v>
                </c:pt>
                <c:pt idx="17">
                  <c:v>1913.3575280969801</c:v>
                </c:pt>
                <c:pt idx="18">
                  <c:v>1988.2659158147401</c:v>
                </c:pt>
                <c:pt idx="19">
                  <c:v>1930.6366589314498</c:v>
                </c:pt>
                <c:pt idx="20">
                  <c:v>1945.1872419455601</c:v>
                </c:pt>
                <c:pt idx="21">
                  <c:v>1745.42043968655</c:v>
                </c:pt>
                <c:pt idx="22">
                  <c:v>1782.1101527436001</c:v>
                </c:pt>
                <c:pt idx="23">
                  <c:v>1724.1589811265701</c:v>
                </c:pt>
                <c:pt idx="24">
                  <c:v>1815.36925188739</c:v>
                </c:pt>
                <c:pt idx="25">
                  <c:v>1827.3273850378</c:v>
                </c:pt>
                <c:pt idx="26">
                  <c:v>1794.51338366506</c:v>
                </c:pt>
                <c:pt idx="27">
                  <c:v>1767.4269045984699</c:v>
                </c:pt>
                <c:pt idx="28">
                  <c:v>1889.6851060066599</c:v>
                </c:pt>
                <c:pt idx="29">
                  <c:v>1873.1595422444002</c:v>
                </c:pt>
                <c:pt idx="30">
                  <c:v>1940.2311334801102</c:v>
                </c:pt>
                <c:pt idx="31">
                  <c:v>1890.4489755366901</c:v>
                </c:pt>
                <c:pt idx="32">
                  <c:v>1907.24747484198</c:v>
                </c:pt>
                <c:pt idx="33">
                  <c:v>1923.0778053520201</c:v>
                </c:pt>
                <c:pt idx="34">
                  <c:v>1930.0981174224398</c:v>
                </c:pt>
                <c:pt idx="35">
                  <c:v>1873.9740325488999</c:v>
                </c:pt>
                <c:pt idx="36">
                  <c:v>1863.7772246199302</c:v>
                </c:pt>
                <c:pt idx="37">
                  <c:v>1847.7705878110501</c:v>
                </c:pt>
                <c:pt idx="38">
                  <c:v>1830.4650410059901</c:v>
                </c:pt>
                <c:pt idx="39">
                  <c:v>1797.74987517882</c:v>
                </c:pt>
                <c:pt idx="40">
                  <c:v>1826.6712422786302</c:v>
                </c:pt>
                <c:pt idx="41">
                  <c:v>1802.6817427015899</c:v>
                </c:pt>
                <c:pt idx="42">
                  <c:v>1784.49384555302</c:v>
                </c:pt>
                <c:pt idx="43">
                  <c:v>1904.1492730423099</c:v>
                </c:pt>
                <c:pt idx="44">
                  <c:v>1822.69390507971</c:v>
                </c:pt>
                <c:pt idx="45">
                  <c:v>1881.08860243651</c:v>
                </c:pt>
                <c:pt idx="46">
                  <c:v>1814.9219500686299</c:v>
                </c:pt>
                <c:pt idx="47">
                  <c:v>1792.98482681056</c:v>
                </c:pt>
                <c:pt idx="48">
                  <c:v>1770.9081929254401</c:v>
                </c:pt>
                <c:pt idx="49">
                  <c:v>1817.67094987829</c:v>
                </c:pt>
                <c:pt idx="50">
                  <c:v>1785.40967929979</c:v>
                </c:pt>
                <c:pt idx="51">
                  <c:v>1850.5609294922499</c:v>
                </c:pt>
                <c:pt idx="52">
                  <c:v>1870.9497777659599</c:v>
                </c:pt>
                <c:pt idx="53">
                  <c:v>1810.4768769956299</c:v>
                </c:pt>
                <c:pt idx="54">
                  <c:v>1795.1055306466099</c:v>
                </c:pt>
                <c:pt idx="55">
                  <c:v>1816.7180825384801</c:v>
                </c:pt>
                <c:pt idx="56">
                  <c:v>1874.59735921828</c:v>
                </c:pt>
                <c:pt idx="57">
                  <c:v>1863.1341063858299</c:v>
                </c:pt>
                <c:pt idx="58">
                  <c:v>1871.3187337417401</c:v>
                </c:pt>
                <c:pt idx="59">
                  <c:v>1831.7748798902098</c:v>
                </c:pt>
                <c:pt idx="60">
                  <c:v>1839.61976664381</c:v>
                </c:pt>
                <c:pt idx="61">
                  <c:v>1838.11873713111</c:v>
                </c:pt>
                <c:pt idx="62">
                  <c:v>1802.76595744677</c:v>
                </c:pt>
                <c:pt idx="63">
                  <c:v>1798.21506450217</c:v>
                </c:pt>
                <c:pt idx="64">
                  <c:v>1828.5020810897001</c:v>
                </c:pt>
                <c:pt idx="65">
                  <c:v>1835.84239536108</c:v>
                </c:pt>
                <c:pt idx="66">
                  <c:v>1782.4052362101199</c:v>
                </c:pt>
                <c:pt idx="67">
                  <c:v>1869.47839573599</c:v>
                </c:pt>
                <c:pt idx="68">
                  <c:v>1830.8357154584</c:v>
                </c:pt>
                <c:pt idx="69">
                  <c:v>1795.24071968513</c:v>
                </c:pt>
                <c:pt idx="70">
                  <c:v>1768.5822798684899</c:v>
                </c:pt>
                <c:pt idx="71">
                  <c:v>1752.6708492132698</c:v>
                </c:pt>
                <c:pt idx="72">
                  <c:v>1748.1597789699199</c:v>
                </c:pt>
                <c:pt idx="73">
                  <c:v>1798.9547906190901</c:v>
                </c:pt>
                <c:pt idx="74">
                  <c:v>1839.5098926598901</c:v>
                </c:pt>
                <c:pt idx="75">
                  <c:v>1795.8720865539101</c:v>
                </c:pt>
                <c:pt idx="76">
                  <c:v>1722.9136901812399</c:v>
                </c:pt>
                <c:pt idx="77">
                  <c:v>1775.02094228389</c:v>
                </c:pt>
                <c:pt idx="78">
                  <c:v>1837.76876948988</c:v>
                </c:pt>
                <c:pt idx="79">
                  <c:v>1830.6172223404001</c:v>
                </c:pt>
                <c:pt idx="80">
                  <c:v>1835.67587285441</c:v>
                </c:pt>
                <c:pt idx="81">
                  <c:v>1777.5991419096201</c:v>
                </c:pt>
                <c:pt idx="82">
                  <c:v>1781.2870735234098</c:v>
                </c:pt>
                <c:pt idx="83">
                  <c:v>1780.55809213721</c:v>
                </c:pt>
                <c:pt idx="84">
                  <c:v>1822.61290322586</c:v>
                </c:pt>
                <c:pt idx="85">
                  <c:v>1877.44474948525</c:v>
                </c:pt>
                <c:pt idx="86">
                  <c:v>1795.3018706585599</c:v>
                </c:pt>
                <c:pt idx="87">
                  <c:v>1769.5150502269</c:v>
                </c:pt>
                <c:pt idx="88">
                  <c:v>1764.5405326612802</c:v>
                </c:pt>
                <c:pt idx="89">
                  <c:v>1783.7190529044001</c:v>
                </c:pt>
                <c:pt idx="90">
                  <c:v>1814.24263592855</c:v>
                </c:pt>
                <c:pt idx="91">
                  <c:v>1729.4611716961999</c:v>
                </c:pt>
                <c:pt idx="92">
                  <c:v>1686.6366168255402</c:v>
                </c:pt>
                <c:pt idx="93">
                  <c:v>1654.21621121575</c:v>
                </c:pt>
                <c:pt idx="94">
                  <c:v>1680.9095122114002</c:v>
                </c:pt>
                <c:pt idx="95">
                  <c:v>1746.06428375664</c:v>
                </c:pt>
                <c:pt idx="96">
                  <c:v>1741.8650882372701</c:v>
                </c:pt>
                <c:pt idx="97">
                  <c:v>1784.30566702076</c:v>
                </c:pt>
                <c:pt idx="98">
                  <c:v>1699.3849347975299</c:v>
                </c:pt>
                <c:pt idx="99">
                  <c:v>1716.6298915956099</c:v>
                </c:pt>
                <c:pt idx="100">
                  <c:v>1662.2216276751499</c:v>
                </c:pt>
                <c:pt idx="101">
                  <c:v>1688.09389843085</c:v>
                </c:pt>
                <c:pt idx="102">
                  <c:v>1736.6713025336301</c:v>
                </c:pt>
                <c:pt idx="103">
                  <c:v>1758.9772866998001</c:v>
                </c:pt>
                <c:pt idx="104">
                  <c:v>1752.12618213102</c:v>
                </c:pt>
                <c:pt idx="105">
                  <c:v>1839.82027193413</c:v>
                </c:pt>
                <c:pt idx="106">
                  <c:v>1878.3136582018101</c:v>
                </c:pt>
                <c:pt idx="107">
                  <c:v>1865.3373308657999</c:v>
                </c:pt>
                <c:pt idx="108">
                  <c:v>1882.8725275668401</c:v>
                </c:pt>
                <c:pt idx="109">
                  <c:v>1865.43204251834</c:v>
                </c:pt>
                <c:pt idx="110">
                  <c:v>1818.5380792685201</c:v>
                </c:pt>
                <c:pt idx="111">
                  <c:v>1832.1234775904302</c:v>
                </c:pt>
                <c:pt idx="112">
                  <c:v>1850.8765181582</c:v>
                </c:pt>
                <c:pt idx="113">
                  <c:v>1880.9961831563201</c:v>
                </c:pt>
                <c:pt idx="114">
                  <c:v>1900.6097722576401</c:v>
                </c:pt>
                <c:pt idx="115">
                  <c:v>1859.26162344718</c:v>
                </c:pt>
                <c:pt idx="116">
                  <c:v>1843.9821645023401</c:v>
                </c:pt>
                <c:pt idx="117">
                  <c:v>1860.88430117542</c:v>
                </c:pt>
                <c:pt idx="118">
                  <c:v>1867.9175274711602</c:v>
                </c:pt>
                <c:pt idx="119">
                  <c:v>1894.4774557347</c:v>
                </c:pt>
                <c:pt idx="120">
                  <c:v>1904.5768477783799</c:v>
                </c:pt>
                <c:pt idx="121">
                  <c:v>1923.0711165430901</c:v>
                </c:pt>
                <c:pt idx="122">
                  <c:v>1890.9421461683201</c:v>
                </c:pt>
                <c:pt idx="123">
                  <c:v>1936.5465798238001</c:v>
                </c:pt>
                <c:pt idx="124">
                  <c:v>1952.7714298474198</c:v>
                </c:pt>
                <c:pt idx="125">
                  <c:v>1905.5086331124301</c:v>
                </c:pt>
                <c:pt idx="126">
                  <c:v>1859.64319688407</c:v>
                </c:pt>
                <c:pt idx="127">
                  <c:v>1870.9241079203898</c:v>
                </c:pt>
                <c:pt idx="128">
                  <c:v>1839.28140625694</c:v>
                </c:pt>
                <c:pt idx="129">
                  <c:v>1815.56270693958</c:v>
                </c:pt>
                <c:pt idx="130">
                  <c:v>1822.8862562883098</c:v>
                </c:pt>
                <c:pt idx="131">
                  <c:v>1885.8832049202599</c:v>
                </c:pt>
                <c:pt idx="132">
                  <c:v>1863.29229798602</c:v>
                </c:pt>
                <c:pt idx="133">
                  <c:v>1906.6868491556299</c:v>
                </c:pt>
                <c:pt idx="134">
                  <c:v>1894.2663917541199</c:v>
                </c:pt>
                <c:pt idx="135">
                  <c:v>1931.0312687176599</c:v>
                </c:pt>
                <c:pt idx="136">
                  <c:v>1860.68864407814</c:v>
                </c:pt>
                <c:pt idx="137">
                  <c:v>1794.6186779311299</c:v>
                </c:pt>
                <c:pt idx="138">
                  <c:v>1796.8334661203999</c:v>
                </c:pt>
                <c:pt idx="139">
                  <c:v>1762.1043503692799</c:v>
                </c:pt>
                <c:pt idx="140">
                  <c:v>1716.7992436233201</c:v>
                </c:pt>
                <c:pt idx="141">
                  <c:v>1726.3540575873101</c:v>
                </c:pt>
                <c:pt idx="142">
                  <c:v>1711.36883774786</c:v>
                </c:pt>
                <c:pt idx="143">
                  <c:v>1694.90361379964</c:v>
                </c:pt>
                <c:pt idx="144">
                  <c:v>1673.56479580165</c:v>
                </c:pt>
                <c:pt idx="145">
                  <c:v>1670.62735235486</c:v>
                </c:pt>
                <c:pt idx="146">
                  <c:v>1662.4897095420201</c:v>
                </c:pt>
                <c:pt idx="147">
                  <c:v>1653.0460409283598</c:v>
                </c:pt>
                <c:pt idx="148">
                  <c:v>1665.2201532362701</c:v>
                </c:pt>
                <c:pt idx="149">
                  <c:v>1654.1314078410701</c:v>
                </c:pt>
                <c:pt idx="150">
                  <c:v>1675.5942057811001</c:v>
                </c:pt>
                <c:pt idx="151">
                  <c:v>1675.2775986440899</c:v>
                </c:pt>
                <c:pt idx="152">
                  <c:v>1683.08408620828</c:v>
                </c:pt>
                <c:pt idx="153">
                  <c:v>1678.8144743415401</c:v>
                </c:pt>
                <c:pt idx="154">
                  <c:v>1656.29553924521</c:v>
                </c:pt>
                <c:pt idx="155">
                  <c:v>1649.9707623063</c:v>
                </c:pt>
                <c:pt idx="156">
                  <c:v>1652.9227860808001</c:v>
                </c:pt>
                <c:pt idx="157">
                  <c:v>1646.54235382555</c:v>
                </c:pt>
                <c:pt idx="158">
                  <c:v>1635.09943598577</c:v>
                </c:pt>
                <c:pt idx="159">
                  <c:v>1657.4053562674201</c:v>
                </c:pt>
                <c:pt idx="160">
                  <c:v>1663.23527983603</c:v>
                </c:pt>
                <c:pt idx="161">
                  <c:v>1657.30502850422</c:v>
                </c:pt>
                <c:pt idx="162">
                  <c:v>1689.28962363255</c:v>
                </c:pt>
                <c:pt idx="163">
                  <c:v>1747.8192255076499</c:v>
                </c:pt>
                <c:pt idx="164">
                  <c:v>1738.53622110475</c:v>
                </c:pt>
                <c:pt idx="165">
                  <c:v>1775.9144944182401</c:v>
                </c:pt>
                <c:pt idx="166">
                  <c:v>1873.6483749573799</c:v>
                </c:pt>
                <c:pt idx="167">
                  <c:v>1918.5329154585199</c:v>
                </c:pt>
                <c:pt idx="168">
                  <c:v>1853.38959910116</c:v>
                </c:pt>
                <c:pt idx="169">
                  <c:v>1900.70958810093</c:v>
                </c:pt>
                <c:pt idx="170">
                  <c:v>1835.36671383308</c:v>
                </c:pt>
                <c:pt idx="171">
                  <c:v>1750.7748244187201</c:v>
                </c:pt>
                <c:pt idx="172">
                  <c:v>1831.4413845300001</c:v>
                </c:pt>
                <c:pt idx="173">
                  <c:v>1912.3510657102202</c:v>
                </c:pt>
                <c:pt idx="174">
                  <c:v>1901.99059288647</c:v>
                </c:pt>
                <c:pt idx="175">
                  <c:v>1844.77394845957</c:v>
                </c:pt>
                <c:pt idx="176">
                  <c:v>1860.04890266856</c:v>
                </c:pt>
                <c:pt idx="177">
                  <c:v>1860.58663213062</c:v>
                </c:pt>
                <c:pt idx="178">
                  <c:v>1829.0239860849301</c:v>
                </c:pt>
                <c:pt idx="179">
                  <c:v>1843.78725688949</c:v>
                </c:pt>
                <c:pt idx="180">
                  <c:v>1631.2241843163101</c:v>
                </c:pt>
                <c:pt idx="181">
                  <c:v>1729.5751488317701</c:v>
                </c:pt>
                <c:pt idx="182">
                  <c:v>1812.0634218055</c:v>
                </c:pt>
                <c:pt idx="183">
                  <c:v>1841.8315203403401</c:v>
                </c:pt>
                <c:pt idx="184">
                  <c:v>1851.1879354913401</c:v>
                </c:pt>
                <c:pt idx="185">
                  <c:v>1856.00359956435</c:v>
                </c:pt>
                <c:pt idx="186">
                  <c:v>1825.71327965966</c:v>
                </c:pt>
                <c:pt idx="187">
                  <c:v>1834.58498012425</c:v>
                </c:pt>
                <c:pt idx="188">
                  <c:v>1844.6256148380799</c:v>
                </c:pt>
                <c:pt idx="189">
                  <c:v>1859.2371254500902</c:v>
                </c:pt>
                <c:pt idx="190">
                  <c:v>1858.3830437551001</c:v>
                </c:pt>
                <c:pt idx="191">
                  <c:v>1813.5957256028798</c:v>
                </c:pt>
                <c:pt idx="192">
                  <c:v>1803.9882470364801</c:v>
                </c:pt>
                <c:pt idx="193">
                  <c:v>1734.25465002389</c:v>
                </c:pt>
                <c:pt idx="194">
                  <c:v>1730.9656829101</c:v>
                </c:pt>
                <c:pt idx="195">
                  <c:v>1632.0192175703701</c:v>
                </c:pt>
                <c:pt idx="196">
                  <c:v>1760.10343621574</c:v>
                </c:pt>
                <c:pt idx="197">
                  <c:v>1765.2776581191499</c:v>
                </c:pt>
                <c:pt idx="198">
                  <c:v>1817.2329261914601</c:v>
                </c:pt>
                <c:pt idx="199">
                  <c:v>1841.0758139766601</c:v>
                </c:pt>
                <c:pt idx="200">
                  <c:v>1842.7421596049801</c:v>
                </c:pt>
                <c:pt idx="201">
                  <c:v>1737.51637388426</c:v>
                </c:pt>
                <c:pt idx="202">
                  <c:v>1681.4337087606</c:v>
                </c:pt>
                <c:pt idx="203">
                  <c:v>1698.6259628497801</c:v>
                </c:pt>
                <c:pt idx="204">
                  <c:v>1715.1020724912698</c:v>
                </c:pt>
                <c:pt idx="205">
                  <c:v>1759.29408185129</c:v>
                </c:pt>
                <c:pt idx="206">
                  <c:v>1744.27554083783</c:v>
                </c:pt>
                <c:pt idx="207">
                  <c:v>1692.9200707682198</c:v>
                </c:pt>
                <c:pt idx="208">
                  <c:v>1752.7445816040699</c:v>
                </c:pt>
                <c:pt idx="209">
                  <c:v>1793.97420556984</c:v>
                </c:pt>
                <c:pt idx="210">
                  <c:v>1725.6636561995899</c:v>
                </c:pt>
                <c:pt idx="211">
                  <c:v>1678.7777559443798</c:v>
                </c:pt>
                <c:pt idx="212">
                  <c:v>1568.6163137804201</c:v>
                </c:pt>
                <c:pt idx="213">
                  <c:v>1561.6709280555501</c:v>
                </c:pt>
                <c:pt idx="214">
                  <c:v>1590.10181782261</c:v>
                </c:pt>
                <c:pt idx="215">
                  <c:v>1580.5163340921399</c:v>
                </c:pt>
                <c:pt idx="216">
                  <c:v>1597.3324665887999</c:v>
                </c:pt>
                <c:pt idx="217">
                  <c:v>1617.60054860523</c:v>
                </c:pt>
                <c:pt idx="218">
                  <c:v>1599.5995734007001</c:v>
                </c:pt>
                <c:pt idx="219">
                  <c:v>1593.0540299874101</c:v>
                </c:pt>
                <c:pt idx="220">
                  <c:v>1602.9707766337201</c:v>
                </c:pt>
                <c:pt idx="221">
                  <c:v>1688.6313705761002</c:v>
                </c:pt>
                <c:pt idx="222">
                  <c:v>1678.75567677402</c:v>
                </c:pt>
                <c:pt idx="223">
                  <c:v>1677.3213660253</c:v>
                </c:pt>
                <c:pt idx="224">
                  <c:v>1694.4928176569199</c:v>
                </c:pt>
                <c:pt idx="225">
                  <c:v>1677.29326890794</c:v>
                </c:pt>
                <c:pt idx="226">
                  <c:v>1661.7963229424299</c:v>
                </c:pt>
                <c:pt idx="227">
                  <c:v>1648.8340838642798</c:v>
                </c:pt>
                <c:pt idx="228">
                  <c:v>1627.6945219480101</c:v>
                </c:pt>
                <c:pt idx="229">
                  <c:v>1636.5484551714101</c:v>
                </c:pt>
                <c:pt idx="230">
                  <c:v>1628.45126180585</c:v>
                </c:pt>
                <c:pt idx="231">
                  <c:v>1630.2495551833299</c:v>
                </c:pt>
                <c:pt idx="232">
                  <c:v>1635.2955321573402</c:v>
                </c:pt>
                <c:pt idx="233">
                  <c:v>1607.8737429500702</c:v>
                </c:pt>
                <c:pt idx="234">
                  <c:v>1600.5371449860199</c:v>
                </c:pt>
                <c:pt idx="235">
                  <c:v>1590.0392995956599</c:v>
                </c:pt>
                <c:pt idx="236">
                  <c:v>1590.4712808853801</c:v>
                </c:pt>
                <c:pt idx="237">
                  <c:v>1604.75482071182</c:v>
                </c:pt>
                <c:pt idx="238">
                  <c:v>1488.6164347321198</c:v>
                </c:pt>
                <c:pt idx="239">
                  <c:v>1493.00869554574</c:v>
                </c:pt>
                <c:pt idx="240">
                  <c:v>1497.21711655475</c:v>
                </c:pt>
                <c:pt idx="241">
                  <c:v>1476.5613823997101</c:v>
                </c:pt>
                <c:pt idx="242">
                  <c:v>1494.52438820015</c:v>
                </c:pt>
                <c:pt idx="243">
                  <c:v>1508.42859597438</c:v>
                </c:pt>
                <c:pt idx="244">
                  <c:v>1447.5041811302501</c:v>
                </c:pt>
                <c:pt idx="245">
                  <c:v>1488.1299064259499</c:v>
                </c:pt>
                <c:pt idx="246">
                  <c:v>1523.3353909465</c:v>
                </c:pt>
                <c:pt idx="247">
                  <c:v>1506.8780707676101</c:v>
                </c:pt>
                <c:pt idx="248">
                  <c:v>1465.2459918674899</c:v>
                </c:pt>
                <c:pt idx="249">
                  <c:v>1472.1116562303298</c:v>
                </c:pt>
                <c:pt idx="250">
                  <c:v>1489.94066156194</c:v>
                </c:pt>
                <c:pt idx="251">
                  <c:v>1488.3542837048799</c:v>
                </c:pt>
                <c:pt idx="252">
                  <c:v>1494.7010035277399</c:v>
                </c:pt>
                <c:pt idx="253">
                  <c:v>1474.5195099011401</c:v>
                </c:pt>
                <c:pt idx="254">
                  <c:v>1465.42918393115</c:v>
                </c:pt>
                <c:pt idx="255">
                  <c:v>1474.5840651017302</c:v>
                </c:pt>
                <c:pt idx="256">
                  <c:v>1462.5539507961798</c:v>
                </c:pt>
                <c:pt idx="257">
                  <c:v>1458.27822874859</c:v>
                </c:pt>
                <c:pt idx="258">
                  <c:v>1453.03897319876</c:v>
                </c:pt>
                <c:pt idx="259">
                  <c:v>1472.31436760989</c:v>
                </c:pt>
                <c:pt idx="260">
                  <c:v>1499.30855441733</c:v>
                </c:pt>
                <c:pt idx="261">
                  <c:v>1540.54613553791</c:v>
                </c:pt>
                <c:pt idx="262">
                  <c:v>1516.7264890275201</c:v>
                </c:pt>
                <c:pt idx="263">
                  <c:v>1521.6067162640602</c:v>
                </c:pt>
                <c:pt idx="264">
                  <c:v>1471.8324888222</c:v>
                </c:pt>
                <c:pt idx="265">
                  <c:v>1457.9018131098101</c:v>
                </c:pt>
                <c:pt idx="266">
                  <c:v>1445.8467993782501</c:v>
                </c:pt>
                <c:pt idx="267">
                  <c:v>1447.9449782658799</c:v>
                </c:pt>
                <c:pt idx="268">
                  <c:v>1423.4681448906599</c:v>
                </c:pt>
                <c:pt idx="269">
                  <c:v>1435.4042190719899</c:v>
                </c:pt>
                <c:pt idx="270">
                  <c:v>1458.20438015994</c:v>
                </c:pt>
                <c:pt idx="271">
                  <c:v>1440.2316182319801</c:v>
                </c:pt>
                <c:pt idx="272">
                  <c:v>1438.12953218607</c:v>
                </c:pt>
                <c:pt idx="273">
                  <c:v>1434.5493563545001</c:v>
                </c:pt>
                <c:pt idx="274">
                  <c:v>1426.7219327159</c:v>
                </c:pt>
                <c:pt idx="275">
                  <c:v>1430.8158810453599</c:v>
                </c:pt>
                <c:pt idx="276">
                  <c:v>1449.4355008177001</c:v>
                </c:pt>
                <c:pt idx="277">
                  <c:v>1471.94420389531</c:v>
                </c:pt>
                <c:pt idx="278">
                  <c:v>1492.5586681015</c:v>
                </c:pt>
                <c:pt idx="279">
                  <c:v>1449.2765293700302</c:v>
                </c:pt>
                <c:pt idx="280">
                  <c:v>1368.0211611145501</c:v>
                </c:pt>
                <c:pt idx="281">
                  <c:v>1355.23839421247</c:v>
                </c:pt>
                <c:pt idx="282">
                  <c:v>1492.29282219168</c:v>
                </c:pt>
                <c:pt idx="283">
                  <c:v>1583.9673926866301</c:v>
                </c:pt>
                <c:pt idx="284">
                  <c:v>1666.3746996086302</c:v>
                </c:pt>
                <c:pt idx="285">
                  <c:v>1610.1306209429899</c:v>
                </c:pt>
                <c:pt idx="286">
                  <c:v>1614.52937711206</c:v>
                </c:pt>
                <c:pt idx="287">
                  <c:v>1585.1798519408901</c:v>
                </c:pt>
                <c:pt idx="288">
                  <c:v>1462.3786880402399</c:v>
                </c:pt>
                <c:pt idx="289">
                  <c:v>1473.2523713691201</c:v>
                </c:pt>
                <c:pt idx="290">
                  <c:v>1555.8784788804101</c:v>
                </c:pt>
                <c:pt idx="291">
                  <c:v>1527.9047902897</c:v>
                </c:pt>
                <c:pt idx="292">
                  <c:v>1450.4643445435802</c:v>
                </c:pt>
                <c:pt idx="293">
                  <c:v>1410.00187615766</c:v>
                </c:pt>
                <c:pt idx="294">
                  <c:v>1316.4771772547801</c:v>
                </c:pt>
                <c:pt idx="295">
                  <c:v>1421.4200106241799</c:v>
                </c:pt>
                <c:pt idx="296">
                  <c:v>1554.5364266233</c:v>
                </c:pt>
                <c:pt idx="297">
                  <c:v>1594.8660141856901</c:v>
                </c:pt>
                <c:pt idx="298">
                  <c:v>1627.9206180097001</c:v>
                </c:pt>
                <c:pt idx="299">
                  <c:v>1493.3586659856301</c:v>
                </c:pt>
                <c:pt idx="300">
                  <c:v>1506.4078697064699</c:v>
                </c:pt>
                <c:pt idx="301">
                  <c:v>1532.8648751603898</c:v>
                </c:pt>
                <c:pt idx="302">
                  <c:v>1591.8600466938701</c:v>
                </c:pt>
                <c:pt idx="303">
                  <c:v>1448.1463541277901</c:v>
                </c:pt>
                <c:pt idx="304">
                  <c:v>1435.4129615696199</c:v>
                </c:pt>
                <c:pt idx="305">
                  <c:v>1512.42041314571</c:v>
                </c:pt>
                <c:pt idx="306">
                  <c:v>1504.4187355261602</c:v>
                </c:pt>
                <c:pt idx="307">
                  <c:v>1530.9644980972598</c:v>
                </c:pt>
                <c:pt idx="308">
                  <c:v>1480.4984998664399</c:v>
                </c:pt>
                <c:pt idx="309">
                  <c:v>1515.5282278126401</c:v>
                </c:pt>
                <c:pt idx="310">
                  <c:v>1556.26590882698</c:v>
                </c:pt>
                <c:pt idx="311">
                  <c:v>1592.5852541305301</c:v>
                </c:pt>
                <c:pt idx="312">
                  <c:v>1611.51275585591</c:v>
                </c:pt>
                <c:pt idx="313">
                  <c:v>1617.22001738982</c:v>
                </c:pt>
                <c:pt idx="314">
                  <c:v>1627.8806260909701</c:v>
                </c:pt>
                <c:pt idx="315">
                  <c:v>1638.0493637413399</c:v>
                </c:pt>
                <c:pt idx="316">
                  <c:v>1575.5876926737001</c:v>
                </c:pt>
                <c:pt idx="317">
                  <c:v>1619.731667735</c:v>
                </c:pt>
                <c:pt idx="318">
                  <c:v>1667.75716481363</c:v>
                </c:pt>
                <c:pt idx="319">
                  <c:v>1671.3430382567099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6-C746-A28A-B4707AB9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E-844F-BDB6-DAAD7D18C89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'240814A010'!$P$2:$P$321</c:f>
              <c:numCache>
                <c:formatCode>General</c:formatCode>
                <c:ptCount val="320"/>
                <c:pt idx="0">
                  <c:v>30.581434870116851</c:v>
                </c:pt>
                <c:pt idx="1">
                  <c:v>32.279429416277225</c:v>
                </c:pt>
                <c:pt idx="2">
                  <c:v>33.570313044590108</c:v>
                </c:pt>
                <c:pt idx="3">
                  <c:v>36.249794787965698</c:v>
                </c:pt>
                <c:pt idx="4">
                  <c:v>36.316119778799653</c:v>
                </c:pt>
                <c:pt idx="5">
                  <c:v>38.827226513945334</c:v>
                </c:pt>
                <c:pt idx="6">
                  <c:v>37.794274143299894</c:v>
                </c:pt>
                <c:pt idx="7">
                  <c:v>47.15748970927141</c:v>
                </c:pt>
                <c:pt idx="8">
                  <c:v>31.559094987317483</c:v>
                </c:pt>
                <c:pt idx="9">
                  <c:v>29.821304199301235</c:v>
                </c:pt>
                <c:pt idx="10">
                  <c:v>28.020557098464643</c:v>
                </c:pt>
                <c:pt idx="11">
                  <c:v>28.899568742273228</c:v>
                </c:pt>
                <c:pt idx="12">
                  <c:v>26.474949421650084</c:v>
                </c:pt>
                <c:pt idx="13">
                  <c:v>26.390747527685001</c:v>
                </c:pt>
                <c:pt idx="14">
                  <c:v>24.103743868820139</c:v>
                </c:pt>
                <c:pt idx="15">
                  <c:v>23.786807450469052</c:v>
                </c:pt>
                <c:pt idx="16">
                  <c:v>21.401315793497467</c:v>
                </c:pt>
                <c:pt idx="17">
                  <c:v>19.870161833828316</c:v>
                </c:pt>
                <c:pt idx="18">
                  <c:v>19.212201349395993</c:v>
                </c:pt>
                <c:pt idx="19">
                  <c:v>16.385848636306815</c:v>
                </c:pt>
                <c:pt idx="20">
                  <c:v>16.377685367520101</c:v>
                </c:pt>
                <c:pt idx="21">
                  <c:v>17.753307342161804</c:v>
                </c:pt>
                <c:pt idx="22">
                  <c:v>16.790362885197109</c:v>
                </c:pt>
                <c:pt idx="23">
                  <c:v>16.873139259094227</c:v>
                </c:pt>
                <c:pt idx="24">
                  <c:v>15.426938737691057</c:v>
                </c:pt>
                <c:pt idx="25">
                  <c:v>15.086300818853953</c:v>
                </c:pt>
                <c:pt idx="26">
                  <c:v>12.61195399149393</c:v>
                </c:pt>
                <c:pt idx="27">
                  <c:v>12.086224742253386</c:v>
                </c:pt>
                <c:pt idx="28">
                  <c:v>14.246229093385528</c:v>
                </c:pt>
                <c:pt idx="29">
                  <c:v>13.278681464381483</c:v>
                </c:pt>
                <c:pt idx="30">
                  <c:v>13.683318133056169</c:v>
                </c:pt>
                <c:pt idx="31">
                  <c:v>11.375415252913713</c:v>
                </c:pt>
                <c:pt idx="32">
                  <c:v>10.933026744744861</c:v>
                </c:pt>
                <c:pt idx="33">
                  <c:v>10.160959712250943</c:v>
                </c:pt>
                <c:pt idx="34">
                  <c:v>9.9397997355288439</c:v>
                </c:pt>
                <c:pt idx="35">
                  <c:v>7.1293043464903159</c:v>
                </c:pt>
                <c:pt idx="36">
                  <c:v>6.5746044641351213</c:v>
                </c:pt>
                <c:pt idx="37">
                  <c:v>5.4811151095885897</c:v>
                </c:pt>
                <c:pt idx="38">
                  <c:v>5.2813582260692824</c:v>
                </c:pt>
                <c:pt idx="39">
                  <c:v>6.8418539086438264</c:v>
                </c:pt>
                <c:pt idx="40">
                  <c:v>7.4656308563177314</c:v>
                </c:pt>
                <c:pt idx="41">
                  <c:v>5.7644645350887487</c:v>
                </c:pt>
                <c:pt idx="42">
                  <c:v>5.3777661511253081</c:v>
                </c:pt>
                <c:pt idx="43">
                  <c:v>4.5589276973979258</c:v>
                </c:pt>
                <c:pt idx="44">
                  <c:v>5.1052024751414233</c:v>
                </c:pt>
                <c:pt idx="45">
                  <c:v>3.8689053014355426</c:v>
                </c:pt>
                <c:pt idx="46">
                  <c:v>1.3875954665570325</c:v>
                </c:pt>
                <c:pt idx="47">
                  <c:v>2.6358864214881854</c:v>
                </c:pt>
                <c:pt idx="48">
                  <c:v>2.5590701383406222</c:v>
                </c:pt>
                <c:pt idx="49">
                  <c:v>0.85384974517008638</c:v>
                </c:pt>
                <c:pt idx="50">
                  <c:v>0.57337207545928726</c:v>
                </c:pt>
                <c:pt idx="51">
                  <c:v>1.5407349318084669</c:v>
                </c:pt>
                <c:pt idx="52">
                  <c:v>2.0938642353939918</c:v>
                </c:pt>
                <c:pt idx="53">
                  <c:v>0.63199852152861569</c:v>
                </c:pt>
                <c:pt idx="54">
                  <c:v>9.2215662457811029E-2</c:v>
                </c:pt>
                <c:pt idx="55">
                  <c:v>2.2581163855803155</c:v>
                </c:pt>
                <c:pt idx="56">
                  <c:v>2.4909738925569558</c:v>
                </c:pt>
                <c:pt idx="57">
                  <c:v>1.0010725709344903</c:v>
                </c:pt>
                <c:pt idx="58">
                  <c:v>1.2627286299108105</c:v>
                </c:pt>
                <c:pt idx="59">
                  <c:v>-1.543509620044861</c:v>
                </c:pt>
                <c:pt idx="60">
                  <c:v>-2.4706142564071016</c:v>
                </c:pt>
                <c:pt idx="61">
                  <c:v>-2.7069830942266626</c:v>
                </c:pt>
                <c:pt idx="62">
                  <c:v>-1.4937681882840126</c:v>
                </c:pt>
                <c:pt idx="63">
                  <c:v>-0.33684959666678477</c:v>
                </c:pt>
                <c:pt idx="64">
                  <c:v>1.0174829065964734</c:v>
                </c:pt>
                <c:pt idx="65">
                  <c:v>4.1622080101331633</c:v>
                </c:pt>
                <c:pt idx="66">
                  <c:v>0.76386118723725194</c:v>
                </c:pt>
                <c:pt idx="67">
                  <c:v>1.6200318910987659</c:v>
                </c:pt>
                <c:pt idx="68">
                  <c:v>-1.2960567513147401</c:v>
                </c:pt>
                <c:pt idx="69">
                  <c:v>-1.8332369270592082</c:v>
                </c:pt>
                <c:pt idx="70">
                  <c:v>-2.6349347819431173</c:v>
                </c:pt>
                <c:pt idx="71">
                  <c:v>-0.10720292499580089</c:v>
                </c:pt>
                <c:pt idx="72">
                  <c:v>1.2112564577463414</c:v>
                </c:pt>
                <c:pt idx="73">
                  <c:v>1.9633681335365325</c:v>
                </c:pt>
                <c:pt idx="74">
                  <c:v>2.3904852924396791</c:v>
                </c:pt>
                <c:pt idx="75">
                  <c:v>-0.25726262606207845</c:v>
                </c:pt>
                <c:pt idx="76">
                  <c:v>-0.60300546365815544</c:v>
                </c:pt>
                <c:pt idx="77">
                  <c:v>1.0258629046476349</c:v>
                </c:pt>
                <c:pt idx="78">
                  <c:v>1.7649659736695225</c:v>
                </c:pt>
                <c:pt idx="79">
                  <c:v>-2.1796081464874821</c:v>
                </c:pt>
                <c:pt idx="80">
                  <c:v>-1.3796890212054573</c:v>
                </c:pt>
                <c:pt idx="81">
                  <c:v>-2.6713643672379881</c:v>
                </c:pt>
                <c:pt idx="82">
                  <c:v>-2.5570594555586297</c:v>
                </c:pt>
                <c:pt idx="83">
                  <c:v>-0.53643412895238263</c:v>
                </c:pt>
                <c:pt idx="84">
                  <c:v>-4.5267844708337092E-2</c:v>
                </c:pt>
                <c:pt idx="85">
                  <c:v>0.66811630252067811</c:v>
                </c:pt>
                <c:pt idx="86">
                  <c:v>-1.3009618261764919</c:v>
                </c:pt>
                <c:pt idx="87">
                  <c:v>5.0454224960216766E-2</c:v>
                </c:pt>
                <c:pt idx="88">
                  <c:v>1.4400462268253076</c:v>
                </c:pt>
                <c:pt idx="89">
                  <c:v>-2.0308295124309206</c:v>
                </c:pt>
                <c:pt idx="90">
                  <c:v>-4.0596496387787999</c:v>
                </c:pt>
                <c:pt idx="91">
                  <c:v>-4.7180255461197422</c:v>
                </c:pt>
                <c:pt idx="92">
                  <c:v>-4.8301420135634858</c:v>
                </c:pt>
                <c:pt idx="93">
                  <c:v>-4.8013653689804103</c:v>
                </c:pt>
                <c:pt idx="94">
                  <c:v>-4.6563351587835893</c:v>
                </c:pt>
                <c:pt idx="95">
                  <c:v>-1.4791384388896478</c:v>
                </c:pt>
                <c:pt idx="96">
                  <c:v>0.84477574405251465</c:v>
                </c:pt>
                <c:pt idx="97">
                  <c:v>2.1733691226968896</c:v>
                </c:pt>
                <c:pt idx="98">
                  <c:v>0.56461042170218245</c:v>
                </c:pt>
                <c:pt idx="99">
                  <c:v>1.2861827678564342</c:v>
                </c:pt>
                <c:pt idx="100">
                  <c:v>1.7321398054739983</c:v>
                </c:pt>
                <c:pt idx="101">
                  <c:v>0.49753101023733964</c:v>
                </c:pt>
                <c:pt idx="102">
                  <c:v>1.146036399706543</c:v>
                </c:pt>
                <c:pt idx="103">
                  <c:v>0.19326746574215228</c:v>
                </c:pt>
                <c:pt idx="104">
                  <c:v>1.5546968070706961</c:v>
                </c:pt>
                <c:pt idx="105">
                  <c:v>3.0624533797897477</c:v>
                </c:pt>
                <c:pt idx="106">
                  <c:v>3.6887825497647033</c:v>
                </c:pt>
                <c:pt idx="107">
                  <c:v>3.0864456499333501</c:v>
                </c:pt>
                <c:pt idx="108">
                  <c:v>6.8045506271678411</c:v>
                </c:pt>
                <c:pt idx="109">
                  <c:v>2.8591995031298967</c:v>
                </c:pt>
                <c:pt idx="110">
                  <c:v>2.805604501366711</c:v>
                </c:pt>
                <c:pt idx="111">
                  <c:v>3.7773589852415088</c:v>
                </c:pt>
                <c:pt idx="112">
                  <c:v>4.0400902830388619</c:v>
                </c:pt>
                <c:pt idx="113">
                  <c:v>4.7327427547266678</c:v>
                </c:pt>
                <c:pt idx="114">
                  <c:v>10.118471892765319</c:v>
                </c:pt>
                <c:pt idx="115">
                  <c:v>5.3580678151570877</c:v>
                </c:pt>
                <c:pt idx="116">
                  <c:v>5.9231506217421108</c:v>
                </c:pt>
                <c:pt idx="117">
                  <c:v>7.2681337082739423</c:v>
                </c:pt>
                <c:pt idx="118">
                  <c:v>7.4643338378211173</c:v>
                </c:pt>
                <c:pt idx="119">
                  <c:v>10.759812416645643</c:v>
                </c:pt>
                <c:pt idx="120">
                  <c:v>12.30867686382298</c:v>
                </c:pt>
                <c:pt idx="121">
                  <c:v>18.003527617409791</c:v>
                </c:pt>
                <c:pt idx="122">
                  <c:v>14.453727000063829</c:v>
                </c:pt>
                <c:pt idx="123">
                  <c:v>15.199055661942806</c:v>
                </c:pt>
                <c:pt idx="124">
                  <c:v>10.156630757405411</c:v>
                </c:pt>
                <c:pt idx="125">
                  <c:v>6.4866612348498904</c:v>
                </c:pt>
                <c:pt idx="126">
                  <c:v>5.0392457193994922</c:v>
                </c:pt>
                <c:pt idx="127">
                  <c:v>4.7861158836633937</c:v>
                </c:pt>
                <c:pt idx="128">
                  <c:v>4.8609033412831497</c:v>
                </c:pt>
                <c:pt idx="129">
                  <c:v>6.7064117089707773</c:v>
                </c:pt>
                <c:pt idx="130">
                  <c:v>5.7996013960079971</c:v>
                </c:pt>
                <c:pt idx="131">
                  <c:v>6.7998382879210677</c:v>
                </c:pt>
                <c:pt idx="132">
                  <c:v>10.55025411599499</c:v>
                </c:pt>
                <c:pt idx="133">
                  <c:v>12.873676901376754</c:v>
                </c:pt>
                <c:pt idx="134">
                  <c:v>11.679383431867697</c:v>
                </c:pt>
                <c:pt idx="135">
                  <c:v>14.905193784266677</c:v>
                </c:pt>
                <c:pt idx="136">
                  <c:v>12.484099112395569</c:v>
                </c:pt>
                <c:pt idx="137">
                  <c:v>9.2555229412737603</c:v>
                </c:pt>
                <c:pt idx="138">
                  <c:v>11.498390330912292</c:v>
                </c:pt>
                <c:pt idx="139">
                  <c:v>10.585315669412736</c:v>
                </c:pt>
                <c:pt idx="140">
                  <c:v>10.863069044782803</c:v>
                </c:pt>
                <c:pt idx="141">
                  <c:v>10.888940586504786</c:v>
                </c:pt>
                <c:pt idx="142">
                  <c:v>11.974104937039005</c:v>
                </c:pt>
                <c:pt idx="143">
                  <c:v>12.680517123927256</c:v>
                </c:pt>
                <c:pt idx="144">
                  <c:v>13.944369653245756</c:v>
                </c:pt>
                <c:pt idx="145">
                  <c:v>15.141596560210468</c:v>
                </c:pt>
                <c:pt idx="146">
                  <c:v>16.686723972177184</c:v>
                </c:pt>
                <c:pt idx="147">
                  <c:v>18.05116477317226</c:v>
                </c:pt>
                <c:pt idx="148">
                  <c:v>19.575197313611806</c:v>
                </c:pt>
                <c:pt idx="149">
                  <c:v>20.48986464913694</c:v>
                </c:pt>
                <c:pt idx="150">
                  <c:v>21.333571362983648</c:v>
                </c:pt>
                <c:pt idx="151">
                  <c:v>23.09425907624421</c:v>
                </c:pt>
                <c:pt idx="152">
                  <c:v>24.874301748306532</c:v>
                </c:pt>
                <c:pt idx="153">
                  <c:v>26.396154424822605</c:v>
                </c:pt>
                <c:pt idx="154">
                  <c:v>28.218527255823041</c:v>
                </c:pt>
                <c:pt idx="155">
                  <c:v>27.632803138621348</c:v>
                </c:pt>
                <c:pt idx="156">
                  <c:v>28.510931165849733</c:v>
                </c:pt>
                <c:pt idx="157">
                  <c:v>28.52350092526223</c:v>
                </c:pt>
                <c:pt idx="158">
                  <c:v>28.372142781568506</c:v>
                </c:pt>
                <c:pt idx="159">
                  <c:v>27.348199874350776</c:v>
                </c:pt>
                <c:pt idx="160">
                  <c:v>29.269061575078254</c:v>
                </c:pt>
                <c:pt idx="161">
                  <c:v>29.786471821012483</c:v>
                </c:pt>
                <c:pt idx="162">
                  <c:v>31.342738236532259</c:v>
                </c:pt>
                <c:pt idx="163">
                  <c:v>33.543250192545408</c:v>
                </c:pt>
                <c:pt idx="164">
                  <c:v>33.637745065558128</c:v>
                </c:pt>
                <c:pt idx="165">
                  <c:v>35.571317384046061</c:v>
                </c:pt>
                <c:pt idx="166">
                  <c:v>38.714913735091677</c:v>
                </c:pt>
                <c:pt idx="167">
                  <c:v>38.984376079264592</c:v>
                </c:pt>
                <c:pt idx="168">
                  <c:v>35.393661212446695</c:v>
                </c:pt>
                <c:pt idx="169">
                  <c:v>36.164920547651562</c:v>
                </c:pt>
                <c:pt idx="170">
                  <c:v>35.15415547075802</c:v>
                </c:pt>
                <c:pt idx="171">
                  <c:v>33.359728282341024</c:v>
                </c:pt>
                <c:pt idx="172">
                  <c:v>32.387979918662928</c:v>
                </c:pt>
                <c:pt idx="173">
                  <c:v>34.23218272687118</c:v>
                </c:pt>
                <c:pt idx="174">
                  <c:v>36.321255284007904</c:v>
                </c:pt>
                <c:pt idx="175">
                  <c:v>32.168379916579795</c:v>
                </c:pt>
                <c:pt idx="176">
                  <c:v>31.782316797294964</c:v>
                </c:pt>
                <c:pt idx="177">
                  <c:v>30.224677624520389</c:v>
                </c:pt>
                <c:pt idx="178">
                  <c:v>28.179227362824843</c:v>
                </c:pt>
                <c:pt idx="179">
                  <c:v>32.490266602479778</c:v>
                </c:pt>
                <c:pt idx="180">
                  <c:v>28.944343355564268</c:v>
                </c:pt>
                <c:pt idx="181">
                  <c:v>29.344082064311007</c:v>
                </c:pt>
                <c:pt idx="182">
                  <c:v>31.504135361838877</c:v>
                </c:pt>
                <c:pt idx="183">
                  <c:v>32.145934217261697</c:v>
                </c:pt>
                <c:pt idx="184">
                  <c:v>30.80830383659859</c:v>
                </c:pt>
                <c:pt idx="185">
                  <c:v>29.026704103855078</c:v>
                </c:pt>
                <c:pt idx="186">
                  <c:v>25.87993569075828</c:v>
                </c:pt>
                <c:pt idx="187">
                  <c:v>25.988035402973452</c:v>
                </c:pt>
                <c:pt idx="188">
                  <c:v>26.43764739418787</c:v>
                </c:pt>
                <c:pt idx="189">
                  <c:v>21.959205128561436</c:v>
                </c:pt>
                <c:pt idx="190">
                  <c:v>19.742838885958179</c:v>
                </c:pt>
                <c:pt idx="191">
                  <c:v>15.009986933109399</c:v>
                </c:pt>
                <c:pt idx="192">
                  <c:v>15.886848297171182</c:v>
                </c:pt>
                <c:pt idx="193">
                  <c:v>12.908741010862116</c:v>
                </c:pt>
                <c:pt idx="194">
                  <c:v>15.491166551268115</c:v>
                </c:pt>
                <c:pt idx="195">
                  <c:v>15.615658849656878</c:v>
                </c:pt>
                <c:pt idx="196">
                  <c:v>13.951133462149453</c:v>
                </c:pt>
                <c:pt idx="197">
                  <c:v>14.536227898032827</c:v>
                </c:pt>
                <c:pt idx="198">
                  <c:v>15.467401517104848</c:v>
                </c:pt>
                <c:pt idx="199">
                  <c:v>12.692200051312891</c:v>
                </c:pt>
                <c:pt idx="200">
                  <c:v>11.990588857775572</c:v>
                </c:pt>
                <c:pt idx="201">
                  <c:v>9.1752167777353488</c:v>
                </c:pt>
                <c:pt idx="202">
                  <c:v>7.6211813785829072</c:v>
                </c:pt>
                <c:pt idx="203">
                  <c:v>6.6295485350617707</c:v>
                </c:pt>
                <c:pt idx="204">
                  <c:v>8.1089834561447844</c:v>
                </c:pt>
                <c:pt idx="205">
                  <c:v>8.6813682386480124</c:v>
                </c:pt>
                <c:pt idx="206">
                  <c:v>8.172066795089842</c:v>
                </c:pt>
                <c:pt idx="207">
                  <c:v>7.0697627585848579</c:v>
                </c:pt>
                <c:pt idx="208">
                  <c:v>9.2646776504447725</c:v>
                </c:pt>
                <c:pt idx="209">
                  <c:v>10.15897166215364</c:v>
                </c:pt>
                <c:pt idx="210">
                  <c:v>9.1749754738628226</c:v>
                </c:pt>
                <c:pt idx="211">
                  <c:v>6.1876899498377052</c:v>
                </c:pt>
                <c:pt idx="212">
                  <c:v>8.9019391385887126</c:v>
                </c:pt>
                <c:pt idx="213">
                  <c:v>10.337043421944598</c:v>
                </c:pt>
                <c:pt idx="214">
                  <c:v>11.260153029319255</c:v>
                </c:pt>
                <c:pt idx="215">
                  <c:v>10.051396032707558</c:v>
                </c:pt>
                <c:pt idx="216">
                  <c:v>9.3966783107693477</c:v>
                </c:pt>
                <c:pt idx="217">
                  <c:v>10.002784260829412</c:v>
                </c:pt>
                <c:pt idx="218">
                  <c:v>9.9642680324890023</c:v>
                </c:pt>
                <c:pt idx="219">
                  <c:v>8.0868435477593419</c:v>
                </c:pt>
                <c:pt idx="220">
                  <c:v>8.4862549315754539</c:v>
                </c:pt>
                <c:pt idx="221">
                  <c:v>9.1665601451664589</c:v>
                </c:pt>
                <c:pt idx="222">
                  <c:v>9.3972745133218858</c:v>
                </c:pt>
                <c:pt idx="223">
                  <c:v>10.820292186017284</c:v>
                </c:pt>
                <c:pt idx="224">
                  <c:v>12.94785696660051</c:v>
                </c:pt>
                <c:pt idx="225">
                  <c:v>13.842398865258451</c:v>
                </c:pt>
                <c:pt idx="226">
                  <c:v>15.949939541649737</c:v>
                </c:pt>
                <c:pt idx="227">
                  <c:v>17.823901354325972</c:v>
                </c:pt>
                <c:pt idx="228">
                  <c:v>15.096562980406913</c:v>
                </c:pt>
                <c:pt idx="229">
                  <c:v>13.265428851388331</c:v>
                </c:pt>
                <c:pt idx="230">
                  <c:v>15.933956241952089</c:v>
                </c:pt>
                <c:pt idx="231">
                  <c:v>15.60321986105467</c:v>
                </c:pt>
                <c:pt idx="232">
                  <c:v>13.825411695390869</c:v>
                </c:pt>
                <c:pt idx="233">
                  <c:v>14.483761806575721</c:v>
                </c:pt>
                <c:pt idx="234">
                  <c:v>11.638436667436276</c:v>
                </c:pt>
                <c:pt idx="235">
                  <c:v>11.670106414916937</c:v>
                </c:pt>
                <c:pt idx="236">
                  <c:v>11.782246090794832</c:v>
                </c:pt>
                <c:pt idx="237">
                  <c:v>13.496937055351733</c:v>
                </c:pt>
                <c:pt idx="238">
                  <c:v>13.294654275563239</c:v>
                </c:pt>
                <c:pt idx="239">
                  <c:v>14.254549537384992</c:v>
                </c:pt>
                <c:pt idx="240">
                  <c:v>14.438973667034558</c:v>
                </c:pt>
                <c:pt idx="241">
                  <c:v>15.303233187045326</c:v>
                </c:pt>
                <c:pt idx="242">
                  <c:v>15.621659878627186</c:v>
                </c:pt>
                <c:pt idx="243">
                  <c:v>16.79845244465956</c:v>
                </c:pt>
                <c:pt idx="244">
                  <c:v>16.588053532937707</c:v>
                </c:pt>
                <c:pt idx="245">
                  <c:v>18.191135928714257</c:v>
                </c:pt>
                <c:pt idx="246">
                  <c:v>21.016816077625588</c:v>
                </c:pt>
                <c:pt idx="247">
                  <c:v>20.855441333927956</c:v>
                </c:pt>
                <c:pt idx="248">
                  <c:v>21.193819678427008</c:v>
                </c:pt>
                <c:pt idx="249">
                  <c:v>21.751950260066462</c:v>
                </c:pt>
                <c:pt idx="250">
                  <c:v>21.282269466249602</c:v>
                </c:pt>
                <c:pt idx="251">
                  <c:v>21.303813591805934</c:v>
                </c:pt>
                <c:pt idx="252">
                  <c:v>20.881428984776935</c:v>
                </c:pt>
                <c:pt idx="253">
                  <c:v>21.109163408505395</c:v>
                </c:pt>
                <c:pt idx="254">
                  <c:v>20.332206638573957</c:v>
                </c:pt>
                <c:pt idx="255">
                  <c:v>19.333434353795511</c:v>
                </c:pt>
                <c:pt idx="256">
                  <c:v>20.013686975912034</c:v>
                </c:pt>
                <c:pt idx="257">
                  <c:v>20.488484418063415</c:v>
                </c:pt>
                <c:pt idx="258">
                  <c:v>19.294035389865353</c:v>
                </c:pt>
                <c:pt idx="259">
                  <c:v>21.186323814661627</c:v>
                </c:pt>
                <c:pt idx="260">
                  <c:v>21.433244444844295</c:v>
                </c:pt>
                <c:pt idx="261">
                  <c:v>23.979960929448076</c:v>
                </c:pt>
                <c:pt idx="262">
                  <c:v>23.703693544248647</c:v>
                </c:pt>
                <c:pt idx="263">
                  <c:v>24.347685516274407</c:v>
                </c:pt>
                <c:pt idx="264">
                  <c:v>21.951230031179662</c:v>
                </c:pt>
                <c:pt idx="265">
                  <c:v>21.445998348299394</c:v>
                </c:pt>
                <c:pt idx="266">
                  <c:v>20.036954303809409</c:v>
                </c:pt>
                <c:pt idx="267">
                  <c:v>19.267342021521639</c:v>
                </c:pt>
                <c:pt idx="268">
                  <c:v>18.872024927919036</c:v>
                </c:pt>
                <c:pt idx="269">
                  <c:v>18.286683588218487</c:v>
                </c:pt>
                <c:pt idx="270">
                  <c:v>18.067314867055675</c:v>
                </c:pt>
                <c:pt idx="271">
                  <c:v>17.390482973774393</c:v>
                </c:pt>
                <c:pt idx="272">
                  <c:v>16.877418320262535</c:v>
                </c:pt>
                <c:pt idx="273">
                  <c:v>16.90980072506019</c:v>
                </c:pt>
                <c:pt idx="274">
                  <c:v>17.102993646475152</c:v>
                </c:pt>
                <c:pt idx="275">
                  <c:v>16.702055254640541</c:v>
                </c:pt>
                <c:pt idx="276">
                  <c:v>16.963079895988812</c:v>
                </c:pt>
                <c:pt idx="277">
                  <c:v>17.574098856554805</c:v>
                </c:pt>
                <c:pt idx="278">
                  <c:v>17.415504608159754</c:v>
                </c:pt>
                <c:pt idx="279">
                  <c:v>12.773091269787601</c:v>
                </c:pt>
                <c:pt idx="280">
                  <c:v>14.017773924268811</c:v>
                </c:pt>
                <c:pt idx="281">
                  <c:v>16.478549480834801</c:v>
                </c:pt>
                <c:pt idx="282">
                  <c:v>21.483320696771425</c:v>
                </c:pt>
                <c:pt idx="283">
                  <c:v>15.002035274007545</c:v>
                </c:pt>
                <c:pt idx="284">
                  <c:v>12.13475925018702</c:v>
                </c:pt>
                <c:pt idx="285">
                  <c:v>12.816267008905733</c:v>
                </c:pt>
                <c:pt idx="286">
                  <c:v>12.477800491997456</c:v>
                </c:pt>
                <c:pt idx="287">
                  <c:v>13.489660465159591</c:v>
                </c:pt>
                <c:pt idx="288">
                  <c:v>12.053326435553151</c:v>
                </c:pt>
                <c:pt idx="289">
                  <c:v>12.146594756551607</c:v>
                </c:pt>
                <c:pt idx="290">
                  <c:v>13.66639142485567</c:v>
                </c:pt>
                <c:pt idx="291">
                  <c:v>9.3727123210236218</c:v>
                </c:pt>
                <c:pt idx="292">
                  <c:v>9.5327643130024349</c:v>
                </c:pt>
                <c:pt idx="293">
                  <c:v>10.156782747456658</c:v>
                </c:pt>
                <c:pt idx="294">
                  <c:v>9.2229851623886177</c:v>
                </c:pt>
                <c:pt idx="295">
                  <c:v>6.606417784756788</c:v>
                </c:pt>
                <c:pt idx="296">
                  <c:v>7.1218998979484835</c:v>
                </c:pt>
                <c:pt idx="297">
                  <c:v>6.4751442190965767</c:v>
                </c:pt>
                <c:pt idx="298">
                  <c:v>5.8101271212735419</c:v>
                </c:pt>
                <c:pt idx="299">
                  <c:v>4.9361929463444572</c:v>
                </c:pt>
                <c:pt idx="300">
                  <c:v>4.3826470356567393</c:v>
                </c:pt>
                <c:pt idx="301">
                  <c:v>3.8530268230853508</c:v>
                </c:pt>
                <c:pt idx="302">
                  <c:v>3.2234431263085046</c:v>
                </c:pt>
                <c:pt idx="303">
                  <c:v>4.9060667706449363</c:v>
                </c:pt>
                <c:pt idx="304">
                  <c:v>4.6026338327733809</c:v>
                </c:pt>
                <c:pt idx="305">
                  <c:v>2.8399510263545835</c:v>
                </c:pt>
                <c:pt idx="306">
                  <c:v>2.1230566721343567</c:v>
                </c:pt>
                <c:pt idx="307">
                  <c:v>0.91801262773974113</c:v>
                </c:pt>
                <c:pt idx="308">
                  <c:v>0.49701647276461197</c:v>
                </c:pt>
                <c:pt idx="309">
                  <c:v>-0.21510739210932189</c:v>
                </c:pt>
                <c:pt idx="310">
                  <c:v>-0.51984899729272815</c:v>
                </c:pt>
                <c:pt idx="311">
                  <c:v>-1.6852854978781666</c:v>
                </c:pt>
                <c:pt idx="312">
                  <c:v>-1.2929537908024136</c:v>
                </c:pt>
                <c:pt idx="313">
                  <c:v>-1.7001010624458683</c:v>
                </c:pt>
                <c:pt idx="314">
                  <c:v>-2.3823649784391341</c:v>
                </c:pt>
                <c:pt idx="315">
                  <c:v>-2.5704696694652922</c:v>
                </c:pt>
                <c:pt idx="316">
                  <c:v>-3.8641234535517812</c:v>
                </c:pt>
                <c:pt idx="317">
                  <c:v>-3.276129165645187</c:v>
                </c:pt>
                <c:pt idx="318">
                  <c:v>-3.3339761650233086</c:v>
                </c:pt>
                <c:pt idx="319">
                  <c:v>-4.1267419443783355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E-844F-BDB6-DAAD7D18C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'240814A011'!$J$2:$J$321</c:f>
              <c:numCache>
                <c:formatCode>0.0</c:formatCode>
                <c:ptCount val="320"/>
                <c:pt idx="0">
                  <c:v>826.51218406227997</c:v>
                </c:pt>
                <c:pt idx="1">
                  <c:v>849.72167381425004</c:v>
                </c:pt>
                <c:pt idx="2">
                  <c:v>876.86492201150008</c:v>
                </c:pt>
                <c:pt idx="3">
                  <c:v>907.36087013379006</c:v>
                </c:pt>
                <c:pt idx="4">
                  <c:v>939.12214090668988</c:v>
                </c:pt>
                <c:pt idx="5">
                  <c:v>867.33270136503006</c:v>
                </c:pt>
                <c:pt idx="6">
                  <c:v>943.04742100599003</c:v>
                </c:pt>
                <c:pt idx="7">
                  <c:v>950.20067502862003</c:v>
                </c:pt>
                <c:pt idx="8">
                  <c:v>1161.0272197516999</c:v>
                </c:pt>
                <c:pt idx="9">
                  <c:v>1078.6600343795501</c:v>
                </c:pt>
                <c:pt idx="10">
                  <c:v>1087.5511961633299</c:v>
                </c:pt>
                <c:pt idx="11">
                  <c:v>1171.96865414177</c:v>
                </c:pt>
                <c:pt idx="12">
                  <c:v>1175.13170765315</c:v>
                </c:pt>
                <c:pt idx="13">
                  <c:v>1203.6802289178499</c:v>
                </c:pt>
                <c:pt idx="14">
                  <c:v>1198.30067944435</c:v>
                </c:pt>
                <c:pt idx="15">
                  <c:v>1214.4919903980601</c:v>
                </c:pt>
                <c:pt idx="16">
                  <c:v>1214.4083787131299</c:v>
                </c:pt>
                <c:pt idx="17">
                  <c:v>1191.3124374254201</c:v>
                </c:pt>
                <c:pt idx="18">
                  <c:v>1184.29077336665</c:v>
                </c:pt>
                <c:pt idx="19">
                  <c:v>1136.5513681638599</c:v>
                </c:pt>
                <c:pt idx="20">
                  <c:v>1057.25372960808</c:v>
                </c:pt>
                <c:pt idx="21">
                  <c:v>1090.3392817474701</c:v>
                </c:pt>
                <c:pt idx="22">
                  <c:v>1122.78405743448</c:v>
                </c:pt>
                <c:pt idx="23">
                  <c:v>1207.6775948074101</c:v>
                </c:pt>
                <c:pt idx="24">
                  <c:v>1230.1411554496701</c:v>
                </c:pt>
                <c:pt idx="25">
                  <c:v>1231.16617033945</c:v>
                </c:pt>
                <c:pt idx="26">
                  <c:v>1223.6611078022302</c:v>
                </c:pt>
                <c:pt idx="27">
                  <c:v>1240.4937462775299</c:v>
                </c:pt>
                <c:pt idx="28">
                  <c:v>1213.2842860026999</c:v>
                </c:pt>
                <c:pt idx="29">
                  <c:v>1148.3995956520498</c:v>
                </c:pt>
                <c:pt idx="30">
                  <c:v>1174.3089896838401</c:v>
                </c:pt>
                <c:pt idx="31">
                  <c:v>1164.91018094011</c:v>
                </c:pt>
                <c:pt idx="32">
                  <c:v>1165.5543017448599</c:v>
                </c:pt>
                <c:pt idx="33">
                  <c:v>1163.47838872483</c:v>
                </c:pt>
                <c:pt idx="34">
                  <c:v>1161.7639368494001</c:v>
                </c:pt>
                <c:pt idx="35">
                  <c:v>1164.0695497326899</c:v>
                </c:pt>
                <c:pt idx="36">
                  <c:v>1160.18963320802</c:v>
                </c:pt>
                <c:pt idx="37">
                  <c:v>1177.40835278687</c:v>
                </c:pt>
                <c:pt idx="38">
                  <c:v>1156.62732559029</c:v>
                </c:pt>
                <c:pt idx="39">
                  <c:v>1163.7634282694899</c:v>
                </c:pt>
                <c:pt idx="40">
                  <c:v>1128.2475431804601</c:v>
                </c:pt>
                <c:pt idx="41">
                  <c:v>1130.8084135925499</c:v>
                </c:pt>
                <c:pt idx="42">
                  <c:v>1125.9225048621499</c:v>
                </c:pt>
                <c:pt idx="43">
                  <c:v>1119.1156109481799</c:v>
                </c:pt>
                <c:pt idx="44">
                  <c:v>1154.4311176676501</c:v>
                </c:pt>
                <c:pt idx="45">
                  <c:v>1145.5190818982398</c:v>
                </c:pt>
                <c:pt idx="46">
                  <c:v>1141.49744226847</c:v>
                </c:pt>
                <c:pt idx="47">
                  <c:v>1138.20465380824</c:v>
                </c:pt>
                <c:pt idx="48">
                  <c:v>1144.9660981486099</c:v>
                </c:pt>
                <c:pt idx="49">
                  <c:v>1137.6875435756699</c:v>
                </c:pt>
                <c:pt idx="50">
                  <c:v>1162.2660534791701</c:v>
                </c:pt>
                <c:pt idx="51">
                  <c:v>1135.9826773581801</c:v>
                </c:pt>
                <c:pt idx="52">
                  <c:v>1110.63605551154</c:v>
                </c:pt>
                <c:pt idx="53">
                  <c:v>1121.2562763041899</c:v>
                </c:pt>
                <c:pt idx="54">
                  <c:v>1117.5211318941701</c:v>
                </c:pt>
                <c:pt idx="55">
                  <c:v>1102.0654474424998</c:v>
                </c:pt>
                <c:pt idx="56">
                  <c:v>1087.4948859482699</c:v>
                </c:pt>
                <c:pt idx="57">
                  <c:v>1090.6284123082098</c:v>
                </c:pt>
                <c:pt idx="58">
                  <c:v>1096.08640432832</c:v>
                </c:pt>
                <c:pt idx="59">
                  <c:v>1129.26735510304</c:v>
                </c:pt>
                <c:pt idx="60">
                  <c:v>1100.61193105349</c:v>
                </c:pt>
                <c:pt idx="61">
                  <c:v>1057.2363663516801</c:v>
                </c:pt>
                <c:pt idx="62">
                  <c:v>1138.7624317958002</c:v>
                </c:pt>
                <c:pt idx="63">
                  <c:v>1169.17044704004</c:v>
                </c:pt>
                <c:pt idx="64">
                  <c:v>1177.6293375733599</c:v>
                </c:pt>
                <c:pt idx="65">
                  <c:v>1172.66827812316</c:v>
                </c:pt>
                <c:pt idx="66">
                  <c:v>1150.3052144347898</c:v>
                </c:pt>
                <c:pt idx="67">
                  <c:v>1116.7591720548701</c:v>
                </c:pt>
                <c:pt idx="68">
                  <c:v>1153.74520406139</c:v>
                </c:pt>
                <c:pt idx="69">
                  <c:v>1165.4143842706699</c:v>
                </c:pt>
                <c:pt idx="70">
                  <c:v>1135.4892247012299</c:v>
                </c:pt>
                <c:pt idx="71">
                  <c:v>1140.84384904225</c:v>
                </c:pt>
                <c:pt idx="72">
                  <c:v>1149.08737750715</c:v>
                </c:pt>
                <c:pt idx="73">
                  <c:v>1145.5174957116001</c:v>
                </c:pt>
                <c:pt idx="74">
                  <c:v>1148.6723458636202</c:v>
                </c:pt>
                <c:pt idx="75">
                  <c:v>1168.2928840965099</c:v>
                </c:pt>
                <c:pt idx="76">
                  <c:v>1156.6460444509598</c:v>
                </c:pt>
                <c:pt idx="77">
                  <c:v>1187.3090522221701</c:v>
                </c:pt>
                <c:pt idx="78">
                  <c:v>1159.5507370012999</c:v>
                </c:pt>
                <c:pt idx="79">
                  <c:v>1176.71547007238</c:v>
                </c:pt>
                <c:pt idx="80">
                  <c:v>1093.55832762156</c:v>
                </c:pt>
                <c:pt idx="81">
                  <c:v>1083.8973684501502</c:v>
                </c:pt>
                <c:pt idx="82">
                  <c:v>1084.2666854148601</c:v>
                </c:pt>
                <c:pt idx="83">
                  <c:v>1122.50802481748</c:v>
                </c:pt>
                <c:pt idx="84">
                  <c:v>1120.2291331400902</c:v>
                </c:pt>
                <c:pt idx="85">
                  <c:v>1102.36856703836</c:v>
                </c:pt>
                <c:pt idx="86">
                  <c:v>1119.9401943717298</c:v>
                </c:pt>
                <c:pt idx="87">
                  <c:v>1101.12486133416</c:v>
                </c:pt>
                <c:pt idx="88">
                  <c:v>1138.1944803948099</c:v>
                </c:pt>
                <c:pt idx="89">
                  <c:v>1128.1023160902698</c:v>
                </c:pt>
                <c:pt idx="90">
                  <c:v>1165.00678353538</c:v>
                </c:pt>
                <c:pt idx="91">
                  <c:v>1182.85512871022</c:v>
                </c:pt>
                <c:pt idx="92">
                  <c:v>1159.0278679533001</c:v>
                </c:pt>
                <c:pt idx="93">
                  <c:v>1143.86159698045</c:v>
                </c:pt>
                <c:pt idx="94">
                  <c:v>1110.8245014259401</c:v>
                </c:pt>
                <c:pt idx="95">
                  <c:v>1155.8918955115998</c:v>
                </c:pt>
                <c:pt idx="96">
                  <c:v>1180.6567514677199</c:v>
                </c:pt>
                <c:pt idx="97">
                  <c:v>1167.8871965313601</c:v>
                </c:pt>
                <c:pt idx="98">
                  <c:v>1190.4372203914299</c:v>
                </c:pt>
                <c:pt idx="99">
                  <c:v>1209.7949334587499</c:v>
                </c:pt>
                <c:pt idx="100">
                  <c:v>1227.39679481085</c:v>
                </c:pt>
                <c:pt idx="101">
                  <c:v>1149.0911720890899</c:v>
                </c:pt>
                <c:pt idx="102">
                  <c:v>1150.07880844429</c:v>
                </c:pt>
                <c:pt idx="103">
                  <c:v>1125.0852783897001</c:v>
                </c:pt>
                <c:pt idx="104">
                  <c:v>1119.1200754346301</c:v>
                </c:pt>
                <c:pt idx="105">
                  <c:v>1113.5388779007299</c:v>
                </c:pt>
                <c:pt idx="106">
                  <c:v>1132.6301702517501</c:v>
                </c:pt>
                <c:pt idx="107">
                  <c:v>1114.6880492555201</c:v>
                </c:pt>
                <c:pt idx="108">
                  <c:v>1144.70480087281</c:v>
                </c:pt>
                <c:pt idx="109">
                  <c:v>1153.43576783139</c:v>
                </c:pt>
                <c:pt idx="110">
                  <c:v>1176.85389366458</c:v>
                </c:pt>
                <c:pt idx="111">
                  <c:v>1169.6349323068998</c:v>
                </c:pt>
                <c:pt idx="112">
                  <c:v>1197.0963651071199</c:v>
                </c:pt>
                <c:pt idx="113">
                  <c:v>1173.02891742939</c:v>
                </c:pt>
                <c:pt idx="114">
                  <c:v>1119.5179389867201</c:v>
                </c:pt>
                <c:pt idx="115">
                  <c:v>1091.65890656017</c:v>
                </c:pt>
                <c:pt idx="116">
                  <c:v>1109.99098178851</c:v>
                </c:pt>
                <c:pt idx="117">
                  <c:v>1139.8047669467699</c:v>
                </c:pt>
                <c:pt idx="118">
                  <c:v>1126.39582394934</c:v>
                </c:pt>
                <c:pt idx="119">
                  <c:v>1145.8981668271499</c:v>
                </c:pt>
                <c:pt idx="120">
                  <c:v>1148.8071397109502</c:v>
                </c:pt>
                <c:pt idx="121">
                  <c:v>1132.8329565515799</c:v>
                </c:pt>
                <c:pt idx="122">
                  <c:v>1150.5757149779402</c:v>
                </c:pt>
                <c:pt idx="123">
                  <c:v>1141.3031438017199</c:v>
                </c:pt>
                <c:pt idx="124">
                  <c:v>1161.6426772422901</c:v>
                </c:pt>
                <c:pt idx="125">
                  <c:v>1176.6382299130598</c:v>
                </c:pt>
                <c:pt idx="126">
                  <c:v>1185.95775322491</c:v>
                </c:pt>
                <c:pt idx="127">
                  <c:v>1194.20540883688</c:v>
                </c:pt>
                <c:pt idx="128">
                  <c:v>1176.5292535834001</c:v>
                </c:pt>
                <c:pt idx="129">
                  <c:v>1171.6602939445399</c:v>
                </c:pt>
                <c:pt idx="130">
                  <c:v>1145.4527919741599</c:v>
                </c:pt>
                <c:pt idx="131">
                  <c:v>1160.19248412047</c:v>
                </c:pt>
                <c:pt idx="132">
                  <c:v>1161.8549653522</c:v>
                </c:pt>
                <c:pt idx="133">
                  <c:v>1145.4140677549499</c:v>
                </c:pt>
                <c:pt idx="134">
                  <c:v>1118.8230933011901</c:v>
                </c:pt>
                <c:pt idx="135">
                  <c:v>1082.9845698716001</c:v>
                </c:pt>
                <c:pt idx="136">
                  <c:v>1093.15067744204</c:v>
                </c:pt>
                <c:pt idx="137">
                  <c:v>1140.4088604209201</c:v>
                </c:pt>
                <c:pt idx="138">
                  <c:v>1140.6814078810701</c:v>
                </c:pt>
                <c:pt idx="139">
                  <c:v>1131.4597400791401</c:v>
                </c:pt>
                <c:pt idx="140">
                  <c:v>1124.5282503486499</c:v>
                </c:pt>
                <c:pt idx="141">
                  <c:v>1110.96931235798</c:v>
                </c:pt>
                <c:pt idx="142">
                  <c:v>1122.9743748952001</c:v>
                </c:pt>
                <c:pt idx="143">
                  <c:v>1140.3357187947199</c:v>
                </c:pt>
                <c:pt idx="144">
                  <c:v>1108.9907080419798</c:v>
                </c:pt>
                <c:pt idx="145">
                  <c:v>1104.17376432366</c:v>
                </c:pt>
                <c:pt idx="146">
                  <c:v>1145.2824303745299</c:v>
                </c:pt>
                <c:pt idx="147">
                  <c:v>1104.1135106796601</c:v>
                </c:pt>
                <c:pt idx="148">
                  <c:v>1091.7497986753901</c:v>
                </c:pt>
                <c:pt idx="149">
                  <c:v>1076.3656582011899</c:v>
                </c:pt>
                <c:pt idx="150">
                  <c:v>1039.6710994924902</c:v>
                </c:pt>
                <c:pt idx="151">
                  <c:v>1092.24965978814</c:v>
                </c:pt>
                <c:pt idx="152">
                  <c:v>1117.8875061139099</c:v>
                </c:pt>
                <c:pt idx="153">
                  <c:v>1131.9150528047201</c:v>
                </c:pt>
                <c:pt idx="154">
                  <c:v>1110.86296968585</c:v>
                </c:pt>
                <c:pt idx="155">
                  <c:v>1085.42089550434</c:v>
                </c:pt>
                <c:pt idx="156">
                  <c:v>1081.1380067595499</c:v>
                </c:pt>
                <c:pt idx="157">
                  <c:v>1096.7073510610001</c:v>
                </c:pt>
                <c:pt idx="158">
                  <c:v>1080.50466287262</c:v>
                </c:pt>
                <c:pt idx="159">
                  <c:v>1099.9479151063999</c:v>
                </c:pt>
                <c:pt idx="160">
                  <c:v>1072.6449767548302</c:v>
                </c:pt>
                <c:pt idx="161">
                  <c:v>1087.9322078596799</c:v>
                </c:pt>
                <c:pt idx="162">
                  <c:v>1091.7801958001498</c:v>
                </c:pt>
                <c:pt idx="163">
                  <c:v>1106.07230451746</c:v>
                </c:pt>
                <c:pt idx="164">
                  <c:v>1114.6491072145302</c:v>
                </c:pt>
                <c:pt idx="165">
                  <c:v>1117.8761014736799</c:v>
                </c:pt>
                <c:pt idx="166">
                  <c:v>1118.32670668524</c:v>
                </c:pt>
                <c:pt idx="167">
                  <c:v>1154.9548599008299</c:v>
                </c:pt>
                <c:pt idx="168">
                  <c:v>1162.2194137636602</c:v>
                </c:pt>
                <c:pt idx="169">
                  <c:v>1173.83341508832</c:v>
                </c:pt>
                <c:pt idx="170">
                  <c:v>1162.9877516627</c:v>
                </c:pt>
                <c:pt idx="171">
                  <c:v>1150.0746002820899</c:v>
                </c:pt>
                <c:pt idx="172">
                  <c:v>1161.2313742430499</c:v>
                </c:pt>
                <c:pt idx="173">
                  <c:v>1155.66614300892</c:v>
                </c:pt>
                <c:pt idx="174">
                  <c:v>1107.00389122877</c:v>
                </c:pt>
                <c:pt idx="175">
                  <c:v>1045.03366979465</c:v>
                </c:pt>
                <c:pt idx="176">
                  <c:v>1016.02718748953</c:v>
                </c:pt>
                <c:pt idx="177">
                  <c:v>1044.1129148473099</c:v>
                </c:pt>
                <c:pt idx="178">
                  <c:v>1037.35018041697</c:v>
                </c:pt>
                <c:pt idx="179">
                  <c:v>1120.5311103082001</c:v>
                </c:pt>
                <c:pt idx="180">
                  <c:v>1065.6421059842401</c:v>
                </c:pt>
                <c:pt idx="181">
                  <c:v>1083.67967304171</c:v>
                </c:pt>
                <c:pt idx="182">
                  <c:v>1083.9014865679201</c:v>
                </c:pt>
                <c:pt idx="183">
                  <c:v>1076.0585317044799</c:v>
                </c:pt>
                <c:pt idx="184">
                  <c:v>1095.5018591860498</c:v>
                </c:pt>
                <c:pt idx="185">
                  <c:v>1097.05149533503</c:v>
                </c:pt>
                <c:pt idx="186">
                  <c:v>1057.4295631871501</c:v>
                </c:pt>
                <c:pt idx="187">
                  <c:v>1087.6330297632899</c:v>
                </c:pt>
                <c:pt idx="188">
                  <c:v>1048.0312217598998</c:v>
                </c:pt>
                <c:pt idx="189">
                  <c:v>1073.9605588489801</c:v>
                </c:pt>
                <c:pt idx="190">
                  <c:v>1049.7499231550698</c:v>
                </c:pt>
                <c:pt idx="191">
                  <c:v>1094.81461558725</c:v>
                </c:pt>
                <c:pt idx="192">
                  <c:v>1007.0762255614</c:v>
                </c:pt>
                <c:pt idx="193">
                  <c:v>1074.61056634635</c:v>
                </c:pt>
                <c:pt idx="194">
                  <c:v>1079.9663886641399</c:v>
                </c:pt>
                <c:pt idx="195">
                  <c:v>1085.5232649142699</c:v>
                </c:pt>
                <c:pt idx="196">
                  <c:v>1123.4719838567801</c:v>
                </c:pt>
                <c:pt idx="197">
                  <c:v>1104.71301112074</c:v>
                </c:pt>
                <c:pt idx="198">
                  <c:v>1070.4185035512899</c:v>
                </c:pt>
                <c:pt idx="199">
                  <c:v>1045.2467972229801</c:v>
                </c:pt>
                <c:pt idx="200">
                  <c:v>1105.6341123447501</c:v>
                </c:pt>
                <c:pt idx="201">
                  <c:v>1121.53188945087</c:v>
                </c:pt>
                <c:pt idx="202">
                  <c:v>1096.73152676171</c:v>
                </c:pt>
                <c:pt idx="203">
                  <c:v>1106.15861786959</c:v>
                </c:pt>
                <c:pt idx="204">
                  <c:v>1125.9008176508501</c:v>
                </c:pt>
                <c:pt idx="205">
                  <c:v>1129.0278684006698</c:v>
                </c:pt>
                <c:pt idx="206">
                  <c:v>1160.00387544113</c:v>
                </c:pt>
                <c:pt idx="207">
                  <c:v>1129.5579323157501</c:v>
                </c:pt>
                <c:pt idx="208">
                  <c:v>1151.3915205391002</c:v>
                </c:pt>
                <c:pt idx="209">
                  <c:v>1158.2120174588499</c:v>
                </c:pt>
                <c:pt idx="210">
                  <c:v>1164.7514024873099</c:v>
                </c:pt>
                <c:pt idx="211">
                  <c:v>1170.35115749429</c:v>
                </c:pt>
                <c:pt idx="212">
                  <c:v>1160.4013796413901</c:v>
                </c:pt>
                <c:pt idx="213">
                  <c:v>1176.06795942863</c:v>
                </c:pt>
                <c:pt idx="214">
                  <c:v>1169.8062866134401</c:v>
                </c:pt>
                <c:pt idx="215">
                  <c:v>1150.7888636626701</c:v>
                </c:pt>
                <c:pt idx="216">
                  <c:v>1156.64323646806</c:v>
                </c:pt>
                <c:pt idx="217">
                  <c:v>1158.68458695205</c:v>
                </c:pt>
                <c:pt idx="218">
                  <c:v>1134.06087774348</c:v>
                </c:pt>
                <c:pt idx="219">
                  <c:v>1097.1633705208301</c:v>
                </c:pt>
                <c:pt idx="220">
                  <c:v>1061.2734011893801</c:v>
                </c:pt>
                <c:pt idx="221">
                  <c:v>1086.21412212312</c:v>
                </c:pt>
                <c:pt idx="222">
                  <c:v>1117.43574017938</c:v>
                </c:pt>
                <c:pt idx="223">
                  <c:v>1088.97459930841</c:v>
                </c:pt>
                <c:pt idx="224">
                  <c:v>1074.5541393686699</c:v>
                </c:pt>
                <c:pt idx="225">
                  <c:v>1121.7116780599301</c:v>
                </c:pt>
                <c:pt idx="226">
                  <c:v>1091.23646057976</c:v>
                </c:pt>
                <c:pt idx="227">
                  <c:v>970.51345274819005</c:v>
                </c:pt>
                <c:pt idx="228">
                  <c:v>1088.30795409494</c:v>
                </c:pt>
                <c:pt idx="229">
                  <c:v>1103.6544976131599</c:v>
                </c:pt>
                <c:pt idx="230">
                  <c:v>1140.5554482501402</c:v>
                </c:pt>
                <c:pt idx="231">
                  <c:v>1090.58034828839</c:v>
                </c:pt>
                <c:pt idx="232">
                  <c:v>1100.45454668295</c:v>
                </c:pt>
                <c:pt idx="233">
                  <c:v>1169.8934163014401</c:v>
                </c:pt>
                <c:pt idx="234">
                  <c:v>1160.1660490874901</c:v>
                </c:pt>
                <c:pt idx="235">
                  <c:v>1150.5410590881099</c:v>
                </c:pt>
                <c:pt idx="236">
                  <c:v>1151.9314286222202</c:v>
                </c:pt>
                <c:pt idx="237">
                  <c:v>1120.89926733222</c:v>
                </c:pt>
                <c:pt idx="238">
                  <c:v>1115.3368351808799</c:v>
                </c:pt>
                <c:pt idx="239">
                  <c:v>1126.0899184838299</c:v>
                </c:pt>
                <c:pt idx="240">
                  <c:v>1087.2286229365</c:v>
                </c:pt>
                <c:pt idx="241">
                  <c:v>1031.8039529570299</c:v>
                </c:pt>
                <c:pt idx="242">
                  <c:v>985.10132257115004</c:v>
                </c:pt>
                <c:pt idx="243">
                  <c:v>981.37067799769989</c:v>
                </c:pt>
                <c:pt idx="244">
                  <c:v>1022.8705896366901</c:v>
                </c:pt>
                <c:pt idx="245">
                  <c:v>1044.24827429266</c:v>
                </c:pt>
                <c:pt idx="246">
                  <c:v>1120.2774177949</c:v>
                </c:pt>
                <c:pt idx="247">
                  <c:v>1114.32982710032</c:v>
                </c:pt>
                <c:pt idx="248">
                  <c:v>1130.00966140113</c:v>
                </c:pt>
                <c:pt idx="249">
                  <c:v>1073.9852495711</c:v>
                </c:pt>
                <c:pt idx="250">
                  <c:v>991.78790822536007</c:v>
                </c:pt>
                <c:pt idx="251">
                  <c:v>1025.26726952373</c:v>
                </c:pt>
                <c:pt idx="252">
                  <c:v>1024.9652178172701</c:v>
                </c:pt>
                <c:pt idx="253">
                  <c:v>1025.66968958902</c:v>
                </c:pt>
                <c:pt idx="254">
                  <c:v>1011.6646558021099</c:v>
                </c:pt>
                <c:pt idx="255">
                  <c:v>1003.3546182563799</c:v>
                </c:pt>
                <c:pt idx="256">
                  <c:v>1009.3250938289201</c:v>
                </c:pt>
                <c:pt idx="257">
                  <c:v>1007.0276301021599</c:v>
                </c:pt>
                <c:pt idx="258">
                  <c:v>1031.38596176136</c:v>
                </c:pt>
                <c:pt idx="259">
                  <c:v>1012.3448768741999</c:v>
                </c:pt>
                <c:pt idx="260">
                  <c:v>981.8769746308401</c:v>
                </c:pt>
                <c:pt idx="261">
                  <c:v>996.54707808226999</c:v>
                </c:pt>
                <c:pt idx="262">
                  <c:v>956.10733019044005</c:v>
                </c:pt>
                <c:pt idx="263">
                  <c:v>972.56260452620006</c:v>
                </c:pt>
                <c:pt idx="264">
                  <c:v>998.85897595722008</c:v>
                </c:pt>
                <c:pt idx="265">
                  <c:v>1008.4124217818299</c:v>
                </c:pt>
                <c:pt idx="266">
                  <c:v>1008.7141343680801</c:v>
                </c:pt>
                <c:pt idx="267">
                  <c:v>1032.48779851993</c:v>
                </c:pt>
                <c:pt idx="268">
                  <c:v>989.54379345971995</c:v>
                </c:pt>
                <c:pt idx="269">
                  <c:v>976.79663655319996</c:v>
                </c:pt>
                <c:pt idx="270">
                  <c:v>1039.8384768455498</c:v>
                </c:pt>
                <c:pt idx="271">
                  <c:v>1022.80070625845</c:v>
                </c:pt>
                <c:pt idx="272">
                  <c:v>1005.8216393677601</c:v>
                </c:pt>
                <c:pt idx="273">
                  <c:v>1006.5664384094199</c:v>
                </c:pt>
                <c:pt idx="274">
                  <c:v>999.46542384215991</c:v>
                </c:pt>
                <c:pt idx="275">
                  <c:v>954.10941181945009</c:v>
                </c:pt>
                <c:pt idx="276">
                  <c:v>955.04706815361999</c:v>
                </c:pt>
                <c:pt idx="277">
                  <c:v>966.57947148168</c:v>
                </c:pt>
                <c:pt idx="278">
                  <c:v>952.70496927393003</c:v>
                </c:pt>
                <c:pt idx="279">
                  <c:v>954.07709781250003</c:v>
                </c:pt>
                <c:pt idx="280">
                  <c:v>942.38477023160999</c:v>
                </c:pt>
                <c:pt idx="281">
                  <c:v>952.75137151447996</c:v>
                </c:pt>
                <c:pt idx="282">
                  <c:v>966.30617580178</c:v>
                </c:pt>
                <c:pt idx="283">
                  <c:v>942.10338707847995</c:v>
                </c:pt>
                <c:pt idx="284">
                  <c:v>933.74196233581995</c:v>
                </c:pt>
                <c:pt idx="285">
                  <c:v>910.34025957915014</c:v>
                </c:pt>
                <c:pt idx="286">
                  <c:v>936.49135681669009</c:v>
                </c:pt>
                <c:pt idx="287">
                  <c:v>997.14619727679997</c:v>
                </c:pt>
                <c:pt idx="288">
                  <c:v>1027.76704187575</c:v>
                </c:pt>
                <c:pt idx="289">
                  <c:v>999.37769534227004</c:v>
                </c:pt>
                <c:pt idx="290">
                  <c:v>982.58576036137993</c:v>
                </c:pt>
                <c:pt idx="291">
                  <c:v>937.29685352258002</c:v>
                </c:pt>
                <c:pt idx="292">
                  <c:v>974.99991135530991</c:v>
                </c:pt>
                <c:pt idx="293">
                  <c:v>985.99737305562007</c:v>
                </c:pt>
                <c:pt idx="294">
                  <c:v>958.45137386219994</c:v>
                </c:pt>
                <c:pt idx="295">
                  <c:v>931.07908491550995</c:v>
                </c:pt>
                <c:pt idx="296">
                  <c:v>939.08284486166008</c:v>
                </c:pt>
                <c:pt idx="297">
                  <c:v>927.00350392701989</c:v>
                </c:pt>
                <c:pt idx="298">
                  <c:v>947.98055861449006</c:v>
                </c:pt>
                <c:pt idx="299">
                  <c:v>957.89960086725</c:v>
                </c:pt>
                <c:pt idx="300">
                  <c:v>969.18226669413002</c:v>
                </c:pt>
                <c:pt idx="301">
                  <c:v>994.71219700837014</c:v>
                </c:pt>
                <c:pt idx="302">
                  <c:v>943.01904369207989</c:v>
                </c:pt>
                <c:pt idx="303">
                  <c:v>989.78872870280998</c:v>
                </c:pt>
                <c:pt idx="304">
                  <c:v>934.6936173209499</c:v>
                </c:pt>
                <c:pt idx="305">
                  <c:v>1006.2999454659199</c:v>
                </c:pt>
                <c:pt idx="306">
                  <c:v>1015.2144620845301</c:v>
                </c:pt>
                <c:pt idx="307">
                  <c:v>1016.83484295071</c:v>
                </c:pt>
                <c:pt idx="308">
                  <c:v>1022.7615640674601</c:v>
                </c:pt>
                <c:pt idx="309">
                  <c:v>988.15073791260988</c:v>
                </c:pt>
                <c:pt idx="310">
                  <c:v>992.21950876948017</c:v>
                </c:pt>
                <c:pt idx="311">
                  <c:v>965.50859155600006</c:v>
                </c:pt>
                <c:pt idx="312">
                  <c:v>959.82785570754004</c:v>
                </c:pt>
                <c:pt idx="313">
                  <c:v>944.44512683296</c:v>
                </c:pt>
                <c:pt idx="314">
                  <c:v>928.46862393358992</c:v>
                </c:pt>
                <c:pt idx="315">
                  <c:v>925.49301141876992</c:v>
                </c:pt>
                <c:pt idx="316">
                  <c:v>955.55221207380009</c:v>
                </c:pt>
                <c:pt idx="317">
                  <c:v>959.35810737069005</c:v>
                </c:pt>
                <c:pt idx="318">
                  <c:v>951.34779470242995</c:v>
                </c:pt>
                <c:pt idx="319">
                  <c:v>977.5075854247101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2-154C-B0D4-2B94B21B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8-4F4E-AC84-069F64BCAEF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'240814A011'!$P$2:$P$321</c:f>
              <c:numCache>
                <c:formatCode>General</c:formatCode>
                <c:ptCount val="320"/>
                <c:pt idx="0">
                  <c:v>31.54012094322816</c:v>
                </c:pt>
                <c:pt idx="1">
                  <c:v>30.606137774831677</c:v>
                </c:pt>
                <c:pt idx="2">
                  <c:v>26.600051821216269</c:v>
                </c:pt>
                <c:pt idx="3">
                  <c:v>26.096027994011244</c:v>
                </c:pt>
                <c:pt idx="4">
                  <c:v>22.960484812080807</c:v>
                </c:pt>
                <c:pt idx="5">
                  <c:v>27.011912040801136</c:v>
                </c:pt>
                <c:pt idx="6">
                  <c:v>23.087836450945073</c:v>
                </c:pt>
                <c:pt idx="7">
                  <c:v>22.823364843477346</c:v>
                </c:pt>
                <c:pt idx="8">
                  <c:v>18.860584180959393</c:v>
                </c:pt>
                <c:pt idx="9">
                  <c:v>21.56820363256297</c:v>
                </c:pt>
                <c:pt idx="10">
                  <c:v>20.806534292088561</c:v>
                </c:pt>
                <c:pt idx="11">
                  <c:v>16.951393099195489</c:v>
                </c:pt>
                <c:pt idx="12">
                  <c:v>14.227046819272129</c:v>
                </c:pt>
                <c:pt idx="13">
                  <c:v>13.123918936407103</c:v>
                </c:pt>
                <c:pt idx="14">
                  <c:v>12.055344573811897</c:v>
                </c:pt>
                <c:pt idx="15">
                  <c:v>11.607208003176664</c:v>
                </c:pt>
                <c:pt idx="16">
                  <c:v>10.844198729548307</c:v>
                </c:pt>
                <c:pt idx="17">
                  <c:v>10.624713105577586</c:v>
                </c:pt>
                <c:pt idx="18">
                  <c:v>9.7810664631245192</c:v>
                </c:pt>
                <c:pt idx="19">
                  <c:v>10.473616304069743</c:v>
                </c:pt>
                <c:pt idx="20">
                  <c:v>14.177668142756851</c:v>
                </c:pt>
                <c:pt idx="21">
                  <c:v>11.523439683960808</c:v>
                </c:pt>
                <c:pt idx="22">
                  <c:v>10.147773481409494</c:v>
                </c:pt>
                <c:pt idx="23">
                  <c:v>7.3370443090867585</c:v>
                </c:pt>
                <c:pt idx="24">
                  <c:v>6.0685696776313831</c:v>
                </c:pt>
                <c:pt idx="25">
                  <c:v>6.6046649785721874</c:v>
                </c:pt>
                <c:pt idx="26">
                  <c:v>7.0755218192645675</c:v>
                </c:pt>
                <c:pt idx="27">
                  <c:v>6.5096921814056161</c:v>
                </c:pt>
                <c:pt idx="28">
                  <c:v>7.782066785789608</c:v>
                </c:pt>
                <c:pt idx="29">
                  <c:v>8.5989630729025155</c:v>
                </c:pt>
                <c:pt idx="30">
                  <c:v>7.5244583213979945</c:v>
                </c:pt>
                <c:pt idx="31">
                  <c:v>8.1517321597475192</c:v>
                </c:pt>
                <c:pt idx="32">
                  <c:v>7.41195194426877</c:v>
                </c:pt>
                <c:pt idx="33">
                  <c:v>8.4150103903890532</c:v>
                </c:pt>
                <c:pt idx="34">
                  <c:v>8.0726312332999122</c:v>
                </c:pt>
                <c:pt idx="35">
                  <c:v>7.3746882531700351</c:v>
                </c:pt>
                <c:pt idx="36">
                  <c:v>7.0032705512782467</c:v>
                </c:pt>
                <c:pt idx="37">
                  <c:v>6.4046678729549322</c:v>
                </c:pt>
                <c:pt idx="38">
                  <c:v>5.8492345547499962</c:v>
                </c:pt>
                <c:pt idx="39">
                  <c:v>5.3217789673694167</c:v>
                </c:pt>
                <c:pt idx="40">
                  <c:v>4.9367405064807475</c:v>
                </c:pt>
                <c:pt idx="41">
                  <c:v>3.3650948534475345</c:v>
                </c:pt>
                <c:pt idx="42">
                  <c:v>4.2083284388614119</c:v>
                </c:pt>
                <c:pt idx="43">
                  <c:v>3.159073036490692</c:v>
                </c:pt>
                <c:pt idx="44">
                  <c:v>2.8395786757630495</c:v>
                </c:pt>
                <c:pt idx="45">
                  <c:v>2.9163022236287475</c:v>
                </c:pt>
                <c:pt idx="46">
                  <c:v>1.9945978071228851</c:v>
                </c:pt>
                <c:pt idx="47">
                  <c:v>2.4223339681061025</c:v>
                </c:pt>
                <c:pt idx="48">
                  <c:v>2.8020823748517176</c:v>
                </c:pt>
                <c:pt idx="49">
                  <c:v>2.0283191169972814</c:v>
                </c:pt>
                <c:pt idx="50">
                  <c:v>1.9565128815652952</c:v>
                </c:pt>
                <c:pt idx="51">
                  <c:v>1.9698557183371657</c:v>
                </c:pt>
                <c:pt idx="52">
                  <c:v>1.9501571354996399</c:v>
                </c:pt>
                <c:pt idx="53">
                  <c:v>2.4427046096727714</c:v>
                </c:pt>
                <c:pt idx="54">
                  <c:v>2.8788396354922385</c:v>
                </c:pt>
                <c:pt idx="55">
                  <c:v>1.9229334978473764</c:v>
                </c:pt>
                <c:pt idx="56">
                  <c:v>1.8824182285213276</c:v>
                </c:pt>
                <c:pt idx="57">
                  <c:v>2.2043430645165301</c:v>
                </c:pt>
                <c:pt idx="58">
                  <c:v>2.3882597284916063</c:v>
                </c:pt>
                <c:pt idx="59">
                  <c:v>2.4324546972242307</c:v>
                </c:pt>
                <c:pt idx="60">
                  <c:v>1.9881717627517064</c:v>
                </c:pt>
                <c:pt idx="61">
                  <c:v>2.3490320200301098</c:v>
                </c:pt>
                <c:pt idx="62">
                  <c:v>0.91092172263121052</c:v>
                </c:pt>
                <c:pt idx="63">
                  <c:v>-0.59986311783388491</c:v>
                </c:pt>
                <c:pt idx="64">
                  <c:v>0.13451914199187207</c:v>
                </c:pt>
                <c:pt idx="65">
                  <c:v>0.93163708150536018</c:v>
                </c:pt>
                <c:pt idx="66">
                  <c:v>-0.33288902323432801</c:v>
                </c:pt>
                <c:pt idx="67">
                  <c:v>0.34280643862052873</c:v>
                </c:pt>
                <c:pt idx="68">
                  <c:v>1.1092623195706251E-2</c:v>
                </c:pt>
                <c:pt idx="69">
                  <c:v>-0.37497590921181462</c:v>
                </c:pt>
                <c:pt idx="70">
                  <c:v>-0.65903384705934698</c:v>
                </c:pt>
                <c:pt idx="71">
                  <c:v>-9.4961204678674832E-2</c:v>
                </c:pt>
                <c:pt idx="72">
                  <c:v>-0.41524156805668672</c:v>
                </c:pt>
                <c:pt idx="73">
                  <c:v>-0.41945702664807122</c:v>
                </c:pt>
                <c:pt idx="74">
                  <c:v>-0.7936044029825654</c:v>
                </c:pt>
                <c:pt idx="75">
                  <c:v>-0.94786655319895297</c:v>
                </c:pt>
                <c:pt idx="76">
                  <c:v>-0.12390326313781602</c:v>
                </c:pt>
                <c:pt idx="77">
                  <c:v>-0.64706154449553266</c:v>
                </c:pt>
                <c:pt idx="78">
                  <c:v>-1.208512132183269</c:v>
                </c:pt>
                <c:pt idx="79">
                  <c:v>-5.0811198005897604E-2</c:v>
                </c:pt>
                <c:pt idx="80">
                  <c:v>-1.3817172586370319</c:v>
                </c:pt>
                <c:pt idx="81">
                  <c:v>-1.6781619066969937</c:v>
                </c:pt>
                <c:pt idx="82">
                  <c:v>-1.5286084834357143</c:v>
                </c:pt>
                <c:pt idx="83">
                  <c:v>-1.4306938196701839</c:v>
                </c:pt>
                <c:pt idx="84">
                  <c:v>-0.53168223536078774</c:v>
                </c:pt>
                <c:pt idx="85">
                  <c:v>-1.5187523871718063</c:v>
                </c:pt>
                <c:pt idx="86">
                  <c:v>-1.1849326067031329</c:v>
                </c:pt>
                <c:pt idx="87">
                  <c:v>-1.3010226494661952</c:v>
                </c:pt>
                <c:pt idx="88">
                  <c:v>-1.6991483279123958</c:v>
                </c:pt>
                <c:pt idx="89">
                  <c:v>-2.6188022610780668</c:v>
                </c:pt>
                <c:pt idx="90">
                  <c:v>-2.6843662197118929</c:v>
                </c:pt>
                <c:pt idx="91">
                  <c:v>-2.5142992454690449</c:v>
                </c:pt>
                <c:pt idx="92">
                  <c:v>-3.9744053904264831</c:v>
                </c:pt>
                <c:pt idx="93">
                  <c:v>-3.0663449761513082</c:v>
                </c:pt>
                <c:pt idx="94">
                  <c:v>-1.5953876716342748</c:v>
                </c:pt>
                <c:pt idx="95">
                  <c:v>-2.4894390623143794</c:v>
                </c:pt>
                <c:pt idx="96">
                  <c:v>-2.9370993887438592</c:v>
                </c:pt>
                <c:pt idx="97">
                  <c:v>-2.655775592052688</c:v>
                </c:pt>
                <c:pt idx="98">
                  <c:v>-3.8709474622274551</c:v>
                </c:pt>
                <c:pt idx="99">
                  <c:v>-4.7855009283070506</c:v>
                </c:pt>
                <c:pt idx="100">
                  <c:v>-4.5205922385378257</c:v>
                </c:pt>
                <c:pt idx="101">
                  <c:v>-2.093644943337106</c:v>
                </c:pt>
                <c:pt idx="102">
                  <c:v>-2.1245955036149926</c:v>
                </c:pt>
                <c:pt idx="103">
                  <c:v>-1.6643313622723617</c:v>
                </c:pt>
                <c:pt idx="104">
                  <c:v>-1.6253594911994844</c:v>
                </c:pt>
                <c:pt idx="105">
                  <c:v>-0.65775773494899326</c:v>
                </c:pt>
                <c:pt idx="106">
                  <c:v>0.54524362541174454</c:v>
                </c:pt>
                <c:pt idx="107">
                  <c:v>0.11030182226888738</c:v>
                </c:pt>
                <c:pt idx="108">
                  <c:v>1.3853351522084503</c:v>
                </c:pt>
                <c:pt idx="109">
                  <c:v>0.63843934901589661</c:v>
                </c:pt>
                <c:pt idx="110">
                  <c:v>1.5870648713981892</c:v>
                </c:pt>
                <c:pt idx="111">
                  <c:v>0.58686128219963274</c:v>
                </c:pt>
                <c:pt idx="112">
                  <c:v>0.76959414383805103</c:v>
                </c:pt>
                <c:pt idx="113">
                  <c:v>0.64388952745657657</c:v>
                </c:pt>
                <c:pt idx="114">
                  <c:v>1.4397825975175138</c:v>
                </c:pt>
                <c:pt idx="115">
                  <c:v>2.0963027354793566</c:v>
                </c:pt>
                <c:pt idx="116">
                  <c:v>3.6803396579422736</c:v>
                </c:pt>
                <c:pt idx="117">
                  <c:v>4.1869964019886572</c:v>
                </c:pt>
                <c:pt idx="118">
                  <c:v>3.7413891750722983</c:v>
                </c:pt>
                <c:pt idx="119">
                  <c:v>4.5835637122609754</c:v>
                </c:pt>
                <c:pt idx="120">
                  <c:v>4.7005325945157352</c:v>
                </c:pt>
                <c:pt idx="121">
                  <c:v>3.9571847597041296</c:v>
                </c:pt>
                <c:pt idx="122">
                  <c:v>4.3684703499444009</c:v>
                </c:pt>
                <c:pt idx="123">
                  <c:v>1.4689260178484436</c:v>
                </c:pt>
                <c:pt idx="124">
                  <c:v>2.144081612878781</c:v>
                </c:pt>
                <c:pt idx="125">
                  <c:v>1.045727065960498</c:v>
                </c:pt>
                <c:pt idx="126">
                  <c:v>0.71333006273472166</c:v>
                </c:pt>
                <c:pt idx="127">
                  <c:v>1.0930418359900491</c:v>
                </c:pt>
                <c:pt idx="128">
                  <c:v>0.96396393306815253</c:v>
                </c:pt>
                <c:pt idx="129">
                  <c:v>1.8823399721582805</c:v>
                </c:pt>
                <c:pt idx="130">
                  <c:v>2.5030862535483704</c:v>
                </c:pt>
                <c:pt idx="131">
                  <c:v>1.9297828811410869</c:v>
                </c:pt>
                <c:pt idx="132">
                  <c:v>1.3047809696943706</c:v>
                </c:pt>
                <c:pt idx="133">
                  <c:v>2.1936202096119977</c:v>
                </c:pt>
                <c:pt idx="134">
                  <c:v>2.4552064892543597</c:v>
                </c:pt>
                <c:pt idx="135">
                  <c:v>4.3536966076883452</c:v>
                </c:pt>
                <c:pt idx="136">
                  <c:v>5.5671384271374222</c:v>
                </c:pt>
                <c:pt idx="137">
                  <c:v>5.411261044405677</c:v>
                </c:pt>
                <c:pt idx="138">
                  <c:v>5.9077787801171606</c:v>
                </c:pt>
                <c:pt idx="139">
                  <c:v>7.8544428731876277</c:v>
                </c:pt>
                <c:pt idx="140">
                  <c:v>9.9126010246713534</c:v>
                </c:pt>
                <c:pt idx="141">
                  <c:v>10.082266538513007</c:v>
                </c:pt>
                <c:pt idx="142">
                  <c:v>12.449604377633634</c:v>
                </c:pt>
                <c:pt idx="143">
                  <c:v>13.481218100798516</c:v>
                </c:pt>
                <c:pt idx="144">
                  <c:v>14.2990295233407</c:v>
                </c:pt>
                <c:pt idx="145">
                  <c:v>16.332763543320794</c:v>
                </c:pt>
                <c:pt idx="146">
                  <c:v>16.490143755459812</c:v>
                </c:pt>
                <c:pt idx="147">
                  <c:v>18.461699964462234</c:v>
                </c:pt>
                <c:pt idx="148">
                  <c:v>19.860991211194836</c:v>
                </c:pt>
                <c:pt idx="149">
                  <c:v>21.51544635951533</c:v>
                </c:pt>
                <c:pt idx="150">
                  <c:v>23.383163391081041</c:v>
                </c:pt>
                <c:pt idx="151">
                  <c:v>23.788211300633748</c:v>
                </c:pt>
                <c:pt idx="152">
                  <c:v>25.37868416208202</c:v>
                </c:pt>
                <c:pt idx="153">
                  <c:v>25.705809751237258</c:v>
                </c:pt>
                <c:pt idx="154">
                  <c:v>26.600655282220064</c:v>
                </c:pt>
                <c:pt idx="155">
                  <c:v>27.522466340898298</c:v>
                </c:pt>
                <c:pt idx="156">
                  <c:v>29.016129282731072</c:v>
                </c:pt>
                <c:pt idx="157">
                  <c:v>29.845195724491735</c:v>
                </c:pt>
                <c:pt idx="158">
                  <c:v>29.758261005569725</c:v>
                </c:pt>
                <c:pt idx="159">
                  <c:v>29.753917405521918</c:v>
                </c:pt>
                <c:pt idx="160">
                  <c:v>32.184011114233506</c:v>
                </c:pt>
                <c:pt idx="161">
                  <c:v>34.247395321567765</c:v>
                </c:pt>
                <c:pt idx="162">
                  <c:v>34.67018233969393</c:v>
                </c:pt>
                <c:pt idx="163">
                  <c:v>35.633394536171195</c:v>
                </c:pt>
                <c:pt idx="164">
                  <c:v>37.000006666162989</c:v>
                </c:pt>
                <c:pt idx="165">
                  <c:v>37.112827997545466</c:v>
                </c:pt>
                <c:pt idx="166">
                  <c:v>36.954547141110325</c:v>
                </c:pt>
                <c:pt idx="167">
                  <c:v>36.212409656693836</c:v>
                </c:pt>
                <c:pt idx="168">
                  <c:v>37.179961867928064</c:v>
                </c:pt>
                <c:pt idx="169">
                  <c:v>37.150454119978264</c:v>
                </c:pt>
                <c:pt idx="170">
                  <c:v>39.582846574132738</c:v>
                </c:pt>
                <c:pt idx="171">
                  <c:v>40.304580485758066</c:v>
                </c:pt>
                <c:pt idx="172">
                  <c:v>40.721693544234967</c:v>
                </c:pt>
                <c:pt idx="173">
                  <c:v>41.213479853362102</c:v>
                </c:pt>
                <c:pt idx="174">
                  <c:v>41.782032075762373</c:v>
                </c:pt>
                <c:pt idx="175">
                  <c:v>46.607756206617047</c:v>
                </c:pt>
                <c:pt idx="176">
                  <c:v>48.24256733667179</c:v>
                </c:pt>
                <c:pt idx="177">
                  <c:v>43.88414652855284</c:v>
                </c:pt>
                <c:pt idx="178">
                  <c:v>42.942990445704297</c:v>
                </c:pt>
                <c:pt idx="179">
                  <c:v>40.582641014391768</c:v>
                </c:pt>
                <c:pt idx="180">
                  <c:v>41.413157476587813</c:v>
                </c:pt>
                <c:pt idx="181">
                  <c:v>41.964383292960314</c:v>
                </c:pt>
                <c:pt idx="182">
                  <c:v>41.313833617658148</c:v>
                </c:pt>
                <c:pt idx="183">
                  <c:v>41.376609739794532</c:v>
                </c:pt>
                <c:pt idx="184">
                  <c:v>42.39698019775043</c:v>
                </c:pt>
                <c:pt idx="185">
                  <c:v>43.418213168542088</c:v>
                </c:pt>
                <c:pt idx="186">
                  <c:v>43.002584943220619</c:v>
                </c:pt>
                <c:pt idx="187">
                  <c:v>40.881979798351296</c:v>
                </c:pt>
                <c:pt idx="188">
                  <c:v>40.959718424655748</c:v>
                </c:pt>
                <c:pt idx="189">
                  <c:v>39.893549463814907</c:v>
                </c:pt>
                <c:pt idx="190">
                  <c:v>38.833506347819373</c:v>
                </c:pt>
                <c:pt idx="191">
                  <c:v>38.9386399315555</c:v>
                </c:pt>
                <c:pt idx="192">
                  <c:v>40.973458492412618</c:v>
                </c:pt>
                <c:pt idx="193">
                  <c:v>36.133289208604474</c:v>
                </c:pt>
                <c:pt idx="194">
                  <c:v>35.092421924583981</c:v>
                </c:pt>
                <c:pt idx="195">
                  <c:v>34.845872941618495</c:v>
                </c:pt>
                <c:pt idx="196">
                  <c:v>35.320419992165085</c:v>
                </c:pt>
                <c:pt idx="197">
                  <c:v>35.81528991507291</c:v>
                </c:pt>
                <c:pt idx="198">
                  <c:v>36.657091824686837</c:v>
                </c:pt>
                <c:pt idx="199">
                  <c:v>37.604797090690575</c:v>
                </c:pt>
                <c:pt idx="200">
                  <c:v>36.938787046816323</c:v>
                </c:pt>
                <c:pt idx="201">
                  <c:v>37.254778031151581</c:v>
                </c:pt>
                <c:pt idx="202">
                  <c:v>37.265237977947521</c:v>
                </c:pt>
                <c:pt idx="203">
                  <c:v>37.393247153136436</c:v>
                </c:pt>
                <c:pt idx="204">
                  <c:v>37.294545449662373</c:v>
                </c:pt>
                <c:pt idx="205">
                  <c:v>35.461026146509639</c:v>
                </c:pt>
                <c:pt idx="206">
                  <c:v>35.792859987129056</c:v>
                </c:pt>
                <c:pt idx="207">
                  <c:v>35.44529647751807</c:v>
                </c:pt>
                <c:pt idx="208">
                  <c:v>36.92480617541402</c:v>
                </c:pt>
                <c:pt idx="209">
                  <c:v>36.739115381278808</c:v>
                </c:pt>
                <c:pt idx="210">
                  <c:v>36.180895185595453</c:v>
                </c:pt>
                <c:pt idx="211">
                  <c:v>35.581373838717418</c:v>
                </c:pt>
                <c:pt idx="212">
                  <c:v>35.919369460312168</c:v>
                </c:pt>
                <c:pt idx="213">
                  <c:v>34.356021247281014</c:v>
                </c:pt>
                <c:pt idx="214">
                  <c:v>34.144642050965565</c:v>
                </c:pt>
                <c:pt idx="215">
                  <c:v>35.412723916149396</c:v>
                </c:pt>
                <c:pt idx="216">
                  <c:v>34.678364626503047</c:v>
                </c:pt>
                <c:pt idx="217">
                  <c:v>33.186006459318392</c:v>
                </c:pt>
                <c:pt idx="218">
                  <c:v>33.717009639783527</c:v>
                </c:pt>
                <c:pt idx="219">
                  <c:v>33.541663279444499</c:v>
                </c:pt>
                <c:pt idx="220">
                  <c:v>34.60224636241793</c:v>
                </c:pt>
                <c:pt idx="221">
                  <c:v>32.526415974136732</c:v>
                </c:pt>
                <c:pt idx="222">
                  <c:v>31.024807397082395</c:v>
                </c:pt>
                <c:pt idx="223">
                  <c:v>30.452653441663415</c:v>
                </c:pt>
                <c:pt idx="224">
                  <c:v>30.199530227634451</c:v>
                </c:pt>
                <c:pt idx="225">
                  <c:v>28.384948429049896</c:v>
                </c:pt>
                <c:pt idx="226">
                  <c:v>28.858575030297029</c:v>
                </c:pt>
                <c:pt idx="227">
                  <c:v>33.253498085767283</c:v>
                </c:pt>
                <c:pt idx="228">
                  <c:v>27.505139025205711</c:v>
                </c:pt>
                <c:pt idx="229">
                  <c:v>27.109374698688111</c:v>
                </c:pt>
                <c:pt idx="230">
                  <c:v>26.753203061996729</c:v>
                </c:pt>
                <c:pt idx="231">
                  <c:v>29.212230773333207</c:v>
                </c:pt>
                <c:pt idx="232">
                  <c:v>30.122047255201</c:v>
                </c:pt>
                <c:pt idx="233">
                  <c:v>28.012609450231956</c:v>
                </c:pt>
                <c:pt idx="234">
                  <c:v>28.516455295101839</c:v>
                </c:pt>
                <c:pt idx="235">
                  <c:v>28.601095160781764</c:v>
                </c:pt>
                <c:pt idx="236">
                  <c:v>29.061688674717693</c:v>
                </c:pt>
                <c:pt idx="237">
                  <c:v>30.486494544118187</c:v>
                </c:pt>
                <c:pt idx="238">
                  <c:v>30.138371138404541</c:v>
                </c:pt>
                <c:pt idx="239">
                  <c:v>29.762449902620798</c:v>
                </c:pt>
                <c:pt idx="240">
                  <c:v>30.290785560389743</c:v>
                </c:pt>
                <c:pt idx="241">
                  <c:v>29.46892151312726</c:v>
                </c:pt>
                <c:pt idx="242">
                  <c:v>29.734351258798341</c:v>
                </c:pt>
                <c:pt idx="243">
                  <c:v>30.230904156419395</c:v>
                </c:pt>
                <c:pt idx="244">
                  <c:v>28.99017699561151</c:v>
                </c:pt>
                <c:pt idx="245">
                  <c:v>26.85727156047858</c:v>
                </c:pt>
                <c:pt idx="246">
                  <c:v>23.423469427229396</c:v>
                </c:pt>
                <c:pt idx="247">
                  <c:v>23.114874518153517</c:v>
                </c:pt>
                <c:pt idx="248">
                  <c:v>23.012799160412285</c:v>
                </c:pt>
                <c:pt idx="249">
                  <c:v>22.413780134594461</c:v>
                </c:pt>
                <c:pt idx="250">
                  <c:v>23.582987951444167</c:v>
                </c:pt>
                <c:pt idx="251">
                  <c:v>22.580274218262964</c:v>
                </c:pt>
                <c:pt idx="252">
                  <c:v>23.631394004948181</c:v>
                </c:pt>
                <c:pt idx="253">
                  <c:v>23.551717510230205</c:v>
                </c:pt>
                <c:pt idx="254">
                  <c:v>22.547442323855961</c:v>
                </c:pt>
                <c:pt idx="255">
                  <c:v>22.24204698218151</c:v>
                </c:pt>
                <c:pt idx="256">
                  <c:v>21.648537024265046</c:v>
                </c:pt>
                <c:pt idx="257">
                  <c:v>20.734545414971947</c:v>
                </c:pt>
                <c:pt idx="258">
                  <c:v>19.580109911467851</c:v>
                </c:pt>
                <c:pt idx="259">
                  <c:v>18.735535351179511</c:v>
                </c:pt>
                <c:pt idx="260">
                  <c:v>18.390064347729293</c:v>
                </c:pt>
                <c:pt idx="261">
                  <c:v>17.27750556206475</c:v>
                </c:pt>
                <c:pt idx="262">
                  <c:v>17.425863340138342</c:v>
                </c:pt>
                <c:pt idx="263">
                  <c:v>16.571580773723113</c:v>
                </c:pt>
                <c:pt idx="264">
                  <c:v>16.903153481595016</c:v>
                </c:pt>
                <c:pt idx="265">
                  <c:v>15.992167475241692</c:v>
                </c:pt>
                <c:pt idx="266">
                  <c:v>15.00939810072795</c:v>
                </c:pt>
                <c:pt idx="267">
                  <c:v>10.78366048342963</c:v>
                </c:pt>
                <c:pt idx="268">
                  <c:v>9.7517756408825331</c:v>
                </c:pt>
                <c:pt idx="269">
                  <c:v>9.6809739173297125</c:v>
                </c:pt>
                <c:pt idx="270">
                  <c:v>8.9102729225160306</c:v>
                </c:pt>
                <c:pt idx="271">
                  <c:v>8.6471726548762309</c:v>
                </c:pt>
                <c:pt idx="272">
                  <c:v>7.8500993138424642</c:v>
                </c:pt>
                <c:pt idx="273">
                  <c:v>6.1928377689808363</c:v>
                </c:pt>
                <c:pt idx="274">
                  <c:v>6.3715638306341731</c:v>
                </c:pt>
                <c:pt idx="275">
                  <c:v>7.6807182138528312</c:v>
                </c:pt>
                <c:pt idx="276">
                  <c:v>7.1425417177488999</c:v>
                </c:pt>
                <c:pt idx="277">
                  <c:v>5.574585208565157</c:v>
                </c:pt>
                <c:pt idx="278">
                  <c:v>4.5435731823833372</c:v>
                </c:pt>
                <c:pt idx="279">
                  <c:v>3.2568256753726059</c:v>
                </c:pt>
                <c:pt idx="280">
                  <c:v>3.5595678715512555</c:v>
                </c:pt>
                <c:pt idx="281">
                  <c:v>4.1240212024236316</c:v>
                </c:pt>
                <c:pt idx="282">
                  <c:v>4.5302084980724109</c:v>
                </c:pt>
                <c:pt idx="283">
                  <c:v>3.8475729756369441</c:v>
                </c:pt>
                <c:pt idx="284">
                  <c:v>3.8097688312067119</c:v>
                </c:pt>
                <c:pt idx="285">
                  <c:v>3.2197325092866942</c:v>
                </c:pt>
                <c:pt idx="286">
                  <c:v>1.0322868698598795</c:v>
                </c:pt>
                <c:pt idx="287">
                  <c:v>-1.7816913928800451</c:v>
                </c:pt>
                <c:pt idx="288">
                  <c:v>-3.2665128108687309</c:v>
                </c:pt>
                <c:pt idx="289">
                  <c:v>-2.0021842296539929</c:v>
                </c:pt>
                <c:pt idx="290">
                  <c:v>-1.5536562656356765</c:v>
                </c:pt>
                <c:pt idx="291">
                  <c:v>-0.53482740823224006</c:v>
                </c:pt>
                <c:pt idx="292">
                  <c:v>-0.33593847374402458</c:v>
                </c:pt>
                <c:pt idx="293">
                  <c:v>-0.5616083642603098</c:v>
                </c:pt>
                <c:pt idx="294">
                  <c:v>-1.3027825117890171</c:v>
                </c:pt>
                <c:pt idx="295">
                  <c:v>-0.49899651114851673</c:v>
                </c:pt>
                <c:pt idx="296">
                  <c:v>0.63781761682577987</c:v>
                </c:pt>
                <c:pt idx="297">
                  <c:v>1.4288759348098714</c:v>
                </c:pt>
                <c:pt idx="298">
                  <c:v>0.49181557232222683</c:v>
                </c:pt>
                <c:pt idx="299">
                  <c:v>-3.6468966597466596E-2</c:v>
                </c:pt>
                <c:pt idx="300">
                  <c:v>-2.5701418891716118E-2</c:v>
                </c:pt>
                <c:pt idx="301">
                  <c:v>0.10157715947013705</c:v>
                </c:pt>
                <c:pt idx="302">
                  <c:v>-0.35185149539372323</c:v>
                </c:pt>
                <c:pt idx="303">
                  <c:v>-1.8310357590954647</c:v>
                </c:pt>
                <c:pt idx="304">
                  <c:v>0.31325220358437184</c:v>
                </c:pt>
                <c:pt idx="305">
                  <c:v>-2.0468371885428511</c:v>
                </c:pt>
                <c:pt idx="306">
                  <c:v>-1.2263886609065335</c:v>
                </c:pt>
                <c:pt idx="307">
                  <c:v>-0.7882341141192486</c:v>
                </c:pt>
                <c:pt idx="308">
                  <c:v>-1.1391922047396805</c:v>
                </c:pt>
                <c:pt idx="309">
                  <c:v>0.9796732878871629</c:v>
                </c:pt>
                <c:pt idx="310">
                  <c:v>0.10549298936328431</c:v>
                </c:pt>
                <c:pt idx="311">
                  <c:v>1.1824556211121799</c:v>
                </c:pt>
                <c:pt idx="312">
                  <c:v>0.87252520211515716</c:v>
                </c:pt>
                <c:pt idx="313">
                  <c:v>1.2558798185502462</c:v>
                </c:pt>
                <c:pt idx="314">
                  <c:v>1.3793992091721332</c:v>
                </c:pt>
                <c:pt idx="315">
                  <c:v>1.1328946789710763</c:v>
                </c:pt>
                <c:pt idx="316">
                  <c:v>-0.22923465392862596</c:v>
                </c:pt>
                <c:pt idx="317">
                  <c:v>4.9411751603472567E-2</c:v>
                </c:pt>
                <c:pt idx="318">
                  <c:v>0.29604452787368046</c:v>
                </c:pt>
                <c:pt idx="319">
                  <c:v>0.15190096920694282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8-4F4E-AC84-069F64BC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'240814A012'!$J$2:$J$321</c:f>
              <c:numCache>
                <c:formatCode>0.0</c:formatCode>
                <c:ptCount val="320"/>
                <c:pt idx="0">
                  <c:v>279.16636732866999</c:v>
                </c:pt>
                <c:pt idx="1">
                  <c:v>280.96139516710997</c:v>
                </c:pt>
                <c:pt idx="2">
                  <c:v>277.11420563575001</c:v>
                </c:pt>
                <c:pt idx="3">
                  <c:v>277.19046498218995</c:v>
                </c:pt>
                <c:pt idx="4">
                  <c:v>277.68191967027997</c:v>
                </c:pt>
                <c:pt idx="5">
                  <c:v>277.40088635554002</c:v>
                </c:pt>
                <c:pt idx="6">
                  <c:v>278.50045089754002</c:v>
                </c:pt>
                <c:pt idx="7">
                  <c:v>279.05699930995002</c:v>
                </c:pt>
                <c:pt idx="8">
                  <c:v>291.39478143600002</c:v>
                </c:pt>
                <c:pt idx="9">
                  <c:v>296.33666350366002</c:v>
                </c:pt>
                <c:pt idx="10">
                  <c:v>310.67099748006001</c:v>
                </c:pt>
                <c:pt idx="11">
                  <c:v>309.62827984491003</c:v>
                </c:pt>
                <c:pt idx="12">
                  <c:v>309.23529984729998</c:v>
                </c:pt>
                <c:pt idx="13">
                  <c:v>309.41024020466</c:v>
                </c:pt>
                <c:pt idx="14">
                  <c:v>307.75727416938003</c:v>
                </c:pt>
                <c:pt idx="15">
                  <c:v>311.06691780799997</c:v>
                </c:pt>
                <c:pt idx="16">
                  <c:v>308.26866662706999</c:v>
                </c:pt>
                <c:pt idx="17">
                  <c:v>308.70845262056002</c:v>
                </c:pt>
                <c:pt idx="18">
                  <c:v>307.78362708400005</c:v>
                </c:pt>
                <c:pt idx="19">
                  <c:v>309.60369179065003</c:v>
                </c:pt>
                <c:pt idx="20">
                  <c:v>307.64506831192</c:v>
                </c:pt>
                <c:pt idx="21">
                  <c:v>307.60354931461006</c:v>
                </c:pt>
                <c:pt idx="22">
                  <c:v>303.47969090887</c:v>
                </c:pt>
                <c:pt idx="23">
                  <c:v>309.01369660895</c:v>
                </c:pt>
                <c:pt idx="24">
                  <c:v>301.40620704440994</c:v>
                </c:pt>
                <c:pt idx="25">
                  <c:v>306.60364704844</c:v>
                </c:pt>
                <c:pt idx="26">
                  <c:v>308.47906036798997</c:v>
                </c:pt>
                <c:pt idx="27">
                  <c:v>312.64753017138003</c:v>
                </c:pt>
                <c:pt idx="28">
                  <c:v>306.89232442590003</c:v>
                </c:pt>
                <c:pt idx="29">
                  <c:v>303.53604549982998</c:v>
                </c:pt>
                <c:pt idx="30">
                  <c:v>301.05070494469999</c:v>
                </c:pt>
                <c:pt idx="31">
                  <c:v>299.72889012194003</c:v>
                </c:pt>
                <c:pt idx="32">
                  <c:v>301.78279304556997</c:v>
                </c:pt>
                <c:pt idx="33">
                  <c:v>302.03737755843997</c:v>
                </c:pt>
                <c:pt idx="34">
                  <c:v>299.37866510509002</c:v>
                </c:pt>
                <c:pt idx="35">
                  <c:v>300.75900493524</c:v>
                </c:pt>
                <c:pt idx="36">
                  <c:v>303.65333379261995</c:v>
                </c:pt>
                <c:pt idx="37">
                  <c:v>305.26269509232003</c:v>
                </c:pt>
                <c:pt idx="38">
                  <c:v>305.71465290478</c:v>
                </c:pt>
                <c:pt idx="39">
                  <c:v>308.82979808100998</c:v>
                </c:pt>
                <c:pt idx="40">
                  <c:v>299.98156424580998</c:v>
                </c:pt>
                <c:pt idx="41">
                  <c:v>300.68212290502998</c:v>
                </c:pt>
                <c:pt idx="42">
                  <c:v>297.79183156393003</c:v>
                </c:pt>
                <c:pt idx="43">
                  <c:v>292.00495974274997</c:v>
                </c:pt>
                <c:pt idx="44">
                  <c:v>294.35743492213999</c:v>
                </c:pt>
                <c:pt idx="45">
                  <c:v>300.27859140302996</c:v>
                </c:pt>
                <c:pt idx="46">
                  <c:v>298.72044204769998</c:v>
                </c:pt>
                <c:pt idx="47">
                  <c:v>295.21627806590004</c:v>
                </c:pt>
                <c:pt idx="48">
                  <c:v>301.81329045584994</c:v>
                </c:pt>
                <c:pt idx="49">
                  <c:v>302.29803921568998</c:v>
                </c:pt>
                <c:pt idx="50">
                  <c:v>301.39558393189998</c:v>
                </c:pt>
                <c:pt idx="51">
                  <c:v>299.36573243821999</c:v>
                </c:pt>
                <c:pt idx="52">
                  <c:v>297.51273179662996</c:v>
                </c:pt>
                <c:pt idx="53">
                  <c:v>301.55299125237002</c:v>
                </c:pt>
                <c:pt idx="54">
                  <c:v>292.93414597587002</c:v>
                </c:pt>
                <c:pt idx="55">
                  <c:v>290.12146221618002</c:v>
                </c:pt>
                <c:pt idx="56">
                  <c:v>295.08245309297001</c:v>
                </c:pt>
                <c:pt idx="57">
                  <c:v>299.70266765258998</c:v>
                </c:pt>
                <c:pt idx="58">
                  <c:v>299.94949319614</c:v>
                </c:pt>
                <c:pt idx="59">
                  <c:v>298.73416970873996</c:v>
                </c:pt>
                <c:pt idx="60">
                  <c:v>292.75288661614002</c:v>
                </c:pt>
                <c:pt idx="61">
                  <c:v>298.21418464759</c:v>
                </c:pt>
                <c:pt idx="62">
                  <c:v>302.83260842150003</c:v>
                </c:pt>
                <c:pt idx="63">
                  <c:v>304.19614769671</c:v>
                </c:pt>
                <c:pt idx="64">
                  <c:v>303.66094407131004</c:v>
                </c:pt>
                <c:pt idx="65">
                  <c:v>301.93560981733998</c:v>
                </c:pt>
                <c:pt idx="66">
                  <c:v>304.78567572656999</c:v>
                </c:pt>
                <c:pt idx="67">
                  <c:v>303.92048521749996</c:v>
                </c:pt>
                <c:pt idx="68">
                  <c:v>303.07006614954003</c:v>
                </c:pt>
                <c:pt idx="69">
                  <c:v>297.15133453994997</c:v>
                </c:pt>
                <c:pt idx="70">
                  <c:v>293.12214952886995</c:v>
                </c:pt>
                <c:pt idx="71">
                  <c:v>293.61752253090998</c:v>
                </c:pt>
                <c:pt idx="72">
                  <c:v>294.49600011355994</c:v>
                </c:pt>
                <c:pt idx="73">
                  <c:v>294.25975792485997</c:v>
                </c:pt>
                <c:pt idx="74">
                  <c:v>295.23335993616001</c:v>
                </c:pt>
                <c:pt idx="75">
                  <c:v>292.75544732168999</c:v>
                </c:pt>
                <c:pt idx="76">
                  <c:v>289.88801043502997</c:v>
                </c:pt>
                <c:pt idx="77">
                  <c:v>295.23886815141998</c:v>
                </c:pt>
                <c:pt idx="78">
                  <c:v>298.63196069343996</c:v>
                </c:pt>
                <c:pt idx="79">
                  <c:v>300.67642107373001</c:v>
                </c:pt>
                <c:pt idx="80">
                  <c:v>298.16083185108999</c:v>
                </c:pt>
                <c:pt idx="81">
                  <c:v>301.29503085672002</c:v>
                </c:pt>
                <c:pt idx="82">
                  <c:v>295.77586038864001</c:v>
                </c:pt>
                <c:pt idx="83">
                  <c:v>285.15876719403002</c:v>
                </c:pt>
                <c:pt idx="84">
                  <c:v>294.64577406382</c:v>
                </c:pt>
                <c:pt idx="85">
                  <c:v>290.27301364738003</c:v>
                </c:pt>
                <c:pt idx="86">
                  <c:v>295.41065532610003</c:v>
                </c:pt>
                <c:pt idx="87">
                  <c:v>292.82858577615002</c:v>
                </c:pt>
                <c:pt idx="88">
                  <c:v>308.96638356233001</c:v>
                </c:pt>
                <c:pt idx="89">
                  <c:v>316.68424178367997</c:v>
                </c:pt>
                <c:pt idx="90">
                  <c:v>301.16844187089998</c:v>
                </c:pt>
                <c:pt idx="91">
                  <c:v>295.04459988895997</c:v>
                </c:pt>
                <c:pt idx="92">
                  <c:v>304.97118425065003</c:v>
                </c:pt>
                <c:pt idx="93">
                  <c:v>311.42477725737001</c:v>
                </c:pt>
                <c:pt idx="94">
                  <c:v>305.34565769426001</c:v>
                </c:pt>
                <c:pt idx="95">
                  <c:v>300.73904720702001</c:v>
                </c:pt>
                <c:pt idx="96">
                  <c:v>317.37764891022005</c:v>
                </c:pt>
                <c:pt idx="97">
                  <c:v>315.04002675268998</c:v>
                </c:pt>
                <c:pt idx="98">
                  <c:v>315.17901959241999</c:v>
                </c:pt>
                <c:pt idx="99">
                  <c:v>313.91839821830001</c:v>
                </c:pt>
                <c:pt idx="100">
                  <c:v>304.82325598854004</c:v>
                </c:pt>
                <c:pt idx="101">
                  <c:v>293.85393412712</c:v>
                </c:pt>
                <c:pt idx="102">
                  <c:v>297.37748998363003</c:v>
                </c:pt>
                <c:pt idx="103">
                  <c:v>294.43637513211002</c:v>
                </c:pt>
                <c:pt idx="104">
                  <c:v>285.21439679902994</c:v>
                </c:pt>
                <c:pt idx="105">
                  <c:v>296.74902666428</c:v>
                </c:pt>
                <c:pt idx="106">
                  <c:v>298.46400381891999</c:v>
                </c:pt>
                <c:pt idx="107">
                  <c:v>308.93381290431</c:v>
                </c:pt>
                <c:pt idx="108">
                  <c:v>307.59196419076</c:v>
                </c:pt>
                <c:pt idx="109">
                  <c:v>308.49454415784999</c:v>
                </c:pt>
                <c:pt idx="110">
                  <c:v>310.74508185952999</c:v>
                </c:pt>
                <c:pt idx="111">
                  <c:v>306.22935152943001</c:v>
                </c:pt>
                <c:pt idx="112">
                  <c:v>314.34745382139999</c:v>
                </c:pt>
                <c:pt idx="113">
                  <c:v>316.74876851802003</c:v>
                </c:pt>
                <c:pt idx="114">
                  <c:v>308.99926922700001</c:v>
                </c:pt>
                <c:pt idx="115">
                  <c:v>310.57662568570004</c:v>
                </c:pt>
                <c:pt idx="116">
                  <c:v>309.08591130298004</c:v>
                </c:pt>
                <c:pt idx="117">
                  <c:v>306.76027550837</c:v>
                </c:pt>
                <c:pt idx="118">
                  <c:v>308.70701371541998</c:v>
                </c:pt>
                <c:pt idx="119">
                  <c:v>307.28421598973</c:v>
                </c:pt>
                <c:pt idx="120">
                  <c:v>294.86878994916003</c:v>
                </c:pt>
                <c:pt idx="121">
                  <c:v>299.46487093153996</c:v>
                </c:pt>
                <c:pt idx="122">
                  <c:v>306.05183081321002</c:v>
                </c:pt>
                <c:pt idx="123">
                  <c:v>317.13241699404</c:v>
                </c:pt>
                <c:pt idx="124">
                  <c:v>316.70011681913002</c:v>
                </c:pt>
                <c:pt idx="125">
                  <c:v>318.57090261618998</c:v>
                </c:pt>
                <c:pt idx="126">
                  <c:v>310.08440020199998</c:v>
                </c:pt>
                <c:pt idx="127">
                  <c:v>301.20877857208006</c:v>
                </c:pt>
                <c:pt idx="128">
                  <c:v>309.77672462495002</c:v>
                </c:pt>
                <c:pt idx="129">
                  <c:v>305.11440175864993</c:v>
                </c:pt>
                <c:pt idx="130">
                  <c:v>302.35381792218999</c:v>
                </c:pt>
                <c:pt idx="131">
                  <c:v>302.37271121058996</c:v>
                </c:pt>
                <c:pt idx="132">
                  <c:v>293.36319325458999</c:v>
                </c:pt>
                <c:pt idx="133">
                  <c:v>313.57787133945999</c:v>
                </c:pt>
                <c:pt idx="134">
                  <c:v>312.18040188430001</c:v>
                </c:pt>
                <c:pt idx="135">
                  <c:v>316.39071756532996</c:v>
                </c:pt>
                <c:pt idx="136">
                  <c:v>313.69861752313</c:v>
                </c:pt>
                <c:pt idx="137">
                  <c:v>315.52055009353001</c:v>
                </c:pt>
                <c:pt idx="138">
                  <c:v>316.09366642942996</c:v>
                </c:pt>
                <c:pt idx="139">
                  <c:v>312.68815642458003</c:v>
                </c:pt>
                <c:pt idx="140">
                  <c:v>299.58345617576998</c:v>
                </c:pt>
                <c:pt idx="141">
                  <c:v>298.41089150743994</c:v>
                </c:pt>
                <c:pt idx="142">
                  <c:v>302.37106784435002</c:v>
                </c:pt>
                <c:pt idx="143">
                  <c:v>306.91859273022999</c:v>
                </c:pt>
                <c:pt idx="144">
                  <c:v>302.12056417374004</c:v>
                </c:pt>
                <c:pt idx="145">
                  <c:v>302.48556509804996</c:v>
                </c:pt>
                <c:pt idx="146">
                  <c:v>314.94054063390001</c:v>
                </c:pt>
                <c:pt idx="147">
                  <c:v>314.93093571493</c:v>
                </c:pt>
                <c:pt idx="148">
                  <c:v>312.14308344658002</c:v>
                </c:pt>
                <c:pt idx="149">
                  <c:v>307.19142634255002</c:v>
                </c:pt>
                <c:pt idx="150">
                  <c:v>303.98954875599998</c:v>
                </c:pt>
                <c:pt idx="151">
                  <c:v>300.54356912423998</c:v>
                </c:pt>
                <c:pt idx="152">
                  <c:v>298.25501455662004</c:v>
                </c:pt>
                <c:pt idx="153">
                  <c:v>296.69518923598002</c:v>
                </c:pt>
                <c:pt idx="154">
                  <c:v>295.80031001652003</c:v>
                </c:pt>
                <c:pt idx="155">
                  <c:v>295.46507829098005</c:v>
                </c:pt>
                <c:pt idx="156">
                  <c:v>295.47255743167</c:v>
                </c:pt>
                <c:pt idx="157">
                  <c:v>291.97493924894002</c:v>
                </c:pt>
                <c:pt idx="158">
                  <c:v>290.65256156524998</c:v>
                </c:pt>
                <c:pt idx="159">
                  <c:v>297.28367174385994</c:v>
                </c:pt>
                <c:pt idx="160">
                  <c:v>298.85929115415001</c:v>
                </c:pt>
                <c:pt idx="161">
                  <c:v>295.58522747200004</c:v>
                </c:pt>
                <c:pt idx="162">
                  <c:v>289.94277438183997</c:v>
                </c:pt>
                <c:pt idx="163">
                  <c:v>289.44621276649002</c:v>
                </c:pt>
                <c:pt idx="164">
                  <c:v>287.77223989778997</c:v>
                </c:pt>
                <c:pt idx="165">
                  <c:v>286.27507766114002</c:v>
                </c:pt>
                <c:pt idx="166">
                  <c:v>288.05899867224002</c:v>
                </c:pt>
                <c:pt idx="167">
                  <c:v>286.96703221685004</c:v>
                </c:pt>
                <c:pt idx="168">
                  <c:v>288.47523924643997</c:v>
                </c:pt>
                <c:pt idx="169">
                  <c:v>291.74475724629002</c:v>
                </c:pt>
                <c:pt idx="170">
                  <c:v>289.41141430970004</c:v>
                </c:pt>
                <c:pt idx="171">
                  <c:v>289.04485369642003</c:v>
                </c:pt>
                <c:pt idx="172">
                  <c:v>293.06439424304995</c:v>
                </c:pt>
                <c:pt idx="173">
                  <c:v>291.42185848135</c:v>
                </c:pt>
                <c:pt idx="174">
                  <c:v>291.26252974923</c:v>
                </c:pt>
                <c:pt idx="175">
                  <c:v>288.65067577723994</c:v>
                </c:pt>
                <c:pt idx="176">
                  <c:v>290.11654871358002</c:v>
                </c:pt>
                <c:pt idx="177">
                  <c:v>289.89092742440999</c:v>
                </c:pt>
                <c:pt idx="178">
                  <c:v>289.77364907181999</c:v>
                </c:pt>
                <c:pt idx="179">
                  <c:v>290.62920121752995</c:v>
                </c:pt>
                <c:pt idx="180">
                  <c:v>291.04887516597</c:v>
                </c:pt>
                <c:pt idx="181">
                  <c:v>291.23749530275001</c:v>
                </c:pt>
                <c:pt idx="182">
                  <c:v>292.56525603125999</c:v>
                </c:pt>
                <c:pt idx="183">
                  <c:v>291.04267104242001</c:v>
                </c:pt>
                <c:pt idx="184">
                  <c:v>290.60992183781002</c:v>
                </c:pt>
                <c:pt idx="185">
                  <c:v>287.88552621689996</c:v>
                </c:pt>
                <c:pt idx="186">
                  <c:v>290.54380213944</c:v>
                </c:pt>
                <c:pt idx="187">
                  <c:v>291.24885011398999</c:v>
                </c:pt>
                <c:pt idx="188">
                  <c:v>290.76533431870996</c:v>
                </c:pt>
                <c:pt idx="189">
                  <c:v>290.05429140467004</c:v>
                </c:pt>
                <c:pt idx="190">
                  <c:v>284.95514066688997</c:v>
                </c:pt>
                <c:pt idx="191">
                  <c:v>289.13527569706997</c:v>
                </c:pt>
                <c:pt idx="192">
                  <c:v>292.75682040233994</c:v>
                </c:pt>
                <c:pt idx="193">
                  <c:v>293.28215422001</c:v>
                </c:pt>
                <c:pt idx="194">
                  <c:v>293.91110366510998</c:v>
                </c:pt>
                <c:pt idx="195">
                  <c:v>293.34395558283001</c:v>
                </c:pt>
                <c:pt idx="196">
                  <c:v>292.09515807800994</c:v>
                </c:pt>
                <c:pt idx="197">
                  <c:v>289.68980446927003</c:v>
                </c:pt>
                <c:pt idx="198">
                  <c:v>290.50321980609999</c:v>
                </c:pt>
                <c:pt idx="199">
                  <c:v>288.84107209960996</c:v>
                </c:pt>
                <c:pt idx="200">
                  <c:v>289.32696407545995</c:v>
                </c:pt>
                <c:pt idx="201">
                  <c:v>291.76325688303001</c:v>
                </c:pt>
                <c:pt idx="202">
                  <c:v>293.43592266453004</c:v>
                </c:pt>
                <c:pt idx="203">
                  <c:v>291.03690536652005</c:v>
                </c:pt>
                <c:pt idx="204">
                  <c:v>293.60441911354002</c:v>
                </c:pt>
                <c:pt idx="205">
                  <c:v>293.06473110999002</c:v>
                </c:pt>
                <c:pt idx="206">
                  <c:v>291.06843920270001</c:v>
                </c:pt>
                <c:pt idx="207">
                  <c:v>288.60035488340998</c:v>
                </c:pt>
                <c:pt idx="208">
                  <c:v>288.96145815698998</c:v>
                </c:pt>
                <c:pt idx="209">
                  <c:v>289.79245653304997</c:v>
                </c:pt>
                <c:pt idx="210">
                  <c:v>289.60265410154</c:v>
                </c:pt>
                <c:pt idx="211">
                  <c:v>288.79362526569003</c:v>
                </c:pt>
                <c:pt idx="212">
                  <c:v>288.37427471487001</c:v>
                </c:pt>
                <c:pt idx="213">
                  <c:v>287.55104552665</c:v>
                </c:pt>
                <c:pt idx="214">
                  <c:v>287.46366144374002</c:v>
                </c:pt>
                <c:pt idx="215">
                  <c:v>287.29806820532997</c:v>
                </c:pt>
                <c:pt idx="216">
                  <c:v>286.35757387657003</c:v>
                </c:pt>
                <c:pt idx="217">
                  <c:v>286.71073240161002</c:v>
                </c:pt>
                <c:pt idx="218">
                  <c:v>281.45766604593996</c:v>
                </c:pt>
                <c:pt idx="219">
                  <c:v>286.44550784066996</c:v>
                </c:pt>
                <c:pt idx="220">
                  <c:v>287.61937020441997</c:v>
                </c:pt>
                <c:pt idx="221">
                  <c:v>286.03885289478001</c:v>
                </c:pt>
                <c:pt idx="222">
                  <c:v>287.14637939810996</c:v>
                </c:pt>
                <c:pt idx="223">
                  <c:v>287.70274616510994</c:v>
                </c:pt>
                <c:pt idx="224">
                  <c:v>284.70113931288995</c:v>
                </c:pt>
                <c:pt idx="225">
                  <c:v>284.97306118858</c:v>
                </c:pt>
                <c:pt idx="226">
                  <c:v>285.23373509876001</c:v>
                </c:pt>
                <c:pt idx="227">
                  <c:v>286.51737247928003</c:v>
                </c:pt>
                <c:pt idx="228">
                  <c:v>282.46649050153997</c:v>
                </c:pt>
                <c:pt idx="229">
                  <c:v>286.68388874574998</c:v>
                </c:pt>
                <c:pt idx="230">
                  <c:v>283.95228145365002</c:v>
                </c:pt>
                <c:pt idx="231">
                  <c:v>284.80453525711999</c:v>
                </c:pt>
                <c:pt idx="232">
                  <c:v>284.81731340844999</c:v>
                </c:pt>
                <c:pt idx="233">
                  <c:v>280.27786980537996</c:v>
                </c:pt>
                <c:pt idx="234">
                  <c:v>279.80116382099999</c:v>
                </c:pt>
                <c:pt idx="235">
                  <c:v>279.18938673168998</c:v>
                </c:pt>
                <c:pt idx="236">
                  <c:v>279.37169313332998</c:v>
                </c:pt>
                <c:pt idx="237">
                  <c:v>277.31000056557002</c:v>
                </c:pt>
                <c:pt idx="238">
                  <c:v>277.00748754171002</c:v>
                </c:pt>
                <c:pt idx="239">
                  <c:v>276.23786440103004</c:v>
                </c:pt>
                <c:pt idx="240">
                  <c:v>276.80733923623001</c:v>
                </c:pt>
                <c:pt idx="241">
                  <c:v>278.76910595673002</c:v>
                </c:pt>
                <c:pt idx="242">
                  <c:v>277.34915258498006</c:v>
                </c:pt>
                <c:pt idx="243">
                  <c:v>277.06151347003004</c:v>
                </c:pt>
                <c:pt idx="244">
                  <c:v>276.82670189968997</c:v>
                </c:pt>
                <c:pt idx="245">
                  <c:v>276.10764024609</c:v>
                </c:pt>
                <c:pt idx="246">
                  <c:v>275.93294769718</c:v>
                </c:pt>
                <c:pt idx="247">
                  <c:v>273.44878496333001</c:v>
                </c:pt>
                <c:pt idx="248">
                  <c:v>271.71637895821999</c:v>
                </c:pt>
                <c:pt idx="249">
                  <c:v>272.97361859096998</c:v>
                </c:pt>
                <c:pt idx="250">
                  <c:v>276.51953233499</c:v>
                </c:pt>
                <c:pt idx="251">
                  <c:v>278.41072135537001</c:v>
                </c:pt>
                <c:pt idx="252">
                  <c:v>276.21567702082007</c:v>
                </c:pt>
                <c:pt idx="253">
                  <c:v>257.69238866091001</c:v>
                </c:pt>
                <c:pt idx="254">
                  <c:v>250.25661561858001</c:v>
                </c:pt>
                <c:pt idx="255">
                  <c:v>286.97905700075</c:v>
                </c:pt>
                <c:pt idx="256">
                  <c:v>281.29823836335999</c:v>
                </c:pt>
                <c:pt idx="257">
                  <c:v>281.84012186085999</c:v>
                </c:pt>
                <c:pt idx="258">
                  <c:v>268.79867666230007</c:v>
                </c:pt>
                <c:pt idx="259">
                  <c:v>291.50742151231998</c:v>
                </c:pt>
                <c:pt idx="260">
                  <c:v>281.54186810880003</c:v>
                </c:pt>
                <c:pt idx="261">
                  <c:v>273.07502187899001</c:v>
                </c:pt>
                <c:pt idx="262">
                  <c:v>282.80343930471997</c:v>
                </c:pt>
                <c:pt idx="263">
                  <c:v>281.37436969762001</c:v>
                </c:pt>
                <c:pt idx="264">
                  <c:v>280.87159655608002</c:v>
                </c:pt>
                <c:pt idx="265">
                  <c:v>283.41375926636999</c:v>
                </c:pt>
                <c:pt idx="266">
                  <c:v>279.05960671393001</c:v>
                </c:pt>
                <c:pt idx="267">
                  <c:v>279.25065864297</c:v>
                </c:pt>
                <c:pt idx="268">
                  <c:v>270.37766425456005</c:v>
                </c:pt>
                <c:pt idx="269">
                  <c:v>282.21259508341996</c:v>
                </c:pt>
                <c:pt idx="270">
                  <c:v>282.30680773779</c:v>
                </c:pt>
                <c:pt idx="271">
                  <c:v>273.77032707129001</c:v>
                </c:pt>
                <c:pt idx="272">
                  <c:v>270.93283165881996</c:v>
                </c:pt>
                <c:pt idx="273">
                  <c:v>271.86672229210001</c:v>
                </c:pt>
                <c:pt idx="274">
                  <c:v>271.53287212319003</c:v>
                </c:pt>
                <c:pt idx="275">
                  <c:v>271.59636008895995</c:v>
                </c:pt>
                <c:pt idx="276">
                  <c:v>272.56976621633999</c:v>
                </c:pt>
                <c:pt idx="277">
                  <c:v>268.05935903187003</c:v>
                </c:pt>
                <c:pt idx="278">
                  <c:v>264.13487360218005</c:v>
                </c:pt>
                <c:pt idx="279">
                  <c:v>261.57951383758996</c:v>
                </c:pt>
                <c:pt idx="280">
                  <c:v>264.01020959939001</c:v>
                </c:pt>
                <c:pt idx="281">
                  <c:v>262.17448401832996</c:v>
                </c:pt>
                <c:pt idx="282">
                  <c:v>261.03575418995001</c:v>
                </c:pt>
                <c:pt idx="283">
                  <c:v>260.91620111732004</c:v>
                </c:pt>
                <c:pt idx="284">
                  <c:v>259.74529359526002</c:v>
                </c:pt>
                <c:pt idx="285">
                  <c:v>255.89284513108998</c:v>
                </c:pt>
                <c:pt idx="286">
                  <c:v>260.65675839091</c:v>
                </c:pt>
                <c:pt idx="287">
                  <c:v>261.99082854669996</c:v>
                </c:pt>
                <c:pt idx="288">
                  <c:v>249.35378393265</c:v>
                </c:pt>
                <c:pt idx="289">
                  <c:v>249.30438744196999</c:v>
                </c:pt>
                <c:pt idx="290">
                  <c:v>245.18979148635</c:v>
                </c:pt>
                <c:pt idx="291">
                  <c:v>251.12876795634</c:v>
                </c:pt>
                <c:pt idx="292">
                  <c:v>251.78909495946002</c:v>
                </c:pt>
                <c:pt idx="293">
                  <c:v>252.68107175603998</c:v>
                </c:pt>
                <c:pt idx="294">
                  <c:v>258.60264646292001</c:v>
                </c:pt>
                <c:pt idx="295">
                  <c:v>255.62180058472001</c:v>
                </c:pt>
                <c:pt idx="296">
                  <c:v>264.52667464301999</c:v>
                </c:pt>
                <c:pt idx="297">
                  <c:v>263.08077918752002</c:v>
                </c:pt>
                <c:pt idx="298">
                  <c:v>274.05351854535002</c:v>
                </c:pt>
                <c:pt idx="299">
                  <c:v>276.38690898327002</c:v>
                </c:pt>
                <c:pt idx="300">
                  <c:v>268.64285607100999</c:v>
                </c:pt>
                <c:pt idx="301">
                  <c:v>268.48841196350003</c:v>
                </c:pt>
                <c:pt idx="302">
                  <c:v>266.16365213694002</c:v>
                </c:pt>
                <c:pt idx="303">
                  <c:v>266.53413811367</c:v>
                </c:pt>
                <c:pt idx="304">
                  <c:v>267.22496437443999</c:v>
                </c:pt>
                <c:pt idx="305">
                  <c:v>265.98644904598996</c:v>
                </c:pt>
                <c:pt idx="306">
                  <c:v>266.87587487547</c:v>
                </c:pt>
                <c:pt idx="307">
                  <c:v>265.92725891270004</c:v>
                </c:pt>
                <c:pt idx="308">
                  <c:v>265.47332622923</c:v>
                </c:pt>
                <c:pt idx="309">
                  <c:v>263.58595722410996</c:v>
                </c:pt>
                <c:pt idx="310">
                  <c:v>264.23359206526999</c:v>
                </c:pt>
                <c:pt idx="311">
                  <c:v>264.18291486436999</c:v>
                </c:pt>
                <c:pt idx="312">
                  <c:v>265.49014023229</c:v>
                </c:pt>
                <c:pt idx="313">
                  <c:v>264.14538507131999</c:v>
                </c:pt>
                <c:pt idx="314">
                  <c:v>265.96649368829003</c:v>
                </c:pt>
                <c:pt idx="315">
                  <c:v>264.33751213791999</c:v>
                </c:pt>
                <c:pt idx="316">
                  <c:v>265.17302104744999</c:v>
                </c:pt>
                <c:pt idx="317">
                  <c:v>263.66044364855998</c:v>
                </c:pt>
                <c:pt idx="318">
                  <c:v>264.89477722991001</c:v>
                </c:pt>
                <c:pt idx="319">
                  <c:v>263.90358840813997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6-3F46-B396-3A87CC56F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1-C743-A3EA-6D203E3A2DB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'240814A012'!$P$2:$P$321</c:f>
              <c:numCache>
                <c:formatCode>General</c:formatCode>
                <c:ptCount val="320"/>
                <c:pt idx="0">
                  <c:v>21.037118893915959</c:v>
                </c:pt>
                <c:pt idx="1">
                  <c:v>19.095755485927558</c:v>
                </c:pt>
                <c:pt idx="2">
                  <c:v>19.443313280290827</c:v>
                </c:pt>
                <c:pt idx="3">
                  <c:v>17.563796195163683</c:v>
                </c:pt>
                <c:pt idx="4">
                  <c:v>17.016063665006879</c:v>
                </c:pt>
                <c:pt idx="5">
                  <c:v>16.753020168441363</c:v>
                </c:pt>
                <c:pt idx="6">
                  <c:v>16.220823938075917</c:v>
                </c:pt>
                <c:pt idx="7">
                  <c:v>12.874884327605876</c:v>
                </c:pt>
                <c:pt idx="8">
                  <c:v>11.599872220932813</c:v>
                </c:pt>
                <c:pt idx="9">
                  <c:v>9.4369397503459567</c:v>
                </c:pt>
                <c:pt idx="10">
                  <c:v>7.6936079598243792</c:v>
                </c:pt>
                <c:pt idx="11">
                  <c:v>4.9617721635910792</c:v>
                </c:pt>
                <c:pt idx="12">
                  <c:v>4.9220258384662943</c:v>
                </c:pt>
                <c:pt idx="13">
                  <c:v>3.613707939781202</c:v>
                </c:pt>
                <c:pt idx="14">
                  <c:v>2.6791370289137459</c:v>
                </c:pt>
                <c:pt idx="15">
                  <c:v>2.2366829400788943</c:v>
                </c:pt>
                <c:pt idx="16">
                  <c:v>1.5652574136599398</c:v>
                </c:pt>
                <c:pt idx="17">
                  <c:v>1.2441407628438395</c:v>
                </c:pt>
                <c:pt idx="18">
                  <c:v>0.22194982129205951</c:v>
                </c:pt>
                <c:pt idx="19">
                  <c:v>0.39589698827939368</c:v>
                </c:pt>
                <c:pt idx="20">
                  <c:v>-0.7576296752907864</c:v>
                </c:pt>
                <c:pt idx="21">
                  <c:v>-0.38832751911459235</c:v>
                </c:pt>
                <c:pt idx="22">
                  <c:v>-0.46206382015808301</c:v>
                </c:pt>
                <c:pt idx="23">
                  <c:v>-0.56992407951310109</c:v>
                </c:pt>
                <c:pt idx="24">
                  <c:v>-1.3337961305291467E-3</c:v>
                </c:pt>
                <c:pt idx="25">
                  <c:v>-1.279885743236558</c:v>
                </c:pt>
                <c:pt idx="26">
                  <c:v>-1.2247520805994814</c:v>
                </c:pt>
                <c:pt idx="27">
                  <c:v>-1.5164006469734461</c:v>
                </c:pt>
                <c:pt idx="28">
                  <c:v>8.020746520870653E-2</c:v>
                </c:pt>
                <c:pt idx="29">
                  <c:v>-0.42499411342513504</c:v>
                </c:pt>
                <c:pt idx="30">
                  <c:v>0.47100690582504401</c:v>
                </c:pt>
                <c:pt idx="31">
                  <c:v>0.63454929563211637</c:v>
                </c:pt>
                <c:pt idx="32">
                  <c:v>-2.200821085049224</c:v>
                </c:pt>
                <c:pt idx="33">
                  <c:v>-1.984437651613858</c:v>
                </c:pt>
                <c:pt idx="34">
                  <c:v>-2.1448648908247945</c:v>
                </c:pt>
                <c:pt idx="35">
                  <c:v>-1.9316414622128901</c:v>
                </c:pt>
                <c:pt idx="36">
                  <c:v>-1.7602304168115628</c:v>
                </c:pt>
                <c:pt idx="37">
                  <c:v>-1.5870926366185085</c:v>
                </c:pt>
                <c:pt idx="38">
                  <c:v>-0.99784577932544216</c:v>
                </c:pt>
                <c:pt idx="39">
                  <c:v>-2.257061240241093</c:v>
                </c:pt>
                <c:pt idx="40">
                  <c:v>1.226550040076138</c:v>
                </c:pt>
                <c:pt idx="41">
                  <c:v>0.21521995963863644</c:v>
                </c:pt>
                <c:pt idx="42">
                  <c:v>-0.18350374702174871</c:v>
                </c:pt>
                <c:pt idx="43">
                  <c:v>0.21141581775205193</c:v>
                </c:pt>
                <c:pt idx="44">
                  <c:v>0.57310877775482261</c:v>
                </c:pt>
                <c:pt idx="45">
                  <c:v>-7.1868017292560843E-2</c:v>
                </c:pt>
                <c:pt idx="46">
                  <c:v>0.66188495783686996</c:v>
                </c:pt>
                <c:pt idx="47">
                  <c:v>1.0792385132922533</c:v>
                </c:pt>
                <c:pt idx="48">
                  <c:v>0.90035174860164402</c:v>
                </c:pt>
                <c:pt idx="49">
                  <c:v>2.0589258512146946</c:v>
                </c:pt>
                <c:pt idx="50">
                  <c:v>-0.82414949792325576</c:v>
                </c:pt>
                <c:pt idx="51">
                  <c:v>-0.36498171139825247</c:v>
                </c:pt>
                <c:pt idx="52">
                  <c:v>0.77487447921101693</c:v>
                </c:pt>
                <c:pt idx="53">
                  <c:v>0.10768714717846886</c:v>
                </c:pt>
                <c:pt idx="54">
                  <c:v>0.44254401523494025</c:v>
                </c:pt>
                <c:pt idx="55">
                  <c:v>0.84084219852330055</c:v>
                </c:pt>
                <c:pt idx="56">
                  <c:v>-0.22441236542339299</c:v>
                </c:pt>
                <c:pt idx="57">
                  <c:v>-1.2858211402909352</c:v>
                </c:pt>
                <c:pt idx="58">
                  <c:v>-0.88203928440994517</c:v>
                </c:pt>
                <c:pt idx="59">
                  <c:v>1.1685994741854666</c:v>
                </c:pt>
                <c:pt idx="60">
                  <c:v>1.7293014394966599</c:v>
                </c:pt>
                <c:pt idx="61">
                  <c:v>0.872269253595917</c:v>
                </c:pt>
                <c:pt idx="62">
                  <c:v>-0.73624135477162234</c:v>
                </c:pt>
                <c:pt idx="63">
                  <c:v>-1.4279279383741617</c:v>
                </c:pt>
                <c:pt idx="64">
                  <c:v>-1.7037591818667956</c:v>
                </c:pt>
                <c:pt idx="65">
                  <c:v>-2.4292523328415636</c:v>
                </c:pt>
                <c:pt idx="66">
                  <c:v>-1.6791846009790308</c:v>
                </c:pt>
                <c:pt idx="67">
                  <c:v>-0.67655775101317728</c:v>
                </c:pt>
                <c:pt idx="68">
                  <c:v>-0.95575529628826561</c:v>
                </c:pt>
                <c:pt idx="69">
                  <c:v>0.79970001083503173</c:v>
                </c:pt>
                <c:pt idx="70">
                  <c:v>2.3303959701230328</c:v>
                </c:pt>
                <c:pt idx="71">
                  <c:v>0.69679692840415919</c:v>
                </c:pt>
                <c:pt idx="72">
                  <c:v>0.90984810524048831</c:v>
                </c:pt>
                <c:pt idx="73">
                  <c:v>2.9639412149019164</c:v>
                </c:pt>
                <c:pt idx="74">
                  <c:v>1.1400486801555043</c:v>
                </c:pt>
                <c:pt idx="75">
                  <c:v>0.91976996941435396</c:v>
                </c:pt>
                <c:pt idx="76">
                  <c:v>1.0884165434864899</c:v>
                </c:pt>
                <c:pt idx="77">
                  <c:v>-1.1444572514741729</c:v>
                </c:pt>
                <c:pt idx="78">
                  <c:v>-1.2939990227186506</c:v>
                </c:pt>
                <c:pt idx="79">
                  <c:v>-1.4033533853260476</c:v>
                </c:pt>
                <c:pt idx="80">
                  <c:v>-0.83274556809431066</c:v>
                </c:pt>
                <c:pt idx="81">
                  <c:v>-0.44976511263603763</c:v>
                </c:pt>
                <c:pt idx="82">
                  <c:v>0.27630073835766156</c:v>
                </c:pt>
                <c:pt idx="83">
                  <c:v>2.5403892820077534</c:v>
                </c:pt>
                <c:pt idx="84">
                  <c:v>1.9521692515991167</c:v>
                </c:pt>
                <c:pt idx="85">
                  <c:v>1.2411277587499141</c:v>
                </c:pt>
                <c:pt idx="86">
                  <c:v>1.2825627585054913</c:v>
                </c:pt>
                <c:pt idx="87">
                  <c:v>1.9318015263398089</c:v>
                </c:pt>
                <c:pt idx="88">
                  <c:v>-1.7230612091216668</c:v>
                </c:pt>
                <c:pt idx="89">
                  <c:v>-2.8372834615963964</c:v>
                </c:pt>
                <c:pt idx="90">
                  <c:v>-1.0298154314141359</c:v>
                </c:pt>
                <c:pt idx="91">
                  <c:v>-0.71466123697920525</c:v>
                </c:pt>
                <c:pt idx="92">
                  <c:v>-3.3332119345254312</c:v>
                </c:pt>
                <c:pt idx="93">
                  <c:v>-2.2256814284074795</c:v>
                </c:pt>
                <c:pt idx="94">
                  <c:v>-4.0750303686157476</c:v>
                </c:pt>
                <c:pt idx="95">
                  <c:v>-2.8883762493925942</c:v>
                </c:pt>
                <c:pt idx="96">
                  <c:v>-4.7561980171974199</c:v>
                </c:pt>
                <c:pt idx="97">
                  <c:v>-4.8189248546310965</c:v>
                </c:pt>
                <c:pt idx="98">
                  <c:v>-4.8898203674021863</c:v>
                </c:pt>
                <c:pt idx="99">
                  <c:v>-5.3481363532781847</c:v>
                </c:pt>
                <c:pt idx="100">
                  <c:v>-4.1643044595267629</c:v>
                </c:pt>
                <c:pt idx="101">
                  <c:v>-3.9371938423272343</c:v>
                </c:pt>
                <c:pt idx="102">
                  <c:v>-5.4354649480287867</c:v>
                </c:pt>
                <c:pt idx="103">
                  <c:v>-3.49336874572524</c:v>
                </c:pt>
                <c:pt idx="104">
                  <c:v>-2.2225777685960799</c:v>
                </c:pt>
                <c:pt idx="105">
                  <c:v>-6.6654997859847018</c:v>
                </c:pt>
                <c:pt idx="106">
                  <c:v>-2.2487885225784554</c:v>
                </c:pt>
                <c:pt idx="107">
                  <c:v>-4.6822046989410779</c:v>
                </c:pt>
                <c:pt idx="108">
                  <c:v>-3.8459286088990332</c:v>
                </c:pt>
                <c:pt idx="109">
                  <c:v>-3.8908693745205816</c:v>
                </c:pt>
                <c:pt idx="110">
                  <c:v>-4.3592357225685978</c:v>
                </c:pt>
                <c:pt idx="111">
                  <c:v>-3.412008161504255</c:v>
                </c:pt>
                <c:pt idx="112">
                  <c:v>-5.6714989154421289</c:v>
                </c:pt>
                <c:pt idx="113">
                  <c:v>-4.580808221229649</c:v>
                </c:pt>
                <c:pt idx="114">
                  <c:v>-3.1725779120511777</c:v>
                </c:pt>
                <c:pt idx="115">
                  <c:v>-4.1551763571763773</c:v>
                </c:pt>
                <c:pt idx="116">
                  <c:v>-3.0979476514809661</c:v>
                </c:pt>
                <c:pt idx="117">
                  <c:v>-3.0504406610586789</c:v>
                </c:pt>
                <c:pt idx="118">
                  <c:v>-2.9433805748652224</c:v>
                </c:pt>
                <c:pt idx="119">
                  <c:v>-2.6896608495635328</c:v>
                </c:pt>
                <c:pt idx="120">
                  <c:v>-2.8342593534724712</c:v>
                </c:pt>
                <c:pt idx="121">
                  <c:v>-0.16027746164998397</c:v>
                </c:pt>
                <c:pt idx="122">
                  <c:v>-1.8437587690946888</c:v>
                </c:pt>
                <c:pt idx="123">
                  <c:v>-1.7843333610413989</c:v>
                </c:pt>
                <c:pt idx="124">
                  <c:v>-2.362642079526053</c:v>
                </c:pt>
                <c:pt idx="125">
                  <c:v>-2.2511556337174388</c:v>
                </c:pt>
                <c:pt idx="126">
                  <c:v>-1.5175060787820884</c:v>
                </c:pt>
                <c:pt idx="127">
                  <c:v>-0.30826868386269063</c:v>
                </c:pt>
                <c:pt idx="128">
                  <c:v>-1.4788718569327135</c:v>
                </c:pt>
                <c:pt idx="129">
                  <c:v>-0.57512588348118898</c:v>
                </c:pt>
                <c:pt idx="130">
                  <c:v>-1.6131112511526449</c:v>
                </c:pt>
                <c:pt idx="131">
                  <c:v>0.5131867119672493</c:v>
                </c:pt>
                <c:pt idx="132">
                  <c:v>2.6852216712968304</c:v>
                </c:pt>
                <c:pt idx="133">
                  <c:v>9.3131072907225054E-2</c:v>
                </c:pt>
                <c:pt idx="134">
                  <c:v>0.62415334354217222</c:v>
                </c:pt>
                <c:pt idx="135">
                  <c:v>-3.2373902946391078</c:v>
                </c:pt>
                <c:pt idx="136">
                  <c:v>-4.2988510959653139</c:v>
                </c:pt>
                <c:pt idx="137">
                  <c:v>-4.5654518359091707</c:v>
                </c:pt>
                <c:pt idx="138">
                  <c:v>-4.9162242799435267</c:v>
                </c:pt>
                <c:pt idx="139">
                  <c:v>-2.0830631406875062</c:v>
                </c:pt>
                <c:pt idx="140">
                  <c:v>-1.3752154026651768</c:v>
                </c:pt>
                <c:pt idx="141">
                  <c:v>-1.6476639627903138</c:v>
                </c:pt>
                <c:pt idx="142">
                  <c:v>-5.0678138984185379</c:v>
                </c:pt>
                <c:pt idx="143">
                  <c:v>-3.991538122815101</c:v>
                </c:pt>
                <c:pt idx="144">
                  <c:v>-3.2283954876585761</c:v>
                </c:pt>
                <c:pt idx="145">
                  <c:v>-5.5064410506736809</c:v>
                </c:pt>
                <c:pt idx="146">
                  <c:v>-1.4574506957255118</c:v>
                </c:pt>
                <c:pt idx="147">
                  <c:v>-2.3691086916437771</c:v>
                </c:pt>
                <c:pt idx="148">
                  <c:v>-3.7848269119190001</c:v>
                </c:pt>
                <c:pt idx="149">
                  <c:v>-4.2085823073963748</c:v>
                </c:pt>
                <c:pt idx="150">
                  <c:v>-0.19513778627478462</c:v>
                </c:pt>
                <c:pt idx="151">
                  <c:v>-0.58279408550251122</c:v>
                </c:pt>
                <c:pt idx="152">
                  <c:v>1.2823328759331873</c:v>
                </c:pt>
                <c:pt idx="153">
                  <c:v>0.48761003610153281</c:v>
                </c:pt>
                <c:pt idx="154">
                  <c:v>-7.3806034143625826E-2</c:v>
                </c:pt>
                <c:pt idx="155">
                  <c:v>0.85963568596014639</c:v>
                </c:pt>
                <c:pt idx="156">
                  <c:v>1.3735072506624169</c:v>
                </c:pt>
                <c:pt idx="157">
                  <c:v>1.5132119497319652</c:v>
                </c:pt>
                <c:pt idx="158">
                  <c:v>3.2385106266261081</c:v>
                </c:pt>
                <c:pt idx="159">
                  <c:v>1.4472409288153627</c:v>
                </c:pt>
                <c:pt idx="160">
                  <c:v>3.7482765454446822E-2</c:v>
                </c:pt>
                <c:pt idx="161">
                  <c:v>0.703938873004614</c:v>
                </c:pt>
                <c:pt idx="162">
                  <c:v>1.954033486739025</c:v>
                </c:pt>
                <c:pt idx="163">
                  <c:v>3.0253100770541014E-2</c:v>
                </c:pt>
                <c:pt idx="164">
                  <c:v>-3.2678566714089641E-2</c:v>
                </c:pt>
                <c:pt idx="165">
                  <c:v>-0.78008332293488858</c:v>
                </c:pt>
                <c:pt idx="166">
                  <c:v>-1.1801489031362797</c:v>
                </c:pt>
                <c:pt idx="167">
                  <c:v>-1.4251336017577638</c:v>
                </c:pt>
                <c:pt idx="168">
                  <c:v>-1.8609627993690723</c:v>
                </c:pt>
                <c:pt idx="169">
                  <c:v>-1.4020413273465635</c:v>
                </c:pt>
                <c:pt idx="170">
                  <c:v>-0.58726156076155522</c:v>
                </c:pt>
                <c:pt idx="171">
                  <c:v>-1.913805148781204</c:v>
                </c:pt>
                <c:pt idx="172">
                  <c:v>-2.1246224044182154</c:v>
                </c:pt>
                <c:pt idx="173">
                  <c:v>-2.0424038733980017</c:v>
                </c:pt>
                <c:pt idx="174">
                  <c:v>-1.5485585609173373</c:v>
                </c:pt>
                <c:pt idx="175">
                  <c:v>-1.5050732613581137</c:v>
                </c:pt>
                <c:pt idx="176">
                  <c:v>-3.6530215735220861</c:v>
                </c:pt>
                <c:pt idx="177">
                  <c:v>-2.971483028066225</c:v>
                </c:pt>
                <c:pt idx="178">
                  <c:v>-3.038899236891031</c:v>
                </c:pt>
                <c:pt idx="179">
                  <c:v>-1.5211490557891429</c:v>
                </c:pt>
                <c:pt idx="180">
                  <c:v>-2.1247216800920286</c:v>
                </c:pt>
                <c:pt idx="181">
                  <c:v>-2.6618888546082284</c:v>
                </c:pt>
                <c:pt idx="182">
                  <c:v>-3.8204951524554636</c:v>
                </c:pt>
                <c:pt idx="183">
                  <c:v>-2.5595401198285526</c:v>
                </c:pt>
                <c:pt idx="184">
                  <c:v>-2.6109478343042127</c:v>
                </c:pt>
                <c:pt idx="185">
                  <c:v>-0.17023899672838477</c:v>
                </c:pt>
                <c:pt idx="186">
                  <c:v>-1.3309719840680458</c:v>
                </c:pt>
                <c:pt idx="187">
                  <c:v>-0.57128265368364717</c:v>
                </c:pt>
                <c:pt idx="188">
                  <c:v>-0.18551505421687173</c:v>
                </c:pt>
                <c:pt idx="189">
                  <c:v>-7.7377026386668296E-2</c:v>
                </c:pt>
                <c:pt idx="190">
                  <c:v>1.1358915677893942</c:v>
                </c:pt>
                <c:pt idx="191">
                  <c:v>0.386052524336993</c:v>
                </c:pt>
                <c:pt idx="192">
                  <c:v>0.18946015706252292</c:v>
                </c:pt>
                <c:pt idx="193">
                  <c:v>1.105060692431755</c:v>
                </c:pt>
                <c:pt idx="194">
                  <c:v>1.9400394098052598</c:v>
                </c:pt>
                <c:pt idx="195">
                  <c:v>1.6935908901120216</c:v>
                </c:pt>
                <c:pt idx="196">
                  <c:v>1.5269082404274548</c:v>
                </c:pt>
                <c:pt idx="197">
                  <c:v>1.8748715755425742</c:v>
                </c:pt>
                <c:pt idx="198">
                  <c:v>1.1159163301887076</c:v>
                </c:pt>
                <c:pt idx="199">
                  <c:v>1.4734582847067852</c:v>
                </c:pt>
                <c:pt idx="200">
                  <c:v>2.0341285969659677</c:v>
                </c:pt>
                <c:pt idx="201">
                  <c:v>2.2872452965631473</c:v>
                </c:pt>
                <c:pt idx="202">
                  <c:v>3.6209672455669208</c:v>
                </c:pt>
                <c:pt idx="203">
                  <c:v>7.9529686128559556</c:v>
                </c:pt>
                <c:pt idx="204">
                  <c:v>9.1586765516953488</c:v>
                </c:pt>
                <c:pt idx="205">
                  <c:v>12.466184712000148</c:v>
                </c:pt>
                <c:pt idx="206">
                  <c:v>11.619043231685808</c:v>
                </c:pt>
                <c:pt idx="207">
                  <c:v>12.606358328086698</c:v>
                </c:pt>
                <c:pt idx="208">
                  <c:v>12.803818808805481</c:v>
                </c:pt>
                <c:pt idx="209">
                  <c:v>13.887326003233422</c:v>
                </c:pt>
                <c:pt idx="210">
                  <c:v>15.149619815972695</c:v>
                </c:pt>
                <c:pt idx="211">
                  <c:v>14.267170217881997</c:v>
                </c:pt>
                <c:pt idx="212">
                  <c:v>14.987291322537583</c:v>
                </c:pt>
                <c:pt idx="213">
                  <c:v>16.972309929480211</c:v>
                </c:pt>
                <c:pt idx="214">
                  <c:v>15.337379919773674</c:v>
                </c:pt>
                <c:pt idx="215">
                  <c:v>15.364590995917649</c:v>
                </c:pt>
                <c:pt idx="216">
                  <c:v>16.358471035761497</c:v>
                </c:pt>
                <c:pt idx="217">
                  <c:v>15.780699211034987</c:v>
                </c:pt>
                <c:pt idx="218">
                  <c:v>19.283937556996268</c:v>
                </c:pt>
                <c:pt idx="219">
                  <c:v>19.651093975527012</c:v>
                </c:pt>
                <c:pt idx="220">
                  <c:v>20.282855568678805</c:v>
                </c:pt>
                <c:pt idx="221">
                  <c:v>22.512364179095659</c:v>
                </c:pt>
                <c:pt idx="222">
                  <c:v>26.265557308873561</c:v>
                </c:pt>
                <c:pt idx="223">
                  <c:v>25.209572009402226</c:v>
                </c:pt>
                <c:pt idx="224">
                  <c:v>24.57734130378816</c:v>
                </c:pt>
                <c:pt idx="225">
                  <c:v>24.659011563535131</c:v>
                </c:pt>
                <c:pt idx="226">
                  <c:v>27.198322120736972</c:v>
                </c:pt>
                <c:pt idx="227">
                  <c:v>30.776799343726179</c:v>
                </c:pt>
                <c:pt idx="228">
                  <c:v>32.011576424668739</c:v>
                </c:pt>
                <c:pt idx="229">
                  <c:v>29.640753694688094</c:v>
                </c:pt>
                <c:pt idx="230">
                  <c:v>27.712717592440484</c:v>
                </c:pt>
                <c:pt idx="231">
                  <c:v>26.5704947832619</c:v>
                </c:pt>
                <c:pt idx="232">
                  <c:v>25.21286459578554</c:v>
                </c:pt>
                <c:pt idx="233">
                  <c:v>25.896034282698409</c:v>
                </c:pt>
                <c:pt idx="234">
                  <c:v>25.583215151228195</c:v>
                </c:pt>
                <c:pt idx="235">
                  <c:v>24.117973790918253</c:v>
                </c:pt>
                <c:pt idx="236">
                  <c:v>23.599049521082005</c:v>
                </c:pt>
                <c:pt idx="237">
                  <c:v>24.151178005335467</c:v>
                </c:pt>
                <c:pt idx="238">
                  <c:v>21.766653272828265</c:v>
                </c:pt>
                <c:pt idx="239">
                  <c:v>22.692546167777916</c:v>
                </c:pt>
                <c:pt idx="240">
                  <c:v>21.508430794566209</c:v>
                </c:pt>
                <c:pt idx="241">
                  <c:v>21.476261421299611</c:v>
                </c:pt>
                <c:pt idx="242">
                  <c:v>22.911454888675923</c:v>
                </c:pt>
                <c:pt idx="243">
                  <c:v>20.955448324593672</c:v>
                </c:pt>
                <c:pt idx="244">
                  <c:v>20.616769944622856</c:v>
                </c:pt>
                <c:pt idx="245">
                  <c:v>20.816819568620691</c:v>
                </c:pt>
                <c:pt idx="246">
                  <c:v>18.950830152180135</c:v>
                </c:pt>
                <c:pt idx="247">
                  <c:v>19.893872066717737</c:v>
                </c:pt>
                <c:pt idx="248">
                  <c:v>19.996930637911902</c:v>
                </c:pt>
                <c:pt idx="249">
                  <c:v>22.644346745094143</c:v>
                </c:pt>
                <c:pt idx="250">
                  <c:v>21.000834186305656</c:v>
                </c:pt>
                <c:pt idx="251">
                  <c:v>20.728363253142888</c:v>
                </c:pt>
                <c:pt idx="252">
                  <c:v>21.758934443739182</c:v>
                </c:pt>
                <c:pt idx="253">
                  <c:v>25.353395535389016</c:v>
                </c:pt>
                <c:pt idx="254">
                  <c:v>25.874808489873207</c:v>
                </c:pt>
                <c:pt idx="255">
                  <c:v>14.59344077385316</c:v>
                </c:pt>
                <c:pt idx="256">
                  <c:v>14.623608332513127</c:v>
                </c:pt>
                <c:pt idx="257">
                  <c:v>13.647999064060482</c:v>
                </c:pt>
                <c:pt idx="258">
                  <c:v>15.348671392808932</c:v>
                </c:pt>
                <c:pt idx="259">
                  <c:v>9.6728597081990273</c:v>
                </c:pt>
                <c:pt idx="260">
                  <c:v>13.631232189695123</c:v>
                </c:pt>
                <c:pt idx="261">
                  <c:v>13.518617930107773</c:v>
                </c:pt>
                <c:pt idx="262">
                  <c:v>8.9227680583460653</c:v>
                </c:pt>
                <c:pt idx="263">
                  <c:v>8.8200101604740713</c:v>
                </c:pt>
                <c:pt idx="264">
                  <c:v>7.9224066599483765</c:v>
                </c:pt>
                <c:pt idx="265">
                  <c:v>7.6709369510476604</c:v>
                </c:pt>
                <c:pt idx="266">
                  <c:v>9.7890498292283858</c:v>
                </c:pt>
                <c:pt idx="267">
                  <c:v>8.6042685830881922</c:v>
                </c:pt>
                <c:pt idx="268">
                  <c:v>6.8425073107818219</c:v>
                </c:pt>
                <c:pt idx="269">
                  <c:v>6.2856747505881438</c:v>
                </c:pt>
                <c:pt idx="270">
                  <c:v>6.0961476570367239</c:v>
                </c:pt>
                <c:pt idx="271">
                  <c:v>4.2462351646743173</c:v>
                </c:pt>
                <c:pt idx="272">
                  <c:v>5.7134586815412929</c:v>
                </c:pt>
                <c:pt idx="273">
                  <c:v>3.4416297043656008</c:v>
                </c:pt>
                <c:pt idx="274">
                  <c:v>3.4472940891790191</c:v>
                </c:pt>
                <c:pt idx="275">
                  <c:v>4.9386108388878327</c:v>
                </c:pt>
                <c:pt idx="276">
                  <c:v>3.8643432971656337</c:v>
                </c:pt>
                <c:pt idx="277">
                  <c:v>3.4579116725034655</c:v>
                </c:pt>
                <c:pt idx="278">
                  <c:v>4.1758014543448914</c:v>
                </c:pt>
                <c:pt idx="279">
                  <c:v>1.0818819064443681</c:v>
                </c:pt>
                <c:pt idx="280">
                  <c:v>0.75176044883188309</c:v>
                </c:pt>
                <c:pt idx="281">
                  <c:v>-5.2218577653015917E-4</c:v>
                </c:pt>
                <c:pt idx="282">
                  <c:v>1.4243550056361964</c:v>
                </c:pt>
                <c:pt idx="283">
                  <c:v>0.21375927785791449</c:v>
                </c:pt>
                <c:pt idx="284">
                  <c:v>-0.17905384665237994</c:v>
                </c:pt>
                <c:pt idx="285">
                  <c:v>-0.86113090810925519</c:v>
                </c:pt>
                <c:pt idx="286">
                  <c:v>-1.7405978725694229</c:v>
                </c:pt>
                <c:pt idx="287">
                  <c:v>-0.89205476851422427</c:v>
                </c:pt>
                <c:pt idx="288">
                  <c:v>-0.15366129239692258</c:v>
                </c:pt>
                <c:pt idx="289">
                  <c:v>-0.70613229059424809</c:v>
                </c:pt>
                <c:pt idx="290">
                  <c:v>7.3975579965849955E-2</c:v>
                </c:pt>
                <c:pt idx="291">
                  <c:v>-0.68263328528979239</c:v>
                </c:pt>
                <c:pt idx="292">
                  <c:v>-0.53938357915946256</c:v>
                </c:pt>
                <c:pt idx="293">
                  <c:v>-1.8810752129256585</c:v>
                </c:pt>
                <c:pt idx="294">
                  <c:v>-1.4304681140779243</c:v>
                </c:pt>
                <c:pt idx="295">
                  <c:v>-0.78241344433949422</c:v>
                </c:pt>
                <c:pt idx="296">
                  <c:v>-1.317370992948818</c:v>
                </c:pt>
                <c:pt idx="297">
                  <c:v>-0.88844936946828734</c:v>
                </c:pt>
                <c:pt idx="298">
                  <c:v>-2.7605495901446857</c:v>
                </c:pt>
                <c:pt idx="299">
                  <c:v>-3.2984463364419758</c:v>
                </c:pt>
                <c:pt idx="300">
                  <c:v>-0.53811603394063612</c:v>
                </c:pt>
                <c:pt idx="301">
                  <c:v>-0.18831766480073672</c:v>
                </c:pt>
                <c:pt idx="302">
                  <c:v>3.8439877292344569E-2</c:v>
                </c:pt>
                <c:pt idx="303">
                  <c:v>0.21947344394440102</c:v>
                </c:pt>
                <c:pt idx="304">
                  <c:v>-0.82299180331405541</c:v>
                </c:pt>
                <c:pt idx="305">
                  <c:v>3.8811077849049934E-2</c:v>
                </c:pt>
                <c:pt idx="306">
                  <c:v>-0.27574494894520846</c:v>
                </c:pt>
                <c:pt idx="307">
                  <c:v>-0.29142886104364635</c:v>
                </c:pt>
                <c:pt idx="308">
                  <c:v>-0.62308239562633783</c:v>
                </c:pt>
                <c:pt idx="309">
                  <c:v>-0.21181587723850662</c:v>
                </c:pt>
                <c:pt idx="310">
                  <c:v>-0.71745661588254017</c:v>
                </c:pt>
                <c:pt idx="311">
                  <c:v>4.9616839836440489E-2</c:v>
                </c:pt>
                <c:pt idx="312">
                  <c:v>-0.56660881028792442</c:v>
                </c:pt>
                <c:pt idx="313">
                  <c:v>0.39671640104643918</c:v>
                </c:pt>
                <c:pt idx="314">
                  <c:v>-0.41321109238634801</c:v>
                </c:pt>
                <c:pt idx="315">
                  <c:v>0.94664468873047602</c:v>
                </c:pt>
                <c:pt idx="316">
                  <c:v>1.1674225930731488</c:v>
                </c:pt>
                <c:pt idx="317">
                  <c:v>0.81477983411094579</c:v>
                </c:pt>
                <c:pt idx="318">
                  <c:v>0.26529579846456031</c:v>
                </c:pt>
                <c:pt idx="319">
                  <c:v>0.27214270877860297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1-C743-A3EA-6D203E3A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'240814A013'!$J$2:$J$321</c:f>
              <c:numCache>
                <c:formatCode>0.0</c:formatCode>
                <c:ptCount val="320"/>
                <c:pt idx="0">
                  <c:v>1037.06952080829</c:v>
                </c:pt>
                <c:pt idx="1">
                  <c:v>1047.84072937626</c:v>
                </c:pt>
                <c:pt idx="2">
                  <c:v>1024.8051338982</c:v>
                </c:pt>
                <c:pt idx="3">
                  <c:v>1015.57896351993</c:v>
                </c:pt>
                <c:pt idx="4">
                  <c:v>984.93154280491012</c:v>
                </c:pt>
                <c:pt idx="5">
                  <c:v>942.46957481811</c:v>
                </c:pt>
                <c:pt idx="6">
                  <c:v>501.52819173602995</c:v>
                </c:pt>
                <c:pt idx="7">
                  <c:v>973.32211633735994</c:v>
                </c:pt>
                <c:pt idx="8">
                  <c:v>976.24597573580991</c:v>
                </c:pt>
                <c:pt idx="9">
                  <c:v>1013.41017473138</c:v>
                </c:pt>
                <c:pt idx="10">
                  <c:v>1137.2688876982299</c:v>
                </c:pt>
                <c:pt idx="11">
                  <c:v>1241.4489702798999</c:v>
                </c:pt>
                <c:pt idx="12">
                  <c:v>1236.1745419990998</c:v>
                </c:pt>
                <c:pt idx="13">
                  <c:v>1255.8348898229299</c:v>
                </c:pt>
                <c:pt idx="14">
                  <c:v>1210.9405446358001</c:v>
                </c:pt>
                <c:pt idx="15">
                  <c:v>1270.5281088416</c:v>
                </c:pt>
                <c:pt idx="16">
                  <c:v>1268.6978589528001</c:v>
                </c:pt>
                <c:pt idx="17">
                  <c:v>1270.01168929563</c:v>
                </c:pt>
                <c:pt idx="18">
                  <c:v>1300.0142145908601</c:v>
                </c:pt>
                <c:pt idx="19">
                  <c:v>1274.2345173897199</c:v>
                </c:pt>
                <c:pt idx="20">
                  <c:v>1290.29865898959</c:v>
                </c:pt>
                <c:pt idx="21">
                  <c:v>1284.67151501441</c:v>
                </c:pt>
                <c:pt idx="22">
                  <c:v>1290.8620209620801</c:v>
                </c:pt>
                <c:pt idx="23">
                  <c:v>1289.3397173625801</c:v>
                </c:pt>
                <c:pt idx="24">
                  <c:v>1231.00749625188</c:v>
                </c:pt>
                <c:pt idx="25">
                  <c:v>1197.2140975674802</c:v>
                </c:pt>
                <c:pt idx="26">
                  <c:v>1202.49948013722</c:v>
                </c:pt>
                <c:pt idx="27">
                  <c:v>1173.8810573280598</c:v>
                </c:pt>
                <c:pt idx="28">
                  <c:v>1217.6902510459802</c:v>
                </c:pt>
                <c:pt idx="29">
                  <c:v>1183.5267816723499</c:v>
                </c:pt>
                <c:pt idx="30">
                  <c:v>1225.2077904113398</c:v>
                </c:pt>
                <c:pt idx="31">
                  <c:v>1208.2423158957699</c:v>
                </c:pt>
                <c:pt idx="32">
                  <c:v>1258.99663396089</c:v>
                </c:pt>
                <c:pt idx="33">
                  <c:v>1264.30352349036</c:v>
                </c:pt>
                <c:pt idx="34">
                  <c:v>1255.0132661789498</c:v>
                </c:pt>
                <c:pt idx="35">
                  <c:v>1221.6710524868502</c:v>
                </c:pt>
                <c:pt idx="36">
                  <c:v>1206.6668573115601</c:v>
                </c:pt>
                <c:pt idx="37">
                  <c:v>1233.75679870516</c:v>
                </c:pt>
                <c:pt idx="38">
                  <c:v>1251.02035613934</c:v>
                </c:pt>
                <c:pt idx="39">
                  <c:v>1259.0965918273</c:v>
                </c:pt>
                <c:pt idx="40">
                  <c:v>1254.5586093525201</c:v>
                </c:pt>
                <c:pt idx="41">
                  <c:v>1260.5774387814101</c:v>
                </c:pt>
                <c:pt idx="42">
                  <c:v>1226.6713583365802</c:v>
                </c:pt>
                <c:pt idx="43">
                  <c:v>1267.94900498832</c:v>
                </c:pt>
                <c:pt idx="44">
                  <c:v>1266.3535345498101</c:v>
                </c:pt>
                <c:pt idx="45">
                  <c:v>1240.8956334547502</c:v>
                </c:pt>
                <c:pt idx="46">
                  <c:v>1269.6783922504601</c:v>
                </c:pt>
                <c:pt idx="47">
                  <c:v>1243.4896789859199</c:v>
                </c:pt>
                <c:pt idx="48">
                  <c:v>1269.6885969636901</c:v>
                </c:pt>
                <c:pt idx="49">
                  <c:v>1298.3484085305099</c:v>
                </c:pt>
                <c:pt idx="50">
                  <c:v>1295.7785425815298</c:v>
                </c:pt>
                <c:pt idx="51">
                  <c:v>1278.9644369778</c:v>
                </c:pt>
                <c:pt idx="52">
                  <c:v>1237.7606132605301</c:v>
                </c:pt>
                <c:pt idx="53">
                  <c:v>1231.1646284309099</c:v>
                </c:pt>
                <c:pt idx="54">
                  <c:v>1245.2256868601701</c:v>
                </c:pt>
                <c:pt idx="55">
                  <c:v>1263.4048668268999</c:v>
                </c:pt>
                <c:pt idx="56">
                  <c:v>1266.0578545380799</c:v>
                </c:pt>
                <c:pt idx="57">
                  <c:v>1288.6882195322601</c:v>
                </c:pt>
                <c:pt idx="58">
                  <c:v>1283.77073887954</c:v>
                </c:pt>
                <c:pt idx="59">
                  <c:v>1290.0134863052101</c:v>
                </c:pt>
                <c:pt idx="60">
                  <c:v>1306.4517103707599</c:v>
                </c:pt>
                <c:pt idx="61">
                  <c:v>1308.73872515737</c:v>
                </c:pt>
                <c:pt idx="62">
                  <c:v>1312.89523419033</c:v>
                </c:pt>
                <c:pt idx="63">
                  <c:v>1330.8877857498301</c:v>
                </c:pt>
                <c:pt idx="64">
                  <c:v>1327.9428588338801</c:v>
                </c:pt>
                <c:pt idx="65">
                  <c:v>1323.6870209625899</c:v>
                </c:pt>
                <c:pt idx="66">
                  <c:v>1313.5559979739901</c:v>
                </c:pt>
                <c:pt idx="67">
                  <c:v>1313.7629172565798</c:v>
                </c:pt>
                <c:pt idx="68">
                  <c:v>1313.0057573481802</c:v>
                </c:pt>
                <c:pt idx="69">
                  <c:v>1285.1582062280902</c:v>
                </c:pt>
                <c:pt idx="70">
                  <c:v>1276.0717185563401</c:v>
                </c:pt>
                <c:pt idx="71">
                  <c:v>1278.51090824418</c:v>
                </c:pt>
                <c:pt idx="72">
                  <c:v>1281.1569635221001</c:v>
                </c:pt>
                <c:pt idx="73">
                  <c:v>1272.8997522222098</c:v>
                </c:pt>
                <c:pt idx="74">
                  <c:v>1281.23052026542</c:v>
                </c:pt>
                <c:pt idx="75">
                  <c:v>1276.38422475926</c:v>
                </c:pt>
                <c:pt idx="76">
                  <c:v>1275.8153355857899</c:v>
                </c:pt>
                <c:pt idx="77">
                  <c:v>1270.3328119340399</c:v>
                </c:pt>
                <c:pt idx="78">
                  <c:v>1252.8120850400801</c:v>
                </c:pt>
                <c:pt idx="79">
                  <c:v>1287.8558370648</c:v>
                </c:pt>
                <c:pt idx="80">
                  <c:v>1291.2489558218101</c:v>
                </c:pt>
                <c:pt idx="81">
                  <c:v>1284.5469380551899</c:v>
                </c:pt>
                <c:pt idx="82">
                  <c:v>1264.88025140225</c:v>
                </c:pt>
                <c:pt idx="83">
                  <c:v>1271.8910941865201</c:v>
                </c:pt>
                <c:pt idx="84">
                  <c:v>1291.8719077568201</c:v>
                </c:pt>
                <c:pt idx="85">
                  <c:v>1285.4068910235701</c:v>
                </c:pt>
                <c:pt idx="86">
                  <c:v>1250.3666669777001</c:v>
                </c:pt>
                <c:pt idx="87">
                  <c:v>1243.9090118663198</c:v>
                </c:pt>
                <c:pt idx="88">
                  <c:v>1235.1919208316501</c:v>
                </c:pt>
                <c:pt idx="89">
                  <c:v>1252.4838704147201</c:v>
                </c:pt>
                <c:pt idx="90">
                  <c:v>1234.0251478034199</c:v>
                </c:pt>
                <c:pt idx="91">
                  <c:v>1248.6995815985699</c:v>
                </c:pt>
                <c:pt idx="92">
                  <c:v>1256.1462622033598</c:v>
                </c:pt>
                <c:pt idx="93">
                  <c:v>1255.9430503444501</c:v>
                </c:pt>
                <c:pt idx="94">
                  <c:v>1257.7144030900599</c:v>
                </c:pt>
                <c:pt idx="95">
                  <c:v>1254.8502665477299</c:v>
                </c:pt>
                <c:pt idx="96">
                  <c:v>1259.3943191354199</c:v>
                </c:pt>
                <c:pt idx="97">
                  <c:v>1255.7348847017402</c:v>
                </c:pt>
                <c:pt idx="98">
                  <c:v>1247.8154589086298</c:v>
                </c:pt>
                <c:pt idx="99">
                  <c:v>1251.9194292219602</c:v>
                </c:pt>
                <c:pt idx="100">
                  <c:v>1243.58668521656</c:v>
                </c:pt>
                <c:pt idx="101">
                  <c:v>1221.91354837159</c:v>
                </c:pt>
                <c:pt idx="102">
                  <c:v>1204.3416544791899</c:v>
                </c:pt>
                <c:pt idx="103">
                  <c:v>1179.4944073935999</c:v>
                </c:pt>
                <c:pt idx="104">
                  <c:v>1217.81562620414</c:v>
                </c:pt>
                <c:pt idx="105">
                  <c:v>1201.1677171306101</c:v>
                </c:pt>
                <c:pt idx="106">
                  <c:v>1190.7333868145301</c:v>
                </c:pt>
                <c:pt idx="107">
                  <c:v>1196.32559413642</c:v>
                </c:pt>
                <c:pt idx="108">
                  <c:v>1213.2078251038001</c:v>
                </c:pt>
                <c:pt idx="109">
                  <c:v>1217.350950134</c:v>
                </c:pt>
                <c:pt idx="110">
                  <c:v>1177.6317480406599</c:v>
                </c:pt>
                <c:pt idx="111">
                  <c:v>1188.77498163373</c:v>
                </c:pt>
                <c:pt idx="112">
                  <c:v>1190.88372737534</c:v>
                </c:pt>
                <c:pt idx="113">
                  <c:v>1174.7525669281501</c:v>
                </c:pt>
                <c:pt idx="114">
                  <c:v>1183.6294596304901</c:v>
                </c:pt>
                <c:pt idx="115">
                  <c:v>1191.6063875162699</c:v>
                </c:pt>
                <c:pt idx="116">
                  <c:v>1230.7093349756901</c:v>
                </c:pt>
                <c:pt idx="117">
                  <c:v>1237.9033332490098</c:v>
                </c:pt>
                <c:pt idx="118">
                  <c:v>1235.0472009054502</c:v>
                </c:pt>
                <c:pt idx="119">
                  <c:v>1214.6761191424901</c:v>
                </c:pt>
                <c:pt idx="120">
                  <c:v>1205.32467829495</c:v>
                </c:pt>
                <c:pt idx="121">
                  <c:v>1228.6497742705701</c:v>
                </c:pt>
                <c:pt idx="122">
                  <c:v>1172.0108926471501</c:v>
                </c:pt>
                <c:pt idx="123">
                  <c:v>1209.2274194013298</c:v>
                </c:pt>
                <c:pt idx="124">
                  <c:v>1207.1984164904202</c:v>
                </c:pt>
                <c:pt idx="125">
                  <c:v>1221.4393324048501</c:v>
                </c:pt>
                <c:pt idx="126">
                  <c:v>1171.69917342703</c:v>
                </c:pt>
                <c:pt idx="127">
                  <c:v>1200.5956747451401</c:v>
                </c:pt>
                <c:pt idx="128">
                  <c:v>1208.3992190041499</c:v>
                </c:pt>
                <c:pt idx="129">
                  <c:v>1221.0921276906099</c:v>
                </c:pt>
                <c:pt idx="130">
                  <c:v>1217.3499664525</c:v>
                </c:pt>
                <c:pt idx="131">
                  <c:v>1206.3842306441099</c:v>
                </c:pt>
                <c:pt idx="132">
                  <c:v>1190.7893321551501</c:v>
                </c:pt>
                <c:pt idx="133">
                  <c:v>1160.1175725875999</c:v>
                </c:pt>
                <c:pt idx="134">
                  <c:v>1180.1259953968399</c:v>
                </c:pt>
                <c:pt idx="135">
                  <c:v>1182.2510167764099</c:v>
                </c:pt>
                <c:pt idx="136">
                  <c:v>1172.34885861729</c:v>
                </c:pt>
                <c:pt idx="137">
                  <c:v>1194.82248014932</c:v>
                </c:pt>
                <c:pt idx="138">
                  <c:v>1162.0969918455801</c:v>
                </c:pt>
                <c:pt idx="139">
                  <c:v>1155.0530320217899</c:v>
                </c:pt>
                <c:pt idx="140">
                  <c:v>1202.2572240009999</c:v>
                </c:pt>
                <c:pt idx="141">
                  <c:v>1195.53511454302</c:v>
                </c:pt>
                <c:pt idx="142">
                  <c:v>1160.49977784816</c:v>
                </c:pt>
                <c:pt idx="143">
                  <c:v>1203.6591424246001</c:v>
                </c:pt>
                <c:pt idx="144">
                  <c:v>1214.2214437048201</c:v>
                </c:pt>
                <c:pt idx="145">
                  <c:v>1216.1631250542998</c:v>
                </c:pt>
                <c:pt idx="146">
                  <c:v>1208.55957946377</c:v>
                </c:pt>
                <c:pt idx="147">
                  <c:v>1209.3465125202702</c:v>
                </c:pt>
                <c:pt idx="148">
                  <c:v>1184.7781164563698</c:v>
                </c:pt>
                <c:pt idx="149">
                  <c:v>1164.01646957613</c:v>
                </c:pt>
                <c:pt idx="150">
                  <c:v>1205.3974868533901</c:v>
                </c:pt>
                <c:pt idx="151">
                  <c:v>1222.22920437778</c:v>
                </c:pt>
                <c:pt idx="152">
                  <c:v>1202.74517114693</c:v>
                </c:pt>
                <c:pt idx="153">
                  <c:v>1197.58393724861</c:v>
                </c:pt>
                <c:pt idx="154">
                  <c:v>1223.33920190559</c:v>
                </c:pt>
                <c:pt idx="155">
                  <c:v>1233.11179823209</c:v>
                </c:pt>
                <c:pt idx="156">
                  <c:v>1190.4427411403699</c:v>
                </c:pt>
                <c:pt idx="157">
                  <c:v>1175.2461025678801</c:v>
                </c:pt>
                <c:pt idx="158">
                  <c:v>1187.1683224308399</c:v>
                </c:pt>
                <c:pt idx="159">
                  <c:v>1185.5733562319699</c:v>
                </c:pt>
                <c:pt idx="160">
                  <c:v>1175.5311277564701</c:v>
                </c:pt>
                <c:pt idx="161">
                  <c:v>1129.08896021531</c:v>
                </c:pt>
                <c:pt idx="162">
                  <c:v>1182.8223544545399</c:v>
                </c:pt>
                <c:pt idx="163">
                  <c:v>1188.91718555124</c:v>
                </c:pt>
                <c:pt idx="164">
                  <c:v>1188.20153799481</c:v>
                </c:pt>
                <c:pt idx="165">
                  <c:v>1182.5929083052999</c:v>
                </c:pt>
                <c:pt idx="166">
                  <c:v>1227.2640567188698</c:v>
                </c:pt>
                <c:pt idx="167">
                  <c:v>1189.81122226665</c:v>
                </c:pt>
                <c:pt idx="168">
                  <c:v>1208.0239453890499</c:v>
                </c:pt>
                <c:pt idx="169">
                  <c:v>1225.01807746189</c:v>
                </c:pt>
                <c:pt idx="170">
                  <c:v>1206.9043187433201</c:v>
                </c:pt>
                <c:pt idx="171">
                  <c:v>1174.5213290793599</c:v>
                </c:pt>
                <c:pt idx="172">
                  <c:v>1179.7894643616601</c:v>
                </c:pt>
                <c:pt idx="173">
                  <c:v>1162.0268872106199</c:v>
                </c:pt>
                <c:pt idx="174">
                  <c:v>1144.52122958371</c:v>
                </c:pt>
                <c:pt idx="175">
                  <c:v>1106.15078945911</c:v>
                </c:pt>
                <c:pt idx="176">
                  <c:v>1194.8879324137899</c:v>
                </c:pt>
                <c:pt idx="177">
                  <c:v>1202.2984512063899</c:v>
                </c:pt>
                <c:pt idx="178">
                  <c:v>1211.8843584706301</c:v>
                </c:pt>
                <c:pt idx="179">
                  <c:v>1193.24747508829</c:v>
                </c:pt>
                <c:pt idx="180">
                  <c:v>1206.72479151997</c:v>
                </c:pt>
                <c:pt idx="181">
                  <c:v>1206.7825335569</c:v>
                </c:pt>
                <c:pt idx="182">
                  <c:v>1205.19545832074</c:v>
                </c:pt>
                <c:pt idx="183">
                  <c:v>1167.85966642272</c:v>
                </c:pt>
                <c:pt idx="184">
                  <c:v>1164.49684433281</c:v>
                </c:pt>
                <c:pt idx="185">
                  <c:v>1174.7878887612799</c:v>
                </c:pt>
                <c:pt idx="186">
                  <c:v>1164.7227509412201</c:v>
                </c:pt>
                <c:pt idx="187">
                  <c:v>1190.5788145952001</c:v>
                </c:pt>
                <c:pt idx="188">
                  <c:v>1178.2967087258</c:v>
                </c:pt>
                <c:pt idx="189">
                  <c:v>1175.7722555115702</c:v>
                </c:pt>
                <c:pt idx="190">
                  <c:v>1183.8172676173101</c:v>
                </c:pt>
                <c:pt idx="191">
                  <c:v>1183.8398839553399</c:v>
                </c:pt>
                <c:pt idx="192">
                  <c:v>1163.9740790666601</c:v>
                </c:pt>
                <c:pt idx="193">
                  <c:v>1139.5098040898001</c:v>
                </c:pt>
                <c:pt idx="194">
                  <c:v>1122.4169162418</c:v>
                </c:pt>
                <c:pt idx="195">
                  <c:v>1116.06678111784</c:v>
                </c:pt>
                <c:pt idx="196">
                  <c:v>1116.69821952596</c:v>
                </c:pt>
                <c:pt idx="197">
                  <c:v>1189.1959914412</c:v>
                </c:pt>
                <c:pt idx="198">
                  <c:v>1178.1503896878301</c:v>
                </c:pt>
                <c:pt idx="199">
                  <c:v>1195.2454939147499</c:v>
                </c:pt>
                <c:pt idx="200">
                  <c:v>1193.2061490239398</c:v>
                </c:pt>
                <c:pt idx="201">
                  <c:v>1208.79884203643</c:v>
                </c:pt>
                <c:pt idx="202">
                  <c:v>1184.9791755251199</c:v>
                </c:pt>
                <c:pt idx="203">
                  <c:v>1184.7975988606602</c:v>
                </c:pt>
                <c:pt idx="204">
                  <c:v>1191.6954227907199</c:v>
                </c:pt>
                <c:pt idx="205">
                  <c:v>1189.2438373421201</c:v>
                </c:pt>
                <c:pt idx="206">
                  <c:v>1226.2559515257299</c:v>
                </c:pt>
                <c:pt idx="207">
                  <c:v>1242.7984520693099</c:v>
                </c:pt>
                <c:pt idx="208">
                  <c:v>1248.1724532505</c:v>
                </c:pt>
                <c:pt idx="209">
                  <c:v>1235.6530071224299</c:v>
                </c:pt>
                <c:pt idx="210">
                  <c:v>1239.9423380594801</c:v>
                </c:pt>
                <c:pt idx="211">
                  <c:v>1239.9398068759101</c:v>
                </c:pt>
                <c:pt idx="212">
                  <c:v>1244.8412779598998</c:v>
                </c:pt>
                <c:pt idx="213">
                  <c:v>1232.761118376</c:v>
                </c:pt>
                <c:pt idx="214">
                  <c:v>1236.7148351660701</c:v>
                </c:pt>
                <c:pt idx="215">
                  <c:v>1231.1639875373701</c:v>
                </c:pt>
                <c:pt idx="216">
                  <c:v>1194.6070627971401</c:v>
                </c:pt>
                <c:pt idx="217">
                  <c:v>1189.12453918095</c:v>
                </c:pt>
                <c:pt idx="218">
                  <c:v>1192.8943019709</c:v>
                </c:pt>
                <c:pt idx="219">
                  <c:v>1188.53783082821</c:v>
                </c:pt>
                <c:pt idx="220">
                  <c:v>1177.66656869657</c:v>
                </c:pt>
                <c:pt idx="221">
                  <c:v>1171.39185364635</c:v>
                </c:pt>
                <c:pt idx="222">
                  <c:v>1174.90484358042</c:v>
                </c:pt>
                <c:pt idx="223">
                  <c:v>1179.7651580557999</c:v>
                </c:pt>
                <c:pt idx="224">
                  <c:v>1168.2172291187899</c:v>
                </c:pt>
                <c:pt idx="225">
                  <c:v>1184.09240264204</c:v>
                </c:pt>
                <c:pt idx="226">
                  <c:v>1187.4156871627501</c:v>
                </c:pt>
                <c:pt idx="227">
                  <c:v>1196.691180364</c:v>
                </c:pt>
                <c:pt idx="228">
                  <c:v>1197.0161145904001</c:v>
                </c:pt>
                <c:pt idx="229">
                  <c:v>1199.56317008667</c:v>
                </c:pt>
                <c:pt idx="230">
                  <c:v>1203.3204164466099</c:v>
                </c:pt>
                <c:pt idx="231">
                  <c:v>1204.1765712044501</c:v>
                </c:pt>
                <c:pt idx="232">
                  <c:v>1199.0808317542699</c:v>
                </c:pt>
                <c:pt idx="233">
                  <c:v>1196.53718700952</c:v>
                </c:pt>
                <c:pt idx="234">
                  <c:v>1199.52965029385</c:v>
                </c:pt>
                <c:pt idx="235">
                  <c:v>1196.11467111913</c:v>
                </c:pt>
                <c:pt idx="236">
                  <c:v>1186.67116546482</c:v>
                </c:pt>
                <c:pt idx="237">
                  <c:v>1189.0367448357101</c:v>
                </c:pt>
                <c:pt idx="238">
                  <c:v>1191.2404873133801</c:v>
                </c:pt>
                <c:pt idx="239">
                  <c:v>1191.8880609668602</c:v>
                </c:pt>
                <c:pt idx="240">
                  <c:v>1189.9430235340199</c:v>
                </c:pt>
                <c:pt idx="241">
                  <c:v>1194.43802320893</c:v>
                </c:pt>
                <c:pt idx="242">
                  <c:v>1186.7317953362399</c:v>
                </c:pt>
                <c:pt idx="243">
                  <c:v>1188.31435180208</c:v>
                </c:pt>
                <c:pt idx="244">
                  <c:v>1183.76601716762</c:v>
                </c:pt>
                <c:pt idx="245">
                  <c:v>1183.2653871602899</c:v>
                </c:pt>
                <c:pt idx="246">
                  <c:v>1186.4099497396899</c:v>
                </c:pt>
                <c:pt idx="247">
                  <c:v>1182.3434439072801</c:v>
                </c:pt>
                <c:pt idx="248">
                  <c:v>1173.3500457047899</c:v>
                </c:pt>
                <c:pt idx="249">
                  <c:v>1177.0408121549699</c:v>
                </c:pt>
                <c:pt idx="250">
                  <c:v>1173.12386518993</c:v>
                </c:pt>
                <c:pt idx="251">
                  <c:v>1176.1169752675798</c:v>
                </c:pt>
                <c:pt idx="252">
                  <c:v>1169.91961190696</c:v>
                </c:pt>
                <c:pt idx="253">
                  <c:v>1169.6630499497398</c:v>
                </c:pt>
                <c:pt idx="254">
                  <c:v>1171.03236219409</c:v>
                </c:pt>
                <c:pt idx="255">
                  <c:v>1168.48713403798</c:v>
                </c:pt>
                <c:pt idx="256">
                  <c:v>1172.79687754316</c:v>
                </c:pt>
                <c:pt idx="257">
                  <c:v>1168.70957275508</c:v>
                </c:pt>
                <c:pt idx="258">
                  <c:v>1171.82652549966</c:v>
                </c:pt>
                <c:pt idx="259">
                  <c:v>1170.2522256365498</c:v>
                </c:pt>
                <c:pt idx="260">
                  <c:v>1170.4011755321699</c:v>
                </c:pt>
                <c:pt idx="261">
                  <c:v>1172.91814281045</c:v>
                </c:pt>
                <c:pt idx="262">
                  <c:v>1161.0775051452799</c:v>
                </c:pt>
                <c:pt idx="263">
                  <c:v>1159.2269127258601</c:v>
                </c:pt>
                <c:pt idx="264">
                  <c:v>1165.91580721481</c:v>
                </c:pt>
                <c:pt idx="265">
                  <c:v>1166.8450687526301</c:v>
                </c:pt>
                <c:pt idx="266">
                  <c:v>1170.4441316246</c:v>
                </c:pt>
                <c:pt idx="267">
                  <c:v>1165.4486880760101</c:v>
                </c:pt>
                <c:pt idx="268">
                  <c:v>1162.0691129793699</c:v>
                </c:pt>
                <c:pt idx="269">
                  <c:v>1161.00522449296</c:v>
                </c:pt>
                <c:pt idx="270">
                  <c:v>1154.8317890892602</c:v>
                </c:pt>
                <c:pt idx="271">
                  <c:v>1160.67334764887</c:v>
                </c:pt>
                <c:pt idx="272">
                  <c:v>1163.3921386976299</c:v>
                </c:pt>
                <c:pt idx="273">
                  <c:v>1162.5483881797302</c:v>
                </c:pt>
                <c:pt idx="274">
                  <c:v>1151.1395556673699</c:v>
                </c:pt>
                <c:pt idx="275">
                  <c:v>1150.2387411411198</c:v>
                </c:pt>
                <c:pt idx="276">
                  <c:v>1151.37876681738</c:v>
                </c:pt>
                <c:pt idx="277">
                  <c:v>1150.79785155796</c:v>
                </c:pt>
                <c:pt idx="278">
                  <c:v>1156.6783588106</c:v>
                </c:pt>
                <c:pt idx="279">
                  <c:v>1148.2151340312</c:v>
                </c:pt>
                <c:pt idx="280">
                  <c:v>1144.3491273600498</c:v>
                </c:pt>
                <c:pt idx="281">
                  <c:v>1143.4970968665002</c:v>
                </c:pt>
                <c:pt idx="282">
                  <c:v>1117.8578040386101</c:v>
                </c:pt>
                <c:pt idx="283">
                  <c:v>1132.8112119642001</c:v>
                </c:pt>
                <c:pt idx="284">
                  <c:v>1128.0183175976799</c:v>
                </c:pt>
                <c:pt idx="285">
                  <c:v>1140.1792680185702</c:v>
                </c:pt>
                <c:pt idx="286">
                  <c:v>1142.50415762381</c:v>
                </c:pt>
                <c:pt idx="287">
                  <c:v>1141.4045595112</c:v>
                </c:pt>
                <c:pt idx="288">
                  <c:v>1141.5399182456699</c:v>
                </c:pt>
                <c:pt idx="289">
                  <c:v>1144.1214977219802</c:v>
                </c:pt>
                <c:pt idx="290">
                  <c:v>1138.4983938529801</c:v>
                </c:pt>
                <c:pt idx="291">
                  <c:v>1142.2249608715999</c:v>
                </c:pt>
                <c:pt idx="292">
                  <c:v>1142.43718518225</c:v>
                </c:pt>
                <c:pt idx="293">
                  <c:v>1136.5313654438401</c:v>
                </c:pt>
                <c:pt idx="294">
                  <c:v>1131.3108747562299</c:v>
                </c:pt>
                <c:pt idx="295">
                  <c:v>1123.5661163539301</c:v>
                </c:pt>
                <c:pt idx="296">
                  <c:v>1143.1993045796601</c:v>
                </c:pt>
                <c:pt idx="297">
                  <c:v>1139.05495088673</c:v>
                </c:pt>
                <c:pt idx="298">
                  <c:v>1142.4228019580701</c:v>
                </c:pt>
                <c:pt idx="299">
                  <c:v>1134.4000084807001</c:v>
                </c:pt>
                <c:pt idx="300">
                  <c:v>1140.24830909975</c:v>
                </c:pt>
                <c:pt idx="301">
                  <c:v>1126.3892280945199</c:v>
                </c:pt>
                <c:pt idx="302">
                  <c:v>1132.9436673529799</c:v>
                </c:pt>
                <c:pt idx="303">
                  <c:v>1058.07218091556</c:v>
                </c:pt>
                <c:pt idx="304">
                  <c:v>1093.3721535458601</c:v>
                </c:pt>
                <c:pt idx="305">
                  <c:v>1077.0052049446499</c:v>
                </c:pt>
                <c:pt idx="306">
                  <c:v>1073.3539362394099</c:v>
                </c:pt>
                <c:pt idx="307">
                  <c:v>1091.76577748862</c:v>
                </c:pt>
                <c:pt idx="308">
                  <c:v>1078.7423552374698</c:v>
                </c:pt>
                <c:pt idx="309">
                  <c:v>1084.15289525045</c:v>
                </c:pt>
                <c:pt idx="310">
                  <c:v>1115.0315585941098</c:v>
                </c:pt>
                <c:pt idx="311">
                  <c:v>1082.0864619950398</c:v>
                </c:pt>
                <c:pt idx="312">
                  <c:v>1107.1872439706899</c:v>
                </c:pt>
                <c:pt idx="313">
                  <c:v>1101.0417059384799</c:v>
                </c:pt>
                <c:pt idx="314">
                  <c:v>1059.9073552182999</c:v>
                </c:pt>
                <c:pt idx="315">
                  <c:v>1020.1878103361399</c:v>
                </c:pt>
                <c:pt idx="316">
                  <c:v>1055.6950703233299</c:v>
                </c:pt>
                <c:pt idx="317">
                  <c:v>1047.53108903421</c:v>
                </c:pt>
                <c:pt idx="318">
                  <c:v>1057.8589128934</c:v>
                </c:pt>
                <c:pt idx="319">
                  <c:v>1074.2737638362501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6-D74C-B554-8C182075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B-9B41-90DD-D949B716BB22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'240814A013'!$P$2:$P$321</c:f>
              <c:numCache>
                <c:formatCode>General</c:formatCode>
                <c:ptCount val="320"/>
                <c:pt idx="0">
                  <c:v>37.138818523665826</c:v>
                </c:pt>
                <c:pt idx="1">
                  <c:v>34.558674619507357</c:v>
                </c:pt>
                <c:pt idx="2">
                  <c:v>33.207990797071808</c:v>
                </c:pt>
                <c:pt idx="3">
                  <c:v>34.014852811380038</c:v>
                </c:pt>
                <c:pt idx="4">
                  <c:v>32.443553391246951</c:v>
                </c:pt>
                <c:pt idx="5">
                  <c:v>35.434837687548907</c:v>
                </c:pt>
                <c:pt idx="6">
                  <c:v>54.653529652150553</c:v>
                </c:pt>
                <c:pt idx="7">
                  <c:v>34.20104899763308</c:v>
                </c:pt>
                <c:pt idx="8">
                  <c:v>31.357268146511679</c:v>
                </c:pt>
                <c:pt idx="9">
                  <c:v>29.117178632119973</c:v>
                </c:pt>
                <c:pt idx="10">
                  <c:v>24.15436843339041</c:v>
                </c:pt>
                <c:pt idx="11">
                  <c:v>21.153683782794303</c:v>
                </c:pt>
                <c:pt idx="12">
                  <c:v>18.022975004563172</c:v>
                </c:pt>
                <c:pt idx="13">
                  <c:v>17.699283775182586</c:v>
                </c:pt>
                <c:pt idx="14">
                  <c:v>18.06821289668979</c:v>
                </c:pt>
                <c:pt idx="15">
                  <c:v>14.698221110399141</c:v>
                </c:pt>
                <c:pt idx="16">
                  <c:v>14.848416775656522</c:v>
                </c:pt>
                <c:pt idx="17">
                  <c:v>13.833320628594489</c:v>
                </c:pt>
                <c:pt idx="18">
                  <c:v>11.640155308240738</c:v>
                </c:pt>
                <c:pt idx="19">
                  <c:v>11.377643793405388</c:v>
                </c:pt>
                <c:pt idx="20">
                  <c:v>10.020612894807227</c:v>
                </c:pt>
                <c:pt idx="21">
                  <c:v>9.7828393251560843</c:v>
                </c:pt>
                <c:pt idx="22">
                  <c:v>9.0795797744201199</c:v>
                </c:pt>
                <c:pt idx="23">
                  <c:v>8.1567285494364086</c:v>
                </c:pt>
                <c:pt idx="24">
                  <c:v>8.7397401675827275</c:v>
                </c:pt>
                <c:pt idx="25">
                  <c:v>8.316356349021353</c:v>
                </c:pt>
                <c:pt idx="26">
                  <c:v>8.685898244748067</c:v>
                </c:pt>
                <c:pt idx="27">
                  <c:v>8.6053347542358036</c:v>
                </c:pt>
                <c:pt idx="28">
                  <c:v>7.3018191140315585</c:v>
                </c:pt>
                <c:pt idx="29">
                  <c:v>6.5260298871752482</c:v>
                </c:pt>
                <c:pt idx="30">
                  <c:v>6.0205406965530388</c:v>
                </c:pt>
                <c:pt idx="31">
                  <c:v>6.8458523787559029</c:v>
                </c:pt>
                <c:pt idx="32">
                  <c:v>6.8520409906790407</c:v>
                </c:pt>
                <c:pt idx="33">
                  <c:v>7.313115610949537</c:v>
                </c:pt>
                <c:pt idx="34">
                  <c:v>5.5324292537245121</c:v>
                </c:pt>
                <c:pt idx="35">
                  <c:v>5.3176683276820675</c:v>
                </c:pt>
                <c:pt idx="36">
                  <c:v>4.0980930212711018</c:v>
                </c:pt>
                <c:pt idx="37">
                  <c:v>4.084772298504217</c:v>
                </c:pt>
                <c:pt idx="38">
                  <c:v>4.789085618701824</c:v>
                </c:pt>
                <c:pt idx="39">
                  <c:v>3.3063646031016263</c:v>
                </c:pt>
                <c:pt idx="40">
                  <c:v>2.7049804977092364</c:v>
                </c:pt>
                <c:pt idx="41">
                  <c:v>3.3854703125252614</c:v>
                </c:pt>
                <c:pt idx="42">
                  <c:v>4.8487081997431289</c:v>
                </c:pt>
                <c:pt idx="43">
                  <c:v>3.4725761718613302</c:v>
                </c:pt>
                <c:pt idx="44">
                  <c:v>4.0410019483165049</c:v>
                </c:pt>
                <c:pt idx="45">
                  <c:v>3.1725494886232477</c:v>
                </c:pt>
                <c:pt idx="46">
                  <c:v>4.8023422533501829</c:v>
                </c:pt>
                <c:pt idx="47">
                  <c:v>5.6320622389537371</c:v>
                </c:pt>
                <c:pt idx="48">
                  <c:v>4.3536185804609833</c:v>
                </c:pt>
                <c:pt idx="49">
                  <c:v>5.3808561211975299</c:v>
                </c:pt>
                <c:pt idx="50">
                  <c:v>3.4698964789851088</c:v>
                </c:pt>
                <c:pt idx="51">
                  <c:v>3.1346327859532215</c:v>
                </c:pt>
                <c:pt idx="52">
                  <c:v>3.4352525165894945</c:v>
                </c:pt>
                <c:pt idx="53">
                  <c:v>4.4163222959755952</c:v>
                </c:pt>
                <c:pt idx="54">
                  <c:v>4.2715614293884592</c:v>
                </c:pt>
                <c:pt idx="55">
                  <c:v>4.6274021592502868</c:v>
                </c:pt>
                <c:pt idx="56">
                  <c:v>4.4820907020891161</c:v>
                </c:pt>
                <c:pt idx="57">
                  <c:v>3.1495659835940097</c:v>
                </c:pt>
                <c:pt idx="58">
                  <c:v>2.6335712780585339</c:v>
                </c:pt>
                <c:pt idx="59">
                  <c:v>2.2567804463928858</c:v>
                </c:pt>
                <c:pt idx="60">
                  <c:v>-0.21107958131299892</c:v>
                </c:pt>
                <c:pt idx="61">
                  <c:v>0.47772098386635936</c:v>
                </c:pt>
                <c:pt idx="62">
                  <c:v>0.49347705641765882</c:v>
                </c:pt>
                <c:pt idx="63">
                  <c:v>0.33653522442394734</c:v>
                </c:pt>
                <c:pt idx="64">
                  <c:v>1.2429793846344321</c:v>
                </c:pt>
                <c:pt idx="65">
                  <c:v>-0.61369101816244587</c:v>
                </c:pt>
                <c:pt idx="66">
                  <c:v>0.4495631993523837</c:v>
                </c:pt>
                <c:pt idx="67">
                  <c:v>-8.8944422653692207E-2</c:v>
                </c:pt>
                <c:pt idx="68">
                  <c:v>-0.44114790579615715</c:v>
                </c:pt>
                <c:pt idx="69">
                  <c:v>-0.37367867431005591</c:v>
                </c:pt>
                <c:pt idx="70">
                  <c:v>0.40701364960863501</c:v>
                </c:pt>
                <c:pt idx="71">
                  <c:v>-1.3706289141788146</c:v>
                </c:pt>
                <c:pt idx="72">
                  <c:v>-0.51904041621337937</c:v>
                </c:pt>
                <c:pt idx="73">
                  <c:v>-0.37492207447573084</c:v>
                </c:pt>
                <c:pt idx="74">
                  <c:v>-2.5677159164647148E-2</c:v>
                </c:pt>
                <c:pt idx="75">
                  <c:v>1.0804605830401171</c:v>
                </c:pt>
                <c:pt idx="76">
                  <c:v>-0.54514645587239818</c:v>
                </c:pt>
                <c:pt idx="77">
                  <c:v>0.10732247426404826</c:v>
                </c:pt>
                <c:pt idx="78">
                  <c:v>-0.487734688295348</c:v>
                </c:pt>
                <c:pt idx="79">
                  <c:v>0.45661875482847969</c:v>
                </c:pt>
                <c:pt idx="80">
                  <c:v>0.3277002156876716</c:v>
                </c:pt>
                <c:pt idx="81">
                  <c:v>-0.47379680987329648</c:v>
                </c:pt>
                <c:pt idx="82">
                  <c:v>-1.1760343565519302</c:v>
                </c:pt>
                <c:pt idx="83">
                  <c:v>-1.0762146756809408</c:v>
                </c:pt>
                <c:pt idx="84">
                  <c:v>-0.17910780468637291</c:v>
                </c:pt>
                <c:pt idx="85">
                  <c:v>0.36788720045518719</c:v>
                </c:pt>
                <c:pt idx="86">
                  <c:v>0.76269381160626515</c:v>
                </c:pt>
                <c:pt idx="87">
                  <c:v>1.4346501752212937</c:v>
                </c:pt>
                <c:pt idx="88">
                  <c:v>1.2984114351483795</c:v>
                </c:pt>
                <c:pt idx="89">
                  <c:v>0.91420587740132964</c:v>
                </c:pt>
                <c:pt idx="90">
                  <c:v>-7.6320093907176886E-3</c:v>
                </c:pt>
                <c:pt idx="91">
                  <c:v>0.25351439688723781</c:v>
                </c:pt>
                <c:pt idx="92">
                  <c:v>1.6635462854110266</c:v>
                </c:pt>
                <c:pt idx="93">
                  <c:v>3.7074769445323099</c:v>
                </c:pt>
                <c:pt idx="94">
                  <c:v>1.6213903785825976</c:v>
                </c:pt>
                <c:pt idx="95">
                  <c:v>5.3197902134420776</c:v>
                </c:pt>
                <c:pt idx="96">
                  <c:v>1.5218352661697985</c:v>
                </c:pt>
                <c:pt idx="97">
                  <c:v>1.7990673500190946</c:v>
                </c:pt>
                <c:pt idx="98">
                  <c:v>2.4004578158007237</c:v>
                </c:pt>
                <c:pt idx="99">
                  <c:v>1.5560373079562184</c:v>
                </c:pt>
                <c:pt idx="100">
                  <c:v>3.2013995197914915</c:v>
                </c:pt>
                <c:pt idx="101">
                  <c:v>4.2780864631734357</c:v>
                </c:pt>
                <c:pt idx="102">
                  <c:v>1.5828699151128636</c:v>
                </c:pt>
                <c:pt idx="103">
                  <c:v>2.2192414770014977</c:v>
                </c:pt>
                <c:pt idx="104">
                  <c:v>1.5476915223720606</c:v>
                </c:pt>
                <c:pt idx="105">
                  <c:v>1.5906082046081047</c:v>
                </c:pt>
                <c:pt idx="106">
                  <c:v>1.2384835119171416</c:v>
                </c:pt>
                <c:pt idx="107">
                  <c:v>2.3365375107394715</c:v>
                </c:pt>
                <c:pt idx="108">
                  <c:v>2.6307848265302987</c:v>
                </c:pt>
                <c:pt idx="109">
                  <c:v>4.0085913507582793</c:v>
                </c:pt>
                <c:pt idx="110">
                  <c:v>2.9572704203720468</c:v>
                </c:pt>
                <c:pt idx="111">
                  <c:v>4.1348666197629962</c:v>
                </c:pt>
                <c:pt idx="112">
                  <c:v>3.9706641659442274</c:v>
                </c:pt>
                <c:pt idx="113">
                  <c:v>2.0980915075079363</c:v>
                </c:pt>
                <c:pt idx="114">
                  <c:v>2.8852379347704429</c:v>
                </c:pt>
                <c:pt idx="115">
                  <c:v>2.5221747464532549</c:v>
                </c:pt>
                <c:pt idx="116">
                  <c:v>0.36922888963471401</c:v>
                </c:pt>
                <c:pt idx="117">
                  <c:v>1.6615386009697697</c:v>
                </c:pt>
                <c:pt idx="118">
                  <c:v>1.6782090912453991</c:v>
                </c:pt>
                <c:pt idx="119">
                  <c:v>-0.84332312729317238</c:v>
                </c:pt>
                <c:pt idx="120">
                  <c:v>0.10284676964690947</c:v>
                </c:pt>
                <c:pt idx="121">
                  <c:v>1.0029349047397194</c:v>
                </c:pt>
                <c:pt idx="122">
                  <c:v>2.0759830029728303</c:v>
                </c:pt>
                <c:pt idx="123">
                  <c:v>1.1115032085307386</c:v>
                </c:pt>
                <c:pt idx="124">
                  <c:v>1.5504334358361596</c:v>
                </c:pt>
                <c:pt idx="125">
                  <c:v>2.5556089328246077</c:v>
                </c:pt>
                <c:pt idx="126">
                  <c:v>0.66570566197325709</c:v>
                </c:pt>
                <c:pt idx="127">
                  <c:v>1.0787426989844282</c:v>
                </c:pt>
                <c:pt idx="128">
                  <c:v>1.20473129596531</c:v>
                </c:pt>
                <c:pt idx="129">
                  <c:v>3.4020674645716058</c:v>
                </c:pt>
                <c:pt idx="130">
                  <c:v>3.4495895279855637</c:v>
                </c:pt>
                <c:pt idx="131">
                  <c:v>3.2576743199576526</c:v>
                </c:pt>
                <c:pt idx="132">
                  <c:v>2.1965138801907629</c:v>
                </c:pt>
                <c:pt idx="133">
                  <c:v>1.5983638826581053</c:v>
                </c:pt>
                <c:pt idx="134">
                  <c:v>2.0353536849503353</c:v>
                </c:pt>
                <c:pt idx="135">
                  <c:v>1.85748692780381</c:v>
                </c:pt>
                <c:pt idx="136">
                  <c:v>1.6869931146774635</c:v>
                </c:pt>
                <c:pt idx="137">
                  <c:v>1.998690194259118</c:v>
                </c:pt>
                <c:pt idx="138">
                  <c:v>2.7825329159232948</c:v>
                </c:pt>
                <c:pt idx="139">
                  <c:v>3.4225599706713754</c:v>
                </c:pt>
                <c:pt idx="140">
                  <c:v>1.7790496118799515</c:v>
                </c:pt>
                <c:pt idx="141">
                  <c:v>5.2364551192822156E-2</c:v>
                </c:pt>
                <c:pt idx="142">
                  <c:v>0.35779704926182843</c:v>
                </c:pt>
                <c:pt idx="143">
                  <c:v>0.67323727916054565</c:v>
                </c:pt>
                <c:pt idx="144">
                  <c:v>1.4551560200875591</c:v>
                </c:pt>
                <c:pt idx="145">
                  <c:v>1.6423762009661189</c:v>
                </c:pt>
                <c:pt idx="146">
                  <c:v>1.1415207781043488</c:v>
                </c:pt>
                <c:pt idx="147">
                  <c:v>1.3496029748886584</c:v>
                </c:pt>
                <c:pt idx="148">
                  <c:v>2.4453568934071859</c:v>
                </c:pt>
                <c:pt idx="149">
                  <c:v>1.2614165180651111</c:v>
                </c:pt>
                <c:pt idx="150">
                  <c:v>1.5557622127303905</c:v>
                </c:pt>
                <c:pt idx="151">
                  <c:v>2.026282617151939</c:v>
                </c:pt>
                <c:pt idx="152">
                  <c:v>0.50628550865437916</c:v>
                </c:pt>
                <c:pt idx="153">
                  <c:v>0.88322923773992246</c:v>
                </c:pt>
                <c:pt idx="154">
                  <c:v>1.9841485560267533</c:v>
                </c:pt>
                <c:pt idx="155">
                  <c:v>3.5427573564570083</c:v>
                </c:pt>
                <c:pt idx="156">
                  <c:v>2.7512700266006229</c:v>
                </c:pt>
                <c:pt idx="157">
                  <c:v>1.9762246564510775</c:v>
                </c:pt>
                <c:pt idx="158">
                  <c:v>3.6272454138674428</c:v>
                </c:pt>
                <c:pt idx="159">
                  <c:v>2.9015170128696699</c:v>
                </c:pt>
                <c:pt idx="160">
                  <c:v>2.3700351803433004</c:v>
                </c:pt>
                <c:pt idx="161">
                  <c:v>1.6049171787054042</c:v>
                </c:pt>
                <c:pt idx="162">
                  <c:v>3.1798824704056936</c:v>
                </c:pt>
                <c:pt idx="163">
                  <c:v>3.2327759538265055</c:v>
                </c:pt>
                <c:pt idx="164">
                  <c:v>3.3443067467513834</c:v>
                </c:pt>
                <c:pt idx="165">
                  <c:v>3.0877906633139616</c:v>
                </c:pt>
                <c:pt idx="166">
                  <c:v>1.5283177672533632</c:v>
                </c:pt>
                <c:pt idx="167">
                  <c:v>2.0743694325670634</c:v>
                </c:pt>
                <c:pt idx="168">
                  <c:v>2.5398907591036499</c:v>
                </c:pt>
                <c:pt idx="169">
                  <c:v>4.4329069751435499</c:v>
                </c:pt>
                <c:pt idx="170">
                  <c:v>5.1087573991024673</c:v>
                </c:pt>
                <c:pt idx="171">
                  <c:v>4.4745211568733865</c:v>
                </c:pt>
                <c:pt idx="172">
                  <c:v>5.2356610052145962</c:v>
                </c:pt>
                <c:pt idx="173">
                  <c:v>6.3093628610346411</c:v>
                </c:pt>
                <c:pt idx="174">
                  <c:v>4.8880018841062292</c:v>
                </c:pt>
                <c:pt idx="175">
                  <c:v>5.2000342727141362</c:v>
                </c:pt>
                <c:pt idx="176">
                  <c:v>2.9479754979609503</c:v>
                </c:pt>
                <c:pt idx="177">
                  <c:v>4.1284858073528312</c:v>
                </c:pt>
                <c:pt idx="178">
                  <c:v>3.2768595335103368</c:v>
                </c:pt>
                <c:pt idx="179">
                  <c:v>3.1118385940567976</c:v>
                </c:pt>
                <c:pt idx="180">
                  <c:v>5.3443799398071059</c:v>
                </c:pt>
                <c:pt idx="181">
                  <c:v>3.7187056507810317</c:v>
                </c:pt>
                <c:pt idx="182">
                  <c:v>3.5820301388335309</c:v>
                </c:pt>
                <c:pt idx="183">
                  <c:v>4.4778525693056501</c:v>
                </c:pt>
                <c:pt idx="184">
                  <c:v>5.9842462739495819</c:v>
                </c:pt>
                <c:pt idx="185">
                  <c:v>6.160054035601326</c:v>
                </c:pt>
                <c:pt idx="186">
                  <c:v>3.726556029475165</c:v>
                </c:pt>
                <c:pt idx="187">
                  <c:v>4.9958509347929798</c:v>
                </c:pt>
                <c:pt idx="188">
                  <c:v>3.3141060831100848</c:v>
                </c:pt>
                <c:pt idx="189">
                  <c:v>3.7296748067877332</c:v>
                </c:pt>
                <c:pt idx="190">
                  <c:v>4.913521101287567</c:v>
                </c:pt>
                <c:pt idx="191">
                  <c:v>4.8457904220177133</c:v>
                </c:pt>
                <c:pt idx="192">
                  <c:v>3.2099976374443333</c:v>
                </c:pt>
                <c:pt idx="193">
                  <c:v>4.7421048910057362</c:v>
                </c:pt>
                <c:pt idx="194">
                  <c:v>5.6494472614495974</c:v>
                </c:pt>
                <c:pt idx="195">
                  <c:v>5.3441075616509863</c:v>
                </c:pt>
                <c:pt idx="196">
                  <c:v>4.9646290097416328</c:v>
                </c:pt>
                <c:pt idx="197">
                  <c:v>1.7573937214977104</c:v>
                </c:pt>
                <c:pt idx="198">
                  <c:v>1.3960842497526684</c:v>
                </c:pt>
                <c:pt idx="199">
                  <c:v>1.72211756872123</c:v>
                </c:pt>
                <c:pt idx="200">
                  <c:v>1.4420550496225526</c:v>
                </c:pt>
                <c:pt idx="201">
                  <c:v>2.4584291861084018</c:v>
                </c:pt>
                <c:pt idx="202">
                  <c:v>3.028758042524879</c:v>
                </c:pt>
                <c:pt idx="203">
                  <c:v>3.3926565701757561</c:v>
                </c:pt>
                <c:pt idx="204">
                  <c:v>4.987522976906428</c:v>
                </c:pt>
                <c:pt idx="205">
                  <c:v>5.4358261708489835</c:v>
                </c:pt>
                <c:pt idx="206">
                  <c:v>3.5690198035384015</c:v>
                </c:pt>
                <c:pt idx="207">
                  <c:v>5.3931688169401557</c:v>
                </c:pt>
                <c:pt idx="208">
                  <c:v>5.2781250985011354</c:v>
                </c:pt>
                <c:pt idx="209">
                  <c:v>3.7056457531061673</c:v>
                </c:pt>
                <c:pt idx="210">
                  <c:v>3.4826610346246731</c:v>
                </c:pt>
                <c:pt idx="211">
                  <c:v>3.3000583216205914</c:v>
                </c:pt>
                <c:pt idx="212">
                  <c:v>3.5990873339275815</c:v>
                </c:pt>
                <c:pt idx="213">
                  <c:v>3.0227923536394083</c:v>
                </c:pt>
                <c:pt idx="214">
                  <c:v>3.0567087035837393</c:v>
                </c:pt>
                <c:pt idx="215">
                  <c:v>4.4999689871831334</c:v>
                </c:pt>
                <c:pt idx="216">
                  <c:v>3.5981257572072636</c:v>
                </c:pt>
                <c:pt idx="217">
                  <c:v>3.8161950426223874</c:v>
                </c:pt>
                <c:pt idx="218">
                  <c:v>3.5444629424349055</c:v>
                </c:pt>
                <c:pt idx="219">
                  <c:v>4.1917019636762936</c:v>
                </c:pt>
                <c:pt idx="220">
                  <c:v>3.8698740229596984</c:v>
                </c:pt>
                <c:pt idx="221">
                  <c:v>4.2455224235213525</c:v>
                </c:pt>
                <c:pt idx="222">
                  <c:v>5.2528843127791882</c:v>
                </c:pt>
                <c:pt idx="223">
                  <c:v>8.6272522901402837</c:v>
                </c:pt>
                <c:pt idx="224">
                  <c:v>6.0278289376884961</c:v>
                </c:pt>
                <c:pt idx="225">
                  <c:v>7.9339932462589582</c:v>
                </c:pt>
                <c:pt idx="226">
                  <c:v>8.5605363979976783</c:v>
                </c:pt>
                <c:pt idx="227">
                  <c:v>8.3882953614336149</c:v>
                </c:pt>
                <c:pt idx="228">
                  <c:v>7.5117308997902965</c:v>
                </c:pt>
                <c:pt idx="229">
                  <c:v>8.3157374926272496</c:v>
                </c:pt>
                <c:pt idx="230">
                  <c:v>8.4061533147392264</c:v>
                </c:pt>
                <c:pt idx="231">
                  <c:v>8.745814668891553</c:v>
                </c:pt>
                <c:pt idx="232">
                  <c:v>10.09732849025124</c:v>
                </c:pt>
                <c:pt idx="233">
                  <c:v>10.29360685948952</c:v>
                </c:pt>
                <c:pt idx="234">
                  <c:v>11.026438600789163</c:v>
                </c:pt>
                <c:pt idx="235">
                  <c:v>10.371003196573852</c:v>
                </c:pt>
                <c:pt idx="236">
                  <c:v>11.220028110778186</c:v>
                </c:pt>
                <c:pt idx="237">
                  <c:v>10.580213774909916</c:v>
                </c:pt>
                <c:pt idx="238">
                  <c:v>10.414772590557664</c:v>
                </c:pt>
                <c:pt idx="239">
                  <c:v>10.346056809106177</c:v>
                </c:pt>
                <c:pt idx="240">
                  <c:v>10.720017627385312</c:v>
                </c:pt>
                <c:pt idx="241">
                  <c:v>10.359368616689764</c:v>
                </c:pt>
                <c:pt idx="242">
                  <c:v>10.816776317667157</c:v>
                </c:pt>
                <c:pt idx="243">
                  <c:v>11.319260440009833</c:v>
                </c:pt>
                <c:pt idx="244">
                  <c:v>10.665278927788977</c:v>
                </c:pt>
                <c:pt idx="245">
                  <c:v>10.388851013366407</c:v>
                </c:pt>
                <c:pt idx="246">
                  <c:v>10.670522398970359</c:v>
                </c:pt>
                <c:pt idx="247">
                  <c:v>11.811935374852627</c:v>
                </c:pt>
                <c:pt idx="248">
                  <c:v>12.201111714938582</c:v>
                </c:pt>
                <c:pt idx="249">
                  <c:v>10.163745729257812</c:v>
                </c:pt>
                <c:pt idx="250">
                  <c:v>10.108453082233618</c:v>
                </c:pt>
                <c:pt idx="251">
                  <c:v>12.31000310325159</c:v>
                </c:pt>
                <c:pt idx="252">
                  <c:v>13.174921575414272</c:v>
                </c:pt>
                <c:pt idx="253">
                  <c:v>11.877951818660691</c:v>
                </c:pt>
                <c:pt idx="254">
                  <c:v>12.13004296153218</c:v>
                </c:pt>
                <c:pt idx="255">
                  <c:v>12.746149231141352</c:v>
                </c:pt>
                <c:pt idx="256">
                  <c:v>12.707938950981823</c:v>
                </c:pt>
                <c:pt idx="257">
                  <c:v>13.128988792767448</c:v>
                </c:pt>
                <c:pt idx="258">
                  <c:v>12.969974943419382</c:v>
                </c:pt>
                <c:pt idx="259">
                  <c:v>12.54696291350797</c:v>
                </c:pt>
                <c:pt idx="260">
                  <c:v>14.048266215849402</c:v>
                </c:pt>
                <c:pt idx="261">
                  <c:v>13.53542190707307</c:v>
                </c:pt>
                <c:pt idx="262">
                  <c:v>13.700036052936774</c:v>
                </c:pt>
                <c:pt idx="263">
                  <c:v>14.428031135800332</c:v>
                </c:pt>
                <c:pt idx="264">
                  <c:v>14.680386803428238</c:v>
                </c:pt>
                <c:pt idx="265">
                  <c:v>16.319998252189379</c:v>
                </c:pt>
                <c:pt idx="266">
                  <c:v>17.119969004040584</c:v>
                </c:pt>
                <c:pt idx="267">
                  <c:v>16.985744475615558</c:v>
                </c:pt>
                <c:pt idx="268">
                  <c:v>17.781330981436874</c:v>
                </c:pt>
                <c:pt idx="269">
                  <c:v>17.532173475219572</c:v>
                </c:pt>
                <c:pt idx="270">
                  <c:v>19.888086961385394</c:v>
                </c:pt>
                <c:pt idx="271">
                  <c:v>20.003725362112938</c:v>
                </c:pt>
                <c:pt idx="272">
                  <c:v>20.326743403480748</c:v>
                </c:pt>
                <c:pt idx="273">
                  <c:v>18.576413627984596</c:v>
                </c:pt>
                <c:pt idx="274">
                  <c:v>19.771262848634333</c:v>
                </c:pt>
                <c:pt idx="275">
                  <c:v>20.367588271005253</c:v>
                </c:pt>
                <c:pt idx="276">
                  <c:v>19.081861959624316</c:v>
                </c:pt>
                <c:pt idx="277">
                  <c:v>18.735886745776021</c:v>
                </c:pt>
                <c:pt idx="278">
                  <c:v>18.062517199703546</c:v>
                </c:pt>
                <c:pt idx="279">
                  <c:v>18.15097050472929</c:v>
                </c:pt>
                <c:pt idx="280">
                  <c:v>19.384409676205525</c:v>
                </c:pt>
                <c:pt idx="281">
                  <c:v>19.557876845036219</c:v>
                </c:pt>
                <c:pt idx="282">
                  <c:v>20.323125509964797</c:v>
                </c:pt>
                <c:pt idx="283">
                  <c:v>19.808802553315065</c:v>
                </c:pt>
                <c:pt idx="284">
                  <c:v>20.528056420874272</c:v>
                </c:pt>
                <c:pt idx="285">
                  <c:v>21.156693273586168</c:v>
                </c:pt>
                <c:pt idx="286">
                  <c:v>21.110421218306879</c:v>
                </c:pt>
                <c:pt idx="287">
                  <c:v>20.950303353509767</c:v>
                </c:pt>
                <c:pt idx="288">
                  <c:v>22.101565683639571</c:v>
                </c:pt>
                <c:pt idx="289">
                  <c:v>20.838019663472473</c:v>
                </c:pt>
                <c:pt idx="290">
                  <c:v>23.045237549603719</c:v>
                </c:pt>
                <c:pt idx="291">
                  <c:v>21.910537349143958</c:v>
                </c:pt>
                <c:pt idx="292">
                  <c:v>21.381987103243546</c:v>
                </c:pt>
                <c:pt idx="293">
                  <c:v>22.231360743270599</c:v>
                </c:pt>
                <c:pt idx="294">
                  <c:v>22.252212837497716</c:v>
                </c:pt>
                <c:pt idx="295">
                  <c:v>23.189498000791033</c:v>
                </c:pt>
                <c:pt idx="296">
                  <c:v>21.696124126322815</c:v>
                </c:pt>
                <c:pt idx="297">
                  <c:v>21.896780570728705</c:v>
                </c:pt>
                <c:pt idx="298">
                  <c:v>23.751000557818074</c:v>
                </c:pt>
                <c:pt idx="299">
                  <c:v>27.487139122919992</c:v>
                </c:pt>
                <c:pt idx="300">
                  <c:v>24.73712307705436</c:v>
                </c:pt>
                <c:pt idx="301">
                  <c:v>26.486749904321123</c:v>
                </c:pt>
                <c:pt idx="302">
                  <c:v>22.170028891690702</c:v>
                </c:pt>
                <c:pt idx="303">
                  <c:v>22.478791389840982</c:v>
                </c:pt>
                <c:pt idx="304">
                  <c:v>24.245638637501045</c:v>
                </c:pt>
                <c:pt idx="305">
                  <c:v>24.003750583727125</c:v>
                </c:pt>
                <c:pt idx="306">
                  <c:v>22.694825376322299</c:v>
                </c:pt>
                <c:pt idx="307">
                  <c:v>23.730031156237121</c:v>
                </c:pt>
                <c:pt idx="308">
                  <c:v>23.311614305489893</c:v>
                </c:pt>
                <c:pt idx="309">
                  <c:v>24.887408443149958</c:v>
                </c:pt>
                <c:pt idx="310">
                  <c:v>24.444265223409666</c:v>
                </c:pt>
                <c:pt idx="311">
                  <c:v>24.229896591613191</c:v>
                </c:pt>
                <c:pt idx="312">
                  <c:v>26.085364945345972</c:v>
                </c:pt>
                <c:pt idx="313">
                  <c:v>25.011995401270131</c:v>
                </c:pt>
                <c:pt idx="314">
                  <c:v>27.286533527305611</c:v>
                </c:pt>
                <c:pt idx="315">
                  <c:v>26.361164974560591</c:v>
                </c:pt>
                <c:pt idx="316">
                  <c:v>25.647184846623926</c:v>
                </c:pt>
                <c:pt idx="317">
                  <c:v>23.390918637595284</c:v>
                </c:pt>
                <c:pt idx="318">
                  <c:v>23.443783666352211</c:v>
                </c:pt>
                <c:pt idx="319">
                  <c:v>25.619493043036336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3B-9B41-90DD-D949B716B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940761C-2340-034E-B8F8-0E38ED804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64E62-86C6-A249-B61F-56725B98D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816BE62-5AB0-3648-9468-BB7D61C1E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39E0B-9E04-1242-AA40-00FF194AC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174117E-4268-AB4C-BFAD-C305A545D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008E2-EDCD-6244-B1B4-3C7C61798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287E4F8-8163-C143-BEC6-236535908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B4E40-9D9C-374E-9C4C-CBFBF2DDF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C6415FC-FF8E-8644-8362-256E6B39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2B352E-E910-D44F-9638-511A767B9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nalysis%20Worksheets/2024-0705_Walsh_CI_DataWorksheet.xlsx" TargetMode="External"/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50" zoomScaleNormal="70" workbookViewId="0">
      <selection activeCell="S57" sqref="S57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1531.9977194983001</v>
      </c>
      <c r="E2">
        <v>402.55815279362002</v>
      </c>
      <c r="F2">
        <v>126.35624284078</v>
      </c>
      <c r="G2">
        <v>111.70618556701</v>
      </c>
      <c r="H2" s="4"/>
      <c r="I2" s="5">
        <f>E2-G2</f>
        <v>290.85196722661004</v>
      </c>
      <c r="J2" s="5">
        <f>D2-F2</f>
        <v>1405.6414766575201</v>
      </c>
      <c r="K2" s="9">
        <f>I2*1</f>
        <v>290.85196722661004</v>
      </c>
      <c r="L2" s="6">
        <f t="shared" ref="L2:L65" si="0">K2/J2</f>
        <v>0.20691760456459207</v>
      </c>
      <c r="M2" s="6">
        <f>L2+ABS($N$2)*A2</f>
        <v>0.20691760456459207</v>
      </c>
      <c r="N2" s="4">
        <f>LINEST(V64:V103,U64:U103)</f>
        <v>-1.418359097931557E-5</v>
      </c>
      <c r="O2" s="7">
        <f>AVERAGE(M62:M81)</f>
        <v>0.20123198604992409</v>
      </c>
      <c r="P2" s="4">
        <f>(M2-$O$2)/$O$2*100</f>
        <v>2.8254049598543545</v>
      </c>
    </row>
    <row r="3" spans="1:16" x14ac:dyDescent="0.2">
      <c r="A3" s="8">
        <v>0.5</v>
      </c>
      <c r="B3" s="8">
        <v>1</v>
      </c>
      <c r="D3">
        <v>1565.2941847206</v>
      </c>
      <c r="E3">
        <v>407.1921322691</v>
      </c>
      <c r="F3">
        <v>126.20160366552</v>
      </c>
      <c r="G3">
        <v>111.35108820160001</v>
      </c>
      <c r="I3" s="9">
        <f t="shared" ref="I3:I66" si="1">E3-G3</f>
        <v>295.84104406749998</v>
      </c>
      <c r="J3" s="9">
        <f t="shared" ref="J3:J66" si="2">D3-F3</f>
        <v>1439.09258105508</v>
      </c>
      <c r="K3" s="9">
        <f t="shared" ref="K3:K66" si="3">I3*1</f>
        <v>295.84104406749998</v>
      </c>
      <c r="L3" s="10">
        <f t="shared" si="0"/>
        <v>0.2055747128170185</v>
      </c>
      <c r="M3" s="10">
        <f t="shared" ref="M3:M66" si="4">L3+ABS($N$2)*A3</f>
        <v>0.20558180461250816</v>
      </c>
      <c r="P3" s="8">
        <f t="shared" ref="P3:P66" si="5">(M3-$O$2)/$O$2*100</f>
        <v>2.1615940129442999</v>
      </c>
    </row>
    <row r="4" spans="1:16" ht="16" x14ac:dyDescent="0.2">
      <c r="A4" s="8">
        <v>1</v>
      </c>
      <c r="B4" s="8">
        <v>2</v>
      </c>
      <c r="D4">
        <v>1580.7417331813001</v>
      </c>
      <c r="E4">
        <v>407.46408209805998</v>
      </c>
      <c r="F4">
        <v>126.40320733103999</v>
      </c>
      <c r="G4">
        <v>111.53207331042</v>
      </c>
      <c r="I4" s="9">
        <f t="shared" si="1"/>
        <v>295.93200878763997</v>
      </c>
      <c r="J4" s="9">
        <f t="shared" si="2"/>
        <v>1454.3385258502601</v>
      </c>
      <c r="K4" s="9">
        <f t="shared" si="3"/>
        <v>295.93200878763997</v>
      </c>
      <c r="L4" s="10">
        <f t="shared" si="0"/>
        <v>0.20348220412756182</v>
      </c>
      <c r="M4" s="10">
        <f t="shared" si="4"/>
        <v>0.20349638771854114</v>
      </c>
      <c r="N4" s="1" t="s">
        <v>7</v>
      </c>
      <c r="P4" s="8">
        <f t="shared" si="5"/>
        <v>1.1252692541906679</v>
      </c>
    </row>
    <row r="5" spans="1:16" x14ac:dyDescent="0.2">
      <c r="A5" s="8">
        <v>1.5</v>
      </c>
      <c r="B5" s="8">
        <v>3</v>
      </c>
      <c r="D5">
        <v>1561.9676687465001</v>
      </c>
      <c r="E5">
        <v>406.8088485536</v>
      </c>
      <c r="F5">
        <v>126.31214203895</v>
      </c>
      <c r="G5">
        <v>111.88201603666</v>
      </c>
      <c r="I5" s="9">
        <f t="shared" si="1"/>
        <v>294.92683251694001</v>
      </c>
      <c r="J5" s="9">
        <f t="shared" si="2"/>
        <v>1435.6555267075501</v>
      </c>
      <c r="K5" s="9">
        <f t="shared" si="3"/>
        <v>294.92683251694001</v>
      </c>
      <c r="L5" s="10">
        <f t="shared" si="0"/>
        <v>0.20543008195935991</v>
      </c>
      <c r="M5" s="10">
        <f t="shared" si="4"/>
        <v>0.20545135734582889</v>
      </c>
      <c r="N5" s="8">
        <f>RSQ(V64:V83,U64:U83)</f>
        <v>0.84343843910622684</v>
      </c>
      <c r="P5" s="8">
        <f t="shared" si="5"/>
        <v>2.0967696928946506</v>
      </c>
    </row>
    <row r="6" spans="1:16" x14ac:dyDescent="0.2">
      <c r="A6" s="8">
        <v>2</v>
      </c>
      <c r="B6" s="8">
        <v>4</v>
      </c>
      <c r="D6">
        <v>1529.6278409091001</v>
      </c>
      <c r="E6">
        <v>406</v>
      </c>
      <c r="F6">
        <v>126.24684994272999</v>
      </c>
      <c r="G6">
        <v>111.57789232531999</v>
      </c>
      <c r="I6" s="9">
        <f t="shared" si="1"/>
        <v>294.42210767467998</v>
      </c>
      <c r="J6" s="9">
        <f t="shared" si="2"/>
        <v>1403.3809909663701</v>
      </c>
      <c r="K6" s="9">
        <f t="shared" si="3"/>
        <v>294.42210767467998</v>
      </c>
      <c r="L6" s="10">
        <f t="shared" si="0"/>
        <v>0.20979485226740924</v>
      </c>
      <c r="M6" s="10">
        <f t="shared" si="4"/>
        <v>0.20982321944936788</v>
      </c>
      <c r="P6" s="8">
        <f t="shared" si="5"/>
        <v>4.2693179986368417</v>
      </c>
    </row>
    <row r="7" spans="1:16" x14ac:dyDescent="0.2">
      <c r="A7" s="8">
        <v>2.5</v>
      </c>
      <c r="B7" s="8">
        <v>5</v>
      </c>
      <c r="D7">
        <v>1546.4482954545999</v>
      </c>
      <c r="E7">
        <v>406.64034090909001</v>
      </c>
      <c r="F7">
        <v>126.54066437572</v>
      </c>
      <c r="G7">
        <v>111.76632302406</v>
      </c>
      <c r="I7" s="9">
        <f t="shared" si="1"/>
        <v>294.87401788503001</v>
      </c>
      <c r="J7" s="9">
        <f t="shared" si="2"/>
        <v>1419.9076310788798</v>
      </c>
      <c r="K7" s="9">
        <f t="shared" si="3"/>
        <v>294.87401788503001</v>
      </c>
      <c r="L7" s="10">
        <f t="shared" si="0"/>
        <v>0.20767126778590356</v>
      </c>
      <c r="M7" s="10">
        <f t="shared" si="4"/>
        <v>0.20770672676335183</v>
      </c>
      <c r="P7" s="8">
        <f t="shared" si="5"/>
        <v>3.2175504702425424</v>
      </c>
    </row>
    <row r="8" spans="1:16" x14ac:dyDescent="0.2">
      <c r="A8" s="8">
        <v>3</v>
      </c>
      <c r="B8" s="8">
        <v>6</v>
      </c>
      <c r="D8">
        <v>1655.4115974986</v>
      </c>
      <c r="E8">
        <v>423.69243888572998</v>
      </c>
      <c r="F8">
        <v>126.69072164949</v>
      </c>
      <c r="G8">
        <v>111.70103092783999</v>
      </c>
      <c r="I8" s="9">
        <f t="shared" si="1"/>
        <v>311.99140795788998</v>
      </c>
      <c r="J8" s="9">
        <f t="shared" si="2"/>
        <v>1528.7208758491101</v>
      </c>
      <c r="K8" s="9">
        <f t="shared" si="3"/>
        <v>311.99140795788998</v>
      </c>
      <c r="L8" s="10">
        <f t="shared" si="0"/>
        <v>0.20408657517978748</v>
      </c>
      <c r="M8" s="10">
        <f t="shared" si="4"/>
        <v>0.20412912595272542</v>
      </c>
      <c r="P8" s="8">
        <f t="shared" si="5"/>
        <v>1.4397014906380583</v>
      </c>
    </row>
    <row r="9" spans="1:16" x14ac:dyDescent="0.2">
      <c r="A9" s="8">
        <v>3.5</v>
      </c>
      <c r="B9" s="8">
        <v>7</v>
      </c>
      <c r="D9">
        <v>1608.7423033067</v>
      </c>
      <c r="E9">
        <v>417.17901938427002</v>
      </c>
      <c r="F9">
        <v>126.82703321879001</v>
      </c>
      <c r="G9">
        <v>112.06357388316</v>
      </c>
      <c r="I9" s="9">
        <f t="shared" si="1"/>
        <v>305.11544550111</v>
      </c>
      <c r="J9" s="9">
        <f t="shared" si="2"/>
        <v>1481.9152700879099</v>
      </c>
      <c r="K9" s="9">
        <f t="shared" si="3"/>
        <v>305.11544550111</v>
      </c>
      <c r="L9" s="10">
        <f t="shared" si="0"/>
        <v>0.20589263884365669</v>
      </c>
      <c r="M9" s="10">
        <f t="shared" si="4"/>
        <v>0.20594228141208429</v>
      </c>
      <c r="P9" s="8">
        <f t="shared" si="5"/>
        <v>2.3407289539902498</v>
      </c>
    </row>
    <row r="10" spans="1:16" x14ac:dyDescent="0.2">
      <c r="A10" s="8">
        <v>4</v>
      </c>
      <c r="B10" s="8">
        <v>8</v>
      </c>
      <c r="D10">
        <v>1643.2685290764</v>
      </c>
      <c r="E10">
        <v>421.87799315849998</v>
      </c>
      <c r="F10">
        <v>126.7147766323</v>
      </c>
      <c r="G10">
        <v>111.59335624284</v>
      </c>
      <c r="I10" s="9">
        <f t="shared" si="1"/>
        <v>310.28463691565997</v>
      </c>
      <c r="J10" s="9">
        <f t="shared" si="2"/>
        <v>1516.5537524440999</v>
      </c>
      <c r="K10" s="9">
        <f t="shared" si="3"/>
        <v>310.28463691565997</v>
      </c>
      <c r="L10" s="10">
        <f t="shared" si="0"/>
        <v>0.20459850922896783</v>
      </c>
      <c r="M10" s="10">
        <f t="shared" si="4"/>
        <v>0.20465524359288509</v>
      </c>
      <c r="P10" s="8">
        <f t="shared" si="5"/>
        <v>1.701149807323231</v>
      </c>
    </row>
    <row r="11" spans="1:16" x14ac:dyDescent="0.2">
      <c r="A11" s="8">
        <v>4.5</v>
      </c>
      <c r="B11" s="8">
        <v>9</v>
      </c>
      <c r="D11">
        <v>1649.3772079772</v>
      </c>
      <c r="E11">
        <v>422.97264957265003</v>
      </c>
      <c r="F11">
        <v>127.03665521191</v>
      </c>
      <c r="G11">
        <v>111.84135166094001</v>
      </c>
      <c r="I11" s="9">
        <f t="shared" si="1"/>
        <v>311.13129791171002</v>
      </c>
      <c r="J11" s="9">
        <f t="shared" si="2"/>
        <v>1522.3405527652899</v>
      </c>
      <c r="K11" s="9">
        <f t="shared" si="3"/>
        <v>311.13129791171002</v>
      </c>
      <c r="L11" s="10">
        <f t="shared" si="0"/>
        <v>0.20437693612414681</v>
      </c>
      <c r="M11" s="10">
        <f t="shared" si="4"/>
        <v>0.20444076228355373</v>
      </c>
      <c r="P11" s="8">
        <f t="shared" si="5"/>
        <v>1.5945657033040301</v>
      </c>
    </row>
    <row r="12" spans="1:16" x14ac:dyDescent="0.2">
      <c r="A12" s="8">
        <v>5</v>
      </c>
      <c r="B12" s="8">
        <v>10</v>
      </c>
      <c r="D12">
        <v>1675.6259238204</v>
      </c>
      <c r="E12">
        <v>424.26492325185001</v>
      </c>
      <c r="F12">
        <v>126.87285223368001</v>
      </c>
      <c r="G12">
        <v>111.69072164949</v>
      </c>
      <c r="I12" s="9">
        <f t="shared" si="1"/>
        <v>312.57420160236001</v>
      </c>
      <c r="J12" s="9">
        <f t="shared" si="2"/>
        <v>1548.7530715867199</v>
      </c>
      <c r="K12" s="9">
        <f t="shared" si="3"/>
        <v>312.57420160236001</v>
      </c>
      <c r="L12" s="10">
        <f t="shared" si="0"/>
        <v>0.20182313587415404</v>
      </c>
      <c r="M12" s="10">
        <f t="shared" si="4"/>
        <v>0.20189405382905062</v>
      </c>
      <c r="P12" s="8">
        <f t="shared" si="5"/>
        <v>0.32900722798724236</v>
      </c>
    </row>
    <row r="13" spans="1:16" x14ac:dyDescent="0.2">
      <c r="A13" s="8">
        <v>5.5</v>
      </c>
      <c r="B13" s="8">
        <v>11</v>
      </c>
      <c r="D13">
        <v>1604.5533371362999</v>
      </c>
      <c r="E13">
        <v>415.81061038220003</v>
      </c>
      <c r="F13">
        <v>126.91924398625</v>
      </c>
      <c r="G13">
        <v>112.14776632301999</v>
      </c>
      <c r="I13" s="9">
        <f t="shared" si="1"/>
        <v>303.66284405918003</v>
      </c>
      <c r="J13" s="9">
        <f t="shared" si="2"/>
        <v>1477.6340931500499</v>
      </c>
      <c r="K13" s="9">
        <f t="shared" si="3"/>
        <v>303.66284405918003</v>
      </c>
      <c r="L13" s="10">
        <f t="shared" si="0"/>
        <v>0.20550611647828557</v>
      </c>
      <c r="M13" s="10">
        <f t="shared" si="4"/>
        <v>0.20558412622867181</v>
      </c>
      <c r="P13" s="8">
        <f t="shared" si="5"/>
        <v>2.1627477143062053</v>
      </c>
    </row>
    <row r="14" spans="1:16" x14ac:dyDescent="0.2">
      <c r="A14" s="8">
        <v>6</v>
      </c>
      <c r="B14" s="8">
        <v>12</v>
      </c>
      <c r="D14">
        <v>1644.9577866515001</v>
      </c>
      <c r="E14">
        <v>418.84255561894003</v>
      </c>
      <c r="F14">
        <v>126.89175257732001</v>
      </c>
      <c r="G14">
        <v>111.921534937</v>
      </c>
      <c r="I14" s="9">
        <f t="shared" si="1"/>
        <v>306.92102068194004</v>
      </c>
      <c r="J14" s="9">
        <f t="shared" si="2"/>
        <v>1518.0660340741802</v>
      </c>
      <c r="K14" s="9">
        <f t="shared" si="3"/>
        <v>306.92102068194004</v>
      </c>
      <c r="L14" s="10">
        <f t="shared" si="0"/>
        <v>0.20217896573196259</v>
      </c>
      <c r="M14" s="10">
        <f t="shared" si="4"/>
        <v>0.20226406727783849</v>
      </c>
      <c r="P14" s="8">
        <f t="shared" si="5"/>
        <v>0.51288130091721529</v>
      </c>
    </row>
    <row r="15" spans="1:16" x14ac:dyDescent="0.2">
      <c r="A15" s="8">
        <v>6.5</v>
      </c>
      <c r="B15" s="8">
        <v>13</v>
      </c>
      <c r="D15">
        <v>1614.2612664005001</v>
      </c>
      <c r="E15">
        <v>414.67598402738003</v>
      </c>
      <c r="F15">
        <v>126.83447880871</v>
      </c>
      <c r="G15">
        <v>111.91695303551001</v>
      </c>
      <c r="I15" s="9">
        <f t="shared" si="1"/>
        <v>302.75903099187002</v>
      </c>
      <c r="J15" s="9">
        <f t="shared" si="2"/>
        <v>1487.4267875917901</v>
      </c>
      <c r="K15" s="9">
        <f t="shared" si="3"/>
        <v>302.75903099187002</v>
      </c>
      <c r="L15" s="10">
        <f t="shared" si="0"/>
        <v>0.2035455012088698</v>
      </c>
      <c r="M15" s="10">
        <f t="shared" si="4"/>
        <v>0.20363769455023534</v>
      </c>
      <c r="P15" s="8">
        <f t="shared" si="5"/>
        <v>1.1954901144365815</v>
      </c>
    </row>
    <row r="16" spans="1:16" x14ac:dyDescent="0.2">
      <c r="A16" s="8">
        <v>7</v>
      </c>
      <c r="B16" s="8">
        <v>14</v>
      </c>
      <c r="D16">
        <v>1585.2160775371001</v>
      </c>
      <c r="E16">
        <v>410.48688711517002</v>
      </c>
      <c r="F16">
        <v>127.12428407789</v>
      </c>
      <c r="G16">
        <v>112.17067583047</v>
      </c>
      <c r="I16" s="9">
        <f t="shared" si="1"/>
        <v>298.31621128469999</v>
      </c>
      <c r="J16" s="9">
        <f t="shared" si="2"/>
        <v>1458.0917934592101</v>
      </c>
      <c r="K16" s="9">
        <f t="shared" si="3"/>
        <v>298.31621128469999</v>
      </c>
      <c r="L16" s="10">
        <f t="shared" si="0"/>
        <v>0.20459357402798889</v>
      </c>
      <c r="M16" s="10">
        <f t="shared" si="4"/>
        <v>0.20469285916484409</v>
      </c>
      <c r="P16" s="8">
        <f t="shared" si="5"/>
        <v>1.7198424479403476</v>
      </c>
    </row>
    <row r="17" spans="1:16" x14ac:dyDescent="0.2">
      <c r="A17" s="8">
        <v>7.5</v>
      </c>
      <c r="B17" s="8">
        <v>15</v>
      </c>
      <c r="D17">
        <v>1629.2035347777</v>
      </c>
      <c r="E17">
        <v>415.28278221209001</v>
      </c>
      <c r="F17">
        <v>126.90148911798001</v>
      </c>
      <c r="G17">
        <v>112.11741122566001</v>
      </c>
      <c r="I17" s="9">
        <f t="shared" si="1"/>
        <v>303.16537098642999</v>
      </c>
      <c r="J17" s="9">
        <f t="shared" si="2"/>
        <v>1502.3020456597201</v>
      </c>
      <c r="K17" s="9">
        <f t="shared" si="3"/>
        <v>303.16537098642999</v>
      </c>
      <c r="L17" s="10">
        <f t="shared" si="0"/>
        <v>0.20180054461238395</v>
      </c>
      <c r="M17" s="10">
        <f t="shared" si="4"/>
        <v>0.20190692154472881</v>
      </c>
      <c r="P17" s="8">
        <f t="shared" si="5"/>
        <v>0.33540169634725281</v>
      </c>
    </row>
    <row r="18" spans="1:16" x14ac:dyDescent="0.2">
      <c r="A18" s="8">
        <v>8</v>
      </c>
      <c r="B18" s="8">
        <v>16</v>
      </c>
      <c r="D18">
        <v>1632.3221208666</v>
      </c>
      <c r="E18">
        <v>413.92645381983999</v>
      </c>
      <c r="F18">
        <v>127.22107674685</v>
      </c>
      <c r="G18">
        <v>111.97651775487</v>
      </c>
      <c r="I18" s="9">
        <f t="shared" si="1"/>
        <v>301.94993606496996</v>
      </c>
      <c r="J18" s="9">
        <f t="shared" si="2"/>
        <v>1505.10104411975</v>
      </c>
      <c r="K18" s="9">
        <f t="shared" si="3"/>
        <v>301.94993606496996</v>
      </c>
      <c r="L18" s="10">
        <f t="shared" si="0"/>
        <v>0.20061771749122911</v>
      </c>
      <c r="M18" s="10">
        <f t="shared" si="4"/>
        <v>0.20073118621906363</v>
      </c>
      <c r="P18" s="8">
        <f t="shared" si="5"/>
        <v>-0.24886691260713167</v>
      </c>
    </row>
    <row r="19" spans="1:16" x14ac:dyDescent="0.2">
      <c r="A19" s="8">
        <v>8.5</v>
      </c>
      <c r="B19" s="8">
        <v>17</v>
      </c>
      <c r="D19">
        <v>1660.4942987457</v>
      </c>
      <c r="E19">
        <v>416.4606613455</v>
      </c>
      <c r="F19">
        <v>127.34879725086</v>
      </c>
      <c r="G19">
        <v>112.0744558992</v>
      </c>
      <c r="I19" s="9">
        <f t="shared" si="1"/>
        <v>304.38620544629998</v>
      </c>
      <c r="J19" s="9">
        <f t="shared" si="2"/>
        <v>1533.1455014948401</v>
      </c>
      <c r="K19" s="9">
        <f t="shared" si="3"/>
        <v>304.38620544629998</v>
      </c>
      <c r="L19" s="10">
        <f t="shared" si="0"/>
        <v>0.19853706327906831</v>
      </c>
      <c r="M19" s="10">
        <f t="shared" si="4"/>
        <v>0.19865762380239249</v>
      </c>
      <c r="P19" s="8">
        <f t="shared" si="5"/>
        <v>-1.2793007205588698</v>
      </c>
    </row>
    <row r="20" spans="1:16" x14ac:dyDescent="0.2">
      <c r="A20" s="8">
        <v>9</v>
      </c>
      <c r="B20" s="8">
        <v>18</v>
      </c>
      <c r="D20">
        <v>1655.5855188140999</v>
      </c>
      <c r="E20">
        <v>414.16533637399999</v>
      </c>
      <c r="F20">
        <v>127.12256586482999</v>
      </c>
      <c r="G20">
        <v>112.02520045819</v>
      </c>
      <c r="I20" s="9">
        <f t="shared" si="1"/>
        <v>302.14013591580999</v>
      </c>
      <c r="J20" s="9">
        <f t="shared" si="2"/>
        <v>1528.4629529492699</v>
      </c>
      <c r="K20" s="9">
        <f t="shared" si="3"/>
        <v>302.14013591580999</v>
      </c>
      <c r="L20" s="10">
        <f t="shared" si="0"/>
        <v>0.19767579929419335</v>
      </c>
      <c r="M20" s="10">
        <f t="shared" si="4"/>
        <v>0.19780345161300719</v>
      </c>
      <c r="P20" s="8">
        <f t="shared" si="5"/>
        <v>-1.7037721011540927</v>
      </c>
    </row>
    <row r="21" spans="1:16" x14ac:dyDescent="0.2">
      <c r="A21" s="8">
        <v>9.5</v>
      </c>
      <c r="B21" s="8">
        <v>19</v>
      </c>
      <c r="D21">
        <v>1671.7172177878999</v>
      </c>
      <c r="E21">
        <v>416.44811858609</v>
      </c>
      <c r="F21">
        <v>127.64719358534001</v>
      </c>
      <c r="G21">
        <v>112.09621993127</v>
      </c>
      <c r="I21" s="9">
        <f t="shared" si="1"/>
        <v>304.35189865481999</v>
      </c>
      <c r="J21" s="9">
        <f t="shared" si="2"/>
        <v>1544.07002420256</v>
      </c>
      <c r="K21" s="9">
        <f t="shared" si="3"/>
        <v>304.35189865481999</v>
      </c>
      <c r="L21" s="10">
        <f t="shared" si="0"/>
        <v>0.19711016591491926</v>
      </c>
      <c r="M21" s="10">
        <f t="shared" si="4"/>
        <v>0.19724491002922276</v>
      </c>
      <c r="P21" s="8">
        <f t="shared" si="5"/>
        <v>-1.9813331364290032</v>
      </c>
    </row>
    <row r="22" spans="1:16" x14ac:dyDescent="0.2">
      <c r="A22" s="8">
        <v>10</v>
      </c>
      <c r="B22" s="8">
        <v>20</v>
      </c>
      <c r="D22">
        <v>1618.3060760931</v>
      </c>
      <c r="E22">
        <v>408.20840431572998</v>
      </c>
      <c r="F22">
        <v>127.59450171821</v>
      </c>
      <c r="G22">
        <v>112.10080183276</v>
      </c>
      <c r="I22" s="9">
        <f t="shared" si="1"/>
        <v>296.10760248296998</v>
      </c>
      <c r="J22" s="9">
        <f t="shared" si="2"/>
        <v>1490.71157437489</v>
      </c>
      <c r="K22" s="9">
        <f t="shared" si="3"/>
        <v>296.10760248296998</v>
      </c>
      <c r="L22" s="10">
        <f t="shared" si="0"/>
        <v>0.19863507305706588</v>
      </c>
      <c r="M22" s="10">
        <f t="shared" si="4"/>
        <v>0.19877690896685904</v>
      </c>
      <c r="P22" s="8">
        <f t="shared" si="5"/>
        <v>-1.2200232832050713</v>
      </c>
    </row>
    <row r="23" spans="1:16" x14ac:dyDescent="0.2">
      <c r="A23" s="8">
        <v>10.5</v>
      </c>
      <c r="B23" s="8">
        <v>21</v>
      </c>
      <c r="D23">
        <v>1669.2402044293001</v>
      </c>
      <c r="E23">
        <v>415.05621805791998</v>
      </c>
      <c r="F23">
        <v>127.86254295533</v>
      </c>
      <c r="G23">
        <v>112.04410080183</v>
      </c>
      <c r="I23" s="9">
        <f t="shared" si="1"/>
        <v>303.01211725608999</v>
      </c>
      <c r="J23" s="9">
        <f t="shared" si="2"/>
        <v>1541.3776614739702</v>
      </c>
      <c r="K23" s="9">
        <f t="shared" si="3"/>
        <v>303.01211725608999</v>
      </c>
      <c r="L23" s="10">
        <f t="shared" si="0"/>
        <v>0.19658525280970349</v>
      </c>
      <c r="M23" s="10">
        <f t="shared" si="4"/>
        <v>0.19673418051498631</v>
      </c>
      <c r="P23" s="8">
        <f t="shared" si="5"/>
        <v>-2.2351344948818981</v>
      </c>
    </row>
    <row r="24" spans="1:16" x14ac:dyDescent="0.2">
      <c r="A24" s="8">
        <v>11</v>
      </c>
      <c r="B24" s="8">
        <v>22</v>
      </c>
      <c r="D24">
        <v>1634.2985754986</v>
      </c>
      <c r="E24">
        <v>408.80911680911998</v>
      </c>
      <c r="F24">
        <v>127.92611683849</v>
      </c>
      <c r="G24">
        <v>112.20103092783999</v>
      </c>
      <c r="I24" s="9">
        <f t="shared" si="1"/>
        <v>296.60808588127998</v>
      </c>
      <c r="J24" s="9">
        <f t="shared" si="2"/>
        <v>1506.3724586601099</v>
      </c>
      <c r="K24" s="9">
        <f t="shared" si="3"/>
        <v>296.60808588127998</v>
      </c>
      <c r="L24" s="10">
        <f t="shared" si="0"/>
        <v>0.19690222306978933</v>
      </c>
      <c r="M24" s="10">
        <f t="shared" si="4"/>
        <v>0.19705824257056179</v>
      </c>
      <c r="P24" s="8">
        <f t="shared" si="5"/>
        <v>-2.0740954563390503</v>
      </c>
    </row>
    <row r="25" spans="1:16" x14ac:dyDescent="0.2">
      <c r="A25" s="8">
        <v>11.5</v>
      </c>
      <c r="B25" s="8">
        <v>23</v>
      </c>
      <c r="D25">
        <v>1677.3435897436</v>
      </c>
      <c r="E25">
        <v>413.29686609687002</v>
      </c>
      <c r="F25">
        <v>127.71363115693001</v>
      </c>
      <c r="G25">
        <v>112.54180985108999</v>
      </c>
      <c r="I25" s="9">
        <f t="shared" si="1"/>
        <v>300.75505624578</v>
      </c>
      <c r="J25" s="9">
        <f t="shared" si="2"/>
        <v>1549.62995858667</v>
      </c>
      <c r="K25" s="9">
        <f t="shared" si="3"/>
        <v>300.75505624578</v>
      </c>
      <c r="L25" s="10">
        <f t="shared" si="0"/>
        <v>0.19408185456099578</v>
      </c>
      <c r="M25" s="10">
        <f t="shared" si="4"/>
        <v>0.1942449658572579</v>
      </c>
      <c r="P25" s="8">
        <f t="shared" si="5"/>
        <v>-3.4721220665847694</v>
      </c>
    </row>
    <row r="26" spans="1:16" x14ac:dyDescent="0.2">
      <c r="A26" s="8">
        <v>12</v>
      </c>
      <c r="B26" s="8">
        <v>24</v>
      </c>
      <c r="D26">
        <v>1622.7956744451001</v>
      </c>
      <c r="E26">
        <v>409.39783722253998</v>
      </c>
      <c r="F26">
        <v>127.33161512028001</v>
      </c>
      <c r="G26">
        <v>112.24627720504</v>
      </c>
      <c r="I26" s="9">
        <f t="shared" si="1"/>
        <v>297.15156001749995</v>
      </c>
      <c r="J26" s="9">
        <f t="shared" si="2"/>
        <v>1495.46405932482</v>
      </c>
      <c r="K26" s="9">
        <f t="shared" si="3"/>
        <v>297.15156001749995</v>
      </c>
      <c r="L26" s="10">
        <f t="shared" si="0"/>
        <v>0.19870190671894816</v>
      </c>
      <c r="M26" s="10">
        <f t="shared" si="4"/>
        <v>0.19887210981069994</v>
      </c>
      <c r="P26" s="8">
        <f t="shared" si="5"/>
        <v>-1.1727142814356979</v>
      </c>
    </row>
    <row r="27" spans="1:16" x14ac:dyDescent="0.2">
      <c r="A27" s="8">
        <v>12.5</v>
      </c>
      <c r="B27" s="8">
        <v>25</v>
      </c>
      <c r="D27">
        <v>1578.7461582243</v>
      </c>
      <c r="E27">
        <v>408.49743881616001</v>
      </c>
      <c r="F27">
        <v>127.72164948454</v>
      </c>
      <c r="G27">
        <v>112.10996563574</v>
      </c>
      <c r="I27" s="9">
        <f t="shared" si="1"/>
        <v>296.38747318041999</v>
      </c>
      <c r="J27" s="9">
        <f t="shared" si="2"/>
        <v>1451.02450873976</v>
      </c>
      <c r="K27" s="9">
        <f t="shared" si="3"/>
        <v>296.38747318041999</v>
      </c>
      <c r="L27" s="10">
        <f t="shared" si="0"/>
        <v>0.20426083184345223</v>
      </c>
      <c r="M27" s="10">
        <f t="shared" si="4"/>
        <v>0.20443812673069367</v>
      </c>
      <c r="P27" s="8">
        <f t="shared" si="5"/>
        <v>1.593255994588334</v>
      </c>
    </row>
    <row r="28" spans="1:16" x14ac:dyDescent="0.2">
      <c r="A28" s="8">
        <v>13</v>
      </c>
      <c r="B28" s="8">
        <v>26</v>
      </c>
      <c r="D28">
        <v>1597.2891291975</v>
      </c>
      <c r="E28">
        <v>411.34945930563998</v>
      </c>
      <c r="F28">
        <v>127.78808705613</v>
      </c>
      <c r="G28">
        <v>112.55269186712999</v>
      </c>
      <c r="I28" s="9">
        <f t="shared" si="1"/>
        <v>298.79676743850996</v>
      </c>
      <c r="J28" s="9">
        <f t="shared" si="2"/>
        <v>1469.5010421413699</v>
      </c>
      <c r="K28" s="9">
        <f t="shared" si="3"/>
        <v>298.79676743850996</v>
      </c>
      <c r="L28" s="10">
        <f t="shared" si="0"/>
        <v>0.2033321235370481</v>
      </c>
      <c r="M28" s="10">
        <f t="shared" si="4"/>
        <v>0.20351651021977921</v>
      </c>
      <c r="P28" s="8">
        <f t="shared" si="5"/>
        <v>1.1352689076419191</v>
      </c>
    </row>
    <row r="29" spans="1:16" x14ac:dyDescent="0.2">
      <c r="A29" s="8">
        <v>13.5</v>
      </c>
      <c r="B29" s="8">
        <v>27</v>
      </c>
      <c r="D29">
        <v>1582.4061784897001</v>
      </c>
      <c r="E29">
        <v>405.08981693364001</v>
      </c>
      <c r="F29">
        <v>128</v>
      </c>
      <c r="G29">
        <v>112.36311569301</v>
      </c>
      <c r="I29" s="9">
        <f t="shared" si="1"/>
        <v>292.72670124063001</v>
      </c>
      <c r="J29" s="9">
        <f t="shared" si="2"/>
        <v>1454.4061784897001</v>
      </c>
      <c r="K29" s="9">
        <f t="shared" si="3"/>
        <v>292.72670124063001</v>
      </c>
      <c r="L29" s="10">
        <f t="shared" si="0"/>
        <v>0.20126887905867286</v>
      </c>
      <c r="M29" s="10">
        <f t="shared" si="4"/>
        <v>0.20146035753689362</v>
      </c>
      <c r="P29" s="8">
        <f t="shared" si="5"/>
        <v>0.11348667349179173</v>
      </c>
    </row>
    <row r="30" spans="1:16" x14ac:dyDescent="0.2">
      <c r="A30" s="8">
        <v>14</v>
      </c>
      <c r="B30" s="8">
        <v>28</v>
      </c>
      <c r="D30">
        <v>1662.1327231120999</v>
      </c>
      <c r="E30">
        <v>420.72768878719</v>
      </c>
      <c r="F30">
        <v>127.68213058419001</v>
      </c>
      <c r="G30">
        <v>112.57674684993999</v>
      </c>
      <c r="I30" s="9">
        <f t="shared" si="1"/>
        <v>308.15094193725002</v>
      </c>
      <c r="J30" s="9">
        <f t="shared" si="2"/>
        <v>1534.45059252791</v>
      </c>
      <c r="K30" s="9">
        <f t="shared" si="3"/>
        <v>308.15094193725002</v>
      </c>
      <c r="L30" s="10">
        <f t="shared" si="0"/>
        <v>0.20082167743804047</v>
      </c>
      <c r="M30" s="10">
        <f t="shared" si="4"/>
        <v>0.20102024771175089</v>
      </c>
      <c r="P30" s="8">
        <f t="shared" si="5"/>
        <v>-0.10522101497356892</v>
      </c>
    </row>
    <row r="31" spans="1:16" x14ac:dyDescent="0.2">
      <c r="A31" s="8">
        <v>14.5</v>
      </c>
      <c r="B31" s="8">
        <v>29</v>
      </c>
      <c r="D31">
        <v>1593.6275743706999</v>
      </c>
      <c r="E31">
        <v>406.93535469108002</v>
      </c>
      <c r="F31">
        <v>128.02004581902</v>
      </c>
      <c r="G31">
        <v>112.2439862543</v>
      </c>
      <c r="I31" s="9">
        <f t="shared" si="1"/>
        <v>294.69136843678001</v>
      </c>
      <c r="J31" s="9">
        <f t="shared" si="2"/>
        <v>1465.6075285516799</v>
      </c>
      <c r="K31" s="9">
        <f t="shared" si="3"/>
        <v>294.69136843678001</v>
      </c>
      <c r="L31" s="10">
        <f t="shared" si="0"/>
        <v>0.20107113445848315</v>
      </c>
      <c r="M31" s="10">
        <f t="shared" si="4"/>
        <v>0.20127679652768324</v>
      </c>
      <c r="P31" s="8">
        <f t="shared" si="5"/>
        <v>2.2268069126956242E-2</v>
      </c>
    </row>
    <row r="32" spans="1:16" x14ac:dyDescent="0.2">
      <c r="A32" s="8">
        <v>15</v>
      </c>
      <c r="B32" s="8">
        <v>30</v>
      </c>
      <c r="D32">
        <v>1569.5324232082</v>
      </c>
      <c r="E32">
        <v>405.16894197952001</v>
      </c>
      <c r="F32">
        <v>127.64833906071</v>
      </c>
      <c r="G32">
        <v>112.31672394044</v>
      </c>
      <c r="I32" s="9">
        <f t="shared" si="1"/>
        <v>292.85221803908001</v>
      </c>
      <c r="J32" s="9">
        <f t="shared" si="2"/>
        <v>1441.8840841474901</v>
      </c>
      <c r="K32" s="9">
        <f t="shared" si="3"/>
        <v>292.85221803908001</v>
      </c>
      <c r="L32" s="10">
        <f t="shared" si="0"/>
        <v>0.20310385644642723</v>
      </c>
      <c r="M32" s="10">
        <f t="shared" si="4"/>
        <v>0.20331661031111697</v>
      </c>
      <c r="P32" s="8">
        <f t="shared" si="5"/>
        <v>1.0359308687018081</v>
      </c>
    </row>
    <row r="33" spans="1:16" x14ac:dyDescent="0.2">
      <c r="A33" s="8">
        <v>15.5</v>
      </c>
      <c r="B33" s="8">
        <v>31</v>
      </c>
      <c r="D33">
        <v>1632.2474402729999</v>
      </c>
      <c r="E33">
        <v>414.32480091013002</v>
      </c>
      <c r="F33">
        <v>127.74054982817999</v>
      </c>
      <c r="G33">
        <v>112.77949599084</v>
      </c>
      <c r="I33" s="9">
        <f t="shared" si="1"/>
        <v>301.54530491929</v>
      </c>
      <c r="J33" s="9">
        <f t="shared" si="2"/>
        <v>1504.5068904448199</v>
      </c>
      <c r="K33" s="9">
        <f t="shared" si="3"/>
        <v>301.54530491929</v>
      </c>
      <c r="L33" s="10">
        <f t="shared" si="0"/>
        <v>0.20042799859170843</v>
      </c>
      <c r="M33" s="10">
        <f t="shared" si="4"/>
        <v>0.20064784425188781</v>
      </c>
      <c r="P33" s="8">
        <f t="shared" si="5"/>
        <v>-0.29028277735695812</v>
      </c>
    </row>
    <row r="34" spans="1:16" x14ac:dyDescent="0.2">
      <c r="A34" s="8">
        <v>16</v>
      </c>
      <c r="B34" s="8">
        <v>32</v>
      </c>
      <c r="D34">
        <v>1648.7400455063</v>
      </c>
      <c r="E34">
        <v>416.98065984073003</v>
      </c>
      <c r="F34">
        <v>128.42268041237</v>
      </c>
      <c r="G34">
        <v>112.46162657503</v>
      </c>
      <c r="I34" s="9">
        <f t="shared" si="1"/>
        <v>304.51903326570005</v>
      </c>
      <c r="J34" s="9">
        <f t="shared" si="2"/>
        <v>1520.31736509393</v>
      </c>
      <c r="K34" s="9">
        <f t="shared" si="3"/>
        <v>304.51903326570005</v>
      </c>
      <c r="L34" s="10">
        <f t="shared" si="0"/>
        <v>0.20029964812438086</v>
      </c>
      <c r="M34" s="10">
        <f t="shared" si="4"/>
        <v>0.2005265855800499</v>
      </c>
      <c r="P34" s="8">
        <f t="shared" si="5"/>
        <v>-0.35054092727544106</v>
      </c>
    </row>
    <row r="35" spans="1:16" x14ac:dyDescent="0.2">
      <c r="A35" s="8">
        <v>16.5</v>
      </c>
      <c r="B35" s="8">
        <v>33</v>
      </c>
      <c r="D35">
        <v>1650.4596131968001</v>
      </c>
      <c r="E35">
        <v>415.86006825939</v>
      </c>
      <c r="F35">
        <v>128.36368843069999</v>
      </c>
      <c r="G35">
        <v>112.70561282932</v>
      </c>
      <c r="I35" s="9">
        <f t="shared" si="1"/>
        <v>303.15445543007002</v>
      </c>
      <c r="J35" s="9">
        <f t="shared" si="2"/>
        <v>1522.0959247661001</v>
      </c>
      <c r="K35" s="9">
        <f t="shared" si="3"/>
        <v>303.15445543007002</v>
      </c>
      <c r="L35" s="10">
        <f t="shared" si="0"/>
        <v>0.19916908684756884</v>
      </c>
      <c r="M35" s="10">
        <f t="shared" si="4"/>
        <v>0.19940311609872755</v>
      </c>
      <c r="P35" s="8">
        <f t="shared" si="5"/>
        <v>-0.90883660550009204</v>
      </c>
    </row>
    <row r="36" spans="1:16" x14ac:dyDescent="0.2">
      <c r="A36" s="8">
        <v>17</v>
      </c>
      <c r="B36" s="8">
        <v>34</v>
      </c>
      <c r="D36">
        <v>1567.9659090908999</v>
      </c>
      <c r="E36">
        <v>402.21931818181997</v>
      </c>
      <c r="F36">
        <v>128.20618556701001</v>
      </c>
      <c r="G36">
        <v>112.58591065292001</v>
      </c>
      <c r="I36" s="9">
        <f t="shared" si="1"/>
        <v>289.63340752889997</v>
      </c>
      <c r="J36" s="9">
        <f t="shared" si="2"/>
        <v>1439.75972352389</v>
      </c>
      <c r="K36" s="9">
        <f t="shared" si="3"/>
        <v>289.63340752889997</v>
      </c>
      <c r="L36" s="10">
        <f t="shared" si="0"/>
        <v>0.20116787738721187</v>
      </c>
      <c r="M36" s="10">
        <f t="shared" si="4"/>
        <v>0.20140899843386023</v>
      </c>
      <c r="P36" s="8">
        <f t="shared" si="5"/>
        <v>8.7964337782871979E-2</v>
      </c>
    </row>
    <row r="37" spans="1:16" x14ac:dyDescent="0.2">
      <c r="A37" s="8">
        <v>17.5</v>
      </c>
      <c r="B37" s="8">
        <v>35</v>
      </c>
      <c r="D37">
        <v>1519.0982954546</v>
      </c>
      <c r="E37">
        <v>395.41704545455002</v>
      </c>
      <c r="F37">
        <v>128.29667812142</v>
      </c>
      <c r="G37">
        <v>112.56013745705</v>
      </c>
      <c r="I37" s="9">
        <f t="shared" si="1"/>
        <v>282.8569079975</v>
      </c>
      <c r="J37" s="9">
        <f t="shared" si="2"/>
        <v>1390.80161733318</v>
      </c>
      <c r="K37" s="9">
        <f t="shared" si="3"/>
        <v>282.8569079975</v>
      </c>
      <c r="L37" s="10">
        <f t="shared" si="0"/>
        <v>0.20337689032880876</v>
      </c>
      <c r="M37" s="10">
        <f t="shared" si="4"/>
        <v>0.20362510317094679</v>
      </c>
      <c r="P37" s="8">
        <f t="shared" si="5"/>
        <v>1.1892329683756031</v>
      </c>
    </row>
    <row r="38" spans="1:16" x14ac:dyDescent="0.2">
      <c r="A38" s="8">
        <v>18</v>
      </c>
      <c r="B38" s="8">
        <v>36</v>
      </c>
      <c r="D38">
        <v>1503.41875</v>
      </c>
      <c r="E38">
        <v>391.61363636364001</v>
      </c>
      <c r="F38">
        <v>128.20504009164</v>
      </c>
      <c r="G38">
        <v>112.50801832761</v>
      </c>
      <c r="I38" s="9">
        <f t="shared" si="1"/>
        <v>279.10561803603002</v>
      </c>
      <c r="J38" s="9">
        <f t="shared" si="2"/>
        <v>1375.21370990836</v>
      </c>
      <c r="K38" s="9">
        <f t="shared" si="3"/>
        <v>279.10561803603002</v>
      </c>
      <c r="L38" s="10">
        <f t="shared" si="0"/>
        <v>0.20295435976611137</v>
      </c>
      <c r="M38" s="10">
        <f t="shared" si="4"/>
        <v>0.20320966440373905</v>
      </c>
      <c r="P38" s="8">
        <f t="shared" si="5"/>
        <v>0.98278528808253851</v>
      </c>
    </row>
    <row r="39" spans="1:16" x14ac:dyDescent="0.2">
      <c r="A39" s="8">
        <v>18.5</v>
      </c>
      <c r="B39" s="8">
        <v>37</v>
      </c>
      <c r="D39">
        <v>1588.0249716231999</v>
      </c>
      <c r="E39">
        <v>408.45175936435999</v>
      </c>
      <c r="F39">
        <v>128.05040091638</v>
      </c>
      <c r="G39">
        <v>112.74914089347</v>
      </c>
      <c r="I39" s="9">
        <f t="shared" si="1"/>
        <v>295.70261847089</v>
      </c>
      <c r="J39" s="9">
        <f t="shared" si="2"/>
        <v>1459.97457070682</v>
      </c>
      <c r="K39" s="9">
        <f t="shared" si="3"/>
        <v>295.70261847089</v>
      </c>
      <c r="L39" s="10">
        <f t="shared" si="0"/>
        <v>0.20253956774584847</v>
      </c>
      <c r="M39" s="10">
        <f t="shared" si="4"/>
        <v>0.20280196417896582</v>
      </c>
      <c r="P39" s="8">
        <f t="shared" si="5"/>
        <v>0.78018319048554341</v>
      </c>
    </row>
    <row r="40" spans="1:16" x14ac:dyDescent="0.2">
      <c r="A40" s="8">
        <v>19</v>
      </c>
      <c r="B40" s="8">
        <v>38</v>
      </c>
      <c r="D40">
        <v>1631.3732876711999</v>
      </c>
      <c r="E40">
        <v>412.24714611872002</v>
      </c>
      <c r="F40">
        <v>128.38258877434001</v>
      </c>
      <c r="G40">
        <v>112.61741122566001</v>
      </c>
      <c r="I40" s="9">
        <f t="shared" si="1"/>
        <v>299.62973489306</v>
      </c>
      <c r="J40" s="9">
        <f t="shared" si="2"/>
        <v>1502.9906988968598</v>
      </c>
      <c r="K40" s="9">
        <f t="shared" si="3"/>
        <v>299.62973489306</v>
      </c>
      <c r="L40" s="10">
        <f t="shared" si="0"/>
        <v>0.19935568138444054</v>
      </c>
      <c r="M40" s="10">
        <f t="shared" si="4"/>
        <v>0.19962516961304755</v>
      </c>
      <c r="P40" s="8">
        <f t="shared" si="5"/>
        <v>-0.79848957833070688</v>
      </c>
    </row>
    <row r="41" spans="1:16" x14ac:dyDescent="0.2">
      <c r="A41" s="8">
        <v>19.5</v>
      </c>
      <c r="B41" s="8">
        <v>39</v>
      </c>
      <c r="D41">
        <v>1652.8242009132</v>
      </c>
      <c r="E41">
        <v>415.73173515982</v>
      </c>
      <c r="F41">
        <v>128.63631156930001</v>
      </c>
      <c r="G41">
        <v>112.86254295533</v>
      </c>
      <c r="I41" s="9">
        <f t="shared" si="1"/>
        <v>302.86919220448999</v>
      </c>
      <c r="J41" s="9">
        <f t="shared" si="2"/>
        <v>1524.1878893439</v>
      </c>
      <c r="K41" s="9">
        <f t="shared" si="3"/>
        <v>302.86919220448999</v>
      </c>
      <c r="L41" s="10">
        <f t="shared" si="0"/>
        <v>0.19870856757355729</v>
      </c>
      <c r="M41" s="10">
        <f t="shared" si="4"/>
        <v>0.19898514759765393</v>
      </c>
      <c r="P41" s="8">
        <f t="shared" si="5"/>
        <v>-1.1165414089352292</v>
      </c>
    </row>
    <row r="42" spans="1:16" x14ac:dyDescent="0.2">
      <c r="A42" s="8">
        <v>20</v>
      </c>
      <c r="B42" s="8">
        <v>40</v>
      </c>
      <c r="D42">
        <v>1628.2134703196</v>
      </c>
      <c r="E42">
        <v>410.44691780822001</v>
      </c>
      <c r="F42">
        <v>128.81156930125999</v>
      </c>
      <c r="G42">
        <v>112.49599083619999</v>
      </c>
      <c r="I42" s="9">
        <f t="shared" si="1"/>
        <v>297.95092697202</v>
      </c>
      <c r="J42" s="9">
        <f t="shared" si="2"/>
        <v>1499.4019010183399</v>
      </c>
      <c r="K42" s="9">
        <f t="shared" si="3"/>
        <v>297.95092697202</v>
      </c>
      <c r="L42" s="10">
        <f t="shared" si="0"/>
        <v>0.19871318475030772</v>
      </c>
      <c r="M42" s="10">
        <f t="shared" si="4"/>
        <v>0.19899685656989402</v>
      </c>
      <c r="P42" s="8">
        <f t="shared" si="5"/>
        <v>-1.1107227652544041</v>
      </c>
    </row>
    <row r="43" spans="1:16" x14ac:dyDescent="0.2">
      <c r="A43" s="8">
        <v>20.5</v>
      </c>
      <c r="B43" s="8">
        <v>41</v>
      </c>
      <c r="D43">
        <v>1624.0730593607</v>
      </c>
      <c r="E43">
        <v>409.54280821918002</v>
      </c>
      <c r="F43">
        <v>129.27835051546</v>
      </c>
      <c r="G43">
        <v>112.7686139748</v>
      </c>
      <c r="I43" s="9">
        <f t="shared" si="1"/>
        <v>296.77419424438</v>
      </c>
      <c r="J43" s="9">
        <f t="shared" si="2"/>
        <v>1494.7947088452399</v>
      </c>
      <c r="K43" s="9">
        <f t="shared" si="3"/>
        <v>296.77419424438</v>
      </c>
      <c r="L43" s="10">
        <f t="shared" si="0"/>
        <v>0.19853842971764615</v>
      </c>
      <c r="M43" s="10">
        <f t="shared" si="4"/>
        <v>0.19882919333272212</v>
      </c>
      <c r="P43" s="8">
        <f t="shared" si="5"/>
        <v>-1.1940411484115974</v>
      </c>
    </row>
    <row r="44" spans="1:16" x14ac:dyDescent="0.2">
      <c r="A44" s="8">
        <v>21</v>
      </c>
      <c r="B44" s="8">
        <v>42</v>
      </c>
      <c r="D44">
        <v>1570.9520547945001</v>
      </c>
      <c r="E44">
        <v>404.11073059361001</v>
      </c>
      <c r="F44">
        <v>128.5824742268</v>
      </c>
      <c r="G44">
        <v>112.76345933562</v>
      </c>
      <c r="I44" s="9">
        <f t="shared" si="1"/>
        <v>291.34727125799003</v>
      </c>
      <c r="J44" s="9">
        <f t="shared" si="2"/>
        <v>1442.3695805677</v>
      </c>
      <c r="K44" s="9">
        <f t="shared" si="3"/>
        <v>291.34727125799003</v>
      </c>
      <c r="L44" s="10">
        <f t="shared" si="0"/>
        <v>0.20199210742042903</v>
      </c>
      <c r="M44" s="10">
        <f t="shared" si="4"/>
        <v>0.20228996283099465</v>
      </c>
      <c r="P44" s="8">
        <f t="shared" si="5"/>
        <v>0.52574980838686436</v>
      </c>
    </row>
    <row r="45" spans="1:16" x14ac:dyDescent="0.2">
      <c r="A45" s="8">
        <v>21.5</v>
      </c>
      <c r="B45" s="8">
        <v>43</v>
      </c>
      <c r="D45">
        <v>1580.7494292237</v>
      </c>
      <c r="E45">
        <v>405.66609589041002</v>
      </c>
      <c r="F45">
        <v>128.42783505155001</v>
      </c>
      <c r="G45">
        <v>112.56529209622001</v>
      </c>
      <c r="I45" s="9">
        <f t="shared" si="1"/>
        <v>293.10080379419003</v>
      </c>
      <c r="J45" s="9">
        <f t="shared" si="2"/>
        <v>1452.3215941721501</v>
      </c>
      <c r="K45" s="9">
        <f t="shared" si="3"/>
        <v>293.10080379419003</v>
      </c>
      <c r="L45" s="10">
        <f t="shared" si="0"/>
        <v>0.20181535891936031</v>
      </c>
      <c r="M45" s="10">
        <f t="shared" si="4"/>
        <v>0.20212030612541559</v>
      </c>
      <c r="P45" s="8">
        <f t="shared" si="5"/>
        <v>0.44144079324999291</v>
      </c>
    </row>
    <row r="46" spans="1:16" x14ac:dyDescent="0.2">
      <c r="A46" s="8">
        <v>22</v>
      </c>
      <c r="B46" s="8">
        <v>44</v>
      </c>
      <c r="D46">
        <v>1646.0284414107</v>
      </c>
      <c r="E46">
        <v>415.07792946529997</v>
      </c>
      <c r="F46">
        <v>128.35738831615001</v>
      </c>
      <c r="G46">
        <v>112.72623138602999</v>
      </c>
      <c r="I46" s="9">
        <f t="shared" si="1"/>
        <v>302.35169807926997</v>
      </c>
      <c r="J46" s="9">
        <f t="shared" si="2"/>
        <v>1517.67105309455</v>
      </c>
      <c r="K46" s="9">
        <f t="shared" si="3"/>
        <v>302.35169807926997</v>
      </c>
      <c r="L46" s="10">
        <f t="shared" si="0"/>
        <v>0.19922083738947985</v>
      </c>
      <c r="M46" s="10">
        <f t="shared" si="4"/>
        <v>0.19953287639102479</v>
      </c>
      <c r="P46" s="8">
        <f t="shared" si="5"/>
        <v>-0.84435366973805281</v>
      </c>
    </row>
    <row r="47" spans="1:16" x14ac:dyDescent="0.2">
      <c r="A47" s="8">
        <v>22.5</v>
      </c>
      <c r="B47" s="8">
        <v>45</v>
      </c>
      <c r="D47">
        <v>1662.4590443686</v>
      </c>
      <c r="E47">
        <v>418.71956769055998</v>
      </c>
      <c r="F47">
        <v>128.56013745704999</v>
      </c>
      <c r="G47">
        <v>112.85108820160001</v>
      </c>
      <c r="I47" s="9">
        <f t="shared" si="1"/>
        <v>305.86847948895996</v>
      </c>
      <c r="J47" s="9">
        <f t="shared" si="2"/>
        <v>1533.8989069115501</v>
      </c>
      <c r="K47" s="9">
        <f t="shared" si="3"/>
        <v>305.86847948895996</v>
      </c>
      <c r="L47" s="10">
        <f t="shared" si="0"/>
        <v>0.19940589181643989</v>
      </c>
      <c r="M47" s="10">
        <f t="shared" si="4"/>
        <v>0.1997250226134745</v>
      </c>
      <c r="P47" s="8">
        <f t="shared" si="5"/>
        <v>-0.74886873902627626</v>
      </c>
    </row>
    <row r="48" spans="1:16" x14ac:dyDescent="0.2">
      <c r="A48" s="8">
        <v>23</v>
      </c>
      <c r="B48" s="8">
        <v>46</v>
      </c>
      <c r="D48">
        <v>1695.0278725825001</v>
      </c>
      <c r="E48">
        <v>423.72866894198</v>
      </c>
      <c r="F48">
        <v>128.87514318442001</v>
      </c>
      <c r="G48">
        <v>112.88946162658</v>
      </c>
      <c r="I48" s="9">
        <f t="shared" si="1"/>
        <v>310.83920731540002</v>
      </c>
      <c r="J48" s="9">
        <f t="shared" si="2"/>
        <v>1566.1527293980801</v>
      </c>
      <c r="K48" s="9">
        <f t="shared" si="3"/>
        <v>310.83920731540002</v>
      </c>
      <c r="L48" s="10">
        <f t="shared" si="0"/>
        <v>0.1984731127946027</v>
      </c>
      <c r="M48" s="10">
        <f t="shared" si="4"/>
        <v>0.19879933538712696</v>
      </c>
      <c r="P48" s="8">
        <f t="shared" si="5"/>
        <v>-1.2088787227859539</v>
      </c>
    </row>
    <row r="49" spans="1:25" x14ac:dyDescent="0.2">
      <c r="A49" s="8">
        <v>23.5</v>
      </c>
      <c r="B49" s="8">
        <v>47</v>
      </c>
      <c r="D49">
        <v>1715.7064846415999</v>
      </c>
      <c r="E49">
        <v>427.55631399317002</v>
      </c>
      <c r="F49">
        <v>128.83390607102001</v>
      </c>
      <c r="G49">
        <v>113.08361970218</v>
      </c>
      <c r="I49" s="9">
        <f t="shared" si="1"/>
        <v>314.47269429099003</v>
      </c>
      <c r="J49" s="9">
        <f t="shared" si="2"/>
        <v>1586.8725785705799</v>
      </c>
      <c r="K49" s="9">
        <f t="shared" si="3"/>
        <v>314.47269429099003</v>
      </c>
      <c r="L49" s="10">
        <f t="shared" si="0"/>
        <v>0.19817135826637081</v>
      </c>
      <c r="M49" s="10">
        <f t="shared" si="4"/>
        <v>0.19850467265438473</v>
      </c>
      <c r="P49" s="8">
        <f t="shared" si="5"/>
        <v>-1.3553080944411764</v>
      </c>
    </row>
    <row r="50" spans="1:25" x14ac:dyDescent="0.2">
      <c r="A50" s="8">
        <v>24</v>
      </c>
      <c r="B50" s="8">
        <v>48</v>
      </c>
      <c r="D50">
        <v>1658.1951080773999</v>
      </c>
      <c r="E50">
        <v>417.19795221842998</v>
      </c>
      <c r="F50">
        <v>128.82703321879001</v>
      </c>
      <c r="G50">
        <v>112.88487972509</v>
      </c>
      <c r="I50" s="9">
        <f t="shared" si="1"/>
        <v>304.31307249333997</v>
      </c>
      <c r="J50" s="9">
        <f t="shared" si="2"/>
        <v>1529.3680748586098</v>
      </c>
      <c r="K50" s="9">
        <f t="shared" si="3"/>
        <v>304.31307249333997</v>
      </c>
      <c r="L50" s="10">
        <f t="shared" si="0"/>
        <v>0.19897961615386389</v>
      </c>
      <c r="M50" s="10">
        <f t="shared" si="4"/>
        <v>0.19932002233736745</v>
      </c>
      <c r="P50" s="8">
        <f t="shared" si="5"/>
        <v>-0.95012912712708497</v>
      </c>
    </row>
    <row r="51" spans="1:25" x14ac:dyDescent="0.2">
      <c r="A51" s="8">
        <v>24.5</v>
      </c>
      <c r="B51" s="8">
        <v>49</v>
      </c>
      <c r="D51">
        <v>1619.6638225255999</v>
      </c>
      <c r="E51">
        <v>413.21729237770001</v>
      </c>
      <c r="F51">
        <v>128.39117983963001</v>
      </c>
      <c r="G51">
        <v>112.82302405498</v>
      </c>
      <c r="I51" s="9">
        <f t="shared" si="1"/>
        <v>300.39426832272</v>
      </c>
      <c r="J51" s="9">
        <f t="shared" si="2"/>
        <v>1491.2726426859699</v>
      </c>
      <c r="K51" s="9">
        <f t="shared" si="3"/>
        <v>300.39426832272</v>
      </c>
      <c r="L51" s="10">
        <f t="shared" si="0"/>
        <v>0.20143484143963913</v>
      </c>
      <c r="M51" s="10">
        <f t="shared" si="4"/>
        <v>0.20178233941863236</v>
      </c>
      <c r="P51" s="8">
        <f t="shared" si="5"/>
        <v>0.27349199275493086</v>
      </c>
    </row>
    <row r="52" spans="1:25" x14ac:dyDescent="0.2">
      <c r="A52" s="8">
        <v>25</v>
      </c>
      <c r="B52" s="8">
        <v>50</v>
      </c>
      <c r="D52">
        <v>1645.1177142857</v>
      </c>
      <c r="E52">
        <v>413.68628571429002</v>
      </c>
      <c r="F52">
        <v>128.81615120275001</v>
      </c>
      <c r="G52">
        <v>112.89518900344</v>
      </c>
      <c r="I52" s="9">
        <f t="shared" si="1"/>
        <v>300.79109671085001</v>
      </c>
      <c r="J52" s="9">
        <f t="shared" si="2"/>
        <v>1516.30156308295</v>
      </c>
      <c r="K52" s="9">
        <f t="shared" si="3"/>
        <v>300.79109671085001</v>
      </c>
      <c r="L52" s="10">
        <f t="shared" si="0"/>
        <v>0.19837155354458677</v>
      </c>
      <c r="M52" s="10">
        <f t="shared" si="4"/>
        <v>0.19872614331906965</v>
      </c>
      <c r="P52" s="8">
        <f t="shared" si="5"/>
        <v>-1.2452507079231234</v>
      </c>
    </row>
    <row r="53" spans="1:25" x14ac:dyDescent="0.2">
      <c r="A53" s="8">
        <v>25.5</v>
      </c>
      <c r="B53" s="8">
        <v>51</v>
      </c>
      <c r="D53">
        <v>1636.8465909091001</v>
      </c>
      <c r="E53">
        <v>414.00397727273003</v>
      </c>
      <c r="F53">
        <v>129.15693012599999</v>
      </c>
      <c r="G53">
        <v>112.65693012600001</v>
      </c>
      <c r="I53" s="9">
        <f t="shared" si="1"/>
        <v>301.34704714673001</v>
      </c>
      <c r="J53" s="9">
        <f t="shared" si="2"/>
        <v>1507.6896607831002</v>
      </c>
      <c r="K53" s="9">
        <f t="shared" si="3"/>
        <v>301.34704714673001</v>
      </c>
      <c r="L53" s="10">
        <f t="shared" si="0"/>
        <v>0.19987339237320836</v>
      </c>
      <c r="M53" s="10">
        <f t="shared" si="4"/>
        <v>0.20023507394318091</v>
      </c>
      <c r="P53" s="8">
        <f t="shared" si="5"/>
        <v>-0.49540439684169302</v>
      </c>
      <c r="S53" s="11"/>
      <c r="U53" s="12"/>
    </row>
    <row r="54" spans="1:25" x14ac:dyDescent="0.2">
      <c r="A54" s="8">
        <v>26</v>
      </c>
      <c r="B54" s="8">
        <v>52</v>
      </c>
      <c r="D54">
        <v>1578.8954545454999</v>
      </c>
      <c r="E54">
        <v>405.85852272726999</v>
      </c>
      <c r="F54">
        <v>128.73883161512001</v>
      </c>
      <c r="G54">
        <v>113.07961053837001</v>
      </c>
      <c r="I54" s="9">
        <f t="shared" si="1"/>
        <v>292.77891218889999</v>
      </c>
      <c r="J54" s="9">
        <f t="shared" si="2"/>
        <v>1450.1566229303799</v>
      </c>
      <c r="K54" s="9">
        <f t="shared" si="3"/>
        <v>292.77891218889999</v>
      </c>
      <c r="L54" s="10">
        <f t="shared" si="0"/>
        <v>0.2018946833461836</v>
      </c>
      <c r="M54" s="10">
        <f t="shared" si="4"/>
        <v>0.20226345671164581</v>
      </c>
      <c r="P54" s="8">
        <f t="shared" si="5"/>
        <v>0.51257788683048222</v>
      </c>
      <c r="S54" s="11"/>
    </row>
    <row r="55" spans="1:25" x14ac:dyDescent="0.2">
      <c r="A55" s="8">
        <v>26.5</v>
      </c>
      <c r="B55" s="8">
        <v>53</v>
      </c>
      <c r="D55">
        <v>1611.8833902162</v>
      </c>
      <c r="E55">
        <v>415.72298065984</v>
      </c>
      <c r="F55">
        <v>128.98739977091</v>
      </c>
      <c r="G55">
        <v>113.06586483391</v>
      </c>
      <c r="I55" s="9">
        <f t="shared" si="1"/>
        <v>302.65711582593002</v>
      </c>
      <c r="J55" s="9">
        <f t="shared" si="2"/>
        <v>1482.89599044529</v>
      </c>
      <c r="K55" s="9">
        <f t="shared" si="3"/>
        <v>302.65711582593002</v>
      </c>
      <c r="L55" s="10">
        <f t="shared" si="0"/>
        <v>0.20409868107812937</v>
      </c>
      <c r="M55" s="10">
        <f t="shared" si="4"/>
        <v>0.20447454623908123</v>
      </c>
      <c r="P55" s="8">
        <f t="shared" si="5"/>
        <v>1.6113542647005856</v>
      </c>
      <c r="S55" s="11"/>
    </row>
    <row r="56" spans="1:25" x14ac:dyDescent="0.2">
      <c r="A56" s="8">
        <v>27</v>
      </c>
      <c r="B56" s="8">
        <v>54</v>
      </c>
      <c r="D56">
        <v>1639.4407260352</v>
      </c>
      <c r="E56">
        <v>420.14520703347</v>
      </c>
      <c r="F56">
        <v>129.08991981672</v>
      </c>
      <c r="G56">
        <v>112.87113402062</v>
      </c>
      <c r="I56" s="9">
        <f t="shared" si="1"/>
        <v>307.27407301285001</v>
      </c>
      <c r="J56" s="9">
        <f t="shared" si="2"/>
        <v>1510.3508062184801</v>
      </c>
      <c r="K56" s="9">
        <f t="shared" si="3"/>
        <v>307.27407301285001</v>
      </c>
      <c r="L56" s="10">
        <f t="shared" si="0"/>
        <v>0.20344549871972009</v>
      </c>
      <c r="M56" s="10">
        <f t="shared" si="4"/>
        <v>0.20382845567616162</v>
      </c>
      <c r="P56" s="8">
        <f t="shared" si="5"/>
        <v>1.2902867368179531</v>
      </c>
      <c r="S56" s="11"/>
    </row>
    <row r="57" spans="1:25" x14ac:dyDescent="0.2">
      <c r="A57" s="8">
        <v>27.5</v>
      </c>
      <c r="B57" s="8">
        <v>55</v>
      </c>
      <c r="D57">
        <v>1618.6193987521001</v>
      </c>
      <c r="E57">
        <v>414.32955190016997</v>
      </c>
      <c r="F57">
        <v>129.01030927835001</v>
      </c>
      <c r="G57">
        <v>112.89633447881</v>
      </c>
      <c r="I57" s="9">
        <f t="shared" si="1"/>
        <v>301.43321742135998</v>
      </c>
      <c r="J57" s="9">
        <f t="shared" si="2"/>
        <v>1489.6090894737501</v>
      </c>
      <c r="K57" s="9">
        <f t="shared" si="3"/>
        <v>301.43321742135998</v>
      </c>
      <c r="L57" s="10">
        <f t="shared" si="0"/>
        <v>0.20235726241966639</v>
      </c>
      <c r="M57" s="10">
        <f t="shared" si="4"/>
        <v>0.20274731117159758</v>
      </c>
      <c r="P57" s="8">
        <f t="shared" si="5"/>
        <v>0.75302398560910111</v>
      </c>
      <c r="S57" s="11"/>
    </row>
    <row r="58" spans="1:25" x14ac:dyDescent="0.2">
      <c r="A58" s="8">
        <v>28</v>
      </c>
      <c r="B58" s="8">
        <v>56</v>
      </c>
      <c r="D58">
        <v>1586.8145207033999</v>
      </c>
      <c r="E58">
        <v>409.48837209302002</v>
      </c>
      <c r="F58">
        <v>129.34192439863</v>
      </c>
      <c r="G58">
        <v>112.62428407789</v>
      </c>
      <c r="I58" s="9">
        <f t="shared" si="1"/>
        <v>296.86408801513005</v>
      </c>
      <c r="J58" s="9">
        <f t="shared" si="2"/>
        <v>1457.4725963047699</v>
      </c>
      <c r="K58" s="9">
        <f t="shared" si="3"/>
        <v>296.86408801513005</v>
      </c>
      <c r="L58" s="10">
        <f t="shared" si="0"/>
        <v>0.20368416446922563</v>
      </c>
      <c r="M58" s="10">
        <f t="shared" si="4"/>
        <v>0.20408130501664648</v>
      </c>
      <c r="P58" s="8">
        <f t="shared" si="5"/>
        <v>1.415937407691982</v>
      </c>
      <c r="S58" s="11"/>
    </row>
    <row r="59" spans="1:25" x14ac:dyDescent="0.2">
      <c r="A59" s="8">
        <v>28.5</v>
      </c>
      <c r="B59" s="8">
        <v>57</v>
      </c>
      <c r="D59">
        <v>1565.7923993193001</v>
      </c>
      <c r="E59">
        <v>406.25014180374001</v>
      </c>
      <c r="F59">
        <v>129.42153493699999</v>
      </c>
      <c r="G59">
        <v>112.98682703322</v>
      </c>
      <c r="I59" s="9">
        <f t="shared" si="1"/>
        <v>293.26331477052003</v>
      </c>
      <c r="J59" s="9">
        <f t="shared" si="2"/>
        <v>1436.3708643823002</v>
      </c>
      <c r="K59" s="9">
        <f t="shared" si="3"/>
        <v>293.26331477052003</v>
      </c>
      <c r="L59" s="10">
        <f t="shared" si="0"/>
        <v>0.20416963476673941</v>
      </c>
      <c r="M59" s="10">
        <f t="shared" si="4"/>
        <v>0.20457386710964989</v>
      </c>
      <c r="P59" s="8">
        <f t="shared" si="5"/>
        <v>1.6607106679833215</v>
      </c>
      <c r="R59" s="1"/>
      <c r="S59" s="11"/>
    </row>
    <row r="60" spans="1:25" x14ac:dyDescent="0.2">
      <c r="A60" s="8">
        <v>29</v>
      </c>
      <c r="B60" s="8">
        <v>58</v>
      </c>
      <c r="D60">
        <v>1565.8338060125</v>
      </c>
      <c r="E60">
        <v>403.95462280203998</v>
      </c>
      <c r="F60">
        <v>129.02119129439001</v>
      </c>
      <c r="G60">
        <v>113.14490263459</v>
      </c>
      <c r="I60" s="9">
        <f t="shared" si="1"/>
        <v>290.80972016745</v>
      </c>
      <c r="J60" s="9">
        <f t="shared" si="2"/>
        <v>1436.8126147181099</v>
      </c>
      <c r="K60" s="9">
        <f t="shared" si="3"/>
        <v>290.80972016745</v>
      </c>
      <c r="L60" s="10">
        <f t="shared" si="0"/>
        <v>0.20239919749347712</v>
      </c>
      <c r="M60" s="10">
        <f t="shared" si="4"/>
        <v>0.20281052163187727</v>
      </c>
      <c r="P60" s="8">
        <f t="shared" si="5"/>
        <v>0.78443572164593645</v>
      </c>
      <c r="S60" s="11"/>
    </row>
    <row r="61" spans="1:25" x14ac:dyDescent="0.2">
      <c r="A61" s="8">
        <v>29.5</v>
      </c>
      <c r="B61" s="8">
        <v>59</v>
      </c>
      <c r="C61" s="2"/>
      <c r="D61">
        <v>1582.6857469949</v>
      </c>
      <c r="E61">
        <v>405.47624499141</v>
      </c>
      <c r="F61">
        <v>129.08361970217999</v>
      </c>
      <c r="G61">
        <v>113.17583046964999</v>
      </c>
      <c r="I61" s="9">
        <f t="shared" si="1"/>
        <v>292.30041452175999</v>
      </c>
      <c r="J61" s="9">
        <f t="shared" si="2"/>
        <v>1453.6021272927201</v>
      </c>
      <c r="K61" s="9">
        <f t="shared" si="3"/>
        <v>292.30041452175999</v>
      </c>
      <c r="L61" s="10">
        <f t="shared" si="0"/>
        <v>0.20108694740710006</v>
      </c>
      <c r="M61" s="10">
        <f t="shared" si="4"/>
        <v>0.20150536334098987</v>
      </c>
      <c r="P61" s="8">
        <f t="shared" si="5"/>
        <v>0.13585180787210993</v>
      </c>
      <c r="S61" s="11"/>
    </row>
    <row r="62" spans="1:25" x14ac:dyDescent="0.2">
      <c r="A62" s="8">
        <v>30</v>
      </c>
      <c r="B62" s="8">
        <v>60</v>
      </c>
      <c r="D62">
        <v>1584.6674298798</v>
      </c>
      <c r="E62">
        <v>403.56439610760998</v>
      </c>
      <c r="F62">
        <v>129.05899198167</v>
      </c>
      <c r="G62">
        <v>113.23825887743</v>
      </c>
      <c r="I62" s="9">
        <f t="shared" si="1"/>
        <v>290.32613723018</v>
      </c>
      <c r="J62" s="9">
        <f t="shared" si="2"/>
        <v>1455.60843789813</v>
      </c>
      <c r="K62" s="9">
        <f t="shared" si="3"/>
        <v>290.32613723018</v>
      </c>
      <c r="L62" s="10">
        <f t="shared" si="0"/>
        <v>0.1994534585478257</v>
      </c>
      <c r="M62" s="10">
        <f t="shared" si="4"/>
        <v>0.19987896627720517</v>
      </c>
      <c r="P62" s="8">
        <f t="shared" si="5"/>
        <v>-0.67236814548123269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1579.3016599886</v>
      </c>
      <c r="E63">
        <v>401.45277618774998</v>
      </c>
      <c r="F63">
        <v>129.28980526919</v>
      </c>
      <c r="G63">
        <v>113.02233676976</v>
      </c>
      <c r="I63" s="9">
        <f t="shared" si="1"/>
        <v>288.43043941798999</v>
      </c>
      <c r="J63" s="9">
        <f t="shared" si="2"/>
        <v>1450.0118547194099</v>
      </c>
      <c r="K63" s="9">
        <f t="shared" si="3"/>
        <v>288.43043941798999</v>
      </c>
      <c r="L63" s="10">
        <f t="shared" si="0"/>
        <v>0.19891591815558213</v>
      </c>
      <c r="M63" s="10">
        <f t="shared" si="4"/>
        <v>0.19934851768045125</v>
      </c>
      <c r="P63" s="8">
        <f t="shared" si="5"/>
        <v>-0.93596868293371938</v>
      </c>
    </row>
    <row r="64" spans="1:25" x14ac:dyDescent="0.2">
      <c r="A64" s="8">
        <v>31</v>
      </c>
      <c r="B64" s="8">
        <v>62</v>
      </c>
      <c r="D64">
        <v>1574.7447052089001</v>
      </c>
      <c r="E64">
        <v>400.37492844876999</v>
      </c>
      <c r="F64">
        <v>129.49885452462999</v>
      </c>
      <c r="G64">
        <v>112.9381443299</v>
      </c>
      <c r="I64" s="9">
        <f t="shared" si="1"/>
        <v>287.43678411886998</v>
      </c>
      <c r="J64" s="9">
        <f t="shared" si="2"/>
        <v>1445.2458506842702</v>
      </c>
      <c r="K64" s="9">
        <f t="shared" si="3"/>
        <v>287.43678411886998</v>
      </c>
      <c r="L64" s="10">
        <f t="shared" si="0"/>
        <v>0.19888435174041796</v>
      </c>
      <c r="M64" s="10">
        <f t="shared" si="4"/>
        <v>0.19932404306077675</v>
      </c>
      <c r="P64" s="8">
        <f t="shared" si="5"/>
        <v>-0.94813107329467861</v>
      </c>
      <c r="U64" s="8">
        <v>30.5</v>
      </c>
      <c r="V64" s="10">
        <f>L62</f>
        <v>0.1994534585478257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1572.0801373784</v>
      </c>
      <c r="E65">
        <v>401.18488838008</v>
      </c>
      <c r="F65">
        <v>129.3596792669</v>
      </c>
      <c r="G65">
        <v>112.97079037800999</v>
      </c>
      <c r="I65" s="9">
        <f t="shared" si="1"/>
        <v>288.21409800206999</v>
      </c>
      <c r="J65" s="9">
        <f t="shared" si="2"/>
        <v>1442.7204581115</v>
      </c>
      <c r="K65" s="9">
        <f t="shared" si="3"/>
        <v>288.21409800206999</v>
      </c>
      <c r="L65" s="10">
        <f t="shared" si="0"/>
        <v>0.1997712698822737</v>
      </c>
      <c r="M65" s="10">
        <f t="shared" si="4"/>
        <v>0.20021805299812215</v>
      </c>
      <c r="P65" s="8">
        <f t="shared" si="5"/>
        <v>-0.50386276640454031</v>
      </c>
      <c r="U65" s="8">
        <v>31</v>
      </c>
      <c r="V65" s="10">
        <f t="shared" ref="V65:V83" si="6">L63</f>
        <v>0.19891591815558213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1580.0206067544</v>
      </c>
      <c r="E66">
        <v>400.47738981111002</v>
      </c>
      <c r="F66">
        <v>129.59163802978</v>
      </c>
      <c r="G66">
        <v>113.22222222222</v>
      </c>
      <c r="I66" s="9">
        <f t="shared" si="1"/>
        <v>287.25516758889</v>
      </c>
      <c r="J66" s="9">
        <f t="shared" si="2"/>
        <v>1450.4289687246201</v>
      </c>
      <c r="K66" s="9">
        <f t="shared" si="3"/>
        <v>287.25516758889</v>
      </c>
      <c r="L66" s="10">
        <f t="shared" ref="L66:L129" si="7">K66/J66</f>
        <v>0.19804842138631373</v>
      </c>
      <c r="M66" s="10">
        <f t="shared" si="4"/>
        <v>0.19850229629765184</v>
      </c>
      <c r="P66" s="8">
        <f t="shared" si="5"/>
        <v>-1.3564889985208599</v>
      </c>
      <c r="U66" s="8">
        <v>31.5</v>
      </c>
      <c r="V66" s="10">
        <f t="shared" si="6"/>
        <v>0.19888435174041796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1570.448196909</v>
      </c>
      <c r="E67">
        <v>400.55638236978001</v>
      </c>
      <c r="F67">
        <v>129.03264604811</v>
      </c>
      <c r="G67">
        <v>113.17296678120999</v>
      </c>
      <c r="I67" s="9">
        <f t="shared" ref="I67:I130" si="8">E67-G67</f>
        <v>287.38341558857002</v>
      </c>
      <c r="J67" s="9">
        <f t="shared" ref="J67:J130" si="9">D67-F67</f>
        <v>1441.4155508608901</v>
      </c>
      <c r="K67" s="9">
        <f t="shared" ref="K67:K130" si="10">I67*1</f>
        <v>287.38341558857002</v>
      </c>
      <c r="L67" s="10">
        <f t="shared" si="7"/>
        <v>0.1993758256714584</v>
      </c>
      <c r="M67" s="10">
        <f t="shared" ref="M67:M130" si="11">L67+ABS($N$2)*A67</f>
        <v>0.19983679237828614</v>
      </c>
      <c r="P67" s="8">
        <f t="shared" ref="P67:P130" si="12">(M67-$O$2)/$O$2*100</f>
        <v>-0.69332599604310408</v>
      </c>
      <c r="U67" s="8">
        <v>32</v>
      </c>
      <c r="V67" s="10">
        <f t="shared" si="6"/>
        <v>0.1997712698822737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1566.6462507154999</v>
      </c>
      <c r="E68">
        <v>400.35718374355997</v>
      </c>
      <c r="F68">
        <v>128.98396334479</v>
      </c>
      <c r="G68">
        <v>112.95589919817</v>
      </c>
      <c r="I68" s="9">
        <f t="shared" si="8"/>
        <v>287.40128454538996</v>
      </c>
      <c r="J68" s="9">
        <f t="shared" si="9"/>
        <v>1437.6622873707099</v>
      </c>
      <c r="K68" s="9">
        <f t="shared" si="10"/>
        <v>287.40128454538996</v>
      </c>
      <c r="L68" s="10">
        <f t="shared" si="7"/>
        <v>0.19990875956759502</v>
      </c>
      <c r="M68" s="10">
        <f t="shared" si="11"/>
        <v>0.20037681806991242</v>
      </c>
      <c r="P68" s="8">
        <f t="shared" si="12"/>
        <v>-0.42496622768485343</v>
      </c>
      <c r="U68" s="8">
        <v>32.5</v>
      </c>
      <c r="V68" s="10">
        <f t="shared" si="6"/>
        <v>0.19804842138631373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1567.8981110474999</v>
      </c>
      <c r="E69">
        <v>401.37664567831001</v>
      </c>
      <c r="F69">
        <v>129.61397479953999</v>
      </c>
      <c r="G69">
        <v>113.07961053837001</v>
      </c>
      <c r="I69" s="9">
        <f t="shared" si="8"/>
        <v>288.29703513994002</v>
      </c>
      <c r="J69" s="9">
        <f t="shared" si="9"/>
        <v>1438.2841362479599</v>
      </c>
      <c r="K69" s="9">
        <f t="shared" si="10"/>
        <v>288.29703513994002</v>
      </c>
      <c r="L69" s="10">
        <f t="shared" si="7"/>
        <v>0.20044511920434452</v>
      </c>
      <c r="M69" s="10">
        <f t="shared" si="11"/>
        <v>0.20092026950215158</v>
      </c>
      <c r="P69" s="8">
        <f t="shared" si="12"/>
        <v>-0.15490407558526853</v>
      </c>
      <c r="U69" s="8">
        <v>33</v>
      </c>
      <c r="V69" s="10">
        <f t="shared" si="6"/>
        <v>0.1993758256714584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1564.5718374355999</v>
      </c>
      <c r="E70">
        <v>401.10303377218003</v>
      </c>
      <c r="F70">
        <v>129.63516609393</v>
      </c>
      <c r="G70">
        <v>113.05326460481</v>
      </c>
      <c r="I70" s="9">
        <f t="shared" si="8"/>
        <v>288.04976916737002</v>
      </c>
      <c r="J70" s="9">
        <f t="shared" si="9"/>
        <v>1434.93667134167</v>
      </c>
      <c r="K70" s="9">
        <f t="shared" si="10"/>
        <v>288.04976916737002</v>
      </c>
      <c r="L70" s="10">
        <f t="shared" si="7"/>
        <v>0.20074040542712079</v>
      </c>
      <c r="M70" s="10">
        <f t="shared" si="11"/>
        <v>0.20122264752041752</v>
      </c>
      <c r="P70" s="8">
        <f t="shared" si="12"/>
        <v>-4.6406784974324525E-3</v>
      </c>
      <c r="U70" s="8">
        <v>33.5</v>
      </c>
      <c r="V70" s="10">
        <f t="shared" si="6"/>
        <v>0.19990875956759502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1564.9170005724</v>
      </c>
      <c r="E71">
        <v>401.04178591872</v>
      </c>
      <c r="F71">
        <v>129.30412371134</v>
      </c>
      <c r="G71">
        <v>113.36998854525</v>
      </c>
      <c r="I71" s="9">
        <f t="shared" si="8"/>
        <v>287.67179737346999</v>
      </c>
      <c r="J71" s="9">
        <f t="shared" si="9"/>
        <v>1435.6128768610599</v>
      </c>
      <c r="K71" s="9">
        <f t="shared" si="10"/>
        <v>287.67179737346999</v>
      </c>
      <c r="L71" s="10">
        <f t="shared" si="7"/>
        <v>0.20038256970950194</v>
      </c>
      <c r="M71" s="10">
        <f t="shared" si="11"/>
        <v>0.20087190359828833</v>
      </c>
      <c r="P71" s="8">
        <f t="shared" si="12"/>
        <v>-0.178938974217764</v>
      </c>
      <c r="U71" s="8">
        <v>34</v>
      </c>
      <c r="V71" s="10">
        <f t="shared" si="6"/>
        <v>0.20044511920434452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1567.4613623354001</v>
      </c>
      <c r="E72">
        <v>402.55523755009</v>
      </c>
      <c r="F72">
        <v>129.4461626575</v>
      </c>
      <c r="G72">
        <v>113.28980526919</v>
      </c>
      <c r="I72" s="9">
        <f t="shared" si="8"/>
        <v>289.26543228089997</v>
      </c>
      <c r="J72" s="9">
        <f t="shared" si="9"/>
        <v>1438.0151996779</v>
      </c>
      <c r="K72" s="9">
        <f t="shared" si="10"/>
        <v>289.26543228089997</v>
      </c>
      <c r="L72" s="10">
        <f t="shared" si="7"/>
        <v>0.20115603252711955</v>
      </c>
      <c r="M72" s="10">
        <f t="shared" si="11"/>
        <v>0.2016524582113956</v>
      </c>
      <c r="P72" s="8">
        <f t="shared" si="12"/>
        <v>0.20894896965693716</v>
      </c>
      <c r="U72" s="8">
        <v>34.5</v>
      </c>
      <c r="V72" s="10">
        <f t="shared" si="6"/>
        <v>0.20074040542712079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1560.803663423</v>
      </c>
      <c r="E73">
        <v>401.05037206639997</v>
      </c>
      <c r="F73">
        <v>129.53321878579999</v>
      </c>
      <c r="G73">
        <v>113.13115693013</v>
      </c>
      <c r="I73" s="9">
        <f t="shared" si="8"/>
        <v>287.91921513626994</v>
      </c>
      <c r="J73" s="9">
        <f t="shared" si="9"/>
        <v>1431.2704446371999</v>
      </c>
      <c r="K73" s="9">
        <f t="shared" si="10"/>
        <v>287.91921513626994</v>
      </c>
      <c r="L73" s="10">
        <f t="shared" si="7"/>
        <v>0.20116339033972858</v>
      </c>
      <c r="M73" s="10">
        <f t="shared" si="11"/>
        <v>0.20166690781949428</v>
      </c>
      <c r="P73" s="8">
        <f t="shared" si="12"/>
        <v>0.2161295418822182</v>
      </c>
      <c r="U73" s="8">
        <v>35</v>
      </c>
      <c r="V73" s="10">
        <f t="shared" si="6"/>
        <v>0.20038256970950194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1553.4522037779</v>
      </c>
      <c r="E74">
        <v>398.88437321122001</v>
      </c>
      <c r="F74">
        <v>129.67468499427</v>
      </c>
      <c r="G74">
        <v>113.29095074456001</v>
      </c>
      <c r="I74" s="9">
        <f t="shared" si="8"/>
        <v>285.59342246666</v>
      </c>
      <c r="J74" s="9">
        <f t="shared" si="9"/>
        <v>1423.7775187836301</v>
      </c>
      <c r="K74" s="9">
        <f t="shared" si="10"/>
        <v>285.59342246666</v>
      </c>
      <c r="L74" s="10">
        <f t="shared" si="7"/>
        <v>0.20058851800852273</v>
      </c>
      <c r="M74" s="10">
        <f t="shared" si="11"/>
        <v>0.2010991272837781</v>
      </c>
      <c r="P74" s="8">
        <f t="shared" si="12"/>
        <v>-6.6022687920513898E-2</v>
      </c>
      <c r="U74" s="8">
        <v>35.5</v>
      </c>
      <c r="V74" s="10">
        <f t="shared" si="6"/>
        <v>0.20115603252711955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1556.3898111047999</v>
      </c>
      <c r="E75">
        <v>400.36863194046998</v>
      </c>
      <c r="F75">
        <v>129.53493699885999</v>
      </c>
      <c r="G75">
        <v>113.35853379152</v>
      </c>
      <c r="I75" s="9">
        <f t="shared" si="8"/>
        <v>287.01009814894996</v>
      </c>
      <c r="J75" s="9">
        <f t="shared" si="9"/>
        <v>1426.8548741059399</v>
      </c>
      <c r="K75" s="9">
        <f t="shared" si="10"/>
        <v>287.01009814894996</v>
      </c>
      <c r="L75" s="10">
        <f t="shared" si="7"/>
        <v>0.20114876667382803</v>
      </c>
      <c r="M75" s="10">
        <f t="shared" si="11"/>
        <v>0.20166646774457306</v>
      </c>
      <c r="P75" s="8">
        <f t="shared" si="12"/>
        <v>0.2159108515388663</v>
      </c>
      <c r="U75" s="8">
        <v>36</v>
      </c>
      <c r="V75" s="10">
        <f t="shared" si="6"/>
        <v>0.20116339033972858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1548.4476244990999</v>
      </c>
      <c r="E76">
        <v>398.18431597023999</v>
      </c>
      <c r="F76">
        <v>129.54180985108999</v>
      </c>
      <c r="G76">
        <v>113.30183276060001</v>
      </c>
      <c r="I76" s="9">
        <f t="shared" si="8"/>
        <v>284.88248320963999</v>
      </c>
      <c r="J76" s="9">
        <f t="shared" si="9"/>
        <v>1418.9058146480099</v>
      </c>
      <c r="K76" s="9">
        <f t="shared" si="10"/>
        <v>284.88248320963999</v>
      </c>
      <c r="L76" s="10">
        <f t="shared" si="7"/>
        <v>0.20077617574659895</v>
      </c>
      <c r="M76" s="10">
        <f t="shared" si="11"/>
        <v>0.20130096861283361</v>
      </c>
      <c r="P76" s="8">
        <f t="shared" si="12"/>
        <v>3.4280118316978553E-2</v>
      </c>
      <c r="U76" s="8">
        <v>36.5</v>
      </c>
      <c r="V76" s="10">
        <f t="shared" si="6"/>
        <v>0.20058851800852273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1549.5191757298001</v>
      </c>
      <c r="E77">
        <v>399.29994275901998</v>
      </c>
      <c r="F77">
        <v>129.89232531501</v>
      </c>
      <c r="G77">
        <v>112.99770904926</v>
      </c>
      <c r="I77" s="9">
        <f t="shared" si="8"/>
        <v>286.30223370976</v>
      </c>
      <c r="J77" s="9">
        <f t="shared" si="9"/>
        <v>1419.6268504147902</v>
      </c>
      <c r="K77" s="9">
        <f t="shared" si="10"/>
        <v>286.30223370976</v>
      </c>
      <c r="L77" s="10">
        <f t="shared" si="7"/>
        <v>0.20167428759614367</v>
      </c>
      <c r="M77" s="10">
        <f t="shared" si="11"/>
        <v>0.20220617225786799</v>
      </c>
      <c r="P77" s="8">
        <f t="shared" si="12"/>
        <v>0.48411101389329431</v>
      </c>
      <c r="U77" s="8">
        <v>37</v>
      </c>
      <c r="V77" s="10">
        <f t="shared" si="6"/>
        <v>0.20114876667382803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1547.5357756153001</v>
      </c>
      <c r="E78">
        <v>400.15684029764998</v>
      </c>
      <c r="F78">
        <v>129.60996563574</v>
      </c>
      <c r="G78">
        <v>113.01546391753</v>
      </c>
      <c r="I78" s="9">
        <f t="shared" si="8"/>
        <v>287.14137638011999</v>
      </c>
      <c r="J78" s="9">
        <f t="shared" si="9"/>
        <v>1417.92580997956</v>
      </c>
      <c r="K78" s="9">
        <f t="shared" si="10"/>
        <v>287.14137638011999</v>
      </c>
      <c r="L78" s="10">
        <f t="shared" si="7"/>
        <v>0.20250803981363402</v>
      </c>
      <c r="M78" s="10">
        <f t="shared" si="11"/>
        <v>0.20304701627084801</v>
      </c>
      <c r="P78" s="8">
        <f t="shared" si="12"/>
        <v>0.90195910528538847</v>
      </c>
      <c r="U78" s="8">
        <v>37.5</v>
      </c>
      <c r="V78" s="10">
        <f t="shared" si="6"/>
        <v>0.20077617574659895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1548.3995420721001</v>
      </c>
      <c r="E79">
        <v>401.14710933027999</v>
      </c>
      <c r="F79">
        <v>129.64833906070999</v>
      </c>
      <c r="G79">
        <v>113.01947308133001</v>
      </c>
      <c r="I79" s="9">
        <f t="shared" si="8"/>
        <v>288.12763624895001</v>
      </c>
      <c r="J79" s="9">
        <f t="shared" si="9"/>
        <v>1418.7512030113901</v>
      </c>
      <c r="K79" s="9">
        <f t="shared" si="10"/>
        <v>288.12763624895001</v>
      </c>
      <c r="L79" s="10">
        <f t="shared" si="7"/>
        <v>0.20308538638584461</v>
      </c>
      <c r="M79" s="10">
        <f t="shared" si="11"/>
        <v>0.20363145463854826</v>
      </c>
      <c r="P79" s="8">
        <f t="shared" si="12"/>
        <v>1.1923892596422894</v>
      </c>
      <c r="U79" s="8">
        <v>38</v>
      </c>
      <c r="V79" s="10">
        <f t="shared" si="6"/>
        <v>0.20167428759614367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1548.2415569548</v>
      </c>
      <c r="E80">
        <v>400.96680022895998</v>
      </c>
      <c r="F80">
        <v>129.6116838488</v>
      </c>
      <c r="G80">
        <v>113.24341351661</v>
      </c>
      <c r="I80" s="9">
        <f t="shared" si="8"/>
        <v>287.72338671234996</v>
      </c>
      <c r="J80" s="9">
        <f t="shared" si="9"/>
        <v>1418.6298731060001</v>
      </c>
      <c r="K80" s="9">
        <f t="shared" si="10"/>
        <v>287.72338671234996</v>
      </c>
      <c r="L80" s="10">
        <f t="shared" si="7"/>
        <v>0.20281779776877099</v>
      </c>
      <c r="M80" s="10">
        <f t="shared" si="11"/>
        <v>0.20337095781696429</v>
      </c>
      <c r="P80" s="8">
        <f t="shared" si="12"/>
        <v>1.0629382579912203</v>
      </c>
      <c r="U80" s="8">
        <v>38.5</v>
      </c>
      <c r="V80" s="10">
        <f t="shared" si="6"/>
        <v>0.20250803981363402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1547.7618775042999</v>
      </c>
      <c r="E81">
        <v>402.45964510589999</v>
      </c>
      <c r="F81">
        <v>129.82073310423999</v>
      </c>
      <c r="G81">
        <v>113.28808705613</v>
      </c>
      <c r="I81" s="9">
        <f t="shared" si="8"/>
        <v>289.17155804977</v>
      </c>
      <c r="J81" s="9">
        <f t="shared" si="9"/>
        <v>1417.94114440006</v>
      </c>
      <c r="K81" s="9">
        <f t="shared" si="10"/>
        <v>289.17155804977</v>
      </c>
      <c r="L81" s="10">
        <f t="shared" si="7"/>
        <v>0.20393763111523247</v>
      </c>
      <c r="M81" s="10">
        <f t="shared" si="11"/>
        <v>0.20449788295891544</v>
      </c>
      <c r="P81" s="8">
        <f t="shared" si="12"/>
        <v>1.6229511883767331</v>
      </c>
      <c r="U81" s="8">
        <v>39</v>
      </c>
      <c r="V81" s="10">
        <f t="shared" si="6"/>
        <v>0.20308538638584461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1530.2764739554</v>
      </c>
      <c r="E82">
        <v>400.74642243847001</v>
      </c>
      <c r="F82">
        <v>129.67182130584001</v>
      </c>
      <c r="G82">
        <v>113.20962199313</v>
      </c>
      <c r="H82" s="13"/>
      <c r="I82" s="14">
        <f t="shared" si="8"/>
        <v>287.53680044534002</v>
      </c>
      <c r="J82" s="14">
        <f t="shared" si="9"/>
        <v>1400.60465264956</v>
      </c>
      <c r="K82" s="9">
        <f t="shared" si="10"/>
        <v>287.53680044534002</v>
      </c>
      <c r="L82" s="15">
        <f t="shared" si="7"/>
        <v>0.20529476315918216</v>
      </c>
      <c r="M82" s="15">
        <f t="shared" si="11"/>
        <v>0.20586210679835479</v>
      </c>
      <c r="N82" s="13"/>
      <c r="O82" s="13"/>
      <c r="P82" s="13">
        <f t="shared" si="12"/>
        <v>2.3008870703497388</v>
      </c>
      <c r="U82" s="8">
        <v>39.5</v>
      </c>
      <c r="V82" s="10">
        <f t="shared" si="6"/>
        <v>0.20281779776877099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1538.5678305667</v>
      </c>
      <c r="E83">
        <v>403.23354321694001</v>
      </c>
      <c r="F83">
        <v>129.93298969072001</v>
      </c>
      <c r="G83">
        <v>112.96277205040001</v>
      </c>
      <c r="I83" s="9">
        <f t="shared" si="8"/>
        <v>290.27077116653999</v>
      </c>
      <c r="J83" s="9">
        <f t="shared" si="9"/>
        <v>1408.63484087598</v>
      </c>
      <c r="K83" s="9">
        <f t="shared" si="10"/>
        <v>290.27077116653999</v>
      </c>
      <c r="L83" s="10">
        <f t="shared" si="7"/>
        <v>0.20606530716365848</v>
      </c>
      <c r="M83" s="10">
        <f t="shared" si="11"/>
        <v>0.20663974259832077</v>
      </c>
      <c r="P83" s="8">
        <f t="shared" si="12"/>
        <v>2.6873245424586987</v>
      </c>
      <c r="U83" s="8">
        <v>40</v>
      </c>
      <c r="V83" s="10">
        <f t="shared" si="6"/>
        <v>0.20393763111523247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1555.9135661133</v>
      </c>
      <c r="E84">
        <v>409.27819118488998</v>
      </c>
      <c r="F84">
        <v>129.50973654065999</v>
      </c>
      <c r="G84">
        <v>113.28980526919</v>
      </c>
      <c r="I84" s="9">
        <f t="shared" si="8"/>
        <v>295.98838591569995</v>
      </c>
      <c r="J84" s="9">
        <f t="shared" si="9"/>
        <v>1426.40382957264</v>
      </c>
      <c r="K84" s="9">
        <f t="shared" si="10"/>
        <v>295.98838591569995</v>
      </c>
      <c r="L84" s="10">
        <f t="shared" si="7"/>
        <v>0.20750672409816792</v>
      </c>
      <c r="M84" s="10">
        <f t="shared" si="11"/>
        <v>0.20808825132831987</v>
      </c>
      <c r="P84" s="8">
        <f t="shared" si="12"/>
        <v>3.4071448644823255</v>
      </c>
      <c r="U84" s="8">
        <v>150.5</v>
      </c>
      <c r="V84" s="10">
        <f>L302</f>
        <v>0.20364041691334409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1561.1013165426</v>
      </c>
      <c r="E85">
        <v>409.60503720664002</v>
      </c>
      <c r="F85">
        <v>129.98510882016001</v>
      </c>
      <c r="G85">
        <v>113.25315005727001</v>
      </c>
      <c r="I85" s="9">
        <f t="shared" si="8"/>
        <v>296.35188714936999</v>
      </c>
      <c r="J85" s="9">
        <f t="shared" si="9"/>
        <v>1431.1162077224399</v>
      </c>
      <c r="K85" s="9">
        <f t="shared" si="10"/>
        <v>296.35188714936999</v>
      </c>
      <c r="L85" s="10">
        <f t="shared" si="7"/>
        <v>0.20707744455008398</v>
      </c>
      <c r="M85" s="10">
        <f t="shared" si="11"/>
        <v>0.20766606357572556</v>
      </c>
      <c r="P85" s="8">
        <f t="shared" si="12"/>
        <v>3.1973433508752551</v>
      </c>
      <c r="U85" s="8">
        <v>151</v>
      </c>
      <c r="V85" s="10">
        <f t="shared" ref="V85:V103" si="13">L303</f>
        <v>0.20479481967203975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1544.9152833429</v>
      </c>
      <c r="E86">
        <v>405.97481396680001</v>
      </c>
      <c r="F86">
        <v>129.76746849943001</v>
      </c>
      <c r="G86">
        <v>113.23024054983</v>
      </c>
      <c r="I86" s="9">
        <f t="shared" si="8"/>
        <v>292.74457341697001</v>
      </c>
      <c r="J86" s="9">
        <f t="shared" si="9"/>
        <v>1415.1478148434701</v>
      </c>
      <c r="K86" s="9">
        <f t="shared" si="10"/>
        <v>292.74457341697001</v>
      </c>
      <c r="L86" s="10">
        <f t="shared" si="7"/>
        <v>0.20686501462700599</v>
      </c>
      <c r="M86" s="10">
        <f t="shared" si="11"/>
        <v>0.20746072544813723</v>
      </c>
      <c r="P86" s="8">
        <f t="shared" si="12"/>
        <v>3.0953028494524912</v>
      </c>
      <c r="U86" s="8">
        <v>151.5</v>
      </c>
      <c r="V86" s="10">
        <f t="shared" si="13"/>
        <v>0.20190896862410268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1516.3016599886</v>
      </c>
      <c r="E87">
        <v>404.35603892387002</v>
      </c>
      <c r="F87">
        <v>129.52978235968001</v>
      </c>
      <c r="G87">
        <v>113.25372279496</v>
      </c>
      <c r="I87" s="9">
        <f t="shared" si="8"/>
        <v>291.10231612891005</v>
      </c>
      <c r="J87" s="9">
        <f t="shared" si="9"/>
        <v>1386.77187762892</v>
      </c>
      <c r="K87" s="9">
        <f t="shared" si="10"/>
        <v>291.10231612891005</v>
      </c>
      <c r="L87" s="10">
        <f t="shared" si="7"/>
        <v>0.20991362806306113</v>
      </c>
      <c r="M87" s="10">
        <f t="shared" si="11"/>
        <v>0.21051643067968204</v>
      </c>
      <c r="P87" s="8">
        <f t="shared" si="12"/>
        <v>4.6138016187220572</v>
      </c>
      <c r="U87" s="8">
        <v>152</v>
      </c>
      <c r="V87" s="10">
        <f t="shared" si="13"/>
        <v>0.20136683105418918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1512.3228391528</v>
      </c>
      <c r="E88">
        <v>406.05609616484998</v>
      </c>
      <c r="F88">
        <v>130.01145475371999</v>
      </c>
      <c r="G88">
        <v>113.14604810997</v>
      </c>
      <c r="I88" s="9">
        <f t="shared" si="8"/>
        <v>292.91004805488001</v>
      </c>
      <c r="J88" s="9">
        <f t="shared" si="9"/>
        <v>1382.31138439908</v>
      </c>
      <c r="K88" s="9">
        <f t="shared" si="10"/>
        <v>292.91004805488001</v>
      </c>
      <c r="L88" s="10">
        <f t="shared" si="7"/>
        <v>0.21189874536279987</v>
      </c>
      <c r="M88" s="10">
        <f t="shared" si="11"/>
        <v>0.21250863977491044</v>
      </c>
      <c r="P88" s="8">
        <f t="shared" si="12"/>
        <v>5.6038077973293454</v>
      </c>
      <c r="U88" s="8">
        <v>152.5</v>
      </c>
      <c r="V88" s="10">
        <f t="shared" si="13"/>
        <v>0.20204625261727241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1519.1745850028999</v>
      </c>
      <c r="E89">
        <v>408.86147681739999</v>
      </c>
      <c r="F89">
        <v>129.82932416953</v>
      </c>
      <c r="G89">
        <v>113.50229095074999</v>
      </c>
      <c r="I89" s="9">
        <f t="shared" si="8"/>
        <v>295.35918586665002</v>
      </c>
      <c r="J89" s="9">
        <f t="shared" si="9"/>
        <v>1389.3452608333698</v>
      </c>
      <c r="K89" s="9">
        <f t="shared" si="10"/>
        <v>295.35918586665002</v>
      </c>
      <c r="L89" s="10">
        <f t="shared" si="7"/>
        <v>0.21258875975111108</v>
      </c>
      <c r="M89" s="10">
        <f t="shared" si="11"/>
        <v>0.21320574595871131</v>
      </c>
      <c r="P89" s="8">
        <f t="shared" si="12"/>
        <v>5.9502269712811042</v>
      </c>
      <c r="U89" s="8">
        <v>153</v>
      </c>
      <c r="V89" s="10">
        <f t="shared" si="13"/>
        <v>0.20317831086130339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1513.8946765884</v>
      </c>
      <c r="E90">
        <v>408.96794504866</v>
      </c>
      <c r="F90">
        <v>129.87113402061999</v>
      </c>
      <c r="G90">
        <v>113.31156930125999</v>
      </c>
      <c r="I90" s="9">
        <f t="shared" si="8"/>
        <v>295.65637574740003</v>
      </c>
      <c r="J90" s="9">
        <f t="shared" si="9"/>
        <v>1384.0235425677799</v>
      </c>
      <c r="K90" s="9">
        <f t="shared" si="10"/>
        <v>295.65637574740003</v>
      </c>
      <c r="L90" s="10">
        <f t="shared" si="7"/>
        <v>0.2136209151463338</v>
      </c>
      <c r="M90" s="10">
        <f t="shared" si="11"/>
        <v>0.21424499314942369</v>
      </c>
      <c r="P90" s="8">
        <f t="shared" si="12"/>
        <v>6.4666693178047598</v>
      </c>
      <c r="U90" s="8">
        <v>153.5</v>
      </c>
      <c r="V90" s="10">
        <f t="shared" si="13"/>
        <v>0.20205806881188201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1521.5798511733999</v>
      </c>
      <c r="E91">
        <v>409.04178591872</v>
      </c>
      <c r="F91">
        <v>129.45990836197001</v>
      </c>
      <c r="G91">
        <v>113.22451317297001</v>
      </c>
      <c r="I91" s="9">
        <f t="shared" si="8"/>
        <v>295.81727274574996</v>
      </c>
      <c r="J91" s="9">
        <f t="shared" si="9"/>
        <v>1392.1199428114298</v>
      </c>
      <c r="K91" s="9">
        <f t="shared" si="10"/>
        <v>295.81727274574996</v>
      </c>
      <c r="L91" s="10">
        <f t="shared" si="7"/>
        <v>0.212494098854972</v>
      </c>
      <c r="M91" s="10">
        <f t="shared" si="11"/>
        <v>0.21312526865355155</v>
      </c>
      <c r="P91" s="8">
        <f t="shared" si="12"/>
        <v>5.9102346684968996</v>
      </c>
      <c r="U91" s="8">
        <v>154</v>
      </c>
      <c r="V91" s="10">
        <f t="shared" si="13"/>
        <v>0.20057459093794711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1486.6680022896001</v>
      </c>
      <c r="E92">
        <v>403.17859187177999</v>
      </c>
      <c r="F92">
        <v>129.35567010309001</v>
      </c>
      <c r="G92">
        <v>113.19530355097</v>
      </c>
      <c r="I92" s="9">
        <f t="shared" si="8"/>
        <v>289.98328832081</v>
      </c>
      <c r="J92" s="9">
        <f t="shared" si="9"/>
        <v>1357.31233218651</v>
      </c>
      <c r="K92" s="9">
        <f t="shared" si="10"/>
        <v>289.98328832081</v>
      </c>
      <c r="L92" s="10">
        <f t="shared" si="7"/>
        <v>0.21364521742292916</v>
      </c>
      <c r="M92" s="10">
        <f t="shared" si="11"/>
        <v>0.21428347901699837</v>
      </c>
      <c r="P92" s="8">
        <f t="shared" si="12"/>
        <v>6.4857944421600573</v>
      </c>
      <c r="U92" s="8">
        <v>154.5</v>
      </c>
      <c r="V92" s="10">
        <f t="shared" si="13"/>
        <v>0.19948627165433475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1478.0103033772</v>
      </c>
      <c r="E93">
        <v>403.66800228964001</v>
      </c>
      <c r="F93">
        <v>129.54982817869001</v>
      </c>
      <c r="G93">
        <v>113.17239404353001</v>
      </c>
      <c r="I93" s="9">
        <f t="shared" si="8"/>
        <v>290.49560824611001</v>
      </c>
      <c r="J93" s="9">
        <f t="shared" si="9"/>
        <v>1348.46047519851</v>
      </c>
      <c r="K93" s="9">
        <f t="shared" si="10"/>
        <v>290.49560824611001</v>
      </c>
      <c r="L93" s="10">
        <f t="shared" si="7"/>
        <v>0.21542760324758162</v>
      </c>
      <c r="M93" s="10">
        <f t="shared" si="11"/>
        <v>0.21607295663714046</v>
      </c>
      <c r="P93" s="8">
        <f t="shared" si="12"/>
        <v>7.375055466348396</v>
      </c>
      <c r="U93" s="8">
        <v>155</v>
      </c>
      <c r="V93" s="10">
        <f t="shared" si="13"/>
        <v>0.1976105806806131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1476.3062392673</v>
      </c>
      <c r="E94">
        <v>404.35088723526002</v>
      </c>
      <c r="F94">
        <v>129.34077892325001</v>
      </c>
      <c r="G94">
        <v>113.15349369989001</v>
      </c>
      <c r="I94" s="9">
        <f t="shared" si="8"/>
        <v>291.19739353537</v>
      </c>
      <c r="J94" s="9">
        <f t="shared" si="9"/>
        <v>1346.9654603440499</v>
      </c>
      <c r="K94" s="9">
        <f t="shared" si="10"/>
        <v>291.19739353537</v>
      </c>
      <c r="L94" s="10">
        <f t="shared" si="7"/>
        <v>0.21618772129538544</v>
      </c>
      <c r="M94" s="10">
        <f t="shared" si="11"/>
        <v>0.21684016648043394</v>
      </c>
      <c r="P94" s="8">
        <f t="shared" si="12"/>
        <v>7.7563118751099447</v>
      </c>
      <c r="U94" s="8">
        <v>155.5</v>
      </c>
      <c r="V94" s="10">
        <f t="shared" si="13"/>
        <v>0.19931093702981653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1476.8002289639001</v>
      </c>
      <c r="E95">
        <v>402.17859187177999</v>
      </c>
      <c r="F95">
        <v>129.98167239404</v>
      </c>
      <c r="G95">
        <v>113.08419243986</v>
      </c>
      <c r="I95" s="9">
        <f t="shared" si="8"/>
        <v>289.09439943192001</v>
      </c>
      <c r="J95" s="9">
        <f t="shared" si="9"/>
        <v>1346.81855656986</v>
      </c>
      <c r="K95" s="9">
        <f t="shared" si="10"/>
        <v>289.09439943192001</v>
      </c>
      <c r="L95" s="10">
        <f t="shared" si="7"/>
        <v>0.21464984872810117</v>
      </c>
      <c r="M95" s="10">
        <f t="shared" si="11"/>
        <v>0.21530938570863933</v>
      </c>
      <c r="P95" s="8">
        <f t="shared" si="12"/>
        <v>6.9956073758685386</v>
      </c>
      <c r="U95" s="8">
        <v>156</v>
      </c>
      <c r="V95" s="10">
        <f t="shared" si="13"/>
        <v>0.19661519230120483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1479.7086433887</v>
      </c>
      <c r="E96">
        <v>403.10933028047998</v>
      </c>
      <c r="F96">
        <v>129.61454753723001</v>
      </c>
      <c r="G96">
        <v>112.99140893470999</v>
      </c>
      <c r="I96" s="9">
        <f t="shared" si="8"/>
        <v>290.11792134577001</v>
      </c>
      <c r="J96" s="9">
        <f t="shared" si="9"/>
        <v>1350.09409585147</v>
      </c>
      <c r="K96" s="9">
        <f t="shared" si="10"/>
        <v>290.11792134577001</v>
      </c>
      <c r="L96" s="10">
        <f t="shared" si="7"/>
        <v>0.21488718618741906</v>
      </c>
      <c r="M96" s="10">
        <f t="shared" si="11"/>
        <v>0.21555381496344689</v>
      </c>
      <c r="P96" s="8">
        <f t="shared" si="12"/>
        <v>7.1170737787031824</v>
      </c>
      <c r="U96" s="8">
        <v>156.5</v>
      </c>
      <c r="V96" s="10">
        <f t="shared" si="13"/>
        <v>0.1954414389873359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1503.1116199199</v>
      </c>
      <c r="E97">
        <v>408.02633085289</v>
      </c>
      <c r="F97">
        <v>129.38430698740001</v>
      </c>
      <c r="G97">
        <v>113.17640320733</v>
      </c>
      <c r="I97" s="9">
        <f t="shared" si="8"/>
        <v>294.84992764556</v>
      </c>
      <c r="J97" s="9">
        <f t="shared" si="9"/>
        <v>1373.7273129324999</v>
      </c>
      <c r="K97" s="9">
        <f t="shared" si="10"/>
        <v>294.84992764556</v>
      </c>
      <c r="L97" s="10">
        <f t="shared" si="7"/>
        <v>0.21463497512919283</v>
      </c>
      <c r="M97" s="10">
        <f t="shared" si="11"/>
        <v>0.21530869570071032</v>
      </c>
      <c r="P97" s="8">
        <f t="shared" si="12"/>
        <v>6.9952644840934486</v>
      </c>
      <c r="U97" s="8">
        <v>157</v>
      </c>
      <c r="V97" s="10">
        <f t="shared" si="13"/>
        <v>0.19673931612000706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1481.9685174584999</v>
      </c>
      <c r="E98">
        <v>404.25529479107001</v>
      </c>
      <c r="F98">
        <v>129.41695303551001</v>
      </c>
      <c r="G98">
        <v>112.92726231386</v>
      </c>
      <c r="I98" s="9">
        <f t="shared" si="8"/>
        <v>291.32803247721</v>
      </c>
      <c r="J98" s="9">
        <f t="shared" si="9"/>
        <v>1352.5515644229899</v>
      </c>
      <c r="K98" s="9">
        <f t="shared" si="10"/>
        <v>291.32803247721</v>
      </c>
      <c r="L98" s="10">
        <f t="shared" si="7"/>
        <v>0.21539144247080372</v>
      </c>
      <c r="M98" s="10">
        <f t="shared" si="11"/>
        <v>0.21607225483781087</v>
      </c>
      <c r="P98" s="8">
        <f t="shared" si="12"/>
        <v>7.3747067149677772</v>
      </c>
      <c r="U98" s="8">
        <v>157.5</v>
      </c>
      <c r="V98" s="10">
        <f t="shared" si="13"/>
        <v>0.19440061933312539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1467.0480824270001</v>
      </c>
      <c r="E99">
        <v>402.17916428162999</v>
      </c>
      <c r="F99">
        <v>129.60366552119001</v>
      </c>
      <c r="G99">
        <v>113.11855670103</v>
      </c>
      <c r="I99" s="9">
        <f t="shared" si="8"/>
        <v>289.06060758059999</v>
      </c>
      <c r="J99" s="9">
        <f t="shared" si="9"/>
        <v>1337.4444169058102</v>
      </c>
      <c r="K99" s="9">
        <f t="shared" si="10"/>
        <v>289.06060758059999</v>
      </c>
      <c r="L99" s="10">
        <f t="shared" si="7"/>
        <v>0.21612906220756772</v>
      </c>
      <c r="M99" s="10">
        <f t="shared" si="11"/>
        <v>0.21681696637006453</v>
      </c>
      <c r="P99" s="8">
        <f t="shared" si="12"/>
        <v>7.7447828379897459</v>
      </c>
      <c r="U99" s="8">
        <v>158</v>
      </c>
      <c r="V99" s="10">
        <f t="shared" si="13"/>
        <v>0.19206848177399288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1457.8299942758999</v>
      </c>
      <c r="E100">
        <v>399.56210646823001</v>
      </c>
      <c r="F100">
        <v>129.10366552119001</v>
      </c>
      <c r="G100">
        <v>112.70847651776</v>
      </c>
      <c r="I100" s="9">
        <f t="shared" si="8"/>
        <v>286.85362995047001</v>
      </c>
      <c r="J100" s="9">
        <f t="shared" si="9"/>
        <v>1328.7263287547098</v>
      </c>
      <c r="K100" s="9">
        <f t="shared" si="10"/>
        <v>286.85362995047001</v>
      </c>
      <c r="L100" s="10">
        <f t="shared" si="7"/>
        <v>0.21588616387191706</v>
      </c>
      <c r="M100" s="10">
        <f t="shared" si="11"/>
        <v>0.21658115982990353</v>
      </c>
      <c r="P100" s="8">
        <f t="shared" si="12"/>
        <v>7.6276013974097667</v>
      </c>
      <c r="U100" s="8">
        <v>158.5</v>
      </c>
      <c r="V100" s="10">
        <f t="shared" si="13"/>
        <v>0.19626389684565745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1464.4928448769001</v>
      </c>
      <c r="E101">
        <v>404.02976531195998</v>
      </c>
      <c r="F101">
        <v>129.27090492554001</v>
      </c>
      <c r="G101">
        <v>113.07101947308</v>
      </c>
      <c r="I101" s="9">
        <f t="shared" si="8"/>
        <v>290.95874583887996</v>
      </c>
      <c r="J101" s="9">
        <f t="shared" si="9"/>
        <v>1335.2219399513601</v>
      </c>
      <c r="K101" s="9">
        <f t="shared" si="10"/>
        <v>290.95874583887996</v>
      </c>
      <c r="L101" s="10">
        <f t="shared" si="7"/>
        <v>0.2179103991127341</v>
      </c>
      <c r="M101" s="10">
        <f t="shared" si="11"/>
        <v>0.21861248686621024</v>
      </c>
      <c r="P101" s="8">
        <f t="shared" si="12"/>
        <v>8.6370468022783289</v>
      </c>
      <c r="U101" s="8">
        <v>159</v>
      </c>
      <c r="V101" s="10">
        <f t="shared" si="13"/>
        <v>0.19671518977019695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1483.9622209501999</v>
      </c>
      <c r="E102">
        <v>410.28849456210997</v>
      </c>
      <c r="F102">
        <v>129.64203894616</v>
      </c>
      <c r="G102">
        <v>112.81901489118</v>
      </c>
      <c r="I102" s="9">
        <f t="shared" si="8"/>
        <v>297.46947967092996</v>
      </c>
      <c r="J102" s="9">
        <f t="shared" si="9"/>
        <v>1354.3201820040399</v>
      </c>
      <c r="K102" s="9">
        <f t="shared" si="10"/>
        <v>297.46947967092996</v>
      </c>
      <c r="L102" s="10">
        <f t="shared" si="7"/>
        <v>0.21964486952468867</v>
      </c>
      <c r="M102" s="10">
        <f t="shared" si="11"/>
        <v>0.22035404907365444</v>
      </c>
      <c r="P102" s="8">
        <f t="shared" si="12"/>
        <v>9.5024967944143395</v>
      </c>
      <c r="U102" s="8">
        <v>159.5</v>
      </c>
      <c r="V102" s="10">
        <f t="shared" si="13"/>
        <v>0.19797841710755948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1509.1230681167999</v>
      </c>
      <c r="E103">
        <v>417.61934745278</v>
      </c>
      <c r="F103">
        <v>129.29954180985001</v>
      </c>
      <c r="G103">
        <v>113.19759450172</v>
      </c>
      <c r="I103" s="9">
        <f t="shared" si="8"/>
        <v>304.42175295106</v>
      </c>
      <c r="J103" s="9">
        <f t="shared" si="9"/>
        <v>1379.8235263069498</v>
      </c>
      <c r="K103" s="9">
        <f t="shared" si="10"/>
        <v>304.42175295106</v>
      </c>
      <c r="L103" s="10">
        <f t="shared" si="7"/>
        <v>0.22062368639693683</v>
      </c>
      <c r="M103" s="10">
        <f t="shared" si="11"/>
        <v>0.22133995774139226</v>
      </c>
      <c r="P103" s="8">
        <f t="shared" si="12"/>
        <v>9.9924331544784994</v>
      </c>
      <c r="U103" s="8">
        <v>160</v>
      </c>
      <c r="V103" s="10">
        <f t="shared" si="13"/>
        <v>0.19963412172078154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1528.4293073841</v>
      </c>
      <c r="E104">
        <v>424.74298797939002</v>
      </c>
      <c r="F104">
        <v>129.43642611684001</v>
      </c>
      <c r="G104">
        <v>112.91122565865</v>
      </c>
      <c r="I104" s="9">
        <f t="shared" si="8"/>
        <v>311.83176232074004</v>
      </c>
      <c r="J104" s="9">
        <f t="shared" si="9"/>
        <v>1398.9928812672599</v>
      </c>
      <c r="K104" s="9">
        <f t="shared" si="10"/>
        <v>311.83176232074004</v>
      </c>
      <c r="L104" s="10">
        <f t="shared" si="7"/>
        <v>0.22289731884716327</v>
      </c>
      <c r="M104" s="10">
        <f t="shared" si="11"/>
        <v>0.22362068198710836</v>
      </c>
      <c r="P104" s="8">
        <f t="shared" si="12"/>
        <v>11.12581373203254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1536.3108185461001</v>
      </c>
      <c r="E105">
        <v>431.65082999428</v>
      </c>
      <c r="F105">
        <v>129.67640320733</v>
      </c>
      <c r="G105">
        <v>112.88316151203</v>
      </c>
      <c r="I105" s="9">
        <f t="shared" si="8"/>
        <v>318.76766848224997</v>
      </c>
      <c r="J105" s="9">
        <f t="shared" si="9"/>
        <v>1406.6344153387702</v>
      </c>
      <c r="K105" s="9">
        <f t="shared" si="10"/>
        <v>318.76766848224997</v>
      </c>
      <c r="L105" s="10">
        <f t="shared" si="7"/>
        <v>0.22661728236293635</v>
      </c>
      <c r="M105" s="10">
        <f t="shared" si="11"/>
        <v>0.2273477372983711</v>
      </c>
      <c r="P105" s="8">
        <f t="shared" si="12"/>
        <v>12.977932465452033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1488.5655409272999</v>
      </c>
      <c r="E106">
        <v>418.01373783628998</v>
      </c>
      <c r="F106">
        <v>129.06701030927999</v>
      </c>
      <c r="G106">
        <v>112.88316151203</v>
      </c>
      <c r="I106" s="9">
        <f t="shared" si="8"/>
        <v>305.13057632426001</v>
      </c>
      <c r="J106" s="9">
        <f t="shared" si="9"/>
        <v>1359.4985306180199</v>
      </c>
      <c r="K106" s="9">
        <f t="shared" si="10"/>
        <v>305.13057632426001</v>
      </c>
      <c r="L106" s="10">
        <f t="shared" si="7"/>
        <v>0.22444347636444262</v>
      </c>
      <c r="M106" s="10">
        <f t="shared" si="11"/>
        <v>0.22518102309536703</v>
      </c>
      <c r="P106" s="8">
        <f t="shared" si="12"/>
        <v>11.901207912096719</v>
      </c>
      <c r="X106" s="8">
        <v>-13</v>
      </c>
    </row>
    <row r="107" spans="1:25" x14ac:dyDescent="0.2">
      <c r="A107" s="8">
        <v>52.5</v>
      </c>
      <c r="B107" s="8">
        <v>105</v>
      </c>
      <c r="D107">
        <v>1499.9467658844001</v>
      </c>
      <c r="E107">
        <v>427.51230681167999</v>
      </c>
      <c r="F107">
        <v>129.31443298969</v>
      </c>
      <c r="G107">
        <v>112.71706758305</v>
      </c>
      <c r="I107" s="9">
        <f t="shared" si="8"/>
        <v>314.79523922863001</v>
      </c>
      <c r="J107" s="9">
        <f t="shared" si="9"/>
        <v>1370.6323328947101</v>
      </c>
      <c r="K107" s="9">
        <f t="shared" si="10"/>
        <v>314.79523922863001</v>
      </c>
      <c r="L107" s="10">
        <f t="shared" si="7"/>
        <v>0.22967154040777477</v>
      </c>
      <c r="M107" s="10">
        <f t="shared" si="11"/>
        <v>0.23041617893418884</v>
      </c>
      <c r="P107" s="8">
        <f t="shared" si="12"/>
        <v>14.502760449337499</v>
      </c>
      <c r="X107" s="8">
        <v>-13</v>
      </c>
    </row>
    <row r="108" spans="1:25" x14ac:dyDescent="0.2">
      <c r="A108" s="8">
        <v>53</v>
      </c>
      <c r="B108" s="8">
        <v>106</v>
      </c>
      <c r="D108">
        <v>1492.9788208356999</v>
      </c>
      <c r="E108">
        <v>423.53176874642003</v>
      </c>
      <c r="F108">
        <v>129.08018327606001</v>
      </c>
      <c r="G108">
        <v>112.91924398625</v>
      </c>
      <c r="I108" s="9">
        <f t="shared" si="8"/>
        <v>310.61252476017</v>
      </c>
      <c r="J108" s="9">
        <f t="shared" si="9"/>
        <v>1363.8986375596398</v>
      </c>
      <c r="K108" s="9">
        <f t="shared" si="10"/>
        <v>310.61252476017</v>
      </c>
      <c r="L108" s="10">
        <f t="shared" si="7"/>
        <v>0.2277387162112974</v>
      </c>
      <c r="M108" s="10">
        <f t="shared" si="11"/>
        <v>0.22849044653320114</v>
      </c>
      <c r="P108" s="8">
        <f t="shared" si="12"/>
        <v>13.545789125449684</v>
      </c>
      <c r="X108" s="8">
        <v>-13</v>
      </c>
    </row>
    <row r="109" spans="1:25" x14ac:dyDescent="0.2">
      <c r="A109" s="8">
        <v>53.5</v>
      </c>
      <c r="B109" s="8">
        <v>107</v>
      </c>
      <c r="D109">
        <v>1506.2575844304999</v>
      </c>
      <c r="E109">
        <v>428.67544361762998</v>
      </c>
      <c r="F109">
        <v>129.04295532646</v>
      </c>
      <c r="G109">
        <v>112.99026345934</v>
      </c>
      <c r="I109" s="9">
        <f t="shared" si="8"/>
        <v>315.68518015829</v>
      </c>
      <c r="J109" s="9">
        <f t="shared" si="9"/>
        <v>1377.2146291040399</v>
      </c>
      <c r="K109" s="9">
        <f t="shared" si="10"/>
        <v>315.68518015829</v>
      </c>
      <c r="L109" s="10">
        <f t="shared" si="7"/>
        <v>0.22922003113172129</v>
      </c>
      <c r="M109" s="10">
        <f t="shared" si="11"/>
        <v>0.22997885324911468</v>
      </c>
      <c r="P109" s="8">
        <f t="shared" si="12"/>
        <v>14.285436308350461</v>
      </c>
      <c r="X109" s="8">
        <v>-13</v>
      </c>
    </row>
    <row r="110" spans="1:25" x14ac:dyDescent="0.2">
      <c r="A110" s="8">
        <v>54</v>
      </c>
      <c r="B110" s="8">
        <v>108</v>
      </c>
      <c r="D110">
        <v>1476.2873367405</v>
      </c>
      <c r="E110">
        <v>420.20159000567998</v>
      </c>
      <c r="F110">
        <v>128.90320733103999</v>
      </c>
      <c r="G110">
        <v>112.89919816724</v>
      </c>
      <c r="I110" s="9">
        <f t="shared" si="8"/>
        <v>307.30239183843997</v>
      </c>
      <c r="J110" s="9">
        <f t="shared" si="9"/>
        <v>1347.38412940946</v>
      </c>
      <c r="K110" s="9">
        <f t="shared" si="10"/>
        <v>307.30239183843997</v>
      </c>
      <c r="L110" s="10">
        <f t="shared" si="7"/>
        <v>0.22807333493910634</v>
      </c>
      <c r="M110" s="10">
        <f t="shared" si="11"/>
        <v>0.22883924885198939</v>
      </c>
      <c r="P110" s="8">
        <f t="shared" si="12"/>
        <v>13.719122562958827</v>
      </c>
      <c r="X110" s="8">
        <v>-13</v>
      </c>
    </row>
    <row r="111" spans="1:25" x14ac:dyDescent="0.2">
      <c r="A111" s="8">
        <v>54.5</v>
      </c>
      <c r="B111" s="8">
        <v>109</v>
      </c>
      <c r="D111">
        <v>1440.4134014763999</v>
      </c>
      <c r="E111">
        <v>416.37421919363999</v>
      </c>
      <c r="F111">
        <v>129.04009163802999</v>
      </c>
      <c r="G111">
        <v>113.02348224513</v>
      </c>
      <c r="I111" s="9">
        <f t="shared" si="8"/>
        <v>303.35073694850996</v>
      </c>
      <c r="J111" s="9">
        <f t="shared" si="9"/>
        <v>1311.37330983837</v>
      </c>
      <c r="K111" s="9">
        <f t="shared" si="10"/>
        <v>303.35073694850996</v>
      </c>
      <c r="L111" s="10">
        <f t="shared" si="7"/>
        <v>0.23132294570330908</v>
      </c>
      <c r="M111" s="10">
        <f t="shared" si="11"/>
        <v>0.23209595141168177</v>
      </c>
      <c r="P111" s="8">
        <f t="shared" si="12"/>
        <v>15.337504721590614</v>
      </c>
      <c r="X111" s="8">
        <v>-13</v>
      </c>
    </row>
    <row r="112" spans="1:25" x14ac:dyDescent="0.2">
      <c r="A112" s="8">
        <v>55</v>
      </c>
      <c r="B112" s="8">
        <v>110</v>
      </c>
      <c r="D112">
        <v>1419.5275411698001</v>
      </c>
      <c r="E112">
        <v>410.86882453151998</v>
      </c>
      <c r="F112">
        <v>128.93184421535</v>
      </c>
      <c r="G112">
        <v>113.12943871707</v>
      </c>
      <c r="I112" s="9">
        <f t="shared" si="8"/>
        <v>297.73938581444997</v>
      </c>
      <c r="J112" s="9">
        <f t="shared" si="9"/>
        <v>1290.59569695445</v>
      </c>
      <c r="K112" s="9">
        <f t="shared" si="10"/>
        <v>297.73938581444997</v>
      </c>
      <c r="L112" s="10">
        <f t="shared" si="7"/>
        <v>0.2306991930292778</v>
      </c>
      <c r="M112" s="10">
        <f t="shared" si="11"/>
        <v>0.23147929053314015</v>
      </c>
      <c r="P112" s="8">
        <f t="shared" si="12"/>
        <v>15.031061948427984</v>
      </c>
      <c r="X112" s="8">
        <v>-13</v>
      </c>
    </row>
    <row r="113" spans="1:24" x14ac:dyDescent="0.2">
      <c r="A113" s="8">
        <v>55.5</v>
      </c>
      <c r="B113" s="8">
        <v>111</v>
      </c>
      <c r="D113">
        <v>1474.8160136286001</v>
      </c>
      <c r="E113">
        <v>422.41283361725999</v>
      </c>
      <c r="F113">
        <v>129.14146620848001</v>
      </c>
      <c r="G113">
        <v>112.64375715922</v>
      </c>
      <c r="I113" s="9">
        <f t="shared" si="8"/>
        <v>309.76907645803999</v>
      </c>
      <c r="J113" s="9">
        <f t="shared" si="9"/>
        <v>1345.67454742012</v>
      </c>
      <c r="K113" s="9">
        <f t="shared" si="10"/>
        <v>309.76907645803999</v>
      </c>
      <c r="L113" s="10">
        <f t="shared" si="7"/>
        <v>0.23019613252841736</v>
      </c>
      <c r="M113" s="10">
        <f t="shared" si="11"/>
        <v>0.23098332182776937</v>
      </c>
      <c r="P113" s="8">
        <f t="shared" si="12"/>
        <v>14.784595809964426</v>
      </c>
      <c r="X113" s="8">
        <v>-13</v>
      </c>
    </row>
    <row r="114" spans="1:24" x14ac:dyDescent="0.2">
      <c r="A114" s="8">
        <v>56</v>
      </c>
      <c r="B114" s="8">
        <v>112</v>
      </c>
      <c r="D114">
        <v>1460.5809199319001</v>
      </c>
      <c r="E114">
        <v>417.89608177171999</v>
      </c>
      <c r="F114">
        <v>128.77434135166001</v>
      </c>
      <c r="G114">
        <v>112.96162657503</v>
      </c>
      <c r="I114" s="9">
        <f t="shared" si="8"/>
        <v>304.93445519669001</v>
      </c>
      <c r="J114" s="9">
        <f t="shared" si="9"/>
        <v>1331.8065785802401</v>
      </c>
      <c r="K114" s="9">
        <f t="shared" si="10"/>
        <v>304.93445519669001</v>
      </c>
      <c r="L114" s="10">
        <f t="shared" si="7"/>
        <v>0.22896301918088025</v>
      </c>
      <c r="M114" s="10">
        <f t="shared" si="11"/>
        <v>0.22975730027572192</v>
      </c>
      <c r="P114" s="8">
        <f t="shared" si="12"/>
        <v>14.175338019434403</v>
      </c>
      <c r="X114" s="8">
        <v>-13</v>
      </c>
    </row>
    <row r="115" spans="1:24" x14ac:dyDescent="0.2">
      <c r="A115" s="8">
        <v>56.5</v>
      </c>
      <c r="B115" s="8">
        <v>113</v>
      </c>
      <c r="D115">
        <v>1457.8847245883001</v>
      </c>
      <c r="E115">
        <v>417.32935831914</v>
      </c>
      <c r="F115">
        <v>129.14719358534001</v>
      </c>
      <c r="G115">
        <v>112.89977090492999</v>
      </c>
      <c r="I115" s="9">
        <f t="shared" si="8"/>
        <v>304.42958741421</v>
      </c>
      <c r="J115" s="9">
        <f t="shared" si="9"/>
        <v>1328.7375310029602</v>
      </c>
      <c r="K115" s="9">
        <f t="shared" si="10"/>
        <v>304.42958741421</v>
      </c>
      <c r="L115" s="10">
        <f t="shared" si="7"/>
        <v>0.22911190533198825</v>
      </c>
      <c r="M115" s="10">
        <f t="shared" si="11"/>
        <v>0.22991327822231958</v>
      </c>
      <c r="P115" s="8">
        <f t="shared" si="12"/>
        <v>14.252849527251538</v>
      </c>
      <c r="X115" s="8">
        <v>-13</v>
      </c>
    </row>
    <row r="116" spans="1:24" x14ac:dyDescent="0.2">
      <c r="A116" s="8">
        <v>57</v>
      </c>
      <c r="B116" s="8">
        <v>114</v>
      </c>
      <c r="D116">
        <v>1491.2742759795999</v>
      </c>
      <c r="E116">
        <v>417.54628052242998</v>
      </c>
      <c r="F116">
        <v>129.02978235968001</v>
      </c>
      <c r="G116">
        <v>112.89232531501</v>
      </c>
      <c r="I116" s="9">
        <f t="shared" si="8"/>
        <v>304.65395520741998</v>
      </c>
      <c r="J116" s="9">
        <f t="shared" si="9"/>
        <v>1362.2444936199199</v>
      </c>
      <c r="K116" s="9">
        <f t="shared" si="10"/>
        <v>304.65395520741998</v>
      </c>
      <c r="L116" s="10">
        <f t="shared" si="7"/>
        <v>0.22364117207613507</v>
      </c>
      <c r="M116" s="10">
        <f t="shared" si="11"/>
        <v>0.22444963676195606</v>
      </c>
      <c r="P116" s="8">
        <f t="shared" si="12"/>
        <v>11.53775359861123</v>
      </c>
      <c r="X116" s="8">
        <v>-13</v>
      </c>
    </row>
    <row r="117" spans="1:24" x14ac:dyDescent="0.2">
      <c r="A117" s="8">
        <v>57.5</v>
      </c>
      <c r="B117" s="8">
        <v>115</v>
      </c>
      <c r="D117">
        <v>1395.4236229415001</v>
      </c>
      <c r="E117">
        <v>395.35661555934001</v>
      </c>
      <c r="F117">
        <v>129.06300114548</v>
      </c>
      <c r="G117">
        <v>112.83562428408</v>
      </c>
      <c r="I117" s="9">
        <f t="shared" si="8"/>
        <v>282.52099127526003</v>
      </c>
      <c r="J117" s="9">
        <f t="shared" si="9"/>
        <v>1266.36062179602</v>
      </c>
      <c r="K117" s="9">
        <f t="shared" si="10"/>
        <v>282.52099127526003</v>
      </c>
      <c r="L117" s="10">
        <f t="shared" si="7"/>
        <v>0.22309679123990267</v>
      </c>
      <c r="M117" s="10">
        <f t="shared" si="11"/>
        <v>0.22391234772121332</v>
      </c>
      <c r="P117" s="8">
        <f t="shared" si="12"/>
        <v>11.270753778508356</v>
      </c>
      <c r="X117" s="8">
        <v>-13</v>
      </c>
    </row>
    <row r="118" spans="1:24" x14ac:dyDescent="0.2">
      <c r="A118" s="8">
        <v>58</v>
      </c>
      <c r="B118" s="8">
        <v>116</v>
      </c>
      <c r="D118">
        <v>1413.9624573379001</v>
      </c>
      <c r="E118">
        <v>402.79237770192998</v>
      </c>
      <c r="F118">
        <v>129.13516609393</v>
      </c>
      <c r="G118">
        <v>112.79610538372999</v>
      </c>
      <c r="I118" s="9">
        <f t="shared" si="8"/>
        <v>289.9962723182</v>
      </c>
      <c r="J118" s="9">
        <f t="shared" si="9"/>
        <v>1284.8272912439702</v>
      </c>
      <c r="K118" s="9">
        <f t="shared" si="10"/>
        <v>289.9962723182</v>
      </c>
      <c r="L118" s="10">
        <f t="shared" si="7"/>
        <v>0.22570836897263097</v>
      </c>
      <c r="M118" s="10">
        <f t="shared" si="11"/>
        <v>0.22653101724943128</v>
      </c>
      <c r="P118" s="8">
        <f t="shared" si="12"/>
        <v>12.572072509998829</v>
      </c>
      <c r="X118" s="8">
        <v>-13</v>
      </c>
    </row>
    <row r="119" spans="1:24" x14ac:dyDescent="0.2">
      <c r="A119" s="8">
        <v>58.5</v>
      </c>
      <c r="B119" s="8">
        <v>117</v>
      </c>
      <c r="D119">
        <v>1441.9061433447</v>
      </c>
      <c r="E119">
        <v>406.87599544937001</v>
      </c>
      <c r="F119">
        <v>129.04180985108999</v>
      </c>
      <c r="G119">
        <v>112.77892325315</v>
      </c>
      <c r="I119" s="9">
        <f t="shared" si="8"/>
        <v>294.09707219621998</v>
      </c>
      <c r="J119" s="9">
        <f t="shared" si="9"/>
        <v>1312.86433349361</v>
      </c>
      <c r="K119" s="9">
        <f t="shared" si="10"/>
        <v>294.09707219621998</v>
      </c>
      <c r="L119" s="10">
        <f t="shared" si="7"/>
        <v>0.22401177691651519</v>
      </c>
      <c r="M119" s="10">
        <f t="shared" si="11"/>
        <v>0.22484151698880514</v>
      </c>
      <c r="P119" s="8">
        <f t="shared" si="12"/>
        <v>11.732494123982708</v>
      </c>
      <c r="X119" s="8">
        <v>-13</v>
      </c>
    </row>
    <row r="120" spans="1:24" x14ac:dyDescent="0.2">
      <c r="A120" s="8">
        <v>59</v>
      </c>
      <c r="B120" s="8">
        <v>118</v>
      </c>
      <c r="D120">
        <v>1394.4709897611001</v>
      </c>
      <c r="E120">
        <v>398.60466439135001</v>
      </c>
      <c r="F120">
        <v>129.02806414662001</v>
      </c>
      <c r="G120">
        <v>112.76975945017</v>
      </c>
      <c r="I120" s="9">
        <f t="shared" si="8"/>
        <v>285.83490494118001</v>
      </c>
      <c r="J120" s="9">
        <f t="shared" si="9"/>
        <v>1265.4429256144801</v>
      </c>
      <c r="K120" s="9">
        <f t="shared" si="10"/>
        <v>285.83490494118001</v>
      </c>
      <c r="L120" s="10">
        <f t="shared" si="7"/>
        <v>0.22587735816088494</v>
      </c>
      <c r="M120" s="10">
        <f t="shared" si="11"/>
        <v>0.22671419002866455</v>
      </c>
      <c r="P120" s="8">
        <f t="shared" si="12"/>
        <v>12.663098187789352</v>
      </c>
      <c r="X120" s="8">
        <v>-13</v>
      </c>
    </row>
    <row r="121" spans="1:24" x14ac:dyDescent="0.2">
      <c r="A121" s="8">
        <v>59.5</v>
      </c>
      <c r="B121" s="8">
        <v>119</v>
      </c>
      <c r="D121">
        <v>1368.3515669516</v>
      </c>
      <c r="E121">
        <v>391.64615384615001</v>
      </c>
      <c r="F121">
        <v>129.37514318442001</v>
      </c>
      <c r="G121">
        <v>113.00801832761</v>
      </c>
      <c r="I121" s="9">
        <f t="shared" si="8"/>
        <v>278.63813551854003</v>
      </c>
      <c r="J121" s="9">
        <f t="shared" si="9"/>
        <v>1238.97642376718</v>
      </c>
      <c r="K121" s="9">
        <f t="shared" si="10"/>
        <v>278.63813551854003</v>
      </c>
      <c r="L121" s="10">
        <f t="shared" si="7"/>
        <v>0.22489381571226719</v>
      </c>
      <c r="M121" s="10">
        <f t="shared" si="11"/>
        <v>0.22573773937553646</v>
      </c>
      <c r="P121" s="8">
        <f t="shared" si="12"/>
        <v>12.177861883017282</v>
      </c>
      <c r="X121" s="8">
        <v>-13</v>
      </c>
    </row>
    <row r="122" spans="1:24" x14ac:dyDescent="0.2">
      <c r="A122" s="8">
        <v>60</v>
      </c>
      <c r="B122" s="8">
        <v>120</v>
      </c>
      <c r="D122">
        <v>1412.9994275902</v>
      </c>
      <c r="E122">
        <v>403.38923869490998</v>
      </c>
      <c r="F122">
        <v>129.01374570447001</v>
      </c>
      <c r="G122">
        <v>112.73940435281</v>
      </c>
      <c r="I122" s="9">
        <f t="shared" si="8"/>
        <v>290.64983434210001</v>
      </c>
      <c r="J122" s="9">
        <f t="shared" si="9"/>
        <v>1283.9856818857299</v>
      </c>
      <c r="K122" s="9">
        <f t="shared" si="10"/>
        <v>290.64983434210001</v>
      </c>
      <c r="L122" s="10">
        <f t="shared" si="7"/>
        <v>0.22636532357217265</v>
      </c>
      <c r="M122" s="10">
        <f t="shared" si="11"/>
        <v>0.22721633903093158</v>
      </c>
      <c r="P122" s="8">
        <f t="shared" si="12"/>
        <v>12.912635556139158</v>
      </c>
      <c r="X122" s="8">
        <v>-13</v>
      </c>
    </row>
    <row r="123" spans="1:24" x14ac:dyDescent="0.2">
      <c r="A123" s="8">
        <v>60.5</v>
      </c>
      <c r="B123" s="8">
        <v>121</v>
      </c>
      <c r="D123">
        <v>1451.8626780627001</v>
      </c>
      <c r="E123">
        <v>409.74529914530001</v>
      </c>
      <c r="F123">
        <v>129.21019473081</v>
      </c>
      <c r="G123">
        <v>112.77319587629</v>
      </c>
      <c r="I123" s="9">
        <f t="shared" si="8"/>
        <v>296.97210326901001</v>
      </c>
      <c r="J123" s="9">
        <f t="shared" si="9"/>
        <v>1322.6524833318902</v>
      </c>
      <c r="K123" s="9">
        <f t="shared" si="10"/>
        <v>296.97210326901001</v>
      </c>
      <c r="L123" s="10">
        <f t="shared" si="7"/>
        <v>0.22452768736418838</v>
      </c>
      <c r="M123" s="10">
        <f t="shared" si="11"/>
        <v>0.22538579461843697</v>
      </c>
      <c r="P123" s="8">
        <f t="shared" si="12"/>
        <v>12.002966845698428</v>
      </c>
      <c r="X123" s="8">
        <v>-13</v>
      </c>
    </row>
    <row r="124" spans="1:24" x14ac:dyDescent="0.2">
      <c r="A124" s="8">
        <v>61</v>
      </c>
      <c r="B124" s="8">
        <v>122</v>
      </c>
      <c r="D124">
        <v>1428.7133903133999</v>
      </c>
      <c r="E124">
        <v>406.27635327634999</v>
      </c>
      <c r="F124">
        <v>128.97422680412001</v>
      </c>
      <c r="G124">
        <v>112.73195876289</v>
      </c>
      <c r="I124" s="9">
        <f t="shared" si="8"/>
        <v>293.54439451346002</v>
      </c>
      <c r="J124" s="9">
        <f t="shared" si="9"/>
        <v>1299.7391635092799</v>
      </c>
      <c r="K124" s="9">
        <f t="shared" si="10"/>
        <v>293.54439451346002</v>
      </c>
      <c r="L124" s="10">
        <f t="shared" si="7"/>
        <v>0.22584869545739755</v>
      </c>
      <c r="M124" s="10">
        <f t="shared" si="11"/>
        <v>0.2267138945071358</v>
      </c>
      <c r="P124" s="8">
        <f t="shared" si="12"/>
        <v>12.662951331648561</v>
      </c>
      <c r="X124" s="8">
        <v>-13</v>
      </c>
    </row>
    <row r="125" spans="1:24" x14ac:dyDescent="0.2">
      <c r="A125" s="8">
        <v>61.5</v>
      </c>
      <c r="B125" s="8">
        <v>123</v>
      </c>
      <c r="D125">
        <v>1469.7159155733</v>
      </c>
      <c r="E125">
        <v>414.95550484883</v>
      </c>
      <c r="F125">
        <v>129.14432989690999</v>
      </c>
      <c r="G125">
        <v>112.90836197022</v>
      </c>
      <c r="I125" s="9">
        <f t="shared" si="8"/>
        <v>302.04714287860998</v>
      </c>
      <c r="J125" s="9">
        <f t="shared" si="9"/>
        <v>1340.57158567639</v>
      </c>
      <c r="K125" s="9">
        <f t="shared" si="10"/>
        <v>302.04714287860998</v>
      </c>
      <c r="L125" s="10">
        <f t="shared" si="7"/>
        <v>0.22531220720019293</v>
      </c>
      <c r="M125" s="10">
        <f t="shared" si="11"/>
        <v>0.22618449804542085</v>
      </c>
      <c r="P125" s="8">
        <f t="shared" si="12"/>
        <v>12.399873641015612</v>
      </c>
      <c r="X125" s="8">
        <v>-13</v>
      </c>
    </row>
    <row r="126" spans="1:24" x14ac:dyDescent="0.2">
      <c r="A126" s="8">
        <v>62</v>
      </c>
      <c r="B126" s="8">
        <v>124</v>
      </c>
      <c r="D126">
        <v>1510.6628636623</v>
      </c>
      <c r="E126">
        <v>424.16428978892998</v>
      </c>
      <c r="F126">
        <v>128.37399770905</v>
      </c>
      <c r="G126">
        <v>112.52004581902</v>
      </c>
      <c r="I126" s="9">
        <f t="shared" si="8"/>
        <v>311.64424396991001</v>
      </c>
      <c r="J126" s="9">
        <f t="shared" si="9"/>
        <v>1382.28886595325</v>
      </c>
      <c r="K126" s="9">
        <f t="shared" si="10"/>
        <v>311.64424396991001</v>
      </c>
      <c r="L126" s="10">
        <f t="shared" si="7"/>
        <v>0.22545522259921758</v>
      </c>
      <c r="M126" s="10">
        <f t="shared" si="11"/>
        <v>0.22633460523993515</v>
      </c>
      <c r="P126" s="8">
        <f t="shared" si="12"/>
        <v>12.474467743802563</v>
      </c>
      <c r="X126" s="8">
        <v>-13</v>
      </c>
    </row>
    <row r="127" spans="1:24" x14ac:dyDescent="0.2">
      <c r="A127" s="8">
        <v>62.5</v>
      </c>
      <c r="B127" s="8">
        <v>125</v>
      </c>
      <c r="D127">
        <v>1499.3804905876</v>
      </c>
      <c r="E127">
        <v>419.59783228751002</v>
      </c>
      <c r="F127">
        <v>128.61053837342999</v>
      </c>
      <c r="G127">
        <v>112.96162657503</v>
      </c>
      <c r="I127" s="9">
        <f t="shared" si="8"/>
        <v>306.63620571248003</v>
      </c>
      <c r="J127" s="9">
        <f t="shared" si="9"/>
        <v>1370.76995221417</v>
      </c>
      <c r="K127" s="9">
        <f t="shared" si="10"/>
        <v>306.63620571248003</v>
      </c>
      <c r="L127" s="10">
        <f t="shared" si="7"/>
        <v>0.22369632863426744</v>
      </c>
      <c r="M127" s="10">
        <f t="shared" si="11"/>
        <v>0.22458280307047468</v>
      </c>
      <c r="P127" s="8">
        <f t="shared" si="12"/>
        <v>11.60392911629736</v>
      </c>
      <c r="X127" s="8">
        <v>-13</v>
      </c>
    </row>
    <row r="128" spans="1:24" x14ac:dyDescent="0.2">
      <c r="A128" s="8">
        <v>63</v>
      </c>
      <c r="B128" s="8">
        <v>126</v>
      </c>
      <c r="D128">
        <v>1510.9623502566999</v>
      </c>
      <c r="E128">
        <v>421.01597261836997</v>
      </c>
      <c r="F128">
        <v>128.51431844215</v>
      </c>
      <c r="G128">
        <v>112.82875143184</v>
      </c>
      <c r="I128" s="9">
        <f t="shared" si="8"/>
        <v>308.18722118653</v>
      </c>
      <c r="J128" s="9">
        <f t="shared" si="9"/>
        <v>1382.4480318145499</v>
      </c>
      <c r="K128" s="9">
        <f t="shared" si="10"/>
        <v>308.18722118653</v>
      </c>
      <c r="L128" s="10">
        <f t="shared" si="7"/>
        <v>0.22292861221120544</v>
      </c>
      <c r="M128" s="10">
        <f t="shared" si="11"/>
        <v>0.22382217844290231</v>
      </c>
      <c r="P128" s="8">
        <f t="shared" si="12"/>
        <v>11.225945157333866</v>
      </c>
      <c r="X128" s="8">
        <v>-13</v>
      </c>
    </row>
    <row r="129" spans="1:24" x14ac:dyDescent="0.2">
      <c r="A129" s="8">
        <v>63.5</v>
      </c>
      <c r="B129" s="8">
        <v>127</v>
      </c>
      <c r="D129">
        <v>1483.4968625214001</v>
      </c>
      <c r="E129">
        <v>417.16257843697002</v>
      </c>
      <c r="F129">
        <v>128.58591065292001</v>
      </c>
      <c r="G129">
        <v>112.45017182130999</v>
      </c>
      <c r="I129" s="9">
        <f t="shared" si="8"/>
        <v>304.71240661566003</v>
      </c>
      <c r="J129" s="9">
        <f t="shared" si="9"/>
        <v>1354.91095186848</v>
      </c>
      <c r="K129" s="9">
        <f t="shared" si="10"/>
        <v>304.71240661566003</v>
      </c>
      <c r="L129" s="10">
        <f t="shared" si="7"/>
        <v>0.22489478455794354</v>
      </c>
      <c r="M129" s="10">
        <f t="shared" si="11"/>
        <v>0.22579544258513007</v>
      </c>
      <c r="P129" s="8">
        <f t="shared" si="12"/>
        <v>12.206536852005213</v>
      </c>
      <c r="X129" s="8">
        <v>-13</v>
      </c>
    </row>
    <row r="130" spans="1:24" x14ac:dyDescent="0.2">
      <c r="A130" s="8">
        <v>64</v>
      </c>
      <c r="B130" s="8">
        <v>128</v>
      </c>
      <c r="D130">
        <v>1499.6440387906</v>
      </c>
      <c r="E130">
        <v>422.089560753</v>
      </c>
      <c r="F130">
        <v>128.64776632301999</v>
      </c>
      <c r="G130">
        <v>112.58018327606</v>
      </c>
      <c r="I130" s="9">
        <f t="shared" si="8"/>
        <v>309.50937747694002</v>
      </c>
      <c r="J130" s="9">
        <f t="shared" si="9"/>
        <v>1370.99627246758</v>
      </c>
      <c r="K130" s="9">
        <f t="shared" si="10"/>
        <v>309.50937747694002</v>
      </c>
      <c r="L130" s="10">
        <f t="shared" ref="L130:L193" si="14">K130/J130</f>
        <v>0.22575508314101489</v>
      </c>
      <c r="M130" s="10">
        <f t="shared" si="11"/>
        <v>0.22666283296369108</v>
      </c>
      <c r="P130" s="8">
        <f t="shared" si="12"/>
        <v>12.637576864871667</v>
      </c>
      <c r="X130" s="8">
        <v>-13</v>
      </c>
    </row>
    <row r="131" spans="1:24" x14ac:dyDescent="0.2">
      <c r="A131" s="8">
        <v>64.5</v>
      </c>
      <c r="B131" s="8">
        <v>129</v>
      </c>
      <c r="D131">
        <v>1500.5470621791001</v>
      </c>
      <c r="E131">
        <v>421.59783228751002</v>
      </c>
      <c r="F131">
        <v>128.82875143184</v>
      </c>
      <c r="G131">
        <v>112.69530355097</v>
      </c>
      <c r="I131" s="9">
        <f t="shared" ref="I131:I194" si="15">E131-G131</f>
        <v>308.90252873654003</v>
      </c>
      <c r="J131" s="9">
        <f t="shared" ref="J131:J194" si="16">D131-F131</f>
        <v>1371.7183107472601</v>
      </c>
      <c r="K131" s="9">
        <f t="shared" ref="K131:K194" si="17">I131*1</f>
        <v>308.90252873654003</v>
      </c>
      <c r="L131" s="10">
        <f t="shared" si="14"/>
        <v>0.22519385089221536</v>
      </c>
      <c r="M131" s="10">
        <f t="shared" ref="M131:M181" si="18">L131+ABS($N$2)*A131</f>
        <v>0.22610869251038121</v>
      </c>
      <c r="P131" s="8">
        <f t="shared" ref="P131:P194" si="19">(M131-$O$2)/$O$2*100</f>
        <v>12.362202922494339</v>
      </c>
      <c r="X131" s="8">
        <v>-13</v>
      </c>
    </row>
    <row r="132" spans="1:24" x14ac:dyDescent="0.2">
      <c r="A132" s="8">
        <v>65</v>
      </c>
      <c r="B132" s="8">
        <v>130</v>
      </c>
      <c r="D132">
        <v>1495.6913861951</v>
      </c>
      <c r="E132">
        <v>420.86993725042998</v>
      </c>
      <c r="F132">
        <v>128.76918671249001</v>
      </c>
      <c r="G132">
        <v>112.61855670103</v>
      </c>
      <c r="I132" s="9">
        <f t="shared" si="15"/>
        <v>308.25138054939998</v>
      </c>
      <c r="J132" s="9">
        <f t="shared" si="16"/>
        <v>1366.92219948261</v>
      </c>
      <c r="K132" s="9">
        <f t="shared" si="17"/>
        <v>308.25138054939998</v>
      </c>
      <c r="L132" s="10">
        <f t="shared" si="14"/>
        <v>0.22550762630534157</v>
      </c>
      <c r="M132" s="10">
        <f t="shared" si="18"/>
        <v>0.22642955971899709</v>
      </c>
      <c r="P132" s="8">
        <f t="shared" si="19"/>
        <v>12.521654317331873</v>
      </c>
      <c r="X132" s="8">
        <v>-13</v>
      </c>
    </row>
    <row r="133" spans="1:24" x14ac:dyDescent="0.2">
      <c r="A133" s="8">
        <v>65.5</v>
      </c>
      <c r="B133" s="8">
        <v>131</v>
      </c>
      <c r="D133">
        <v>1543.1928123217001</v>
      </c>
      <c r="E133">
        <v>427.75128351398001</v>
      </c>
      <c r="F133">
        <v>128.70446735395001</v>
      </c>
      <c r="G133">
        <v>112.49255441008</v>
      </c>
      <c r="I133" s="9">
        <f t="shared" si="15"/>
        <v>315.25872910390001</v>
      </c>
      <c r="J133" s="9">
        <f t="shared" si="16"/>
        <v>1414.48834496775</v>
      </c>
      <c r="K133" s="9">
        <f t="shared" si="17"/>
        <v>315.25872910390001</v>
      </c>
      <c r="L133" s="10">
        <f t="shared" si="14"/>
        <v>0.2228782797861002</v>
      </c>
      <c r="M133" s="10">
        <f t="shared" si="18"/>
        <v>0.22380730499524537</v>
      </c>
      <c r="P133" s="8">
        <f t="shared" si="19"/>
        <v>11.218553962748503</v>
      </c>
      <c r="X133" s="8">
        <v>-13</v>
      </c>
    </row>
    <row r="134" spans="1:24" x14ac:dyDescent="0.2">
      <c r="A134" s="8">
        <v>66</v>
      </c>
      <c r="B134" s="8">
        <v>132</v>
      </c>
      <c r="D134">
        <v>1468.5795778664999</v>
      </c>
      <c r="E134">
        <v>414.51682829434998</v>
      </c>
      <c r="F134">
        <v>128.19358533792001</v>
      </c>
      <c r="G134">
        <v>112.65234822451001</v>
      </c>
      <c r="I134" s="9">
        <f t="shared" si="15"/>
        <v>301.86448006983994</v>
      </c>
      <c r="J134" s="9">
        <f t="shared" si="16"/>
        <v>1340.3859925285799</v>
      </c>
      <c r="K134" s="9">
        <f t="shared" si="17"/>
        <v>301.86448006983994</v>
      </c>
      <c r="L134" s="10">
        <f t="shared" si="14"/>
        <v>0.22520712820967767</v>
      </c>
      <c r="M134" s="10">
        <f t="shared" si="18"/>
        <v>0.2261432452143125</v>
      </c>
      <c r="P134" s="8">
        <f t="shared" si="19"/>
        <v>12.379373504870205</v>
      </c>
      <c r="X134" s="8">
        <v>-13</v>
      </c>
    </row>
    <row r="135" spans="1:24" x14ac:dyDescent="0.2">
      <c r="A135" s="8">
        <v>66.5</v>
      </c>
      <c r="B135" s="8">
        <v>133</v>
      </c>
      <c r="D135">
        <v>1459.1637193383001</v>
      </c>
      <c r="E135">
        <v>417.93839132915002</v>
      </c>
      <c r="F135">
        <v>128.82302405498001</v>
      </c>
      <c r="G135">
        <v>112.75830469645</v>
      </c>
      <c r="I135" s="9">
        <f t="shared" si="15"/>
        <v>305.18008663270001</v>
      </c>
      <c r="J135" s="9">
        <f t="shared" si="16"/>
        <v>1330.3406952833202</v>
      </c>
      <c r="K135" s="9">
        <f t="shared" si="17"/>
        <v>305.18008663270001</v>
      </c>
      <c r="L135" s="10">
        <f t="shared" si="14"/>
        <v>0.229399948234844</v>
      </c>
      <c r="M135" s="10">
        <f t="shared" si="18"/>
        <v>0.23034315703496849</v>
      </c>
      <c r="P135" s="8">
        <f t="shared" si="19"/>
        <v>14.466473027713469</v>
      </c>
      <c r="X135" s="8">
        <v>-13</v>
      </c>
    </row>
    <row r="136" spans="1:24" x14ac:dyDescent="0.2">
      <c r="A136" s="8">
        <v>67</v>
      </c>
      <c r="B136" s="8">
        <v>134</v>
      </c>
      <c r="D136">
        <v>1567.4227039361001</v>
      </c>
      <c r="E136">
        <v>441.45407872218999</v>
      </c>
      <c r="F136">
        <v>128.5</v>
      </c>
      <c r="G136">
        <v>112.37915234822999</v>
      </c>
      <c r="I136" s="9">
        <f t="shared" si="15"/>
        <v>329.07492637396001</v>
      </c>
      <c r="J136" s="9">
        <f t="shared" si="16"/>
        <v>1438.9227039361001</v>
      </c>
      <c r="K136" s="9">
        <f t="shared" si="17"/>
        <v>329.07492637396001</v>
      </c>
      <c r="L136" s="10">
        <f t="shared" si="14"/>
        <v>0.22869534650735041</v>
      </c>
      <c r="M136" s="10">
        <f t="shared" si="18"/>
        <v>0.22964564710296456</v>
      </c>
      <c r="P136" s="8">
        <f t="shared" si="19"/>
        <v>14.119853215577397</v>
      </c>
      <c r="X136" s="8">
        <v>-13</v>
      </c>
    </row>
    <row r="137" spans="1:24" x14ac:dyDescent="0.2">
      <c r="A137" s="8">
        <v>67.5</v>
      </c>
      <c r="B137" s="8">
        <v>135</v>
      </c>
      <c r="D137">
        <v>1583.7358813462999</v>
      </c>
      <c r="E137">
        <v>446.63377067883999</v>
      </c>
      <c r="F137">
        <v>128.79209621992999</v>
      </c>
      <c r="G137">
        <v>112.37915234822999</v>
      </c>
      <c r="I137" s="9">
        <f t="shared" si="15"/>
        <v>334.25461833061001</v>
      </c>
      <c r="J137" s="9">
        <f t="shared" si="16"/>
        <v>1454.9437851263699</v>
      </c>
      <c r="K137" s="9">
        <f t="shared" si="17"/>
        <v>334.25461833061001</v>
      </c>
      <c r="L137" s="10">
        <f t="shared" si="14"/>
        <v>0.22973713606507357</v>
      </c>
      <c r="M137" s="10">
        <f t="shared" si="18"/>
        <v>0.23069452845617736</v>
      </c>
      <c r="P137" s="8">
        <f t="shared" si="19"/>
        <v>14.641083152130612</v>
      </c>
      <c r="X137" s="8">
        <v>-13</v>
      </c>
    </row>
    <row r="138" spans="1:24" x14ac:dyDescent="0.2">
      <c r="A138" s="8">
        <v>68</v>
      </c>
      <c r="B138" s="8">
        <v>136</v>
      </c>
      <c r="D138">
        <v>1376.9931545920999</v>
      </c>
      <c r="E138">
        <v>405.48088990302</v>
      </c>
      <c r="F138">
        <v>128.90206185567001</v>
      </c>
      <c r="G138">
        <v>112.71935853379</v>
      </c>
      <c r="I138" s="9">
        <f t="shared" si="15"/>
        <v>292.76153136923</v>
      </c>
      <c r="J138" s="9">
        <f t="shared" si="16"/>
        <v>1248.0910927364298</v>
      </c>
      <c r="K138" s="9">
        <f t="shared" si="17"/>
        <v>292.76153136923</v>
      </c>
      <c r="L138" s="10">
        <f t="shared" si="14"/>
        <v>0.23456743908599867</v>
      </c>
      <c r="M138" s="10">
        <f t="shared" si="18"/>
        <v>0.23553192327259212</v>
      </c>
      <c r="P138" s="8">
        <f t="shared" si="19"/>
        <v>17.044972767976596</v>
      </c>
      <c r="X138" s="8">
        <v>-13</v>
      </c>
    </row>
    <row r="139" spans="1:24" x14ac:dyDescent="0.2">
      <c r="A139" s="8">
        <v>68.5</v>
      </c>
      <c r="B139" s="8">
        <v>137</v>
      </c>
      <c r="D139">
        <v>1372.1078151740001</v>
      </c>
      <c r="E139">
        <v>405.00855675984002</v>
      </c>
      <c r="F139">
        <v>128.89862542955001</v>
      </c>
      <c r="G139">
        <v>112.53207331042</v>
      </c>
      <c r="I139" s="9">
        <f t="shared" si="15"/>
        <v>292.47648344942002</v>
      </c>
      <c r="J139" s="9">
        <f t="shared" si="16"/>
        <v>1243.20918974445</v>
      </c>
      <c r="K139" s="9">
        <f t="shared" si="17"/>
        <v>292.47648344942002</v>
      </c>
      <c r="L139" s="10">
        <f t="shared" si="14"/>
        <v>0.23525926759722596</v>
      </c>
      <c r="M139" s="10">
        <f t="shared" si="18"/>
        <v>0.23623084357930907</v>
      </c>
      <c r="P139" s="8">
        <f t="shared" si="19"/>
        <v>17.392293450158579</v>
      </c>
      <c r="X139" s="8">
        <v>-13</v>
      </c>
    </row>
    <row r="140" spans="1:24" x14ac:dyDescent="0.2">
      <c r="A140" s="8">
        <v>69</v>
      </c>
      <c r="B140" s="8">
        <v>138</v>
      </c>
      <c r="D140">
        <v>1503.0433542498999</v>
      </c>
      <c r="E140">
        <v>433.99543639475002</v>
      </c>
      <c r="F140">
        <v>128.42439862543</v>
      </c>
      <c r="G140">
        <v>112.67869415808001</v>
      </c>
      <c r="I140" s="9">
        <f t="shared" si="15"/>
        <v>321.31674223667</v>
      </c>
      <c r="J140" s="9">
        <f t="shared" si="16"/>
        <v>1374.6189556244699</v>
      </c>
      <c r="K140" s="9">
        <f t="shared" si="17"/>
        <v>321.31674223667</v>
      </c>
      <c r="L140" s="10">
        <f t="shared" si="14"/>
        <v>0.23374968090026108</v>
      </c>
      <c r="M140" s="10">
        <f t="shared" si="18"/>
        <v>0.23472834867783385</v>
      </c>
      <c r="P140" s="8">
        <f t="shared" si="19"/>
        <v>16.645645299947279</v>
      </c>
      <c r="X140" s="8">
        <v>-13</v>
      </c>
    </row>
    <row r="141" spans="1:24" x14ac:dyDescent="0.2">
      <c r="A141" s="8">
        <v>69.5</v>
      </c>
      <c r="B141" s="8">
        <v>139</v>
      </c>
      <c r="D141">
        <v>1519.9332572732999</v>
      </c>
      <c r="E141">
        <v>439.45921277809998</v>
      </c>
      <c r="F141">
        <v>128.49369988545001</v>
      </c>
      <c r="G141">
        <v>112.40721649485</v>
      </c>
      <c r="I141" s="9">
        <f t="shared" si="15"/>
        <v>327.05199628324999</v>
      </c>
      <c r="J141" s="9">
        <f t="shared" si="16"/>
        <v>1391.4395573878498</v>
      </c>
      <c r="K141" s="9">
        <f t="shared" si="17"/>
        <v>327.05199628324999</v>
      </c>
      <c r="L141" s="10">
        <f t="shared" si="14"/>
        <v>0.23504578013954475</v>
      </c>
      <c r="M141" s="10">
        <f t="shared" si="18"/>
        <v>0.23603153971260718</v>
      </c>
      <c r="P141" s="8">
        <f t="shared" si="19"/>
        <v>17.293251607649289</v>
      </c>
      <c r="X141" s="8">
        <v>-13</v>
      </c>
    </row>
    <row r="142" spans="1:24" x14ac:dyDescent="0.2">
      <c r="A142" s="8">
        <v>70</v>
      </c>
      <c r="B142" s="8">
        <v>140</v>
      </c>
      <c r="D142">
        <v>1544.9366799771999</v>
      </c>
      <c r="E142">
        <v>439.63205932686998</v>
      </c>
      <c r="F142">
        <v>128.01775486827</v>
      </c>
      <c r="G142">
        <v>112.20045819015</v>
      </c>
      <c r="I142" s="9">
        <f t="shared" si="15"/>
        <v>327.43160113671996</v>
      </c>
      <c r="J142" s="9">
        <f t="shared" si="16"/>
        <v>1416.9189251089299</v>
      </c>
      <c r="K142" s="9">
        <f t="shared" si="17"/>
        <v>327.43160113671996</v>
      </c>
      <c r="L142" s="10">
        <f t="shared" si="14"/>
        <v>0.23108704057400298</v>
      </c>
      <c r="M142" s="10">
        <f t="shared" si="18"/>
        <v>0.23207989194255507</v>
      </c>
      <c r="P142" s="8">
        <f t="shared" si="19"/>
        <v>15.329524146811258</v>
      </c>
      <c r="X142" s="8">
        <v>-13</v>
      </c>
    </row>
    <row r="143" spans="1:24" x14ac:dyDescent="0.2">
      <c r="A143" s="8">
        <v>70.5</v>
      </c>
      <c r="B143" s="8">
        <v>141</v>
      </c>
      <c r="D143">
        <v>1506.7646723646999</v>
      </c>
      <c r="E143">
        <v>426.09743589743999</v>
      </c>
      <c r="F143">
        <v>128.84822451317001</v>
      </c>
      <c r="G143">
        <v>112.58991981672</v>
      </c>
      <c r="I143" s="9">
        <f t="shared" si="15"/>
        <v>313.50751608071999</v>
      </c>
      <c r="J143" s="9">
        <f t="shared" si="16"/>
        <v>1377.9164478515299</v>
      </c>
      <c r="K143" s="9">
        <f t="shared" si="17"/>
        <v>313.50751608071999</v>
      </c>
      <c r="L143" s="10">
        <f t="shared" si="14"/>
        <v>0.22752287816111499</v>
      </c>
      <c r="M143" s="10">
        <f t="shared" si="18"/>
        <v>0.22852282132515675</v>
      </c>
      <c r="P143" s="8">
        <f t="shared" si="19"/>
        <v>13.561877418663457</v>
      </c>
      <c r="X143" s="8">
        <v>-13</v>
      </c>
    </row>
    <row r="144" spans="1:24" x14ac:dyDescent="0.2">
      <c r="A144" s="8">
        <v>71</v>
      </c>
      <c r="B144" s="8">
        <v>142</v>
      </c>
      <c r="D144">
        <v>1529.8017094017</v>
      </c>
      <c r="E144">
        <v>427.97150997150999</v>
      </c>
      <c r="F144">
        <v>128.68384879724999</v>
      </c>
      <c r="G144">
        <v>112.44444444443999</v>
      </c>
      <c r="I144" s="9">
        <f t="shared" si="15"/>
        <v>315.52706552707002</v>
      </c>
      <c r="J144" s="9">
        <f t="shared" si="16"/>
        <v>1401.11786060445</v>
      </c>
      <c r="K144" s="9">
        <f t="shared" si="17"/>
        <v>315.52706552707002</v>
      </c>
      <c r="L144" s="10">
        <f t="shared" si="14"/>
        <v>0.22519666217869058</v>
      </c>
      <c r="M144" s="10">
        <f t="shared" si="18"/>
        <v>0.226203697138222</v>
      </c>
      <c r="P144" s="8">
        <f t="shared" si="19"/>
        <v>12.4094144169022</v>
      </c>
    </row>
    <row r="145" spans="1:16" x14ac:dyDescent="0.2">
      <c r="A145" s="8">
        <v>71.5</v>
      </c>
      <c r="B145" s="8">
        <v>143</v>
      </c>
      <c r="D145">
        <v>1415.1726495727</v>
      </c>
      <c r="E145">
        <v>405.72193732194</v>
      </c>
      <c r="F145">
        <v>128.28350515464001</v>
      </c>
      <c r="G145">
        <v>112.36368843069999</v>
      </c>
      <c r="I145" s="9">
        <f t="shared" si="15"/>
        <v>293.35824889124001</v>
      </c>
      <c r="J145" s="9">
        <f t="shared" si="16"/>
        <v>1286.8891444180599</v>
      </c>
      <c r="K145" s="9">
        <f t="shared" si="17"/>
        <v>293.35824889124001</v>
      </c>
      <c r="L145" s="10">
        <f t="shared" si="14"/>
        <v>0.22795922256683471</v>
      </c>
      <c r="M145" s="10">
        <f t="shared" si="18"/>
        <v>0.22897334932185576</v>
      </c>
      <c r="P145" s="8">
        <f t="shared" si="19"/>
        <v>13.785762301749207</v>
      </c>
    </row>
    <row r="146" spans="1:16" x14ac:dyDescent="0.2">
      <c r="A146" s="8">
        <v>72</v>
      </c>
      <c r="B146" s="8">
        <v>144</v>
      </c>
      <c r="D146">
        <v>1403.9772079771999</v>
      </c>
      <c r="E146">
        <v>403.77891737892003</v>
      </c>
      <c r="F146">
        <v>128.04581901488999</v>
      </c>
      <c r="G146">
        <v>112.33791523482</v>
      </c>
      <c r="I146" s="9">
        <f t="shared" si="15"/>
        <v>291.44100214410003</v>
      </c>
      <c r="J146" s="9">
        <f t="shared" si="16"/>
        <v>1275.9313889623099</v>
      </c>
      <c r="K146" s="9">
        <f t="shared" si="17"/>
        <v>291.44100214410003</v>
      </c>
      <c r="L146" s="10">
        <f t="shared" si="14"/>
        <v>0.22841432122860719</v>
      </c>
      <c r="M146" s="10">
        <f t="shared" si="18"/>
        <v>0.2294355397791179</v>
      </c>
      <c r="P146" s="8">
        <f t="shared" si="19"/>
        <v>14.015442715054615</v>
      </c>
    </row>
    <row r="147" spans="1:16" x14ac:dyDescent="0.2">
      <c r="A147" s="8">
        <v>72.5</v>
      </c>
      <c r="B147" s="8">
        <v>145</v>
      </c>
      <c r="D147">
        <v>1515.2723646724</v>
      </c>
      <c r="E147">
        <v>424.93561253561001</v>
      </c>
      <c r="F147">
        <v>128.85051546392</v>
      </c>
      <c r="G147">
        <v>112.47709049255</v>
      </c>
      <c r="I147" s="9">
        <f t="shared" si="15"/>
        <v>312.45852204305999</v>
      </c>
      <c r="J147" s="9">
        <f t="shared" si="16"/>
        <v>1386.4218492084801</v>
      </c>
      <c r="K147" s="9">
        <f t="shared" si="17"/>
        <v>312.45852204305999</v>
      </c>
      <c r="L147" s="10">
        <f t="shared" si="14"/>
        <v>0.22537045432560457</v>
      </c>
      <c r="M147" s="10">
        <f t="shared" si="18"/>
        <v>0.22639876467160494</v>
      </c>
      <c r="P147" s="8">
        <f t="shared" si="19"/>
        <v>12.506351060629678</v>
      </c>
    </row>
    <row r="148" spans="1:16" x14ac:dyDescent="0.2">
      <c r="A148" s="8">
        <v>73</v>
      </c>
      <c r="B148" s="8">
        <v>146</v>
      </c>
      <c r="D148">
        <v>1456.3977207977</v>
      </c>
      <c r="E148">
        <v>413.04957264957</v>
      </c>
      <c r="F148">
        <v>128.66609392897999</v>
      </c>
      <c r="G148">
        <v>112.33676975944999</v>
      </c>
      <c r="I148" s="9">
        <f t="shared" si="15"/>
        <v>300.71280289011997</v>
      </c>
      <c r="J148" s="9">
        <f t="shared" si="16"/>
        <v>1327.73162686872</v>
      </c>
      <c r="K148" s="9">
        <f t="shared" si="17"/>
        <v>300.71280289011997</v>
      </c>
      <c r="L148" s="10">
        <f t="shared" si="14"/>
        <v>0.2264861337974689</v>
      </c>
      <c r="M148" s="10">
        <f t="shared" si="18"/>
        <v>0.22752153593895894</v>
      </c>
      <c r="P148" s="8">
        <f t="shared" si="19"/>
        <v>13.064299769179144</v>
      </c>
    </row>
    <row r="149" spans="1:16" x14ac:dyDescent="0.2">
      <c r="A149" s="8">
        <v>73.5</v>
      </c>
      <c r="B149" s="8">
        <v>147</v>
      </c>
      <c r="D149">
        <v>1432.8132803632</v>
      </c>
      <c r="E149">
        <v>416.58740068103998</v>
      </c>
      <c r="F149">
        <v>128.37571592211</v>
      </c>
      <c r="G149">
        <v>112.42325315006001</v>
      </c>
      <c r="I149" s="9">
        <f t="shared" si="15"/>
        <v>304.16414753097996</v>
      </c>
      <c r="J149" s="9">
        <f t="shared" si="16"/>
        <v>1304.43756444109</v>
      </c>
      <c r="K149" s="9">
        <f t="shared" si="17"/>
        <v>304.16414753097996</v>
      </c>
      <c r="L149" s="10">
        <f t="shared" si="14"/>
        <v>0.23317647070467848</v>
      </c>
      <c r="M149" s="10">
        <f t="shared" si="18"/>
        <v>0.23421896464165817</v>
      </c>
      <c r="P149" s="8">
        <f t="shared" si="19"/>
        <v>16.392512561869893</v>
      </c>
    </row>
    <row r="150" spans="1:16" x14ac:dyDescent="0.2">
      <c r="A150" s="8">
        <v>74</v>
      </c>
      <c r="B150" s="8">
        <v>148</v>
      </c>
      <c r="D150">
        <v>1420.2932501417999</v>
      </c>
      <c r="E150">
        <v>412.54736245036997</v>
      </c>
      <c r="F150">
        <v>127.69988545245999</v>
      </c>
      <c r="G150">
        <v>112.39175257732001</v>
      </c>
      <c r="I150" s="9">
        <f t="shared" si="15"/>
        <v>300.15560987304997</v>
      </c>
      <c r="J150" s="9">
        <f t="shared" si="16"/>
        <v>1292.59336468934</v>
      </c>
      <c r="K150" s="9">
        <f t="shared" si="17"/>
        <v>300.15560987304997</v>
      </c>
      <c r="L150" s="10">
        <f t="shared" si="14"/>
        <v>0.23221193770029055</v>
      </c>
      <c r="M150" s="10">
        <f t="shared" si="18"/>
        <v>0.23326152343275991</v>
      </c>
      <c r="P150" s="8">
        <f t="shared" si="19"/>
        <v>15.916722789233685</v>
      </c>
    </row>
    <row r="151" spans="1:16" x14ac:dyDescent="0.2">
      <c r="A151" s="8">
        <v>74.5</v>
      </c>
      <c r="B151" s="8">
        <v>149</v>
      </c>
      <c r="D151">
        <v>1443.8150879182999</v>
      </c>
      <c r="E151">
        <v>416.04310833805999</v>
      </c>
      <c r="F151">
        <v>128.38659793814</v>
      </c>
      <c r="G151">
        <v>112.40549828179</v>
      </c>
      <c r="I151" s="9">
        <f t="shared" si="15"/>
        <v>303.63761005626998</v>
      </c>
      <c r="J151" s="9">
        <f t="shared" si="16"/>
        <v>1315.4284899801598</v>
      </c>
      <c r="K151" s="9">
        <f t="shared" si="17"/>
        <v>303.63761005626998</v>
      </c>
      <c r="L151" s="10">
        <f t="shared" si="14"/>
        <v>0.2308279107295674</v>
      </c>
      <c r="M151" s="10">
        <f t="shared" si="18"/>
        <v>0.23188458825752642</v>
      </c>
      <c r="P151" s="8">
        <f t="shared" si="19"/>
        <v>15.232470150146831</v>
      </c>
    </row>
    <row r="152" spans="1:16" x14ac:dyDescent="0.2">
      <c r="A152" s="8">
        <v>75</v>
      </c>
      <c r="B152" s="8">
        <v>150</v>
      </c>
      <c r="D152">
        <v>1547.1253545094</v>
      </c>
      <c r="E152">
        <v>434.34032898469002</v>
      </c>
      <c r="F152">
        <v>128.47365406643999</v>
      </c>
      <c r="G152">
        <v>112.27376861398</v>
      </c>
      <c r="I152" s="9">
        <f t="shared" si="15"/>
        <v>322.06656037071002</v>
      </c>
      <c r="J152" s="9">
        <f t="shared" si="16"/>
        <v>1418.65170044296</v>
      </c>
      <c r="K152" s="9">
        <f t="shared" si="17"/>
        <v>322.06656037071002</v>
      </c>
      <c r="L152" s="10">
        <f t="shared" si="14"/>
        <v>0.22702299674412538</v>
      </c>
      <c r="M152" s="10">
        <f t="shared" si="18"/>
        <v>0.22808676606757405</v>
      </c>
      <c r="P152" s="8">
        <f t="shared" si="19"/>
        <v>13.345184602505238</v>
      </c>
    </row>
    <row r="153" spans="1:16" x14ac:dyDescent="0.2">
      <c r="A153" s="8">
        <v>75.5</v>
      </c>
      <c r="B153" s="8">
        <v>151</v>
      </c>
      <c r="D153">
        <v>1533.9420454546</v>
      </c>
      <c r="E153">
        <v>431.58977272726997</v>
      </c>
      <c r="F153">
        <v>128.29839633448</v>
      </c>
      <c r="G153">
        <v>112.67067583047</v>
      </c>
      <c r="I153" s="9">
        <f t="shared" si="15"/>
        <v>318.91909689679994</v>
      </c>
      <c r="J153" s="9">
        <f t="shared" si="16"/>
        <v>1405.64364912012</v>
      </c>
      <c r="K153" s="9">
        <f t="shared" si="17"/>
        <v>318.91909689679994</v>
      </c>
      <c r="L153" s="10">
        <f t="shared" si="14"/>
        <v>0.22688474215810764</v>
      </c>
      <c r="M153" s="10">
        <f t="shared" si="18"/>
        <v>0.22795560327704598</v>
      </c>
      <c r="P153" s="8">
        <f t="shared" si="19"/>
        <v>13.280004710827612</v>
      </c>
    </row>
    <row r="154" spans="1:16" x14ac:dyDescent="0.2">
      <c r="A154" s="8">
        <v>76</v>
      </c>
      <c r="B154" s="8">
        <v>152</v>
      </c>
      <c r="D154">
        <v>1409.5630681818</v>
      </c>
      <c r="E154">
        <v>406.13749999999999</v>
      </c>
      <c r="F154">
        <v>128.31042382589001</v>
      </c>
      <c r="G154">
        <v>112.29266895761999</v>
      </c>
      <c r="I154" s="9">
        <f t="shared" si="15"/>
        <v>293.84483104238001</v>
      </c>
      <c r="J154" s="9">
        <f t="shared" si="16"/>
        <v>1281.25264435591</v>
      </c>
      <c r="K154" s="9">
        <f t="shared" si="17"/>
        <v>293.84483104238001</v>
      </c>
      <c r="L154" s="10">
        <f t="shared" si="14"/>
        <v>0.2293418338192752</v>
      </c>
      <c r="M154" s="10">
        <f t="shared" si="18"/>
        <v>0.23041978673370317</v>
      </c>
      <c r="P154" s="8">
        <f t="shared" si="19"/>
        <v>14.504553305227436</v>
      </c>
    </row>
    <row r="155" spans="1:16" x14ac:dyDescent="0.2">
      <c r="A155" s="8">
        <v>76.5</v>
      </c>
      <c r="B155" s="8">
        <v>153</v>
      </c>
      <c r="D155">
        <v>1546.0306818182</v>
      </c>
      <c r="E155">
        <v>431.20227272726999</v>
      </c>
      <c r="F155">
        <v>128.77090492554001</v>
      </c>
      <c r="G155">
        <v>112.37571592211</v>
      </c>
      <c r="I155" s="9">
        <f t="shared" si="15"/>
        <v>318.82655680515995</v>
      </c>
      <c r="J155" s="9">
        <f t="shared" si="16"/>
        <v>1417.2597768926601</v>
      </c>
      <c r="K155" s="9">
        <f t="shared" si="17"/>
        <v>318.82655680515995</v>
      </c>
      <c r="L155" s="10">
        <f t="shared" si="14"/>
        <v>0.22495985704482963</v>
      </c>
      <c r="M155" s="10">
        <f t="shared" si="18"/>
        <v>0.22604490175474726</v>
      </c>
      <c r="P155" s="8">
        <f t="shared" si="19"/>
        <v>12.330502815127646</v>
      </c>
    </row>
    <row r="156" spans="1:16" x14ac:dyDescent="0.2">
      <c r="A156" s="8">
        <v>77</v>
      </c>
      <c r="B156" s="8">
        <v>154</v>
      </c>
      <c r="D156">
        <v>1568.8767045454999</v>
      </c>
      <c r="E156">
        <v>436.89147727273001</v>
      </c>
      <c r="F156">
        <v>128.10939289805</v>
      </c>
      <c r="G156">
        <v>112.46620847651999</v>
      </c>
      <c r="I156" s="9">
        <f t="shared" si="15"/>
        <v>324.42526879621005</v>
      </c>
      <c r="J156" s="9">
        <f t="shared" si="16"/>
        <v>1440.76731164745</v>
      </c>
      <c r="K156" s="9">
        <f t="shared" si="17"/>
        <v>324.42526879621005</v>
      </c>
      <c r="L156" s="10">
        <f t="shared" si="14"/>
        <v>0.22517533967733133</v>
      </c>
      <c r="M156" s="10">
        <f t="shared" si="18"/>
        <v>0.22626747618273862</v>
      </c>
      <c r="P156" s="8">
        <f t="shared" si="19"/>
        <v>12.441108704559234</v>
      </c>
    </row>
    <row r="157" spans="1:16" x14ac:dyDescent="0.2">
      <c r="A157" s="8">
        <v>77.5</v>
      </c>
      <c r="B157" s="8">
        <v>155</v>
      </c>
      <c r="D157">
        <v>1436.5676136364</v>
      </c>
      <c r="E157">
        <v>410.42897727272998</v>
      </c>
      <c r="F157">
        <v>128.62943871707</v>
      </c>
      <c r="G157">
        <v>112.08075601375</v>
      </c>
      <c r="I157" s="9">
        <f t="shared" si="15"/>
        <v>298.34822125897995</v>
      </c>
      <c r="J157" s="9">
        <f t="shared" si="16"/>
        <v>1307.9381749193299</v>
      </c>
      <c r="K157" s="9">
        <f t="shared" si="17"/>
        <v>298.34822125897995</v>
      </c>
      <c r="L157" s="10">
        <f t="shared" si="14"/>
        <v>0.22810575222898535</v>
      </c>
      <c r="M157" s="10">
        <f t="shared" si="18"/>
        <v>0.22920498052988231</v>
      </c>
      <c r="P157" s="8">
        <f t="shared" si="19"/>
        <v>13.90086885740835</v>
      </c>
    </row>
    <row r="158" spans="1:16" x14ac:dyDescent="0.2">
      <c r="A158" s="8">
        <v>78</v>
      </c>
      <c r="B158" s="8">
        <v>156</v>
      </c>
      <c r="D158">
        <v>1430.0723234623999</v>
      </c>
      <c r="E158">
        <v>413.00398633256998</v>
      </c>
      <c r="F158">
        <v>128.23768613975</v>
      </c>
      <c r="G158">
        <v>112.18041237113</v>
      </c>
      <c r="I158" s="9">
        <f t="shared" si="15"/>
        <v>300.82357396143999</v>
      </c>
      <c r="J158" s="9">
        <f t="shared" si="16"/>
        <v>1301.83463732265</v>
      </c>
      <c r="K158" s="9">
        <f t="shared" si="17"/>
        <v>300.82357396143999</v>
      </c>
      <c r="L158" s="10">
        <f t="shared" si="14"/>
        <v>0.23107664010239659</v>
      </c>
      <c r="M158" s="10">
        <f t="shared" si="18"/>
        <v>0.23218296019878321</v>
      </c>
      <c r="P158" s="8">
        <f t="shared" si="19"/>
        <v>15.38074277176811</v>
      </c>
    </row>
    <row r="159" spans="1:16" x14ac:dyDescent="0.2">
      <c r="A159" s="8">
        <v>78.5</v>
      </c>
      <c r="B159" s="8">
        <v>157</v>
      </c>
      <c r="D159">
        <v>1489.236332574</v>
      </c>
      <c r="E159">
        <v>422.86731207289</v>
      </c>
      <c r="F159">
        <v>128.49083619702</v>
      </c>
      <c r="G159">
        <v>112.34249713631</v>
      </c>
      <c r="I159" s="9">
        <f t="shared" si="15"/>
        <v>310.52481493658001</v>
      </c>
      <c r="J159" s="9">
        <f t="shared" si="16"/>
        <v>1360.7454963769801</v>
      </c>
      <c r="K159" s="9">
        <f t="shared" si="17"/>
        <v>310.52481493658001</v>
      </c>
      <c r="L159" s="10">
        <f t="shared" si="14"/>
        <v>0.22820197881481902</v>
      </c>
      <c r="M159" s="10">
        <f t="shared" si="18"/>
        <v>0.22931539070669529</v>
      </c>
      <c r="P159" s="8">
        <f t="shared" si="19"/>
        <v>13.955735968239127</v>
      </c>
    </row>
    <row r="160" spans="1:16" x14ac:dyDescent="0.2">
      <c r="A160" s="8">
        <v>79</v>
      </c>
      <c r="B160" s="8">
        <v>158</v>
      </c>
      <c r="D160">
        <v>1493.7033029613001</v>
      </c>
      <c r="E160">
        <v>424.86788154897999</v>
      </c>
      <c r="F160">
        <v>128.34936998855</v>
      </c>
      <c r="G160">
        <v>112.00114547537</v>
      </c>
      <c r="I160" s="9">
        <f t="shared" si="15"/>
        <v>312.86673607361001</v>
      </c>
      <c r="J160" s="9">
        <f t="shared" si="16"/>
        <v>1365.35393297275</v>
      </c>
      <c r="K160" s="9">
        <f t="shared" si="17"/>
        <v>312.86673607361001</v>
      </c>
      <c r="L160" s="10">
        <f t="shared" si="14"/>
        <v>0.22914698417604679</v>
      </c>
      <c r="M160" s="10">
        <f t="shared" si="18"/>
        <v>0.23026748786341272</v>
      </c>
      <c r="P160" s="8">
        <f t="shared" si="19"/>
        <v>14.428870073510652</v>
      </c>
    </row>
    <row r="161" spans="1:16" x14ac:dyDescent="0.2">
      <c r="A161" s="8">
        <v>79.5</v>
      </c>
      <c r="B161" s="8">
        <v>159</v>
      </c>
      <c r="D161">
        <v>1506.1417995444001</v>
      </c>
      <c r="E161">
        <v>426.13268792711</v>
      </c>
      <c r="F161">
        <v>128.20332187858</v>
      </c>
      <c r="G161">
        <v>112.03035509737001</v>
      </c>
      <c r="I161" s="9">
        <f t="shared" si="15"/>
        <v>314.10233282974002</v>
      </c>
      <c r="J161" s="9">
        <f t="shared" si="16"/>
        <v>1377.9384776658201</v>
      </c>
      <c r="K161" s="9">
        <f t="shared" si="17"/>
        <v>314.10233282974002</v>
      </c>
      <c r="L161" s="10">
        <f t="shared" si="14"/>
        <v>0.22795091212041518</v>
      </c>
      <c r="M161" s="10">
        <f t="shared" si="18"/>
        <v>0.22907850760327078</v>
      </c>
      <c r="P161" s="8">
        <f t="shared" si="19"/>
        <v>13.83801954150479</v>
      </c>
    </row>
    <row r="162" spans="1:16" x14ac:dyDescent="0.2">
      <c r="A162" s="8">
        <v>80</v>
      </c>
      <c r="B162" s="4">
        <v>160</v>
      </c>
      <c r="C162" s="4" t="s">
        <v>6</v>
      </c>
      <c r="D162">
        <v>1476.7124145785999</v>
      </c>
      <c r="E162">
        <v>422.89578587698998</v>
      </c>
      <c r="F162">
        <v>128.18442153493999</v>
      </c>
      <c r="G162">
        <v>112.0824742268</v>
      </c>
      <c r="H162" s="4"/>
      <c r="I162" s="5">
        <f t="shared" si="15"/>
        <v>310.81331165018997</v>
      </c>
      <c r="J162" s="5">
        <f t="shared" si="16"/>
        <v>1348.52799304366</v>
      </c>
      <c r="K162" s="9">
        <f t="shared" si="17"/>
        <v>310.81331165018997</v>
      </c>
      <c r="L162" s="6">
        <f t="shared" si="14"/>
        <v>0.230483396157522</v>
      </c>
      <c r="M162" s="6">
        <f t="shared" si="18"/>
        <v>0.23161808343586726</v>
      </c>
      <c r="N162" s="4"/>
      <c r="O162" s="4"/>
      <c r="P162" s="4">
        <f t="shared" si="19"/>
        <v>15.100033539600712</v>
      </c>
    </row>
    <row r="163" spans="1:16" x14ac:dyDescent="0.2">
      <c r="A163" s="8">
        <v>80.5</v>
      </c>
      <c r="B163" s="8">
        <v>161</v>
      </c>
      <c r="D163">
        <v>1438.8547835991001</v>
      </c>
      <c r="E163">
        <v>414.36275626423998</v>
      </c>
      <c r="F163">
        <v>128.16609392897999</v>
      </c>
      <c r="G163">
        <v>112.00859106529001</v>
      </c>
      <c r="I163" s="9">
        <f t="shared" si="15"/>
        <v>302.35416519895</v>
      </c>
      <c r="J163" s="9">
        <f t="shared" si="16"/>
        <v>1310.6886896701201</v>
      </c>
      <c r="K163" s="9">
        <f t="shared" si="17"/>
        <v>302.35416519895</v>
      </c>
      <c r="L163" s="10">
        <f t="shared" si="14"/>
        <v>0.23068343198646798</v>
      </c>
      <c r="M163" s="10">
        <f t="shared" si="18"/>
        <v>0.23182521106030288</v>
      </c>
      <c r="P163" s="8">
        <f t="shared" si="19"/>
        <v>15.202963311602383</v>
      </c>
    </row>
    <row r="164" spans="1:16" x14ac:dyDescent="0.2">
      <c r="A164" s="8">
        <v>81</v>
      </c>
      <c r="B164" s="8">
        <v>162</v>
      </c>
      <c r="D164">
        <v>1466.1958997721999</v>
      </c>
      <c r="E164">
        <v>417.89293849657997</v>
      </c>
      <c r="F164">
        <v>127.91695303551001</v>
      </c>
      <c r="G164">
        <v>112.15979381443</v>
      </c>
      <c r="I164" s="9">
        <f t="shared" si="15"/>
        <v>305.73314468214994</v>
      </c>
      <c r="J164" s="9">
        <f t="shared" si="16"/>
        <v>1338.2789467366899</v>
      </c>
      <c r="K164" s="9">
        <f t="shared" si="17"/>
        <v>305.73314468214994</v>
      </c>
      <c r="L164" s="10">
        <f t="shared" si="14"/>
        <v>0.22845248027525294</v>
      </c>
      <c r="M164" s="10">
        <f t="shared" si="18"/>
        <v>0.2296013511445775</v>
      </c>
      <c r="P164" s="8">
        <f t="shared" si="19"/>
        <v>14.097840831136649</v>
      </c>
    </row>
    <row r="165" spans="1:16" x14ac:dyDescent="0.2">
      <c r="A165" s="8">
        <v>81.5</v>
      </c>
      <c r="B165" s="8">
        <v>163</v>
      </c>
      <c r="D165">
        <v>1418.9305239180001</v>
      </c>
      <c r="E165">
        <v>407.56378132118999</v>
      </c>
      <c r="F165">
        <v>128.29839633448</v>
      </c>
      <c r="G165">
        <v>112.08934707904</v>
      </c>
      <c r="I165" s="9">
        <f t="shared" si="15"/>
        <v>295.47443424214998</v>
      </c>
      <c r="J165" s="9">
        <f t="shared" si="16"/>
        <v>1290.6321275835201</v>
      </c>
      <c r="K165" s="9">
        <f t="shared" si="17"/>
        <v>295.47443424214998</v>
      </c>
      <c r="L165" s="10">
        <f t="shared" si="14"/>
        <v>0.22893776462497761</v>
      </c>
      <c r="M165" s="10">
        <f t="shared" si="18"/>
        <v>0.23009372728979183</v>
      </c>
      <c r="P165" s="8">
        <f t="shared" si="19"/>
        <v>14.342521686739879</v>
      </c>
    </row>
    <row r="166" spans="1:16" x14ac:dyDescent="0.2">
      <c r="A166" s="8">
        <v>82</v>
      </c>
      <c r="B166" s="8">
        <v>164</v>
      </c>
      <c r="D166">
        <v>1350.2158314351</v>
      </c>
      <c r="E166">
        <v>393.00740318906998</v>
      </c>
      <c r="F166">
        <v>128.16723940435</v>
      </c>
      <c r="G166">
        <v>112.35681557847001</v>
      </c>
      <c r="I166" s="9">
        <f t="shared" si="15"/>
        <v>280.65058761059998</v>
      </c>
      <c r="J166" s="9">
        <f t="shared" si="16"/>
        <v>1222.0485920307499</v>
      </c>
      <c r="K166" s="9">
        <f t="shared" si="17"/>
        <v>280.65058761059998</v>
      </c>
      <c r="L166" s="10">
        <f t="shared" si="14"/>
        <v>0.22965583319745611</v>
      </c>
      <c r="M166" s="10">
        <f t="shared" si="18"/>
        <v>0.23081888765775999</v>
      </c>
      <c r="P166" s="8">
        <f t="shared" si="19"/>
        <v>14.70288207586224</v>
      </c>
    </row>
    <row r="167" spans="1:16" x14ac:dyDescent="0.2">
      <c r="A167" s="8">
        <v>82.5</v>
      </c>
      <c r="B167" s="8">
        <v>165</v>
      </c>
      <c r="D167">
        <v>1522.5990888383001</v>
      </c>
      <c r="E167">
        <v>418.59282460137001</v>
      </c>
      <c r="F167">
        <v>128.37056128293</v>
      </c>
      <c r="G167">
        <v>112.19759450172</v>
      </c>
      <c r="I167" s="9">
        <f t="shared" si="15"/>
        <v>306.39523009965001</v>
      </c>
      <c r="J167" s="9">
        <f t="shared" si="16"/>
        <v>1394.22852755537</v>
      </c>
      <c r="K167" s="9">
        <f t="shared" si="17"/>
        <v>306.39523009965001</v>
      </c>
      <c r="L167" s="10">
        <f t="shared" si="14"/>
        <v>0.21975969078532709</v>
      </c>
      <c r="M167" s="10">
        <f t="shared" si="18"/>
        <v>0.22092983704112062</v>
      </c>
      <c r="P167" s="8">
        <f t="shared" si="19"/>
        <v>9.7886282284714152</v>
      </c>
    </row>
    <row r="168" spans="1:16" x14ac:dyDescent="0.2">
      <c r="A168" s="8">
        <v>83</v>
      </c>
      <c r="B168" s="8">
        <v>166</v>
      </c>
      <c r="D168">
        <v>1448.1977207977</v>
      </c>
      <c r="E168">
        <v>397.33105413105</v>
      </c>
      <c r="F168">
        <v>128.33791523482</v>
      </c>
      <c r="G168">
        <v>112.43585337915</v>
      </c>
      <c r="I168" s="9">
        <f t="shared" si="15"/>
        <v>284.89520075190001</v>
      </c>
      <c r="J168" s="9">
        <f t="shared" si="16"/>
        <v>1319.85980556288</v>
      </c>
      <c r="K168" s="9">
        <f t="shared" si="17"/>
        <v>284.89520075190001</v>
      </c>
      <c r="L168" s="10">
        <f t="shared" si="14"/>
        <v>0.21585262279458606</v>
      </c>
      <c r="M168" s="10">
        <f t="shared" si="18"/>
        <v>0.21702986084586925</v>
      </c>
      <c r="P168" s="8">
        <f t="shared" si="19"/>
        <v>7.8505783827158728</v>
      </c>
    </row>
    <row r="169" spans="1:16" x14ac:dyDescent="0.2">
      <c r="A169" s="8">
        <v>83.5</v>
      </c>
      <c r="B169" s="8">
        <v>167</v>
      </c>
      <c r="D169">
        <v>1469.2438746439</v>
      </c>
      <c r="E169">
        <v>402.31339031339002</v>
      </c>
      <c r="F169">
        <v>128.52520045819</v>
      </c>
      <c r="G169">
        <v>112.24513172967001</v>
      </c>
      <c r="I169" s="9">
        <f t="shared" si="15"/>
        <v>290.06825858372002</v>
      </c>
      <c r="J169" s="9">
        <f t="shared" si="16"/>
        <v>1340.7186741857099</v>
      </c>
      <c r="K169" s="9">
        <f t="shared" si="17"/>
        <v>290.06825858372002</v>
      </c>
      <c r="L169" s="10">
        <f t="shared" si="14"/>
        <v>0.21635281447831997</v>
      </c>
      <c r="M169" s="10">
        <f t="shared" si="18"/>
        <v>0.21753714432509283</v>
      </c>
      <c r="P169" s="8">
        <f t="shared" si="19"/>
        <v>8.1026672723508035</v>
      </c>
    </row>
    <row r="170" spans="1:16" x14ac:dyDescent="0.2">
      <c r="A170" s="8">
        <v>84</v>
      </c>
      <c r="B170" s="8">
        <v>168</v>
      </c>
      <c r="D170">
        <v>1504.1071225071</v>
      </c>
      <c r="E170">
        <v>410.32706552706998</v>
      </c>
      <c r="F170">
        <v>128.46735395189</v>
      </c>
      <c r="G170">
        <v>112.65349369989001</v>
      </c>
      <c r="I170" s="9">
        <f t="shared" si="15"/>
        <v>297.67357182717996</v>
      </c>
      <c r="J170" s="9">
        <f t="shared" si="16"/>
        <v>1375.6397685552101</v>
      </c>
      <c r="K170" s="9">
        <f t="shared" si="17"/>
        <v>297.67357182717996</v>
      </c>
      <c r="L170" s="10">
        <f t="shared" si="14"/>
        <v>0.21638918751223429</v>
      </c>
      <c r="M170" s="10">
        <f t="shared" si="18"/>
        <v>0.21758060915449681</v>
      </c>
      <c r="P170" s="8">
        <f t="shared" si="19"/>
        <v>8.1242666364763458</v>
      </c>
    </row>
    <row r="171" spans="1:16" x14ac:dyDescent="0.2">
      <c r="A171" s="8">
        <v>84.5</v>
      </c>
      <c r="B171" s="8">
        <v>169</v>
      </c>
      <c r="D171">
        <v>1422.3225071224999</v>
      </c>
      <c r="E171">
        <v>395.15897435897</v>
      </c>
      <c r="F171">
        <v>128.24226804124001</v>
      </c>
      <c r="G171">
        <v>112.45418098511</v>
      </c>
      <c r="I171" s="9">
        <f t="shared" si="15"/>
        <v>282.70479337386001</v>
      </c>
      <c r="J171" s="9">
        <f t="shared" si="16"/>
        <v>1294.0802390812598</v>
      </c>
      <c r="K171" s="9">
        <f t="shared" si="17"/>
        <v>282.70479337386001</v>
      </c>
      <c r="L171" s="10">
        <f t="shared" si="14"/>
        <v>0.21846001881194632</v>
      </c>
      <c r="M171" s="10">
        <f t="shared" si="18"/>
        <v>0.21965853224969847</v>
      </c>
      <c r="P171" s="8">
        <f t="shared" si="19"/>
        <v>9.1568674351814519</v>
      </c>
    </row>
    <row r="172" spans="1:16" x14ac:dyDescent="0.2">
      <c r="A172" s="8">
        <v>85</v>
      </c>
      <c r="B172" s="8">
        <v>170</v>
      </c>
      <c r="D172">
        <v>1488.4625928041</v>
      </c>
      <c r="E172">
        <v>409.33923472302001</v>
      </c>
      <c r="F172">
        <v>128.46792668958</v>
      </c>
      <c r="G172">
        <v>112.4461626575</v>
      </c>
      <c r="I172" s="9">
        <f t="shared" si="15"/>
        <v>296.89307206552002</v>
      </c>
      <c r="J172" s="9">
        <f t="shared" si="16"/>
        <v>1359.99466611452</v>
      </c>
      <c r="K172" s="9">
        <f t="shared" si="17"/>
        <v>296.89307206552002</v>
      </c>
      <c r="L172" s="10">
        <f t="shared" si="14"/>
        <v>0.21830458564498501</v>
      </c>
      <c r="M172" s="10">
        <f t="shared" si="18"/>
        <v>0.21951019087822682</v>
      </c>
      <c r="P172" s="8">
        <f t="shared" si="19"/>
        <v>9.0831508385391793</v>
      </c>
    </row>
    <row r="173" spans="1:16" x14ac:dyDescent="0.2">
      <c r="A173" s="8">
        <v>85.5</v>
      </c>
      <c r="B173" s="8">
        <v>171</v>
      </c>
      <c r="D173">
        <v>1388.0873786407999</v>
      </c>
      <c r="E173">
        <v>394.13192461451001</v>
      </c>
      <c r="F173">
        <v>128.58591065292001</v>
      </c>
      <c r="G173">
        <v>112.57961053837001</v>
      </c>
      <c r="I173" s="9">
        <f t="shared" si="15"/>
        <v>281.55231407614002</v>
      </c>
      <c r="J173" s="9">
        <f t="shared" si="16"/>
        <v>1259.50146798788</v>
      </c>
      <c r="K173" s="9">
        <f t="shared" si="17"/>
        <v>281.55231407614002</v>
      </c>
      <c r="L173" s="10">
        <f t="shared" si="14"/>
        <v>0.22354266448449217</v>
      </c>
      <c r="M173" s="10">
        <f t="shared" si="18"/>
        <v>0.22475536151322364</v>
      </c>
      <c r="P173" s="8">
        <f t="shared" si="19"/>
        <v>11.689680117485688</v>
      </c>
    </row>
    <row r="174" spans="1:16" x14ac:dyDescent="0.2">
      <c r="A174" s="8">
        <v>86</v>
      </c>
      <c r="B174" s="8">
        <v>172</v>
      </c>
      <c r="D174">
        <v>1413.5916619075001</v>
      </c>
      <c r="E174">
        <v>393.28440890920001</v>
      </c>
      <c r="F174">
        <v>128.55097365406999</v>
      </c>
      <c r="G174">
        <v>112.39977090492999</v>
      </c>
      <c r="I174" s="9">
        <f t="shared" si="15"/>
        <v>280.88463800427002</v>
      </c>
      <c r="J174" s="9">
        <f t="shared" si="16"/>
        <v>1285.0406882534301</v>
      </c>
      <c r="K174" s="9">
        <f t="shared" si="17"/>
        <v>280.88463800427002</v>
      </c>
      <c r="L174" s="10">
        <f t="shared" si="14"/>
        <v>0.21858034579903915</v>
      </c>
      <c r="M174" s="10">
        <f t="shared" si="18"/>
        <v>0.21980013462326028</v>
      </c>
      <c r="P174" s="8">
        <f t="shared" si="19"/>
        <v>9.2272351616753312</v>
      </c>
    </row>
    <row r="175" spans="1:16" x14ac:dyDescent="0.2">
      <c r="A175" s="8">
        <v>86.5</v>
      </c>
      <c r="B175" s="8">
        <v>173</v>
      </c>
      <c r="D175">
        <v>1356.8463735009</v>
      </c>
      <c r="E175">
        <v>381.24157624215002</v>
      </c>
      <c r="F175">
        <v>129.25658648339001</v>
      </c>
      <c r="G175">
        <v>112.73195876289</v>
      </c>
      <c r="I175" s="9">
        <f t="shared" si="15"/>
        <v>268.50961747925999</v>
      </c>
      <c r="J175" s="9">
        <f t="shared" si="16"/>
        <v>1227.5897870175099</v>
      </c>
      <c r="K175" s="9">
        <f t="shared" si="17"/>
        <v>268.50961747925999</v>
      </c>
      <c r="L175" s="10">
        <f t="shared" si="14"/>
        <v>0.2187291066762761</v>
      </c>
      <c r="M175" s="10">
        <f t="shared" si="18"/>
        <v>0.21995598729598689</v>
      </c>
      <c r="P175" s="8">
        <f t="shared" si="19"/>
        <v>9.3046844160338988</v>
      </c>
    </row>
    <row r="176" spans="1:16" x14ac:dyDescent="0.2">
      <c r="A176" s="8">
        <v>87</v>
      </c>
      <c r="B176" s="8">
        <v>174</v>
      </c>
      <c r="D176">
        <v>1416.7340546697001</v>
      </c>
      <c r="E176">
        <v>388.17198177677</v>
      </c>
      <c r="F176">
        <v>128.49369988545001</v>
      </c>
      <c r="G176">
        <v>112.44444444443999</v>
      </c>
      <c r="I176" s="9">
        <f t="shared" si="15"/>
        <v>275.72753733233003</v>
      </c>
      <c r="J176" s="9">
        <f t="shared" si="16"/>
        <v>1288.24035478425</v>
      </c>
      <c r="K176" s="9">
        <f t="shared" si="17"/>
        <v>275.72753733233003</v>
      </c>
      <c r="L176" s="10">
        <f t="shared" si="14"/>
        <v>0.21403423383558567</v>
      </c>
      <c r="M176" s="10">
        <f t="shared" si="18"/>
        <v>0.21526820625078613</v>
      </c>
      <c r="P176" s="8">
        <f t="shared" si="19"/>
        <v>6.975143701747176</v>
      </c>
    </row>
    <row r="177" spans="1:16" x14ac:dyDescent="0.2">
      <c r="A177" s="8">
        <v>87.5</v>
      </c>
      <c r="B177" s="8">
        <v>175</v>
      </c>
      <c r="D177">
        <v>1451.4373576309999</v>
      </c>
      <c r="E177">
        <v>390.79271070614999</v>
      </c>
      <c r="F177">
        <v>128.91237113401999</v>
      </c>
      <c r="G177">
        <v>112.56586483391</v>
      </c>
      <c r="I177" s="9">
        <f t="shared" si="15"/>
        <v>278.22684587224001</v>
      </c>
      <c r="J177" s="9">
        <f t="shared" si="16"/>
        <v>1322.5249864969799</v>
      </c>
      <c r="K177" s="9">
        <f t="shared" si="17"/>
        <v>278.22684587224001</v>
      </c>
      <c r="L177" s="10">
        <f t="shared" si="14"/>
        <v>0.21037549287381677</v>
      </c>
      <c r="M177" s="10">
        <f t="shared" si="18"/>
        <v>0.21161655708450688</v>
      </c>
      <c r="P177" s="8">
        <f t="shared" si="19"/>
        <v>5.1604972143973464</v>
      </c>
    </row>
    <row r="178" spans="1:16" x14ac:dyDescent="0.2">
      <c r="A178" s="8">
        <v>88</v>
      </c>
      <c r="B178" s="8">
        <v>176</v>
      </c>
      <c r="D178">
        <v>1458.2021640091</v>
      </c>
      <c r="E178">
        <v>398.64977220957002</v>
      </c>
      <c r="F178">
        <v>128.29037800686999</v>
      </c>
      <c r="G178">
        <v>112.75830469645</v>
      </c>
      <c r="I178" s="9">
        <f t="shared" si="15"/>
        <v>285.89146751312001</v>
      </c>
      <c r="J178" s="9">
        <f t="shared" si="16"/>
        <v>1329.91178600223</v>
      </c>
      <c r="K178" s="9">
        <f t="shared" si="17"/>
        <v>285.89146751312001</v>
      </c>
      <c r="L178" s="10">
        <f t="shared" si="14"/>
        <v>0.21497024879561494</v>
      </c>
      <c r="M178" s="10">
        <f t="shared" si="18"/>
        <v>0.21621840480179472</v>
      </c>
      <c r="P178" s="8">
        <f t="shared" si="19"/>
        <v>7.4473343160031273</v>
      </c>
    </row>
    <row r="179" spans="1:16" x14ac:dyDescent="0.2">
      <c r="A179" s="8">
        <v>88.5</v>
      </c>
      <c r="B179" s="8">
        <v>177</v>
      </c>
      <c r="D179">
        <v>1419.2949229891999</v>
      </c>
      <c r="E179">
        <v>398.20536223617</v>
      </c>
      <c r="F179">
        <v>128.75830469645001</v>
      </c>
      <c r="G179">
        <v>112.48797250859</v>
      </c>
      <c r="I179" s="9">
        <f t="shared" si="15"/>
        <v>285.71738972757998</v>
      </c>
      <c r="J179" s="9">
        <f t="shared" si="16"/>
        <v>1290.5366182927498</v>
      </c>
      <c r="K179" s="9">
        <f t="shared" si="17"/>
        <v>285.71738972757998</v>
      </c>
      <c r="L179" s="10">
        <f t="shared" si="14"/>
        <v>0.22139425234252968</v>
      </c>
      <c r="M179" s="10">
        <f t="shared" si="18"/>
        <v>0.22264950014419913</v>
      </c>
      <c r="P179" s="8">
        <f t="shared" si="19"/>
        <v>10.643195703968013</v>
      </c>
    </row>
    <row r="180" spans="1:16" x14ac:dyDescent="0.2">
      <c r="A180" s="8">
        <v>89</v>
      </c>
      <c r="B180" s="8">
        <v>178</v>
      </c>
      <c r="D180">
        <v>1358.4375356532</v>
      </c>
      <c r="E180">
        <v>386.57786651455001</v>
      </c>
      <c r="F180">
        <v>128.58476517755</v>
      </c>
      <c r="G180">
        <v>112.39805269187001</v>
      </c>
      <c r="I180" s="9">
        <f t="shared" si="15"/>
        <v>274.17981382267999</v>
      </c>
      <c r="J180" s="9">
        <f t="shared" si="16"/>
        <v>1229.85277047565</v>
      </c>
      <c r="K180" s="9">
        <f t="shared" si="17"/>
        <v>274.17981382267999</v>
      </c>
      <c r="L180" s="10">
        <f t="shared" si="14"/>
        <v>0.22293710304578976</v>
      </c>
      <c r="M180" s="10">
        <f t="shared" si="18"/>
        <v>0.22419944264294883</v>
      </c>
      <c r="P180" s="8">
        <f t="shared" si="19"/>
        <v>11.413422410553901</v>
      </c>
    </row>
    <row r="181" spans="1:16" x14ac:dyDescent="0.2">
      <c r="A181" s="8">
        <v>89.5</v>
      </c>
      <c r="B181" s="8">
        <v>179</v>
      </c>
      <c r="D181">
        <v>1333.4335424986</v>
      </c>
      <c r="E181">
        <v>384.80205362236001</v>
      </c>
      <c r="F181">
        <v>128.79037800686999</v>
      </c>
      <c r="G181">
        <v>112.55154639174999</v>
      </c>
      <c r="I181" s="9">
        <f t="shared" si="15"/>
        <v>272.25050723061003</v>
      </c>
      <c r="J181" s="9">
        <f t="shared" si="16"/>
        <v>1204.64316449173</v>
      </c>
      <c r="K181" s="9">
        <f t="shared" si="17"/>
        <v>272.25050723061003</v>
      </c>
      <c r="L181" s="10">
        <f t="shared" si="14"/>
        <v>0.22600095634584</v>
      </c>
      <c r="M181" s="10">
        <f t="shared" si="18"/>
        <v>0.22727038773848873</v>
      </c>
      <c r="P181" s="8">
        <f t="shared" si="19"/>
        <v>12.939494460937592</v>
      </c>
    </row>
    <row r="182" spans="1:16" x14ac:dyDescent="0.2">
      <c r="A182" s="8">
        <v>90</v>
      </c>
      <c r="B182" s="8">
        <v>180</v>
      </c>
      <c r="D182">
        <v>1323.0262407302</v>
      </c>
      <c r="E182">
        <v>379.85567598402997</v>
      </c>
      <c r="F182">
        <v>128.76403207331001</v>
      </c>
      <c r="G182">
        <v>112.75486827032999</v>
      </c>
      <c r="I182" s="9">
        <f t="shared" si="15"/>
        <v>267.10080771369996</v>
      </c>
      <c r="J182" s="9">
        <f t="shared" si="16"/>
        <v>1194.2622086568899</v>
      </c>
      <c r="K182" s="9">
        <f t="shared" si="17"/>
        <v>267.10080771369996</v>
      </c>
      <c r="L182" s="10">
        <f t="shared" si="14"/>
        <v>0.22365340356377106</v>
      </c>
      <c r="M182" s="10">
        <f>L182+ABS($N$2)*A182</f>
        <v>0.22492992675190945</v>
      </c>
      <c r="P182" s="8">
        <f t="shared" si="19"/>
        <v>11.776428373621521</v>
      </c>
    </row>
    <row r="183" spans="1:16" x14ac:dyDescent="0.2">
      <c r="A183" s="8">
        <v>90.5</v>
      </c>
      <c r="B183" s="8">
        <v>181</v>
      </c>
      <c r="D183">
        <v>1374.1578347577999</v>
      </c>
      <c r="E183">
        <v>391.52820512821</v>
      </c>
      <c r="F183">
        <v>129.00229095074999</v>
      </c>
      <c r="G183">
        <v>112.52348224513</v>
      </c>
      <c r="I183" s="9">
        <f t="shared" si="15"/>
        <v>279.00472288308003</v>
      </c>
      <c r="J183" s="9">
        <f t="shared" si="16"/>
        <v>1245.15554380705</v>
      </c>
      <c r="K183" s="9">
        <f t="shared" si="17"/>
        <v>279.00472288308003</v>
      </c>
      <c r="L183" s="10">
        <f t="shared" si="14"/>
        <v>0.22407218461239473</v>
      </c>
      <c r="M183" s="10">
        <f t="shared" ref="M183:M241" si="20">L183+ABS($N$2)*A183</f>
        <v>0.22535579959602278</v>
      </c>
      <c r="P183" s="8">
        <f t="shared" si="19"/>
        <v>11.988061152521626</v>
      </c>
    </row>
    <row r="184" spans="1:16" x14ac:dyDescent="0.2">
      <c r="A184" s="8">
        <v>91</v>
      </c>
      <c r="B184" s="8">
        <v>182</v>
      </c>
      <c r="D184">
        <v>1357.7128205127999</v>
      </c>
      <c r="E184">
        <v>388.05698005698002</v>
      </c>
      <c r="F184">
        <v>129.02691867125</v>
      </c>
      <c r="G184">
        <v>112.45761741123</v>
      </c>
      <c r="I184" s="9">
        <f t="shared" si="15"/>
        <v>275.59936264575003</v>
      </c>
      <c r="J184" s="9">
        <f t="shared" si="16"/>
        <v>1228.6859018415498</v>
      </c>
      <c r="K184" s="9">
        <f t="shared" si="17"/>
        <v>275.59936264575003</v>
      </c>
      <c r="L184" s="10">
        <f t="shared" si="14"/>
        <v>0.22430416287244995</v>
      </c>
      <c r="M184" s="10">
        <f t="shared" si="20"/>
        <v>0.22559486965156766</v>
      </c>
      <c r="P184" s="8">
        <f t="shared" si="19"/>
        <v>12.106864360817534</v>
      </c>
    </row>
    <row r="185" spans="1:16" x14ac:dyDescent="0.2">
      <c r="A185" s="8">
        <v>91.5</v>
      </c>
      <c r="B185" s="8">
        <v>183</v>
      </c>
      <c r="D185">
        <v>1371.4831908832</v>
      </c>
      <c r="E185">
        <v>390.08945868946</v>
      </c>
      <c r="F185">
        <v>128.96391752577</v>
      </c>
      <c r="G185">
        <v>113.16265750286</v>
      </c>
      <c r="I185" s="9">
        <f t="shared" si="15"/>
        <v>276.92680118660002</v>
      </c>
      <c r="J185" s="9">
        <f t="shared" si="16"/>
        <v>1242.5192733574299</v>
      </c>
      <c r="K185" s="9">
        <f t="shared" si="17"/>
        <v>276.92680118660002</v>
      </c>
      <c r="L185" s="10">
        <f t="shared" si="14"/>
        <v>0.22287525604195416</v>
      </c>
      <c r="M185" s="10">
        <f t="shared" si="20"/>
        <v>0.22417305461656153</v>
      </c>
      <c r="P185" s="8">
        <f t="shared" si="19"/>
        <v>11.400309173982876</v>
      </c>
    </row>
    <row r="186" spans="1:16" x14ac:dyDescent="0.2">
      <c r="A186" s="8">
        <v>92</v>
      </c>
      <c r="B186" s="8">
        <v>184</v>
      </c>
      <c r="D186">
        <v>1360.9122507123</v>
      </c>
      <c r="E186">
        <v>388.10655270655002</v>
      </c>
      <c r="F186">
        <v>128.88888888888999</v>
      </c>
      <c r="G186">
        <v>112.62256586482999</v>
      </c>
      <c r="I186" s="9">
        <f t="shared" si="15"/>
        <v>275.48398684172003</v>
      </c>
      <c r="J186" s="9">
        <f t="shared" si="16"/>
        <v>1232.0233618234099</v>
      </c>
      <c r="K186" s="9">
        <f t="shared" si="17"/>
        <v>275.48398684172003</v>
      </c>
      <c r="L186" s="10">
        <f t="shared" si="14"/>
        <v>0.22360289210263051</v>
      </c>
      <c r="M186" s="10">
        <f t="shared" si="20"/>
        <v>0.22490778247272755</v>
      </c>
      <c r="P186" s="8">
        <f t="shared" si="19"/>
        <v>11.765424020080822</v>
      </c>
    </row>
    <row r="187" spans="1:16" x14ac:dyDescent="0.2">
      <c r="A187" s="8">
        <v>92.5</v>
      </c>
      <c r="B187" s="8">
        <v>185</v>
      </c>
      <c r="D187">
        <v>1386.4011396011001</v>
      </c>
      <c r="E187">
        <v>395.26666666667001</v>
      </c>
      <c r="F187">
        <v>129.07159221077001</v>
      </c>
      <c r="G187">
        <v>112.78980526919</v>
      </c>
      <c r="I187" s="9">
        <f t="shared" si="15"/>
        <v>282.47686139747998</v>
      </c>
      <c r="J187" s="9">
        <f t="shared" si="16"/>
        <v>1257.3295473903302</v>
      </c>
      <c r="K187" s="9">
        <f t="shared" si="17"/>
        <v>282.47686139747998</v>
      </c>
      <c r="L187" s="10">
        <f t="shared" si="14"/>
        <v>0.22466413994945017</v>
      </c>
      <c r="M187" s="10">
        <f t="shared" si="20"/>
        <v>0.22597612211503687</v>
      </c>
      <c r="P187" s="8">
        <f t="shared" si="19"/>
        <v>12.296323537240223</v>
      </c>
    </row>
    <row r="188" spans="1:16" x14ac:dyDescent="0.2">
      <c r="A188" s="8">
        <v>93</v>
      </c>
      <c r="B188" s="8">
        <v>186</v>
      </c>
      <c r="D188">
        <v>1381.8809116809</v>
      </c>
      <c r="E188">
        <v>392.37378917378999</v>
      </c>
      <c r="F188">
        <v>129.22909507445999</v>
      </c>
      <c r="G188">
        <v>112.50687285223</v>
      </c>
      <c r="I188" s="9">
        <f t="shared" si="15"/>
        <v>279.86691632155998</v>
      </c>
      <c r="J188" s="9">
        <f t="shared" si="16"/>
        <v>1252.65181660644</v>
      </c>
      <c r="K188" s="9">
        <f t="shared" si="17"/>
        <v>279.86691632155998</v>
      </c>
      <c r="L188" s="10">
        <f t="shared" si="14"/>
        <v>0.22341955890005227</v>
      </c>
      <c r="M188" s="10">
        <f t="shared" si="20"/>
        <v>0.22473863286112863</v>
      </c>
      <c r="P188" s="8">
        <f t="shared" si="19"/>
        <v>11.681366999664121</v>
      </c>
    </row>
    <row r="189" spans="1:16" x14ac:dyDescent="0.2">
      <c r="A189" s="8">
        <v>93.5</v>
      </c>
      <c r="B189" s="8">
        <v>187</v>
      </c>
      <c r="D189">
        <v>1371.9150997151</v>
      </c>
      <c r="E189">
        <v>391.11965811966002</v>
      </c>
      <c r="F189">
        <v>129.00572737685999</v>
      </c>
      <c r="G189">
        <v>112.60882016037</v>
      </c>
      <c r="I189" s="9">
        <f t="shared" si="15"/>
        <v>278.51083795929003</v>
      </c>
      <c r="J189" s="9">
        <f t="shared" si="16"/>
        <v>1242.90937233824</v>
      </c>
      <c r="K189" s="9">
        <f t="shared" si="17"/>
        <v>278.51083795929003</v>
      </c>
      <c r="L189" s="10">
        <f t="shared" si="14"/>
        <v>0.22407976330191939</v>
      </c>
      <c r="M189" s="10">
        <f t="shared" si="20"/>
        <v>0.22540592905848539</v>
      </c>
      <c r="P189" s="8">
        <f t="shared" si="19"/>
        <v>12.012972432008858</v>
      </c>
    </row>
    <row r="190" spans="1:16" x14ac:dyDescent="0.2">
      <c r="A190" s="8">
        <v>94</v>
      </c>
      <c r="B190" s="8">
        <v>188</v>
      </c>
      <c r="D190">
        <v>1371.6039886040001</v>
      </c>
      <c r="E190">
        <v>388.90997150996998</v>
      </c>
      <c r="F190">
        <v>128.73825887743001</v>
      </c>
      <c r="G190">
        <v>112.72107674685</v>
      </c>
      <c r="I190" s="9">
        <f t="shared" si="15"/>
        <v>276.18889476311995</v>
      </c>
      <c r="J190" s="9">
        <f t="shared" si="16"/>
        <v>1242.86572972657</v>
      </c>
      <c r="K190" s="9">
        <f t="shared" si="17"/>
        <v>276.18889476311995</v>
      </c>
      <c r="L190" s="10">
        <f t="shared" si="14"/>
        <v>0.22221941450093841</v>
      </c>
      <c r="M190" s="10">
        <f t="shared" si="20"/>
        <v>0.22355267205299406</v>
      </c>
      <c r="P190" s="8">
        <f t="shared" si="19"/>
        <v>11.092016950790507</v>
      </c>
    </row>
    <row r="191" spans="1:16" x14ac:dyDescent="0.2">
      <c r="A191" s="8">
        <v>94.5</v>
      </c>
      <c r="B191" s="8">
        <v>189</v>
      </c>
      <c r="D191">
        <v>1370.1811965812001</v>
      </c>
      <c r="E191">
        <v>392.06552706552998</v>
      </c>
      <c r="F191">
        <v>128.90607101947001</v>
      </c>
      <c r="G191">
        <v>112.61912943871999</v>
      </c>
      <c r="I191" s="9">
        <f t="shared" si="15"/>
        <v>279.44639762680998</v>
      </c>
      <c r="J191" s="9">
        <f t="shared" si="16"/>
        <v>1241.27512556173</v>
      </c>
      <c r="K191" s="9">
        <f t="shared" si="17"/>
        <v>279.44639762680998</v>
      </c>
      <c r="L191" s="10">
        <f t="shared" si="14"/>
        <v>0.22512849236413124</v>
      </c>
      <c r="M191" s="10">
        <f t="shared" si="20"/>
        <v>0.22646884171167656</v>
      </c>
      <c r="P191" s="8">
        <f t="shared" si="19"/>
        <v>12.541175067213914</v>
      </c>
    </row>
    <row r="192" spans="1:16" x14ac:dyDescent="0.2">
      <c r="A192" s="8">
        <v>95</v>
      </c>
      <c r="B192" s="8">
        <v>190</v>
      </c>
      <c r="D192">
        <v>1361.8643874643999</v>
      </c>
      <c r="E192">
        <v>388.649002849</v>
      </c>
      <c r="F192">
        <v>129.11855670103</v>
      </c>
      <c r="G192">
        <v>112.78751431844</v>
      </c>
      <c r="I192" s="9">
        <f t="shared" si="15"/>
        <v>275.86148853056</v>
      </c>
      <c r="J192" s="9">
        <f t="shared" si="16"/>
        <v>1232.7458307633699</v>
      </c>
      <c r="K192" s="9">
        <f t="shared" si="17"/>
        <v>275.86148853056</v>
      </c>
      <c r="L192" s="10">
        <f t="shared" si="14"/>
        <v>0.22377807464149729</v>
      </c>
      <c r="M192" s="10">
        <f t="shared" si="20"/>
        <v>0.22512551578453227</v>
      </c>
      <c r="P192" s="8">
        <f t="shared" si="19"/>
        <v>11.873624170602966</v>
      </c>
    </row>
    <row r="193" spans="1:16" x14ac:dyDescent="0.2">
      <c r="A193" s="8">
        <v>95.5</v>
      </c>
      <c r="B193" s="8">
        <v>191</v>
      </c>
      <c r="D193">
        <v>1361.5777777778001</v>
      </c>
      <c r="E193">
        <v>390.09173789174002</v>
      </c>
      <c r="F193">
        <v>129.0824742268</v>
      </c>
      <c r="G193">
        <v>112.57331042382999</v>
      </c>
      <c r="I193" s="9">
        <f t="shared" si="15"/>
        <v>277.51842746791004</v>
      </c>
      <c r="J193" s="9">
        <f t="shared" si="16"/>
        <v>1232.495303551</v>
      </c>
      <c r="K193" s="9">
        <f t="shared" si="17"/>
        <v>277.51842746791004</v>
      </c>
      <c r="L193" s="10">
        <f t="shared" si="14"/>
        <v>0.22516793911371402</v>
      </c>
      <c r="M193" s="10">
        <f t="shared" si="20"/>
        <v>0.22652247205223866</v>
      </c>
      <c r="P193" s="8">
        <f t="shared" si="19"/>
        <v>12.567826069181761</v>
      </c>
    </row>
    <row r="194" spans="1:16" x14ac:dyDescent="0.2">
      <c r="A194" s="8">
        <v>96</v>
      </c>
      <c r="B194" s="8">
        <v>192</v>
      </c>
      <c r="D194">
        <v>1360.8170940171001</v>
      </c>
      <c r="E194">
        <v>390.62051282050999</v>
      </c>
      <c r="F194">
        <v>128.92268041237</v>
      </c>
      <c r="G194">
        <v>112.28751431844</v>
      </c>
      <c r="I194" s="9">
        <f t="shared" si="15"/>
        <v>278.33299850206998</v>
      </c>
      <c r="J194" s="9">
        <f t="shared" si="16"/>
        <v>1231.8944136047301</v>
      </c>
      <c r="K194" s="9">
        <f t="shared" si="17"/>
        <v>278.33299850206998</v>
      </c>
      <c r="L194" s="10">
        <f t="shared" ref="L194:L257" si="21">K194/J194</f>
        <v>0.22593900534674954</v>
      </c>
      <c r="M194" s="10">
        <f t="shared" si="20"/>
        <v>0.22730063008076384</v>
      </c>
      <c r="P194" s="8">
        <f t="shared" si="19"/>
        <v>12.954523056971828</v>
      </c>
    </row>
    <row r="195" spans="1:16" x14ac:dyDescent="0.2">
      <c r="A195" s="8">
        <v>96.5</v>
      </c>
      <c r="B195" s="8">
        <v>193</v>
      </c>
      <c r="D195">
        <v>1356.4757834758</v>
      </c>
      <c r="E195">
        <v>391.73846153846</v>
      </c>
      <c r="F195">
        <v>129.11741122565999</v>
      </c>
      <c r="G195">
        <v>112.71248568156</v>
      </c>
      <c r="I195" s="9">
        <f t="shared" ref="I195:I241" si="22">E195-G195</f>
        <v>279.0259758569</v>
      </c>
      <c r="J195" s="9">
        <f t="shared" ref="J195:J241" si="23">D195-F195</f>
        <v>1227.3583722501401</v>
      </c>
      <c r="K195" s="9">
        <f t="shared" ref="K195:K258" si="24">I195*1</f>
        <v>279.0259758569</v>
      </c>
      <c r="L195" s="10">
        <f t="shared" si="21"/>
        <v>0.22733863406606844</v>
      </c>
      <c r="M195" s="10">
        <f t="shared" si="20"/>
        <v>0.2287073505955724</v>
      </c>
      <c r="P195" s="8">
        <f t="shared" ref="P195:P241" si="25">(M195-$O$2)/$O$2*100</f>
        <v>13.653577189677929</v>
      </c>
    </row>
    <row r="196" spans="1:16" x14ac:dyDescent="0.2">
      <c r="A196" s="8">
        <v>97</v>
      </c>
      <c r="B196" s="8">
        <v>194</v>
      </c>
      <c r="D196">
        <v>1379.5179487180001</v>
      </c>
      <c r="E196">
        <v>396.19658119657998</v>
      </c>
      <c r="F196">
        <v>128.73596792668999</v>
      </c>
      <c r="G196">
        <v>112.67812142039</v>
      </c>
      <c r="I196" s="9">
        <f t="shared" si="22"/>
        <v>283.51845977618996</v>
      </c>
      <c r="J196" s="9">
        <f t="shared" si="23"/>
        <v>1250.7819807913102</v>
      </c>
      <c r="K196" s="9">
        <f t="shared" si="24"/>
        <v>283.51845977618996</v>
      </c>
      <c r="L196" s="10">
        <f t="shared" si="21"/>
        <v>0.22667296469750975</v>
      </c>
      <c r="M196" s="10">
        <f t="shared" si="20"/>
        <v>0.22804877302250337</v>
      </c>
      <c r="P196" s="8">
        <f t="shared" si="25"/>
        <v>13.326304380818584</v>
      </c>
    </row>
    <row r="197" spans="1:16" x14ac:dyDescent="0.2">
      <c r="A197" s="8">
        <v>97.5</v>
      </c>
      <c r="B197" s="8">
        <v>195</v>
      </c>
      <c r="D197">
        <v>1368.8558404558</v>
      </c>
      <c r="E197">
        <v>398.35042735042998</v>
      </c>
      <c r="F197">
        <v>129.15177548682999</v>
      </c>
      <c r="G197">
        <v>112.61855670103</v>
      </c>
      <c r="I197" s="9">
        <f t="shared" si="22"/>
        <v>285.73187064939998</v>
      </c>
      <c r="J197" s="9">
        <f t="shared" si="23"/>
        <v>1239.70406496897</v>
      </c>
      <c r="K197" s="9">
        <f t="shared" si="24"/>
        <v>285.73187064939998</v>
      </c>
      <c r="L197" s="10">
        <f t="shared" si="21"/>
        <v>0.23048393461269476</v>
      </c>
      <c r="M197" s="10">
        <f t="shared" si="20"/>
        <v>0.23186683473317801</v>
      </c>
      <c r="P197" s="8">
        <f t="shared" si="25"/>
        <v>15.223647733444151</v>
      </c>
    </row>
    <row r="198" spans="1:16" x14ac:dyDescent="0.2">
      <c r="A198" s="8">
        <v>98</v>
      </c>
      <c r="B198" s="8">
        <v>196</v>
      </c>
      <c r="D198">
        <v>1375.1861793261</v>
      </c>
      <c r="E198">
        <v>399.08280982295997</v>
      </c>
      <c r="F198">
        <v>128.88602520046001</v>
      </c>
      <c r="G198">
        <v>112.54925544101</v>
      </c>
      <c r="I198" s="9">
        <f t="shared" si="22"/>
        <v>286.53355438194995</v>
      </c>
      <c r="J198" s="9">
        <f t="shared" si="23"/>
        <v>1246.3001541256401</v>
      </c>
      <c r="K198" s="9">
        <f t="shared" si="24"/>
        <v>286.53355438194995</v>
      </c>
      <c r="L198" s="10">
        <f t="shared" si="21"/>
        <v>0.2299073408868923</v>
      </c>
      <c r="M198" s="10">
        <f t="shared" si="20"/>
        <v>0.23129733280286521</v>
      </c>
      <c r="P198" s="8">
        <f t="shared" si="25"/>
        <v>14.940640075719443</v>
      </c>
    </row>
    <row r="199" spans="1:16" x14ac:dyDescent="0.2">
      <c r="A199" s="8">
        <v>98.5</v>
      </c>
      <c r="B199" s="8">
        <v>197</v>
      </c>
      <c r="D199">
        <v>1367.8932038835001</v>
      </c>
      <c r="E199">
        <v>398.49571673330001</v>
      </c>
      <c r="F199">
        <v>129.26575028637001</v>
      </c>
      <c r="G199">
        <v>112.8470790378</v>
      </c>
      <c r="I199" s="9">
        <f t="shared" si="22"/>
        <v>285.64863769550004</v>
      </c>
      <c r="J199" s="9">
        <f t="shared" si="23"/>
        <v>1238.6274535971302</v>
      </c>
      <c r="K199" s="9">
        <f t="shared" si="24"/>
        <v>285.64863769550004</v>
      </c>
      <c r="L199" s="10">
        <f t="shared" si="21"/>
        <v>0.23061707284618987</v>
      </c>
      <c r="M199" s="10">
        <f t="shared" si="20"/>
        <v>0.23201415655765245</v>
      </c>
      <c r="P199" s="8">
        <f t="shared" si="25"/>
        <v>15.296857677532207</v>
      </c>
    </row>
    <row r="200" spans="1:16" x14ac:dyDescent="0.2">
      <c r="A200" s="8">
        <v>99</v>
      </c>
      <c r="B200" s="8">
        <v>198</v>
      </c>
      <c r="D200">
        <v>1386.2929754426</v>
      </c>
      <c r="E200">
        <v>399.95202741291001</v>
      </c>
      <c r="F200">
        <v>128.98224513173</v>
      </c>
      <c r="G200">
        <v>112.73081328751</v>
      </c>
      <c r="I200" s="9">
        <f t="shared" si="22"/>
        <v>287.22121412540002</v>
      </c>
      <c r="J200" s="9">
        <f t="shared" si="23"/>
        <v>1257.31073031087</v>
      </c>
      <c r="K200" s="9">
        <f t="shared" si="24"/>
        <v>287.22121412540002</v>
      </c>
      <c r="L200" s="10">
        <f t="shared" si="21"/>
        <v>0.2284409153609821</v>
      </c>
      <c r="M200" s="10">
        <f t="shared" si="20"/>
        <v>0.22984509086793434</v>
      </c>
      <c r="P200" s="8">
        <f t="shared" si="25"/>
        <v>14.2189645789768</v>
      </c>
    </row>
    <row r="201" spans="1:16" x14ac:dyDescent="0.2">
      <c r="A201" s="8">
        <v>99.5</v>
      </c>
      <c r="B201" s="8">
        <v>199</v>
      </c>
      <c r="D201">
        <v>1376.9994288978</v>
      </c>
      <c r="E201">
        <v>401.29925756710998</v>
      </c>
      <c r="F201">
        <v>129.36884306987</v>
      </c>
      <c r="G201">
        <v>112.99770904926</v>
      </c>
      <c r="I201" s="9">
        <f t="shared" si="22"/>
        <v>288.30154851784999</v>
      </c>
      <c r="J201" s="9">
        <f t="shared" si="23"/>
        <v>1247.63058582793</v>
      </c>
      <c r="K201" s="9">
        <f t="shared" si="24"/>
        <v>288.30154851784999</v>
      </c>
      <c r="L201" s="10">
        <f t="shared" si="21"/>
        <v>0.23107925678700203</v>
      </c>
      <c r="M201" s="10">
        <f t="shared" si="20"/>
        <v>0.23249052408944393</v>
      </c>
      <c r="P201" s="8">
        <f t="shared" si="25"/>
        <v>15.533583230533157</v>
      </c>
    </row>
    <row r="202" spans="1:16" x14ac:dyDescent="0.2">
      <c r="A202" s="8">
        <v>100</v>
      </c>
      <c r="B202" s="8">
        <v>200</v>
      </c>
      <c r="D202">
        <v>1369.8720731011001</v>
      </c>
      <c r="E202">
        <v>399.06567675614002</v>
      </c>
      <c r="F202">
        <v>129.12772050401</v>
      </c>
      <c r="G202">
        <v>113.03837342497</v>
      </c>
      <c r="I202" s="9">
        <f t="shared" si="22"/>
        <v>286.02730333117</v>
      </c>
      <c r="J202" s="9">
        <f t="shared" si="23"/>
        <v>1240.74435259709</v>
      </c>
      <c r="K202" s="9">
        <f t="shared" si="24"/>
        <v>286.02730333117</v>
      </c>
      <c r="L202" s="10">
        <f t="shared" si="21"/>
        <v>0.23052879727597869</v>
      </c>
      <c r="M202" s="10">
        <f t="shared" si="20"/>
        <v>0.23194715637391025</v>
      </c>
      <c r="P202" s="8">
        <f t="shared" si="25"/>
        <v>15.263562680520362</v>
      </c>
    </row>
    <row r="203" spans="1:16" x14ac:dyDescent="0.2">
      <c r="A203" s="8">
        <v>100.5</v>
      </c>
      <c r="B203" s="8">
        <v>201</v>
      </c>
      <c r="D203">
        <v>1361.7098800685001</v>
      </c>
      <c r="E203">
        <v>401.05596801828</v>
      </c>
      <c r="F203">
        <v>129.34650630012001</v>
      </c>
      <c r="G203">
        <v>112.84765177548999</v>
      </c>
      <c r="I203" s="9">
        <f t="shared" si="22"/>
        <v>288.20831624279003</v>
      </c>
      <c r="J203" s="9">
        <f t="shared" si="23"/>
        <v>1232.3633737683801</v>
      </c>
      <c r="K203" s="9">
        <f t="shared" si="24"/>
        <v>288.20831624279003</v>
      </c>
      <c r="L203" s="10">
        <f t="shared" si="21"/>
        <v>0.23386634362679309</v>
      </c>
      <c r="M203" s="10">
        <f t="shared" si="20"/>
        <v>0.23529179452021431</v>
      </c>
      <c r="P203" s="8">
        <f t="shared" si="25"/>
        <v>16.925643452050533</v>
      </c>
    </row>
    <row r="204" spans="1:16" x14ac:dyDescent="0.2">
      <c r="A204" s="8">
        <v>101</v>
      </c>
      <c r="B204" s="8">
        <v>202</v>
      </c>
      <c r="D204">
        <v>1380.2621359223001</v>
      </c>
      <c r="E204">
        <v>406.01599086236001</v>
      </c>
      <c r="F204">
        <v>129.26689576173999</v>
      </c>
      <c r="G204">
        <v>112.78923253150001</v>
      </c>
      <c r="I204" s="9">
        <f t="shared" si="22"/>
        <v>293.22675833085998</v>
      </c>
      <c r="J204" s="9">
        <f t="shared" si="23"/>
        <v>1250.9952401605601</v>
      </c>
      <c r="K204" s="9">
        <f t="shared" si="24"/>
        <v>293.22675833085998</v>
      </c>
      <c r="L204" s="10">
        <f t="shared" si="21"/>
        <v>0.23439478338320899</v>
      </c>
      <c r="M204" s="10">
        <f t="shared" si="20"/>
        <v>0.23582732607211987</v>
      </c>
      <c r="P204" s="8">
        <f t="shared" si="25"/>
        <v>17.19176990759955</v>
      </c>
    </row>
    <row r="205" spans="1:16" x14ac:dyDescent="0.2">
      <c r="A205" s="8">
        <v>101.5</v>
      </c>
      <c r="B205" s="8">
        <v>203</v>
      </c>
      <c r="D205">
        <v>1377.0205596802</v>
      </c>
      <c r="E205">
        <v>406.71844660194</v>
      </c>
      <c r="F205">
        <v>129.01489117983999</v>
      </c>
      <c r="G205">
        <v>112.85624284078</v>
      </c>
      <c r="I205" s="9">
        <f t="shared" si="22"/>
        <v>293.86220376116</v>
      </c>
      <c r="J205" s="9">
        <f t="shared" si="23"/>
        <v>1248.0056685003601</v>
      </c>
      <c r="K205" s="9">
        <f t="shared" si="24"/>
        <v>293.86220376116</v>
      </c>
      <c r="L205" s="10">
        <f t="shared" si="21"/>
        <v>0.23546543992406169</v>
      </c>
      <c r="M205" s="10">
        <f t="shared" si="20"/>
        <v>0.23690507440846223</v>
      </c>
      <c r="P205" s="8">
        <f t="shared" si="25"/>
        <v>17.727344970738361</v>
      </c>
    </row>
    <row r="206" spans="1:16" x14ac:dyDescent="0.2">
      <c r="A206" s="8">
        <v>102</v>
      </c>
      <c r="B206" s="8">
        <v>204</v>
      </c>
      <c r="D206">
        <v>1367.74871502</v>
      </c>
      <c r="E206">
        <v>405.22786978868999</v>
      </c>
      <c r="F206">
        <v>129.03207331042</v>
      </c>
      <c r="G206">
        <v>112.80985108820001</v>
      </c>
      <c r="I206" s="9">
        <f t="shared" si="22"/>
        <v>292.41801870048999</v>
      </c>
      <c r="J206" s="9">
        <f t="shared" si="23"/>
        <v>1238.71664170958</v>
      </c>
      <c r="K206" s="9">
        <f t="shared" si="24"/>
        <v>292.41801870048999</v>
      </c>
      <c r="L206" s="10">
        <f t="shared" si="21"/>
        <v>0.23606530247056137</v>
      </c>
      <c r="M206" s="10">
        <f t="shared" si="20"/>
        <v>0.23751202875045155</v>
      </c>
      <c r="P206" s="8">
        <f t="shared" si="25"/>
        <v>18.028964188390336</v>
      </c>
    </row>
    <row r="207" spans="1:16" x14ac:dyDescent="0.2">
      <c r="A207" s="8">
        <v>102.5</v>
      </c>
      <c r="B207" s="8">
        <v>205</v>
      </c>
      <c r="D207">
        <v>1364.8378069675</v>
      </c>
      <c r="E207">
        <v>403.16447744146001</v>
      </c>
      <c r="F207">
        <v>129.15750286369001</v>
      </c>
      <c r="G207">
        <v>112.87571592211</v>
      </c>
      <c r="I207" s="9">
        <f t="shared" si="22"/>
        <v>290.28876151935003</v>
      </c>
      <c r="J207" s="9">
        <f t="shared" si="23"/>
        <v>1235.6803041038099</v>
      </c>
      <c r="K207" s="9">
        <f t="shared" si="24"/>
        <v>290.28876151935003</v>
      </c>
      <c r="L207" s="10">
        <f t="shared" si="21"/>
        <v>0.23492222102697105</v>
      </c>
      <c r="M207" s="10">
        <f t="shared" si="20"/>
        <v>0.23637603910235089</v>
      </c>
      <c r="P207" s="8">
        <f t="shared" si="25"/>
        <v>17.464446752370584</v>
      </c>
    </row>
    <row r="208" spans="1:16" x14ac:dyDescent="0.2">
      <c r="A208" s="8">
        <v>103</v>
      </c>
      <c r="B208" s="8">
        <v>206</v>
      </c>
      <c r="D208">
        <v>1366.6898914906001</v>
      </c>
      <c r="E208">
        <v>404.46716162193002</v>
      </c>
      <c r="F208">
        <v>129.24856815579</v>
      </c>
      <c r="G208">
        <v>112.46162657503</v>
      </c>
      <c r="I208" s="9">
        <f t="shared" si="22"/>
        <v>292.00553504690004</v>
      </c>
      <c r="J208" s="9">
        <f t="shared" si="23"/>
        <v>1237.44132333481</v>
      </c>
      <c r="K208" s="9">
        <f t="shared" si="24"/>
        <v>292.00553504690004</v>
      </c>
      <c r="L208" s="10">
        <f t="shared" si="21"/>
        <v>0.23597525760653232</v>
      </c>
      <c r="M208" s="10">
        <f t="shared" si="20"/>
        <v>0.23743616747740182</v>
      </c>
      <c r="P208" s="8">
        <f t="shared" si="25"/>
        <v>17.991265771484137</v>
      </c>
    </row>
    <row r="209" spans="1:16" x14ac:dyDescent="0.2">
      <c r="A209" s="8">
        <v>103.5</v>
      </c>
      <c r="B209" s="8">
        <v>207</v>
      </c>
      <c r="D209">
        <v>1366.2490005710999</v>
      </c>
      <c r="E209">
        <v>406.33238149629</v>
      </c>
      <c r="F209">
        <v>129.47823596793</v>
      </c>
      <c r="G209">
        <v>112.93699885453</v>
      </c>
      <c r="I209" s="9">
        <f t="shared" si="22"/>
        <v>293.39538264175997</v>
      </c>
      <c r="J209" s="9">
        <f t="shared" si="23"/>
        <v>1236.7707646031699</v>
      </c>
      <c r="K209" s="9">
        <f t="shared" si="24"/>
        <v>293.39538264175997</v>
      </c>
      <c r="L209" s="10">
        <f t="shared" si="21"/>
        <v>0.23722697126973144</v>
      </c>
      <c r="M209" s="10">
        <f t="shared" si="20"/>
        <v>0.2386949729360906</v>
      </c>
      <c r="P209" s="8">
        <f t="shared" si="25"/>
        <v>18.616815160226182</v>
      </c>
    </row>
    <row r="210" spans="1:16" x14ac:dyDescent="0.2">
      <c r="A210" s="8">
        <v>104</v>
      </c>
      <c r="B210" s="8">
        <v>208</v>
      </c>
      <c r="D210">
        <v>1363.7138777841001</v>
      </c>
      <c r="E210">
        <v>405.65505425471002</v>
      </c>
      <c r="F210">
        <v>129.18098510882001</v>
      </c>
      <c r="G210">
        <v>112.56872852234</v>
      </c>
      <c r="I210" s="9">
        <f t="shared" si="22"/>
        <v>293.08632573237003</v>
      </c>
      <c r="J210" s="9">
        <f t="shared" si="23"/>
        <v>1234.53289267528</v>
      </c>
      <c r="K210" s="9">
        <f t="shared" si="24"/>
        <v>293.08632573237003</v>
      </c>
      <c r="L210" s="10">
        <f t="shared" si="21"/>
        <v>0.23740665596786226</v>
      </c>
      <c r="M210" s="10">
        <f t="shared" si="20"/>
        <v>0.23888174942971108</v>
      </c>
      <c r="P210" s="8">
        <f t="shared" si="25"/>
        <v>18.709631663848096</v>
      </c>
    </row>
    <row r="211" spans="1:16" x14ac:dyDescent="0.2">
      <c r="A211" s="8">
        <v>104.5</v>
      </c>
      <c r="B211" s="8">
        <v>209</v>
      </c>
      <c r="D211">
        <v>1360.2518560822</v>
      </c>
      <c r="E211">
        <v>403.01256424899998</v>
      </c>
      <c r="F211">
        <v>129.4175257732</v>
      </c>
      <c r="G211">
        <v>112.82416953036</v>
      </c>
      <c r="I211" s="9">
        <f t="shared" si="22"/>
        <v>290.18839471863998</v>
      </c>
      <c r="J211" s="9">
        <f t="shared" si="23"/>
        <v>1230.8343303090001</v>
      </c>
      <c r="K211" s="9">
        <f t="shared" si="24"/>
        <v>290.18839471863998</v>
      </c>
      <c r="L211" s="10">
        <f t="shared" si="21"/>
        <v>0.23576560027033727</v>
      </c>
      <c r="M211" s="10">
        <f t="shared" si="20"/>
        <v>0.23724778552767575</v>
      </c>
      <c r="P211" s="8">
        <f t="shared" si="25"/>
        <v>17.897651454285413</v>
      </c>
    </row>
    <row r="212" spans="1:16" x14ac:dyDescent="0.2">
      <c r="A212" s="8">
        <v>105</v>
      </c>
      <c r="B212" s="8">
        <v>210</v>
      </c>
      <c r="D212">
        <v>1370.4557395774</v>
      </c>
      <c r="E212">
        <v>406.69731581952999</v>
      </c>
      <c r="F212">
        <v>129.18327605957001</v>
      </c>
      <c r="G212">
        <v>113.00229095074999</v>
      </c>
      <c r="I212" s="9">
        <f t="shared" si="22"/>
        <v>293.69502486878002</v>
      </c>
      <c r="J212" s="9">
        <f t="shared" si="23"/>
        <v>1241.2724635178299</v>
      </c>
      <c r="K212" s="9">
        <f t="shared" si="24"/>
        <v>293.69502486878002</v>
      </c>
      <c r="L212" s="10">
        <f t="shared" si="21"/>
        <v>0.23660802402434131</v>
      </c>
      <c r="M212" s="10">
        <f t="shared" si="20"/>
        <v>0.23809730107716945</v>
      </c>
      <c r="P212" s="8">
        <f t="shared" si="25"/>
        <v>18.319808769416685</v>
      </c>
    </row>
    <row r="213" spans="1:16" x14ac:dyDescent="0.2">
      <c r="A213" s="8">
        <v>105.5</v>
      </c>
      <c r="B213" s="8">
        <v>211</v>
      </c>
      <c r="D213">
        <v>1369.3186750427999</v>
      </c>
      <c r="E213">
        <v>404.55739577384003</v>
      </c>
      <c r="F213">
        <v>129.24054982818001</v>
      </c>
      <c r="G213">
        <v>112.73768613975</v>
      </c>
      <c r="I213" s="9">
        <f t="shared" si="22"/>
        <v>291.81970963409003</v>
      </c>
      <c r="J213" s="9">
        <f t="shared" si="23"/>
        <v>1240.0781252146198</v>
      </c>
      <c r="K213" s="9">
        <f t="shared" si="24"/>
        <v>291.81970963409003</v>
      </c>
      <c r="L213" s="10">
        <f t="shared" si="21"/>
        <v>0.235323649131852</v>
      </c>
      <c r="M213" s="10">
        <f t="shared" si="20"/>
        <v>0.2368200179801698</v>
      </c>
      <c r="P213" s="8">
        <f t="shared" si="25"/>
        <v>17.685077123582428</v>
      </c>
    </row>
    <row r="214" spans="1:16" x14ac:dyDescent="0.2">
      <c r="A214" s="8">
        <v>106</v>
      </c>
      <c r="B214" s="8">
        <v>212</v>
      </c>
      <c r="D214">
        <v>1372.1993146773</v>
      </c>
      <c r="E214">
        <v>405.53055396916</v>
      </c>
      <c r="F214">
        <v>128.9587628866</v>
      </c>
      <c r="G214">
        <v>112.52176403207</v>
      </c>
      <c r="I214" s="9">
        <f t="shared" si="22"/>
        <v>293.00878993709</v>
      </c>
      <c r="J214" s="9">
        <f t="shared" si="23"/>
        <v>1243.2405517907</v>
      </c>
      <c r="K214" s="9">
        <f t="shared" si="24"/>
        <v>293.00878993709</v>
      </c>
      <c r="L214" s="10">
        <f t="shared" si="21"/>
        <v>0.23568149342864914</v>
      </c>
      <c r="M214" s="10">
        <f t="shared" si="20"/>
        <v>0.2371849540724566</v>
      </c>
      <c r="P214" s="8">
        <f t="shared" si="25"/>
        <v>17.866428060603077</v>
      </c>
    </row>
    <row r="215" spans="1:16" x14ac:dyDescent="0.2">
      <c r="A215" s="8">
        <v>106.5</v>
      </c>
      <c r="B215" s="8">
        <v>213</v>
      </c>
      <c r="D215">
        <v>1359.3232438606999</v>
      </c>
      <c r="E215">
        <v>401.87664191890002</v>
      </c>
      <c r="F215">
        <v>129.06242840779001</v>
      </c>
      <c r="G215">
        <v>112.88774341352</v>
      </c>
      <c r="I215" s="9">
        <f t="shared" si="22"/>
        <v>288.98889850538001</v>
      </c>
      <c r="J215" s="9">
        <f t="shared" si="23"/>
        <v>1230.2608154529098</v>
      </c>
      <c r="K215" s="9">
        <f t="shared" si="24"/>
        <v>288.98889850538001</v>
      </c>
      <c r="L215" s="10">
        <f t="shared" si="21"/>
        <v>0.23490051448886573</v>
      </c>
      <c r="M215" s="10">
        <f t="shared" si="20"/>
        <v>0.23641106692816283</v>
      </c>
      <c r="P215" s="8">
        <f t="shared" si="25"/>
        <v>17.481853441286951</v>
      </c>
    </row>
    <row r="216" spans="1:16" x14ac:dyDescent="0.2">
      <c r="A216" s="8">
        <v>107</v>
      </c>
      <c r="B216" s="8">
        <v>214</v>
      </c>
      <c r="D216">
        <v>1364.0736721873</v>
      </c>
      <c r="E216">
        <v>404.91033695031001</v>
      </c>
      <c r="F216">
        <v>129.04410080183001</v>
      </c>
      <c r="G216">
        <v>112.76746849943</v>
      </c>
      <c r="I216" s="9">
        <f t="shared" si="22"/>
        <v>292.14286845088003</v>
      </c>
      <c r="J216" s="9">
        <f t="shared" si="23"/>
        <v>1235.02957138547</v>
      </c>
      <c r="K216" s="9">
        <f t="shared" si="24"/>
        <v>292.14286845088003</v>
      </c>
      <c r="L216" s="10">
        <f t="shared" si="21"/>
        <v>0.23654726592752826</v>
      </c>
      <c r="M216" s="10">
        <f t="shared" si="20"/>
        <v>0.23806491016231501</v>
      </c>
      <c r="P216" s="8">
        <f t="shared" si="25"/>
        <v>18.303712464107448</v>
      </c>
    </row>
    <row r="217" spans="1:16" x14ac:dyDescent="0.2">
      <c r="A217" s="8">
        <v>107.5</v>
      </c>
      <c r="B217" s="8">
        <v>215</v>
      </c>
      <c r="D217">
        <v>1369.3146773271999</v>
      </c>
      <c r="E217">
        <v>404.31353512278997</v>
      </c>
      <c r="F217">
        <v>129.04581901488999</v>
      </c>
      <c r="G217">
        <v>112.79266895761999</v>
      </c>
      <c r="I217" s="9">
        <f t="shared" si="22"/>
        <v>291.52086616516999</v>
      </c>
      <c r="J217" s="9">
        <f t="shared" si="23"/>
        <v>1240.2688583123099</v>
      </c>
      <c r="K217" s="9">
        <f t="shared" si="24"/>
        <v>291.52086616516999</v>
      </c>
      <c r="L217" s="10">
        <f t="shared" si="21"/>
        <v>0.23504650964296214</v>
      </c>
      <c r="M217" s="10">
        <f t="shared" si="20"/>
        <v>0.23657124567323856</v>
      </c>
      <c r="P217" s="8">
        <f t="shared" si="25"/>
        <v>17.561452489241482</v>
      </c>
    </row>
    <row r="218" spans="1:16" x14ac:dyDescent="0.2">
      <c r="A218" s="8">
        <v>108</v>
      </c>
      <c r="B218" s="8">
        <v>216</v>
      </c>
      <c r="D218">
        <v>1357.8897772701</v>
      </c>
      <c r="E218">
        <v>402.3597944032</v>
      </c>
      <c r="F218">
        <v>129.29896907217</v>
      </c>
      <c r="G218">
        <v>112.71305841924</v>
      </c>
      <c r="I218" s="9">
        <f t="shared" si="22"/>
        <v>289.64673598396001</v>
      </c>
      <c r="J218" s="9">
        <f t="shared" si="23"/>
        <v>1228.5908081979301</v>
      </c>
      <c r="K218" s="9">
        <f t="shared" si="24"/>
        <v>289.64673598396001</v>
      </c>
      <c r="L218" s="10">
        <f t="shared" si="21"/>
        <v>0.23575525231936861</v>
      </c>
      <c r="M218" s="10">
        <f t="shared" si="20"/>
        <v>0.23728708014513469</v>
      </c>
      <c r="P218" s="8">
        <f t="shared" si="25"/>
        <v>17.917178477911364</v>
      </c>
    </row>
    <row r="219" spans="1:16" x14ac:dyDescent="0.2">
      <c r="A219" s="8">
        <v>108.5</v>
      </c>
      <c r="B219" s="8">
        <v>217</v>
      </c>
      <c r="D219">
        <v>1360.1216447744</v>
      </c>
      <c r="E219">
        <v>403.15762421472999</v>
      </c>
      <c r="F219">
        <v>129.21420389462</v>
      </c>
      <c r="G219">
        <v>112.75143184421999</v>
      </c>
      <c r="I219" s="9">
        <f t="shared" si="22"/>
        <v>290.40619237050998</v>
      </c>
      <c r="J219" s="9">
        <f t="shared" si="23"/>
        <v>1230.9074408797801</v>
      </c>
      <c r="K219" s="9">
        <f t="shared" si="24"/>
        <v>290.40619237050998</v>
      </c>
      <c r="L219" s="10">
        <f t="shared" si="21"/>
        <v>0.23592853753726986</v>
      </c>
      <c r="M219" s="10">
        <f t="shared" si="20"/>
        <v>0.2374674571585256</v>
      </c>
      <c r="P219" s="8">
        <f t="shared" si="25"/>
        <v>18.006814830924426</v>
      </c>
    </row>
    <row r="220" spans="1:16" x14ac:dyDescent="0.2">
      <c r="A220" s="8">
        <v>109</v>
      </c>
      <c r="B220" s="8">
        <v>218</v>
      </c>
      <c r="D220">
        <v>1356.7287264419999</v>
      </c>
      <c r="E220">
        <v>401.27298686465002</v>
      </c>
      <c r="F220">
        <v>129.17983963345</v>
      </c>
      <c r="G220">
        <v>112.9421534937</v>
      </c>
      <c r="I220" s="9">
        <f t="shared" si="22"/>
        <v>288.33083337095002</v>
      </c>
      <c r="J220" s="9">
        <f t="shared" si="23"/>
        <v>1227.5488868085499</v>
      </c>
      <c r="K220" s="9">
        <f t="shared" si="24"/>
        <v>288.33083337095002</v>
      </c>
      <c r="L220" s="10">
        <f t="shared" si="21"/>
        <v>0.23488338140289353</v>
      </c>
      <c r="M220" s="10">
        <f t="shared" si="20"/>
        <v>0.23642939281963893</v>
      </c>
      <c r="P220" s="8">
        <f t="shared" si="25"/>
        <v>17.490960289475368</v>
      </c>
    </row>
    <row r="221" spans="1:16" x14ac:dyDescent="0.2">
      <c r="A221" s="8">
        <v>109.5</v>
      </c>
      <c r="B221" s="8">
        <v>219</v>
      </c>
      <c r="D221">
        <v>1342.5099942889999</v>
      </c>
      <c r="E221">
        <v>396.14049114791999</v>
      </c>
      <c r="F221">
        <v>129.51947308133001</v>
      </c>
      <c r="G221">
        <v>112.6197021764</v>
      </c>
      <c r="I221" s="9">
        <f t="shared" si="22"/>
        <v>283.52078897152001</v>
      </c>
      <c r="J221" s="9">
        <f t="shared" si="23"/>
        <v>1212.9905212076699</v>
      </c>
      <c r="K221" s="9">
        <f t="shared" si="24"/>
        <v>283.52078897152001</v>
      </c>
      <c r="L221" s="10">
        <f t="shared" si="21"/>
        <v>0.23373701938679856</v>
      </c>
      <c r="M221" s="10">
        <f t="shared" si="20"/>
        <v>0.23529012259903362</v>
      </c>
      <c r="P221" s="8">
        <f t="shared" si="25"/>
        <v>16.924812609393001</v>
      </c>
    </row>
    <row r="222" spans="1:16" x14ac:dyDescent="0.2">
      <c r="A222" s="8">
        <v>110</v>
      </c>
      <c r="B222" s="8">
        <v>220</v>
      </c>
      <c r="D222">
        <v>1358.7441462022</v>
      </c>
      <c r="E222">
        <v>399.77213021131001</v>
      </c>
      <c r="F222">
        <v>129.2067583047</v>
      </c>
      <c r="G222">
        <v>112.82703321879001</v>
      </c>
      <c r="I222" s="9">
        <f t="shared" si="22"/>
        <v>286.94509699252001</v>
      </c>
      <c r="J222" s="9">
        <f t="shared" si="23"/>
        <v>1229.5373878974999</v>
      </c>
      <c r="K222" s="9">
        <f t="shared" si="24"/>
        <v>286.94509699252001</v>
      </c>
      <c r="L222" s="10">
        <f t="shared" si="21"/>
        <v>0.23337647135984541</v>
      </c>
      <c r="M222" s="10">
        <f t="shared" si="20"/>
        <v>0.23493666636757013</v>
      </c>
      <c r="P222" s="8">
        <f t="shared" si="25"/>
        <v>16.749166461679788</v>
      </c>
    </row>
    <row r="223" spans="1:16" x14ac:dyDescent="0.2">
      <c r="A223" s="8">
        <v>110.5</v>
      </c>
      <c r="B223" s="8">
        <v>221</v>
      </c>
      <c r="D223">
        <v>1403.8880639634999</v>
      </c>
      <c r="E223">
        <v>407.43118218160998</v>
      </c>
      <c r="F223">
        <v>129.43470790378001</v>
      </c>
      <c r="G223">
        <v>112.97537227949999</v>
      </c>
      <c r="I223" s="9">
        <f t="shared" si="22"/>
        <v>294.45580990210999</v>
      </c>
      <c r="J223" s="9">
        <f t="shared" si="23"/>
        <v>1274.4533560597199</v>
      </c>
      <c r="K223" s="9">
        <f t="shared" si="24"/>
        <v>294.45580990210999</v>
      </c>
      <c r="L223" s="10">
        <f t="shared" si="21"/>
        <v>0.23104479148023996</v>
      </c>
      <c r="M223" s="10">
        <f t="shared" si="20"/>
        <v>0.23261207828345432</v>
      </c>
      <c r="P223" s="8">
        <f t="shared" si="25"/>
        <v>15.593988236912329</v>
      </c>
    </row>
    <row r="224" spans="1:16" x14ac:dyDescent="0.2">
      <c r="A224" s="8">
        <v>111</v>
      </c>
      <c r="B224" s="8">
        <v>222</v>
      </c>
      <c r="D224">
        <v>1374.0131353511999</v>
      </c>
      <c r="E224">
        <v>402.79040548258001</v>
      </c>
      <c r="F224">
        <v>129.4587628866</v>
      </c>
      <c r="G224">
        <v>112.75830469645</v>
      </c>
      <c r="I224" s="9">
        <f t="shared" si="22"/>
        <v>290.03210078613</v>
      </c>
      <c r="J224" s="9">
        <f t="shared" si="23"/>
        <v>1244.5543724646</v>
      </c>
      <c r="K224" s="9">
        <f t="shared" si="24"/>
        <v>290.03210078613</v>
      </c>
      <c r="L224" s="10">
        <f t="shared" si="21"/>
        <v>0.23304092388649711</v>
      </c>
      <c r="M224" s="10">
        <f t="shared" si="20"/>
        <v>0.23461530248520113</v>
      </c>
      <c r="P224" s="8">
        <f t="shared" si="25"/>
        <v>16.58946825033814</v>
      </c>
    </row>
    <row r="225" spans="1:16" x14ac:dyDescent="0.2">
      <c r="A225" s="8">
        <v>111.5</v>
      </c>
      <c r="B225" s="8">
        <v>223</v>
      </c>
      <c r="D225">
        <v>1376.9337521416001</v>
      </c>
      <c r="E225">
        <v>403.40434037693001</v>
      </c>
      <c r="F225">
        <v>129.3470790378</v>
      </c>
      <c r="G225">
        <v>112.74169530355</v>
      </c>
      <c r="I225" s="9">
        <f t="shared" si="22"/>
        <v>290.66264507338002</v>
      </c>
      <c r="J225" s="9">
        <f t="shared" si="23"/>
        <v>1247.5866731038</v>
      </c>
      <c r="K225" s="9">
        <f t="shared" si="24"/>
        <v>290.66264507338002</v>
      </c>
      <c r="L225" s="10">
        <f t="shared" si="21"/>
        <v>0.23297992142722793</v>
      </c>
      <c r="M225" s="10">
        <f t="shared" si="20"/>
        <v>0.23456139182142161</v>
      </c>
      <c r="P225" s="8">
        <f t="shared" si="25"/>
        <v>16.56267794486148</v>
      </c>
    </row>
    <row r="226" spans="1:16" x14ac:dyDescent="0.2">
      <c r="A226" s="8">
        <v>112</v>
      </c>
      <c r="B226" s="8">
        <v>224</v>
      </c>
      <c r="D226">
        <v>1366.8092518561</v>
      </c>
      <c r="E226">
        <v>399.94745859508998</v>
      </c>
      <c r="F226">
        <v>129.37628865978999</v>
      </c>
      <c r="G226">
        <v>112.77777777778</v>
      </c>
      <c r="I226" s="9">
        <f t="shared" si="22"/>
        <v>287.16968081731</v>
      </c>
      <c r="J226" s="9">
        <f t="shared" si="23"/>
        <v>1237.4329631963101</v>
      </c>
      <c r="K226" s="9">
        <f t="shared" si="24"/>
        <v>287.16968081731</v>
      </c>
      <c r="L226" s="10">
        <f t="shared" si="21"/>
        <v>0.23206887917026706</v>
      </c>
      <c r="M226" s="10">
        <f t="shared" si="20"/>
        <v>0.2336574413599504</v>
      </c>
      <c r="P226" s="8">
        <f t="shared" si="25"/>
        <v>16.113469804935384</v>
      </c>
    </row>
    <row r="227" spans="1:16" x14ac:dyDescent="0.2">
      <c r="A227" s="8">
        <v>112.5</v>
      </c>
      <c r="B227" s="8">
        <v>225</v>
      </c>
      <c r="D227">
        <v>1358.3472301541999</v>
      </c>
      <c r="E227">
        <v>399.64934323244</v>
      </c>
      <c r="F227">
        <v>129.70790378007001</v>
      </c>
      <c r="G227">
        <v>112.77319587629</v>
      </c>
      <c r="I227" s="9">
        <f t="shared" si="22"/>
        <v>286.87614735615</v>
      </c>
      <c r="J227" s="9">
        <f t="shared" si="23"/>
        <v>1228.63932637413</v>
      </c>
      <c r="K227" s="9">
        <f t="shared" si="24"/>
        <v>286.87614735615</v>
      </c>
      <c r="L227" s="10">
        <f t="shared" si="21"/>
        <v>0.23349093684210628</v>
      </c>
      <c r="M227" s="10">
        <f t="shared" si="20"/>
        <v>0.23508659082727928</v>
      </c>
      <c r="P227" s="8">
        <f t="shared" si="25"/>
        <v>16.823669756435304</v>
      </c>
    </row>
    <row r="228" spans="1:16" x14ac:dyDescent="0.2">
      <c r="A228" s="8">
        <v>113</v>
      </c>
      <c r="B228" s="8">
        <v>226</v>
      </c>
      <c r="D228">
        <v>1375.9988577956001</v>
      </c>
      <c r="E228">
        <v>401.52655625356999</v>
      </c>
      <c r="F228">
        <v>129.03951890034</v>
      </c>
      <c r="G228">
        <v>112.74284077892</v>
      </c>
      <c r="I228" s="9">
        <f t="shared" si="22"/>
        <v>288.78371547464997</v>
      </c>
      <c r="J228" s="9">
        <f t="shared" si="23"/>
        <v>1246.9593388952601</v>
      </c>
      <c r="K228" s="9">
        <f t="shared" si="24"/>
        <v>288.78371547464997</v>
      </c>
      <c r="L228" s="10">
        <f t="shared" si="21"/>
        <v>0.23159032252847719</v>
      </c>
      <c r="M228" s="10">
        <f t="shared" si="20"/>
        <v>0.23319306830913986</v>
      </c>
      <c r="P228" s="8">
        <f t="shared" si="25"/>
        <v>15.88270477601233</v>
      </c>
    </row>
    <row r="229" spans="1:16" x14ac:dyDescent="0.2">
      <c r="A229" s="8">
        <v>113.5</v>
      </c>
      <c r="B229" s="8">
        <v>227</v>
      </c>
      <c r="D229">
        <v>1371.9897201598999</v>
      </c>
      <c r="E229">
        <v>403.07367218732003</v>
      </c>
      <c r="F229">
        <v>129.52405498281999</v>
      </c>
      <c r="G229">
        <v>112.94329896907</v>
      </c>
      <c r="I229" s="9">
        <f t="shared" si="22"/>
        <v>290.13037321825004</v>
      </c>
      <c r="J229" s="9">
        <f t="shared" si="23"/>
        <v>1242.4656651770799</v>
      </c>
      <c r="K229" s="9">
        <f t="shared" si="24"/>
        <v>290.13037321825004</v>
      </c>
      <c r="L229" s="10">
        <f t="shared" si="21"/>
        <v>0.23351178334324418</v>
      </c>
      <c r="M229" s="10">
        <f t="shared" si="20"/>
        <v>0.23512162091939651</v>
      </c>
      <c r="P229" s="8">
        <f t="shared" si="25"/>
        <v>16.841077571566906</v>
      </c>
    </row>
    <row r="230" spans="1:16" x14ac:dyDescent="0.2">
      <c r="A230" s="8">
        <v>114</v>
      </c>
      <c r="B230" s="8">
        <v>228</v>
      </c>
      <c r="D230">
        <v>1362.0422615647999</v>
      </c>
      <c r="E230">
        <v>400.16105082809997</v>
      </c>
      <c r="F230">
        <v>129.08934707904001</v>
      </c>
      <c r="G230">
        <v>112.61855670103</v>
      </c>
      <c r="I230" s="9">
        <f t="shared" si="22"/>
        <v>287.54249412706997</v>
      </c>
      <c r="J230" s="9">
        <f t="shared" si="23"/>
        <v>1232.9529144857599</v>
      </c>
      <c r="K230" s="9">
        <f t="shared" si="24"/>
        <v>287.54249412706997</v>
      </c>
      <c r="L230" s="10">
        <f t="shared" si="21"/>
        <v>0.23321449728434943</v>
      </c>
      <c r="M230" s="10">
        <f t="shared" si="20"/>
        <v>0.23483142665599141</v>
      </c>
      <c r="P230" s="8">
        <f t="shared" si="25"/>
        <v>16.696868756108959</v>
      </c>
    </row>
    <row r="231" spans="1:16" x14ac:dyDescent="0.2">
      <c r="A231" s="8">
        <v>114.5</v>
      </c>
      <c r="B231" s="8">
        <v>229</v>
      </c>
      <c r="D231">
        <v>1362.2866933181001</v>
      </c>
      <c r="E231">
        <v>398.57966876070998</v>
      </c>
      <c r="F231">
        <v>129.55154639175001</v>
      </c>
      <c r="G231">
        <v>112.72909507446001</v>
      </c>
      <c r="I231" s="9">
        <f t="shared" si="22"/>
        <v>285.85057368624996</v>
      </c>
      <c r="J231" s="9">
        <f t="shared" si="23"/>
        <v>1232.7351469263501</v>
      </c>
      <c r="K231" s="9">
        <f t="shared" si="24"/>
        <v>285.85057368624996</v>
      </c>
      <c r="L231" s="10">
        <f t="shared" si="21"/>
        <v>0.23188320248593361</v>
      </c>
      <c r="M231" s="10">
        <f t="shared" si="20"/>
        <v>0.23350722365306525</v>
      </c>
      <c r="P231" s="8">
        <f t="shared" si="25"/>
        <v>16.038820784253417</v>
      </c>
    </row>
    <row r="232" spans="1:16" x14ac:dyDescent="0.2">
      <c r="A232" s="8">
        <v>115</v>
      </c>
      <c r="B232" s="8">
        <v>230</v>
      </c>
      <c r="D232">
        <v>1369.3426613363999</v>
      </c>
      <c r="E232">
        <v>399.62193032553</v>
      </c>
      <c r="F232">
        <v>129.36597938144001</v>
      </c>
      <c r="G232">
        <v>112.69988545245999</v>
      </c>
      <c r="I232" s="9">
        <f t="shared" si="22"/>
        <v>286.92204487307004</v>
      </c>
      <c r="J232" s="9">
        <f t="shared" si="23"/>
        <v>1239.97668195496</v>
      </c>
      <c r="K232" s="9">
        <f t="shared" si="24"/>
        <v>286.92204487307004</v>
      </c>
      <c r="L232" s="10">
        <f t="shared" si="21"/>
        <v>0.23139309718365492</v>
      </c>
      <c r="M232" s="10">
        <f t="shared" si="20"/>
        <v>0.23302421014627619</v>
      </c>
      <c r="P232" s="8">
        <f t="shared" si="25"/>
        <v>15.79879258780694</v>
      </c>
    </row>
    <row r="233" spans="1:16" x14ac:dyDescent="0.2">
      <c r="A233" s="8">
        <v>115.5</v>
      </c>
      <c r="B233" s="8">
        <v>231</v>
      </c>
      <c r="D233">
        <v>1358.7921187893</v>
      </c>
      <c r="E233">
        <v>395.79154768704001</v>
      </c>
      <c r="F233">
        <v>129.22852233677</v>
      </c>
      <c r="G233">
        <v>112.59793814433</v>
      </c>
      <c r="I233" s="9">
        <f t="shared" si="22"/>
        <v>283.19360954271002</v>
      </c>
      <c r="J233" s="9">
        <f t="shared" si="23"/>
        <v>1229.56359645253</v>
      </c>
      <c r="K233" s="9">
        <f t="shared" si="24"/>
        <v>283.19360954271002</v>
      </c>
      <c r="L233" s="10">
        <f t="shared" si="21"/>
        <v>0.23032042454718474</v>
      </c>
      <c r="M233" s="10">
        <f t="shared" si="20"/>
        <v>0.23195862930529568</v>
      </c>
      <c r="P233" s="8">
        <f t="shared" si="25"/>
        <v>15.269264026320617</v>
      </c>
    </row>
    <row r="234" spans="1:16" x14ac:dyDescent="0.2">
      <c r="A234" s="8">
        <v>116</v>
      </c>
      <c r="B234" s="8">
        <v>232</v>
      </c>
      <c r="D234">
        <v>1363.9189034837</v>
      </c>
      <c r="E234">
        <v>396.56310679612</v>
      </c>
      <c r="F234">
        <v>129.39805269186999</v>
      </c>
      <c r="G234">
        <v>113.06471935853</v>
      </c>
      <c r="I234" s="9">
        <f t="shared" si="22"/>
        <v>283.49838743759</v>
      </c>
      <c r="J234" s="9">
        <f t="shared" si="23"/>
        <v>1234.5208507918301</v>
      </c>
      <c r="K234" s="9">
        <f t="shared" si="24"/>
        <v>283.49838743759</v>
      </c>
      <c r="L234" s="10">
        <f t="shared" si="21"/>
        <v>0.2296424456952284</v>
      </c>
      <c r="M234" s="10">
        <f t="shared" si="20"/>
        <v>0.231287742248829</v>
      </c>
      <c r="P234" s="8">
        <f t="shared" si="25"/>
        <v>14.935874156431725</v>
      </c>
    </row>
    <row r="235" spans="1:16" x14ac:dyDescent="0.2">
      <c r="A235" s="8">
        <v>116.5</v>
      </c>
      <c r="B235" s="8">
        <v>233</v>
      </c>
      <c r="D235">
        <v>1387.3906339235</v>
      </c>
      <c r="E235">
        <v>398.47458595089</v>
      </c>
      <c r="F235">
        <v>129.36769759449999</v>
      </c>
      <c r="G235">
        <v>112.73825887743</v>
      </c>
      <c r="I235" s="9">
        <f t="shared" si="22"/>
        <v>285.73632707346002</v>
      </c>
      <c r="J235" s="9">
        <f t="shared" si="23"/>
        <v>1258.022936329</v>
      </c>
      <c r="K235" s="9">
        <f t="shared" si="24"/>
        <v>285.73632707346002</v>
      </c>
      <c r="L235" s="10">
        <f t="shared" si="21"/>
        <v>0.22713125398751383</v>
      </c>
      <c r="M235" s="10">
        <f t="shared" si="20"/>
        <v>0.22878364233660409</v>
      </c>
      <c r="P235" s="8">
        <f t="shared" si="25"/>
        <v>13.691489522865735</v>
      </c>
    </row>
    <row r="236" spans="1:16" x14ac:dyDescent="0.2">
      <c r="A236" s="8">
        <v>117</v>
      </c>
      <c r="B236" s="8">
        <v>234</v>
      </c>
      <c r="D236">
        <v>1359.8680753855001</v>
      </c>
      <c r="E236">
        <v>393.42832667047003</v>
      </c>
      <c r="F236">
        <v>129.65979381443</v>
      </c>
      <c r="G236">
        <v>112.75028636883999</v>
      </c>
      <c r="I236" s="9">
        <f t="shared" si="22"/>
        <v>280.67804030163006</v>
      </c>
      <c r="J236" s="9">
        <f t="shared" si="23"/>
        <v>1230.2082815710701</v>
      </c>
      <c r="K236" s="9">
        <f t="shared" si="24"/>
        <v>280.67804030163006</v>
      </c>
      <c r="L236" s="10">
        <f t="shared" si="21"/>
        <v>0.22815489418034379</v>
      </c>
      <c r="M236" s="10">
        <f t="shared" si="20"/>
        <v>0.22981437432492371</v>
      </c>
      <c r="P236" s="8">
        <f t="shared" si="25"/>
        <v>14.203700334154906</v>
      </c>
    </row>
    <row r="237" spans="1:16" x14ac:dyDescent="0.2">
      <c r="A237" s="8">
        <v>117.5</v>
      </c>
      <c r="B237" s="8">
        <v>235</v>
      </c>
      <c r="D237">
        <v>1346.0308395203001</v>
      </c>
      <c r="E237">
        <v>389.16276413477999</v>
      </c>
      <c r="F237">
        <v>129.22565864833999</v>
      </c>
      <c r="G237">
        <v>112.80355097365</v>
      </c>
      <c r="I237" s="9">
        <f t="shared" si="22"/>
        <v>276.35921316113001</v>
      </c>
      <c r="J237" s="9">
        <f t="shared" si="23"/>
        <v>1216.8051808719601</v>
      </c>
      <c r="K237" s="9">
        <f t="shared" si="24"/>
        <v>276.35921316113001</v>
      </c>
      <c r="L237" s="10">
        <f t="shared" si="21"/>
        <v>0.2271187019133922</v>
      </c>
      <c r="M237" s="10">
        <f t="shared" si="20"/>
        <v>0.22878527385346178</v>
      </c>
      <c r="P237" s="8">
        <f t="shared" si="25"/>
        <v>13.692300287043796</v>
      </c>
    </row>
    <row r="238" spans="1:16" x14ac:dyDescent="0.2">
      <c r="A238" s="8">
        <v>118</v>
      </c>
      <c r="B238" s="8">
        <v>236</v>
      </c>
      <c r="D238">
        <v>1344.3358081097001</v>
      </c>
      <c r="E238">
        <v>387.64820102798001</v>
      </c>
      <c r="F238">
        <v>129.11225658647999</v>
      </c>
      <c r="G238">
        <v>112.87399770905</v>
      </c>
      <c r="I238" s="9">
        <f t="shared" si="22"/>
        <v>274.77420331893001</v>
      </c>
      <c r="J238" s="9">
        <f t="shared" si="23"/>
        <v>1215.2235515232201</v>
      </c>
      <c r="K238" s="9">
        <f t="shared" si="24"/>
        <v>274.77420331893001</v>
      </c>
      <c r="L238" s="10">
        <f t="shared" si="21"/>
        <v>0.22611000500649836</v>
      </c>
      <c r="M238" s="10">
        <f t="shared" si="20"/>
        <v>0.2277836687420576</v>
      </c>
      <c r="P238" s="8">
        <f t="shared" si="25"/>
        <v>13.194563753669977</v>
      </c>
    </row>
    <row r="239" spans="1:16" x14ac:dyDescent="0.2">
      <c r="A239" s="8">
        <v>118.5</v>
      </c>
      <c r="B239" s="8">
        <v>237</v>
      </c>
      <c r="D239">
        <v>1358.6299257567</v>
      </c>
      <c r="E239">
        <v>390.10451170760001</v>
      </c>
      <c r="F239">
        <v>129.57846506300001</v>
      </c>
      <c r="G239">
        <v>112.73195876289</v>
      </c>
      <c r="I239" s="9">
        <f t="shared" si="22"/>
        <v>277.37255294471004</v>
      </c>
      <c r="J239" s="9">
        <f t="shared" si="23"/>
        <v>1229.0514606936999</v>
      </c>
      <c r="K239" s="9">
        <f t="shared" si="24"/>
        <v>277.37255294471004</v>
      </c>
      <c r="L239" s="10">
        <f t="shared" si="21"/>
        <v>0.22568017842650437</v>
      </c>
      <c r="M239" s="10">
        <f t="shared" si="20"/>
        <v>0.22736093395755327</v>
      </c>
      <c r="P239" s="8">
        <f t="shared" si="25"/>
        <v>12.984490398632149</v>
      </c>
    </row>
    <row r="240" spans="1:16" x14ac:dyDescent="0.2">
      <c r="A240" s="8">
        <v>119</v>
      </c>
      <c r="B240" s="8">
        <v>238</v>
      </c>
      <c r="D240">
        <v>1388.4083380924999</v>
      </c>
      <c r="E240">
        <v>391.99942889776997</v>
      </c>
      <c r="F240">
        <v>129.62772050401</v>
      </c>
      <c r="G240">
        <v>112.81615120275001</v>
      </c>
      <c r="I240" s="9">
        <f t="shared" si="22"/>
        <v>279.18327769501997</v>
      </c>
      <c r="J240" s="9">
        <f t="shared" si="23"/>
        <v>1258.7806175884898</v>
      </c>
      <c r="K240" s="9">
        <f t="shared" si="24"/>
        <v>279.18327769501997</v>
      </c>
      <c r="L240" s="10">
        <f t="shared" si="21"/>
        <v>0.22178866896589622</v>
      </c>
      <c r="M240" s="10">
        <f t="shared" si="20"/>
        <v>0.22347651629243478</v>
      </c>
      <c r="P240" s="8">
        <f t="shared" si="25"/>
        <v>11.05417219158787</v>
      </c>
    </row>
    <row r="241" spans="1:16" x14ac:dyDescent="0.2">
      <c r="A241" s="8">
        <v>119.5</v>
      </c>
      <c r="B241" s="8">
        <v>239</v>
      </c>
      <c r="D241">
        <v>1368.2467161622001</v>
      </c>
      <c r="E241">
        <v>389.04283266704999</v>
      </c>
      <c r="F241">
        <v>129.50687285223</v>
      </c>
      <c r="G241">
        <v>112.90721649485</v>
      </c>
      <c r="I241" s="9">
        <f t="shared" si="22"/>
        <v>276.1356161722</v>
      </c>
      <c r="J241" s="9">
        <f t="shared" si="23"/>
        <v>1238.7398433099702</v>
      </c>
      <c r="K241" s="9">
        <f t="shared" si="24"/>
        <v>276.1356161722</v>
      </c>
      <c r="L241" s="10">
        <f t="shared" si="21"/>
        <v>0.22291655319195422</v>
      </c>
      <c r="M241" s="10">
        <f t="shared" si="20"/>
        <v>0.22461149231398242</v>
      </c>
      <c r="P241" s="8">
        <f t="shared" si="25"/>
        <v>11.618185917152381</v>
      </c>
    </row>
    <row r="242" spans="1:16" x14ac:dyDescent="0.2">
      <c r="A242" s="8">
        <v>120</v>
      </c>
      <c r="B242" s="8">
        <v>240</v>
      </c>
      <c r="D242">
        <v>1359.4517418618</v>
      </c>
      <c r="E242">
        <v>387.00628212449999</v>
      </c>
      <c r="F242">
        <v>129.40549828178999</v>
      </c>
      <c r="G242">
        <v>112.88316151203</v>
      </c>
      <c r="I242" s="9">
        <f>E242-G242</f>
        <v>274.12312061246996</v>
      </c>
      <c r="J242" s="9">
        <f>D242-F242</f>
        <v>1230.04624358001</v>
      </c>
      <c r="K242" s="9">
        <f t="shared" si="24"/>
        <v>274.12312061246996</v>
      </c>
      <c r="L242" s="10">
        <f t="shared" si="21"/>
        <v>0.22285594711841356</v>
      </c>
      <c r="M242" s="10">
        <f>L242+ABS($N$2)*A242</f>
        <v>0.22455797803593142</v>
      </c>
      <c r="O242" s="11"/>
      <c r="P242" s="8">
        <f>(M242-$O$2)/$O$2*100</f>
        <v>11.591592591160097</v>
      </c>
    </row>
    <row r="243" spans="1:16" x14ac:dyDescent="0.2">
      <c r="A243" s="8">
        <v>120.5</v>
      </c>
      <c r="B243" s="8">
        <v>241</v>
      </c>
      <c r="D243">
        <v>1352.2518560822</v>
      </c>
      <c r="E243">
        <v>386.27641347801</v>
      </c>
      <c r="F243">
        <v>129.39862542955001</v>
      </c>
      <c r="G243">
        <v>112.90148911798001</v>
      </c>
      <c r="I243" s="9">
        <f t="shared" ref="I243:I274" si="26">E243-G243</f>
        <v>273.37492436002998</v>
      </c>
      <c r="J243" s="9">
        <f t="shared" ref="J243:J274" si="27">D243-F243</f>
        <v>1222.8532306526499</v>
      </c>
      <c r="K243" s="9">
        <f t="shared" si="24"/>
        <v>273.37492436002998</v>
      </c>
      <c r="L243" s="10">
        <f t="shared" si="21"/>
        <v>0.22355497577916758</v>
      </c>
      <c r="M243" s="10">
        <f t="shared" ref="M243:M274" si="28">L243+ABS($N$2)*A243</f>
        <v>0.2252640984921751</v>
      </c>
      <c r="P243" s="8">
        <f t="shared" ref="P243:P274" si="29">(M243-$O$2)/$O$2*100</f>
        <v>11.942491307663596</v>
      </c>
    </row>
    <row r="244" spans="1:16" x14ac:dyDescent="0.2">
      <c r="A244" s="8">
        <v>121</v>
      </c>
      <c r="B244" s="8">
        <v>242</v>
      </c>
      <c r="D244">
        <v>1367.5893774986</v>
      </c>
      <c r="E244">
        <v>387.48657909766001</v>
      </c>
      <c r="F244">
        <v>129.47537227949999</v>
      </c>
      <c r="G244">
        <v>112.75143184421999</v>
      </c>
      <c r="I244" s="9">
        <f t="shared" si="26"/>
        <v>274.73514725344</v>
      </c>
      <c r="J244" s="9">
        <f t="shared" si="27"/>
        <v>1238.1140052190999</v>
      </c>
      <c r="K244" s="9">
        <f t="shared" si="24"/>
        <v>274.73514725344</v>
      </c>
      <c r="L244" s="10">
        <f t="shared" si="21"/>
        <v>0.22189810154422909</v>
      </c>
      <c r="M244" s="10">
        <f t="shared" si="28"/>
        <v>0.22361431605272628</v>
      </c>
      <c r="N244" s="1"/>
      <c r="P244" s="8">
        <f t="shared" si="29"/>
        <v>11.122650251659943</v>
      </c>
    </row>
    <row r="245" spans="1:16" x14ac:dyDescent="0.2">
      <c r="A245" s="8">
        <v>121.5</v>
      </c>
      <c r="B245" s="8">
        <v>243</v>
      </c>
      <c r="D245">
        <v>1357.8994860079999</v>
      </c>
      <c r="E245">
        <v>386.57338663620999</v>
      </c>
      <c r="F245">
        <v>129.34765177548999</v>
      </c>
      <c r="G245">
        <v>113.02119129438999</v>
      </c>
      <c r="I245" s="9">
        <f t="shared" si="26"/>
        <v>273.55219534181998</v>
      </c>
      <c r="J245" s="9">
        <f t="shared" si="27"/>
        <v>1228.5518342325099</v>
      </c>
      <c r="K245" s="9">
        <f t="shared" si="24"/>
        <v>273.55219534181998</v>
      </c>
      <c r="L245" s="10">
        <f t="shared" si="21"/>
        <v>0.22266231486497359</v>
      </c>
      <c r="M245" s="10">
        <f t="shared" si="28"/>
        <v>0.22438562116896044</v>
      </c>
      <c r="P245" s="8">
        <f t="shared" si="29"/>
        <v>11.505941760815352</v>
      </c>
    </row>
    <row r="246" spans="1:16" x14ac:dyDescent="0.2">
      <c r="A246" s="8">
        <v>122</v>
      </c>
      <c r="B246" s="8">
        <v>244</v>
      </c>
      <c r="D246">
        <v>1348.5037121645</v>
      </c>
      <c r="E246">
        <v>383.87150199886003</v>
      </c>
      <c r="F246">
        <v>129.03207331042</v>
      </c>
      <c r="G246">
        <v>112.51947308133001</v>
      </c>
      <c r="I246" s="9">
        <f t="shared" si="26"/>
        <v>271.35202891752999</v>
      </c>
      <c r="J246" s="9">
        <f t="shared" si="27"/>
        <v>1219.4716388540801</v>
      </c>
      <c r="K246" s="9">
        <f t="shared" si="24"/>
        <v>271.35202891752999</v>
      </c>
      <c r="L246" s="10">
        <f t="shared" si="21"/>
        <v>0.22251606373766558</v>
      </c>
      <c r="M246" s="10">
        <f t="shared" si="28"/>
        <v>0.22424646183714209</v>
      </c>
      <c r="P246" s="8">
        <f t="shared" si="29"/>
        <v>11.436788076776363</v>
      </c>
    </row>
    <row r="247" spans="1:16" x14ac:dyDescent="0.2">
      <c r="A247" s="8">
        <v>122.5</v>
      </c>
      <c r="B247" s="8">
        <v>245</v>
      </c>
      <c r="D247">
        <v>1384.1621930326</v>
      </c>
      <c r="E247">
        <v>387.17818389491998</v>
      </c>
      <c r="F247">
        <v>129.47250859107001</v>
      </c>
      <c r="G247">
        <v>112.87113402062</v>
      </c>
      <c r="I247" s="9">
        <f t="shared" si="26"/>
        <v>274.30704987429999</v>
      </c>
      <c r="J247" s="9">
        <f t="shared" si="27"/>
        <v>1254.6896844415301</v>
      </c>
      <c r="K247" s="9">
        <f t="shared" si="24"/>
        <v>274.30704987429999</v>
      </c>
      <c r="L247" s="10">
        <f t="shared" si="21"/>
        <v>0.21862541254285972</v>
      </c>
      <c r="M247" s="10">
        <f t="shared" si="28"/>
        <v>0.22036290243782589</v>
      </c>
      <c r="P247" s="8">
        <f t="shared" si="29"/>
        <v>9.5068963753881359</v>
      </c>
    </row>
    <row r="248" spans="1:16" x14ac:dyDescent="0.2">
      <c r="A248" s="8">
        <v>123</v>
      </c>
      <c r="B248" s="8">
        <v>246</v>
      </c>
      <c r="D248">
        <v>1353.6133637921</v>
      </c>
      <c r="E248">
        <v>381.76299257567001</v>
      </c>
      <c r="F248">
        <v>129.19988545245999</v>
      </c>
      <c r="G248">
        <v>112.7479954181</v>
      </c>
      <c r="I248" s="9">
        <f t="shared" si="26"/>
        <v>269.01499715757001</v>
      </c>
      <c r="J248" s="9">
        <f t="shared" si="27"/>
        <v>1224.4134783396401</v>
      </c>
      <c r="K248" s="9">
        <f t="shared" si="24"/>
        <v>269.01499715757001</v>
      </c>
      <c r="L248" s="10">
        <f t="shared" si="21"/>
        <v>0.21970927461723672</v>
      </c>
      <c r="M248" s="10">
        <f t="shared" si="28"/>
        <v>0.22145385630769254</v>
      </c>
      <c r="P248" s="8">
        <f t="shared" si="29"/>
        <v>10.049033781712794</v>
      </c>
    </row>
    <row r="249" spans="1:16" x14ac:dyDescent="0.2">
      <c r="A249" s="8">
        <v>123.5</v>
      </c>
      <c r="B249" s="8">
        <v>247</v>
      </c>
      <c r="D249">
        <v>1389.0868075385999</v>
      </c>
      <c r="E249">
        <v>385.64877213020998</v>
      </c>
      <c r="F249">
        <v>129.30355097365</v>
      </c>
      <c r="G249">
        <v>112.44788087056</v>
      </c>
      <c r="I249" s="9">
        <f t="shared" si="26"/>
        <v>273.20089125965001</v>
      </c>
      <c r="J249" s="9">
        <f t="shared" si="27"/>
        <v>1259.7832565649499</v>
      </c>
      <c r="K249" s="9">
        <f t="shared" si="24"/>
        <v>273.20089125965001</v>
      </c>
      <c r="L249" s="10">
        <f t="shared" si="21"/>
        <v>0.21686340871412016</v>
      </c>
      <c r="M249" s="10">
        <f t="shared" si="28"/>
        <v>0.21861508220006562</v>
      </c>
      <c r="P249" s="8">
        <f t="shared" si="29"/>
        <v>8.6383365246064372</v>
      </c>
    </row>
    <row r="250" spans="1:16" x14ac:dyDescent="0.2">
      <c r="A250" s="8">
        <v>124</v>
      </c>
      <c r="B250" s="8">
        <v>248</v>
      </c>
      <c r="D250">
        <v>1341.4585950885</v>
      </c>
      <c r="E250">
        <v>380.42432895488002</v>
      </c>
      <c r="F250">
        <v>129.64375715922</v>
      </c>
      <c r="G250">
        <v>112.70904925543999</v>
      </c>
      <c r="I250" s="9">
        <f t="shared" si="26"/>
        <v>267.71527969944003</v>
      </c>
      <c r="J250" s="9">
        <f t="shared" si="27"/>
        <v>1211.81483792928</v>
      </c>
      <c r="K250" s="9">
        <f t="shared" si="24"/>
        <v>267.71527969944003</v>
      </c>
      <c r="L250" s="10">
        <f t="shared" si="21"/>
        <v>0.2209209454448548</v>
      </c>
      <c r="M250" s="10">
        <f t="shared" si="28"/>
        <v>0.22267971072628992</v>
      </c>
      <c r="P250" s="8">
        <f t="shared" si="29"/>
        <v>10.658208517131472</v>
      </c>
    </row>
    <row r="251" spans="1:16" x14ac:dyDescent="0.2">
      <c r="A251" s="8">
        <v>124.5</v>
      </c>
      <c r="B251" s="8">
        <v>249</v>
      </c>
      <c r="D251">
        <v>1354.1861793261</v>
      </c>
      <c r="E251">
        <v>381.26099371788001</v>
      </c>
      <c r="F251">
        <v>129.56701030927999</v>
      </c>
      <c r="G251">
        <v>112.84478808706</v>
      </c>
      <c r="I251" s="9">
        <f t="shared" si="26"/>
        <v>268.41620563082</v>
      </c>
      <c r="J251" s="9">
        <f t="shared" si="27"/>
        <v>1224.61916901682</v>
      </c>
      <c r="K251" s="9">
        <f t="shared" si="24"/>
        <v>268.41620563082</v>
      </c>
      <c r="L251" s="10">
        <f t="shared" si="21"/>
        <v>0.2191834101750316</v>
      </c>
      <c r="M251" s="10">
        <f t="shared" si="28"/>
        <v>0.22094926725195638</v>
      </c>
      <c r="P251" s="8">
        <f t="shared" si="29"/>
        <v>9.7982838558978287</v>
      </c>
    </row>
    <row r="252" spans="1:16" x14ac:dyDescent="0.2">
      <c r="A252" s="8">
        <v>125</v>
      </c>
      <c r="B252" s="8">
        <v>250</v>
      </c>
      <c r="D252">
        <v>1344.4834663626</v>
      </c>
      <c r="E252">
        <v>376.79760547320001</v>
      </c>
      <c r="F252">
        <v>129.53780068729</v>
      </c>
      <c r="G252">
        <v>112.70446735394999</v>
      </c>
      <c r="I252" s="9">
        <f t="shared" si="26"/>
        <v>264.09313811925</v>
      </c>
      <c r="J252" s="9">
        <f t="shared" si="27"/>
        <v>1214.94566567531</v>
      </c>
      <c r="K252" s="9">
        <f t="shared" si="24"/>
        <v>264.09313811925</v>
      </c>
      <c r="L252" s="10">
        <f t="shared" si="21"/>
        <v>0.21737032822159799</v>
      </c>
      <c r="M252" s="10">
        <f t="shared" si="28"/>
        <v>0.21914327709401243</v>
      </c>
      <c r="P252" s="8">
        <f t="shared" si="29"/>
        <v>8.9008171094851143</v>
      </c>
    </row>
    <row r="253" spans="1:16" x14ac:dyDescent="0.2">
      <c r="A253" s="8">
        <v>125.5</v>
      </c>
      <c r="B253" s="8">
        <v>251</v>
      </c>
      <c r="D253">
        <v>1348.4720638541</v>
      </c>
      <c r="E253">
        <v>374.88654503991</v>
      </c>
      <c r="F253">
        <v>129.46964490264</v>
      </c>
      <c r="G253">
        <v>112.98510882015999</v>
      </c>
      <c r="I253" s="9">
        <f t="shared" si="26"/>
        <v>261.90143621975</v>
      </c>
      <c r="J253" s="9">
        <f t="shared" si="27"/>
        <v>1219.00241895146</v>
      </c>
      <c r="K253" s="9">
        <f t="shared" si="24"/>
        <v>261.90143621975</v>
      </c>
      <c r="L253" s="10">
        <f t="shared" si="21"/>
        <v>0.21484898811359845</v>
      </c>
      <c r="M253" s="10">
        <f t="shared" si="28"/>
        <v>0.21662902878150256</v>
      </c>
      <c r="P253" s="8">
        <f t="shared" si="29"/>
        <v>7.6513893411351495</v>
      </c>
    </row>
    <row r="254" spans="1:16" x14ac:dyDescent="0.2">
      <c r="A254" s="8">
        <v>126</v>
      </c>
      <c r="B254" s="8">
        <v>252</v>
      </c>
      <c r="D254">
        <v>1427.9441277081</v>
      </c>
      <c r="E254">
        <v>385.05758266818998</v>
      </c>
      <c r="F254">
        <v>129.20904925543999</v>
      </c>
      <c r="G254">
        <v>113.00859106529001</v>
      </c>
      <c r="I254" s="9">
        <f t="shared" si="26"/>
        <v>272.04899160289995</v>
      </c>
      <c r="J254" s="9">
        <f t="shared" si="27"/>
        <v>1298.73507845266</v>
      </c>
      <c r="K254" s="9">
        <f t="shared" si="24"/>
        <v>272.04899160289995</v>
      </c>
      <c r="L254" s="10">
        <f t="shared" si="21"/>
        <v>0.20947227507477875</v>
      </c>
      <c r="M254" s="10">
        <f t="shared" si="28"/>
        <v>0.21125940753817252</v>
      </c>
      <c r="P254" s="8">
        <f t="shared" si="29"/>
        <v>4.9830157148877401</v>
      </c>
    </row>
    <row r="255" spans="1:16" x14ac:dyDescent="0.2">
      <c r="A255" s="8">
        <v>126.5</v>
      </c>
      <c r="B255" s="8">
        <v>253</v>
      </c>
      <c r="D255">
        <v>1393.2309007982001</v>
      </c>
      <c r="E255">
        <v>378.63454960091002</v>
      </c>
      <c r="F255">
        <v>129.59392898052999</v>
      </c>
      <c r="G255">
        <v>112.67010309278</v>
      </c>
      <c r="I255" s="9">
        <f t="shared" si="26"/>
        <v>265.96444650813004</v>
      </c>
      <c r="J255" s="9">
        <f t="shared" si="27"/>
        <v>1263.6369718176702</v>
      </c>
      <c r="K255" s="9">
        <f t="shared" si="24"/>
        <v>265.96444650813004</v>
      </c>
      <c r="L255" s="10">
        <f t="shared" si="21"/>
        <v>0.21047535996478106</v>
      </c>
      <c r="M255" s="10">
        <f t="shared" si="28"/>
        <v>0.21226958422366449</v>
      </c>
      <c r="P255" s="8">
        <f t="shared" si="29"/>
        <v>5.4850117967836631</v>
      </c>
    </row>
    <row r="256" spans="1:16" x14ac:dyDescent="0.2">
      <c r="A256" s="8">
        <v>127</v>
      </c>
      <c r="B256" s="8">
        <v>254</v>
      </c>
      <c r="D256">
        <v>1295.1607753706</v>
      </c>
      <c r="E256">
        <v>359.89623717218001</v>
      </c>
      <c r="F256">
        <v>129.17754868270001</v>
      </c>
      <c r="G256">
        <v>112.86483390607</v>
      </c>
      <c r="I256" s="9">
        <f t="shared" si="26"/>
        <v>247.03140326611</v>
      </c>
      <c r="J256" s="9">
        <f t="shared" si="27"/>
        <v>1165.9832266879</v>
      </c>
      <c r="K256" s="9">
        <f t="shared" si="24"/>
        <v>247.03140326611</v>
      </c>
      <c r="L256" s="10">
        <f t="shared" si="21"/>
        <v>0.21186531470768161</v>
      </c>
      <c r="M256" s="10">
        <f t="shared" si="28"/>
        <v>0.21366663076205469</v>
      </c>
      <c r="P256" s="8">
        <f t="shared" si="29"/>
        <v>6.1792585543759726</v>
      </c>
    </row>
    <row r="257" spans="1:16" x14ac:dyDescent="0.2">
      <c r="A257" s="8">
        <v>127.5</v>
      </c>
      <c r="B257" s="8">
        <v>255</v>
      </c>
      <c r="D257">
        <v>1317.5210466439</v>
      </c>
      <c r="E257">
        <v>365.8771331058</v>
      </c>
      <c r="F257">
        <v>129.34077892325001</v>
      </c>
      <c r="G257">
        <v>112.58419243986</v>
      </c>
      <c r="I257" s="9">
        <f t="shared" si="26"/>
        <v>253.29294066593999</v>
      </c>
      <c r="J257" s="9">
        <f t="shared" si="27"/>
        <v>1188.1802677206501</v>
      </c>
      <c r="K257" s="9">
        <f t="shared" si="24"/>
        <v>253.29294066593999</v>
      </c>
      <c r="L257" s="10">
        <f t="shared" si="21"/>
        <v>0.21317719839923399</v>
      </c>
      <c r="M257" s="10">
        <f t="shared" si="28"/>
        <v>0.21498560624909674</v>
      </c>
      <c r="P257" s="8">
        <f t="shared" si="29"/>
        <v>6.8347087702848972</v>
      </c>
    </row>
    <row r="258" spans="1:16" x14ac:dyDescent="0.2">
      <c r="A258" s="8">
        <v>128</v>
      </c>
      <c r="B258" s="8">
        <v>256</v>
      </c>
      <c r="D258">
        <v>1282.6114903299001</v>
      </c>
      <c r="E258">
        <v>359.82081911262998</v>
      </c>
      <c r="F258">
        <v>129.61970217640001</v>
      </c>
      <c r="G258">
        <v>112.93528064147</v>
      </c>
      <c r="I258" s="9">
        <f t="shared" si="26"/>
        <v>246.88553847115998</v>
      </c>
      <c r="J258" s="9">
        <f t="shared" si="27"/>
        <v>1152.9917881535</v>
      </c>
      <c r="K258" s="9">
        <f t="shared" si="24"/>
        <v>246.88553847115998</v>
      </c>
      <c r="L258" s="10">
        <f t="shared" ref="L258:L321" si="30">K258/J258</f>
        <v>0.21412601634096948</v>
      </c>
      <c r="M258" s="10">
        <f t="shared" si="28"/>
        <v>0.21594151598632186</v>
      </c>
      <c r="P258" s="8">
        <f t="shared" si="29"/>
        <v>7.3097374950861163</v>
      </c>
    </row>
    <row r="259" spans="1:16" x14ac:dyDescent="0.2">
      <c r="A259" s="8">
        <v>128.5</v>
      </c>
      <c r="B259" s="8">
        <v>257</v>
      </c>
      <c r="D259">
        <v>1324.1492877492999</v>
      </c>
      <c r="E259">
        <v>371.06951566952</v>
      </c>
      <c r="F259">
        <v>130.00572737685999</v>
      </c>
      <c r="G259">
        <v>112.52462772050001</v>
      </c>
      <c r="I259" s="9">
        <f t="shared" si="26"/>
        <v>258.54488794901999</v>
      </c>
      <c r="J259" s="9">
        <f t="shared" si="27"/>
        <v>1194.1435603724399</v>
      </c>
      <c r="K259" s="9">
        <f t="shared" ref="K259:K321" si="31">I259*1</f>
        <v>258.54488794901999</v>
      </c>
      <c r="L259" s="10">
        <f t="shared" si="30"/>
        <v>0.2165107249486676</v>
      </c>
      <c r="M259" s="10">
        <f t="shared" si="28"/>
        <v>0.21833331638950965</v>
      </c>
      <c r="P259" s="8">
        <f t="shared" si="29"/>
        <v>8.4983161351609606</v>
      </c>
    </row>
    <row r="260" spans="1:16" x14ac:dyDescent="0.2">
      <c r="A260" s="8">
        <v>129</v>
      </c>
      <c r="B260" s="8">
        <v>258</v>
      </c>
      <c r="D260">
        <v>1329.9048433047999</v>
      </c>
      <c r="E260">
        <v>372.36182336181997</v>
      </c>
      <c r="F260">
        <v>129.19129438716999</v>
      </c>
      <c r="G260">
        <v>112.82302405498</v>
      </c>
      <c r="I260" s="9">
        <f t="shared" si="26"/>
        <v>259.53879930683996</v>
      </c>
      <c r="J260" s="9">
        <f t="shared" si="27"/>
        <v>1200.7135489176299</v>
      </c>
      <c r="K260" s="9">
        <f t="shared" si="31"/>
        <v>259.53879930683996</v>
      </c>
      <c r="L260" s="10">
        <f t="shared" si="30"/>
        <v>0.21615380249585622</v>
      </c>
      <c r="M260" s="10">
        <f t="shared" si="28"/>
        <v>0.21798348573218793</v>
      </c>
      <c r="P260" s="8">
        <f t="shared" si="29"/>
        <v>8.3244716762413287</v>
      </c>
    </row>
    <row r="261" spans="1:16" x14ac:dyDescent="0.2">
      <c r="A261" s="8">
        <v>129.5</v>
      </c>
      <c r="B261" s="8">
        <v>259</v>
      </c>
      <c r="D261">
        <v>1388.7572649573001</v>
      </c>
      <c r="E261">
        <v>382.07521367521002</v>
      </c>
      <c r="F261">
        <v>128.9587628866</v>
      </c>
      <c r="G261">
        <v>112.5824742268</v>
      </c>
      <c r="I261" s="9">
        <f t="shared" si="26"/>
        <v>269.49273944841002</v>
      </c>
      <c r="J261" s="9">
        <f t="shared" si="27"/>
        <v>1259.7985020707001</v>
      </c>
      <c r="K261" s="9">
        <f t="shared" si="31"/>
        <v>269.49273944841002</v>
      </c>
      <c r="L261" s="10">
        <f t="shared" si="30"/>
        <v>0.21391733599099488</v>
      </c>
      <c r="M261" s="10">
        <f t="shared" si="28"/>
        <v>0.21575411102281625</v>
      </c>
      <c r="P261" s="8">
        <f t="shared" si="29"/>
        <v>7.2166086803363987</v>
      </c>
    </row>
    <row r="262" spans="1:16" x14ac:dyDescent="0.2">
      <c r="A262" s="8">
        <v>130</v>
      </c>
      <c r="B262" s="8">
        <v>260</v>
      </c>
      <c r="D262">
        <v>1391.501994302</v>
      </c>
      <c r="E262">
        <v>385.76410256410003</v>
      </c>
      <c r="F262">
        <v>129.81214203894999</v>
      </c>
      <c r="G262">
        <v>112.75658648339</v>
      </c>
      <c r="I262" s="9">
        <f t="shared" si="26"/>
        <v>273.00751608071005</v>
      </c>
      <c r="J262" s="9">
        <f t="shared" si="27"/>
        <v>1261.6898522630499</v>
      </c>
      <c r="K262" s="9">
        <f t="shared" si="31"/>
        <v>273.00751608071005</v>
      </c>
      <c r="L262" s="10">
        <f t="shared" si="30"/>
        <v>0.21638242995378446</v>
      </c>
      <c r="M262" s="10">
        <f t="shared" si="28"/>
        <v>0.21822629678109548</v>
      </c>
      <c r="P262" s="8">
        <f t="shared" si="29"/>
        <v>8.4451339296304653</v>
      </c>
    </row>
    <row r="263" spans="1:16" x14ac:dyDescent="0.2">
      <c r="A263" s="8">
        <v>130.5</v>
      </c>
      <c r="B263" s="8">
        <v>261</v>
      </c>
      <c r="D263">
        <v>1331.9156695157001</v>
      </c>
      <c r="E263">
        <v>378.02336182336001</v>
      </c>
      <c r="F263">
        <v>129.19243986254</v>
      </c>
      <c r="G263">
        <v>112.62943871707</v>
      </c>
      <c r="I263" s="9">
        <f t="shared" si="26"/>
        <v>265.39392310629</v>
      </c>
      <c r="J263" s="9">
        <f t="shared" si="27"/>
        <v>1202.7232296531602</v>
      </c>
      <c r="K263" s="9">
        <f t="shared" si="31"/>
        <v>265.39392310629</v>
      </c>
      <c r="L263" s="10">
        <f t="shared" si="30"/>
        <v>0.22066084412689357</v>
      </c>
      <c r="M263" s="10">
        <f t="shared" si="28"/>
        <v>0.22251180274969426</v>
      </c>
      <c r="P263" s="8">
        <f t="shared" si="29"/>
        <v>10.574768513436432</v>
      </c>
    </row>
    <row r="264" spans="1:16" x14ac:dyDescent="0.2">
      <c r="A264" s="8">
        <v>131</v>
      </c>
      <c r="B264" s="8">
        <v>262</v>
      </c>
      <c r="D264">
        <v>1326.8814814815</v>
      </c>
      <c r="E264">
        <v>377.34245014244999</v>
      </c>
      <c r="F264">
        <v>129.27434135166001</v>
      </c>
      <c r="G264">
        <v>112.35280641465999</v>
      </c>
      <c r="I264" s="9">
        <f t="shared" si="26"/>
        <v>264.98964372779</v>
      </c>
      <c r="J264" s="9">
        <f t="shared" si="27"/>
        <v>1197.60714012984</v>
      </c>
      <c r="K264" s="9">
        <f t="shared" si="31"/>
        <v>264.98964372779</v>
      </c>
      <c r="L264" s="10">
        <f t="shared" si="30"/>
        <v>0.22126591838711052</v>
      </c>
      <c r="M264" s="10">
        <f t="shared" si="28"/>
        <v>0.22312396880540086</v>
      </c>
      <c r="P264" s="8">
        <f t="shared" si="29"/>
        <v>10.878977634323769</v>
      </c>
    </row>
    <row r="265" spans="1:16" x14ac:dyDescent="0.2">
      <c r="A265" s="8">
        <v>131.5</v>
      </c>
      <c r="B265" s="8">
        <v>263</v>
      </c>
      <c r="D265">
        <v>1341.5931623931999</v>
      </c>
      <c r="E265">
        <v>382.21595441595002</v>
      </c>
      <c r="F265">
        <v>129.02863688431</v>
      </c>
      <c r="G265">
        <v>113.08419243986</v>
      </c>
      <c r="I265" s="9">
        <f t="shared" si="26"/>
        <v>269.13176197609005</v>
      </c>
      <c r="J265" s="9">
        <f t="shared" si="27"/>
        <v>1212.5645255088898</v>
      </c>
      <c r="K265" s="9">
        <f t="shared" si="31"/>
        <v>269.13176197609005</v>
      </c>
      <c r="L265" s="10">
        <f t="shared" si="30"/>
        <v>0.22195252814537081</v>
      </c>
      <c r="M265" s="10">
        <f t="shared" si="28"/>
        <v>0.22381767035915082</v>
      </c>
      <c r="P265" s="8">
        <f t="shared" si="29"/>
        <v>11.223704915193448</v>
      </c>
    </row>
    <row r="266" spans="1:16" x14ac:dyDescent="0.2">
      <c r="A266" s="8">
        <v>132</v>
      </c>
      <c r="B266" s="8">
        <v>264</v>
      </c>
      <c r="D266">
        <v>1330.8290598291001</v>
      </c>
      <c r="E266">
        <v>378.38290598291002</v>
      </c>
      <c r="F266">
        <v>129.37170675831001</v>
      </c>
      <c r="G266">
        <v>113.12142038946</v>
      </c>
      <c r="I266" s="9">
        <f t="shared" si="26"/>
        <v>265.26148559345</v>
      </c>
      <c r="J266" s="9">
        <f t="shared" si="27"/>
        <v>1201.4573530707901</v>
      </c>
      <c r="K266" s="9">
        <f t="shared" si="31"/>
        <v>265.26148559345</v>
      </c>
      <c r="L266" s="10">
        <f t="shared" si="30"/>
        <v>0.22078310554716857</v>
      </c>
      <c r="M266" s="10">
        <f t="shared" si="28"/>
        <v>0.22265533955643824</v>
      </c>
      <c r="P266" s="8">
        <f t="shared" si="29"/>
        <v>10.646097535010748</v>
      </c>
    </row>
    <row r="267" spans="1:16" x14ac:dyDescent="0.2">
      <c r="A267" s="8">
        <v>132.5</v>
      </c>
      <c r="B267" s="8">
        <v>265</v>
      </c>
      <c r="D267">
        <v>1329.6045584046001</v>
      </c>
      <c r="E267">
        <v>379.23703703704001</v>
      </c>
      <c r="F267">
        <v>129.33046964490001</v>
      </c>
      <c r="G267">
        <v>113.13802978235999</v>
      </c>
      <c r="I267" s="9">
        <f t="shared" si="26"/>
        <v>266.09900725468003</v>
      </c>
      <c r="J267" s="9">
        <f t="shared" si="27"/>
        <v>1200.2740887597001</v>
      </c>
      <c r="K267" s="9">
        <f t="shared" si="31"/>
        <v>266.09900725468003</v>
      </c>
      <c r="L267" s="10">
        <f t="shared" si="30"/>
        <v>0.22169853514846155</v>
      </c>
      <c r="M267" s="10">
        <f t="shared" si="28"/>
        <v>0.22357786095322085</v>
      </c>
      <c r="P267" s="8">
        <f t="shared" si="29"/>
        <v>11.104534294937048</v>
      </c>
    </row>
    <row r="268" spans="1:16" x14ac:dyDescent="0.2">
      <c r="A268" s="8">
        <v>133</v>
      </c>
      <c r="B268" s="8">
        <v>266</v>
      </c>
      <c r="D268">
        <v>1353.0541310541</v>
      </c>
      <c r="E268">
        <v>385.94301994301998</v>
      </c>
      <c r="F268">
        <v>129.53321878579999</v>
      </c>
      <c r="G268">
        <v>112.70103092783999</v>
      </c>
      <c r="I268" s="9">
        <f t="shared" si="26"/>
        <v>273.24198901517997</v>
      </c>
      <c r="J268" s="9">
        <f t="shared" si="27"/>
        <v>1223.5209122683</v>
      </c>
      <c r="K268" s="9">
        <f t="shared" si="31"/>
        <v>273.24198901517997</v>
      </c>
      <c r="L268" s="10">
        <f t="shared" si="30"/>
        <v>0.2233243308515368</v>
      </c>
      <c r="M268" s="10">
        <f t="shared" si="28"/>
        <v>0.22521074845178576</v>
      </c>
      <c r="P268" s="8">
        <f t="shared" si="29"/>
        <v>11.915979597752777</v>
      </c>
    </row>
    <row r="269" spans="1:16" x14ac:dyDescent="0.2">
      <c r="A269" s="8">
        <v>133.5</v>
      </c>
      <c r="B269" s="8">
        <v>267</v>
      </c>
      <c r="D269">
        <v>1397.1094017093999</v>
      </c>
      <c r="E269">
        <v>394.18347578347999</v>
      </c>
      <c r="F269">
        <v>129.64318442154001</v>
      </c>
      <c r="G269">
        <v>113.13115693013</v>
      </c>
      <c r="I269" s="9">
        <f t="shared" si="26"/>
        <v>281.05231885335002</v>
      </c>
      <c r="J269" s="9">
        <f t="shared" si="27"/>
        <v>1267.4662172878598</v>
      </c>
      <c r="K269" s="9">
        <f t="shared" si="31"/>
        <v>281.05231885335002</v>
      </c>
      <c r="L269" s="10">
        <f t="shared" si="30"/>
        <v>0.22174343980129846</v>
      </c>
      <c r="M269" s="10">
        <f t="shared" si="28"/>
        <v>0.22363694919703708</v>
      </c>
      <c r="P269" s="8">
        <f t="shared" si="29"/>
        <v>11.133897541295692</v>
      </c>
    </row>
    <row r="270" spans="1:16" x14ac:dyDescent="0.2">
      <c r="A270" s="8">
        <v>134</v>
      </c>
      <c r="B270" s="8">
        <v>268</v>
      </c>
      <c r="D270">
        <v>1333.7299145299</v>
      </c>
      <c r="E270">
        <v>386.08945868946</v>
      </c>
      <c r="F270">
        <v>129.65406643757001</v>
      </c>
      <c r="G270">
        <v>112.58648339061</v>
      </c>
      <c r="I270" s="9">
        <f t="shared" si="26"/>
        <v>273.50297529885</v>
      </c>
      <c r="J270" s="9">
        <f t="shared" si="27"/>
        <v>1204.07584809233</v>
      </c>
      <c r="K270" s="9">
        <f t="shared" si="31"/>
        <v>273.50297529885</v>
      </c>
      <c r="L270" s="10">
        <f t="shared" si="30"/>
        <v>0.2271476300535159</v>
      </c>
      <c r="M270" s="10">
        <f t="shared" si="28"/>
        <v>0.22904823124474419</v>
      </c>
      <c r="P270" s="8">
        <f t="shared" si="29"/>
        <v>13.822974041472264</v>
      </c>
    </row>
    <row r="271" spans="1:16" x14ac:dyDescent="0.2">
      <c r="A271" s="8">
        <v>134.5</v>
      </c>
      <c r="B271" s="8">
        <v>269</v>
      </c>
      <c r="D271">
        <v>1357.3851851852</v>
      </c>
      <c r="E271">
        <v>388.26381766382002</v>
      </c>
      <c r="F271">
        <v>129.15063001146001</v>
      </c>
      <c r="G271">
        <v>112.79667812142</v>
      </c>
      <c r="I271" s="9">
        <f t="shared" si="26"/>
        <v>275.46713954239999</v>
      </c>
      <c r="J271" s="9">
        <f t="shared" si="27"/>
        <v>1228.2345551737401</v>
      </c>
      <c r="K271" s="9">
        <f t="shared" si="31"/>
        <v>275.46713954239999</v>
      </c>
      <c r="L271" s="10">
        <f t="shared" si="30"/>
        <v>0.22427893628463641</v>
      </c>
      <c r="M271" s="10">
        <f t="shared" si="28"/>
        <v>0.22618662927135436</v>
      </c>
      <c r="P271" s="8">
        <f t="shared" si="29"/>
        <v>12.400932730067678</v>
      </c>
    </row>
    <row r="272" spans="1:16" x14ac:dyDescent="0.2">
      <c r="A272" s="8">
        <v>135</v>
      </c>
      <c r="B272" s="8">
        <v>270</v>
      </c>
      <c r="D272">
        <v>1334.6757834758</v>
      </c>
      <c r="E272">
        <v>385.11111111111001</v>
      </c>
      <c r="F272">
        <v>129.54467353952001</v>
      </c>
      <c r="G272">
        <v>112.45360824741999</v>
      </c>
      <c r="I272" s="9">
        <f t="shared" si="26"/>
        <v>272.65750286369001</v>
      </c>
      <c r="J272" s="9">
        <f t="shared" si="27"/>
        <v>1205.1311099362799</v>
      </c>
      <c r="K272" s="9">
        <f t="shared" si="31"/>
        <v>272.65750286369001</v>
      </c>
      <c r="L272" s="10">
        <f t="shared" si="30"/>
        <v>0.22624716980221887</v>
      </c>
      <c r="M272" s="10">
        <f t="shared" si="28"/>
        <v>0.22816195458442648</v>
      </c>
      <c r="P272" s="8">
        <f t="shared" si="29"/>
        <v>13.382548700692777</v>
      </c>
    </row>
    <row r="273" spans="1:16" x14ac:dyDescent="0.2">
      <c r="A273" s="8">
        <v>135.5</v>
      </c>
      <c r="B273" s="8">
        <v>271</v>
      </c>
      <c r="D273">
        <v>1334.1128205128</v>
      </c>
      <c r="E273">
        <v>384.24957264956998</v>
      </c>
      <c r="F273">
        <v>129.73081328750999</v>
      </c>
      <c r="G273">
        <v>113.01718213058</v>
      </c>
      <c r="I273" s="9">
        <f t="shared" si="26"/>
        <v>271.23239051898997</v>
      </c>
      <c r="J273" s="9">
        <f t="shared" si="27"/>
        <v>1204.38200722529</v>
      </c>
      <c r="K273" s="9">
        <f t="shared" si="31"/>
        <v>271.23239051898997</v>
      </c>
      <c r="L273" s="10">
        <f t="shared" si="30"/>
        <v>0.22520461854446622</v>
      </c>
      <c r="M273" s="10">
        <f t="shared" si="28"/>
        <v>0.22712649512216349</v>
      </c>
      <c r="P273" s="8">
        <f t="shared" si="29"/>
        <v>12.86798862374452</v>
      </c>
    </row>
    <row r="274" spans="1:16" x14ac:dyDescent="0.2">
      <c r="A274" s="8">
        <v>136</v>
      </c>
      <c r="B274" s="8">
        <v>272</v>
      </c>
      <c r="D274">
        <v>1352.1903133902999</v>
      </c>
      <c r="E274">
        <v>386.53732193731997</v>
      </c>
      <c r="F274">
        <v>129.41466208476999</v>
      </c>
      <c r="G274">
        <v>112.89175257732001</v>
      </c>
      <c r="I274" s="9">
        <f t="shared" si="26"/>
        <v>273.64556935999997</v>
      </c>
      <c r="J274" s="9">
        <f t="shared" si="27"/>
        <v>1222.7756513055299</v>
      </c>
      <c r="K274" s="9">
        <f t="shared" si="31"/>
        <v>273.64556935999997</v>
      </c>
      <c r="L274" s="10">
        <f t="shared" si="30"/>
        <v>0.22379049588355376</v>
      </c>
      <c r="M274" s="10">
        <f t="shared" si="28"/>
        <v>0.22571946425674069</v>
      </c>
      <c r="P274" s="8">
        <f t="shared" si="29"/>
        <v>12.168780265748332</v>
      </c>
    </row>
    <row r="275" spans="1:16" x14ac:dyDescent="0.2">
      <c r="A275" s="8">
        <v>136.5</v>
      </c>
      <c r="B275" s="8">
        <v>273</v>
      </c>
      <c r="D275">
        <v>1341.9903133902999</v>
      </c>
      <c r="E275">
        <v>386.13333333332997</v>
      </c>
      <c r="F275">
        <v>129.98625429552999</v>
      </c>
      <c r="G275">
        <v>112.62027491409</v>
      </c>
      <c r="I275" s="9">
        <f>E275-G275</f>
        <v>273.51305841924</v>
      </c>
      <c r="J275" s="9">
        <f>D275-F275</f>
        <v>1212.0040590947699</v>
      </c>
      <c r="K275" s="9">
        <f t="shared" si="31"/>
        <v>273.51305841924</v>
      </c>
      <c r="L275" s="10">
        <f t="shared" si="30"/>
        <v>0.22567008449090786</v>
      </c>
      <c r="M275" s="10">
        <f>L275+ABS($N$2)*A275</f>
        <v>0.22760614465958443</v>
      </c>
      <c r="O275" s="11"/>
      <c r="P275" s="8">
        <f>(M275-$O$2)/$O$2*100</f>
        <v>13.106345132983535</v>
      </c>
    </row>
    <row r="276" spans="1:16" x14ac:dyDescent="0.2">
      <c r="A276" s="8">
        <v>137</v>
      </c>
      <c r="B276" s="8">
        <v>274</v>
      </c>
      <c r="D276">
        <v>1304.4034188034</v>
      </c>
      <c r="E276">
        <v>376.73504273504</v>
      </c>
      <c r="F276">
        <v>129.4049255441</v>
      </c>
      <c r="G276">
        <v>112.40378006873</v>
      </c>
      <c r="I276" s="9">
        <f t="shared" ref="I276:I291" si="32">E276-G276</f>
        <v>264.33126266631001</v>
      </c>
      <c r="J276" s="9">
        <f t="shared" ref="J276:J291" si="33">D276-F276</f>
        <v>1174.9984932592999</v>
      </c>
      <c r="K276" s="9">
        <f t="shared" si="31"/>
        <v>264.33126266631001</v>
      </c>
      <c r="L276" s="10">
        <f t="shared" si="30"/>
        <v>0.22496306521473736</v>
      </c>
      <c r="M276" s="10">
        <f t="shared" ref="M276:M291" si="34">L276+ABS($N$2)*A276</f>
        <v>0.22690621717890358</v>
      </c>
      <c r="P276" s="8">
        <f t="shared" ref="P276:P291" si="35">(M276-$O$2)/$O$2*100</f>
        <v>12.758523946888795</v>
      </c>
    </row>
    <row r="277" spans="1:16" x14ac:dyDescent="0.2">
      <c r="A277" s="8">
        <v>137.5</v>
      </c>
      <c r="B277" s="8">
        <v>275</v>
      </c>
      <c r="D277">
        <v>1290.3960113959999</v>
      </c>
      <c r="E277">
        <v>374.03247863247998</v>
      </c>
      <c r="F277">
        <v>129.48625429552999</v>
      </c>
      <c r="G277">
        <v>112.67296678120999</v>
      </c>
      <c r="I277" s="9">
        <f t="shared" si="32"/>
        <v>261.35951185126999</v>
      </c>
      <c r="J277" s="9">
        <f t="shared" si="33"/>
        <v>1160.90975710047</v>
      </c>
      <c r="K277" s="9">
        <f t="shared" si="31"/>
        <v>261.35951185126999</v>
      </c>
      <c r="L277" s="10">
        <f t="shared" si="30"/>
        <v>0.22513335791409914</v>
      </c>
      <c r="M277" s="10">
        <f t="shared" si="34"/>
        <v>0.22708360167375502</v>
      </c>
      <c r="N277" s="1"/>
      <c r="P277" s="8">
        <f t="shared" si="35"/>
        <v>12.846673201057282</v>
      </c>
    </row>
    <row r="278" spans="1:16" x14ac:dyDescent="0.2">
      <c r="A278" s="8">
        <v>138</v>
      </c>
      <c r="B278" s="8">
        <v>276</v>
      </c>
      <c r="D278">
        <v>1303.3618233617999</v>
      </c>
      <c r="E278">
        <v>375.79145299145</v>
      </c>
      <c r="F278">
        <v>129.31156930125999</v>
      </c>
      <c r="G278">
        <v>112.76746849943</v>
      </c>
      <c r="I278" s="9">
        <f t="shared" si="32"/>
        <v>263.02398449202002</v>
      </c>
      <c r="J278" s="9">
        <f t="shared" si="33"/>
        <v>1174.0502540605398</v>
      </c>
      <c r="K278" s="9">
        <f t="shared" si="31"/>
        <v>263.02398449202002</v>
      </c>
      <c r="L278" s="10">
        <f t="shared" si="30"/>
        <v>0.22403128280270124</v>
      </c>
      <c r="M278" s="10">
        <f t="shared" si="34"/>
        <v>0.22598861835784678</v>
      </c>
      <c r="P278" s="8">
        <f t="shared" si="35"/>
        <v>12.302533406285002</v>
      </c>
    </row>
    <row r="279" spans="1:16" x14ac:dyDescent="0.2">
      <c r="A279" s="8">
        <v>138.5</v>
      </c>
      <c r="B279" s="8">
        <v>277</v>
      </c>
      <c r="D279">
        <v>1307.4336182336001</v>
      </c>
      <c r="E279">
        <v>374.52592592592998</v>
      </c>
      <c r="F279">
        <v>129.05670103092999</v>
      </c>
      <c r="G279">
        <v>112.91466208477</v>
      </c>
      <c r="I279" s="9">
        <f t="shared" si="32"/>
        <v>261.61126384116</v>
      </c>
      <c r="J279" s="9">
        <f t="shared" si="33"/>
        <v>1178.37691720267</v>
      </c>
      <c r="K279" s="9">
        <f t="shared" si="31"/>
        <v>261.61126384116</v>
      </c>
      <c r="L279" s="10">
        <f t="shared" si="30"/>
        <v>0.22200983405394156</v>
      </c>
      <c r="M279" s="10">
        <f t="shared" si="34"/>
        <v>0.22397426140457677</v>
      </c>
      <c r="P279" s="8">
        <f t="shared" si="35"/>
        <v>11.301521095662443</v>
      </c>
    </row>
    <row r="280" spans="1:16" x14ac:dyDescent="0.2">
      <c r="A280" s="8">
        <v>139</v>
      </c>
      <c r="B280" s="8">
        <v>278</v>
      </c>
      <c r="D280">
        <v>1289.9680911681</v>
      </c>
      <c r="E280">
        <v>367.81253561253999</v>
      </c>
      <c r="F280">
        <v>129.03436426117</v>
      </c>
      <c r="G280">
        <v>112.67640320733</v>
      </c>
      <c r="I280" s="9">
        <f t="shared" si="32"/>
        <v>255.13613240520999</v>
      </c>
      <c r="J280" s="9">
        <f t="shared" si="33"/>
        <v>1160.9337269069301</v>
      </c>
      <c r="K280" s="9">
        <f t="shared" si="31"/>
        <v>255.13613240520999</v>
      </c>
      <c r="L280" s="10">
        <f t="shared" si="30"/>
        <v>0.21976804230243865</v>
      </c>
      <c r="M280" s="10">
        <f t="shared" si="34"/>
        <v>0.22173956144856352</v>
      </c>
      <c r="P280" s="8">
        <f t="shared" si="35"/>
        <v>10.191011777596657</v>
      </c>
    </row>
    <row r="281" spans="1:16" x14ac:dyDescent="0.2">
      <c r="A281" s="8">
        <v>139.5</v>
      </c>
      <c r="B281" s="8">
        <v>279</v>
      </c>
      <c r="D281">
        <v>1315.7743589744</v>
      </c>
      <c r="E281">
        <v>373.72421652422003</v>
      </c>
      <c r="F281">
        <v>129.62886597938001</v>
      </c>
      <c r="G281">
        <v>113.04066437572</v>
      </c>
      <c r="I281" s="9">
        <f t="shared" si="32"/>
        <v>260.68355214850004</v>
      </c>
      <c r="J281" s="9">
        <f t="shared" si="33"/>
        <v>1186.14549299502</v>
      </c>
      <c r="K281" s="9">
        <f t="shared" si="31"/>
        <v>260.68355214850004</v>
      </c>
      <c r="L281" s="10">
        <f t="shared" si="30"/>
        <v>0.21977367337144577</v>
      </c>
      <c r="M281" s="10">
        <f t="shared" si="34"/>
        <v>0.22175228431306029</v>
      </c>
      <c r="P281" s="8">
        <f t="shared" si="35"/>
        <v>10.197334263771204</v>
      </c>
    </row>
    <row r="282" spans="1:16" x14ac:dyDescent="0.2">
      <c r="A282" s="8">
        <v>140</v>
      </c>
      <c r="B282" s="8">
        <v>280</v>
      </c>
      <c r="D282">
        <v>1309.2284900284999</v>
      </c>
      <c r="E282">
        <v>371.00569800570003</v>
      </c>
      <c r="F282">
        <v>129.53951890034</v>
      </c>
      <c r="G282">
        <v>112.66494845360999</v>
      </c>
      <c r="I282" s="9">
        <f t="shared" si="32"/>
        <v>258.34074955209002</v>
      </c>
      <c r="J282" s="9">
        <f t="shared" si="33"/>
        <v>1179.6889711281599</v>
      </c>
      <c r="K282" s="9">
        <f t="shared" si="31"/>
        <v>258.34074955209002</v>
      </c>
      <c r="L282" s="10">
        <f t="shared" si="30"/>
        <v>0.21899056096543282</v>
      </c>
      <c r="M282" s="10">
        <f t="shared" si="34"/>
        <v>0.22097626370253701</v>
      </c>
      <c r="P282" s="8">
        <f t="shared" si="35"/>
        <v>9.8116994421128023</v>
      </c>
    </row>
    <row r="283" spans="1:16" x14ac:dyDescent="0.2">
      <c r="A283" s="8">
        <v>140.5</v>
      </c>
      <c r="B283" s="8">
        <v>281</v>
      </c>
      <c r="D283">
        <v>1305.8803418803</v>
      </c>
      <c r="E283">
        <v>369.85014245014003</v>
      </c>
      <c r="F283">
        <v>129.35166093929001</v>
      </c>
      <c r="G283">
        <v>112.3470790378</v>
      </c>
      <c r="I283" s="9">
        <f t="shared" si="32"/>
        <v>257.50306341234</v>
      </c>
      <c r="J283" s="9">
        <f t="shared" si="33"/>
        <v>1176.52868094101</v>
      </c>
      <c r="K283" s="9">
        <f t="shared" si="31"/>
        <v>257.50306341234</v>
      </c>
      <c r="L283" s="10">
        <f t="shared" si="30"/>
        <v>0.21886679652074795</v>
      </c>
      <c r="M283" s="10">
        <f t="shared" si="34"/>
        <v>0.2208595910533418</v>
      </c>
      <c r="P283" s="8">
        <f t="shared" si="35"/>
        <v>9.7537202652009043</v>
      </c>
    </row>
    <row r="284" spans="1:16" x14ac:dyDescent="0.2">
      <c r="A284" s="8">
        <v>141</v>
      </c>
      <c r="B284" s="8">
        <v>282</v>
      </c>
      <c r="D284">
        <v>1274.9094017094001</v>
      </c>
      <c r="E284">
        <v>361.20626780626998</v>
      </c>
      <c r="F284">
        <v>129.67812142039</v>
      </c>
      <c r="G284">
        <v>113.14432989690999</v>
      </c>
      <c r="I284" s="9">
        <f t="shared" si="32"/>
        <v>248.06193790935998</v>
      </c>
      <c r="J284" s="9">
        <f t="shared" si="33"/>
        <v>1145.2312802890101</v>
      </c>
      <c r="K284" s="9">
        <f t="shared" si="31"/>
        <v>248.06193790935998</v>
      </c>
      <c r="L284" s="10">
        <f t="shared" si="30"/>
        <v>0.21660422848977648</v>
      </c>
      <c r="M284" s="10">
        <f t="shared" si="34"/>
        <v>0.21860411481785996</v>
      </c>
      <c r="P284" s="8">
        <f t="shared" si="35"/>
        <v>8.6328864058549719</v>
      </c>
    </row>
    <row r="285" spans="1:16" x14ac:dyDescent="0.2">
      <c r="A285" s="8">
        <v>141.5</v>
      </c>
      <c r="B285" s="8">
        <v>283</v>
      </c>
      <c r="D285">
        <v>1303.6700854701</v>
      </c>
      <c r="E285">
        <v>366.98518518519001</v>
      </c>
      <c r="F285">
        <v>129.57502863688001</v>
      </c>
      <c r="G285">
        <v>112.64891179839999</v>
      </c>
      <c r="I285" s="9">
        <f t="shared" si="32"/>
        <v>254.33627338679003</v>
      </c>
      <c r="J285" s="9">
        <f t="shared" si="33"/>
        <v>1174.09505683322</v>
      </c>
      <c r="K285" s="9">
        <f t="shared" si="31"/>
        <v>254.33627338679003</v>
      </c>
      <c r="L285" s="10">
        <f t="shared" si="30"/>
        <v>0.21662323838820013</v>
      </c>
      <c r="M285" s="10">
        <f t="shared" si="34"/>
        <v>0.21863021651177328</v>
      </c>
      <c r="P285" s="8">
        <f t="shared" si="35"/>
        <v>8.6458573526838922</v>
      </c>
    </row>
    <row r="286" spans="1:16" x14ac:dyDescent="0.2">
      <c r="A286" s="8">
        <v>142</v>
      </c>
      <c r="B286" s="8">
        <v>284</v>
      </c>
      <c r="D286">
        <v>1326.4860398860001</v>
      </c>
      <c r="E286">
        <v>370.06381766381998</v>
      </c>
      <c r="F286">
        <v>130.15635738832</v>
      </c>
      <c r="G286">
        <v>112.58591065292001</v>
      </c>
      <c r="I286" s="9">
        <f t="shared" si="32"/>
        <v>257.47790701089997</v>
      </c>
      <c r="J286" s="9">
        <f t="shared" si="33"/>
        <v>1196.3296824976801</v>
      </c>
      <c r="K286" s="9">
        <f t="shared" si="31"/>
        <v>257.47790701089997</v>
      </c>
      <c r="L286" s="10">
        <f t="shared" si="30"/>
        <v>0.21522320375211393</v>
      </c>
      <c r="M286" s="10">
        <f t="shared" si="34"/>
        <v>0.21723727367117673</v>
      </c>
      <c r="P286" s="8">
        <f t="shared" si="35"/>
        <v>7.9536498821225434</v>
      </c>
    </row>
    <row r="287" spans="1:16" x14ac:dyDescent="0.2">
      <c r="A287" s="8">
        <v>142.5</v>
      </c>
      <c r="B287" s="8">
        <v>285</v>
      </c>
      <c r="D287">
        <v>1292.5686609687</v>
      </c>
      <c r="E287">
        <v>363.47920227920002</v>
      </c>
      <c r="F287">
        <v>129.36082474227001</v>
      </c>
      <c r="G287">
        <v>112.87056128293</v>
      </c>
      <c r="I287" s="9">
        <f t="shared" si="32"/>
        <v>250.60864099627003</v>
      </c>
      <c r="J287" s="9">
        <f t="shared" si="33"/>
        <v>1163.2078362264299</v>
      </c>
      <c r="K287" s="9">
        <f t="shared" si="31"/>
        <v>250.60864099627003</v>
      </c>
      <c r="L287" s="10">
        <f t="shared" si="30"/>
        <v>0.2154461422898174</v>
      </c>
      <c r="M287" s="10">
        <f t="shared" si="34"/>
        <v>0.21746730400436987</v>
      </c>
      <c r="P287" s="8">
        <f t="shared" si="35"/>
        <v>8.0679609008171873</v>
      </c>
    </row>
    <row r="288" spans="1:16" x14ac:dyDescent="0.2">
      <c r="A288" s="8">
        <v>143</v>
      </c>
      <c r="B288" s="8">
        <v>286</v>
      </c>
      <c r="D288">
        <v>1325.7230769231001</v>
      </c>
      <c r="E288">
        <v>368.85925925926</v>
      </c>
      <c r="F288">
        <v>129.76918671249001</v>
      </c>
      <c r="G288">
        <v>112.61512027491</v>
      </c>
      <c r="I288" s="9">
        <f t="shared" si="32"/>
        <v>256.24413898435</v>
      </c>
      <c r="J288" s="9">
        <f t="shared" si="33"/>
        <v>1195.9538902106101</v>
      </c>
      <c r="K288" s="9">
        <f t="shared" si="31"/>
        <v>256.24413898435</v>
      </c>
      <c r="L288" s="10">
        <f t="shared" si="30"/>
        <v>0.21425921273538803</v>
      </c>
      <c r="M288" s="10">
        <f t="shared" si="34"/>
        <v>0.21628746624543016</v>
      </c>
      <c r="P288" s="8">
        <f t="shared" si="35"/>
        <v>7.4816536332205752</v>
      </c>
    </row>
    <row r="289" spans="1:16" x14ac:dyDescent="0.2">
      <c r="A289" s="8">
        <v>143.5</v>
      </c>
      <c r="B289" s="8">
        <v>287</v>
      </c>
      <c r="D289">
        <v>1297.9811965812</v>
      </c>
      <c r="E289">
        <v>361.96866096866</v>
      </c>
      <c r="F289">
        <v>129.01088201604</v>
      </c>
      <c r="G289">
        <v>112.66552119129</v>
      </c>
      <c r="I289" s="9">
        <f t="shared" si="32"/>
        <v>249.30313977737001</v>
      </c>
      <c r="J289" s="9">
        <f t="shared" si="33"/>
        <v>1168.9703145651602</v>
      </c>
      <c r="K289" s="9">
        <f t="shared" si="31"/>
        <v>249.30313977737001</v>
      </c>
      <c r="L289" s="10">
        <f t="shared" si="30"/>
        <v>0.21326729744211437</v>
      </c>
      <c r="M289" s="10">
        <f t="shared" si="34"/>
        <v>0.21530264274764616</v>
      </c>
      <c r="P289" s="8">
        <f t="shared" si="35"/>
        <v>6.9922565363099087</v>
      </c>
    </row>
    <row r="290" spans="1:16" x14ac:dyDescent="0.2">
      <c r="A290" s="8">
        <v>144</v>
      </c>
      <c r="B290" s="8">
        <v>288</v>
      </c>
      <c r="D290">
        <v>1287.6074074073999</v>
      </c>
      <c r="E290">
        <v>358.72364672365001</v>
      </c>
      <c r="F290">
        <v>129.10252004582</v>
      </c>
      <c r="G290">
        <v>112.59679266896001</v>
      </c>
      <c r="I290" s="9">
        <f t="shared" si="32"/>
        <v>246.12685405469</v>
      </c>
      <c r="J290" s="9">
        <f t="shared" si="33"/>
        <v>1158.5048873615799</v>
      </c>
      <c r="K290" s="9">
        <f t="shared" si="31"/>
        <v>246.12685405469</v>
      </c>
      <c r="L290" s="10">
        <f t="shared" si="30"/>
        <v>0.21245214995616291</v>
      </c>
      <c r="M290" s="10">
        <f t="shared" si="34"/>
        <v>0.21449458705718435</v>
      </c>
      <c r="P290" s="8">
        <f t="shared" si="35"/>
        <v>6.5907022375507998</v>
      </c>
    </row>
    <row r="291" spans="1:16" x14ac:dyDescent="0.2">
      <c r="A291" s="8">
        <v>144.5</v>
      </c>
      <c r="B291" s="8">
        <v>289</v>
      </c>
      <c r="D291">
        <v>1271.7595441594999</v>
      </c>
      <c r="E291">
        <v>356.44387464388001</v>
      </c>
      <c r="F291">
        <v>129.73138602520001</v>
      </c>
      <c r="G291">
        <v>113.11626575029</v>
      </c>
      <c r="I291" s="9">
        <f t="shared" si="32"/>
        <v>243.32760889359002</v>
      </c>
      <c r="J291" s="9">
        <f t="shared" si="33"/>
        <v>1142.0281581342999</v>
      </c>
      <c r="K291" s="9">
        <f t="shared" si="31"/>
        <v>243.32760889359002</v>
      </c>
      <c r="L291" s="10">
        <f t="shared" si="30"/>
        <v>0.21306620783423386</v>
      </c>
      <c r="M291" s="10">
        <f t="shared" si="34"/>
        <v>0.21511573673074497</v>
      </c>
      <c r="P291" s="8">
        <f t="shared" si="35"/>
        <v>6.8993756675325075</v>
      </c>
    </row>
    <row r="292" spans="1:16" x14ac:dyDescent="0.2">
      <c r="A292" s="8">
        <v>145</v>
      </c>
      <c r="B292" s="8">
        <v>290</v>
      </c>
      <c r="D292">
        <v>1285.1293447293001</v>
      </c>
      <c r="E292">
        <v>358.07350427350002</v>
      </c>
      <c r="F292">
        <v>129.02119129439001</v>
      </c>
      <c r="G292">
        <v>112.72966781213999</v>
      </c>
      <c r="I292" s="9">
        <f>E292-G292</f>
        <v>245.34383646136001</v>
      </c>
      <c r="J292" s="9">
        <f>D292-F292</f>
        <v>1156.10815343491</v>
      </c>
      <c r="K292" s="9">
        <f t="shared" si="31"/>
        <v>245.34383646136001</v>
      </c>
      <c r="L292" s="10">
        <f t="shared" si="30"/>
        <v>0.21221529813834419</v>
      </c>
      <c r="M292" s="10">
        <f>L292+ABS($N$2)*A292</f>
        <v>0.21427191883034497</v>
      </c>
      <c r="O292" s="11"/>
      <c r="P292" s="8">
        <f>(M292-$O$2)/$O$2*100</f>
        <v>6.4800497358236893</v>
      </c>
    </row>
    <row r="293" spans="1:16" x14ac:dyDescent="0.2">
      <c r="A293" s="8">
        <v>145.5</v>
      </c>
      <c r="B293" s="8">
        <v>291</v>
      </c>
      <c r="D293">
        <v>1229.7566951567001</v>
      </c>
      <c r="E293">
        <v>347.11168091168003</v>
      </c>
      <c r="F293">
        <v>129.10366552119001</v>
      </c>
      <c r="G293">
        <v>112.98453608247</v>
      </c>
      <c r="I293" s="9">
        <f t="shared" ref="I293:I301" si="36">E293-G293</f>
        <v>234.12714482921001</v>
      </c>
      <c r="J293" s="9">
        <f t="shared" ref="J293:J301" si="37">D293-F293</f>
        <v>1100.6530296355099</v>
      </c>
      <c r="K293" s="9">
        <f t="shared" si="31"/>
        <v>234.12714482921001</v>
      </c>
      <c r="L293" s="10">
        <f t="shared" si="30"/>
        <v>0.21271657690956713</v>
      </c>
      <c r="M293" s="10">
        <f t="shared" ref="M293:M301" si="38">L293+ABS($N$2)*A293</f>
        <v>0.21478028939705754</v>
      </c>
      <c r="P293" s="8">
        <f t="shared" ref="P293:P301" si="39">(M293-$O$2)/$O$2*100</f>
        <v>6.7326788415099257</v>
      </c>
    </row>
    <row r="294" spans="1:16" x14ac:dyDescent="0.2">
      <c r="A294" s="8">
        <v>146</v>
      </c>
      <c r="B294" s="8">
        <v>292</v>
      </c>
      <c r="D294">
        <v>1230.8415954416</v>
      </c>
      <c r="E294">
        <v>346.78005698006001</v>
      </c>
      <c r="F294">
        <v>129.66151202749001</v>
      </c>
      <c r="G294">
        <v>112.43928980526999</v>
      </c>
      <c r="I294" s="9">
        <f t="shared" si="36"/>
        <v>234.34076717479002</v>
      </c>
      <c r="J294" s="9">
        <f t="shared" si="37"/>
        <v>1101.18008341411</v>
      </c>
      <c r="K294" s="9">
        <f t="shared" si="31"/>
        <v>234.34076717479002</v>
      </c>
      <c r="L294" s="10">
        <f t="shared" si="30"/>
        <v>0.21280875917065037</v>
      </c>
      <c r="M294" s="10">
        <f t="shared" si="38"/>
        <v>0.21487956345363043</v>
      </c>
      <c r="N294" s="1"/>
      <c r="P294" s="8">
        <f t="shared" si="39"/>
        <v>6.7820119810975186</v>
      </c>
    </row>
    <row r="295" spans="1:16" x14ac:dyDescent="0.2">
      <c r="A295" s="8">
        <v>146.5</v>
      </c>
      <c r="B295" s="8">
        <v>293</v>
      </c>
      <c r="D295">
        <v>1281.9886039886001</v>
      </c>
      <c r="E295">
        <v>355.12478632479002</v>
      </c>
      <c r="F295">
        <v>129.50114547537001</v>
      </c>
      <c r="G295">
        <v>112.79667812142</v>
      </c>
      <c r="I295" s="9">
        <f t="shared" si="36"/>
        <v>242.32810820337002</v>
      </c>
      <c r="J295" s="9">
        <f t="shared" si="37"/>
        <v>1152.48745851323</v>
      </c>
      <c r="K295" s="9">
        <f t="shared" si="31"/>
        <v>242.32810820337002</v>
      </c>
      <c r="L295" s="10">
        <f t="shared" si="30"/>
        <v>0.21026528871384523</v>
      </c>
      <c r="M295" s="10">
        <f t="shared" si="38"/>
        <v>0.21234318479231495</v>
      </c>
      <c r="P295" s="8">
        <f t="shared" si="39"/>
        <v>5.5215867817526076</v>
      </c>
    </row>
    <row r="296" spans="1:16" x14ac:dyDescent="0.2">
      <c r="A296" s="8">
        <v>147</v>
      </c>
      <c r="B296" s="8">
        <v>294</v>
      </c>
      <c r="D296">
        <v>1268.1886039886001</v>
      </c>
      <c r="E296">
        <v>350.350997151</v>
      </c>
      <c r="F296">
        <v>129.20389461626999</v>
      </c>
      <c r="G296">
        <v>112.48453608247</v>
      </c>
      <c r="I296" s="9">
        <f t="shared" si="36"/>
        <v>237.86646106852999</v>
      </c>
      <c r="J296" s="9">
        <f t="shared" si="37"/>
        <v>1138.9847093723301</v>
      </c>
      <c r="K296" s="9">
        <f t="shared" si="31"/>
        <v>237.86646106852999</v>
      </c>
      <c r="L296" s="10">
        <f t="shared" si="30"/>
        <v>0.20884078522846286</v>
      </c>
      <c r="M296" s="10">
        <f t="shared" si="38"/>
        <v>0.21092577310242225</v>
      </c>
      <c r="P296" s="8">
        <f t="shared" si="39"/>
        <v>4.8172197883557146</v>
      </c>
    </row>
    <row r="297" spans="1:16" x14ac:dyDescent="0.2">
      <c r="A297" s="8">
        <v>147.5</v>
      </c>
      <c r="B297" s="8">
        <v>295</v>
      </c>
      <c r="D297">
        <v>1252.4638176638</v>
      </c>
      <c r="E297">
        <v>345.97834757835</v>
      </c>
      <c r="F297">
        <v>129.59106529210001</v>
      </c>
      <c r="G297">
        <v>112.75544100802</v>
      </c>
      <c r="I297" s="9">
        <f t="shared" si="36"/>
        <v>233.22290657033</v>
      </c>
      <c r="J297" s="9">
        <f t="shared" si="37"/>
        <v>1122.8727523717</v>
      </c>
      <c r="K297" s="9">
        <f t="shared" si="31"/>
        <v>233.22290657033</v>
      </c>
      <c r="L297" s="10">
        <f t="shared" si="30"/>
        <v>0.20770199123429006</v>
      </c>
      <c r="M297" s="10">
        <f t="shared" si="38"/>
        <v>0.20979407090373911</v>
      </c>
      <c r="P297" s="8">
        <f t="shared" si="39"/>
        <v>4.2548329526951196</v>
      </c>
    </row>
    <row r="298" spans="1:16" x14ac:dyDescent="0.2">
      <c r="A298" s="8">
        <v>148</v>
      </c>
      <c r="B298" s="8">
        <v>296</v>
      </c>
      <c r="D298">
        <v>1307.0591581342001</v>
      </c>
      <c r="E298">
        <v>357.61604095563001</v>
      </c>
      <c r="F298">
        <v>129.57731958763</v>
      </c>
      <c r="G298">
        <v>112.75945017182001</v>
      </c>
      <c r="I298" s="9">
        <f t="shared" si="36"/>
        <v>244.85659078381002</v>
      </c>
      <c r="J298" s="9">
        <f t="shared" si="37"/>
        <v>1177.4818385465701</v>
      </c>
      <c r="K298" s="9">
        <f t="shared" si="31"/>
        <v>244.85659078381002</v>
      </c>
      <c r="L298" s="10">
        <f t="shared" si="30"/>
        <v>0.20794935664234943</v>
      </c>
      <c r="M298" s="10">
        <f t="shared" si="38"/>
        <v>0.21004852810728813</v>
      </c>
      <c r="P298" s="8">
        <f t="shared" si="39"/>
        <v>4.3812826332572818</v>
      </c>
    </row>
    <row r="299" spans="1:16" x14ac:dyDescent="0.2">
      <c r="A299" s="8">
        <v>148.5</v>
      </c>
      <c r="B299" s="8">
        <v>297</v>
      </c>
      <c r="D299">
        <v>1316.8924914675999</v>
      </c>
      <c r="E299">
        <v>356.83674630261999</v>
      </c>
      <c r="F299">
        <v>129.56758304696999</v>
      </c>
      <c r="G299">
        <v>112.49369988545</v>
      </c>
      <c r="I299" s="9">
        <f t="shared" si="36"/>
        <v>244.34304641717</v>
      </c>
      <c r="J299" s="9">
        <f t="shared" si="37"/>
        <v>1187.32490842063</v>
      </c>
      <c r="K299" s="9">
        <f t="shared" si="31"/>
        <v>244.34304641717</v>
      </c>
      <c r="L299" s="10">
        <f t="shared" si="30"/>
        <v>0.20579290865058425</v>
      </c>
      <c r="M299" s="10">
        <f t="shared" si="38"/>
        <v>0.20789917191101262</v>
      </c>
      <c r="P299" s="8">
        <f t="shared" si="39"/>
        <v>3.313183948517235</v>
      </c>
    </row>
    <row r="300" spans="1:16" x14ac:dyDescent="0.2">
      <c r="A300" s="8">
        <v>149</v>
      </c>
      <c r="B300" s="8">
        <v>298</v>
      </c>
      <c r="D300">
        <v>1345.6484641638001</v>
      </c>
      <c r="E300">
        <v>360.69397042092999</v>
      </c>
      <c r="F300">
        <v>129.33046964490001</v>
      </c>
      <c r="G300">
        <v>112.41351660939</v>
      </c>
      <c r="I300" s="9">
        <f t="shared" si="36"/>
        <v>248.28045381153999</v>
      </c>
      <c r="J300" s="9">
        <f t="shared" si="37"/>
        <v>1216.3179945189002</v>
      </c>
      <c r="K300" s="9">
        <f t="shared" si="31"/>
        <v>248.28045381153999</v>
      </c>
      <c r="L300" s="10">
        <f t="shared" si="30"/>
        <v>0.20412462442417809</v>
      </c>
      <c r="M300" s="10">
        <f t="shared" si="38"/>
        <v>0.20623797948009612</v>
      </c>
      <c r="P300" s="8">
        <f t="shared" si="39"/>
        <v>2.4876728240062569</v>
      </c>
    </row>
    <row r="301" spans="1:16" x14ac:dyDescent="0.2">
      <c r="A301" s="8">
        <v>149.5</v>
      </c>
      <c r="B301" s="8">
        <v>299</v>
      </c>
      <c r="D301">
        <v>1314.0255972696</v>
      </c>
      <c r="E301">
        <v>355.28612059158002</v>
      </c>
      <c r="F301">
        <v>129.40836197022</v>
      </c>
      <c r="G301">
        <v>112.71363115693001</v>
      </c>
      <c r="I301" s="9">
        <f t="shared" si="36"/>
        <v>242.57248943465001</v>
      </c>
      <c r="J301" s="9">
        <f t="shared" si="37"/>
        <v>1184.6172352993799</v>
      </c>
      <c r="K301" s="9">
        <f t="shared" si="31"/>
        <v>242.57248943465001</v>
      </c>
      <c r="L301" s="10">
        <f t="shared" si="30"/>
        <v>0.20476866468462818</v>
      </c>
      <c r="M301" s="10">
        <f t="shared" si="38"/>
        <v>0.20688911153603584</v>
      </c>
      <c r="P301" s="8">
        <f t="shared" si="39"/>
        <v>2.8112456658397527</v>
      </c>
    </row>
    <row r="302" spans="1:16" x14ac:dyDescent="0.2">
      <c r="A302" s="8">
        <v>150</v>
      </c>
      <c r="B302" s="8">
        <v>300</v>
      </c>
      <c r="D302">
        <v>1291.5301478952999</v>
      </c>
      <c r="E302">
        <v>349.25938566552998</v>
      </c>
      <c r="F302">
        <v>129.10652920961999</v>
      </c>
      <c r="G302">
        <v>112.54295532646</v>
      </c>
      <c r="I302" s="9">
        <f>E302-G302</f>
        <v>236.71643033906997</v>
      </c>
      <c r="J302" s="9">
        <f>D302-F302</f>
        <v>1162.4236186856799</v>
      </c>
      <c r="K302" s="9">
        <f t="shared" si="31"/>
        <v>236.71643033906997</v>
      </c>
      <c r="L302" s="10">
        <f t="shared" si="30"/>
        <v>0.20364041691334409</v>
      </c>
      <c r="M302" s="10">
        <f>L302+ABS($N$2)*A302</f>
        <v>0.20576795556024141</v>
      </c>
      <c r="O302" s="11"/>
      <c r="P302" s="8">
        <f>(M302-$O$2)/$O$2*100</f>
        <v>2.254099658486687</v>
      </c>
    </row>
    <row r="303" spans="1:16" x14ac:dyDescent="0.2">
      <c r="A303" s="8">
        <v>150.5</v>
      </c>
      <c r="B303" s="8">
        <v>301</v>
      </c>
      <c r="D303">
        <v>1297.3435722412</v>
      </c>
      <c r="E303">
        <v>351.63139931741</v>
      </c>
      <c r="F303">
        <v>129.33906071019999</v>
      </c>
      <c r="G303">
        <v>112.43012600229</v>
      </c>
      <c r="I303" s="9">
        <f t="shared" ref="I303:I309" si="40">E303-G303</f>
        <v>239.20127331512001</v>
      </c>
      <c r="J303" s="9">
        <f t="shared" ref="J303:J309" si="41">D303-F303</f>
        <v>1168.0045115309999</v>
      </c>
      <c r="K303" s="9">
        <f t="shared" si="31"/>
        <v>239.20127331512001</v>
      </c>
      <c r="L303" s="10">
        <f t="shared" si="30"/>
        <v>0.20479481967203975</v>
      </c>
      <c r="M303" s="10">
        <f t="shared" ref="M303:M309" si="42">L303+ABS($N$2)*A303</f>
        <v>0.20692945011442673</v>
      </c>
      <c r="P303" s="8">
        <f t="shared" ref="P303:P309" si="43">(M303-$O$2)/$O$2*100</f>
        <v>2.8312914742535722</v>
      </c>
    </row>
    <row r="304" spans="1:16" x14ac:dyDescent="0.2">
      <c r="A304" s="8">
        <v>151</v>
      </c>
      <c r="B304" s="8">
        <v>302</v>
      </c>
      <c r="D304">
        <v>1336.7798634812</v>
      </c>
      <c r="E304">
        <v>356.48919226394003</v>
      </c>
      <c r="F304">
        <v>129.06013745704999</v>
      </c>
      <c r="G304">
        <v>112.63974799542</v>
      </c>
      <c r="I304" s="9">
        <f t="shared" si="40"/>
        <v>243.84944426852002</v>
      </c>
      <c r="J304" s="9">
        <f t="shared" si="41"/>
        <v>1207.7197260241501</v>
      </c>
      <c r="K304" s="9">
        <f t="shared" si="31"/>
        <v>243.84944426852002</v>
      </c>
      <c r="L304" s="10">
        <f t="shared" si="30"/>
        <v>0.20190896862410268</v>
      </c>
      <c r="M304" s="10">
        <f t="shared" si="42"/>
        <v>0.20405069086197933</v>
      </c>
      <c r="N304" s="1"/>
      <c r="P304" s="8">
        <f t="shared" si="43"/>
        <v>1.4007240436199517</v>
      </c>
    </row>
    <row r="305" spans="1:16" x14ac:dyDescent="0.2">
      <c r="A305" s="8">
        <v>151.5</v>
      </c>
      <c r="B305" s="8">
        <v>303</v>
      </c>
      <c r="D305">
        <v>1338.7184300341</v>
      </c>
      <c r="E305">
        <v>356.18031854380001</v>
      </c>
      <c r="F305">
        <v>129.42611683849</v>
      </c>
      <c r="G305">
        <v>112.66895761741</v>
      </c>
      <c r="I305" s="9">
        <f t="shared" si="40"/>
        <v>243.51136092639001</v>
      </c>
      <c r="J305" s="9">
        <f t="shared" si="41"/>
        <v>1209.2923131956099</v>
      </c>
      <c r="K305" s="9">
        <f t="shared" si="31"/>
        <v>243.51136092639001</v>
      </c>
      <c r="L305" s="10">
        <f t="shared" si="30"/>
        <v>0.20136683105418918</v>
      </c>
      <c r="M305" s="10">
        <f t="shared" si="42"/>
        <v>0.20351564508755549</v>
      </c>
      <c r="P305" s="8">
        <f t="shared" si="43"/>
        <v>1.1348389897940148</v>
      </c>
    </row>
    <row r="306" spans="1:16" x14ac:dyDescent="0.2">
      <c r="A306" s="8">
        <v>152</v>
      </c>
      <c r="B306" s="8">
        <v>304</v>
      </c>
      <c r="D306">
        <v>1324.4300341297001</v>
      </c>
      <c r="E306">
        <v>353.94880546075001</v>
      </c>
      <c r="F306">
        <v>129.42955326461001</v>
      </c>
      <c r="G306">
        <v>112.50343642612</v>
      </c>
      <c r="I306" s="9">
        <f t="shared" si="40"/>
        <v>241.44536903463</v>
      </c>
      <c r="J306" s="9">
        <f t="shared" si="41"/>
        <v>1195.0004808650901</v>
      </c>
      <c r="K306" s="9">
        <f t="shared" si="31"/>
        <v>241.44536903463</v>
      </c>
      <c r="L306" s="10">
        <f t="shared" si="30"/>
        <v>0.20204625261727241</v>
      </c>
      <c r="M306" s="10">
        <f t="shared" si="42"/>
        <v>0.20420215844612838</v>
      </c>
      <c r="P306" s="8">
        <f t="shared" si="43"/>
        <v>1.4759941769234479</v>
      </c>
    </row>
    <row r="307" spans="1:16" x14ac:dyDescent="0.2">
      <c r="A307" s="8">
        <v>152.5</v>
      </c>
      <c r="B307" s="8">
        <v>305</v>
      </c>
      <c r="D307">
        <v>1292.4266211603999</v>
      </c>
      <c r="E307">
        <v>348.78725824801</v>
      </c>
      <c r="F307">
        <v>129.80412371134</v>
      </c>
      <c r="G307">
        <v>112.56758304696</v>
      </c>
      <c r="I307" s="9">
        <f t="shared" si="40"/>
        <v>236.21967520104999</v>
      </c>
      <c r="J307" s="9">
        <f t="shared" si="41"/>
        <v>1162.6224974490599</v>
      </c>
      <c r="K307" s="9">
        <f t="shared" si="31"/>
        <v>236.21967520104999</v>
      </c>
      <c r="L307" s="10">
        <f t="shared" si="30"/>
        <v>0.20317831086130339</v>
      </c>
      <c r="M307" s="10">
        <f t="shared" si="42"/>
        <v>0.20534130848564902</v>
      </c>
      <c r="P307" s="8">
        <f t="shared" si="43"/>
        <v>2.0420821343508662</v>
      </c>
    </row>
    <row r="308" spans="1:16" x14ac:dyDescent="0.2">
      <c r="A308" s="8">
        <v>153</v>
      </c>
      <c r="B308" s="8">
        <v>306</v>
      </c>
      <c r="D308">
        <v>1300.5722411832</v>
      </c>
      <c r="E308">
        <v>349.51478953356002</v>
      </c>
      <c r="F308">
        <v>129.25544100802</v>
      </c>
      <c r="G308">
        <v>112.84077892325</v>
      </c>
      <c r="I308" s="9">
        <f t="shared" si="40"/>
        <v>236.67401061031001</v>
      </c>
      <c r="J308" s="9">
        <f t="shared" si="41"/>
        <v>1171.3168001751801</v>
      </c>
      <c r="K308" s="9">
        <f t="shared" si="31"/>
        <v>236.67401061031001</v>
      </c>
      <c r="L308" s="10">
        <f t="shared" si="30"/>
        <v>0.20205806881188201</v>
      </c>
      <c r="M308" s="10">
        <f t="shared" si="42"/>
        <v>0.2042281582317173</v>
      </c>
      <c r="P308" s="8">
        <f t="shared" si="43"/>
        <v>1.4889144815426529</v>
      </c>
    </row>
    <row r="309" spans="1:16" x14ac:dyDescent="0.2">
      <c r="A309" s="8">
        <v>153.5</v>
      </c>
      <c r="B309" s="8">
        <v>307</v>
      </c>
      <c r="D309">
        <v>1355.9641638225</v>
      </c>
      <c r="E309">
        <v>358.72468714448001</v>
      </c>
      <c r="F309">
        <v>129.31557846506001</v>
      </c>
      <c r="G309">
        <v>112.69014891179999</v>
      </c>
      <c r="I309" s="9">
        <f t="shared" si="40"/>
        <v>246.03453823268001</v>
      </c>
      <c r="J309" s="9">
        <f t="shared" si="41"/>
        <v>1226.64858535744</v>
      </c>
      <c r="K309" s="9">
        <f t="shared" si="31"/>
        <v>246.03453823268001</v>
      </c>
      <c r="L309" s="10">
        <f t="shared" si="30"/>
        <v>0.20057459093794711</v>
      </c>
      <c r="M309" s="10">
        <f t="shared" si="42"/>
        <v>0.20275177215327206</v>
      </c>
      <c r="P309" s="8">
        <f t="shared" si="43"/>
        <v>0.75524082089559919</v>
      </c>
    </row>
    <row r="310" spans="1:16" x14ac:dyDescent="0.2">
      <c r="A310" s="8">
        <v>154</v>
      </c>
      <c r="B310" s="8">
        <v>308</v>
      </c>
      <c r="D310">
        <v>1368.3014789534</v>
      </c>
      <c r="E310">
        <v>359.66666666666998</v>
      </c>
      <c r="F310">
        <v>129.60137457044999</v>
      </c>
      <c r="G310">
        <v>112.56300114548</v>
      </c>
      <c r="I310" s="9">
        <f>E310-G310</f>
        <v>247.10366552118998</v>
      </c>
      <c r="J310" s="9">
        <f>D310-F310</f>
        <v>1238.70010438295</v>
      </c>
      <c r="K310" s="9">
        <f t="shared" si="31"/>
        <v>247.10366552118998</v>
      </c>
      <c r="L310" s="10">
        <f t="shared" si="30"/>
        <v>0.19948627165433475</v>
      </c>
      <c r="M310" s="10">
        <f>L310+ABS($N$2)*A310</f>
        <v>0.20167054466514933</v>
      </c>
      <c r="O310" s="11"/>
      <c r="P310" s="8">
        <f>(M310-$O$2)/$O$2*100</f>
        <v>0.21793683192911215</v>
      </c>
    </row>
    <row r="311" spans="1:16" x14ac:dyDescent="0.2">
      <c r="A311" s="8">
        <v>154.5</v>
      </c>
      <c r="B311" s="8">
        <v>309</v>
      </c>
      <c r="D311">
        <v>1400.0199089875</v>
      </c>
      <c r="E311">
        <v>363.86746302617001</v>
      </c>
      <c r="F311">
        <v>129.24914089347001</v>
      </c>
      <c r="G311">
        <v>112.74971363116001</v>
      </c>
      <c r="I311" s="9">
        <f t="shared" ref="I311:I319" si="44">E311-G311</f>
        <v>251.11774939501001</v>
      </c>
      <c r="J311" s="9">
        <f t="shared" ref="J311:J319" si="45">D311-F311</f>
        <v>1270.77076809403</v>
      </c>
      <c r="K311" s="9">
        <f t="shared" si="31"/>
        <v>251.11774939501001</v>
      </c>
      <c r="L311" s="10">
        <f t="shared" si="30"/>
        <v>0.1976105806806131</v>
      </c>
      <c r="M311" s="10">
        <f t="shared" ref="M311:M319" si="46">L311+ABS($N$2)*A311</f>
        <v>0.19980194548691735</v>
      </c>
      <c r="P311" s="8">
        <f t="shared" ref="P311:P319" si="47">(M311-$O$2)/$O$2*100</f>
        <v>-0.71064277159793277</v>
      </c>
    </row>
    <row r="312" spans="1:16" x14ac:dyDescent="0.2">
      <c r="A312" s="8">
        <v>155</v>
      </c>
      <c r="B312" s="8">
        <v>310</v>
      </c>
      <c r="D312">
        <v>1307.9243458476001</v>
      </c>
      <c r="E312">
        <v>347.58134243459</v>
      </c>
      <c r="F312">
        <v>129.17525773195999</v>
      </c>
      <c r="G312">
        <v>112.64375715922</v>
      </c>
      <c r="I312" s="9">
        <f t="shared" si="44"/>
        <v>234.93758527537</v>
      </c>
      <c r="J312" s="9">
        <f t="shared" si="45"/>
        <v>1178.74908811564</v>
      </c>
      <c r="K312" s="9">
        <f t="shared" si="31"/>
        <v>234.93758527537</v>
      </c>
      <c r="L312" s="10">
        <f t="shared" si="30"/>
        <v>0.19931093702981653</v>
      </c>
      <c r="M312" s="10">
        <f t="shared" si="46"/>
        <v>0.20150939363161044</v>
      </c>
      <c r="N312" s="1"/>
      <c r="P312" s="8">
        <f t="shared" si="47"/>
        <v>0.13785461602387736</v>
      </c>
    </row>
    <row r="313" spans="1:16" x14ac:dyDescent="0.2">
      <c r="A313" s="8">
        <v>155.5</v>
      </c>
      <c r="B313" s="8">
        <v>311</v>
      </c>
      <c r="D313">
        <v>1358.0233219567999</v>
      </c>
      <c r="E313">
        <v>354.17406143344999</v>
      </c>
      <c r="F313">
        <v>129.5990836197</v>
      </c>
      <c r="G313">
        <v>112.64719358534001</v>
      </c>
      <c r="I313" s="9">
        <f t="shared" si="44"/>
        <v>241.52686784810999</v>
      </c>
      <c r="J313" s="9">
        <f t="shared" si="45"/>
        <v>1228.4242383371</v>
      </c>
      <c r="K313" s="9">
        <f t="shared" si="31"/>
        <v>241.52686784810999</v>
      </c>
      <c r="L313" s="10">
        <f t="shared" si="30"/>
        <v>0.19661519230120483</v>
      </c>
      <c r="M313" s="10">
        <f t="shared" si="46"/>
        <v>0.1988207406984884</v>
      </c>
      <c r="P313" s="8">
        <f t="shared" si="47"/>
        <v>-1.1982415910945097</v>
      </c>
    </row>
    <row r="314" spans="1:16" x14ac:dyDescent="0.2">
      <c r="A314" s="8">
        <v>156</v>
      </c>
      <c r="B314" s="8">
        <v>312</v>
      </c>
      <c r="D314">
        <v>1319.8568994888999</v>
      </c>
      <c r="E314">
        <v>345.49460533787999</v>
      </c>
      <c r="F314">
        <v>129.36139747995</v>
      </c>
      <c r="G314">
        <v>112.82245131729999</v>
      </c>
      <c r="I314" s="9">
        <f t="shared" si="44"/>
        <v>232.67215402058</v>
      </c>
      <c r="J314" s="9">
        <f t="shared" si="45"/>
        <v>1190.4955020089499</v>
      </c>
      <c r="K314" s="9">
        <f t="shared" si="31"/>
        <v>232.67215402058</v>
      </c>
      <c r="L314" s="10">
        <f t="shared" si="30"/>
        <v>0.1954414389873359</v>
      </c>
      <c r="M314" s="10">
        <f t="shared" si="46"/>
        <v>0.19765407918010913</v>
      </c>
      <c r="P314" s="8">
        <f t="shared" si="47"/>
        <v>-1.7780010723182502</v>
      </c>
    </row>
    <row r="315" spans="1:16" x14ac:dyDescent="0.2">
      <c r="A315" s="8">
        <v>156.5</v>
      </c>
      <c r="B315" s="8">
        <v>313</v>
      </c>
      <c r="D315">
        <v>1252.7461669505999</v>
      </c>
      <c r="E315">
        <v>333.66382737081</v>
      </c>
      <c r="F315">
        <v>129.51660939289999</v>
      </c>
      <c r="G315">
        <v>112.68041237113</v>
      </c>
      <c r="I315" s="9">
        <f t="shared" si="44"/>
        <v>220.98341499968001</v>
      </c>
      <c r="J315" s="9">
        <f t="shared" si="45"/>
        <v>1123.2295575577</v>
      </c>
      <c r="K315" s="9">
        <f t="shared" si="31"/>
        <v>220.98341499968001</v>
      </c>
      <c r="L315" s="10">
        <f t="shared" si="30"/>
        <v>0.19673931612000706</v>
      </c>
      <c r="M315" s="10">
        <f t="shared" si="46"/>
        <v>0.19895904810826995</v>
      </c>
      <c r="P315" s="8">
        <f t="shared" si="47"/>
        <v>-1.1295112602477859</v>
      </c>
    </row>
    <row r="316" spans="1:16" x14ac:dyDescent="0.2">
      <c r="A316" s="8">
        <v>157</v>
      </c>
      <c r="B316" s="8">
        <v>314</v>
      </c>
      <c r="D316">
        <v>1318.1521862577999</v>
      </c>
      <c r="E316">
        <v>344.07779670641997</v>
      </c>
      <c r="F316">
        <v>129.25143184422001</v>
      </c>
      <c r="G316">
        <v>112.95475372280001</v>
      </c>
      <c r="I316" s="9">
        <f t="shared" si="44"/>
        <v>231.12304298361997</v>
      </c>
      <c r="J316" s="9">
        <f t="shared" si="45"/>
        <v>1188.90075441358</v>
      </c>
      <c r="K316" s="9">
        <f t="shared" si="31"/>
        <v>231.12304298361997</v>
      </c>
      <c r="L316" s="10">
        <f t="shared" si="30"/>
        <v>0.19440061933312539</v>
      </c>
      <c r="M316" s="10">
        <f t="shared" si="46"/>
        <v>0.19662744311687794</v>
      </c>
      <c r="P316" s="8">
        <f t="shared" si="47"/>
        <v>-2.2881764591359777</v>
      </c>
    </row>
    <row r="317" spans="1:16" x14ac:dyDescent="0.2">
      <c r="A317" s="8">
        <v>157.5</v>
      </c>
      <c r="B317" s="8">
        <v>315</v>
      </c>
      <c r="D317">
        <v>1371.6286201022001</v>
      </c>
      <c r="E317">
        <v>351.33901192503998</v>
      </c>
      <c r="F317">
        <v>129.72623138603001</v>
      </c>
      <c r="G317">
        <v>112.80870561283</v>
      </c>
      <c r="I317" s="9">
        <f t="shared" si="44"/>
        <v>238.53030631220997</v>
      </c>
      <c r="J317" s="9">
        <f t="shared" si="45"/>
        <v>1241.9023887161702</v>
      </c>
      <c r="K317" s="9">
        <f t="shared" si="31"/>
        <v>238.53030631220997</v>
      </c>
      <c r="L317" s="10">
        <f t="shared" si="30"/>
        <v>0.19206848177399288</v>
      </c>
      <c r="M317" s="10">
        <f t="shared" si="46"/>
        <v>0.1943023973532351</v>
      </c>
      <c r="P317" s="8">
        <f t="shared" si="47"/>
        <v>-3.4435821226600729</v>
      </c>
    </row>
    <row r="318" spans="1:16" x14ac:dyDescent="0.2">
      <c r="A318" s="8">
        <v>158</v>
      </c>
      <c r="B318" s="8">
        <v>316</v>
      </c>
      <c r="D318">
        <v>1277.1663827371001</v>
      </c>
      <c r="E318">
        <v>337.84270300964999</v>
      </c>
      <c r="F318">
        <v>129.40148911797999</v>
      </c>
      <c r="G318">
        <v>112.57789232531999</v>
      </c>
      <c r="I318" s="9">
        <f t="shared" si="44"/>
        <v>225.26481068433</v>
      </c>
      <c r="J318" s="9">
        <f t="shared" si="45"/>
        <v>1147.7648936191201</v>
      </c>
      <c r="K318" s="9">
        <f t="shared" si="31"/>
        <v>225.26481068433</v>
      </c>
      <c r="L318" s="10">
        <f t="shared" si="30"/>
        <v>0.19626389684565745</v>
      </c>
      <c r="M318" s="10">
        <f t="shared" si="46"/>
        <v>0.19850490422038933</v>
      </c>
      <c r="P318" s="8">
        <f t="shared" si="47"/>
        <v>-1.355193020287639</v>
      </c>
    </row>
    <row r="319" spans="1:16" x14ac:dyDescent="0.2">
      <c r="A319" s="8">
        <v>158.5</v>
      </c>
      <c r="B319" s="8">
        <v>317</v>
      </c>
      <c r="D319">
        <v>1244.6098807496001</v>
      </c>
      <c r="E319">
        <v>332.02839295855</v>
      </c>
      <c r="F319">
        <v>129.26804123711</v>
      </c>
      <c r="G319">
        <v>112.62371134020999</v>
      </c>
      <c r="I319" s="9">
        <f t="shared" si="44"/>
        <v>219.40468161834002</v>
      </c>
      <c r="J319" s="9">
        <f t="shared" si="45"/>
        <v>1115.34183951249</v>
      </c>
      <c r="K319" s="9">
        <f t="shared" si="31"/>
        <v>219.40468161834002</v>
      </c>
      <c r="L319" s="10">
        <f t="shared" si="30"/>
        <v>0.19671518977019695</v>
      </c>
      <c r="M319" s="10">
        <f t="shared" si="46"/>
        <v>0.19896328894041845</v>
      </c>
      <c r="P319" s="8">
        <f t="shared" si="47"/>
        <v>-1.1274038258225978</v>
      </c>
    </row>
    <row r="320" spans="1:16" x14ac:dyDescent="0.2">
      <c r="A320" s="8">
        <v>159</v>
      </c>
      <c r="B320" s="8">
        <v>318</v>
      </c>
      <c r="D320">
        <v>1288.8468519569001</v>
      </c>
      <c r="E320">
        <v>342.24220079409997</v>
      </c>
      <c r="F320">
        <v>128.9587628866</v>
      </c>
      <c r="G320">
        <v>112.60939289805</v>
      </c>
      <c r="I320" s="9">
        <f>E320-G320</f>
        <v>229.63280789604997</v>
      </c>
      <c r="J320" s="9">
        <f>D320-F320</f>
        <v>1159.8880890703001</v>
      </c>
      <c r="K320" s="9">
        <f t="shared" si="31"/>
        <v>229.63280789604997</v>
      </c>
      <c r="L320" s="10">
        <f t="shared" si="30"/>
        <v>0.19797841710755948</v>
      </c>
      <c r="M320" s="10">
        <f>L320+ABS($N$2)*A320</f>
        <v>0.20023360807327065</v>
      </c>
      <c r="O320" s="11"/>
      <c r="P320" s="8">
        <f>(M320-$O$2)/$O$2*100</f>
        <v>-0.49613284460938406</v>
      </c>
    </row>
    <row r="321" spans="1:16" x14ac:dyDescent="0.2">
      <c r="A321" s="8">
        <v>159.5</v>
      </c>
      <c r="B321" s="8">
        <v>319</v>
      </c>
      <c r="D321">
        <v>1280.1826432217999</v>
      </c>
      <c r="E321">
        <v>342.49120816790003</v>
      </c>
      <c r="F321">
        <v>129.42726231386001</v>
      </c>
      <c r="G321">
        <v>112.76116838487999</v>
      </c>
      <c r="I321" s="9">
        <f t="shared" ref="I321:I322" si="48">E321-G321</f>
        <v>229.73003978302003</v>
      </c>
      <c r="J321" s="9">
        <f t="shared" ref="J321:J322" si="49">D321-F321</f>
        <v>1150.75538090794</v>
      </c>
      <c r="K321" s="9">
        <f t="shared" si="31"/>
        <v>229.73003978302003</v>
      </c>
      <c r="L321" s="10">
        <f t="shared" si="30"/>
        <v>0.19963412172078154</v>
      </c>
      <c r="M321" s="10">
        <f t="shared" ref="M321:M322" si="50">L321+ABS($N$2)*A321</f>
        <v>0.20189640448198237</v>
      </c>
      <c r="P321" s="8">
        <f t="shared" ref="P321:P322" si="51">(M321-$O$2)/$O$2*100</f>
        <v>0.33017535884848892</v>
      </c>
    </row>
    <row r="322" spans="1:16" x14ac:dyDescent="0.2">
      <c r="A322" s="8">
        <v>160</v>
      </c>
      <c r="B322" s="8">
        <v>320</v>
      </c>
      <c r="D322">
        <v>1255.8043108337999</v>
      </c>
      <c r="E322">
        <v>336.40952921156997</v>
      </c>
      <c r="F322">
        <v>129.41294387171001</v>
      </c>
      <c r="G322">
        <v>112.79209621993</v>
      </c>
      <c r="I322" s="9">
        <f t="shared" si="48"/>
        <v>223.61743299163999</v>
      </c>
      <c r="J322" s="9">
        <f t="shared" si="49"/>
        <v>1126.3913669620899</v>
      </c>
      <c r="K322" s="9">
        <f t="shared" ref="K322" si="52">I322*1</f>
        <v>223.61743299163999</v>
      </c>
      <c r="L322" s="10">
        <f t="shared" ref="L322" si="53">K322/J322</f>
        <v>0.19852552101383969</v>
      </c>
      <c r="M322" s="10">
        <f t="shared" si="50"/>
        <v>0.20079489557053018</v>
      </c>
      <c r="P322" s="8">
        <f t="shared" si="51"/>
        <v>-0.2172072581371213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B1" zoomScale="75" zoomScaleNormal="70" workbookViewId="0">
      <selection activeCell="N14" sqref="N14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965.62403789224004</v>
      </c>
      <c r="E2">
        <v>350.96447602131002</v>
      </c>
      <c r="F2">
        <v>119.54873006497</v>
      </c>
      <c r="G2">
        <v>108.44831659776</v>
      </c>
      <c r="H2" s="4"/>
      <c r="I2" s="5">
        <f>E2-G2</f>
        <v>242.51615942355002</v>
      </c>
      <c r="J2" s="5">
        <f>D2-F2</f>
        <v>846.07530782727008</v>
      </c>
      <c r="K2" s="9">
        <f>I2*1</f>
        <v>242.51615942355002</v>
      </c>
      <c r="L2" s="6">
        <f t="shared" ref="L2:L65" si="0">K2/J2</f>
        <v>0.28663661163488385</v>
      </c>
      <c r="M2" s="6">
        <f>L2+ABS($N$2)*A2</f>
        <v>0.28663661163488385</v>
      </c>
      <c r="N2" s="4">
        <f>LINEST(V64:V103,U64:U103)</f>
        <v>-5.1651453677846763E-4</v>
      </c>
      <c r="O2" s="7">
        <f>AVERAGE(M62:M81)</f>
        <v>0.29396214624987083</v>
      </c>
      <c r="P2" s="4">
        <f>(M2-$O$2)/$O$2*100</f>
        <v>-2.4919992959774468</v>
      </c>
    </row>
    <row r="3" spans="1:16" x14ac:dyDescent="0.2">
      <c r="A3" s="8">
        <v>0.5</v>
      </c>
      <c r="B3" s="8">
        <v>1</v>
      </c>
      <c r="D3">
        <v>971.02960331556994</v>
      </c>
      <c r="E3">
        <v>355.34576672587002</v>
      </c>
      <c r="F3">
        <v>119.36089781453001</v>
      </c>
      <c r="G3">
        <v>108.2941523922</v>
      </c>
      <c r="I3" s="9">
        <f t="shared" ref="I3:I66" si="1">E3-G3</f>
        <v>247.05161433367002</v>
      </c>
      <c r="J3" s="9">
        <f t="shared" ref="J3:J66" si="2">D3-F3</f>
        <v>851.66870550103999</v>
      </c>
      <c r="K3" s="9">
        <f t="shared" ref="K3:K66" si="3">I3*1</f>
        <v>247.05161433367002</v>
      </c>
      <c r="L3" s="10">
        <f t="shared" si="0"/>
        <v>0.29007947895458785</v>
      </c>
      <c r="M3" s="10">
        <f t="shared" ref="M3:M66" si="4">L3+ABS($N$2)*A3</f>
        <v>0.29033773622297709</v>
      </c>
      <c r="P3" s="8">
        <f t="shared" ref="P3:P66" si="5">(M3-$O$2)/$O$2*100</f>
        <v>-1.2329512738735231</v>
      </c>
    </row>
    <row r="4" spans="1:16" ht="16" x14ac:dyDescent="0.2">
      <c r="A4" s="8">
        <v>1</v>
      </c>
      <c r="B4" s="8">
        <v>2</v>
      </c>
      <c r="D4">
        <v>947.62987012987003</v>
      </c>
      <c r="E4">
        <v>352.04191263282002</v>
      </c>
      <c r="F4">
        <v>119.20437093916</v>
      </c>
      <c r="G4">
        <v>108.41346721796</v>
      </c>
      <c r="I4" s="9">
        <f t="shared" si="1"/>
        <v>243.62844541486001</v>
      </c>
      <c r="J4" s="9">
        <f t="shared" si="2"/>
        <v>828.42549919071007</v>
      </c>
      <c r="K4" s="9">
        <f t="shared" si="3"/>
        <v>243.62844541486001</v>
      </c>
      <c r="L4" s="10">
        <f t="shared" si="0"/>
        <v>0.29408612561161018</v>
      </c>
      <c r="M4" s="10">
        <f t="shared" si="4"/>
        <v>0.29460264014838866</v>
      </c>
      <c r="N4" s="1" t="s">
        <v>7</v>
      </c>
      <c r="P4" s="8">
        <f t="shared" si="5"/>
        <v>0.21788312090135886</v>
      </c>
    </row>
    <row r="5" spans="1:16" x14ac:dyDescent="0.2">
      <c r="A5" s="8">
        <v>1.5</v>
      </c>
      <c r="B5" s="8">
        <v>3</v>
      </c>
      <c r="D5">
        <v>972.62154208358004</v>
      </c>
      <c r="E5">
        <v>357.05356091818999</v>
      </c>
      <c r="F5">
        <v>119.27052569403</v>
      </c>
      <c r="G5">
        <v>108.51210868280999</v>
      </c>
      <c r="I5" s="9">
        <f t="shared" si="1"/>
        <v>248.54145223538001</v>
      </c>
      <c r="J5" s="9">
        <f t="shared" si="2"/>
        <v>853.35101638955007</v>
      </c>
      <c r="K5" s="9">
        <f t="shared" si="3"/>
        <v>248.54145223538001</v>
      </c>
      <c r="L5" s="10">
        <f t="shared" si="0"/>
        <v>0.29125347888719477</v>
      </c>
      <c r="M5" s="10">
        <f t="shared" si="4"/>
        <v>0.29202825069236249</v>
      </c>
      <c r="N5" s="8">
        <f>RSQ(V64:V83,U64:U83)</f>
        <v>0.82021099629717642</v>
      </c>
      <c r="P5" s="8">
        <f t="shared" si="5"/>
        <v>-0.65787230845175049</v>
      </c>
    </row>
    <row r="6" spans="1:16" x14ac:dyDescent="0.2">
      <c r="A6" s="8">
        <v>2</v>
      </c>
      <c r="B6" s="8">
        <v>4</v>
      </c>
      <c r="D6">
        <v>922.93790656416002</v>
      </c>
      <c r="E6">
        <v>342.24955647546</v>
      </c>
      <c r="F6">
        <v>119.2025989368</v>
      </c>
      <c r="G6">
        <v>108.48139397519</v>
      </c>
      <c r="I6" s="9">
        <f t="shared" si="1"/>
        <v>233.76816250026999</v>
      </c>
      <c r="J6" s="9">
        <f t="shared" si="2"/>
        <v>803.73530762736004</v>
      </c>
      <c r="K6" s="9">
        <f t="shared" si="3"/>
        <v>233.76816250026999</v>
      </c>
      <c r="L6" s="10">
        <f t="shared" si="0"/>
        <v>0.29085217518981155</v>
      </c>
      <c r="M6" s="10">
        <f t="shared" si="4"/>
        <v>0.2918852042633685</v>
      </c>
      <c r="P6" s="8">
        <f t="shared" si="5"/>
        <v>-0.70653382178564617</v>
      </c>
    </row>
    <row r="7" spans="1:16" x14ac:dyDescent="0.2">
      <c r="A7" s="8">
        <v>2.5</v>
      </c>
      <c r="B7" s="8">
        <v>5</v>
      </c>
      <c r="D7">
        <v>899.18619869125996</v>
      </c>
      <c r="E7">
        <v>337.7751338489</v>
      </c>
      <c r="F7">
        <v>119.57649143531999</v>
      </c>
      <c r="G7">
        <v>108.51919669226</v>
      </c>
      <c r="I7" s="9">
        <f t="shared" si="1"/>
        <v>229.25593715664002</v>
      </c>
      <c r="J7" s="9">
        <f t="shared" si="2"/>
        <v>779.60970725593995</v>
      </c>
      <c r="K7" s="9">
        <f t="shared" si="3"/>
        <v>229.25593715664002</v>
      </c>
      <c r="L7" s="10">
        <f t="shared" si="0"/>
        <v>0.29406501102144056</v>
      </c>
      <c r="M7" s="10">
        <f t="shared" si="4"/>
        <v>0.29535629736338675</v>
      </c>
      <c r="P7" s="8">
        <f t="shared" si="5"/>
        <v>0.47426212228389653</v>
      </c>
    </row>
    <row r="8" spans="1:16" x14ac:dyDescent="0.2">
      <c r="A8" s="8">
        <v>3</v>
      </c>
      <c r="B8" s="8">
        <v>6</v>
      </c>
      <c r="D8">
        <v>920.54312908983002</v>
      </c>
      <c r="E8">
        <v>338.35276621059</v>
      </c>
      <c r="F8">
        <v>119.49616066154999</v>
      </c>
      <c r="G8">
        <v>108.54932073243</v>
      </c>
      <c r="I8" s="9">
        <f t="shared" si="1"/>
        <v>229.80344547816</v>
      </c>
      <c r="J8" s="9">
        <f t="shared" si="2"/>
        <v>801.04696842828002</v>
      </c>
      <c r="K8" s="9">
        <f t="shared" si="3"/>
        <v>229.80344547816</v>
      </c>
      <c r="L8" s="10">
        <f t="shared" si="0"/>
        <v>0.28687886545411095</v>
      </c>
      <c r="M8" s="10">
        <f t="shared" si="4"/>
        <v>0.28842840906444633</v>
      </c>
      <c r="P8" s="8">
        <f t="shared" si="5"/>
        <v>-1.882465907947467</v>
      </c>
    </row>
    <row r="9" spans="1:16" x14ac:dyDescent="0.2">
      <c r="A9" s="8">
        <v>3.5</v>
      </c>
      <c r="B9" s="8">
        <v>7</v>
      </c>
      <c r="D9">
        <v>956.74273858921003</v>
      </c>
      <c r="E9">
        <v>346.89745109661999</v>
      </c>
      <c r="F9">
        <v>119.89781453042001</v>
      </c>
      <c r="G9">
        <v>108.40992321323</v>
      </c>
      <c r="I9" s="9">
        <f t="shared" si="1"/>
        <v>238.48752788338999</v>
      </c>
      <c r="J9" s="9">
        <f t="shared" si="2"/>
        <v>836.84492405879007</v>
      </c>
      <c r="K9" s="9">
        <f t="shared" si="3"/>
        <v>238.48752788338999</v>
      </c>
      <c r="L9" s="10">
        <f t="shared" si="0"/>
        <v>0.28498413628023123</v>
      </c>
      <c r="M9" s="10">
        <f t="shared" si="4"/>
        <v>0.28679193715895585</v>
      </c>
      <c r="P9" s="8">
        <f t="shared" si="5"/>
        <v>-2.4391606818723623</v>
      </c>
    </row>
    <row r="10" spans="1:16" x14ac:dyDescent="0.2">
      <c r="A10" s="8">
        <v>4</v>
      </c>
      <c r="B10" s="8">
        <v>8</v>
      </c>
      <c r="D10">
        <v>974.53408417309004</v>
      </c>
      <c r="E10">
        <v>349.74866627148998</v>
      </c>
      <c r="F10">
        <v>119.76373301831001</v>
      </c>
      <c r="G10">
        <v>108.87832250443</v>
      </c>
      <c r="I10" s="9">
        <f t="shared" si="1"/>
        <v>240.87034376705998</v>
      </c>
      <c r="J10" s="9">
        <f t="shared" si="2"/>
        <v>854.77035115477997</v>
      </c>
      <c r="K10" s="9">
        <f t="shared" si="3"/>
        <v>240.87034376705998</v>
      </c>
      <c r="L10" s="10">
        <f t="shared" si="0"/>
        <v>0.28179538918453162</v>
      </c>
      <c r="M10" s="10">
        <f t="shared" si="4"/>
        <v>0.28386144733164548</v>
      </c>
      <c r="P10" s="8">
        <f t="shared" si="5"/>
        <v>-3.4360542835469881</v>
      </c>
    </row>
    <row r="11" spans="1:16" x14ac:dyDescent="0.2">
      <c r="A11" s="8">
        <v>4.5</v>
      </c>
      <c r="B11" s="8">
        <v>9</v>
      </c>
      <c r="D11">
        <v>949.08501783590998</v>
      </c>
      <c r="E11">
        <v>339.95184304399999</v>
      </c>
      <c r="F11">
        <v>119.82220909628001</v>
      </c>
      <c r="G11">
        <v>108.83284111046</v>
      </c>
      <c r="I11" s="9">
        <f t="shared" si="1"/>
        <v>231.11900193354001</v>
      </c>
      <c r="J11" s="9">
        <f t="shared" si="2"/>
        <v>829.26280873962992</v>
      </c>
      <c r="K11" s="9">
        <f t="shared" si="3"/>
        <v>231.11900193354001</v>
      </c>
      <c r="L11" s="10">
        <f t="shared" si="0"/>
        <v>0.27870416892903999</v>
      </c>
      <c r="M11" s="10">
        <f t="shared" si="4"/>
        <v>0.28102848434454308</v>
      </c>
      <c r="P11" s="8">
        <f t="shared" si="5"/>
        <v>-4.3997712189561975</v>
      </c>
    </row>
    <row r="12" spans="1:16" x14ac:dyDescent="0.2">
      <c r="A12" s="8">
        <v>5</v>
      </c>
      <c r="B12" s="8">
        <v>10</v>
      </c>
      <c r="D12">
        <v>921.18787158145005</v>
      </c>
      <c r="E12">
        <v>331.88763376932002</v>
      </c>
      <c r="F12">
        <v>119.52805670408</v>
      </c>
      <c r="G12">
        <v>108.46367395157</v>
      </c>
      <c r="I12" s="9">
        <f t="shared" si="1"/>
        <v>223.42395981775002</v>
      </c>
      <c r="J12" s="9">
        <f t="shared" si="2"/>
        <v>801.65981487737008</v>
      </c>
      <c r="K12" s="9">
        <f t="shared" si="3"/>
        <v>223.42395981775002</v>
      </c>
      <c r="L12" s="10">
        <f t="shared" si="0"/>
        <v>0.27870170822012225</v>
      </c>
      <c r="M12" s="10">
        <f t="shared" si="4"/>
        <v>0.28128428090401458</v>
      </c>
      <c r="P12" s="8">
        <f t="shared" si="5"/>
        <v>-4.3127543826952222</v>
      </c>
    </row>
    <row r="13" spans="1:16" x14ac:dyDescent="0.2">
      <c r="A13" s="8">
        <v>5.5</v>
      </c>
      <c r="B13" s="8">
        <v>11</v>
      </c>
      <c r="D13">
        <v>937.79904875148998</v>
      </c>
      <c r="E13">
        <v>330.88822829963999</v>
      </c>
      <c r="F13">
        <v>119.7277023036</v>
      </c>
      <c r="G13">
        <v>108.50502067335999</v>
      </c>
      <c r="I13" s="9">
        <f t="shared" si="1"/>
        <v>222.38320762628001</v>
      </c>
      <c r="J13" s="9">
        <f t="shared" si="2"/>
        <v>818.07134644788994</v>
      </c>
      <c r="K13" s="9">
        <f t="shared" si="3"/>
        <v>222.38320762628001</v>
      </c>
      <c r="L13" s="10">
        <f t="shared" si="0"/>
        <v>0.27183840210499971</v>
      </c>
      <c r="M13" s="10">
        <f t="shared" si="4"/>
        <v>0.27467923205728129</v>
      </c>
      <c r="P13" s="8">
        <f t="shared" si="5"/>
        <v>-6.5596589352014272</v>
      </c>
    </row>
    <row r="14" spans="1:16" x14ac:dyDescent="0.2">
      <c r="A14" s="8">
        <v>6</v>
      </c>
      <c r="B14" s="8">
        <v>12</v>
      </c>
      <c r="D14">
        <v>943.16171224733</v>
      </c>
      <c r="E14">
        <v>328.50475624257001</v>
      </c>
      <c r="F14">
        <v>119.80507974011</v>
      </c>
      <c r="G14">
        <v>108.50738334318</v>
      </c>
      <c r="I14" s="9">
        <f t="shared" si="1"/>
        <v>219.99737289939003</v>
      </c>
      <c r="J14" s="9">
        <f t="shared" si="2"/>
        <v>823.35663250721996</v>
      </c>
      <c r="K14" s="9">
        <f t="shared" si="3"/>
        <v>219.99737289939003</v>
      </c>
      <c r="L14" s="10">
        <f t="shared" si="0"/>
        <v>0.26719572565957422</v>
      </c>
      <c r="M14" s="10">
        <f t="shared" si="4"/>
        <v>0.27029481288024504</v>
      </c>
      <c r="P14" s="8">
        <f t="shared" si="5"/>
        <v>-8.0511500108276906</v>
      </c>
    </row>
    <row r="15" spans="1:16" x14ac:dyDescent="0.2">
      <c r="A15" s="8">
        <v>6.5</v>
      </c>
      <c r="B15" s="8">
        <v>13</v>
      </c>
      <c r="D15">
        <v>948.54875148633005</v>
      </c>
      <c r="E15">
        <v>330.96313912009998</v>
      </c>
      <c r="F15">
        <v>120.2516243355</v>
      </c>
      <c r="G15">
        <v>108.69167158889999</v>
      </c>
      <c r="I15" s="9">
        <f t="shared" si="1"/>
        <v>222.27146753119999</v>
      </c>
      <c r="J15" s="9">
        <f t="shared" si="2"/>
        <v>828.29712715083008</v>
      </c>
      <c r="K15" s="9">
        <f t="shared" si="3"/>
        <v>222.27146753119999</v>
      </c>
      <c r="L15" s="10">
        <f t="shared" si="0"/>
        <v>0.26834750507437788</v>
      </c>
      <c r="M15" s="10">
        <f t="shared" si="4"/>
        <v>0.27170484956343793</v>
      </c>
      <c r="P15" s="8">
        <f t="shared" si="5"/>
        <v>-7.5714839377699894</v>
      </c>
    </row>
    <row r="16" spans="1:16" x14ac:dyDescent="0.2">
      <c r="A16" s="8">
        <v>7</v>
      </c>
      <c r="B16" s="8">
        <v>14</v>
      </c>
      <c r="D16">
        <v>961.40130796670996</v>
      </c>
      <c r="E16">
        <v>332.86087990487999</v>
      </c>
      <c r="F16">
        <v>120.83225044300001</v>
      </c>
      <c r="G16">
        <v>108.75841701122</v>
      </c>
      <c r="I16" s="9">
        <f t="shared" si="1"/>
        <v>224.10246289366</v>
      </c>
      <c r="J16" s="9">
        <f t="shared" si="2"/>
        <v>840.56905752370994</v>
      </c>
      <c r="K16" s="9">
        <f t="shared" si="3"/>
        <v>224.10246289366</v>
      </c>
      <c r="L16" s="10">
        <f t="shared" si="0"/>
        <v>0.2666080328412978</v>
      </c>
      <c r="M16" s="10">
        <f t="shared" si="4"/>
        <v>0.2702236345987471</v>
      </c>
      <c r="P16" s="8">
        <f t="shared" si="5"/>
        <v>-8.0753634282373721</v>
      </c>
    </row>
    <row r="17" spans="1:16" x14ac:dyDescent="0.2">
      <c r="A17" s="8">
        <v>7.5</v>
      </c>
      <c r="B17" s="8">
        <v>15</v>
      </c>
      <c r="D17">
        <v>942.23902728351004</v>
      </c>
      <c r="E17">
        <v>324.82206405694001</v>
      </c>
      <c r="F17">
        <v>120.43354991139999</v>
      </c>
      <c r="G17">
        <v>108.94565859421</v>
      </c>
      <c r="I17" s="9">
        <f t="shared" si="1"/>
        <v>215.87640546273002</v>
      </c>
      <c r="J17" s="9">
        <f t="shared" si="2"/>
        <v>821.80547737211009</v>
      </c>
      <c r="K17" s="9">
        <f t="shared" si="3"/>
        <v>215.87640546273002</v>
      </c>
      <c r="L17" s="10">
        <f t="shared" si="0"/>
        <v>0.26268552766652115</v>
      </c>
      <c r="M17" s="10">
        <f t="shared" si="4"/>
        <v>0.26655938669235968</v>
      </c>
      <c r="P17" s="8">
        <f t="shared" si="5"/>
        <v>-9.3218667461417031</v>
      </c>
    </row>
    <row r="18" spans="1:16" x14ac:dyDescent="0.2">
      <c r="A18" s="8">
        <v>8</v>
      </c>
      <c r="B18" s="8">
        <v>16</v>
      </c>
      <c r="D18">
        <v>930.57295373666</v>
      </c>
      <c r="E18">
        <v>320.58185053380998</v>
      </c>
      <c r="F18">
        <v>120.64973419965</v>
      </c>
      <c r="G18">
        <v>108.85705847608</v>
      </c>
      <c r="I18" s="9">
        <f t="shared" si="1"/>
        <v>211.72479205772999</v>
      </c>
      <c r="J18" s="9">
        <f t="shared" si="2"/>
        <v>809.92321953701003</v>
      </c>
      <c r="K18" s="9">
        <f t="shared" si="3"/>
        <v>211.72479205772999</v>
      </c>
      <c r="L18" s="10">
        <f t="shared" si="0"/>
        <v>0.26141341172903004</v>
      </c>
      <c r="M18" s="10">
        <f t="shared" si="4"/>
        <v>0.26554552802325776</v>
      </c>
      <c r="P18" s="8">
        <f t="shared" si="5"/>
        <v>-9.6667610401982333</v>
      </c>
    </row>
    <row r="19" spans="1:16" x14ac:dyDescent="0.2">
      <c r="A19" s="8">
        <v>8.5</v>
      </c>
      <c r="B19" s="8">
        <v>17</v>
      </c>
      <c r="D19">
        <v>891.90747330961005</v>
      </c>
      <c r="E19">
        <v>316.04270462634003</v>
      </c>
      <c r="F19">
        <v>120.41169521559</v>
      </c>
      <c r="G19">
        <v>108.96455995274999</v>
      </c>
      <c r="I19" s="9">
        <f t="shared" si="1"/>
        <v>207.07814467359003</v>
      </c>
      <c r="J19" s="9">
        <f t="shared" si="2"/>
        <v>771.49577809402001</v>
      </c>
      <c r="K19" s="9">
        <f t="shared" si="3"/>
        <v>207.07814467359003</v>
      </c>
      <c r="L19" s="10">
        <f t="shared" si="0"/>
        <v>0.26841124806305033</v>
      </c>
      <c r="M19" s="10">
        <f t="shared" si="4"/>
        <v>0.27280162162566729</v>
      </c>
      <c r="P19" s="8">
        <f t="shared" si="5"/>
        <v>-7.1983841777426925</v>
      </c>
    </row>
    <row r="20" spans="1:16" x14ac:dyDescent="0.2">
      <c r="A20" s="8">
        <v>9</v>
      </c>
      <c r="B20" s="8">
        <v>18</v>
      </c>
      <c r="D20">
        <v>959.03380782917998</v>
      </c>
      <c r="E20">
        <v>327.44128113878998</v>
      </c>
      <c r="F20">
        <v>120.95569994093</v>
      </c>
      <c r="G20">
        <v>108.95510927348001</v>
      </c>
      <c r="I20" s="9">
        <f t="shared" si="1"/>
        <v>218.48617186530998</v>
      </c>
      <c r="J20" s="9">
        <f t="shared" si="2"/>
        <v>838.07810788824997</v>
      </c>
      <c r="K20" s="9">
        <f t="shared" si="3"/>
        <v>218.48617186530998</v>
      </c>
      <c r="L20" s="10">
        <f t="shared" si="0"/>
        <v>0.26069905633955914</v>
      </c>
      <c r="M20" s="10">
        <f t="shared" si="4"/>
        <v>0.26534768717056534</v>
      </c>
      <c r="P20" s="8">
        <f t="shared" si="5"/>
        <v>-9.7340625125872169</v>
      </c>
    </row>
    <row r="21" spans="1:16" x14ac:dyDescent="0.2">
      <c r="A21" s="8">
        <v>9.5</v>
      </c>
      <c r="B21" s="8">
        <v>19</v>
      </c>
      <c r="D21">
        <v>959.45966785291</v>
      </c>
      <c r="E21">
        <v>320.24377224198997</v>
      </c>
      <c r="F21">
        <v>120.63614884819999</v>
      </c>
      <c r="G21">
        <v>109.23981098642</v>
      </c>
      <c r="I21" s="9">
        <f t="shared" si="1"/>
        <v>211.00396125556998</v>
      </c>
      <c r="J21" s="9">
        <f t="shared" si="2"/>
        <v>838.82351900470996</v>
      </c>
      <c r="K21" s="9">
        <f t="shared" si="3"/>
        <v>211.00396125556998</v>
      </c>
      <c r="L21" s="10">
        <f t="shared" si="0"/>
        <v>0.251547502513917</v>
      </c>
      <c r="M21" s="10">
        <f t="shared" si="4"/>
        <v>0.25645439061331243</v>
      </c>
      <c r="P21" s="8">
        <f t="shared" si="5"/>
        <v>-12.759382837229804</v>
      </c>
    </row>
    <row r="22" spans="1:16" x14ac:dyDescent="0.2">
      <c r="A22" s="8">
        <v>10</v>
      </c>
      <c r="B22" s="8">
        <v>20</v>
      </c>
      <c r="D22">
        <v>929.68979833926005</v>
      </c>
      <c r="E22">
        <v>313.47686832739998</v>
      </c>
      <c r="F22">
        <v>120.3845245127</v>
      </c>
      <c r="G22">
        <v>108.84583579445</v>
      </c>
      <c r="I22" s="9">
        <f t="shared" si="1"/>
        <v>204.63103253294997</v>
      </c>
      <c r="J22" s="9">
        <f t="shared" si="2"/>
        <v>809.3052738265601</v>
      </c>
      <c r="K22" s="9">
        <f t="shared" si="3"/>
        <v>204.63103253294997</v>
      </c>
      <c r="L22" s="10">
        <f t="shared" si="0"/>
        <v>0.25284776851312585</v>
      </c>
      <c r="M22" s="10">
        <f t="shared" si="4"/>
        <v>0.25801291388091052</v>
      </c>
      <c r="P22" s="8">
        <f t="shared" si="5"/>
        <v>-12.229204619564552</v>
      </c>
    </row>
    <row r="23" spans="1:16" x14ac:dyDescent="0.2">
      <c r="A23" s="8">
        <v>10.5</v>
      </c>
      <c r="B23" s="8">
        <v>21</v>
      </c>
      <c r="D23">
        <v>918.62847017129002</v>
      </c>
      <c r="E23">
        <v>309.59539279386001</v>
      </c>
      <c r="F23">
        <v>120.76609568812999</v>
      </c>
      <c r="G23">
        <v>108.96574128765999</v>
      </c>
      <c r="I23" s="9">
        <f t="shared" si="1"/>
        <v>200.62965150620002</v>
      </c>
      <c r="J23" s="9">
        <f t="shared" si="2"/>
        <v>797.86237448316001</v>
      </c>
      <c r="K23" s="9">
        <f t="shared" si="3"/>
        <v>200.62965150620002</v>
      </c>
      <c r="L23" s="10">
        <f t="shared" si="0"/>
        <v>0.25145897077320395</v>
      </c>
      <c r="M23" s="10">
        <f t="shared" si="4"/>
        <v>0.25688237340937786</v>
      </c>
      <c r="P23" s="8">
        <f t="shared" si="5"/>
        <v>-12.613791712139284</v>
      </c>
    </row>
    <row r="24" spans="1:16" x14ac:dyDescent="0.2">
      <c r="A24" s="8">
        <v>11</v>
      </c>
      <c r="B24" s="8">
        <v>22</v>
      </c>
      <c r="D24">
        <v>908.38157117543005</v>
      </c>
      <c r="E24">
        <v>304.33608978145003</v>
      </c>
      <c r="F24">
        <v>120.37212049615999</v>
      </c>
      <c r="G24">
        <v>108.87418783225</v>
      </c>
      <c r="I24" s="9">
        <f t="shared" si="1"/>
        <v>195.46190194920001</v>
      </c>
      <c r="J24" s="9">
        <f t="shared" si="2"/>
        <v>788.00945067927</v>
      </c>
      <c r="K24" s="9">
        <f t="shared" si="3"/>
        <v>195.46190194920001</v>
      </c>
      <c r="L24" s="10">
        <f t="shared" si="0"/>
        <v>0.24804512405366511</v>
      </c>
      <c r="M24" s="10">
        <f t="shared" si="4"/>
        <v>0.25372678395822823</v>
      </c>
      <c r="P24" s="8">
        <f t="shared" si="5"/>
        <v>-13.687259670992511</v>
      </c>
    </row>
    <row r="25" spans="1:16" x14ac:dyDescent="0.2">
      <c r="A25" s="8">
        <v>11.5</v>
      </c>
      <c r="B25" s="8">
        <v>23</v>
      </c>
      <c r="D25">
        <v>908.84288245718005</v>
      </c>
      <c r="E25">
        <v>303.00295333727001</v>
      </c>
      <c r="F25">
        <v>120.1252215003</v>
      </c>
      <c r="G25">
        <v>108.86591848789</v>
      </c>
      <c r="I25" s="9">
        <f t="shared" si="1"/>
        <v>194.13703484938003</v>
      </c>
      <c r="J25" s="9">
        <f t="shared" si="2"/>
        <v>788.71766095688008</v>
      </c>
      <c r="K25" s="9">
        <f t="shared" si="3"/>
        <v>194.13703484938003</v>
      </c>
      <c r="L25" s="10">
        <f t="shared" si="0"/>
        <v>0.24614262423622041</v>
      </c>
      <c r="M25" s="10">
        <f t="shared" si="4"/>
        <v>0.2520825414091728</v>
      </c>
      <c r="P25" s="8">
        <f t="shared" si="5"/>
        <v>-14.246597861311006</v>
      </c>
    </row>
    <row r="26" spans="1:16" x14ac:dyDescent="0.2">
      <c r="A26" s="8">
        <v>12</v>
      </c>
      <c r="B26" s="8">
        <v>24</v>
      </c>
      <c r="D26">
        <v>902.43827525102995</v>
      </c>
      <c r="E26">
        <v>301.50797401062999</v>
      </c>
      <c r="F26">
        <v>120.30950974600999</v>
      </c>
      <c r="G26">
        <v>108.83697578263001</v>
      </c>
      <c r="I26" s="9">
        <f t="shared" si="1"/>
        <v>192.67099822799997</v>
      </c>
      <c r="J26" s="9">
        <f t="shared" si="2"/>
        <v>782.12876550501994</v>
      </c>
      <c r="K26" s="9">
        <f t="shared" si="3"/>
        <v>192.67099822799997</v>
      </c>
      <c r="L26" s="10">
        <f t="shared" si="0"/>
        <v>0.24634178760014339</v>
      </c>
      <c r="M26" s="10">
        <f t="shared" si="4"/>
        <v>0.25253996204148499</v>
      </c>
      <c r="P26" s="8">
        <f t="shared" si="5"/>
        <v>-14.090992577383265</v>
      </c>
    </row>
    <row r="27" spans="1:16" x14ac:dyDescent="0.2">
      <c r="A27" s="8">
        <v>12.5</v>
      </c>
      <c r="B27" s="8">
        <v>25</v>
      </c>
      <c r="D27">
        <v>921.51151801536002</v>
      </c>
      <c r="E27">
        <v>303.13408151211001</v>
      </c>
      <c r="F27">
        <v>120.46249261666</v>
      </c>
      <c r="G27">
        <v>108.90017720023999</v>
      </c>
      <c r="I27" s="9">
        <f t="shared" si="1"/>
        <v>194.23390431187002</v>
      </c>
      <c r="J27" s="9">
        <f t="shared" si="2"/>
        <v>801.0490253987</v>
      </c>
      <c r="K27" s="9">
        <f t="shared" si="3"/>
        <v>194.23390431187002</v>
      </c>
      <c r="L27" s="10">
        <f t="shared" si="0"/>
        <v>0.24247442809782518</v>
      </c>
      <c r="M27" s="10">
        <f t="shared" si="4"/>
        <v>0.24893085980755603</v>
      </c>
      <c r="P27" s="8">
        <f t="shared" si="5"/>
        <v>-15.318736448480596</v>
      </c>
    </row>
    <row r="28" spans="1:16" x14ac:dyDescent="0.2">
      <c r="A28" s="8">
        <v>13</v>
      </c>
      <c r="B28" s="8">
        <v>26</v>
      </c>
      <c r="D28">
        <v>931.56054341406002</v>
      </c>
      <c r="E28">
        <v>303.40637920850997</v>
      </c>
      <c r="F28">
        <v>120.54813939752</v>
      </c>
      <c r="G28">
        <v>109.04075605433999</v>
      </c>
      <c r="I28" s="9">
        <f t="shared" si="1"/>
        <v>194.36562315416998</v>
      </c>
      <c r="J28" s="9">
        <f t="shared" si="2"/>
        <v>811.01240401654002</v>
      </c>
      <c r="K28" s="9">
        <f t="shared" si="3"/>
        <v>194.36562315416998</v>
      </c>
      <c r="L28" s="10">
        <f t="shared" si="0"/>
        <v>0.23965801532944991</v>
      </c>
      <c r="M28" s="10">
        <f t="shared" si="4"/>
        <v>0.24637270430757</v>
      </c>
      <c r="P28" s="8">
        <f t="shared" si="5"/>
        <v>-16.188969413037732</v>
      </c>
    </row>
    <row r="29" spans="1:16" x14ac:dyDescent="0.2">
      <c r="A29" s="8">
        <v>13.5</v>
      </c>
      <c r="B29" s="8">
        <v>27</v>
      </c>
      <c r="D29">
        <v>923.02598936798995</v>
      </c>
      <c r="E29">
        <v>299.20082693443999</v>
      </c>
      <c r="F29">
        <v>120.75605434141001</v>
      </c>
      <c r="G29">
        <v>109.05611340815</v>
      </c>
      <c r="I29" s="9">
        <f t="shared" si="1"/>
        <v>190.14471352628999</v>
      </c>
      <c r="J29" s="9">
        <f t="shared" si="2"/>
        <v>802.2699350265799</v>
      </c>
      <c r="K29" s="9">
        <f t="shared" si="3"/>
        <v>190.14471352628999</v>
      </c>
      <c r="L29" s="10">
        <f t="shared" si="0"/>
        <v>0.23700839982242428</v>
      </c>
      <c r="M29" s="10">
        <f t="shared" si="4"/>
        <v>0.2439813460689336</v>
      </c>
      <c r="P29" s="8">
        <f t="shared" si="5"/>
        <v>-17.002461309577267</v>
      </c>
    </row>
    <row r="30" spans="1:16" x14ac:dyDescent="0.2">
      <c r="A30" s="8">
        <v>14</v>
      </c>
      <c r="B30" s="8">
        <v>28</v>
      </c>
      <c r="D30">
        <v>849.78499704666001</v>
      </c>
      <c r="E30">
        <v>286.60543414057997</v>
      </c>
      <c r="F30">
        <v>120.54223272298</v>
      </c>
      <c r="G30">
        <v>108.81512108683</v>
      </c>
      <c r="I30" s="9">
        <f t="shared" si="1"/>
        <v>177.79031305374997</v>
      </c>
      <c r="J30" s="9">
        <f t="shared" si="2"/>
        <v>729.24276432368003</v>
      </c>
      <c r="K30" s="9">
        <f t="shared" si="3"/>
        <v>177.79031305374997</v>
      </c>
      <c r="L30" s="10">
        <f t="shared" si="0"/>
        <v>0.24380127133470791</v>
      </c>
      <c r="M30" s="10">
        <f t="shared" si="4"/>
        <v>0.25103247484960645</v>
      </c>
      <c r="P30" s="8">
        <f t="shared" si="5"/>
        <v>-14.60380935026026</v>
      </c>
    </row>
    <row r="31" spans="1:16" x14ac:dyDescent="0.2">
      <c r="A31" s="8">
        <v>14.5</v>
      </c>
      <c r="B31" s="8">
        <v>29</v>
      </c>
      <c r="D31">
        <v>812.09037212049998</v>
      </c>
      <c r="E31">
        <v>281.40106320142002</v>
      </c>
      <c r="F31">
        <v>120.66509155346</v>
      </c>
      <c r="G31">
        <v>109.0555227407</v>
      </c>
      <c r="I31" s="9">
        <f t="shared" si="1"/>
        <v>172.34554046072003</v>
      </c>
      <c r="J31" s="9">
        <f t="shared" si="2"/>
        <v>691.42528056703998</v>
      </c>
      <c r="K31" s="9">
        <f t="shared" si="3"/>
        <v>172.34554046072003</v>
      </c>
      <c r="L31" s="10">
        <f t="shared" si="0"/>
        <v>0.24926126554033276</v>
      </c>
      <c r="M31" s="10">
        <f t="shared" si="4"/>
        <v>0.25675072632362056</v>
      </c>
      <c r="P31" s="8">
        <f t="shared" si="5"/>
        <v>-12.65857539855495</v>
      </c>
    </row>
    <row r="32" spans="1:16" x14ac:dyDescent="0.2">
      <c r="A32" s="8">
        <v>15</v>
      </c>
      <c r="B32" s="8">
        <v>30</v>
      </c>
      <c r="D32">
        <v>933.86709982280001</v>
      </c>
      <c r="E32">
        <v>306.23449497933001</v>
      </c>
      <c r="F32">
        <v>120.79681039575</v>
      </c>
      <c r="G32">
        <v>109.03662138216001</v>
      </c>
      <c r="I32" s="9">
        <f t="shared" si="1"/>
        <v>197.19787359717</v>
      </c>
      <c r="J32" s="9">
        <f t="shared" si="2"/>
        <v>813.07028942705006</v>
      </c>
      <c r="K32" s="9">
        <f t="shared" si="3"/>
        <v>197.19787359717</v>
      </c>
      <c r="L32" s="10">
        <f t="shared" si="0"/>
        <v>0.24253484128184086</v>
      </c>
      <c r="M32" s="10">
        <f t="shared" si="4"/>
        <v>0.2502825593335179</v>
      </c>
      <c r="P32" s="8">
        <f t="shared" si="5"/>
        <v>-14.858915501053946</v>
      </c>
    </row>
    <row r="33" spans="1:16" x14ac:dyDescent="0.2">
      <c r="A33" s="8">
        <v>15.5</v>
      </c>
      <c r="B33" s="8">
        <v>31</v>
      </c>
      <c r="D33">
        <v>921.12817483756999</v>
      </c>
      <c r="E33">
        <v>303.43177790904002</v>
      </c>
      <c r="F33">
        <v>121.08564678086</v>
      </c>
      <c r="G33">
        <v>109.06615475487</v>
      </c>
      <c r="I33" s="9">
        <f t="shared" si="1"/>
        <v>194.36562315417001</v>
      </c>
      <c r="J33" s="9">
        <f t="shared" si="2"/>
        <v>800.04252805671001</v>
      </c>
      <c r="K33" s="9">
        <f t="shared" si="3"/>
        <v>194.36562315417001</v>
      </c>
      <c r="L33" s="10">
        <f t="shared" si="0"/>
        <v>0.24294411401638968</v>
      </c>
      <c r="M33" s="10">
        <f t="shared" si="4"/>
        <v>0.25095008933645591</v>
      </c>
      <c r="P33" s="8">
        <f t="shared" si="5"/>
        <v>-14.631835242097543</v>
      </c>
    </row>
    <row r="34" spans="1:16" x14ac:dyDescent="0.2">
      <c r="A34" s="8">
        <v>16</v>
      </c>
      <c r="B34" s="8">
        <v>32</v>
      </c>
      <c r="D34">
        <v>886.60320284698003</v>
      </c>
      <c r="E34">
        <v>294.45551601424</v>
      </c>
      <c r="F34">
        <v>120.46131128175</v>
      </c>
      <c r="G34">
        <v>109.10691080921001</v>
      </c>
      <c r="I34" s="9">
        <f t="shared" si="1"/>
        <v>185.34860520503</v>
      </c>
      <c r="J34" s="9">
        <f t="shared" si="2"/>
        <v>766.14189156523003</v>
      </c>
      <c r="K34" s="9">
        <f t="shared" si="3"/>
        <v>185.34860520503</v>
      </c>
      <c r="L34" s="10">
        <f t="shared" si="0"/>
        <v>0.24192464508938713</v>
      </c>
      <c r="M34" s="10">
        <f t="shared" si="4"/>
        <v>0.25018887767784259</v>
      </c>
      <c r="P34" s="8">
        <f t="shared" si="5"/>
        <v>-14.890784113006342</v>
      </c>
    </row>
    <row r="35" spans="1:16" x14ac:dyDescent="0.2">
      <c r="A35" s="8">
        <v>16.5</v>
      </c>
      <c r="B35" s="8">
        <v>33</v>
      </c>
      <c r="D35">
        <v>887.28291814946999</v>
      </c>
      <c r="E35">
        <v>295.1334519573</v>
      </c>
      <c r="F35">
        <v>120.65800354401</v>
      </c>
      <c r="G35">
        <v>109.10750147667</v>
      </c>
      <c r="I35" s="9">
        <f t="shared" si="1"/>
        <v>186.02595048063</v>
      </c>
      <c r="J35" s="9">
        <f t="shared" si="2"/>
        <v>766.62491460545994</v>
      </c>
      <c r="K35" s="9">
        <f t="shared" si="3"/>
        <v>186.02595048063</v>
      </c>
      <c r="L35" s="10">
        <f t="shared" si="0"/>
        <v>0.24265575894616917</v>
      </c>
      <c r="M35" s="10">
        <f t="shared" si="4"/>
        <v>0.25117824880301387</v>
      </c>
      <c r="P35" s="8">
        <f t="shared" si="5"/>
        <v>-14.554219988069555</v>
      </c>
    </row>
    <row r="36" spans="1:16" x14ac:dyDescent="0.2">
      <c r="A36" s="8">
        <v>17</v>
      </c>
      <c r="B36" s="8">
        <v>34</v>
      </c>
      <c r="D36">
        <v>923.06346381969001</v>
      </c>
      <c r="E36">
        <v>305.59786476867998</v>
      </c>
      <c r="F36">
        <v>120.670998228</v>
      </c>
      <c r="G36">
        <v>108.93148257531</v>
      </c>
      <c r="I36" s="9">
        <f t="shared" si="1"/>
        <v>196.66638219337</v>
      </c>
      <c r="J36" s="9">
        <f t="shared" si="2"/>
        <v>802.39246559168998</v>
      </c>
      <c r="K36" s="9">
        <f t="shared" si="3"/>
        <v>196.66638219337</v>
      </c>
      <c r="L36" s="10">
        <f t="shared" si="0"/>
        <v>0.24509998613751538</v>
      </c>
      <c r="M36" s="10">
        <f t="shared" si="4"/>
        <v>0.25388073326274935</v>
      </c>
      <c r="P36" s="8">
        <f t="shared" si="5"/>
        <v>-13.634889219053351</v>
      </c>
    </row>
    <row r="37" spans="1:16" x14ac:dyDescent="0.2">
      <c r="A37" s="8">
        <v>17.5</v>
      </c>
      <c r="B37" s="8">
        <v>35</v>
      </c>
      <c r="D37">
        <v>918.48576512455998</v>
      </c>
      <c r="E37">
        <v>302.68386714116002</v>
      </c>
      <c r="F37">
        <v>120.509746013</v>
      </c>
      <c r="G37">
        <v>108.90785587713999</v>
      </c>
      <c r="I37" s="9">
        <f t="shared" si="1"/>
        <v>193.77601126402004</v>
      </c>
      <c r="J37" s="9">
        <f t="shared" si="2"/>
        <v>797.97601911155994</v>
      </c>
      <c r="K37" s="9">
        <f t="shared" si="3"/>
        <v>193.77601126402004</v>
      </c>
      <c r="L37" s="10">
        <f t="shared" si="0"/>
        <v>0.24283437925836898</v>
      </c>
      <c r="M37" s="10">
        <f t="shared" si="4"/>
        <v>0.25187338365199219</v>
      </c>
      <c r="P37" s="8">
        <f t="shared" si="5"/>
        <v>-14.31774911661679</v>
      </c>
    </row>
    <row r="38" spans="1:16" x14ac:dyDescent="0.2">
      <c r="A38" s="8">
        <v>18</v>
      </c>
      <c r="B38" s="8">
        <v>36</v>
      </c>
      <c r="D38">
        <v>909.49703440095004</v>
      </c>
      <c r="E38">
        <v>300.44424673783999</v>
      </c>
      <c r="F38">
        <v>120.99763733018</v>
      </c>
      <c r="G38">
        <v>109.24571766096</v>
      </c>
      <c r="I38" s="9">
        <f t="shared" si="1"/>
        <v>191.19852907687999</v>
      </c>
      <c r="J38" s="9">
        <f t="shared" si="2"/>
        <v>788.4993970707701</v>
      </c>
      <c r="K38" s="9">
        <f t="shared" si="3"/>
        <v>191.19852907687999</v>
      </c>
      <c r="L38" s="10">
        <f t="shared" si="0"/>
        <v>0.24248405234952813</v>
      </c>
      <c r="M38" s="10">
        <f t="shared" si="4"/>
        <v>0.25178131401154058</v>
      </c>
      <c r="P38" s="8">
        <f t="shared" si="5"/>
        <v>-14.349069353465705</v>
      </c>
    </row>
    <row r="39" spans="1:16" x14ac:dyDescent="0.2">
      <c r="A39" s="8">
        <v>18.5</v>
      </c>
      <c r="B39" s="8">
        <v>37</v>
      </c>
      <c r="D39">
        <v>920.71589561091002</v>
      </c>
      <c r="E39">
        <v>305.6975088968</v>
      </c>
      <c r="F39">
        <v>121.05020673361</v>
      </c>
      <c r="G39">
        <v>108.98877731837</v>
      </c>
      <c r="I39" s="9">
        <f t="shared" si="1"/>
        <v>196.70873157842999</v>
      </c>
      <c r="J39" s="9">
        <f t="shared" si="2"/>
        <v>799.6656888773</v>
      </c>
      <c r="K39" s="9">
        <f t="shared" si="3"/>
        <v>196.70873157842999</v>
      </c>
      <c r="L39" s="10">
        <f t="shared" si="0"/>
        <v>0.24598871042547982</v>
      </c>
      <c r="M39" s="10">
        <f t="shared" si="4"/>
        <v>0.25554422935588145</v>
      </c>
      <c r="P39" s="8">
        <f t="shared" si="5"/>
        <v>-13.069001360921401</v>
      </c>
    </row>
    <row r="40" spans="1:16" x14ac:dyDescent="0.2">
      <c r="A40" s="8">
        <v>19</v>
      </c>
      <c r="B40" s="8">
        <v>38</v>
      </c>
      <c r="D40">
        <v>933.19432959244</v>
      </c>
      <c r="E40">
        <v>309.05256940343003</v>
      </c>
      <c r="F40">
        <v>120.67040756054</v>
      </c>
      <c r="G40">
        <v>109.05965741288</v>
      </c>
      <c r="I40" s="9">
        <f t="shared" si="1"/>
        <v>199.99291199055003</v>
      </c>
      <c r="J40" s="9">
        <f t="shared" si="2"/>
        <v>812.52392203190004</v>
      </c>
      <c r="K40" s="9">
        <f t="shared" si="3"/>
        <v>199.99291199055003</v>
      </c>
      <c r="L40" s="10">
        <f t="shared" si="0"/>
        <v>0.24613787553531036</v>
      </c>
      <c r="M40" s="10">
        <f t="shared" si="4"/>
        <v>0.25595165173410123</v>
      </c>
      <c r="P40" s="8">
        <f t="shared" si="5"/>
        <v>-12.930404475772296</v>
      </c>
    </row>
    <row r="41" spans="1:16" x14ac:dyDescent="0.2">
      <c r="A41" s="8">
        <v>19.5</v>
      </c>
      <c r="B41" s="8">
        <v>39</v>
      </c>
      <c r="D41">
        <v>935.14530419374</v>
      </c>
      <c r="E41">
        <v>309.57767277022998</v>
      </c>
      <c r="F41">
        <v>120.78086237447999</v>
      </c>
      <c r="G41">
        <v>109.00236266982</v>
      </c>
      <c r="I41" s="9">
        <f t="shared" si="1"/>
        <v>200.57531010040998</v>
      </c>
      <c r="J41" s="9">
        <f t="shared" si="2"/>
        <v>814.36444181926004</v>
      </c>
      <c r="K41" s="9">
        <f t="shared" si="3"/>
        <v>200.57531010040998</v>
      </c>
      <c r="L41" s="10">
        <f t="shared" si="0"/>
        <v>0.24629674357138207</v>
      </c>
      <c r="M41" s="10">
        <f t="shared" si="4"/>
        <v>0.2563687770385622</v>
      </c>
      <c r="P41" s="8">
        <f t="shared" si="5"/>
        <v>-12.788506850590849</v>
      </c>
    </row>
    <row r="42" spans="1:16" x14ac:dyDescent="0.2">
      <c r="A42" s="8">
        <v>20</v>
      </c>
      <c r="B42" s="8">
        <v>40</v>
      </c>
      <c r="D42">
        <v>840.67513290017996</v>
      </c>
      <c r="E42">
        <v>290.76491435321998</v>
      </c>
      <c r="F42">
        <v>120.74010632014</v>
      </c>
      <c r="G42">
        <v>109.04016538689</v>
      </c>
      <c r="I42" s="9">
        <f t="shared" si="1"/>
        <v>181.72474896632997</v>
      </c>
      <c r="J42" s="9">
        <f t="shared" si="2"/>
        <v>719.9350265800399</v>
      </c>
      <c r="K42" s="9">
        <f t="shared" si="3"/>
        <v>181.72474896632997</v>
      </c>
      <c r="L42" s="10">
        <f t="shared" si="0"/>
        <v>0.25241826311686816</v>
      </c>
      <c r="M42" s="10">
        <f t="shared" si="4"/>
        <v>0.26274855385243751</v>
      </c>
      <c r="P42" s="8">
        <f t="shared" si="5"/>
        <v>-10.618235305338072</v>
      </c>
    </row>
    <row r="43" spans="1:16" x14ac:dyDescent="0.2">
      <c r="A43" s="8">
        <v>20.5</v>
      </c>
      <c r="B43" s="8">
        <v>41</v>
      </c>
      <c r="D43">
        <v>887.67985823980996</v>
      </c>
      <c r="E43">
        <v>297.97991730656003</v>
      </c>
      <c r="F43">
        <v>120.77200236266999</v>
      </c>
      <c r="G43">
        <v>109.0141760189</v>
      </c>
      <c r="I43" s="9">
        <f t="shared" si="1"/>
        <v>188.96574128766002</v>
      </c>
      <c r="J43" s="9">
        <f t="shared" si="2"/>
        <v>766.90785587713992</v>
      </c>
      <c r="K43" s="9">
        <f t="shared" si="3"/>
        <v>188.96574128766002</v>
      </c>
      <c r="L43" s="10">
        <f t="shared" si="0"/>
        <v>0.2463995378839002</v>
      </c>
      <c r="M43" s="10">
        <f t="shared" si="4"/>
        <v>0.25698808588785882</v>
      </c>
      <c r="P43" s="8">
        <f t="shared" si="5"/>
        <v>-12.577830456641067</v>
      </c>
    </row>
    <row r="44" spans="1:16" x14ac:dyDescent="0.2">
      <c r="A44" s="8">
        <v>21</v>
      </c>
      <c r="B44" s="8">
        <v>42</v>
      </c>
      <c r="D44">
        <v>875.33018310691</v>
      </c>
      <c r="E44">
        <v>294.38216184288001</v>
      </c>
      <c r="F44">
        <v>120.49793266391001</v>
      </c>
      <c r="G44">
        <v>108.98168930892</v>
      </c>
      <c r="I44" s="9">
        <f t="shared" si="1"/>
        <v>185.40047253396</v>
      </c>
      <c r="J44" s="9">
        <f t="shared" si="2"/>
        <v>754.83225044300002</v>
      </c>
      <c r="K44" s="9">
        <f t="shared" si="3"/>
        <v>185.40047253396</v>
      </c>
      <c r="L44" s="10">
        <f t="shared" si="0"/>
        <v>0.24561811240199549</v>
      </c>
      <c r="M44" s="10">
        <f t="shared" si="4"/>
        <v>0.25646491767434332</v>
      </c>
      <c r="P44" s="8">
        <f t="shared" si="5"/>
        <v>-12.755801743145009</v>
      </c>
    </row>
    <row r="45" spans="1:16" x14ac:dyDescent="0.2">
      <c r="A45" s="8">
        <v>21.5</v>
      </c>
      <c r="B45" s="8">
        <v>43</v>
      </c>
      <c r="D45">
        <v>883.33490844655</v>
      </c>
      <c r="E45">
        <v>300.21854695806002</v>
      </c>
      <c r="F45">
        <v>120.87477849971</v>
      </c>
      <c r="G45">
        <v>109.33904311872</v>
      </c>
      <c r="I45" s="9">
        <f t="shared" si="1"/>
        <v>190.87950383934003</v>
      </c>
      <c r="J45" s="9">
        <f t="shared" si="2"/>
        <v>762.46012994683997</v>
      </c>
      <c r="K45" s="9">
        <f t="shared" si="3"/>
        <v>190.87950383934003</v>
      </c>
      <c r="L45" s="10">
        <f t="shared" si="0"/>
        <v>0.25034686581270615</v>
      </c>
      <c r="M45" s="10">
        <f t="shared" si="4"/>
        <v>0.26145192835344322</v>
      </c>
      <c r="P45" s="8">
        <f t="shared" si="5"/>
        <v>-11.05932117831035</v>
      </c>
    </row>
    <row r="46" spans="1:16" x14ac:dyDescent="0.2">
      <c r="A46" s="8">
        <v>22</v>
      </c>
      <c r="B46" s="8">
        <v>44</v>
      </c>
      <c r="D46">
        <v>947.03307737744001</v>
      </c>
      <c r="E46">
        <v>316.70821027761002</v>
      </c>
      <c r="F46">
        <v>120.6568222091</v>
      </c>
      <c r="G46">
        <v>108.90962787949999</v>
      </c>
      <c r="I46" s="9">
        <f t="shared" si="1"/>
        <v>207.79858239811003</v>
      </c>
      <c r="J46" s="9">
        <f t="shared" si="2"/>
        <v>826.37625516833998</v>
      </c>
      <c r="K46" s="9">
        <f t="shared" si="3"/>
        <v>207.79858239811003</v>
      </c>
      <c r="L46" s="10">
        <f t="shared" si="0"/>
        <v>0.25145759101679377</v>
      </c>
      <c r="M46" s="10">
        <f t="shared" si="4"/>
        <v>0.26282091082592007</v>
      </c>
      <c r="P46" s="8">
        <f t="shared" si="5"/>
        <v>-10.593620920661118</v>
      </c>
    </row>
    <row r="47" spans="1:16" x14ac:dyDescent="0.2">
      <c r="A47" s="8">
        <v>22.5</v>
      </c>
      <c r="B47" s="8">
        <v>45</v>
      </c>
      <c r="D47">
        <v>974.11577082102997</v>
      </c>
      <c r="E47">
        <v>324.32841110455001</v>
      </c>
      <c r="F47">
        <v>120.93207324276</v>
      </c>
      <c r="G47">
        <v>109.01299468399</v>
      </c>
      <c r="I47" s="9">
        <f t="shared" si="1"/>
        <v>215.31541642056001</v>
      </c>
      <c r="J47" s="9">
        <f t="shared" si="2"/>
        <v>853.18369757826997</v>
      </c>
      <c r="K47" s="9">
        <f t="shared" si="3"/>
        <v>215.31541642056001</v>
      </c>
      <c r="L47" s="10">
        <f t="shared" si="0"/>
        <v>0.25236700728310302</v>
      </c>
      <c r="M47" s="10">
        <f t="shared" si="4"/>
        <v>0.26398858436061856</v>
      </c>
      <c r="P47" s="8">
        <f t="shared" si="5"/>
        <v>-10.196401908079155</v>
      </c>
    </row>
    <row r="48" spans="1:16" x14ac:dyDescent="0.2">
      <c r="A48" s="8">
        <v>23</v>
      </c>
      <c r="B48" s="8">
        <v>46</v>
      </c>
      <c r="D48">
        <v>975.00650118202998</v>
      </c>
      <c r="E48">
        <v>326.75295508274002</v>
      </c>
      <c r="F48">
        <v>120.82988777318</v>
      </c>
      <c r="G48">
        <v>109.26402835204</v>
      </c>
      <c r="I48" s="9">
        <f t="shared" si="1"/>
        <v>217.48892673070003</v>
      </c>
      <c r="J48" s="9">
        <f t="shared" si="2"/>
        <v>854.17661340885002</v>
      </c>
      <c r="K48" s="9">
        <f t="shared" si="3"/>
        <v>217.48892673070003</v>
      </c>
      <c r="L48" s="10">
        <f t="shared" si="0"/>
        <v>0.25461821749338781</v>
      </c>
      <c r="M48" s="10">
        <f t="shared" si="4"/>
        <v>0.26649805183929254</v>
      </c>
      <c r="P48" s="8">
        <f t="shared" si="5"/>
        <v>-9.3427316275046959</v>
      </c>
    </row>
    <row r="49" spans="1:25" x14ac:dyDescent="0.2">
      <c r="A49" s="8">
        <v>23.5</v>
      </c>
      <c r="B49" s="8">
        <v>47</v>
      </c>
      <c r="D49">
        <v>933.86820330968999</v>
      </c>
      <c r="E49">
        <v>318.44444444444002</v>
      </c>
      <c r="F49">
        <v>120.68340224454001</v>
      </c>
      <c r="G49">
        <v>109.26875369167</v>
      </c>
      <c r="I49" s="9">
        <f t="shared" si="1"/>
        <v>209.17569075277004</v>
      </c>
      <c r="J49" s="9">
        <f t="shared" si="2"/>
        <v>813.18480106514994</v>
      </c>
      <c r="K49" s="9">
        <f t="shared" si="3"/>
        <v>209.17569075277004</v>
      </c>
      <c r="L49" s="10">
        <f t="shared" si="0"/>
        <v>0.25723020213705583</v>
      </c>
      <c r="M49" s="10">
        <f t="shared" si="4"/>
        <v>0.2693682937513498</v>
      </c>
      <c r="P49" s="8">
        <f t="shared" si="5"/>
        <v>-8.3663331528461509</v>
      </c>
    </row>
    <row r="50" spans="1:25" x14ac:dyDescent="0.2">
      <c r="A50" s="8">
        <v>24</v>
      </c>
      <c r="B50" s="8">
        <v>48</v>
      </c>
      <c r="D50">
        <v>947.64730290455998</v>
      </c>
      <c r="E50">
        <v>321.16360403082001</v>
      </c>
      <c r="F50">
        <v>120.88777318370001</v>
      </c>
      <c r="G50">
        <v>109.29356172475001</v>
      </c>
      <c r="I50" s="9">
        <f t="shared" si="1"/>
        <v>211.87004230606999</v>
      </c>
      <c r="J50" s="9">
        <f t="shared" si="2"/>
        <v>826.75952972085997</v>
      </c>
      <c r="K50" s="9">
        <f t="shared" si="3"/>
        <v>211.87004230606999</v>
      </c>
      <c r="L50" s="10">
        <f t="shared" si="0"/>
        <v>0.25626561858634272</v>
      </c>
      <c r="M50" s="10">
        <f t="shared" si="4"/>
        <v>0.26866196746902593</v>
      </c>
      <c r="P50" s="8">
        <f t="shared" si="5"/>
        <v>-8.6066111244607271</v>
      </c>
    </row>
    <row r="51" spans="1:25" x14ac:dyDescent="0.2">
      <c r="A51" s="8">
        <v>24.5</v>
      </c>
      <c r="B51" s="8">
        <v>49</v>
      </c>
      <c r="D51">
        <v>947.19324244221002</v>
      </c>
      <c r="E51">
        <v>321.40486069947002</v>
      </c>
      <c r="F51">
        <v>120.86591848789</v>
      </c>
      <c r="G51">
        <v>109.15534554046</v>
      </c>
      <c r="I51" s="9">
        <f t="shared" si="1"/>
        <v>212.24951515901</v>
      </c>
      <c r="J51" s="9">
        <f t="shared" si="2"/>
        <v>826.32732395432004</v>
      </c>
      <c r="K51" s="9">
        <f t="shared" si="3"/>
        <v>212.24951515901</v>
      </c>
      <c r="L51" s="10">
        <f t="shared" si="0"/>
        <v>0.25685888510052862</v>
      </c>
      <c r="M51" s="10">
        <f t="shared" si="4"/>
        <v>0.26951349125160107</v>
      </c>
      <c r="P51" s="8">
        <f t="shared" si="5"/>
        <v>-8.3169398884059547</v>
      </c>
    </row>
    <row r="52" spans="1:25" x14ac:dyDescent="0.2">
      <c r="A52" s="8">
        <v>25</v>
      </c>
      <c r="B52" s="8">
        <v>50</v>
      </c>
      <c r="D52">
        <v>946.03438055720005</v>
      </c>
      <c r="E52">
        <v>324.61647895673002</v>
      </c>
      <c r="F52">
        <v>120.37330183106999</v>
      </c>
      <c r="G52">
        <v>108.79858239811</v>
      </c>
      <c r="I52" s="9">
        <f t="shared" si="1"/>
        <v>215.81789655862002</v>
      </c>
      <c r="J52" s="9">
        <f t="shared" si="2"/>
        <v>825.66107872613009</v>
      </c>
      <c r="K52" s="9">
        <f t="shared" si="3"/>
        <v>215.81789655862002</v>
      </c>
      <c r="L52" s="10">
        <f t="shared" si="0"/>
        <v>0.26138799819847913</v>
      </c>
      <c r="M52" s="10">
        <f t="shared" si="4"/>
        <v>0.27430086161794082</v>
      </c>
      <c r="P52" s="8">
        <f t="shared" si="5"/>
        <v>-6.6883729360234412</v>
      </c>
    </row>
    <row r="53" spans="1:25" x14ac:dyDescent="0.2">
      <c r="A53" s="8">
        <v>25.5</v>
      </c>
      <c r="B53" s="8">
        <v>51</v>
      </c>
      <c r="D53">
        <v>996.47184350918997</v>
      </c>
      <c r="E53">
        <v>333.17842323652002</v>
      </c>
      <c r="F53">
        <v>120.6426461902</v>
      </c>
      <c r="G53">
        <v>109.15948021264001</v>
      </c>
      <c r="I53" s="9">
        <f t="shared" si="1"/>
        <v>224.01894302388001</v>
      </c>
      <c r="J53" s="9">
        <f t="shared" si="2"/>
        <v>875.82919731898994</v>
      </c>
      <c r="K53" s="9">
        <f t="shared" si="3"/>
        <v>224.01894302388001</v>
      </c>
      <c r="L53" s="10">
        <f t="shared" si="0"/>
        <v>0.25577925891215636</v>
      </c>
      <c r="M53" s="10">
        <f t="shared" si="4"/>
        <v>0.26895037960000728</v>
      </c>
      <c r="P53" s="8">
        <f t="shared" si="5"/>
        <v>-8.5084991278446065</v>
      </c>
      <c r="S53" s="11"/>
      <c r="U53" s="12"/>
    </row>
    <row r="54" spans="1:25" x14ac:dyDescent="0.2">
      <c r="A54" s="8">
        <v>26</v>
      </c>
      <c r="B54" s="8">
        <v>52</v>
      </c>
      <c r="D54">
        <v>988.22703023118004</v>
      </c>
      <c r="E54">
        <v>332.82039122702997</v>
      </c>
      <c r="F54">
        <v>120.56172474896999</v>
      </c>
      <c r="G54">
        <v>109.18133490845</v>
      </c>
      <c r="I54" s="9">
        <f t="shared" si="1"/>
        <v>223.63905631857997</v>
      </c>
      <c r="J54" s="9">
        <f t="shared" si="2"/>
        <v>867.66530548220999</v>
      </c>
      <c r="K54" s="9">
        <f t="shared" si="3"/>
        <v>223.63905631857997</v>
      </c>
      <c r="L54" s="10">
        <f t="shared" si="0"/>
        <v>0.25774806818429979</v>
      </c>
      <c r="M54" s="10">
        <f t="shared" si="4"/>
        <v>0.27117744614053996</v>
      </c>
      <c r="P54" s="8">
        <f t="shared" si="5"/>
        <v>-7.7508959571834266</v>
      </c>
      <c r="S54" s="11"/>
    </row>
    <row r="55" spans="1:25" x14ac:dyDescent="0.2">
      <c r="A55" s="8">
        <v>26.5</v>
      </c>
      <c r="B55" s="8">
        <v>53</v>
      </c>
      <c r="D55">
        <v>992.90515708357998</v>
      </c>
      <c r="E55">
        <v>334.92708950799999</v>
      </c>
      <c r="F55">
        <v>120.8606024808</v>
      </c>
      <c r="G55">
        <v>108.90726520969</v>
      </c>
      <c r="I55" s="9">
        <f t="shared" si="1"/>
        <v>226.01982429831</v>
      </c>
      <c r="J55" s="9">
        <f t="shared" si="2"/>
        <v>872.04455460277995</v>
      </c>
      <c r="K55" s="9">
        <f t="shared" si="3"/>
        <v>226.01982429831</v>
      </c>
      <c r="L55" s="10">
        <f t="shared" si="0"/>
        <v>0.25918380328773799</v>
      </c>
      <c r="M55" s="10">
        <f t="shared" si="4"/>
        <v>0.27287143851236739</v>
      </c>
      <c r="P55" s="8">
        <f t="shared" si="5"/>
        <v>-7.1746338794166089</v>
      </c>
      <c r="S55" s="11"/>
    </row>
    <row r="56" spans="1:25" x14ac:dyDescent="0.2">
      <c r="A56" s="8">
        <v>27</v>
      </c>
      <c r="B56" s="8">
        <v>54</v>
      </c>
      <c r="D56">
        <v>1026.3716656787001</v>
      </c>
      <c r="E56">
        <v>341.20746887966999</v>
      </c>
      <c r="F56">
        <v>121.04961606616</v>
      </c>
      <c r="G56">
        <v>109.10750147667</v>
      </c>
      <c r="I56" s="9">
        <f t="shared" si="1"/>
        <v>232.09996740299999</v>
      </c>
      <c r="J56" s="9">
        <f t="shared" si="2"/>
        <v>905.32204961254013</v>
      </c>
      <c r="K56" s="9">
        <f t="shared" si="3"/>
        <v>232.09996740299999</v>
      </c>
      <c r="L56" s="10">
        <f t="shared" si="0"/>
        <v>0.25637282059167144</v>
      </c>
      <c r="M56" s="10">
        <f t="shared" si="4"/>
        <v>0.27031871308469008</v>
      </c>
      <c r="P56" s="8">
        <f t="shared" si="5"/>
        <v>-8.0430196427684226</v>
      </c>
      <c r="S56" s="11"/>
    </row>
    <row r="57" spans="1:25" x14ac:dyDescent="0.2">
      <c r="A57" s="8">
        <v>27.5</v>
      </c>
      <c r="B57" s="8">
        <v>55</v>
      </c>
      <c r="D57">
        <v>1051.5874333136001</v>
      </c>
      <c r="E57">
        <v>350.21280379372001</v>
      </c>
      <c r="F57">
        <v>120.36562315416001</v>
      </c>
      <c r="G57">
        <v>109.05729474306</v>
      </c>
      <c r="I57" s="9">
        <f t="shared" si="1"/>
        <v>241.15550905066002</v>
      </c>
      <c r="J57" s="9">
        <f t="shared" si="2"/>
        <v>931.22181015944011</v>
      </c>
      <c r="K57" s="9">
        <f t="shared" si="3"/>
        <v>241.15550905066002</v>
      </c>
      <c r="L57" s="10">
        <f t="shared" si="0"/>
        <v>0.25896677506873506</v>
      </c>
      <c r="M57" s="10">
        <f t="shared" si="4"/>
        <v>0.27317092483014294</v>
      </c>
      <c r="P57" s="8">
        <f t="shared" si="5"/>
        <v>-7.072754667553399</v>
      </c>
      <c r="S57" s="11"/>
    </row>
    <row r="58" spans="1:25" x14ac:dyDescent="0.2">
      <c r="A58" s="8">
        <v>28</v>
      </c>
      <c r="B58" s="8">
        <v>56</v>
      </c>
      <c r="D58">
        <v>1044.7901600473999</v>
      </c>
      <c r="E58">
        <v>346.63129816242002</v>
      </c>
      <c r="F58">
        <v>120.59243945659</v>
      </c>
      <c r="G58">
        <v>109.01240401654</v>
      </c>
      <c r="I58" s="9">
        <f t="shared" si="1"/>
        <v>237.61889414588001</v>
      </c>
      <c r="J58" s="9">
        <f t="shared" si="2"/>
        <v>924.19772059080992</v>
      </c>
      <c r="K58" s="9">
        <f t="shared" si="3"/>
        <v>237.61889414588001</v>
      </c>
      <c r="L58" s="10">
        <f t="shared" si="0"/>
        <v>0.25710828846664746</v>
      </c>
      <c r="M58" s="10">
        <f t="shared" si="4"/>
        <v>0.27157069549644458</v>
      </c>
      <c r="P58" s="8">
        <f t="shared" si="5"/>
        <v>-7.6171204486965767</v>
      </c>
      <c r="S58" s="11"/>
    </row>
    <row r="59" spans="1:25" x14ac:dyDescent="0.2">
      <c r="A59" s="8">
        <v>28.5</v>
      </c>
      <c r="B59" s="8">
        <v>57</v>
      </c>
      <c r="D59">
        <v>1053.8458802608</v>
      </c>
      <c r="E59">
        <v>349.54653230587002</v>
      </c>
      <c r="F59">
        <v>120.60956881276</v>
      </c>
      <c r="G59">
        <v>109.07678676905</v>
      </c>
      <c r="I59" s="9">
        <f t="shared" si="1"/>
        <v>240.46974553682003</v>
      </c>
      <c r="J59" s="9">
        <f t="shared" si="2"/>
        <v>933.23631144803994</v>
      </c>
      <c r="K59" s="9">
        <f t="shared" si="3"/>
        <v>240.46974553682003</v>
      </c>
      <c r="L59" s="10">
        <f t="shared" si="0"/>
        <v>0.25767294155507015</v>
      </c>
      <c r="M59" s="10">
        <f t="shared" si="4"/>
        <v>0.27239360585325645</v>
      </c>
      <c r="P59" s="8">
        <f t="shared" si="5"/>
        <v>-7.3371829236410928</v>
      </c>
      <c r="R59" s="1"/>
      <c r="S59" s="11"/>
    </row>
    <row r="60" spans="1:25" x14ac:dyDescent="0.2">
      <c r="A60" s="8">
        <v>29</v>
      </c>
      <c r="B60" s="8">
        <v>58</v>
      </c>
      <c r="D60">
        <v>1053.4558387669999</v>
      </c>
      <c r="E60">
        <v>349.71310017782997</v>
      </c>
      <c r="F60">
        <v>121.161252215</v>
      </c>
      <c r="G60">
        <v>108.97696396929</v>
      </c>
      <c r="I60" s="9">
        <f t="shared" si="1"/>
        <v>240.73613620853996</v>
      </c>
      <c r="J60" s="9">
        <f t="shared" si="2"/>
        <v>932.29458655199994</v>
      </c>
      <c r="K60" s="9">
        <f t="shared" si="3"/>
        <v>240.73613620853996</v>
      </c>
      <c r="L60" s="10">
        <f t="shared" si="0"/>
        <v>0.25821895748518603</v>
      </c>
      <c r="M60" s="10">
        <f t="shared" si="4"/>
        <v>0.27319787905176157</v>
      </c>
      <c r="P60" s="8">
        <f t="shared" si="5"/>
        <v>-7.0635853843778298</v>
      </c>
      <c r="S60" s="11"/>
    </row>
    <row r="61" spans="1:25" x14ac:dyDescent="0.2">
      <c r="A61" s="8">
        <v>29.5</v>
      </c>
      <c r="B61" s="8">
        <v>59</v>
      </c>
      <c r="C61" s="2"/>
      <c r="D61">
        <v>1051.7753408417</v>
      </c>
      <c r="E61">
        <v>351.18020154120001</v>
      </c>
      <c r="F61">
        <v>120.92734790313</v>
      </c>
      <c r="G61">
        <v>109.18310691081</v>
      </c>
      <c r="I61" s="9">
        <f t="shared" si="1"/>
        <v>241.99709463039</v>
      </c>
      <c r="J61" s="9">
        <f t="shared" si="2"/>
        <v>930.84799293856997</v>
      </c>
      <c r="K61" s="9">
        <f t="shared" si="3"/>
        <v>241.99709463039</v>
      </c>
      <c r="L61" s="10">
        <f t="shared" si="0"/>
        <v>0.2599748793209895</v>
      </c>
      <c r="M61" s="10">
        <f t="shared" si="4"/>
        <v>0.27521205815595429</v>
      </c>
      <c r="P61" s="8">
        <f t="shared" si="5"/>
        <v>-6.3784022307344204</v>
      </c>
      <c r="S61" s="11"/>
    </row>
    <row r="62" spans="1:25" x14ac:dyDescent="0.2">
      <c r="A62" s="8">
        <v>30</v>
      </c>
      <c r="B62" s="8">
        <v>60</v>
      </c>
      <c r="D62">
        <v>1049.0094842916001</v>
      </c>
      <c r="E62">
        <v>350.21576763486001</v>
      </c>
      <c r="F62">
        <v>121.14943886592</v>
      </c>
      <c r="G62">
        <v>109.22563496751</v>
      </c>
      <c r="I62" s="9">
        <f t="shared" si="1"/>
        <v>240.99013266735</v>
      </c>
      <c r="J62" s="9">
        <f t="shared" si="2"/>
        <v>927.86004542568003</v>
      </c>
      <c r="K62" s="9">
        <f t="shared" si="3"/>
        <v>240.99013266735</v>
      </c>
      <c r="L62" s="10">
        <f t="shared" si="0"/>
        <v>0.2597268131712574</v>
      </c>
      <c r="M62" s="10">
        <f t="shared" si="4"/>
        <v>0.27522224927461142</v>
      </c>
      <c r="P62" s="8">
        <f t="shared" si="5"/>
        <v>-6.3749354174772916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1047.153526971</v>
      </c>
      <c r="E63">
        <v>351.24422050978001</v>
      </c>
      <c r="F63">
        <v>120.91848789132</v>
      </c>
      <c r="G63">
        <v>109.27288836385</v>
      </c>
      <c r="I63" s="9">
        <f t="shared" si="1"/>
        <v>241.97133214593001</v>
      </c>
      <c r="J63" s="9">
        <f t="shared" si="2"/>
        <v>926.23503907968006</v>
      </c>
      <c r="K63" s="9">
        <f t="shared" si="3"/>
        <v>241.97133214593001</v>
      </c>
      <c r="L63" s="10">
        <f t="shared" si="0"/>
        <v>0.26124182517037581</v>
      </c>
      <c r="M63" s="10">
        <f t="shared" si="4"/>
        <v>0.27699551854211907</v>
      </c>
      <c r="P63" s="8">
        <f t="shared" si="5"/>
        <v>-5.7717049369104654</v>
      </c>
    </row>
    <row r="64" spans="1:25" x14ac:dyDescent="0.2">
      <c r="A64" s="8">
        <v>31</v>
      </c>
      <c r="B64" s="8">
        <v>62</v>
      </c>
      <c r="D64">
        <v>1048.2940130408999</v>
      </c>
      <c r="E64">
        <v>353.69472436276999</v>
      </c>
      <c r="F64">
        <v>120.51447135263</v>
      </c>
      <c r="G64">
        <v>109.27643236858</v>
      </c>
      <c r="I64" s="9">
        <f t="shared" si="1"/>
        <v>244.41829199418999</v>
      </c>
      <c r="J64" s="9">
        <f t="shared" si="2"/>
        <v>927.77954168826989</v>
      </c>
      <c r="K64" s="9">
        <f t="shared" si="3"/>
        <v>244.41829199418999</v>
      </c>
      <c r="L64" s="10">
        <f t="shared" si="0"/>
        <v>0.2634443647565507</v>
      </c>
      <c r="M64" s="10">
        <f t="shared" si="4"/>
        <v>0.2794563153966832</v>
      </c>
      <c r="P64" s="8">
        <f t="shared" si="5"/>
        <v>-4.9345914221409739</v>
      </c>
      <c r="U64" s="8">
        <v>30.5</v>
      </c>
      <c r="V64" s="10">
        <f>L62</f>
        <v>0.2597268131712574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1043.4641375222</v>
      </c>
      <c r="E65">
        <v>352.63544754000998</v>
      </c>
      <c r="F65">
        <v>120.95983461311</v>
      </c>
      <c r="G65">
        <v>108.95629060839001</v>
      </c>
      <c r="I65" s="9">
        <f t="shared" si="1"/>
        <v>243.67915693161996</v>
      </c>
      <c r="J65" s="9">
        <f t="shared" si="2"/>
        <v>922.50430290908992</v>
      </c>
      <c r="K65" s="9">
        <f t="shared" si="3"/>
        <v>243.67915693161996</v>
      </c>
      <c r="L65" s="10">
        <f t="shared" si="0"/>
        <v>0.26414961552285987</v>
      </c>
      <c r="M65" s="10">
        <f t="shared" si="4"/>
        <v>0.28041982343138161</v>
      </c>
      <c r="P65" s="8">
        <f t="shared" si="5"/>
        <v>-4.6068253995458663</v>
      </c>
      <c r="U65" s="8">
        <v>31</v>
      </c>
      <c r="V65" s="10">
        <f t="shared" ref="V65:V83" si="6">L63</f>
        <v>0.26124182517037581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1047.0082987552</v>
      </c>
      <c r="E66">
        <v>353.02015411974003</v>
      </c>
      <c r="F66">
        <v>120.93916125222</v>
      </c>
      <c r="G66">
        <v>109.22858830478</v>
      </c>
      <c r="I66" s="9">
        <f t="shared" si="1"/>
        <v>243.79156581496002</v>
      </c>
      <c r="J66" s="9">
        <f t="shared" si="2"/>
        <v>926.06913750298008</v>
      </c>
      <c r="K66" s="9">
        <f t="shared" si="3"/>
        <v>243.79156581496002</v>
      </c>
      <c r="L66" s="10">
        <f t="shared" ref="L66:L129" si="7">K66/J66</f>
        <v>0.26325417395110579</v>
      </c>
      <c r="M66" s="10">
        <f t="shared" si="4"/>
        <v>0.27978263912801676</v>
      </c>
      <c r="P66" s="8">
        <f t="shared" si="5"/>
        <v>-4.8235826628512015</v>
      </c>
      <c r="U66" s="8">
        <v>31.5</v>
      </c>
      <c r="V66" s="10">
        <f t="shared" si="6"/>
        <v>0.2634443647565507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1041.4599881445999</v>
      </c>
      <c r="E67">
        <v>352.51511558980002</v>
      </c>
      <c r="F67">
        <v>121.09686946249001</v>
      </c>
      <c r="G67">
        <v>108.9226225635</v>
      </c>
      <c r="I67" s="9">
        <f t="shared" ref="I67:I130" si="8">E67-G67</f>
        <v>243.59249302630002</v>
      </c>
      <c r="J67" s="9">
        <f t="shared" ref="J67:J130" si="9">D67-F67</f>
        <v>920.36311868210998</v>
      </c>
      <c r="K67" s="9">
        <f t="shared" ref="K67:K130" si="10">I67*1</f>
        <v>243.59249302630002</v>
      </c>
      <c r="L67" s="10">
        <f t="shared" si="7"/>
        <v>0.26466998522833679</v>
      </c>
      <c r="M67" s="10">
        <f t="shared" ref="M67:M130" si="11">L67+ABS($N$2)*A67</f>
        <v>0.28145670767363701</v>
      </c>
      <c r="P67" s="8">
        <f t="shared" ref="P67:P130" si="12">(M67-$O$2)/$O$2*100</f>
        <v>-4.254098269375155</v>
      </c>
      <c r="U67" s="8">
        <v>32</v>
      </c>
      <c r="V67" s="10">
        <f t="shared" si="6"/>
        <v>0.26414961552285987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1038.0693538825999</v>
      </c>
      <c r="E68">
        <v>351.86840545347002</v>
      </c>
      <c r="F68">
        <v>120.62020082693</v>
      </c>
      <c r="G68">
        <v>109.13703484938</v>
      </c>
      <c r="I68" s="9">
        <f t="shared" si="8"/>
        <v>242.73137060409002</v>
      </c>
      <c r="J68" s="9">
        <f t="shared" si="9"/>
        <v>917.44915305566985</v>
      </c>
      <c r="K68" s="9">
        <f t="shared" si="10"/>
        <v>242.73137060409002</v>
      </c>
      <c r="L68" s="10">
        <f t="shared" si="7"/>
        <v>0.26457201447692802</v>
      </c>
      <c r="M68" s="10">
        <f t="shared" si="11"/>
        <v>0.28161699419061748</v>
      </c>
      <c r="P68" s="8">
        <f t="shared" si="12"/>
        <v>-4.19957202542665</v>
      </c>
      <c r="U68" s="8">
        <v>32.5</v>
      </c>
      <c r="V68" s="10">
        <f t="shared" si="6"/>
        <v>0.26325417395110579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1041.6639004148999</v>
      </c>
      <c r="E69">
        <v>355.70954356847</v>
      </c>
      <c r="F69">
        <v>120.53691671589</v>
      </c>
      <c r="G69">
        <v>109.17660956880999</v>
      </c>
      <c r="I69" s="9">
        <f t="shared" si="8"/>
        <v>246.53293399966</v>
      </c>
      <c r="J69" s="9">
        <f t="shared" si="9"/>
        <v>921.12698369900988</v>
      </c>
      <c r="K69" s="9">
        <f t="shared" si="10"/>
        <v>246.53293399966</v>
      </c>
      <c r="L69" s="10">
        <f t="shared" si="7"/>
        <v>0.26764272284115154</v>
      </c>
      <c r="M69" s="10">
        <f t="shared" si="11"/>
        <v>0.28494595982323018</v>
      </c>
      <c r="P69" s="8">
        <f t="shared" si="12"/>
        <v>-3.0671249824719942</v>
      </c>
      <c r="U69" s="8">
        <v>33</v>
      </c>
      <c r="V69" s="10">
        <f t="shared" si="6"/>
        <v>0.26466998522833679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1049.6449318317</v>
      </c>
      <c r="E70">
        <v>358.77356253705</v>
      </c>
      <c r="F70">
        <v>120.83697578263001</v>
      </c>
      <c r="G70">
        <v>108.82870643827999</v>
      </c>
      <c r="I70" s="9">
        <f t="shared" si="8"/>
        <v>249.94485609877</v>
      </c>
      <c r="J70" s="9">
        <f t="shared" si="9"/>
        <v>928.80795604906996</v>
      </c>
      <c r="K70" s="9">
        <f t="shared" si="10"/>
        <v>249.94485609877</v>
      </c>
      <c r="L70" s="10">
        <f t="shared" si="7"/>
        <v>0.26910283710528976</v>
      </c>
      <c r="M70" s="10">
        <f t="shared" si="11"/>
        <v>0.28666433135575764</v>
      </c>
      <c r="P70" s="8">
        <f t="shared" si="12"/>
        <v>-2.482569605377003</v>
      </c>
      <c r="U70" s="8">
        <v>33.5</v>
      </c>
      <c r="V70" s="10">
        <f t="shared" si="6"/>
        <v>0.26457201447692802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1024.1357439241001</v>
      </c>
      <c r="E71">
        <v>362.80023710729</v>
      </c>
      <c r="F71">
        <v>120.64619019492</v>
      </c>
      <c r="G71">
        <v>108.91258121678</v>
      </c>
      <c r="I71" s="9">
        <f t="shared" si="8"/>
        <v>253.88765589051002</v>
      </c>
      <c r="J71" s="9">
        <f t="shared" si="9"/>
        <v>903.4895537291801</v>
      </c>
      <c r="K71" s="9">
        <f t="shared" si="10"/>
        <v>253.88765589051002</v>
      </c>
      <c r="L71" s="10">
        <f t="shared" si="7"/>
        <v>0.28100784878207075</v>
      </c>
      <c r="M71" s="10">
        <f t="shared" si="11"/>
        <v>0.29882760030092786</v>
      </c>
      <c r="P71" s="8">
        <f t="shared" si="12"/>
        <v>1.655129448851334</v>
      </c>
      <c r="U71" s="8">
        <v>34</v>
      </c>
      <c r="V71" s="10">
        <f t="shared" si="6"/>
        <v>0.26764272284115154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1020.7788974511</v>
      </c>
      <c r="E72">
        <v>365.32839359809998</v>
      </c>
      <c r="F72">
        <v>120.63201417601999</v>
      </c>
      <c r="G72">
        <v>109.09509746013001</v>
      </c>
      <c r="I72" s="9">
        <f t="shared" si="8"/>
        <v>256.23329613797</v>
      </c>
      <c r="J72" s="9">
        <f t="shared" si="9"/>
        <v>900.14688327507997</v>
      </c>
      <c r="K72" s="9">
        <f t="shared" si="10"/>
        <v>256.23329613797</v>
      </c>
      <c r="L72" s="10">
        <f t="shared" si="7"/>
        <v>0.28465720528375865</v>
      </c>
      <c r="M72" s="10">
        <f t="shared" si="11"/>
        <v>0.30273521407100501</v>
      </c>
      <c r="P72" s="8">
        <f t="shared" si="12"/>
        <v>2.9844209307401734</v>
      </c>
      <c r="U72" s="8">
        <v>34.5</v>
      </c>
      <c r="V72" s="10">
        <f t="shared" si="6"/>
        <v>0.26910283710528976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1056.7830468287</v>
      </c>
      <c r="E73">
        <v>374.85180794309002</v>
      </c>
      <c r="F73">
        <v>120.93443591258</v>
      </c>
      <c r="G73">
        <v>108.83343177790999</v>
      </c>
      <c r="I73" s="9">
        <f t="shared" si="8"/>
        <v>266.01837616518003</v>
      </c>
      <c r="J73" s="9">
        <f t="shared" si="9"/>
        <v>935.84861091611992</v>
      </c>
      <c r="K73" s="9">
        <f t="shared" si="10"/>
        <v>266.01837616518003</v>
      </c>
      <c r="L73" s="10">
        <f t="shared" si="7"/>
        <v>0.2842536421620262</v>
      </c>
      <c r="M73" s="10">
        <f t="shared" si="11"/>
        <v>0.3025899082176618</v>
      </c>
      <c r="P73" s="8">
        <f t="shared" si="12"/>
        <v>2.934990806760978</v>
      </c>
      <c r="U73" s="8">
        <v>35</v>
      </c>
      <c r="V73" s="10">
        <f t="shared" si="6"/>
        <v>0.28100784878207075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1071.7063351095001</v>
      </c>
      <c r="E74">
        <v>378.77797513322002</v>
      </c>
      <c r="F74">
        <v>120.89781453042001</v>
      </c>
      <c r="G74">
        <v>109.15416420555</v>
      </c>
      <c r="I74" s="9">
        <f t="shared" si="8"/>
        <v>269.62381092767004</v>
      </c>
      <c r="J74" s="9">
        <f t="shared" si="9"/>
        <v>950.8085205790801</v>
      </c>
      <c r="K74" s="9">
        <f t="shared" si="10"/>
        <v>269.62381092767004</v>
      </c>
      <c r="L74" s="10">
        <f t="shared" si="7"/>
        <v>0.28357319596111574</v>
      </c>
      <c r="M74" s="10">
        <f t="shared" si="11"/>
        <v>0.30216771928514058</v>
      </c>
      <c r="P74" s="8">
        <f t="shared" si="12"/>
        <v>2.7913706373251652</v>
      </c>
      <c r="U74" s="8">
        <v>35.5</v>
      </c>
      <c r="V74" s="10">
        <f t="shared" si="6"/>
        <v>0.28465720528375865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1047.6009473060999</v>
      </c>
      <c r="E75">
        <v>373.66607460035999</v>
      </c>
      <c r="F75">
        <v>120.36207914944001</v>
      </c>
      <c r="G75">
        <v>109.11104548138999</v>
      </c>
      <c r="I75" s="9">
        <f t="shared" si="8"/>
        <v>264.55502911896997</v>
      </c>
      <c r="J75" s="9">
        <f t="shared" si="9"/>
        <v>927.23886815665992</v>
      </c>
      <c r="K75" s="9">
        <f t="shared" si="10"/>
        <v>264.55502911896997</v>
      </c>
      <c r="L75" s="10">
        <f t="shared" si="7"/>
        <v>0.2853148613635042</v>
      </c>
      <c r="M75" s="10">
        <f t="shared" si="11"/>
        <v>0.30416764195591828</v>
      </c>
      <c r="P75" s="8">
        <f t="shared" si="12"/>
        <v>3.4717040395305441</v>
      </c>
      <c r="U75" s="8">
        <v>36</v>
      </c>
      <c r="V75" s="10">
        <f t="shared" si="6"/>
        <v>0.2842536421620262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982.80893592004998</v>
      </c>
      <c r="E76">
        <v>359.59024103469</v>
      </c>
      <c r="F76">
        <v>121.02421736562</v>
      </c>
      <c r="G76">
        <v>108.86237448317</v>
      </c>
      <c r="I76" s="9">
        <f t="shared" si="8"/>
        <v>250.72786655151998</v>
      </c>
      <c r="J76" s="9">
        <f t="shared" si="9"/>
        <v>861.78471855443001</v>
      </c>
      <c r="K76" s="9">
        <f t="shared" si="10"/>
        <v>250.72786655151998</v>
      </c>
      <c r="L76" s="10">
        <f t="shared" si="7"/>
        <v>0.29094025590531991</v>
      </c>
      <c r="M76" s="10">
        <f t="shared" si="11"/>
        <v>0.31005129376612323</v>
      </c>
      <c r="P76" s="8">
        <f t="shared" si="12"/>
        <v>5.4732038534568535</v>
      </c>
      <c r="U76" s="8">
        <v>36.5</v>
      </c>
      <c r="V76" s="10">
        <f t="shared" si="6"/>
        <v>0.28357319596111574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999.35617247489995</v>
      </c>
      <c r="E77">
        <v>363.12699350266001</v>
      </c>
      <c r="F77">
        <v>120.77259303012001</v>
      </c>
      <c r="G77">
        <v>109.20437093916</v>
      </c>
      <c r="I77" s="9">
        <f t="shared" si="8"/>
        <v>253.9226225635</v>
      </c>
      <c r="J77" s="9">
        <f t="shared" si="9"/>
        <v>878.58357944477996</v>
      </c>
      <c r="K77" s="9">
        <f t="shared" si="10"/>
        <v>253.9226225635</v>
      </c>
      <c r="L77" s="10">
        <f t="shared" si="7"/>
        <v>0.28901362204375153</v>
      </c>
      <c r="M77" s="10">
        <f t="shared" si="11"/>
        <v>0.30838291717294408</v>
      </c>
      <c r="P77" s="8">
        <f t="shared" si="12"/>
        <v>4.905655747531334</v>
      </c>
      <c r="U77" s="8">
        <v>37</v>
      </c>
      <c r="V77" s="10">
        <f t="shared" si="6"/>
        <v>0.2853148613635042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1018.9834613112999</v>
      </c>
      <c r="E78">
        <v>364.43532191375999</v>
      </c>
      <c r="F78">
        <v>120.54105138807</v>
      </c>
      <c r="G78">
        <v>109.03603071470999</v>
      </c>
      <c r="I78" s="9">
        <f t="shared" si="8"/>
        <v>255.39929119905</v>
      </c>
      <c r="J78" s="9">
        <f t="shared" si="9"/>
        <v>898.44240992322989</v>
      </c>
      <c r="K78" s="9">
        <f t="shared" si="10"/>
        <v>255.39929119905</v>
      </c>
      <c r="L78" s="10">
        <f t="shared" si="7"/>
        <v>0.28426896190360534</v>
      </c>
      <c r="M78" s="10">
        <f t="shared" si="11"/>
        <v>0.30389651430118714</v>
      </c>
      <c r="P78" s="8">
        <f t="shared" si="12"/>
        <v>3.3794718735221085</v>
      </c>
      <c r="U78" s="8">
        <v>37.5</v>
      </c>
      <c r="V78" s="10">
        <f t="shared" si="6"/>
        <v>0.29094025590531991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929.05667060213</v>
      </c>
      <c r="E79">
        <v>344.95041322314</v>
      </c>
      <c r="F79">
        <v>120.86178381571</v>
      </c>
      <c r="G79">
        <v>109.15770821028001</v>
      </c>
      <c r="I79" s="9">
        <f t="shared" si="8"/>
        <v>235.79270501285998</v>
      </c>
      <c r="J79" s="9">
        <f t="shared" si="9"/>
        <v>808.19488678642006</v>
      </c>
      <c r="K79" s="9">
        <f t="shared" si="10"/>
        <v>235.79270501285998</v>
      </c>
      <c r="L79" s="10">
        <f t="shared" si="7"/>
        <v>0.29175228508365014</v>
      </c>
      <c r="M79" s="10">
        <f t="shared" si="11"/>
        <v>0.31163809474962112</v>
      </c>
      <c r="P79" s="8">
        <f t="shared" si="12"/>
        <v>6.0130015803890471</v>
      </c>
      <c r="U79" s="8">
        <v>38</v>
      </c>
      <c r="V79" s="10">
        <f t="shared" si="6"/>
        <v>0.28901362204375153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924.97868561278995</v>
      </c>
      <c r="E80">
        <v>338.22972172882999</v>
      </c>
      <c r="F80">
        <v>120.62492616657001</v>
      </c>
      <c r="G80">
        <v>108.96337861783999</v>
      </c>
      <c r="I80" s="9">
        <f t="shared" si="8"/>
        <v>229.26634311098999</v>
      </c>
      <c r="J80" s="9">
        <f t="shared" si="9"/>
        <v>804.3537594462199</v>
      </c>
      <c r="K80" s="9">
        <f t="shared" si="10"/>
        <v>229.26634311098999</v>
      </c>
      <c r="L80" s="10">
        <f t="shared" si="7"/>
        <v>0.28503172940825799</v>
      </c>
      <c r="M80" s="10">
        <f t="shared" si="11"/>
        <v>0.30517579634261821</v>
      </c>
      <c r="P80" s="8">
        <f t="shared" si="12"/>
        <v>3.8146578516322536</v>
      </c>
      <c r="U80" s="8">
        <v>38.5</v>
      </c>
      <c r="V80" s="10">
        <f t="shared" si="6"/>
        <v>0.28426896190360534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951.76198934281001</v>
      </c>
      <c r="E81">
        <v>344.03315571344001</v>
      </c>
      <c r="F81">
        <v>121.04961606616</v>
      </c>
      <c r="G81">
        <v>109.23449497932999</v>
      </c>
      <c r="I81" s="9">
        <f t="shared" si="8"/>
        <v>234.79866073411</v>
      </c>
      <c r="J81" s="9">
        <f t="shared" si="9"/>
        <v>830.71237327665006</v>
      </c>
      <c r="K81" s="9">
        <f t="shared" si="10"/>
        <v>234.79866073411</v>
      </c>
      <c r="L81" s="10">
        <f t="shared" si="7"/>
        <v>0.28264736181546629</v>
      </c>
      <c r="M81" s="10">
        <f t="shared" si="11"/>
        <v>0.30304968601821575</v>
      </c>
      <c r="P81" s="8">
        <f t="shared" si="12"/>
        <v>3.0913979518371115</v>
      </c>
      <c r="U81" s="8">
        <v>39</v>
      </c>
      <c r="V81" s="10">
        <f t="shared" si="6"/>
        <v>0.29175228508365014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985.69686204854997</v>
      </c>
      <c r="E82">
        <v>350.93605683837001</v>
      </c>
      <c r="F82">
        <v>120.65150620201</v>
      </c>
      <c r="G82">
        <v>108.83106910809001</v>
      </c>
      <c r="H82" s="13"/>
      <c r="I82" s="14">
        <f t="shared" si="8"/>
        <v>242.10498773028002</v>
      </c>
      <c r="J82" s="14">
        <f t="shared" si="9"/>
        <v>865.04535584654002</v>
      </c>
      <c r="K82" s="9">
        <f t="shared" si="10"/>
        <v>242.10498773028002</v>
      </c>
      <c r="L82" s="15">
        <f t="shared" si="7"/>
        <v>0.27987548409337937</v>
      </c>
      <c r="M82" s="15">
        <f t="shared" si="11"/>
        <v>0.30053606556451806</v>
      </c>
      <c r="N82" s="13"/>
      <c r="O82" s="13"/>
      <c r="P82" s="13">
        <f t="shared" si="12"/>
        <v>2.236314912825319</v>
      </c>
      <c r="U82" s="8">
        <v>39.5</v>
      </c>
      <c r="V82" s="10">
        <f t="shared" si="6"/>
        <v>0.28503172940825799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971.18827708702997</v>
      </c>
      <c r="E83">
        <v>344.59265837774001</v>
      </c>
      <c r="F83">
        <v>120.64678086236999</v>
      </c>
      <c r="G83">
        <v>109.21618428825001</v>
      </c>
      <c r="I83" s="9">
        <f t="shared" si="8"/>
        <v>235.37647408948999</v>
      </c>
      <c r="J83" s="9">
        <f t="shared" si="9"/>
        <v>850.54149622466002</v>
      </c>
      <c r="K83" s="9">
        <f t="shared" si="10"/>
        <v>235.37647408948999</v>
      </c>
      <c r="L83" s="10">
        <f t="shared" si="7"/>
        <v>0.27673720228144894</v>
      </c>
      <c r="M83" s="10">
        <f t="shared" si="11"/>
        <v>0.29765604102097687</v>
      </c>
      <c r="P83" s="8">
        <f t="shared" si="12"/>
        <v>1.2565885840165947</v>
      </c>
      <c r="U83" s="8">
        <v>40</v>
      </c>
      <c r="V83" s="10">
        <f t="shared" si="6"/>
        <v>0.28264736181546629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966.74436536179996</v>
      </c>
      <c r="E84">
        <v>344.32028469750998</v>
      </c>
      <c r="F84">
        <v>120.81453041937</v>
      </c>
      <c r="G84">
        <v>109.12463083284</v>
      </c>
      <c r="I84" s="9">
        <f t="shared" si="8"/>
        <v>235.19565386466996</v>
      </c>
      <c r="J84" s="9">
        <f t="shared" si="9"/>
        <v>845.92983494242992</v>
      </c>
      <c r="K84" s="9">
        <f t="shared" si="10"/>
        <v>235.19565386466996</v>
      </c>
      <c r="L84" s="10">
        <f t="shared" si="7"/>
        <v>0.27803210638702242</v>
      </c>
      <c r="M84" s="10">
        <f t="shared" si="11"/>
        <v>0.29920920239493959</v>
      </c>
      <c r="P84" s="8">
        <f t="shared" si="12"/>
        <v>1.7849427934876729</v>
      </c>
      <c r="U84" s="8">
        <v>150.5</v>
      </c>
      <c r="V84" s="10">
        <f>L302</f>
        <v>0.21951261873855596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973.07769869514004</v>
      </c>
      <c r="E85">
        <v>344.28825622775997</v>
      </c>
      <c r="F85">
        <v>120.51565268754</v>
      </c>
      <c r="G85">
        <v>109.22386296515</v>
      </c>
      <c r="I85" s="9">
        <f t="shared" si="8"/>
        <v>235.06439326260997</v>
      </c>
      <c r="J85" s="9">
        <f t="shared" si="9"/>
        <v>852.56204600760009</v>
      </c>
      <c r="K85" s="9">
        <f t="shared" si="10"/>
        <v>235.06439326260997</v>
      </c>
      <c r="L85" s="10">
        <f t="shared" si="7"/>
        <v>0.27571529176483478</v>
      </c>
      <c r="M85" s="10">
        <f t="shared" si="11"/>
        <v>0.29715064504114119</v>
      </c>
      <c r="P85" s="8">
        <f t="shared" si="12"/>
        <v>1.084663053371542</v>
      </c>
      <c r="U85" s="8">
        <v>151</v>
      </c>
      <c r="V85" s="10">
        <f t="shared" ref="V85:V103" si="13">L303</f>
        <v>0.21754104986750392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958.34163701067996</v>
      </c>
      <c r="E86">
        <v>342.21648873072002</v>
      </c>
      <c r="F86">
        <v>120.97519196691999</v>
      </c>
      <c r="G86">
        <v>109.18960425281</v>
      </c>
      <c r="I86" s="9">
        <f t="shared" si="8"/>
        <v>233.02688447791002</v>
      </c>
      <c r="J86" s="9">
        <f t="shared" si="9"/>
        <v>837.36644504376</v>
      </c>
      <c r="K86" s="9">
        <f t="shared" si="10"/>
        <v>233.02688447791002</v>
      </c>
      <c r="L86" s="10">
        <f t="shared" si="7"/>
        <v>0.2782854338828113</v>
      </c>
      <c r="M86" s="10">
        <f t="shared" si="11"/>
        <v>0.29997904442750695</v>
      </c>
      <c r="P86" s="8">
        <f t="shared" si="12"/>
        <v>2.0468275437483356</v>
      </c>
      <c r="U86" s="8">
        <v>151.5</v>
      </c>
      <c r="V86" s="10">
        <f t="shared" si="13"/>
        <v>0.21833485692805471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900.66073546857001</v>
      </c>
      <c r="E87">
        <v>330.70106761566001</v>
      </c>
      <c r="F87">
        <v>120.76137034849</v>
      </c>
      <c r="G87">
        <v>109.40696987596</v>
      </c>
      <c r="I87" s="9">
        <f t="shared" si="8"/>
        <v>221.29409773970002</v>
      </c>
      <c r="J87" s="9">
        <f t="shared" si="9"/>
        <v>779.89936512008001</v>
      </c>
      <c r="K87" s="9">
        <f t="shared" si="10"/>
        <v>221.29409773970002</v>
      </c>
      <c r="L87" s="10">
        <f t="shared" si="7"/>
        <v>0.28374699049232804</v>
      </c>
      <c r="M87" s="10">
        <f t="shared" si="11"/>
        <v>0.30569885830541293</v>
      </c>
      <c r="P87" s="8">
        <f t="shared" si="12"/>
        <v>3.9925929937815137</v>
      </c>
      <c r="U87" s="8">
        <v>152</v>
      </c>
      <c r="V87" s="10">
        <f t="shared" si="13"/>
        <v>0.21477096448485522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943.71782762691998</v>
      </c>
      <c r="E88">
        <v>335.94746162927999</v>
      </c>
      <c r="F88">
        <v>120.61252215003</v>
      </c>
      <c r="G88">
        <v>108.89545186060001</v>
      </c>
      <c r="I88" s="9">
        <f t="shared" si="8"/>
        <v>227.05200976867997</v>
      </c>
      <c r="J88" s="9">
        <f t="shared" si="9"/>
        <v>823.10530547688995</v>
      </c>
      <c r="K88" s="9">
        <f t="shared" si="10"/>
        <v>227.05200976867997</v>
      </c>
      <c r="L88" s="10">
        <f t="shared" si="7"/>
        <v>0.27584806981304877</v>
      </c>
      <c r="M88" s="10">
        <f t="shared" si="11"/>
        <v>0.2980581948945229</v>
      </c>
      <c r="P88" s="8">
        <f t="shared" si="12"/>
        <v>1.3933932300148568</v>
      </c>
      <c r="U88" s="8">
        <v>152.5</v>
      </c>
      <c r="V88" s="10">
        <f t="shared" si="13"/>
        <v>0.21594963172939069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973.33884297521001</v>
      </c>
      <c r="E89">
        <v>344.45749704841</v>
      </c>
      <c r="F89">
        <v>120.80803307738</v>
      </c>
      <c r="G89">
        <v>109.13230950975</v>
      </c>
      <c r="I89" s="9">
        <f t="shared" si="8"/>
        <v>235.32518753866</v>
      </c>
      <c r="J89" s="9">
        <f t="shared" si="9"/>
        <v>852.53080989783007</v>
      </c>
      <c r="K89" s="9">
        <f t="shared" si="10"/>
        <v>235.32518753866</v>
      </c>
      <c r="L89" s="10">
        <f t="shared" si="7"/>
        <v>0.27603129975661772</v>
      </c>
      <c r="M89" s="10">
        <f t="shared" si="11"/>
        <v>0.29849968210648103</v>
      </c>
      <c r="P89" s="8">
        <f t="shared" si="12"/>
        <v>1.5435782853324445</v>
      </c>
      <c r="U89" s="8">
        <v>153</v>
      </c>
      <c r="V89" s="10">
        <f t="shared" si="13"/>
        <v>0.21110156473165523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976.93447461629</v>
      </c>
      <c r="E90">
        <v>342.79634002361001</v>
      </c>
      <c r="F90">
        <v>120.84051978735999</v>
      </c>
      <c r="G90">
        <v>109.06615475487</v>
      </c>
      <c r="I90" s="9">
        <f t="shared" si="8"/>
        <v>233.73018526874</v>
      </c>
      <c r="J90" s="9">
        <f t="shared" si="9"/>
        <v>856.09395482893001</v>
      </c>
      <c r="K90" s="9">
        <f t="shared" si="10"/>
        <v>233.73018526874</v>
      </c>
      <c r="L90" s="10">
        <f t="shared" si="7"/>
        <v>0.27301931517019695</v>
      </c>
      <c r="M90" s="10">
        <f t="shared" si="11"/>
        <v>0.29574595478844951</v>
      </c>
      <c r="P90" s="8">
        <f t="shared" si="12"/>
        <v>0.6068157282612926</v>
      </c>
      <c r="U90" s="8">
        <v>153.5</v>
      </c>
      <c r="V90" s="10">
        <f t="shared" si="13"/>
        <v>0.21737580716961141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968.00944510035004</v>
      </c>
      <c r="E91">
        <v>339.98819362455998</v>
      </c>
      <c r="F91">
        <v>120.60425280567</v>
      </c>
      <c r="G91">
        <v>109.17070289426999</v>
      </c>
      <c r="I91" s="9">
        <f t="shared" si="8"/>
        <v>230.81749073028999</v>
      </c>
      <c r="J91" s="9">
        <f t="shared" si="9"/>
        <v>847.40519229468009</v>
      </c>
      <c r="K91" s="9">
        <f t="shared" si="10"/>
        <v>230.81749073028999</v>
      </c>
      <c r="L91" s="10">
        <f t="shared" si="7"/>
        <v>0.27238149214694046</v>
      </c>
      <c r="M91" s="10">
        <f t="shared" si="11"/>
        <v>0.29536638903358226</v>
      </c>
      <c r="P91" s="8">
        <f t="shared" si="12"/>
        <v>0.47769510517786479</v>
      </c>
      <c r="U91" s="8">
        <v>154</v>
      </c>
      <c r="V91" s="10">
        <f t="shared" si="13"/>
        <v>0.21442464172033079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970.98760330579</v>
      </c>
      <c r="E92">
        <v>341.81936245573002</v>
      </c>
      <c r="F92">
        <v>120.4825753101</v>
      </c>
      <c r="G92">
        <v>109.18133490845</v>
      </c>
      <c r="I92" s="9">
        <f t="shared" si="8"/>
        <v>232.63802754728002</v>
      </c>
      <c r="J92" s="9">
        <f t="shared" si="9"/>
        <v>850.50502799568994</v>
      </c>
      <c r="K92" s="9">
        <f t="shared" si="10"/>
        <v>232.63802754728002</v>
      </c>
      <c r="L92" s="10">
        <f t="shared" si="7"/>
        <v>0.27352927953349965</v>
      </c>
      <c r="M92" s="10">
        <f t="shared" si="11"/>
        <v>0.29677243368853068</v>
      </c>
      <c r="P92" s="8">
        <f t="shared" si="12"/>
        <v>0.95600317065010143</v>
      </c>
      <c r="U92" s="8">
        <v>154.5</v>
      </c>
      <c r="V92" s="10">
        <f t="shared" si="13"/>
        <v>0.21118516376207166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925.60448642266999</v>
      </c>
      <c r="E93">
        <v>332.74439197166998</v>
      </c>
      <c r="F93">
        <v>120.70112226816001</v>
      </c>
      <c r="G93">
        <v>109.1187241583</v>
      </c>
      <c r="I93" s="9">
        <f t="shared" si="8"/>
        <v>223.62566781337</v>
      </c>
      <c r="J93" s="9">
        <f t="shared" si="9"/>
        <v>804.90336415450997</v>
      </c>
      <c r="K93" s="9">
        <f t="shared" si="10"/>
        <v>223.62566781337</v>
      </c>
      <c r="L93" s="10">
        <f t="shared" si="7"/>
        <v>0.27782921251456294</v>
      </c>
      <c r="M93" s="10">
        <f t="shared" si="11"/>
        <v>0.30133062393798321</v>
      </c>
      <c r="P93" s="8">
        <f t="shared" si="12"/>
        <v>2.5066076643246111</v>
      </c>
      <c r="U93" s="8">
        <v>155</v>
      </c>
      <c r="V93" s="10">
        <f t="shared" si="13"/>
        <v>0.21126446079121972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972.35242030696998</v>
      </c>
      <c r="E94">
        <v>344.65289256198002</v>
      </c>
      <c r="F94">
        <v>121.00236266982</v>
      </c>
      <c r="G94">
        <v>108.97637330182999</v>
      </c>
      <c r="I94" s="9">
        <f t="shared" si="8"/>
        <v>235.67651926015003</v>
      </c>
      <c r="J94" s="9">
        <f t="shared" si="9"/>
        <v>851.35005763715003</v>
      </c>
      <c r="K94" s="9">
        <f t="shared" si="10"/>
        <v>235.67651926015003</v>
      </c>
      <c r="L94" s="10">
        <f t="shared" si="7"/>
        <v>0.2768268083686401</v>
      </c>
      <c r="M94" s="10">
        <f t="shared" si="11"/>
        <v>0.30058647706044961</v>
      </c>
      <c r="P94" s="8">
        <f t="shared" si="12"/>
        <v>2.2534638881524676</v>
      </c>
      <c r="U94" s="8">
        <v>155.5</v>
      </c>
      <c r="V94" s="10">
        <f t="shared" si="13"/>
        <v>0.21202746527471569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974.81345926800998</v>
      </c>
      <c r="E95">
        <v>343.68240850058999</v>
      </c>
      <c r="F95">
        <v>120.67395156527</v>
      </c>
      <c r="G95">
        <v>109.02717070289</v>
      </c>
      <c r="I95" s="9">
        <f t="shared" si="8"/>
        <v>234.65523779769998</v>
      </c>
      <c r="J95" s="9">
        <f t="shared" si="9"/>
        <v>854.13950770273993</v>
      </c>
      <c r="K95" s="9">
        <f t="shared" si="10"/>
        <v>234.65523779769998</v>
      </c>
      <c r="L95" s="10">
        <f t="shared" si="7"/>
        <v>0.27472706236106498</v>
      </c>
      <c r="M95" s="10">
        <f t="shared" si="11"/>
        <v>0.29874498832126373</v>
      </c>
      <c r="P95" s="8">
        <f t="shared" si="12"/>
        <v>1.6270265176685152</v>
      </c>
      <c r="U95" s="8">
        <v>156</v>
      </c>
      <c r="V95" s="10">
        <f t="shared" si="13"/>
        <v>0.21565348545309082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970.52361275089004</v>
      </c>
      <c r="E96">
        <v>341.69716646989002</v>
      </c>
      <c r="F96">
        <v>120.41996455995</v>
      </c>
      <c r="G96">
        <v>109.05965741288</v>
      </c>
      <c r="I96" s="9">
        <f t="shared" si="8"/>
        <v>232.63750905701002</v>
      </c>
      <c r="J96" s="9">
        <f t="shared" si="9"/>
        <v>850.10364819094002</v>
      </c>
      <c r="K96" s="9">
        <f t="shared" si="10"/>
        <v>232.63750905701002</v>
      </c>
      <c r="L96" s="10">
        <f t="shared" si="7"/>
        <v>0.273657817552099</v>
      </c>
      <c r="M96" s="10">
        <f t="shared" si="11"/>
        <v>0.29793400078068699</v>
      </c>
      <c r="P96" s="8">
        <f t="shared" si="12"/>
        <v>1.35114489449946</v>
      </c>
      <c r="U96" s="8">
        <v>156.5</v>
      </c>
      <c r="V96" s="10">
        <f t="shared" si="13"/>
        <v>0.21230998607591584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969.90672963400004</v>
      </c>
      <c r="E97">
        <v>339.32290436836001</v>
      </c>
      <c r="F97">
        <v>120.63673951565001</v>
      </c>
      <c r="G97">
        <v>109.01358535145</v>
      </c>
      <c r="I97" s="9">
        <f t="shared" si="8"/>
        <v>230.30931901691002</v>
      </c>
      <c r="J97" s="9">
        <f t="shared" si="9"/>
        <v>849.26999011835005</v>
      </c>
      <c r="K97" s="9">
        <f t="shared" si="10"/>
        <v>230.30931901691002</v>
      </c>
      <c r="L97" s="10">
        <f t="shared" si="7"/>
        <v>0.27118504326853143</v>
      </c>
      <c r="M97" s="10">
        <f t="shared" si="11"/>
        <v>0.29571948376550866</v>
      </c>
      <c r="P97" s="8">
        <f t="shared" si="12"/>
        <v>0.59781081954139792</v>
      </c>
      <c r="U97" s="8">
        <v>157</v>
      </c>
      <c r="V97" s="10">
        <f t="shared" si="13"/>
        <v>0.21054368460115036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953.21605667059998</v>
      </c>
      <c r="E98">
        <v>334.80637544273998</v>
      </c>
      <c r="F98">
        <v>120.69580626107999</v>
      </c>
      <c r="G98">
        <v>109.09214412286001</v>
      </c>
      <c r="I98" s="9">
        <f t="shared" si="8"/>
        <v>225.71423131987996</v>
      </c>
      <c r="J98" s="9">
        <f t="shared" si="9"/>
        <v>832.52025040952003</v>
      </c>
      <c r="K98" s="9">
        <f t="shared" si="10"/>
        <v>225.71423131987996</v>
      </c>
      <c r="L98" s="10">
        <f t="shared" si="7"/>
        <v>0.27112161080628394</v>
      </c>
      <c r="M98" s="10">
        <f t="shared" si="11"/>
        <v>0.29591430857165041</v>
      </c>
      <c r="P98" s="8">
        <f t="shared" si="12"/>
        <v>0.66408629365504235</v>
      </c>
      <c r="U98" s="8">
        <v>157.5</v>
      </c>
      <c r="V98" s="10">
        <f t="shared" si="13"/>
        <v>0.21164909944777635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936.38193624557005</v>
      </c>
      <c r="E99">
        <v>331.80578512397</v>
      </c>
      <c r="F99">
        <v>120.80685174247</v>
      </c>
      <c r="G99">
        <v>109.15948021264001</v>
      </c>
      <c r="I99" s="9">
        <f t="shared" si="8"/>
        <v>222.64630491132999</v>
      </c>
      <c r="J99" s="9">
        <f t="shared" si="9"/>
        <v>815.57508450310002</v>
      </c>
      <c r="K99" s="9">
        <f t="shared" si="10"/>
        <v>222.64630491132999</v>
      </c>
      <c r="L99" s="10">
        <f t="shared" si="7"/>
        <v>0.27299301945568899</v>
      </c>
      <c r="M99" s="10">
        <f t="shared" si="11"/>
        <v>0.29804397448944464</v>
      </c>
      <c r="P99" s="8">
        <f t="shared" si="12"/>
        <v>1.3885557346911663</v>
      </c>
      <c r="U99" s="8">
        <v>158</v>
      </c>
      <c r="V99" s="10">
        <f t="shared" si="13"/>
        <v>0.21171130405587052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961.20011806374998</v>
      </c>
      <c r="E100">
        <v>337.79752066115998</v>
      </c>
      <c r="F100">
        <v>120.25516834022</v>
      </c>
      <c r="G100">
        <v>108.83520378027001</v>
      </c>
      <c r="I100" s="9">
        <f t="shared" si="8"/>
        <v>228.96231688088997</v>
      </c>
      <c r="J100" s="9">
        <f t="shared" si="9"/>
        <v>840.94494972353004</v>
      </c>
      <c r="K100" s="9">
        <f t="shared" si="10"/>
        <v>228.96231688088997</v>
      </c>
      <c r="L100" s="10">
        <f t="shared" si="7"/>
        <v>0.27226790166962045</v>
      </c>
      <c r="M100" s="10">
        <f t="shared" si="11"/>
        <v>0.29757711397176534</v>
      </c>
      <c r="P100" s="8">
        <f t="shared" si="12"/>
        <v>1.2297391919372345</v>
      </c>
      <c r="U100" s="8">
        <v>158.5</v>
      </c>
      <c r="V100" s="10">
        <f t="shared" si="13"/>
        <v>0.21284173024487665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952.19515079834002</v>
      </c>
      <c r="E101">
        <v>335.47604967475002</v>
      </c>
      <c r="F101">
        <v>120.84288245718</v>
      </c>
      <c r="G101">
        <v>108.72297696397</v>
      </c>
      <c r="I101" s="9">
        <f t="shared" si="8"/>
        <v>226.75307271078003</v>
      </c>
      <c r="J101" s="9">
        <f t="shared" si="9"/>
        <v>831.35226834115997</v>
      </c>
      <c r="K101" s="9">
        <f t="shared" si="10"/>
        <v>226.75307271078003</v>
      </c>
      <c r="L101" s="10">
        <f t="shared" si="7"/>
        <v>0.27275209480480772</v>
      </c>
      <c r="M101" s="10">
        <f t="shared" si="11"/>
        <v>0.29831956437534185</v>
      </c>
      <c r="P101" s="8">
        <f t="shared" si="12"/>
        <v>1.4823058618462985</v>
      </c>
      <c r="U101" s="8">
        <v>159</v>
      </c>
      <c r="V101" s="10">
        <f t="shared" si="13"/>
        <v>0.2140290000761941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930.62522308150005</v>
      </c>
      <c r="E102">
        <v>332.50327186199002</v>
      </c>
      <c r="F102">
        <v>120.67631423509</v>
      </c>
      <c r="G102">
        <v>108.95924394566001</v>
      </c>
      <c r="I102" s="9">
        <f t="shared" si="8"/>
        <v>223.54402791633001</v>
      </c>
      <c r="J102" s="9">
        <f t="shared" si="9"/>
        <v>809.94890884641006</v>
      </c>
      <c r="K102" s="9">
        <f t="shared" si="10"/>
        <v>223.54402791633001</v>
      </c>
      <c r="L102" s="10">
        <f t="shared" si="7"/>
        <v>0.27599769007000474</v>
      </c>
      <c r="M102" s="10">
        <f t="shared" si="11"/>
        <v>0.30182341690892811</v>
      </c>
      <c r="P102" s="8">
        <f t="shared" si="12"/>
        <v>2.6742459052449306</v>
      </c>
      <c r="U102" s="8">
        <v>159.5</v>
      </c>
      <c r="V102" s="10">
        <f t="shared" si="13"/>
        <v>0.20970728795715432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918.35533294048003</v>
      </c>
      <c r="E103">
        <v>329.64113140836997</v>
      </c>
      <c r="F103">
        <v>120.37743650325</v>
      </c>
      <c r="G103">
        <v>109.10750147667</v>
      </c>
      <c r="I103" s="9">
        <f t="shared" si="8"/>
        <v>220.53362993169998</v>
      </c>
      <c r="J103" s="9">
        <f t="shared" si="9"/>
        <v>797.97789643723002</v>
      </c>
      <c r="K103" s="9">
        <f t="shared" si="10"/>
        <v>220.53362993169998</v>
      </c>
      <c r="L103" s="10">
        <f t="shared" si="7"/>
        <v>0.27636558721278748</v>
      </c>
      <c r="M103" s="10">
        <f t="shared" si="11"/>
        <v>0.30244957132010009</v>
      </c>
      <c r="P103" s="8">
        <f t="shared" si="12"/>
        <v>2.8872510214341887</v>
      </c>
      <c r="U103" s="8">
        <v>160</v>
      </c>
      <c r="V103" s="10">
        <f t="shared" si="13"/>
        <v>0.20833939393940193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940.88921626399997</v>
      </c>
      <c r="E104">
        <v>339.72421921036999</v>
      </c>
      <c r="F104">
        <v>120.43295924394999</v>
      </c>
      <c r="G104">
        <v>108.86355581807</v>
      </c>
      <c r="I104" s="9">
        <f t="shared" si="8"/>
        <v>230.86066339230001</v>
      </c>
      <c r="J104" s="9">
        <f t="shared" si="9"/>
        <v>820.45625702004997</v>
      </c>
      <c r="K104" s="9">
        <f t="shared" si="10"/>
        <v>230.86066339230001</v>
      </c>
      <c r="L104" s="10">
        <f t="shared" si="7"/>
        <v>0.28138083099128386</v>
      </c>
      <c r="M104" s="10">
        <f t="shared" si="11"/>
        <v>0.30772307236698571</v>
      </c>
      <c r="P104" s="8">
        <f t="shared" si="12"/>
        <v>4.6811898377616119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958.04666272888005</v>
      </c>
      <c r="E105">
        <v>346.42409923213</v>
      </c>
      <c r="F105">
        <v>120.8529238039</v>
      </c>
      <c r="G105">
        <v>109.47312463083</v>
      </c>
      <c r="I105" s="9">
        <f t="shared" si="8"/>
        <v>236.9509746013</v>
      </c>
      <c r="J105" s="9">
        <f t="shared" si="9"/>
        <v>837.19373892498004</v>
      </c>
      <c r="K105" s="9">
        <f t="shared" si="10"/>
        <v>236.9509746013</v>
      </c>
      <c r="L105" s="10">
        <f t="shared" si="7"/>
        <v>0.283030036638309</v>
      </c>
      <c r="M105" s="10">
        <f t="shared" si="11"/>
        <v>0.30963053528240009</v>
      </c>
      <c r="P105" s="8">
        <f t="shared" si="12"/>
        <v>5.3300702938843596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977.35199523526001</v>
      </c>
      <c r="E106">
        <v>351.95830851697002</v>
      </c>
      <c r="F106">
        <v>120.58239810985999</v>
      </c>
      <c r="G106">
        <v>109.006497342</v>
      </c>
      <c r="I106" s="9">
        <f t="shared" si="8"/>
        <v>242.95181117497003</v>
      </c>
      <c r="J106" s="9">
        <f t="shared" si="9"/>
        <v>856.76959712539997</v>
      </c>
      <c r="K106" s="9">
        <f t="shared" si="10"/>
        <v>242.95181117497003</v>
      </c>
      <c r="L106" s="10">
        <f t="shared" si="7"/>
        <v>0.28356726474668625</v>
      </c>
      <c r="M106" s="10">
        <f t="shared" si="11"/>
        <v>0.31042602065916658</v>
      </c>
      <c r="P106" s="8">
        <f t="shared" si="12"/>
        <v>5.6006783932313828</v>
      </c>
      <c r="X106" s="8">
        <v>-13</v>
      </c>
    </row>
    <row r="107" spans="1:25" x14ac:dyDescent="0.2">
      <c r="A107" s="8">
        <v>52.5</v>
      </c>
      <c r="B107" s="8">
        <v>105</v>
      </c>
      <c r="D107">
        <v>943.35795116141003</v>
      </c>
      <c r="E107">
        <v>344.02918403811998</v>
      </c>
      <c r="F107">
        <v>120.40696987596</v>
      </c>
      <c r="G107">
        <v>108.98109864147</v>
      </c>
      <c r="I107" s="9">
        <f t="shared" si="8"/>
        <v>235.04808539664998</v>
      </c>
      <c r="J107" s="9">
        <f t="shared" si="9"/>
        <v>822.95098128544998</v>
      </c>
      <c r="K107" s="9">
        <f t="shared" si="10"/>
        <v>235.04808539664998</v>
      </c>
      <c r="L107" s="10">
        <f t="shared" si="7"/>
        <v>0.28561614329629292</v>
      </c>
      <c r="M107" s="10">
        <f t="shared" si="11"/>
        <v>0.31273315647716249</v>
      </c>
      <c r="P107" s="8">
        <f t="shared" si="12"/>
        <v>6.385519519011849</v>
      </c>
      <c r="X107" s="8">
        <v>-13</v>
      </c>
    </row>
    <row r="108" spans="1:25" x14ac:dyDescent="0.2">
      <c r="A108" s="8">
        <v>53</v>
      </c>
      <c r="B108" s="8">
        <v>106</v>
      </c>
      <c r="D108">
        <v>895.66268656715999</v>
      </c>
      <c r="E108">
        <v>329.14328358209002</v>
      </c>
      <c r="F108">
        <v>120.60838747785</v>
      </c>
      <c r="G108">
        <v>108.85469580626</v>
      </c>
      <c r="I108" s="9">
        <f t="shared" si="8"/>
        <v>220.28858777583002</v>
      </c>
      <c r="J108" s="9">
        <f t="shared" si="9"/>
        <v>775.05429908931001</v>
      </c>
      <c r="K108" s="9">
        <f t="shared" si="10"/>
        <v>220.28858777583002</v>
      </c>
      <c r="L108" s="10">
        <f t="shared" si="7"/>
        <v>0.28422342542279871</v>
      </c>
      <c r="M108" s="10">
        <f t="shared" si="11"/>
        <v>0.31159869587205752</v>
      </c>
      <c r="P108" s="8">
        <f t="shared" si="12"/>
        <v>5.999598875970733</v>
      </c>
      <c r="X108" s="8">
        <v>-13</v>
      </c>
    </row>
    <row r="109" spans="1:25" x14ac:dyDescent="0.2">
      <c r="A109" s="8">
        <v>53.5</v>
      </c>
      <c r="B109" s="8">
        <v>107</v>
      </c>
      <c r="D109">
        <v>863.36507936507996</v>
      </c>
      <c r="E109">
        <v>323.96884185773001</v>
      </c>
      <c r="F109">
        <v>120.36207914944001</v>
      </c>
      <c r="G109">
        <v>109.01594802126</v>
      </c>
      <c r="I109" s="9">
        <f t="shared" si="8"/>
        <v>214.95289383647003</v>
      </c>
      <c r="J109" s="9">
        <f t="shared" si="9"/>
        <v>743.00300021563999</v>
      </c>
      <c r="K109" s="9">
        <f t="shared" si="10"/>
        <v>214.95289383647003</v>
      </c>
      <c r="L109" s="10">
        <f t="shared" si="7"/>
        <v>0.28930286119179166</v>
      </c>
      <c r="M109" s="10">
        <f t="shared" si="11"/>
        <v>0.3169363889094397</v>
      </c>
      <c r="P109" s="8">
        <f t="shared" si="12"/>
        <v>7.8153745142548177</v>
      </c>
      <c r="X109" s="8">
        <v>-13</v>
      </c>
    </row>
    <row r="110" spans="1:25" x14ac:dyDescent="0.2">
      <c r="A110" s="8">
        <v>54</v>
      </c>
      <c r="B110" s="8">
        <v>108</v>
      </c>
      <c r="D110">
        <v>937.52792475014996</v>
      </c>
      <c r="E110">
        <v>342.92886537330997</v>
      </c>
      <c r="F110">
        <v>120.60602480803</v>
      </c>
      <c r="G110">
        <v>109.00354400473</v>
      </c>
      <c r="I110" s="9">
        <f t="shared" si="8"/>
        <v>233.92532136857997</v>
      </c>
      <c r="J110" s="9">
        <f t="shared" si="9"/>
        <v>816.92189994211992</v>
      </c>
      <c r="K110" s="9">
        <f t="shared" si="10"/>
        <v>233.92532136857997</v>
      </c>
      <c r="L110" s="10">
        <f t="shared" si="7"/>
        <v>0.2863496760034881</v>
      </c>
      <c r="M110" s="10">
        <f t="shared" si="11"/>
        <v>0.31424146098952532</v>
      </c>
      <c r="P110" s="8">
        <f t="shared" si="12"/>
        <v>6.8986143278518837</v>
      </c>
      <c r="X110" s="8">
        <v>-13</v>
      </c>
    </row>
    <row r="111" spans="1:25" x14ac:dyDescent="0.2">
      <c r="A111" s="8">
        <v>54.5</v>
      </c>
      <c r="B111" s="8">
        <v>109</v>
      </c>
      <c r="D111">
        <v>975.77968103958005</v>
      </c>
      <c r="E111">
        <v>352.27820437093999</v>
      </c>
      <c r="F111">
        <v>120.57058476077999</v>
      </c>
      <c r="G111">
        <v>109.03425871235</v>
      </c>
      <c r="I111" s="9">
        <f t="shared" si="8"/>
        <v>243.24394565859001</v>
      </c>
      <c r="J111" s="9">
        <f t="shared" si="9"/>
        <v>855.20909627880008</v>
      </c>
      <c r="K111" s="9">
        <f t="shared" si="10"/>
        <v>243.24394565859001</v>
      </c>
      <c r="L111" s="10">
        <f t="shared" si="7"/>
        <v>0.2844262844221338</v>
      </c>
      <c r="M111" s="10">
        <f t="shared" si="11"/>
        <v>0.31257632667656027</v>
      </c>
      <c r="P111" s="8">
        <f t="shared" si="12"/>
        <v>6.3321691803363001</v>
      </c>
      <c r="X111" s="8">
        <v>-13</v>
      </c>
    </row>
    <row r="112" spans="1:25" x14ac:dyDescent="0.2">
      <c r="A112" s="8">
        <v>55</v>
      </c>
      <c r="B112" s="8">
        <v>110</v>
      </c>
      <c r="D112">
        <v>986.84819846427001</v>
      </c>
      <c r="E112">
        <v>361.9858239811</v>
      </c>
      <c r="F112">
        <v>120.62906083874999</v>
      </c>
      <c r="G112">
        <v>108.64796219727999</v>
      </c>
      <c r="I112" s="9">
        <f t="shared" si="8"/>
        <v>253.33786178382002</v>
      </c>
      <c r="J112" s="9">
        <f t="shared" si="9"/>
        <v>866.21913762552003</v>
      </c>
      <c r="K112" s="9">
        <f t="shared" si="10"/>
        <v>253.33786178382002</v>
      </c>
      <c r="L112" s="10">
        <f t="shared" si="7"/>
        <v>0.2924639398735403</v>
      </c>
      <c r="M112" s="10">
        <f t="shared" si="11"/>
        <v>0.32087223939635601</v>
      </c>
      <c r="P112" s="8">
        <f t="shared" si="12"/>
        <v>9.1542715583561325</v>
      </c>
      <c r="X112" s="8">
        <v>-13</v>
      </c>
    </row>
    <row r="113" spans="1:24" x14ac:dyDescent="0.2">
      <c r="A113" s="8">
        <v>55.5</v>
      </c>
      <c r="B113" s="8">
        <v>111</v>
      </c>
      <c r="D113">
        <v>982.00236266981995</v>
      </c>
      <c r="E113">
        <v>361.70525694034001</v>
      </c>
      <c r="F113">
        <v>120.42882457176999</v>
      </c>
      <c r="G113">
        <v>108.81334908447</v>
      </c>
      <c r="I113" s="9">
        <f t="shared" si="8"/>
        <v>252.89190785586999</v>
      </c>
      <c r="J113" s="9">
        <f t="shared" si="9"/>
        <v>861.57353809804999</v>
      </c>
      <c r="K113" s="9">
        <f t="shared" si="10"/>
        <v>252.89190785586999</v>
      </c>
      <c r="L113" s="10">
        <f t="shared" si="7"/>
        <v>0.2935232997221997</v>
      </c>
      <c r="M113" s="10">
        <f t="shared" si="11"/>
        <v>0.32218985651340465</v>
      </c>
      <c r="P113" s="8">
        <f t="shared" si="12"/>
        <v>9.6024983568938787</v>
      </c>
      <c r="X113" s="8">
        <v>-13</v>
      </c>
    </row>
    <row r="114" spans="1:24" x14ac:dyDescent="0.2">
      <c r="A114" s="8">
        <v>56</v>
      </c>
      <c r="B114" s="8">
        <v>112</v>
      </c>
      <c r="D114">
        <v>970.34731246308002</v>
      </c>
      <c r="E114">
        <v>358.59952746604</v>
      </c>
      <c r="F114">
        <v>120.65445953928</v>
      </c>
      <c r="G114">
        <v>108.87418783225</v>
      </c>
      <c r="I114" s="9">
        <f t="shared" si="8"/>
        <v>249.72533963378999</v>
      </c>
      <c r="J114" s="9">
        <f t="shared" si="9"/>
        <v>849.69285292380005</v>
      </c>
      <c r="K114" s="9">
        <f t="shared" si="10"/>
        <v>249.72533963378999</v>
      </c>
      <c r="L114" s="10">
        <f t="shared" si="7"/>
        <v>0.2939007180941714</v>
      </c>
      <c r="M114" s="10">
        <f t="shared" si="11"/>
        <v>0.32282553215376558</v>
      </c>
      <c r="P114" s="8">
        <f t="shared" si="12"/>
        <v>9.8187424034387689</v>
      </c>
      <c r="X114" s="8">
        <v>-13</v>
      </c>
    </row>
    <row r="115" spans="1:24" x14ac:dyDescent="0.2">
      <c r="A115" s="8">
        <v>56.5</v>
      </c>
      <c r="B115" s="8">
        <v>113</v>
      </c>
      <c r="D115">
        <v>965.27879503838994</v>
      </c>
      <c r="E115">
        <v>357.71057294743002</v>
      </c>
      <c r="F115">
        <v>120.73006497342</v>
      </c>
      <c r="G115">
        <v>108.79326639102</v>
      </c>
      <c r="I115" s="9">
        <f t="shared" si="8"/>
        <v>248.91730655641004</v>
      </c>
      <c r="J115" s="9">
        <f t="shared" si="9"/>
        <v>844.54873006496996</v>
      </c>
      <c r="K115" s="9">
        <f t="shared" si="10"/>
        <v>248.91730655641004</v>
      </c>
      <c r="L115" s="10">
        <f t="shared" si="7"/>
        <v>0.29473409608615619</v>
      </c>
      <c r="M115" s="10">
        <f t="shared" si="11"/>
        <v>0.32391716741413962</v>
      </c>
      <c r="P115" s="8">
        <f t="shared" si="12"/>
        <v>10.190094726960769</v>
      </c>
      <c r="X115" s="8">
        <v>-13</v>
      </c>
    </row>
    <row r="116" spans="1:24" x14ac:dyDescent="0.2">
      <c r="A116" s="8">
        <v>57</v>
      </c>
      <c r="B116" s="8">
        <v>114</v>
      </c>
      <c r="D116">
        <v>1000.1055456172001</v>
      </c>
      <c r="E116">
        <v>370.59868813357002</v>
      </c>
      <c r="F116">
        <v>120.22563496751</v>
      </c>
      <c r="G116">
        <v>109.00177200236</v>
      </c>
      <c r="I116" s="9">
        <f t="shared" si="8"/>
        <v>261.59691613121004</v>
      </c>
      <c r="J116" s="9">
        <f t="shared" si="9"/>
        <v>879.87991064969003</v>
      </c>
      <c r="K116" s="9">
        <f t="shared" si="10"/>
        <v>261.59691613121004</v>
      </c>
      <c r="L116" s="10">
        <f t="shared" si="7"/>
        <v>0.29730979530837431</v>
      </c>
      <c r="M116" s="10">
        <f t="shared" si="11"/>
        <v>0.32675112390474698</v>
      </c>
      <c r="P116" s="8">
        <f t="shared" si="12"/>
        <v>11.15414963224727</v>
      </c>
      <c r="X116" s="8">
        <v>-13</v>
      </c>
    </row>
    <row r="117" spans="1:24" x14ac:dyDescent="0.2">
      <c r="A117" s="8">
        <v>57.5</v>
      </c>
      <c r="B117" s="8">
        <v>115</v>
      </c>
      <c r="D117">
        <v>1007.3691115087</v>
      </c>
      <c r="E117">
        <v>372.45497912939999</v>
      </c>
      <c r="F117">
        <v>120.49084465446001</v>
      </c>
      <c r="G117">
        <v>108.99940933255</v>
      </c>
      <c r="I117" s="9">
        <f t="shared" si="8"/>
        <v>263.45556979685</v>
      </c>
      <c r="J117" s="9">
        <f t="shared" si="9"/>
        <v>886.87826685424</v>
      </c>
      <c r="K117" s="9">
        <f t="shared" si="10"/>
        <v>263.45556979685</v>
      </c>
      <c r="L117" s="10">
        <f t="shared" si="7"/>
        <v>0.29705944958074992</v>
      </c>
      <c r="M117" s="10">
        <f t="shared" si="11"/>
        <v>0.32675903544551183</v>
      </c>
      <c r="P117" s="8">
        <f t="shared" si="12"/>
        <v>11.156840979029765</v>
      </c>
      <c r="X117" s="8">
        <v>-13</v>
      </c>
    </row>
    <row r="118" spans="1:24" x14ac:dyDescent="0.2">
      <c r="A118" s="8">
        <v>58</v>
      </c>
      <c r="B118" s="8">
        <v>116</v>
      </c>
      <c r="D118">
        <v>1014.3333333332999</v>
      </c>
      <c r="E118">
        <v>377.37268932618002</v>
      </c>
      <c r="F118">
        <v>120.32486709982</v>
      </c>
      <c r="G118">
        <v>109.01181334908</v>
      </c>
      <c r="I118" s="9">
        <f t="shared" si="8"/>
        <v>268.36087597710002</v>
      </c>
      <c r="J118" s="9">
        <f t="shared" si="9"/>
        <v>894.00846623347991</v>
      </c>
      <c r="K118" s="9">
        <f t="shared" si="10"/>
        <v>268.36087597710002</v>
      </c>
      <c r="L118" s="10">
        <f t="shared" si="7"/>
        <v>0.30017710806221237</v>
      </c>
      <c r="M118" s="10">
        <f t="shared" si="11"/>
        <v>0.33013495119536351</v>
      </c>
      <c r="P118" s="8">
        <f t="shared" si="12"/>
        <v>12.305259506013211</v>
      </c>
      <c r="X118" s="8">
        <v>-13</v>
      </c>
    </row>
    <row r="119" spans="1:24" x14ac:dyDescent="0.2">
      <c r="A119" s="8">
        <v>58.5</v>
      </c>
      <c r="B119" s="8">
        <v>117</v>
      </c>
      <c r="D119">
        <v>1010.8592725104</v>
      </c>
      <c r="E119">
        <v>373.03339296362998</v>
      </c>
      <c r="F119">
        <v>120.4128765505</v>
      </c>
      <c r="G119">
        <v>108.67513290018</v>
      </c>
      <c r="I119" s="9">
        <f t="shared" si="8"/>
        <v>264.35826006344996</v>
      </c>
      <c r="J119" s="9">
        <f t="shared" si="9"/>
        <v>890.44639595990009</v>
      </c>
      <c r="K119" s="9">
        <f t="shared" si="10"/>
        <v>264.35826006344996</v>
      </c>
      <c r="L119" s="10">
        <f t="shared" si="7"/>
        <v>0.29688284579833923</v>
      </c>
      <c r="M119" s="10">
        <f t="shared" si="11"/>
        <v>0.32709894619987961</v>
      </c>
      <c r="P119" s="8">
        <f t="shared" si="12"/>
        <v>11.272471769831945</v>
      </c>
      <c r="X119" s="8">
        <v>-13</v>
      </c>
    </row>
    <row r="120" spans="1:24" x14ac:dyDescent="0.2">
      <c r="A120" s="8">
        <v>59</v>
      </c>
      <c r="B120" s="8">
        <v>118</v>
      </c>
      <c r="D120">
        <v>995.66964818127997</v>
      </c>
      <c r="E120">
        <v>369.46630888491001</v>
      </c>
      <c r="F120">
        <v>120.40047253396</v>
      </c>
      <c r="G120">
        <v>108.64619019492</v>
      </c>
      <c r="I120" s="9">
        <f t="shared" si="8"/>
        <v>260.82011868999001</v>
      </c>
      <c r="J120" s="9">
        <f t="shared" si="9"/>
        <v>875.26917564732003</v>
      </c>
      <c r="K120" s="9">
        <f t="shared" si="10"/>
        <v>260.82011868999001</v>
      </c>
      <c r="L120" s="10">
        <f t="shared" si="7"/>
        <v>0.29798846565925974</v>
      </c>
      <c r="M120" s="10">
        <f t="shared" si="11"/>
        <v>0.3284628233291893</v>
      </c>
      <c r="P120" s="8">
        <f t="shared" si="12"/>
        <v>11.736435292587824</v>
      </c>
      <c r="X120" s="8">
        <v>-13</v>
      </c>
    </row>
    <row r="121" spans="1:24" x14ac:dyDescent="0.2">
      <c r="A121" s="8">
        <v>59.5</v>
      </c>
      <c r="B121" s="8">
        <v>119</v>
      </c>
      <c r="D121">
        <v>992.66964818127997</v>
      </c>
      <c r="E121">
        <v>368.40548598688002</v>
      </c>
      <c r="F121">
        <v>120.29297105729999</v>
      </c>
      <c r="G121">
        <v>108.86296515062</v>
      </c>
      <c r="I121" s="9">
        <f t="shared" si="8"/>
        <v>259.54252083626</v>
      </c>
      <c r="J121" s="9">
        <f t="shared" si="9"/>
        <v>872.37667712398002</v>
      </c>
      <c r="K121" s="9">
        <f t="shared" si="10"/>
        <v>259.54252083626</v>
      </c>
      <c r="L121" s="10">
        <f t="shared" si="7"/>
        <v>0.29751198953634389</v>
      </c>
      <c r="M121" s="10">
        <f t="shared" si="11"/>
        <v>0.32824460447466269</v>
      </c>
      <c r="P121" s="8">
        <f t="shared" si="12"/>
        <v>11.662201634509577</v>
      </c>
      <c r="X121" s="8">
        <v>-13</v>
      </c>
    </row>
    <row r="122" spans="1:24" x14ac:dyDescent="0.2">
      <c r="A122" s="8">
        <v>60</v>
      </c>
      <c r="B122" s="8">
        <v>120</v>
      </c>
      <c r="D122">
        <v>976.30351818724</v>
      </c>
      <c r="E122">
        <v>365.28920691710999</v>
      </c>
      <c r="F122">
        <v>120.5806261075</v>
      </c>
      <c r="G122">
        <v>108.76373301831001</v>
      </c>
      <c r="I122" s="9">
        <f t="shared" si="8"/>
        <v>256.52547389879999</v>
      </c>
      <c r="J122" s="9">
        <f t="shared" si="9"/>
        <v>855.72289207973995</v>
      </c>
      <c r="K122" s="9">
        <f t="shared" si="10"/>
        <v>256.52547389879999</v>
      </c>
      <c r="L122" s="10">
        <f t="shared" si="7"/>
        <v>0.29977633679443022</v>
      </c>
      <c r="M122" s="10">
        <f t="shared" si="11"/>
        <v>0.33076720900113826</v>
      </c>
      <c r="P122" s="8">
        <f t="shared" si="12"/>
        <v>12.520340874087497</v>
      </c>
      <c r="X122" s="8">
        <v>-13</v>
      </c>
    </row>
    <row r="123" spans="1:24" x14ac:dyDescent="0.2">
      <c r="A123" s="8">
        <v>60.5</v>
      </c>
      <c r="B123" s="8">
        <v>121</v>
      </c>
      <c r="D123">
        <v>991.31902206321001</v>
      </c>
      <c r="E123">
        <v>369.64579606439997</v>
      </c>
      <c r="F123">
        <v>120.60189013585</v>
      </c>
      <c r="G123">
        <v>109.14057885411</v>
      </c>
      <c r="I123" s="9">
        <f t="shared" si="8"/>
        <v>260.50521721028997</v>
      </c>
      <c r="J123" s="9">
        <f t="shared" si="9"/>
        <v>870.71713192736001</v>
      </c>
      <c r="K123" s="9">
        <f t="shared" si="10"/>
        <v>260.50521721028997</v>
      </c>
      <c r="L123" s="10">
        <f t="shared" si="7"/>
        <v>0.29918466934681004</v>
      </c>
      <c r="M123" s="10">
        <f t="shared" si="11"/>
        <v>0.33043379882190732</v>
      </c>
      <c r="P123" s="8">
        <f t="shared" si="12"/>
        <v>12.406921447986443</v>
      </c>
      <c r="X123" s="8">
        <v>-13</v>
      </c>
    </row>
    <row r="124" spans="1:24" x14ac:dyDescent="0.2">
      <c r="A124" s="8">
        <v>61</v>
      </c>
      <c r="B124" s="8">
        <v>122</v>
      </c>
      <c r="D124">
        <v>1013.5778175313</v>
      </c>
      <c r="E124">
        <v>376.70184853905999</v>
      </c>
      <c r="F124">
        <v>120.55345540461001</v>
      </c>
      <c r="G124">
        <v>108.87123449498</v>
      </c>
      <c r="I124" s="9">
        <f t="shared" si="8"/>
        <v>267.83061404407999</v>
      </c>
      <c r="J124" s="9">
        <f t="shared" si="9"/>
        <v>893.02436212668999</v>
      </c>
      <c r="K124" s="9">
        <f t="shared" si="10"/>
        <v>267.83061404407999</v>
      </c>
      <c r="L124" s="10">
        <f t="shared" si="7"/>
        <v>0.29991411813923602</v>
      </c>
      <c r="M124" s="10">
        <f t="shared" si="11"/>
        <v>0.33142150488272254</v>
      </c>
      <c r="P124" s="8">
        <f t="shared" si="12"/>
        <v>12.742919151573645</v>
      </c>
      <c r="X124" s="8">
        <v>-13</v>
      </c>
    </row>
    <row r="125" spans="1:24" x14ac:dyDescent="0.2">
      <c r="A125" s="8">
        <v>61.5</v>
      </c>
      <c r="B125" s="8">
        <v>123</v>
      </c>
      <c r="D125">
        <v>1015.1741204532</v>
      </c>
      <c r="E125">
        <v>377.70781156828002</v>
      </c>
      <c r="F125">
        <v>120.74483165978</v>
      </c>
      <c r="G125">
        <v>108.97637330182999</v>
      </c>
      <c r="I125" s="9">
        <f t="shared" si="8"/>
        <v>268.73143826645003</v>
      </c>
      <c r="J125" s="9">
        <f t="shared" si="9"/>
        <v>894.42928879342003</v>
      </c>
      <c r="K125" s="9">
        <f t="shared" si="10"/>
        <v>268.73143826645003</v>
      </c>
      <c r="L125" s="10">
        <f t="shared" si="7"/>
        <v>0.30045017715035605</v>
      </c>
      <c r="M125" s="10">
        <f t="shared" si="11"/>
        <v>0.33221582116223181</v>
      </c>
      <c r="P125" s="8">
        <f t="shared" si="12"/>
        <v>13.013129547586363</v>
      </c>
      <c r="X125" s="8">
        <v>-13</v>
      </c>
    </row>
    <row r="126" spans="1:24" x14ac:dyDescent="0.2">
      <c r="A126" s="8">
        <v>62</v>
      </c>
      <c r="B126" s="8">
        <v>124</v>
      </c>
      <c r="D126">
        <v>1021.4084675015</v>
      </c>
      <c r="E126">
        <v>381.34645199762002</v>
      </c>
      <c r="F126">
        <v>120.02303603071999</v>
      </c>
      <c r="G126">
        <v>108.88777318370001</v>
      </c>
      <c r="I126" s="9">
        <f t="shared" si="8"/>
        <v>272.45867881392002</v>
      </c>
      <c r="J126" s="9">
        <f t="shared" si="9"/>
        <v>901.38543147078008</v>
      </c>
      <c r="K126" s="9">
        <f t="shared" si="10"/>
        <v>272.45867881392002</v>
      </c>
      <c r="L126" s="10">
        <f t="shared" si="7"/>
        <v>0.30226656577902794</v>
      </c>
      <c r="M126" s="10">
        <f t="shared" si="11"/>
        <v>0.33429046705929294</v>
      </c>
      <c r="P126" s="8">
        <f t="shared" si="12"/>
        <v>13.71888228600108</v>
      </c>
      <c r="X126" s="8">
        <v>-13</v>
      </c>
    </row>
    <row r="127" spans="1:24" x14ac:dyDescent="0.2">
      <c r="A127" s="8">
        <v>62.5</v>
      </c>
      <c r="B127" s="8">
        <v>125</v>
      </c>
      <c r="D127">
        <v>1027.3273703041</v>
      </c>
      <c r="E127">
        <v>387.82289803219999</v>
      </c>
      <c r="F127">
        <v>120.44536326047999</v>
      </c>
      <c r="G127">
        <v>108.89486119315001</v>
      </c>
      <c r="I127" s="9">
        <f t="shared" si="8"/>
        <v>278.92803683904998</v>
      </c>
      <c r="J127" s="9">
        <f t="shared" si="9"/>
        <v>906.88200704361998</v>
      </c>
      <c r="K127" s="9">
        <f t="shared" si="10"/>
        <v>278.92803683904998</v>
      </c>
      <c r="L127" s="10">
        <f t="shared" si="7"/>
        <v>0.30756816727276171</v>
      </c>
      <c r="M127" s="10">
        <f t="shared" si="11"/>
        <v>0.33985032582141594</v>
      </c>
      <c r="P127" s="8">
        <f t="shared" si="12"/>
        <v>15.610234228096735</v>
      </c>
      <c r="X127" s="8">
        <v>-13</v>
      </c>
    </row>
    <row r="128" spans="1:24" x14ac:dyDescent="0.2">
      <c r="A128" s="8">
        <v>63</v>
      </c>
      <c r="B128" s="8">
        <v>126</v>
      </c>
      <c r="D128">
        <v>1037.7889087656999</v>
      </c>
      <c r="E128">
        <v>391.29218843171998</v>
      </c>
      <c r="F128">
        <v>120.1264028352</v>
      </c>
      <c r="G128">
        <v>108.66272888364</v>
      </c>
      <c r="I128" s="9">
        <f t="shared" si="8"/>
        <v>282.62945954807998</v>
      </c>
      <c r="J128" s="9">
        <f t="shared" si="9"/>
        <v>917.66250593049995</v>
      </c>
      <c r="K128" s="9">
        <f t="shared" si="10"/>
        <v>282.62945954807998</v>
      </c>
      <c r="L128" s="10">
        <f t="shared" si="7"/>
        <v>0.30798845732669083</v>
      </c>
      <c r="M128" s="10">
        <f t="shared" si="11"/>
        <v>0.34052887314373431</v>
      </c>
      <c r="P128" s="8">
        <f t="shared" si="12"/>
        <v>15.841062357151689</v>
      </c>
      <c r="X128" s="8">
        <v>-13</v>
      </c>
    </row>
    <row r="129" spans="1:24" x14ac:dyDescent="0.2">
      <c r="A129" s="8">
        <v>63.5</v>
      </c>
      <c r="B129" s="8">
        <v>127</v>
      </c>
      <c r="D129">
        <v>1009.0708800945</v>
      </c>
      <c r="E129">
        <v>382.11518015357001</v>
      </c>
      <c r="F129">
        <v>120.38157117543</v>
      </c>
      <c r="G129">
        <v>108.77436503249</v>
      </c>
      <c r="I129" s="9">
        <f t="shared" si="8"/>
        <v>273.34081512108003</v>
      </c>
      <c r="J129" s="9">
        <f t="shared" si="9"/>
        <v>888.68930891907007</v>
      </c>
      <c r="K129" s="9">
        <f t="shared" si="10"/>
        <v>273.34081512108003</v>
      </c>
      <c r="L129" s="10">
        <f t="shared" si="7"/>
        <v>0.3075774766026495</v>
      </c>
      <c r="M129" s="10">
        <f t="shared" si="11"/>
        <v>0.34037614968808222</v>
      </c>
      <c r="P129" s="8">
        <f t="shared" si="12"/>
        <v>15.789108914301849</v>
      </c>
      <c r="X129" s="8">
        <v>-13</v>
      </c>
    </row>
    <row r="130" spans="1:24" x14ac:dyDescent="0.2">
      <c r="A130" s="8">
        <v>64</v>
      </c>
      <c r="B130" s="8">
        <v>128</v>
      </c>
      <c r="D130">
        <v>898.9509746013</v>
      </c>
      <c r="E130">
        <v>354.33668044890999</v>
      </c>
      <c r="F130">
        <v>120.00708800945</v>
      </c>
      <c r="G130">
        <v>108.94211458949</v>
      </c>
      <c r="I130" s="9">
        <f t="shared" si="8"/>
        <v>245.39456585941997</v>
      </c>
      <c r="J130" s="9">
        <f t="shared" si="9"/>
        <v>778.94388659185006</v>
      </c>
      <c r="K130" s="9">
        <f t="shared" si="10"/>
        <v>245.39456585941997</v>
      </c>
      <c r="L130" s="10">
        <f t="shared" ref="L130:L193" si="14">K130/J130</f>
        <v>0.31503497245880752</v>
      </c>
      <c r="M130" s="10">
        <f t="shared" si="11"/>
        <v>0.34809190281262947</v>
      </c>
      <c r="P130" s="8">
        <f t="shared" si="12"/>
        <v>18.413852685899158</v>
      </c>
      <c r="X130" s="8">
        <v>-13</v>
      </c>
    </row>
    <row r="131" spans="1:24" x14ac:dyDescent="0.2">
      <c r="A131" s="8">
        <v>64.5</v>
      </c>
      <c r="B131" s="8">
        <v>129</v>
      </c>
      <c r="D131">
        <v>913.30005906675001</v>
      </c>
      <c r="E131">
        <v>353.99645599527997</v>
      </c>
      <c r="F131">
        <v>120.45363260484</v>
      </c>
      <c r="G131">
        <v>108.8735971648</v>
      </c>
      <c r="I131" s="9">
        <f t="shared" ref="I131:I194" si="15">E131-G131</f>
        <v>245.12285883047997</v>
      </c>
      <c r="J131" s="9">
        <f t="shared" ref="J131:J194" si="16">D131-F131</f>
        <v>792.84642646191003</v>
      </c>
      <c r="K131" s="9">
        <f t="shared" ref="K131:K194" si="17">I131*1</f>
        <v>245.12285883047997</v>
      </c>
      <c r="L131" s="10">
        <f t="shared" si="14"/>
        <v>0.30916814486299027</v>
      </c>
      <c r="M131" s="10">
        <f t="shared" ref="M131:M181" si="18">L131+ABS($N$2)*A131</f>
        <v>0.34248333248520141</v>
      </c>
      <c r="P131" s="8">
        <f t="shared" ref="P131:P194" si="19">(M131-$O$2)/$O$2*100</f>
        <v>16.505930050628724</v>
      </c>
      <c r="X131" s="8">
        <v>-13</v>
      </c>
    </row>
    <row r="132" spans="1:24" x14ac:dyDescent="0.2">
      <c r="A132" s="8">
        <v>65</v>
      </c>
      <c r="B132" s="8">
        <v>130</v>
      </c>
      <c r="D132">
        <v>922.67572356763003</v>
      </c>
      <c r="E132">
        <v>353.63142350856998</v>
      </c>
      <c r="F132">
        <v>120.75310100414001</v>
      </c>
      <c r="G132">
        <v>108.62965150620001</v>
      </c>
      <c r="I132" s="9">
        <f t="shared" si="15"/>
        <v>245.00177200236999</v>
      </c>
      <c r="J132" s="9">
        <f t="shared" si="16"/>
        <v>801.92262256348999</v>
      </c>
      <c r="K132" s="9">
        <f t="shared" si="17"/>
        <v>245.00177200236999</v>
      </c>
      <c r="L132" s="10">
        <f t="shared" si="14"/>
        <v>0.30551797032384215</v>
      </c>
      <c r="M132" s="10">
        <f t="shared" si="18"/>
        <v>0.33909141521444253</v>
      </c>
      <c r="P132" s="8">
        <f t="shared" si="19"/>
        <v>15.352068128598898</v>
      </c>
      <c r="X132" s="8">
        <v>-13</v>
      </c>
    </row>
    <row r="133" spans="1:24" x14ac:dyDescent="0.2">
      <c r="A133" s="8">
        <v>65.5</v>
      </c>
      <c r="B133" s="8">
        <v>131</v>
      </c>
      <c r="D133">
        <v>936.98464264618997</v>
      </c>
      <c r="E133">
        <v>354.42823390430999</v>
      </c>
      <c r="F133">
        <v>120.21559362079</v>
      </c>
      <c r="G133">
        <v>108.8670998228</v>
      </c>
      <c r="I133" s="9">
        <f t="shared" si="15"/>
        <v>245.56113408150998</v>
      </c>
      <c r="J133" s="9">
        <f t="shared" si="16"/>
        <v>816.76904902539991</v>
      </c>
      <c r="K133" s="9">
        <f t="shared" si="17"/>
        <v>245.56113408150998</v>
      </c>
      <c r="L133" s="10">
        <f t="shared" si="14"/>
        <v>0.30064941169663922</v>
      </c>
      <c r="M133" s="10">
        <f t="shared" si="18"/>
        <v>0.33448111385562884</v>
      </c>
      <c r="P133" s="8">
        <f t="shared" si="19"/>
        <v>13.783736485348857</v>
      </c>
      <c r="X133" s="8">
        <v>-13</v>
      </c>
    </row>
    <row r="134" spans="1:24" x14ac:dyDescent="0.2">
      <c r="A134" s="8">
        <v>66</v>
      </c>
      <c r="B134" s="8">
        <v>132</v>
      </c>
      <c r="D134">
        <v>894.17601890135995</v>
      </c>
      <c r="E134">
        <v>341.14471352628999</v>
      </c>
      <c r="F134">
        <v>120.32959243946</v>
      </c>
      <c r="G134">
        <v>108.59362079149</v>
      </c>
      <c r="I134" s="9">
        <f t="shared" si="15"/>
        <v>232.55109273479999</v>
      </c>
      <c r="J134" s="9">
        <f t="shared" si="16"/>
        <v>773.84642646189991</v>
      </c>
      <c r="K134" s="9">
        <f t="shared" si="17"/>
        <v>232.55109273479999</v>
      </c>
      <c r="L134" s="10">
        <f t="shared" si="14"/>
        <v>0.30051323464533641</v>
      </c>
      <c r="M134" s="10">
        <f t="shared" si="18"/>
        <v>0.33460319407271527</v>
      </c>
      <c r="P134" s="8">
        <f t="shared" si="19"/>
        <v>13.825265715776593</v>
      </c>
      <c r="X134" s="8">
        <v>-13</v>
      </c>
    </row>
    <row r="135" spans="1:24" x14ac:dyDescent="0.2">
      <c r="A135" s="8">
        <v>66.5</v>
      </c>
      <c r="B135" s="8">
        <v>133</v>
      </c>
      <c r="D135">
        <v>879.54282339043004</v>
      </c>
      <c r="E135">
        <v>336.72829297106</v>
      </c>
      <c r="F135">
        <v>120.53396337862</v>
      </c>
      <c r="G135">
        <v>108.45953927939</v>
      </c>
      <c r="I135" s="9">
        <f t="shared" si="15"/>
        <v>228.26875369166999</v>
      </c>
      <c r="J135" s="9">
        <f t="shared" si="16"/>
        <v>759.00886001181004</v>
      </c>
      <c r="K135" s="9">
        <f t="shared" si="17"/>
        <v>228.26875369166999</v>
      </c>
      <c r="L135" s="10">
        <f t="shared" si="14"/>
        <v>0.30074583541504135</v>
      </c>
      <c r="M135" s="10">
        <f t="shared" si="18"/>
        <v>0.33509405211080945</v>
      </c>
      <c r="P135" s="8">
        <f t="shared" si="19"/>
        <v>13.992245731522207</v>
      </c>
      <c r="X135" s="8">
        <v>-13</v>
      </c>
    </row>
    <row r="136" spans="1:24" x14ac:dyDescent="0.2">
      <c r="A136" s="8">
        <v>67</v>
      </c>
      <c r="B136" s="8">
        <v>134</v>
      </c>
      <c r="D136">
        <v>897.87477849971003</v>
      </c>
      <c r="E136">
        <v>337.80035440046998</v>
      </c>
      <c r="F136">
        <v>120.31836975783</v>
      </c>
      <c r="G136">
        <v>108.81984642646</v>
      </c>
      <c r="I136" s="9">
        <f t="shared" si="15"/>
        <v>228.98050797400998</v>
      </c>
      <c r="J136" s="9">
        <f t="shared" si="16"/>
        <v>777.55640874187998</v>
      </c>
      <c r="K136" s="9">
        <f t="shared" si="17"/>
        <v>228.98050797400998</v>
      </c>
      <c r="L136" s="10">
        <f t="shared" si="14"/>
        <v>0.29448732644942172</v>
      </c>
      <c r="M136" s="10">
        <f t="shared" si="18"/>
        <v>0.32909380041357905</v>
      </c>
      <c r="P136" s="8">
        <f t="shared" si="19"/>
        <v>11.951080985048314</v>
      </c>
      <c r="X136" s="8">
        <v>-13</v>
      </c>
    </row>
    <row r="137" spans="1:24" x14ac:dyDescent="0.2">
      <c r="A137" s="8">
        <v>67.5</v>
      </c>
      <c r="B137" s="8">
        <v>135</v>
      </c>
      <c r="D137">
        <v>950.91021854695998</v>
      </c>
      <c r="E137">
        <v>346.96928529237999</v>
      </c>
      <c r="F137">
        <v>120.26993502658</v>
      </c>
      <c r="G137">
        <v>108.83165977554999</v>
      </c>
      <c r="I137" s="9">
        <f t="shared" si="15"/>
        <v>238.13762551682998</v>
      </c>
      <c r="J137" s="9">
        <f t="shared" si="16"/>
        <v>830.64028352037997</v>
      </c>
      <c r="K137" s="9">
        <f t="shared" si="17"/>
        <v>238.13762551682998</v>
      </c>
      <c r="L137" s="10">
        <f t="shared" si="14"/>
        <v>0.28669164046266393</v>
      </c>
      <c r="M137" s="10">
        <f t="shared" si="18"/>
        <v>0.32155637169521051</v>
      </c>
      <c r="P137" s="8">
        <f t="shared" si="19"/>
        <v>9.3869995839138785</v>
      </c>
      <c r="X137" s="8">
        <v>-13</v>
      </c>
    </row>
    <row r="138" spans="1:24" x14ac:dyDescent="0.2">
      <c r="A138" s="8">
        <v>68</v>
      </c>
      <c r="B138" s="8">
        <v>136</v>
      </c>
      <c r="D138">
        <v>926.33549911399996</v>
      </c>
      <c r="E138">
        <v>339.02244536325998</v>
      </c>
      <c r="F138">
        <v>120.06379208506</v>
      </c>
      <c r="G138">
        <v>108.76904902539999</v>
      </c>
      <c r="I138" s="9">
        <f t="shared" si="15"/>
        <v>230.25339633785998</v>
      </c>
      <c r="J138" s="9">
        <f t="shared" si="16"/>
        <v>806.27170702894</v>
      </c>
      <c r="K138" s="9">
        <f t="shared" si="17"/>
        <v>230.25339633785998</v>
      </c>
      <c r="L138" s="10">
        <f t="shared" si="14"/>
        <v>0.28557791911901398</v>
      </c>
      <c r="M138" s="10">
        <f t="shared" si="18"/>
        <v>0.32070090761994979</v>
      </c>
      <c r="P138" s="8">
        <f t="shared" si="19"/>
        <v>9.0959879396685128</v>
      </c>
      <c r="X138" s="8">
        <v>-13</v>
      </c>
    </row>
    <row r="139" spans="1:24" x14ac:dyDescent="0.2">
      <c r="A139" s="8">
        <v>68.5</v>
      </c>
      <c r="B139" s="8">
        <v>137</v>
      </c>
      <c r="D139">
        <v>855.29297105729995</v>
      </c>
      <c r="E139">
        <v>325.76432368577002</v>
      </c>
      <c r="F139">
        <v>120.2864737153</v>
      </c>
      <c r="G139">
        <v>108.66804489073</v>
      </c>
      <c r="I139" s="9">
        <f t="shared" si="15"/>
        <v>217.09627879504001</v>
      </c>
      <c r="J139" s="9">
        <f t="shared" si="16"/>
        <v>735.00649734199999</v>
      </c>
      <c r="K139" s="9">
        <f t="shared" si="17"/>
        <v>217.09627879504001</v>
      </c>
      <c r="L139" s="10">
        <f t="shared" si="14"/>
        <v>0.29536647577963476</v>
      </c>
      <c r="M139" s="10">
        <f t="shared" si="18"/>
        <v>0.33074772154895982</v>
      </c>
      <c r="P139" s="8">
        <f t="shared" si="19"/>
        <v>12.513711635450123</v>
      </c>
      <c r="X139" s="8">
        <v>-13</v>
      </c>
    </row>
    <row r="140" spans="1:24" x14ac:dyDescent="0.2">
      <c r="A140" s="8">
        <v>69</v>
      </c>
      <c r="B140" s="8">
        <v>138</v>
      </c>
      <c r="D140">
        <v>922.23567631423998</v>
      </c>
      <c r="E140">
        <v>336.91258121677998</v>
      </c>
      <c r="F140">
        <v>120.12817483757</v>
      </c>
      <c r="G140">
        <v>108.61783815712</v>
      </c>
      <c r="I140" s="9">
        <f t="shared" si="15"/>
        <v>228.29474305965999</v>
      </c>
      <c r="J140" s="9">
        <f t="shared" si="16"/>
        <v>802.10750147667</v>
      </c>
      <c r="K140" s="9">
        <f t="shared" si="17"/>
        <v>228.29474305965999</v>
      </c>
      <c r="L140" s="10">
        <f t="shared" si="14"/>
        <v>0.28461863607979254</v>
      </c>
      <c r="M140" s="10">
        <f t="shared" si="18"/>
        <v>0.32025813911750678</v>
      </c>
      <c r="P140" s="8">
        <f t="shared" si="19"/>
        <v>8.9453670151408176</v>
      </c>
      <c r="X140" s="8">
        <v>-13</v>
      </c>
    </row>
    <row r="141" spans="1:24" x14ac:dyDescent="0.2">
      <c r="A141" s="8">
        <v>69.5</v>
      </c>
      <c r="B141" s="8">
        <v>139</v>
      </c>
      <c r="D141">
        <v>937.9084465446</v>
      </c>
      <c r="E141">
        <v>341.15711754282</v>
      </c>
      <c r="F141">
        <v>120.18251624336</v>
      </c>
      <c r="G141">
        <v>108.81334908447</v>
      </c>
      <c r="I141" s="9">
        <f t="shared" si="15"/>
        <v>232.34376845834998</v>
      </c>
      <c r="J141" s="9">
        <f t="shared" si="16"/>
        <v>817.72593030123994</v>
      </c>
      <c r="K141" s="9">
        <f t="shared" si="17"/>
        <v>232.34376845834998</v>
      </c>
      <c r="L141" s="10">
        <f t="shared" si="14"/>
        <v>0.28413403543746923</v>
      </c>
      <c r="M141" s="10">
        <f t="shared" si="18"/>
        <v>0.32003179574357271</v>
      </c>
      <c r="P141" s="8">
        <f t="shared" si="19"/>
        <v>8.8683695592365197</v>
      </c>
      <c r="X141" s="8">
        <v>-13</v>
      </c>
    </row>
    <row r="142" spans="1:24" x14ac:dyDescent="0.2">
      <c r="A142" s="8">
        <v>70</v>
      </c>
      <c r="B142" s="8">
        <v>140</v>
      </c>
      <c r="D142">
        <v>933.75014766686002</v>
      </c>
      <c r="E142">
        <v>338.26698168931</v>
      </c>
      <c r="F142">
        <v>120.44300059067</v>
      </c>
      <c r="G142">
        <v>108.64500886000999</v>
      </c>
      <c r="I142" s="9">
        <f t="shared" si="15"/>
        <v>229.62197282930001</v>
      </c>
      <c r="J142" s="9">
        <f t="shared" si="16"/>
        <v>813.30714707619006</v>
      </c>
      <c r="K142" s="9">
        <f t="shared" si="17"/>
        <v>229.62197282930001</v>
      </c>
      <c r="L142" s="10">
        <f t="shared" si="14"/>
        <v>0.28233118773735449</v>
      </c>
      <c r="M142" s="10">
        <f t="shared" si="18"/>
        <v>0.31848720531184721</v>
      </c>
      <c r="P142" s="8">
        <f t="shared" si="19"/>
        <v>8.3429310116445521</v>
      </c>
      <c r="X142" s="8">
        <v>-13</v>
      </c>
    </row>
    <row r="143" spans="1:24" x14ac:dyDescent="0.2">
      <c r="A143" s="8">
        <v>70.5</v>
      </c>
      <c r="B143" s="8">
        <v>141</v>
      </c>
      <c r="D143">
        <v>890.02303603072005</v>
      </c>
      <c r="E143">
        <v>330.42055522740998</v>
      </c>
      <c r="F143">
        <v>120.40342587123</v>
      </c>
      <c r="G143">
        <v>108.66863555818</v>
      </c>
      <c r="I143" s="9">
        <f t="shared" si="15"/>
        <v>221.75191966922998</v>
      </c>
      <c r="J143" s="9">
        <f t="shared" si="16"/>
        <v>769.61961015949009</v>
      </c>
      <c r="K143" s="9">
        <f t="shared" si="17"/>
        <v>221.75191966922998</v>
      </c>
      <c r="L143" s="10">
        <f t="shared" si="14"/>
        <v>0.28813184687858434</v>
      </c>
      <c r="M143" s="10">
        <f t="shared" si="18"/>
        <v>0.3245461217214663</v>
      </c>
      <c r="P143" s="8">
        <f t="shared" si="19"/>
        <v>10.404052311415219</v>
      </c>
      <c r="X143" s="8">
        <v>-13</v>
      </c>
    </row>
    <row r="144" spans="1:24" x14ac:dyDescent="0.2">
      <c r="A144" s="8">
        <v>71</v>
      </c>
      <c r="B144" s="8">
        <v>142</v>
      </c>
      <c r="D144">
        <v>925.28765505020999</v>
      </c>
      <c r="E144">
        <v>338.60425280567</v>
      </c>
      <c r="F144">
        <v>120.29828706438001</v>
      </c>
      <c r="G144">
        <v>108.57412876551</v>
      </c>
      <c r="I144" s="9">
        <f t="shared" si="15"/>
        <v>230.03012404015999</v>
      </c>
      <c r="J144" s="9">
        <f t="shared" si="16"/>
        <v>804.98936798582997</v>
      </c>
      <c r="K144" s="9">
        <f t="shared" si="17"/>
        <v>230.03012404015999</v>
      </c>
      <c r="L144" s="10">
        <f t="shared" si="14"/>
        <v>0.28575548098941994</v>
      </c>
      <c r="M144" s="10">
        <f t="shared" si="18"/>
        <v>0.32242801310069114</v>
      </c>
      <c r="P144" s="8">
        <f t="shared" si="19"/>
        <v>9.6835144299919609</v>
      </c>
    </row>
    <row r="145" spans="1:16" x14ac:dyDescent="0.2">
      <c r="A145" s="8">
        <v>71.5</v>
      </c>
      <c r="B145" s="8">
        <v>143</v>
      </c>
      <c r="D145">
        <v>891.56408741877999</v>
      </c>
      <c r="E145">
        <v>328.30714707620001</v>
      </c>
      <c r="F145">
        <v>120.37389249851999</v>
      </c>
      <c r="G145">
        <v>109.01063201418</v>
      </c>
      <c r="I145" s="9">
        <f t="shared" si="15"/>
        <v>219.29651506202001</v>
      </c>
      <c r="J145" s="9">
        <f t="shared" si="16"/>
        <v>771.19019492025996</v>
      </c>
      <c r="K145" s="9">
        <f t="shared" si="17"/>
        <v>219.29651506202001</v>
      </c>
      <c r="L145" s="10">
        <f t="shared" si="14"/>
        <v>0.28436112972714206</v>
      </c>
      <c r="M145" s="10">
        <f t="shared" si="18"/>
        <v>0.32129191910680249</v>
      </c>
      <c r="P145" s="8">
        <f t="shared" si="19"/>
        <v>9.2970381409928464</v>
      </c>
    </row>
    <row r="146" spans="1:16" x14ac:dyDescent="0.2">
      <c r="A146" s="8">
        <v>72</v>
      </c>
      <c r="B146" s="8">
        <v>144</v>
      </c>
      <c r="D146">
        <v>839.97282929711002</v>
      </c>
      <c r="E146">
        <v>313.86887182516</v>
      </c>
      <c r="F146">
        <v>119.87005316007</v>
      </c>
      <c r="G146">
        <v>108.66981689309</v>
      </c>
      <c r="I146" s="9">
        <f t="shared" si="15"/>
        <v>205.19905493207</v>
      </c>
      <c r="J146" s="9">
        <f t="shared" si="16"/>
        <v>720.10277613704</v>
      </c>
      <c r="K146" s="9">
        <f t="shared" si="17"/>
        <v>205.19905493207</v>
      </c>
      <c r="L146" s="10">
        <f t="shared" si="14"/>
        <v>0.28495801117842012</v>
      </c>
      <c r="M146" s="10">
        <f t="shared" si="18"/>
        <v>0.3221470578264698</v>
      </c>
      <c r="P146" s="8">
        <f t="shared" si="19"/>
        <v>9.5879391058199399</v>
      </c>
    </row>
    <row r="147" spans="1:16" x14ac:dyDescent="0.2">
      <c r="A147" s="8">
        <v>72.5</v>
      </c>
      <c r="B147" s="8">
        <v>145</v>
      </c>
      <c r="D147">
        <v>871.36287923855002</v>
      </c>
      <c r="E147">
        <v>322.93218322426998</v>
      </c>
      <c r="F147">
        <v>120.29238038984001</v>
      </c>
      <c r="G147">
        <v>108.72356763142</v>
      </c>
      <c r="I147" s="9">
        <f t="shared" si="15"/>
        <v>214.20861559284998</v>
      </c>
      <c r="J147" s="9">
        <f t="shared" si="16"/>
        <v>751.07049884871003</v>
      </c>
      <c r="K147" s="9">
        <f t="shared" si="17"/>
        <v>214.20861559284998</v>
      </c>
      <c r="L147" s="10">
        <f t="shared" si="14"/>
        <v>0.2852044061392412</v>
      </c>
      <c r="M147" s="10">
        <f t="shared" si="18"/>
        <v>0.32265171005568011</v>
      </c>
      <c r="P147" s="8">
        <f t="shared" si="19"/>
        <v>9.7596116274858264</v>
      </c>
    </row>
    <row r="148" spans="1:16" x14ac:dyDescent="0.2">
      <c r="A148" s="8">
        <v>73</v>
      </c>
      <c r="B148" s="8">
        <v>146</v>
      </c>
      <c r="D148">
        <v>919.67221891731003</v>
      </c>
      <c r="E148">
        <v>336.87388459250002</v>
      </c>
      <c r="F148">
        <v>120.13644418193</v>
      </c>
      <c r="G148">
        <v>108.71884229179</v>
      </c>
      <c r="I148" s="9">
        <f t="shared" si="15"/>
        <v>228.15504230071002</v>
      </c>
      <c r="J148" s="9">
        <f t="shared" si="16"/>
        <v>799.53577473538007</v>
      </c>
      <c r="K148" s="9">
        <f t="shared" si="17"/>
        <v>228.15504230071002</v>
      </c>
      <c r="L148" s="10">
        <f t="shared" si="14"/>
        <v>0.28535939167477753</v>
      </c>
      <c r="M148" s="10">
        <f t="shared" si="18"/>
        <v>0.32306495285960568</v>
      </c>
      <c r="P148" s="8">
        <f t="shared" si="19"/>
        <v>9.9001885042018891</v>
      </c>
    </row>
    <row r="149" spans="1:16" x14ac:dyDescent="0.2">
      <c r="A149" s="8">
        <v>73.5</v>
      </c>
      <c r="B149" s="8">
        <v>147</v>
      </c>
      <c r="D149">
        <v>919.08566329565997</v>
      </c>
      <c r="E149">
        <v>336.41939321832001</v>
      </c>
      <c r="F149">
        <v>120.53632604844</v>
      </c>
      <c r="G149">
        <v>108.75428233904</v>
      </c>
      <c r="I149" s="9">
        <f t="shared" si="15"/>
        <v>227.66511087928001</v>
      </c>
      <c r="J149" s="9">
        <f t="shared" si="16"/>
        <v>798.54933724721991</v>
      </c>
      <c r="K149" s="9">
        <f t="shared" si="17"/>
        <v>227.66511087928001</v>
      </c>
      <c r="L149" s="10">
        <f t="shared" si="14"/>
        <v>0.28509836557387064</v>
      </c>
      <c r="M149" s="10">
        <f t="shared" si="18"/>
        <v>0.32306218402708803</v>
      </c>
      <c r="P149" s="8">
        <f t="shared" si="19"/>
        <v>9.8992466031602149</v>
      </c>
    </row>
    <row r="150" spans="1:16" x14ac:dyDescent="0.2">
      <c r="A150" s="8">
        <v>74</v>
      </c>
      <c r="B150" s="8">
        <v>148</v>
      </c>
      <c r="D150">
        <v>889.57900943395998</v>
      </c>
      <c r="E150">
        <v>325</v>
      </c>
      <c r="F150">
        <v>120.03071470762001</v>
      </c>
      <c r="G150">
        <v>108.81925575901001</v>
      </c>
      <c r="I150" s="9">
        <f t="shared" si="15"/>
        <v>216.18074424099001</v>
      </c>
      <c r="J150" s="9">
        <f t="shared" si="16"/>
        <v>769.54829472633992</v>
      </c>
      <c r="K150" s="9">
        <f t="shared" si="17"/>
        <v>216.18074424099001</v>
      </c>
      <c r="L150" s="10">
        <f t="shared" si="14"/>
        <v>0.2809190088815236</v>
      </c>
      <c r="M150" s="10">
        <f t="shared" si="18"/>
        <v>0.31914108460313018</v>
      </c>
      <c r="P150" s="8">
        <f t="shared" si="19"/>
        <v>8.5653675735028116</v>
      </c>
    </row>
    <row r="151" spans="1:16" x14ac:dyDescent="0.2">
      <c r="A151" s="8">
        <v>74.5</v>
      </c>
      <c r="B151" s="8">
        <v>149</v>
      </c>
      <c r="D151">
        <v>859.21800947866996</v>
      </c>
      <c r="E151">
        <v>314.48281990521002</v>
      </c>
      <c r="F151">
        <v>120.14116952156</v>
      </c>
      <c r="G151">
        <v>108.93561724749</v>
      </c>
      <c r="I151" s="9">
        <f t="shared" si="15"/>
        <v>205.54720265772002</v>
      </c>
      <c r="J151" s="9">
        <f t="shared" si="16"/>
        <v>739.07683995711</v>
      </c>
      <c r="K151" s="9">
        <f t="shared" si="17"/>
        <v>205.54720265772002</v>
      </c>
      <c r="L151" s="10">
        <f t="shared" si="14"/>
        <v>0.27811344036926972</v>
      </c>
      <c r="M151" s="10">
        <f t="shared" si="18"/>
        <v>0.31659377335926553</v>
      </c>
      <c r="P151" s="8">
        <f t="shared" si="19"/>
        <v>7.6988236064100546</v>
      </c>
    </row>
    <row r="152" spans="1:16" x14ac:dyDescent="0.2">
      <c r="A152" s="8">
        <v>75</v>
      </c>
      <c r="B152" s="8">
        <v>150</v>
      </c>
      <c r="D152">
        <v>806.55272511848</v>
      </c>
      <c r="E152">
        <v>303.63507109005002</v>
      </c>
      <c r="F152">
        <v>120.19669226226</v>
      </c>
      <c r="G152">
        <v>108.88659184879</v>
      </c>
      <c r="I152" s="9">
        <f t="shared" si="15"/>
        <v>194.74847924126001</v>
      </c>
      <c r="J152" s="9">
        <f t="shared" si="16"/>
        <v>686.35603285622005</v>
      </c>
      <c r="K152" s="9">
        <f t="shared" si="17"/>
        <v>194.74847924126001</v>
      </c>
      <c r="L152" s="10">
        <f t="shared" si="14"/>
        <v>0.2837426494684232</v>
      </c>
      <c r="M152" s="10">
        <f t="shared" si="18"/>
        <v>0.32248123972680826</v>
      </c>
      <c r="P152" s="8">
        <f t="shared" si="19"/>
        <v>9.7016210558946963</v>
      </c>
    </row>
    <row r="153" spans="1:16" x14ac:dyDescent="0.2">
      <c r="A153" s="8">
        <v>75.5</v>
      </c>
      <c r="B153" s="8">
        <v>151</v>
      </c>
      <c r="D153">
        <v>798.44549763033001</v>
      </c>
      <c r="E153">
        <v>302.98755924171002</v>
      </c>
      <c r="F153">
        <v>120.23803898404999</v>
      </c>
      <c r="G153">
        <v>108.32841110455</v>
      </c>
      <c r="I153" s="9">
        <f t="shared" si="15"/>
        <v>194.65914813716</v>
      </c>
      <c r="J153" s="9">
        <f t="shared" si="16"/>
        <v>678.20745864627997</v>
      </c>
      <c r="K153" s="9">
        <f t="shared" si="17"/>
        <v>194.65914813716</v>
      </c>
      <c r="L153" s="10">
        <f t="shared" si="14"/>
        <v>0.28702006392808599</v>
      </c>
      <c r="M153" s="10">
        <f t="shared" si="18"/>
        <v>0.32601691145486028</v>
      </c>
      <c r="P153" s="8">
        <f t="shared" si="19"/>
        <v>10.904385348221869</v>
      </c>
    </row>
    <row r="154" spans="1:16" x14ac:dyDescent="0.2">
      <c r="A154" s="8">
        <v>76</v>
      </c>
      <c r="B154" s="8">
        <v>152</v>
      </c>
      <c r="D154">
        <v>796.20853080568997</v>
      </c>
      <c r="E154">
        <v>301.64632701421999</v>
      </c>
      <c r="F154">
        <v>119.91258121678</v>
      </c>
      <c r="G154">
        <v>108.44063792084999</v>
      </c>
      <c r="I154" s="9">
        <f t="shared" si="15"/>
        <v>193.20568909336998</v>
      </c>
      <c r="J154" s="9">
        <f t="shared" si="16"/>
        <v>676.29594958890993</v>
      </c>
      <c r="K154" s="9">
        <f t="shared" si="17"/>
        <v>193.20568909336998</v>
      </c>
      <c r="L154" s="10">
        <f t="shared" si="14"/>
        <v>0.28568216209310598</v>
      </c>
      <c r="M154" s="10">
        <f t="shared" si="18"/>
        <v>0.32493726688826952</v>
      </c>
      <c r="P154" s="8">
        <f t="shared" si="19"/>
        <v>10.537112017160712</v>
      </c>
    </row>
    <row r="155" spans="1:16" x14ac:dyDescent="0.2">
      <c r="A155" s="8">
        <v>76.5</v>
      </c>
      <c r="B155" s="8">
        <v>153</v>
      </c>
      <c r="D155">
        <v>866.27902843601998</v>
      </c>
      <c r="E155">
        <v>319.26184834123001</v>
      </c>
      <c r="F155">
        <v>119.75369167159</v>
      </c>
      <c r="G155">
        <v>108.68989958653</v>
      </c>
      <c r="I155" s="9">
        <f t="shared" si="15"/>
        <v>210.5719487547</v>
      </c>
      <c r="J155" s="9">
        <f t="shared" si="16"/>
        <v>746.52533676442999</v>
      </c>
      <c r="K155" s="9">
        <f t="shared" si="17"/>
        <v>210.5719487547</v>
      </c>
      <c r="L155" s="10">
        <f t="shared" si="14"/>
        <v>0.28206939320687396</v>
      </c>
      <c r="M155" s="10">
        <f t="shared" si="18"/>
        <v>0.32158275527042673</v>
      </c>
      <c r="P155" s="8">
        <f t="shared" si="19"/>
        <v>9.3959747446795774</v>
      </c>
    </row>
    <row r="156" spans="1:16" x14ac:dyDescent="0.2">
      <c r="A156" s="8">
        <v>77</v>
      </c>
      <c r="B156" s="8">
        <v>154</v>
      </c>
      <c r="D156">
        <v>891.36196682465004</v>
      </c>
      <c r="E156">
        <v>319.82109004738999</v>
      </c>
      <c r="F156">
        <v>119.80035440047</v>
      </c>
      <c r="G156">
        <v>108.88422917897</v>
      </c>
      <c r="I156" s="9">
        <f t="shared" si="15"/>
        <v>210.93686086841998</v>
      </c>
      <c r="J156" s="9">
        <f t="shared" si="16"/>
        <v>771.56161242418</v>
      </c>
      <c r="K156" s="9">
        <f t="shared" si="17"/>
        <v>210.93686086841998</v>
      </c>
      <c r="L156" s="10">
        <f t="shared" si="14"/>
        <v>0.27338952258870758</v>
      </c>
      <c r="M156" s="10">
        <f t="shared" si="18"/>
        <v>0.31316114192064959</v>
      </c>
      <c r="P156" s="8">
        <f t="shared" si="19"/>
        <v>6.5311115447018881</v>
      </c>
    </row>
    <row r="157" spans="1:16" x14ac:dyDescent="0.2">
      <c r="A157" s="8">
        <v>77.5</v>
      </c>
      <c r="B157" s="8">
        <v>155</v>
      </c>
      <c r="D157">
        <v>898.14057885411</v>
      </c>
      <c r="E157">
        <v>321.02303603071999</v>
      </c>
      <c r="F157">
        <v>119.72711163615</v>
      </c>
      <c r="G157">
        <v>108.86532782044</v>
      </c>
      <c r="I157" s="9">
        <f t="shared" si="15"/>
        <v>212.15770821027999</v>
      </c>
      <c r="J157" s="9">
        <f t="shared" si="16"/>
        <v>778.41346721796003</v>
      </c>
      <c r="K157" s="9">
        <f t="shared" si="17"/>
        <v>212.15770821027999</v>
      </c>
      <c r="L157" s="10">
        <f t="shared" si="14"/>
        <v>0.27255143589502501</v>
      </c>
      <c r="M157" s="10">
        <f t="shared" si="18"/>
        <v>0.31258131249535626</v>
      </c>
      <c r="P157" s="8">
        <f t="shared" si="19"/>
        <v>6.3338652554465122</v>
      </c>
    </row>
    <row r="158" spans="1:16" x14ac:dyDescent="0.2">
      <c r="A158" s="8">
        <v>78</v>
      </c>
      <c r="B158" s="8">
        <v>156</v>
      </c>
      <c r="D158">
        <v>864.16420555227</v>
      </c>
      <c r="E158">
        <v>311.72711163615003</v>
      </c>
      <c r="F158">
        <v>119.96455995274999</v>
      </c>
      <c r="G158">
        <v>108.56467808623999</v>
      </c>
      <c r="I158" s="9">
        <f t="shared" si="15"/>
        <v>203.16243354991002</v>
      </c>
      <c r="J158" s="9">
        <f t="shared" si="16"/>
        <v>744.19964559951995</v>
      </c>
      <c r="K158" s="9">
        <f t="shared" si="17"/>
        <v>203.16243354991002</v>
      </c>
      <c r="L158" s="10">
        <f t="shared" si="14"/>
        <v>0.27299453144222391</v>
      </c>
      <c r="M158" s="10">
        <f t="shared" si="18"/>
        <v>0.3132826653109444</v>
      </c>
      <c r="P158" s="8">
        <f t="shared" si="19"/>
        <v>6.5724513538729354</v>
      </c>
    </row>
    <row r="159" spans="1:16" x14ac:dyDescent="0.2">
      <c r="A159" s="8">
        <v>78.5</v>
      </c>
      <c r="B159" s="8">
        <v>157</v>
      </c>
      <c r="D159">
        <v>840.21466587817997</v>
      </c>
      <c r="E159">
        <v>305.58722649319998</v>
      </c>
      <c r="F159">
        <v>120.01476668636001</v>
      </c>
      <c r="G159">
        <v>108.82279976373</v>
      </c>
      <c r="I159" s="9">
        <f t="shared" si="15"/>
        <v>196.76442672946996</v>
      </c>
      <c r="J159" s="9">
        <f t="shared" si="16"/>
        <v>720.19989919182001</v>
      </c>
      <c r="K159" s="9">
        <f t="shared" si="17"/>
        <v>196.76442672946996</v>
      </c>
      <c r="L159" s="10">
        <f t="shared" si="14"/>
        <v>0.27320807313396078</v>
      </c>
      <c r="M159" s="10">
        <f t="shared" si="18"/>
        <v>0.31375446427107051</v>
      </c>
      <c r="P159" s="8">
        <f t="shared" si="19"/>
        <v>6.7329478552575299</v>
      </c>
    </row>
    <row r="160" spans="1:16" x14ac:dyDescent="0.2">
      <c r="A160" s="8">
        <v>79</v>
      </c>
      <c r="B160" s="8">
        <v>158</v>
      </c>
      <c r="D160">
        <v>883.41750443524995</v>
      </c>
      <c r="E160">
        <v>311.03784742756</v>
      </c>
      <c r="F160">
        <v>120.30596574129</v>
      </c>
      <c r="G160">
        <v>108.57944477258999</v>
      </c>
      <c r="I160" s="9">
        <f t="shared" si="15"/>
        <v>202.45840265497</v>
      </c>
      <c r="J160" s="9">
        <f t="shared" si="16"/>
        <v>763.11153869395991</v>
      </c>
      <c r="K160" s="9">
        <f t="shared" si="17"/>
        <v>202.45840265497</v>
      </c>
      <c r="L160" s="10">
        <f t="shared" si="14"/>
        <v>0.26530643607023796</v>
      </c>
      <c r="M160" s="10">
        <f t="shared" si="18"/>
        <v>0.30611108447573693</v>
      </c>
      <c r="P160" s="8">
        <f t="shared" si="19"/>
        <v>4.1328240322273944</v>
      </c>
    </row>
    <row r="161" spans="1:16" x14ac:dyDescent="0.2">
      <c r="A161" s="8">
        <v>79.5</v>
      </c>
      <c r="B161" s="8">
        <v>159</v>
      </c>
      <c r="D161">
        <v>912.44042679311997</v>
      </c>
      <c r="E161">
        <v>315.76882039123001</v>
      </c>
      <c r="F161">
        <v>120.23922031895999</v>
      </c>
      <c r="G161">
        <v>108.73951565269</v>
      </c>
      <c r="I161" s="9">
        <f t="shared" si="15"/>
        <v>207.02930473854002</v>
      </c>
      <c r="J161" s="9">
        <f t="shared" si="16"/>
        <v>792.20120647416002</v>
      </c>
      <c r="K161" s="9">
        <f t="shared" si="17"/>
        <v>207.02930473854002</v>
      </c>
      <c r="L161" s="10">
        <f t="shared" si="14"/>
        <v>0.26133424570250624</v>
      </c>
      <c r="M161" s="10">
        <f t="shared" si="18"/>
        <v>0.30239715137639445</v>
      </c>
      <c r="P161" s="8">
        <f t="shared" si="19"/>
        <v>2.8694188126364337</v>
      </c>
    </row>
    <row r="162" spans="1:16" x14ac:dyDescent="0.2">
      <c r="A162" s="8">
        <v>80</v>
      </c>
      <c r="B162" s="4">
        <v>160</v>
      </c>
      <c r="C162" s="4" t="s">
        <v>6</v>
      </c>
      <c r="D162">
        <v>919.96613190731</v>
      </c>
      <c r="E162">
        <v>317.83125371361001</v>
      </c>
      <c r="F162">
        <v>120.10218546957999</v>
      </c>
      <c r="G162">
        <v>108.67572356763</v>
      </c>
      <c r="H162" s="4"/>
      <c r="I162" s="5">
        <f t="shared" si="15"/>
        <v>209.15553014598001</v>
      </c>
      <c r="J162" s="5">
        <f t="shared" si="16"/>
        <v>799.86394643772996</v>
      </c>
      <c r="K162" s="9">
        <f t="shared" si="17"/>
        <v>209.15553014598001</v>
      </c>
      <c r="L162" s="6">
        <f t="shared" si="14"/>
        <v>0.26148888330005876</v>
      </c>
      <c r="M162" s="6">
        <f t="shared" si="18"/>
        <v>0.30281004624233615</v>
      </c>
      <c r="N162" s="4"/>
      <c r="O162" s="4"/>
      <c r="P162" s="4">
        <f t="shared" si="19"/>
        <v>3.0098773278599342</v>
      </c>
    </row>
    <row r="163" spans="1:16" x14ac:dyDescent="0.2">
      <c r="A163" s="8">
        <v>80.5</v>
      </c>
      <c r="B163" s="8">
        <v>161</v>
      </c>
      <c r="D163">
        <v>951.81521093286005</v>
      </c>
      <c r="E163">
        <v>326.53832442068</v>
      </c>
      <c r="F163">
        <v>120.24335499114</v>
      </c>
      <c r="G163">
        <v>108.74365032487</v>
      </c>
      <c r="I163" s="9">
        <f t="shared" si="15"/>
        <v>217.79467409581</v>
      </c>
      <c r="J163" s="9">
        <f t="shared" si="16"/>
        <v>831.57185594172006</v>
      </c>
      <c r="K163" s="9">
        <f t="shared" si="17"/>
        <v>217.79467409581</v>
      </c>
      <c r="L163" s="10">
        <f t="shared" si="14"/>
        <v>0.26190722129378308</v>
      </c>
      <c r="M163" s="10">
        <f t="shared" si="18"/>
        <v>0.30348664150444971</v>
      </c>
      <c r="P163" s="8">
        <f t="shared" si="19"/>
        <v>3.2400414053593694</v>
      </c>
    </row>
    <row r="164" spans="1:16" x14ac:dyDescent="0.2">
      <c r="A164" s="8">
        <v>81</v>
      </c>
      <c r="B164" s="8">
        <v>162</v>
      </c>
      <c r="D164">
        <v>979.82803297997998</v>
      </c>
      <c r="E164">
        <v>332.61484098940002</v>
      </c>
      <c r="F164">
        <v>120.32545776728</v>
      </c>
      <c r="G164">
        <v>108.49852333136</v>
      </c>
      <c r="I164" s="9">
        <f t="shared" si="15"/>
        <v>224.11631765804003</v>
      </c>
      <c r="J164" s="9">
        <f t="shared" si="16"/>
        <v>859.50257521269998</v>
      </c>
      <c r="K164" s="9">
        <f t="shared" si="17"/>
        <v>224.11631765804003</v>
      </c>
      <c r="L164" s="10">
        <f t="shared" si="14"/>
        <v>0.26075118809571718</v>
      </c>
      <c r="M164" s="10">
        <f t="shared" si="18"/>
        <v>0.30258886557477305</v>
      </c>
      <c r="P164" s="8">
        <f t="shared" si="19"/>
        <v>2.9346361206552838</v>
      </c>
    </row>
    <row r="165" spans="1:16" x14ac:dyDescent="0.2">
      <c r="A165" s="8">
        <v>81.5</v>
      </c>
      <c r="B165" s="8">
        <v>163</v>
      </c>
      <c r="D165">
        <v>945.86808009422998</v>
      </c>
      <c r="E165">
        <v>328.46819787985999</v>
      </c>
      <c r="F165">
        <v>120.25989367986</v>
      </c>
      <c r="G165">
        <v>108.89840519787001</v>
      </c>
      <c r="I165" s="9">
        <f t="shared" si="15"/>
        <v>219.56979268198998</v>
      </c>
      <c r="J165" s="9">
        <f t="shared" si="16"/>
        <v>825.60818641437004</v>
      </c>
      <c r="K165" s="9">
        <f t="shared" si="17"/>
        <v>219.56979268198998</v>
      </c>
      <c r="L165" s="10">
        <f t="shared" si="14"/>
        <v>0.26594914669582581</v>
      </c>
      <c r="M165" s="10">
        <f t="shared" si="18"/>
        <v>0.30804508144327092</v>
      </c>
      <c r="P165" s="8">
        <f t="shared" si="19"/>
        <v>4.7907308383268683</v>
      </c>
    </row>
    <row r="166" spans="1:16" x14ac:dyDescent="0.2">
      <c r="A166" s="8">
        <v>82</v>
      </c>
      <c r="B166" s="8">
        <v>164</v>
      </c>
      <c r="D166">
        <v>913.47831253714003</v>
      </c>
      <c r="E166">
        <v>317.62210338681001</v>
      </c>
      <c r="F166">
        <v>120.33845245127</v>
      </c>
      <c r="G166">
        <v>108.41346721796</v>
      </c>
      <c r="I166" s="9">
        <f t="shared" si="15"/>
        <v>209.20863616885001</v>
      </c>
      <c r="J166" s="9">
        <f t="shared" si="16"/>
        <v>793.13986008587005</v>
      </c>
      <c r="K166" s="9">
        <f t="shared" si="17"/>
        <v>209.20863616885001</v>
      </c>
      <c r="L166" s="10">
        <f t="shared" si="14"/>
        <v>0.26377269217840071</v>
      </c>
      <c r="M166" s="10">
        <f t="shared" si="18"/>
        <v>0.30612688419423506</v>
      </c>
      <c r="P166" s="8">
        <f t="shared" si="19"/>
        <v>4.1381987781597172</v>
      </c>
    </row>
    <row r="167" spans="1:16" x14ac:dyDescent="0.2">
      <c r="A167" s="8">
        <v>82.5</v>
      </c>
      <c r="B167" s="8">
        <v>165</v>
      </c>
      <c r="D167">
        <v>890.80330773774006</v>
      </c>
      <c r="E167">
        <v>308.87773183697999</v>
      </c>
      <c r="F167">
        <v>119.82693443591</v>
      </c>
      <c r="G167">
        <v>108.86119314826</v>
      </c>
      <c r="I167" s="9">
        <f t="shared" si="15"/>
        <v>200.01653868872</v>
      </c>
      <c r="J167" s="9">
        <f t="shared" si="16"/>
        <v>770.97637330183011</v>
      </c>
      <c r="K167" s="9">
        <f t="shared" si="17"/>
        <v>200.01653868872</v>
      </c>
      <c r="L167" s="10">
        <f t="shared" si="14"/>
        <v>0.25943277331848325</v>
      </c>
      <c r="M167" s="10">
        <f t="shared" si="18"/>
        <v>0.30204522260270683</v>
      </c>
      <c r="P167" s="8">
        <f t="shared" si="19"/>
        <v>2.7496997337763713</v>
      </c>
    </row>
    <row r="168" spans="1:16" x14ac:dyDescent="0.2">
      <c r="A168" s="8">
        <v>83</v>
      </c>
      <c r="B168" s="8">
        <v>166</v>
      </c>
      <c r="D168">
        <v>879.88127584170002</v>
      </c>
      <c r="E168">
        <v>303.39161252215001</v>
      </c>
      <c r="F168">
        <v>119.94211458949</v>
      </c>
      <c r="G168">
        <v>108.7897223863</v>
      </c>
      <c r="I168" s="9">
        <f t="shared" si="15"/>
        <v>194.60189013585</v>
      </c>
      <c r="J168" s="9">
        <f t="shared" si="16"/>
        <v>759.93916125221006</v>
      </c>
      <c r="K168" s="9">
        <f t="shared" si="17"/>
        <v>194.60189013585</v>
      </c>
      <c r="L168" s="10">
        <f t="shared" si="14"/>
        <v>0.25607561770496146</v>
      </c>
      <c r="M168" s="10">
        <f t="shared" si="18"/>
        <v>0.29894632425757428</v>
      </c>
      <c r="P168" s="8">
        <f t="shared" si="19"/>
        <v>1.6955169470925187</v>
      </c>
    </row>
    <row r="169" spans="1:16" x14ac:dyDescent="0.2">
      <c r="A169" s="8">
        <v>83.5</v>
      </c>
      <c r="B169" s="8">
        <v>167</v>
      </c>
      <c r="D169">
        <v>916.81453041937004</v>
      </c>
      <c r="E169">
        <v>310.61606615476001</v>
      </c>
      <c r="F169">
        <v>120.56231541642001</v>
      </c>
      <c r="G169">
        <v>108.74719432959</v>
      </c>
      <c r="I169" s="9">
        <f t="shared" si="15"/>
        <v>201.86887182517</v>
      </c>
      <c r="J169" s="9">
        <f t="shared" si="16"/>
        <v>796.25221500295004</v>
      </c>
      <c r="K169" s="9">
        <f t="shared" si="17"/>
        <v>201.86887182517</v>
      </c>
      <c r="L169" s="10">
        <f t="shared" si="14"/>
        <v>0.25352378055792546</v>
      </c>
      <c r="M169" s="10">
        <f t="shared" si="18"/>
        <v>0.29665274437892752</v>
      </c>
      <c r="P169" s="8">
        <f t="shared" si="19"/>
        <v>0.91528727878101102</v>
      </c>
    </row>
    <row r="170" spans="1:16" x14ac:dyDescent="0.2">
      <c r="A170" s="8">
        <v>84</v>
      </c>
      <c r="B170" s="8">
        <v>168</v>
      </c>
      <c r="D170">
        <v>917.48427299702996</v>
      </c>
      <c r="E170">
        <v>309.30979228487001</v>
      </c>
      <c r="F170">
        <v>120.30596574129</v>
      </c>
      <c r="G170">
        <v>108.72415829888</v>
      </c>
      <c r="I170" s="9">
        <f t="shared" si="15"/>
        <v>200.58563398599</v>
      </c>
      <c r="J170" s="9">
        <f t="shared" si="16"/>
        <v>797.17830725573992</v>
      </c>
      <c r="K170" s="9">
        <f t="shared" si="17"/>
        <v>200.58563398599</v>
      </c>
      <c r="L170" s="10">
        <f t="shared" si="14"/>
        <v>0.25161953374835228</v>
      </c>
      <c r="M170" s="10">
        <f t="shared" si="18"/>
        <v>0.29500675483774358</v>
      </c>
      <c r="P170" s="8">
        <f t="shared" si="19"/>
        <v>0.3553547969352574</v>
      </c>
    </row>
    <row r="171" spans="1:16" x14ac:dyDescent="0.2">
      <c r="A171" s="8">
        <v>84.5</v>
      </c>
      <c r="B171" s="8">
        <v>169</v>
      </c>
      <c r="D171">
        <v>921.14421364985003</v>
      </c>
      <c r="E171">
        <v>306.61424332344001</v>
      </c>
      <c r="F171">
        <v>120.11990549321</v>
      </c>
      <c r="G171">
        <v>108.91258121678</v>
      </c>
      <c r="I171" s="9">
        <f t="shared" si="15"/>
        <v>197.70166210666002</v>
      </c>
      <c r="J171" s="9">
        <f t="shared" si="16"/>
        <v>801.02430815664002</v>
      </c>
      <c r="K171" s="9">
        <f t="shared" si="17"/>
        <v>197.70166210666002</v>
      </c>
      <c r="L171" s="10">
        <f t="shared" si="14"/>
        <v>0.24681106440030723</v>
      </c>
      <c r="M171" s="10">
        <f t="shared" si="18"/>
        <v>0.29045654275808774</v>
      </c>
      <c r="P171" s="8">
        <f t="shared" si="19"/>
        <v>-1.1925356841024299</v>
      </c>
    </row>
    <row r="172" spans="1:16" x14ac:dyDescent="0.2">
      <c r="A172" s="8">
        <v>85</v>
      </c>
      <c r="B172" s="8">
        <v>170</v>
      </c>
      <c r="D172">
        <v>878.43801652893001</v>
      </c>
      <c r="E172">
        <v>296.94864226682</v>
      </c>
      <c r="F172">
        <v>120.93561724749</v>
      </c>
      <c r="G172">
        <v>108.85233313644</v>
      </c>
      <c r="I172" s="9">
        <f t="shared" si="15"/>
        <v>188.09630913038001</v>
      </c>
      <c r="J172" s="9">
        <f t="shared" si="16"/>
        <v>757.50239928144003</v>
      </c>
      <c r="K172" s="9">
        <f t="shared" si="17"/>
        <v>188.09630913038001</v>
      </c>
      <c r="L172" s="10">
        <f t="shared" si="14"/>
        <v>0.24831117275510478</v>
      </c>
      <c r="M172" s="10">
        <f t="shared" si="18"/>
        <v>0.29221490838127451</v>
      </c>
      <c r="P172" s="8">
        <f t="shared" si="19"/>
        <v>-0.59437512308511609</v>
      </c>
    </row>
    <row r="173" spans="1:16" x14ac:dyDescent="0.2">
      <c r="A173" s="8">
        <v>85.5</v>
      </c>
      <c r="B173" s="8">
        <v>171</v>
      </c>
      <c r="D173">
        <v>846.92266824085004</v>
      </c>
      <c r="E173">
        <v>292.77863046045002</v>
      </c>
      <c r="F173">
        <v>120.24158298878</v>
      </c>
      <c r="G173">
        <v>108.76786769048999</v>
      </c>
      <c r="I173" s="9">
        <f t="shared" si="15"/>
        <v>184.01076276996002</v>
      </c>
      <c r="J173" s="9">
        <f t="shared" si="16"/>
        <v>726.68108525207003</v>
      </c>
      <c r="K173" s="9">
        <f t="shared" si="17"/>
        <v>184.01076276996002</v>
      </c>
      <c r="L173" s="10">
        <f t="shared" si="14"/>
        <v>0.25322079589580987</v>
      </c>
      <c r="M173" s="10">
        <f t="shared" si="18"/>
        <v>0.29738278879036883</v>
      </c>
      <c r="P173" s="8">
        <f t="shared" si="19"/>
        <v>1.1636336800964937</v>
      </c>
    </row>
    <row r="174" spans="1:16" x14ac:dyDescent="0.2">
      <c r="A174" s="8">
        <v>86</v>
      </c>
      <c r="B174" s="8">
        <v>172</v>
      </c>
      <c r="D174">
        <v>889.20543093269998</v>
      </c>
      <c r="E174">
        <v>303.12927981109999</v>
      </c>
      <c r="F174">
        <v>120.39279385706</v>
      </c>
      <c r="G174">
        <v>108.7265209687</v>
      </c>
      <c r="I174" s="9">
        <f t="shared" si="15"/>
        <v>194.40275884239998</v>
      </c>
      <c r="J174" s="9">
        <f t="shared" si="16"/>
        <v>768.81263707563994</v>
      </c>
      <c r="K174" s="9">
        <f t="shared" si="17"/>
        <v>194.40275884239998</v>
      </c>
      <c r="L174" s="10">
        <f t="shared" si="14"/>
        <v>0.2528610346232818</v>
      </c>
      <c r="M174" s="10">
        <f t="shared" si="18"/>
        <v>0.29728128478623</v>
      </c>
      <c r="P174" s="8">
        <f t="shared" si="19"/>
        <v>1.1291040627856475</v>
      </c>
    </row>
    <row r="175" spans="1:16" x14ac:dyDescent="0.2">
      <c r="A175" s="8">
        <v>86.5</v>
      </c>
      <c r="B175" s="8">
        <v>173</v>
      </c>
      <c r="D175">
        <v>911.85824895770998</v>
      </c>
      <c r="E175">
        <v>308.62954139368998</v>
      </c>
      <c r="F175">
        <v>120.77790903720999</v>
      </c>
      <c r="G175">
        <v>108.97401063201001</v>
      </c>
      <c r="I175" s="9">
        <f t="shared" si="15"/>
        <v>199.65553076167998</v>
      </c>
      <c r="J175" s="9">
        <f t="shared" si="16"/>
        <v>791.08033992050002</v>
      </c>
      <c r="K175" s="9">
        <f t="shared" si="17"/>
        <v>199.65553076167998</v>
      </c>
      <c r="L175" s="10">
        <f t="shared" si="14"/>
        <v>0.25238338091140589</v>
      </c>
      <c r="M175" s="10">
        <f t="shared" si="18"/>
        <v>0.29706188834274333</v>
      </c>
      <c r="P175" s="8">
        <f t="shared" si="19"/>
        <v>1.0544698126668635</v>
      </c>
    </row>
    <row r="176" spans="1:16" x14ac:dyDescent="0.2">
      <c r="A176" s="8">
        <v>87</v>
      </c>
      <c r="B176" s="8">
        <v>174</v>
      </c>
      <c r="D176">
        <v>880.56581298391995</v>
      </c>
      <c r="E176">
        <v>300.76235854675002</v>
      </c>
      <c r="F176">
        <v>120.57058476077999</v>
      </c>
      <c r="G176">
        <v>108.8812758417</v>
      </c>
      <c r="I176" s="9">
        <f t="shared" si="15"/>
        <v>191.88108270505001</v>
      </c>
      <c r="J176" s="9">
        <f t="shared" si="16"/>
        <v>759.99522822313997</v>
      </c>
      <c r="K176" s="9">
        <f t="shared" si="17"/>
        <v>191.88108270505001</v>
      </c>
      <c r="L176" s="10">
        <f t="shared" si="14"/>
        <v>0.25247669403617934</v>
      </c>
      <c r="M176" s="10">
        <f t="shared" si="18"/>
        <v>0.29741345873590602</v>
      </c>
      <c r="P176" s="8">
        <f t="shared" si="19"/>
        <v>1.1740669776922725</v>
      </c>
    </row>
    <row r="177" spans="1:16" x14ac:dyDescent="0.2">
      <c r="A177" s="8">
        <v>87.5</v>
      </c>
      <c r="B177" s="8">
        <v>175</v>
      </c>
      <c r="D177">
        <v>856.73377010125</v>
      </c>
      <c r="E177">
        <v>294.25312686122999</v>
      </c>
      <c r="F177">
        <v>120.37330183106999</v>
      </c>
      <c r="G177">
        <v>108.54636739516</v>
      </c>
      <c r="I177" s="9">
        <f t="shared" si="15"/>
        <v>185.70675946606997</v>
      </c>
      <c r="J177" s="9">
        <f t="shared" si="16"/>
        <v>736.36046827018004</v>
      </c>
      <c r="K177" s="9">
        <f t="shared" si="17"/>
        <v>185.70675946606997</v>
      </c>
      <c r="L177" s="10">
        <f t="shared" si="14"/>
        <v>0.25219544973988445</v>
      </c>
      <c r="M177" s="10">
        <f t="shared" si="18"/>
        <v>0.29739047170800037</v>
      </c>
      <c r="P177" s="8">
        <f t="shared" si="19"/>
        <v>1.1662472538948714</v>
      </c>
    </row>
    <row r="178" spans="1:16" x14ac:dyDescent="0.2">
      <c r="A178" s="8">
        <v>88</v>
      </c>
      <c r="B178" s="8">
        <v>176</v>
      </c>
      <c r="D178">
        <v>866.43597379392997</v>
      </c>
      <c r="E178">
        <v>295.3942823109</v>
      </c>
      <c r="F178">
        <v>120.65741287655</v>
      </c>
      <c r="G178">
        <v>109.03071470762001</v>
      </c>
      <c r="I178" s="9">
        <f t="shared" si="15"/>
        <v>186.36356760327999</v>
      </c>
      <c r="J178" s="9">
        <f t="shared" si="16"/>
        <v>745.77856091737999</v>
      </c>
      <c r="K178" s="9">
        <f t="shared" si="17"/>
        <v>186.36356760327999</v>
      </c>
      <c r="L178" s="10">
        <f t="shared" si="14"/>
        <v>0.24989129128897822</v>
      </c>
      <c r="M178" s="10">
        <f t="shared" si="18"/>
        <v>0.29534457052548335</v>
      </c>
      <c r="P178" s="8">
        <f t="shared" si="19"/>
        <v>0.47027288827774827</v>
      </c>
    </row>
    <row r="179" spans="1:16" x14ac:dyDescent="0.2">
      <c r="A179" s="8">
        <v>88.5</v>
      </c>
      <c r="B179" s="8">
        <v>177</v>
      </c>
      <c r="D179">
        <v>874.24002382370998</v>
      </c>
      <c r="E179">
        <v>299.00536033353001</v>
      </c>
      <c r="F179">
        <v>120.50206733608999</v>
      </c>
      <c r="G179">
        <v>108.77731836976</v>
      </c>
      <c r="I179" s="9">
        <f t="shared" si="15"/>
        <v>190.22804196377001</v>
      </c>
      <c r="J179" s="9">
        <f t="shared" si="16"/>
        <v>753.73795648761995</v>
      </c>
      <c r="K179" s="9">
        <f t="shared" si="17"/>
        <v>190.22804196377001</v>
      </c>
      <c r="L179" s="10">
        <f t="shared" si="14"/>
        <v>0.25237954427852205</v>
      </c>
      <c r="M179" s="10">
        <f t="shared" si="18"/>
        <v>0.29809108078341645</v>
      </c>
      <c r="P179" s="8">
        <f t="shared" si="19"/>
        <v>1.4045803468981304</v>
      </c>
    </row>
    <row r="180" spans="1:16" x14ac:dyDescent="0.2">
      <c r="A180" s="8">
        <v>89</v>
      </c>
      <c r="B180" s="8">
        <v>178</v>
      </c>
      <c r="D180">
        <v>885.48540798093995</v>
      </c>
      <c r="E180">
        <v>304.69207861823003</v>
      </c>
      <c r="F180">
        <v>120.28942705257001</v>
      </c>
      <c r="G180">
        <v>109.00118133491</v>
      </c>
      <c r="I180" s="9">
        <f t="shared" si="15"/>
        <v>195.69089728332003</v>
      </c>
      <c r="J180" s="9">
        <f t="shared" si="16"/>
        <v>765.19598092836998</v>
      </c>
      <c r="K180" s="9">
        <f t="shared" si="17"/>
        <v>195.69089728332003</v>
      </c>
      <c r="L180" s="10">
        <f t="shared" si="14"/>
        <v>0.25573957804365238</v>
      </c>
      <c r="M180" s="10">
        <f t="shared" si="18"/>
        <v>0.30170937181693602</v>
      </c>
      <c r="P180" s="8">
        <f t="shared" si="19"/>
        <v>2.6354500624988555</v>
      </c>
    </row>
    <row r="181" spans="1:16" x14ac:dyDescent="0.2">
      <c r="A181" s="8">
        <v>89.5</v>
      </c>
      <c r="B181" s="8">
        <v>179</v>
      </c>
      <c r="D181">
        <v>792.70160810005996</v>
      </c>
      <c r="E181">
        <v>287.23108993449</v>
      </c>
      <c r="F181">
        <v>120.49143532191</v>
      </c>
      <c r="G181">
        <v>108.91080921440999</v>
      </c>
      <c r="I181" s="9">
        <f t="shared" si="15"/>
        <v>178.32028072008001</v>
      </c>
      <c r="J181" s="9">
        <f t="shared" si="16"/>
        <v>672.21017277814997</v>
      </c>
      <c r="K181" s="9">
        <f t="shared" si="17"/>
        <v>178.32028072008001</v>
      </c>
      <c r="L181" s="10">
        <f t="shared" si="14"/>
        <v>0.26527459407986553</v>
      </c>
      <c r="M181" s="10">
        <f t="shared" si="18"/>
        <v>0.31150264512153836</v>
      </c>
      <c r="P181" s="8">
        <f t="shared" si="19"/>
        <v>5.9669243456801846</v>
      </c>
    </row>
    <row r="182" spans="1:16" x14ac:dyDescent="0.2">
      <c r="A182" s="8">
        <v>90</v>
      </c>
      <c r="B182" s="8">
        <v>180</v>
      </c>
      <c r="D182">
        <v>836.51447135263004</v>
      </c>
      <c r="E182">
        <v>292.45894861193</v>
      </c>
      <c r="F182">
        <v>120.47903130538</v>
      </c>
      <c r="G182">
        <v>108.96751329001999</v>
      </c>
      <c r="I182" s="9">
        <f t="shared" si="15"/>
        <v>183.49143532190999</v>
      </c>
      <c r="J182" s="9">
        <f t="shared" si="16"/>
        <v>716.03544004725006</v>
      </c>
      <c r="K182" s="9">
        <f t="shared" si="17"/>
        <v>183.49143532190999</v>
      </c>
      <c r="L182" s="10">
        <f t="shared" si="14"/>
        <v>0.25626027017573555</v>
      </c>
      <c r="M182" s="10">
        <f>L182+ABS($N$2)*A182</f>
        <v>0.30274657848579761</v>
      </c>
      <c r="P182" s="8">
        <f t="shared" si="19"/>
        <v>2.9882868757053944</v>
      </c>
    </row>
    <row r="183" spans="1:16" x14ac:dyDescent="0.2">
      <c r="A183" s="8">
        <v>90.5</v>
      </c>
      <c r="B183" s="8">
        <v>181</v>
      </c>
      <c r="D183">
        <v>884.93561724748997</v>
      </c>
      <c r="E183">
        <v>303.46662728884002</v>
      </c>
      <c r="F183">
        <v>120.59421145895</v>
      </c>
      <c r="G183">
        <v>109.11399881867</v>
      </c>
      <c r="I183" s="9">
        <f t="shared" si="15"/>
        <v>194.35262847017003</v>
      </c>
      <c r="J183" s="9">
        <f t="shared" si="16"/>
        <v>764.34140578853999</v>
      </c>
      <c r="K183" s="9">
        <f t="shared" si="17"/>
        <v>194.35262847017003</v>
      </c>
      <c r="L183" s="10">
        <f t="shared" si="14"/>
        <v>0.25427463041814974</v>
      </c>
      <c r="M183" s="10">
        <f t="shared" ref="M183:M241" si="20">L183+ABS($N$2)*A183</f>
        <v>0.30101919599660104</v>
      </c>
      <c r="P183" s="8">
        <f t="shared" si="19"/>
        <v>2.4006661526860844</v>
      </c>
    </row>
    <row r="184" spans="1:16" x14ac:dyDescent="0.2">
      <c r="A184" s="8">
        <v>91</v>
      </c>
      <c r="B184" s="8">
        <v>182</v>
      </c>
      <c r="D184">
        <v>916.56702253854996</v>
      </c>
      <c r="E184">
        <v>307.52728351127001</v>
      </c>
      <c r="F184">
        <v>120.51092734789999</v>
      </c>
      <c r="G184">
        <v>108.93325457767</v>
      </c>
      <c r="I184" s="9">
        <f t="shared" si="15"/>
        <v>198.59402893360001</v>
      </c>
      <c r="J184" s="9">
        <f t="shared" si="16"/>
        <v>796.05609519065001</v>
      </c>
      <c r="K184" s="9">
        <f t="shared" si="17"/>
        <v>198.59402893360001</v>
      </c>
      <c r="L184" s="10">
        <f t="shared" si="14"/>
        <v>0.24947240544152621</v>
      </c>
      <c r="M184" s="10">
        <f t="shared" si="20"/>
        <v>0.29647522828836675</v>
      </c>
      <c r="P184" s="8">
        <f t="shared" si="19"/>
        <v>0.85489988100705427</v>
      </c>
    </row>
    <row r="185" spans="1:16" x14ac:dyDescent="0.2">
      <c r="A185" s="8">
        <v>91.5</v>
      </c>
      <c r="B185" s="8">
        <v>183</v>
      </c>
      <c r="D185">
        <v>938.48457888493999</v>
      </c>
      <c r="E185">
        <v>309.07236061685001</v>
      </c>
      <c r="F185">
        <v>120.73360897815</v>
      </c>
      <c r="G185">
        <v>109.03603071470999</v>
      </c>
      <c r="I185" s="9">
        <f t="shared" si="15"/>
        <v>200.03632990214001</v>
      </c>
      <c r="J185" s="9">
        <f t="shared" si="16"/>
        <v>817.75096990679003</v>
      </c>
      <c r="K185" s="9">
        <f t="shared" si="17"/>
        <v>200.03632990214001</v>
      </c>
      <c r="L185" s="10">
        <f t="shared" si="14"/>
        <v>0.24461766144397337</v>
      </c>
      <c r="M185" s="10">
        <f t="shared" si="20"/>
        <v>0.29187874155920318</v>
      </c>
      <c r="P185" s="8">
        <f t="shared" si="19"/>
        <v>-0.70873230354520877</v>
      </c>
    </row>
    <row r="186" spans="1:16" x14ac:dyDescent="0.2">
      <c r="A186" s="8">
        <v>92</v>
      </c>
      <c r="B186" s="8">
        <v>184</v>
      </c>
      <c r="D186">
        <v>928.99584816132995</v>
      </c>
      <c r="E186">
        <v>309.50296559905001</v>
      </c>
      <c r="F186">
        <v>120.59362079149</v>
      </c>
      <c r="G186">
        <v>108.62079149439001</v>
      </c>
      <c r="I186" s="9">
        <f t="shared" si="15"/>
        <v>200.88217410466001</v>
      </c>
      <c r="J186" s="9">
        <f t="shared" si="16"/>
        <v>808.40222736983992</v>
      </c>
      <c r="K186" s="9">
        <f t="shared" si="17"/>
        <v>200.88217410466001</v>
      </c>
      <c r="L186" s="10">
        <f t="shared" si="14"/>
        <v>0.24849285084015169</v>
      </c>
      <c r="M186" s="10">
        <f t="shared" si="20"/>
        <v>0.29601218822377073</v>
      </c>
      <c r="P186" s="8">
        <f t="shared" si="19"/>
        <v>0.69738297942530014</v>
      </c>
    </row>
    <row r="187" spans="1:16" x14ac:dyDescent="0.2">
      <c r="A187" s="8">
        <v>92.5</v>
      </c>
      <c r="B187" s="8">
        <v>185</v>
      </c>
      <c r="D187">
        <v>931.58837485172</v>
      </c>
      <c r="E187">
        <v>310.18386714116002</v>
      </c>
      <c r="F187">
        <v>120.94802126403</v>
      </c>
      <c r="G187">
        <v>108.60602480803</v>
      </c>
      <c r="I187" s="9">
        <f t="shared" si="15"/>
        <v>201.57784233313004</v>
      </c>
      <c r="J187" s="9">
        <f t="shared" si="16"/>
        <v>810.64035358769002</v>
      </c>
      <c r="K187" s="9">
        <f t="shared" si="17"/>
        <v>201.57784233313004</v>
      </c>
      <c r="L187" s="10">
        <f t="shared" si="14"/>
        <v>0.24866494918615548</v>
      </c>
      <c r="M187" s="10">
        <f t="shared" si="20"/>
        <v>0.29644254383816371</v>
      </c>
      <c r="P187" s="8">
        <f t="shared" si="19"/>
        <v>0.84378128950811193</v>
      </c>
    </row>
    <row r="188" spans="1:16" x14ac:dyDescent="0.2">
      <c r="A188" s="8">
        <v>93</v>
      </c>
      <c r="B188" s="8">
        <v>186</v>
      </c>
      <c r="D188">
        <v>898.67437722420004</v>
      </c>
      <c r="E188">
        <v>301.64472123369001</v>
      </c>
      <c r="F188">
        <v>120.51092734789999</v>
      </c>
      <c r="G188">
        <v>108.90785587713999</v>
      </c>
      <c r="I188" s="9">
        <f t="shared" si="15"/>
        <v>192.73686535655003</v>
      </c>
      <c r="J188" s="9">
        <f t="shared" si="16"/>
        <v>778.16344987630009</v>
      </c>
      <c r="K188" s="9">
        <f t="shared" si="17"/>
        <v>192.73686535655003</v>
      </c>
      <c r="L188" s="10">
        <f t="shared" si="14"/>
        <v>0.24768172469060096</v>
      </c>
      <c r="M188" s="10">
        <f t="shared" si="20"/>
        <v>0.29571757661099846</v>
      </c>
      <c r="P188" s="8">
        <f t="shared" si="19"/>
        <v>0.59716204399851414</v>
      </c>
    </row>
    <row r="189" spans="1:16" x14ac:dyDescent="0.2">
      <c r="A189" s="8">
        <v>93.5</v>
      </c>
      <c r="B189" s="8">
        <v>187</v>
      </c>
      <c r="D189">
        <v>871.39323843416003</v>
      </c>
      <c r="E189">
        <v>296.71352313167</v>
      </c>
      <c r="F189">
        <v>120.92321323095</v>
      </c>
      <c r="G189">
        <v>108.7418783225</v>
      </c>
      <c r="I189" s="9">
        <f t="shared" si="15"/>
        <v>187.97164480917002</v>
      </c>
      <c r="J189" s="9">
        <f t="shared" si="16"/>
        <v>750.47002520321007</v>
      </c>
      <c r="K189" s="9">
        <f t="shared" si="17"/>
        <v>187.97164480917002</v>
      </c>
      <c r="L189" s="10">
        <f t="shared" si="14"/>
        <v>0.25047188894489369</v>
      </c>
      <c r="M189" s="10">
        <f t="shared" si="20"/>
        <v>0.29876599813368043</v>
      </c>
      <c r="P189" s="8">
        <f t="shared" si="19"/>
        <v>1.6341736325895115</v>
      </c>
    </row>
    <row r="190" spans="1:16" x14ac:dyDescent="0.2">
      <c r="A190" s="8">
        <v>94</v>
      </c>
      <c r="B190" s="8">
        <v>188</v>
      </c>
      <c r="D190">
        <v>843.83570581257004</v>
      </c>
      <c r="E190">
        <v>290.73724792408001</v>
      </c>
      <c r="F190">
        <v>120.5457767277</v>
      </c>
      <c r="G190">
        <v>108.82161842883001</v>
      </c>
      <c r="I190" s="9">
        <f t="shared" si="15"/>
        <v>181.91562949525002</v>
      </c>
      <c r="J190" s="9">
        <f t="shared" si="16"/>
        <v>723.28992908486998</v>
      </c>
      <c r="K190" s="9">
        <f t="shared" si="17"/>
        <v>181.91562949525002</v>
      </c>
      <c r="L190" s="10">
        <f t="shared" si="14"/>
        <v>0.2515113541334878</v>
      </c>
      <c r="M190" s="10">
        <f t="shared" si="20"/>
        <v>0.30006372059066377</v>
      </c>
      <c r="P190" s="8">
        <f t="shared" si="19"/>
        <v>2.075632668570377</v>
      </c>
    </row>
    <row r="191" spans="1:16" x14ac:dyDescent="0.2">
      <c r="A191" s="8">
        <v>94.5</v>
      </c>
      <c r="B191" s="8">
        <v>189</v>
      </c>
      <c r="D191">
        <v>889.36224188791005</v>
      </c>
      <c r="E191">
        <v>296.96637168142001</v>
      </c>
      <c r="F191">
        <v>120.58476077968</v>
      </c>
      <c r="G191">
        <v>109.18901358535</v>
      </c>
      <c r="I191" s="9">
        <f t="shared" si="15"/>
        <v>187.77735809607003</v>
      </c>
      <c r="J191" s="9">
        <f t="shared" si="16"/>
        <v>768.77748110823006</v>
      </c>
      <c r="K191" s="9">
        <f t="shared" si="17"/>
        <v>187.77735809607003</v>
      </c>
      <c r="L191" s="10">
        <f t="shared" si="14"/>
        <v>0.24425449848684413</v>
      </c>
      <c r="M191" s="10">
        <f t="shared" si="20"/>
        <v>0.29306512221240932</v>
      </c>
      <c r="P191" s="8">
        <f t="shared" si="19"/>
        <v>-0.30514950612009167</v>
      </c>
    </row>
    <row r="192" spans="1:16" x14ac:dyDescent="0.2">
      <c r="A192" s="8">
        <v>95</v>
      </c>
      <c r="B192" s="8">
        <v>190</v>
      </c>
      <c r="D192">
        <v>880.20117994099996</v>
      </c>
      <c r="E192">
        <v>295.77227138643002</v>
      </c>
      <c r="F192">
        <v>120.73360897815</v>
      </c>
      <c r="G192">
        <v>108.79090372121</v>
      </c>
      <c r="I192" s="9">
        <f t="shared" si="15"/>
        <v>186.98136766522003</v>
      </c>
      <c r="J192" s="9">
        <f t="shared" si="16"/>
        <v>759.46757096285</v>
      </c>
      <c r="K192" s="9">
        <f t="shared" si="17"/>
        <v>186.98136766522003</v>
      </c>
      <c r="L192" s="10">
        <f t="shared" si="14"/>
        <v>0.24620059475109093</v>
      </c>
      <c r="M192" s="10">
        <f t="shared" si="20"/>
        <v>0.29526947574504536</v>
      </c>
      <c r="P192" s="8">
        <f t="shared" si="19"/>
        <v>0.44472715683035352</v>
      </c>
    </row>
    <row r="193" spans="1:16" x14ac:dyDescent="0.2">
      <c r="A193" s="8">
        <v>95.5</v>
      </c>
      <c r="B193" s="8">
        <v>191</v>
      </c>
      <c r="D193">
        <v>901.45368731562996</v>
      </c>
      <c r="E193">
        <v>298.85722713863998</v>
      </c>
      <c r="F193">
        <v>120.76314235085999</v>
      </c>
      <c r="G193">
        <v>109.13171884229</v>
      </c>
      <c r="I193" s="9">
        <f t="shared" si="15"/>
        <v>189.72550829634997</v>
      </c>
      <c r="J193" s="9">
        <f t="shared" si="16"/>
        <v>780.69054496476997</v>
      </c>
      <c r="K193" s="9">
        <f t="shared" si="17"/>
        <v>189.72550829634997</v>
      </c>
      <c r="L193" s="10">
        <f t="shared" si="14"/>
        <v>0.24302267975451358</v>
      </c>
      <c r="M193" s="10">
        <f t="shared" si="20"/>
        <v>0.29234981801685722</v>
      </c>
      <c r="P193" s="8">
        <f t="shared" si="19"/>
        <v>-0.54848158294609439</v>
      </c>
    </row>
    <row r="194" spans="1:16" x14ac:dyDescent="0.2">
      <c r="A194" s="8">
        <v>96</v>
      </c>
      <c r="B194" s="8">
        <v>192</v>
      </c>
      <c r="D194">
        <v>915.24631703005002</v>
      </c>
      <c r="E194">
        <v>301.6735415439</v>
      </c>
      <c r="F194">
        <v>120.87595983461</v>
      </c>
      <c r="G194">
        <v>108.94093325458</v>
      </c>
      <c r="I194" s="9">
        <f t="shared" si="15"/>
        <v>192.73260828932001</v>
      </c>
      <c r="J194" s="9">
        <f t="shared" si="16"/>
        <v>794.37035719543996</v>
      </c>
      <c r="K194" s="9">
        <f t="shared" si="17"/>
        <v>192.73260828932001</v>
      </c>
      <c r="L194" s="10">
        <f t="shared" ref="L194:L257" si="21">K194/J194</f>
        <v>0.24262311218380692</v>
      </c>
      <c r="M194" s="10">
        <f t="shared" si="20"/>
        <v>0.29220850771453982</v>
      </c>
      <c r="P194" s="8">
        <f t="shared" si="19"/>
        <v>-0.59655250096058043</v>
      </c>
    </row>
    <row r="195" spans="1:16" x14ac:dyDescent="0.2">
      <c r="A195" s="8">
        <v>96.5</v>
      </c>
      <c r="B195" s="8">
        <v>193</v>
      </c>
      <c r="D195">
        <v>922.17765894237004</v>
      </c>
      <c r="E195">
        <v>300.47118241236001</v>
      </c>
      <c r="F195">
        <v>121.12876550502</v>
      </c>
      <c r="G195">
        <v>108.77672770229999</v>
      </c>
      <c r="I195" s="9">
        <f t="shared" ref="I195:I241" si="22">E195-G195</f>
        <v>191.69445471006003</v>
      </c>
      <c r="J195" s="9">
        <f t="shared" ref="J195:J241" si="23">D195-F195</f>
        <v>801.04889343734999</v>
      </c>
      <c r="K195" s="9">
        <f t="shared" ref="K195:K258" si="24">I195*1</f>
        <v>191.69445471006003</v>
      </c>
      <c r="L195" s="10">
        <f t="shared" si="21"/>
        <v>0.23930431248395756</v>
      </c>
      <c r="M195" s="10">
        <f t="shared" si="20"/>
        <v>0.28914796528307968</v>
      </c>
      <c r="P195" s="8">
        <f t="shared" ref="P195:P241" si="25">(M195-$O$2)/$O$2*100</f>
        <v>-1.6376873785303792</v>
      </c>
    </row>
    <row r="196" spans="1:16" x14ac:dyDescent="0.2">
      <c r="A196" s="8">
        <v>97</v>
      </c>
      <c r="B196" s="8">
        <v>194</v>
      </c>
      <c r="D196">
        <v>965.39691027926006</v>
      </c>
      <c r="E196">
        <v>306.42186571598</v>
      </c>
      <c r="F196">
        <v>120.41996455995</v>
      </c>
      <c r="G196">
        <v>108.85469580626</v>
      </c>
      <c r="I196" s="9">
        <f t="shared" si="22"/>
        <v>197.56716990972001</v>
      </c>
      <c r="J196" s="9">
        <f t="shared" si="23"/>
        <v>844.97694571931004</v>
      </c>
      <c r="K196" s="9">
        <f t="shared" si="24"/>
        <v>197.56716990972001</v>
      </c>
      <c r="L196" s="10">
        <f t="shared" si="21"/>
        <v>0.23381368084727505</v>
      </c>
      <c r="M196" s="10">
        <f t="shared" si="20"/>
        <v>0.28391559091478641</v>
      </c>
      <c r="P196" s="8">
        <f t="shared" si="25"/>
        <v>-3.4176357273377445</v>
      </c>
    </row>
    <row r="197" spans="1:16" x14ac:dyDescent="0.2">
      <c r="A197" s="8">
        <v>97.5</v>
      </c>
      <c r="B197" s="8">
        <v>195</v>
      </c>
      <c r="D197">
        <v>956.60710059172004</v>
      </c>
      <c r="E197">
        <v>304.70236686391002</v>
      </c>
      <c r="F197">
        <v>120.63378617838001</v>
      </c>
      <c r="G197">
        <v>108.62669816893001</v>
      </c>
      <c r="I197" s="9">
        <f t="shared" si="22"/>
        <v>196.07566869498001</v>
      </c>
      <c r="J197" s="9">
        <f t="shared" si="23"/>
        <v>835.97331441334006</v>
      </c>
      <c r="K197" s="9">
        <f t="shared" si="24"/>
        <v>196.07566869498001</v>
      </c>
      <c r="L197" s="10">
        <f t="shared" si="21"/>
        <v>0.23454776045402811</v>
      </c>
      <c r="M197" s="10">
        <f t="shared" si="20"/>
        <v>0.28490792778992868</v>
      </c>
      <c r="P197" s="8">
        <f t="shared" si="25"/>
        <v>-3.0800627140087502</v>
      </c>
    </row>
    <row r="198" spans="1:16" x14ac:dyDescent="0.2">
      <c r="A198" s="8">
        <v>98</v>
      </c>
      <c r="B198" s="8">
        <v>196</v>
      </c>
      <c r="D198">
        <v>960.29644970413995</v>
      </c>
      <c r="E198">
        <v>307.28165680473001</v>
      </c>
      <c r="F198">
        <v>120.79326639102</v>
      </c>
      <c r="G198">
        <v>108.94743059657</v>
      </c>
      <c r="I198" s="9">
        <f t="shared" si="22"/>
        <v>198.33422620816</v>
      </c>
      <c r="J198" s="9">
        <f t="shared" si="23"/>
        <v>839.50318331311996</v>
      </c>
      <c r="K198" s="9">
        <f t="shared" si="24"/>
        <v>198.33422620816</v>
      </c>
      <c r="L198" s="10">
        <f t="shared" si="21"/>
        <v>0.23625190487715497</v>
      </c>
      <c r="M198" s="10">
        <f t="shared" si="20"/>
        <v>0.28687032948144481</v>
      </c>
      <c r="P198" s="8">
        <f t="shared" si="25"/>
        <v>-2.4124931930514282</v>
      </c>
    </row>
    <row r="199" spans="1:16" x14ac:dyDescent="0.2">
      <c r="A199" s="8">
        <v>98.5</v>
      </c>
      <c r="B199" s="8">
        <v>197</v>
      </c>
      <c r="D199">
        <v>970.85290628707003</v>
      </c>
      <c r="E199">
        <v>307.53736654803998</v>
      </c>
      <c r="F199">
        <v>120.92971057295</v>
      </c>
      <c r="G199">
        <v>109.09332545777001</v>
      </c>
      <c r="I199" s="9">
        <f t="shared" si="22"/>
        <v>198.44404109026999</v>
      </c>
      <c r="J199" s="9">
        <f t="shared" si="23"/>
        <v>849.92319571412008</v>
      </c>
      <c r="K199" s="9">
        <f t="shared" si="24"/>
        <v>198.44404109026999</v>
      </c>
      <c r="L199" s="10">
        <f t="shared" si="21"/>
        <v>0.23348467495764003</v>
      </c>
      <c r="M199" s="10">
        <f t="shared" si="20"/>
        <v>0.2843613568303191</v>
      </c>
      <c r="P199" s="8">
        <f t="shared" si="25"/>
        <v>-3.2659951432627503</v>
      </c>
    </row>
    <row r="200" spans="1:16" x14ac:dyDescent="0.2">
      <c r="A200" s="8">
        <v>99</v>
      </c>
      <c r="B200" s="8">
        <v>198</v>
      </c>
      <c r="D200">
        <v>931.33274021351997</v>
      </c>
      <c r="E200">
        <v>303.1334519573</v>
      </c>
      <c r="F200">
        <v>120.42882457176999</v>
      </c>
      <c r="G200">
        <v>109.01476668636001</v>
      </c>
      <c r="I200" s="9">
        <f t="shared" si="22"/>
        <v>194.11868527093998</v>
      </c>
      <c r="J200" s="9">
        <f t="shared" si="23"/>
        <v>810.90391564175002</v>
      </c>
      <c r="K200" s="9">
        <f t="shared" si="24"/>
        <v>194.11868527093998</v>
      </c>
      <c r="L200" s="10">
        <f t="shared" si="21"/>
        <v>0.23938555669362416</v>
      </c>
      <c r="M200" s="10">
        <f t="shared" si="20"/>
        <v>0.29052049583469247</v>
      </c>
      <c r="P200" s="8">
        <f t="shared" si="25"/>
        <v>-1.1707801358386181</v>
      </c>
    </row>
    <row r="201" spans="1:16" x14ac:dyDescent="0.2">
      <c r="A201" s="8">
        <v>99.5</v>
      </c>
      <c r="B201" s="8">
        <v>199</v>
      </c>
      <c r="D201">
        <v>960.48656716417997</v>
      </c>
      <c r="E201">
        <v>301.93134328358002</v>
      </c>
      <c r="F201">
        <v>120.51683402245</v>
      </c>
      <c r="G201">
        <v>109.24099232131999</v>
      </c>
      <c r="I201" s="9">
        <f t="shared" si="22"/>
        <v>192.69035096226003</v>
      </c>
      <c r="J201" s="9">
        <f t="shared" si="23"/>
        <v>839.96973314172999</v>
      </c>
      <c r="K201" s="9">
        <f t="shared" si="24"/>
        <v>192.69035096226003</v>
      </c>
      <c r="L201" s="10">
        <f t="shared" si="21"/>
        <v>0.22940154074545321</v>
      </c>
      <c r="M201" s="10">
        <f t="shared" si="20"/>
        <v>0.28079473715491077</v>
      </c>
      <c r="P201" s="8">
        <f t="shared" si="25"/>
        <v>-4.4792873038039485</v>
      </c>
    </row>
    <row r="202" spans="1:16" x14ac:dyDescent="0.2">
      <c r="A202" s="8">
        <v>100</v>
      </c>
      <c r="B202" s="8">
        <v>200</v>
      </c>
      <c r="D202">
        <v>963.20202020201998</v>
      </c>
      <c r="E202">
        <v>301.62388591799998</v>
      </c>
      <c r="F202">
        <v>120.62433549911</v>
      </c>
      <c r="G202">
        <v>108.96574128765999</v>
      </c>
      <c r="I202" s="9">
        <f t="shared" si="22"/>
        <v>192.65814463033999</v>
      </c>
      <c r="J202" s="9">
        <f t="shared" si="23"/>
        <v>842.57768470291001</v>
      </c>
      <c r="K202" s="9">
        <f t="shared" si="24"/>
        <v>192.65814463033999</v>
      </c>
      <c r="L202" s="10">
        <f t="shared" si="21"/>
        <v>0.22865327212916942</v>
      </c>
      <c r="M202" s="10">
        <f t="shared" si="20"/>
        <v>0.28030472580701615</v>
      </c>
      <c r="P202" s="8">
        <f t="shared" si="25"/>
        <v>-4.6459792926010701</v>
      </c>
    </row>
    <row r="203" spans="1:16" x14ac:dyDescent="0.2">
      <c r="A203" s="8">
        <v>100.5</v>
      </c>
      <c r="B203" s="8">
        <v>201</v>
      </c>
      <c r="D203">
        <v>961.13547237077</v>
      </c>
      <c r="E203">
        <v>301.84491978609998</v>
      </c>
      <c r="F203">
        <v>120.41819255759</v>
      </c>
      <c r="G203">
        <v>108.93384524513</v>
      </c>
      <c r="I203" s="9">
        <f t="shared" si="22"/>
        <v>192.91107454096999</v>
      </c>
      <c r="J203" s="9">
        <f t="shared" si="23"/>
        <v>840.71727981317997</v>
      </c>
      <c r="K203" s="9">
        <f t="shared" si="24"/>
        <v>192.91107454096999</v>
      </c>
      <c r="L203" s="10">
        <f t="shared" si="21"/>
        <v>0.22946010409568093</v>
      </c>
      <c r="M203" s="10">
        <f t="shared" si="20"/>
        <v>0.28136981504191694</v>
      </c>
      <c r="P203" s="8">
        <f t="shared" si="25"/>
        <v>-4.2836573921494905</v>
      </c>
    </row>
    <row r="204" spans="1:16" x14ac:dyDescent="0.2">
      <c r="A204" s="8">
        <v>101</v>
      </c>
      <c r="B204" s="8">
        <v>202</v>
      </c>
      <c r="D204">
        <v>947.87522281639997</v>
      </c>
      <c r="E204">
        <v>299.20974450386001</v>
      </c>
      <c r="F204">
        <v>120.85233313644</v>
      </c>
      <c r="G204">
        <v>109.006497342</v>
      </c>
      <c r="I204" s="9">
        <f t="shared" si="22"/>
        <v>190.20324716186002</v>
      </c>
      <c r="J204" s="9">
        <f t="shared" si="23"/>
        <v>827.02288967995992</v>
      </c>
      <c r="K204" s="9">
        <f t="shared" si="24"/>
        <v>190.20324716186002</v>
      </c>
      <c r="L204" s="10">
        <f t="shared" si="21"/>
        <v>0.22998546900614153</v>
      </c>
      <c r="M204" s="10">
        <f t="shared" si="20"/>
        <v>0.28215343722076675</v>
      </c>
      <c r="P204" s="8">
        <f t="shared" si="25"/>
        <v>-4.017084913738028</v>
      </c>
    </row>
    <row r="205" spans="1:16" x14ac:dyDescent="0.2">
      <c r="A205" s="8">
        <v>101.5</v>
      </c>
      <c r="B205" s="8">
        <v>203</v>
      </c>
      <c r="D205">
        <v>946.04337492572995</v>
      </c>
      <c r="E205">
        <v>298.98276886512002</v>
      </c>
      <c r="F205">
        <v>120.9367985824</v>
      </c>
      <c r="G205">
        <v>109.10100413467001</v>
      </c>
      <c r="I205" s="9">
        <f t="shared" si="22"/>
        <v>189.88176473045002</v>
      </c>
      <c r="J205" s="9">
        <f t="shared" si="23"/>
        <v>825.10657634332995</v>
      </c>
      <c r="K205" s="9">
        <f t="shared" si="24"/>
        <v>189.88176473045002</v>
      </c>
      <c r="L205" s="10">
        <f t="shared" si="21"/>
        <v>0.23012998584008315</v>
      </c>
      <c r="M205" s="10">
        <f t="shared" si="20"/>
        <v>0.28255621132309761</v>
      </c>
      <c r="P205" s="8">
        <f t="shared" si="25"/>
        <v>-3.880069278402281</v>
      </c>
    </row>
    <row r="206" spans="1:16" x14ac:dyDescent="0.2">
      <c r="A206" s="8">
        <v>102</v>
      </c>
      <c r="B206" s="8">
        <v>204</v>
      </c>
      <c r="D206">
        <v>958.02852049910996</v>
      </c>
      <c r="E206">
        <v>301.61616161616001</v>
      </c>
      <c r="F206">
        <v>120.86178381571</v>
      </c>
      <c r="G206">
        <v>108.89958653278001</v>
      </c>
      <c r="I206" s="9">
        <f t="shared" si="22"/>
        <v>192.71657508338001</v>
      </c>
      <c r="J206" s="9">
        <f t="shared" si="23"/>
        <v>837.1667366833999</v>
      </c>
      <c r="K206" s="9">
        <f t="shared" si="24"/>
        <v>192.71657508338001</v>
      </c>
      <c r="L206" s="10">
        <f t="shared" si="21"/>
        <v>0.23020094640509067</v>
      </c>
      <c r="M206" s="10">
        <f t="shared" si="20"/>
        <v>0.28288542915649439</v>
      </c>
      <c r="P206" s="8">
        <f t="shared" si="25"/>
        <v>-3.7680760038951098</v>
      </c>
    </row>
    <row r="207" spans="1:16" x14ac:dyDescent="0.2">
      <c r="A207" s="8">
        <v>102.5</v>
      </c>
      <c r="B207" s="8">
        <v>205</v>
      </c>
      <c r="D207">
        <v>951.51455733808996</v>
      </c>
      <c r="E207">
        <v>300.05407011288997</v>
      </c>
      <c r="F207">
        <v>120.70466627288999</v>
      </c>
      <c r="G207">
        <v>108.94861193148</v>
      </c>
      <c r="I207" s="9">
        <f t="shared" si="22"/>
        <v>191.10545818140997</v>
      </c>
      <c r="J207" s="9">
        <f t="shared" si="23"/>
        <v>830.80989106519996</v>
      </c>
      <c r="K207" s="9">
        <f t="shared" si="24"/>
        <v>191.10545818140997</v>
      </c>
      <c r="L207" s="10">
        <f t="shared" si="21"/>
        <v>0.2300230898026375</v>
      </c>
      <c r="M207" s="10">
        <f t="shared" si="20"/>
        <v>0.28296582982243046</v>
      </c>
      <c r="P207" s="8">
        <f t="shared" si="25"/>
        <v>-3.7407253170935095</v>
      </c>
    </row>
    <row r="208" spans="1:16" x14ac:dyDescent="0.2">
      <c r="A208" s="8">
        <v>103</v>
      </c>
      <c r="B208" s="8">
        <v>206</v>
      </c>
      <c r="D208">
        <v>943.36898395722005</v>
      </c>
      <c r="E208">
        <v>300.92097445039002</v>
      </c>
      <c r="F208">
        <v>120.46603662138</v>
      </c>
      <c r="G208">
        <v>109.04843473125</v>
      </c>
      <c r="I208" s="9">
        <f t="shared" si="22"/>
        <v>191.87253971914004</v>
      </c>
      <c r="J208" s="9">
        <f t="shared" si="23"/>
        <v>822.90294733584005</v>
      </c>
      <c r="K208" s="9">
        <f t="shared" si="24"/>
        <v>191.87253971914004</v>
      </c>
      <c r="L208" s="10">
        <f t="shared" si="21"/>
        <v>0.23316545449293882</v>
      </c>
      <c r="M208" s="10">
        <f t="shared" si="20"/>
        <v>0.28636645178112097</v>
      </c>
      <c r="P208" s="8">
        <f t="shared" si="25"/>
        <v>-2.5839022355937762</v>
      </c>
    </row>
    <row r="209" spans="1:16" x14ac:dyDescent="0.2">
      <c r="A209" s="8">
        <v>103.5</v>
      </c>
      <c r="B209" s="8">
        <v>207</v>
      </c>
      <c r="D209">
        <v>958.63220439690997</v>
      </c>
      <c r="E209">
        <v>304.06654783124998</v>
      </c>
      <c r="F209">
        <v>120.82634376846001</v>
      </c>
      <c r="G209">
        <v>108.98877731837</v>
      </c>
      <c r="I209" s="9">
        <f t="shared" si="22"/>
        <v>195.07777051287997</v>
      </c>
      <c r="J209" s="9">
        <f t="shared" si="23"/>
        <v>837.80586062844998</v>
      </c>
      <c r="K209" s="9">
        <f t="shared" si="24"/>
        <v>195.07777051287997</v>
      </c>
      <c r="L209" s="10">
        <f t="shared" si="21"/>
        <v>0.23284364514536743</v>
      </c>
      <c r="M209" s="10">
        <f t="shared" si="20"/>
        <v>0.28630289970193884</v>
      </c>
      <c r="P209" s="8">
        <f t="shared" si="25"/>
        <v>-2.6055213726129041</v>
      </c>
    </row>
    <row r="210" spans="1:16" x14ac:dyDescent="0.2">
      <c r="A210" s="8">
        <v>104</v>
      </c>
      <c r="B210" s="8">
        <v>208</v>
      </c>
      <c r="D210">
        <v>945.52168746285997</v>
      </c>
      <c r="E210">
        <v>301.44682115270001</v>
      </c>
      <c r="F210">
        <v>120.65209686946</v>
      </c>
      <c r="G210">
        <v>108.86119314826</v>
      </c>
      <c r="I210" s="9">
        <f t="shared" si="22"/>
        <v>192.58562800444003</v>
      </c>
      <c r="J210" s="9">
        <f t="shared" si="23"/>
        <v>824.86959059339995</v>
      </c>
      <c r="K210" s="9">
        <f t="shared" si="24"/>
        <v>192.58562800444003</v>
      </c>
      <c r="L210" s="10">
        <f t="shared" si="21"/>
        <v>0.23347403056269361</v>
      </c>
      <c r="M210" s="10">
        <f t="shared" si="20"/>
        <v>0.28719154238765426</v>
      </c>
      <c r="P210" s="8">
        <f t="shared" si="25"/>
        <v>-2.3032230335063208</v>
      </c>
    </row>
    <row r="211" spans="1:16" x14ac:dyDescent="0.2">
      <c r="A211" s="8">
        <v>104.5</v>
      </c>
      <c r="B211" s="8">
        <v>209</v>
      </c>
      <c r="D211">
        <v>955.50980392156998</v>
      </c>
      <c r="E211">
        <v>305.32382650030002</v>
      </c>
      <c r="F211">
        <v>120.79090372121</v>
      </c>
      <c r="G211">
        <v>109.28233904312</v>
      </c>
      <c r="I211" s="9">
        <f t="shared" si="22"/>
        <v>196.04148745718001</v>
      </c>
      <c r="J211" s="9">
        <f t="shared" si="23"/>
        <v>834.71890020035994</v>
      </c>
      <c r="K211" s="9">
        <f t="shared" si="24"/>
        <v>196.04148745718001</v>
      </c>
      <c r="L211" s="10">
        <f t="shared" si="21"/>
        <v>0.23485928904943162</v>
      </c>
      <c r="M211" s="10">
        <f t="shared" si="20"/>
        <v>0.28883505814278149</v>
      </c>
      <c r="P211" s="8">
        <f t="shared" si="25"/>
        <v>-1.744132083840231</v>
      </c>
    </row>
    <row r="212" spans="1:16" x14ac:dyDescent="0.2">
      <c r="A212" s="8">
        <v>105</v>
      </c>
      <c r="B212" s="8">
        <v>210</v>
      </c>
      <c r="D212">
        <v>964.72786690433998</v>
      </c>
      <c r="E212">
        <v>303.23885918003998</v>
      </c>
      <c r="F212">
        <v>120.66863555818</v>
      </c>
      <c r="G212">
        <v>108.99586532782</v>
      </c>
      <c r="I212" s="9">
        <f t="shared" si="22"/>
        <v>194.24299385221997</v>
      </c>
      <c r="J212" s="9">
        <f t="shared" si="23"/>
        <v>844.05923134616</v>
      </c>
      <c r="K212" s="9">
        <f t="shared" si="24"/>
        <v>194.24299385221997</v>
      </c>
      <c r="L212" s="10">
        <f t="shared" si="21"/>
        <v>0.23012957697581096</v>
      </c>
      <c r="M212" s="10">
        <f t="shared" si="20"/>
        <v>0.28436360333755006</v>
      </c>
      <c r="P212" s="8">
        <f t="shared" si="25"/>
        <v>-3.2652309267608564</v>
      </c>
    </row>
    <row r="213" spans="1:16" x14ac:dyDescent="0.2">
      <c r="A213" s="8">
        <v>105.5</v>
      </c>
      <c r="B213" s="8">
        <v>211</v>
      </c>
      <c r="D213">
        <v>965.20617944147</v>
      </c>
      <c r="E213">
        <v>303.63636363635999</v>
      </c>
      <c r="F213">
        <v>120.87891317188</v>
      </c>
      <c r="G213">
        <v>109.10159480212999</v>
      </c>
      <c r="I213" s="9">
        <f t="shared" si="22"/>
        <v>194.53476883422999</v>
      </c>
      <c r="J213" s="9">
        <f t="shared" si="23"/>
        <v>844.32726626959004</v>
      </c>
      <c r="K213" s="9">
        <f t="shared" si="24"/>
        <v>194.53476883422999</v>
      </c>
      <c r="L213" s="10">
        <f t="shared" si="21"/>
        <v>0.23040209241817364</v>
      </c>
      <c r="M213" s="10">
        <f t="shared" si="20"/>
        <v>0.28489437604830198</v>
      </c>
      <c r="P213" s="8">
        <f t="shared" si="25"/>
        <v>-3.0846727434971002</v>
      </c>
    </row>
    <row r="214" spans="1:16" x14ac:dyDescent="0.2">
      <c r="A214" s="8">
        <v>106</v>
      </c>
      <c r="B214" s="8">
        <v>212</v>
      </c>
      <c r="D214">
        <v>970.56387403446001</v>
      </c>
      <c r="E214">
        <v>303.49316696376002</v>
      </c>
      <c r="F214">
        <v>121.03839338453</v>
      </c>
      <c r="G214">
        <v>108.97755463674</v>
      </c>
      <c r="I214" s="9">
        <f t="shared" si="22"/>
        <v>194.51561232702002</v>
      </c>
      <c r="J214" s="9">
        <f t="shared" si="23"/>
        <v>849.52548064993005</v>
      </c>
      <c r="K214" s="9">
        <f t="shared" si="24"/>
        <v>194.51561232702002</v>
      </c>
      <c r="L214" s="10">
        <f t="shared" si="21"/>
        <v>0.22896972104733776</v>
      </c>
      <c r="M214" s="10">
        <f t="shared" si="20"/>
        <v>0.28372026194585531</v>
      </c>
      <c r="P214" s="8">
        <f t="shared" si="25"/>
        <v>-3.484082707475475</v>
      </c>
    </row>
    <row r="215" spans="1:16" x14ac:dyDescent="0.2">
      <c r="A215" s="8">
        <v>106.5</v>
      </c>
      <c r="B215" s="8">
        <v>213</v>
      </c>
      <c r="D215">
        <v>976.23945335710005</v>
      </c>
      <c r="E215">
        <v>305.34165181224</v>
      </c>
      <c r="F215">
        <v>120.70289427053</v>
      </c>
      <c r="G215">
        <v>108.88363851152</v>
      </c>
      <c r="I215" s="9">
        <f t="shared" si="22"/>
        <v>196.45801330071998</v>
      </c>
      <c r="J215" s="9">
        <f t="shared" si="23"/>
        <v>855.53655908657004</v>
      </c>
      <c r="K215" s="9">
        <f t="shared" si="24"/>
        <v>196.45801330071998</v>
      </c>
      <c r="L215" s="10">
        <f t="shared" si="21"/>
        <v>0.22963134797006471</v>
      </c>
      <c r="M215" s="10">
        <f t="shared" si="20"/>
        <v>0.28464014613697153</v>
      </c>
      <c r="P215" s="8">
        <f t="shared" si="25"/>
        <v>-3.1711566376221452</v>
      </c>
    </row>
    <row r="216" spans="1:16" x14ac:dyDescent="0.2">
      <c r="A216" s="8">
        <v>107</v>
      </c>
      <c r="B216" s="8">
        <v>214</v>
      </c>
      <c r="D216">
        <v>982.84135472370997</v>
      </c>
      <c r="E216">
        <v>303.69043374926002</v>
      </c>
      <c r="F216">
        <v>120.74365032487</v>
      </c>
      <c r="G216">
        <v>108.89545186060001</v>
      </c>
      <c r="I216" s="9">
        <f t="shared" si="22"/>
        <v>194.79498188866</v>
      </c>
      <c r="J216" s="9">
        <f t="shared" si="23"/>
        <v>862.09770439883994</v>
      </c>
      <c r="K216" s="9">
        <f t="shared" si="24"/>
        <v>194.79498188866</v>
      </c>
      <c r="L216" s="10">
        <f t="shared" si="21"/>
        <v>0.22595464631760609</v>
      </c>
      <c r="M216" s="10">
        <f t="shared" si="20"/>
        <v>0.28122170175290212</v>
      </c>
      <c r="P216" s="8">
        <f t="shared" si="25"/>
        <v>-4.3340425491856349</v>
      </c>
    </row>
    <row r="217" spans="1:16" x14ac:dyDescent="0.2">
      <c r="A217" s="8">
        <v>107.5</v>
      </c>
      <c r="B217" s="8">
        <v>215</v>
      </c>
      <c r="D217">
        <v>962.44800950682998</v>
      </c>
      <c r="E217">
        <v>300.29946524064002</v>
      </c>
      <c r="F217">
        <v>120.93148257531</v>
      </c>
      <c r="G217">
        <v>109.14116952156</v>
      </c>
      <c r="I217" s="9">
        <f t="shared" si="22"/>
        <v>191.15829571908</v>
      </c>
      <c r="J217" s="9">
        <f t="shared" si="23"/>
        <v>841.51652693151993</v>
      </c>
      <c r="K217" s="9">
        <f t="shared" si="24"/>
        <v>191.15829571908</v>
      </c>
      <c r="L217" s="10">
        <f t="shared" si="21"/>
        <v>0.22715928873805219</v>
      </c>
      <c r="M217" s="10">
        <f t="shared" si="20"/>
        <v>0.28268460144173746</v>
      </c>
      <c r="P217" s="8">
        <f t="shared" si="25"/>
        <v>-3.8363935465851915</v>
      </c>
    </row>
    <row r="218" spans="1:16" x14ac:dyDescent="0.2">
      <c r="A218" s="8">
        <v>108</v>
      </c>
      <c r="B218" s="8">
        <v>216</v>
      </c>
      <c r="D218">
        <v>960.81639928698996</v>
      </c>
      <c r="E218">
        <v>303.07308377896999</v>
      </c>
      <c r="F218">
        <v>121.06142941524</v>
      </c>
      <c r="G218">
        <v>108.72593030124</v>
      </c>
      <c r="I218" s="9">
        <f t="shared" si="22"/>
        <v>194.34715347772999</v>
      </c>
      <c r="J218" s="9">
        <f t="shared" si="23"/>
        <v>839.75496987174995</v>
      </c>
      <c r="K218" s="9">
        <f t="shared" si="24"/>
        <v>194.34715347772999</v>
      </c>
      <c r="L218" s="10">
        <f t="shared" si="21"/>
        <v>0.23143316854368995</v>
      </c>
      <c r="M218" s="10">
        <f t="shared" si="20"/>
        <v>0.28721673851576446</v>
      </c>
      <c r="P218" s="8">
        <f t="shared" si="25"/>
        <v>-2.2946518183238132</v>
      </c>
    </row>
    <row r="219" spans="1:16" x14ac:dyDescent="0.2">
      <c r="A219" s="8">
        <v>108.5</v>
      </c>
      <c r="B219" s="8">
        <v>217</v>
      </c>
      <c r="D219">
        <v>976.57338086749996</v>
      </c>
      <c r="E219">
        <v>305.38205585264001</v>
      </c>
      <c r="F219">
        <v>120.59066745422</v>
      </c>
      <c r="G219">
        <v>109.09037212050001</v>
      </c>
      <c r="I219" s="9">
        <f t="shared" si="22"/>
        <v>196.29168373214</v>
      </c>
      <c r="J219" s="9">
        <f t="shared" si="23"/>
        <v>855.98271341327995</v>
      </c>
      <c r="K219" s="9">
        <f t="shared" si="24"/>
        <v>196.29168373214</v>
      </c>
      <c r="L219" s="10">
        <f t="shared" si="21"/>
        <v>0.22931734561486142</v>
      </c>
      <c r="M219" s="10">
        <f t="shared" si="20"/>
        <v>0.28535917285532514</v>
      </c>
      <c r="P219" s="8">
        <f t="shared" si="25"/>
        <v>-2.9265582335329232</v>
      </c>
    </row>
    <row r="220" spans="1:16" x14ac:dyDescent="0.2">
      <c r="A220" s="8">
        <v>109</v>
      </c>
      <c r="B220" s="8">
        <v>218</v>
      </c>
      <c r="D220">
        <v>965.07605466429004</v>
      </c>
      <c r="E220">
        <v>304.36957813428</v>
      </c>
      <c r="F220">
        <v>120.57471943295999</v>
      </c>
      <c r="G220">
        <v>109.02539870053</v>
      </c>
      <c r="I220" s="9">
        <f t="shared" si="22"/>
        <v>195.34417943375001</v>
      </c>
      <c r="J220" s="9">
        <f t="shared" si="23"/>
        <v>844.50133523133002</v>
      </c>
      <c r="K220" s="9">
        <f t="shared" si="24"/>
        <v>195.34417943375001</v>
      </c>
      <c r="L220" s="10">
        <f t="shared" si="21"/>
        <v>0.23131304982512593</v>
      </c>
      <c r="M220" s="10">
        <f t="shared" si="20"/>
        <v>0.28761313433397889</v>
      </c>
      <c r="P220" s="8">
        <f t="shared" si="25"/>
        <v>-2.159805946747718</v>
      </c>
    </row>
    <row r="221" spans="1:16" x14ac:dyDescent="0.2">
      <c r="A221" s="8">
        <v>109.5</v>
      </c>
      <c r="B221" s="8">
        <v>219</v>
      </c>
      <c r="D221">
        <v>956.93048128342002</v>
      </c>
      <c r="E221">
        <v>302.81758764111999</v>
      </c>
      <c r="F221">
        <v>120.50147666864</v>
      </c>
      <c r="G221">
        <v>109.03780271706999</v>
      </c>
      <c r="I221" s="9">
        <f t="shared" si="22"/>
        <v>193.77978492404998</v>
      </c>
      <c r="J221" s="9">
        <f t="shared" si="23"/>
        <v>836.42900461478007</v>
      </c>
      <c r="K221" s="9">
        <f t="shared" si="24"/>
        <v>193.77978492404998</v>
      </c>
      <c r="L221" s="10">
        <f t="shared" si="21"/>
        <v>0.23167511391274129</v>
      </c>
      <c r="M221" s="10">
        <f t="shared" si="20"/>
        <v>0.28823345568998349</v>
      </c>
      <c r="P221" s="8">
        <f t="shared" si="25"/>
        <v>-1.9487851184138156</v>
      </c>
    </row>
    <row r="222" spans="1:16" x14ac:dyDescent="0.2">
      <c r="A222" s="8">
        <v>110</v>
      </c>
      <c r="B222" s="8">
        <v>220</v>
      </c>
      <c r="D222">
        <v>964.25549613784995</v>
      </c>
      <c r="E222">
        <v>304.15805109923002</v>
      </c>
      <c r="F222">
        <v>121.10868281158</v>
      </c>
      <c r="G222">
        <v>108.99822799764</v>
      </c>
      <c r="I222" s="9">
        <f t="shared" si="22"/>
        <v>195.15982310159001</v>
      </c>
      <c r="J222" s="9">
        <f t="shared" si="23"/>
        <v>843.14681332626992</v>
      </c>
      <c r="K222" s="9">
        <f t="shared" si="24"/>
        <v>195.15982310159001</v>
      </c>
      <c r="L222" s="10">
        <f t="shared" si="21"/>
        <v>0.23146600333063183</v>
      </c>
      <c r="M222" s="10">
        <f t="shared" si="20"/>
        <v>0.28828260237626324</v>
      </c>
      <c r="P222" s="8">
        <f t="shared" si="25"/>
        <v>-1.9320664058493822</v>
      </c>
    </row>
    <row r="223" spans="1:16" x14ac:dyDescent="0.2">
      <c r="A223" s="8">
        <v>110.5</v>
      </c>
      <c r="B223" s="8">
        <v>221</v>
      </c>
      <c r="D223">
        <v>966.59417706476995</v>
      </c>
      <c r="E223">
        <v>306.82412358882999</v>
      </c>
      <c r="F223">
        <v>120.77495569993999</v>
      </c>
      <c r="G223">
        <v>108.87477849971</v>
      </c>
      <c r="I223" s="9">
        <f t="shared" si="22"/>
        <v>197.94934508911999</v>
      </c>
      <c r="J223" s="9">
        <f t="shared" si="23"/>
        <v>845.8192213648299</v>
      </c>
      <c r="K223" s="9">
        <f t="shared" si="24"/>
        <v>197.94934508911999</v>
      </c>
      <c r="L223" s="10">
        <f t="shared" si="21"/>
        <v>0.23403268699628885</v>
      </c>
      <c r="M223" s="10">
        <f t="shared" si="20"/>
        <v>0.29110754331030952</v>
      </c>
      <c r="P223" s="8">
        <f t="shared" si="25"/>
        <v>-0.97107841127777716</v>
      </c>
    </row>
    <row r="224" spans="1:16" x14ac:dyDescent="0.2">
      <c r="A224" s="8">
        <v>111</v>
      </c>
      <c r="B224" s="8">
        <v>222</v>
      </c>
      <c r="D224">
        <v>958.25014854427002</v>
      </c>
      <c r="E224">
        <v>305.37849079026</v>
      </c>
      <c r="F224">
        <v>120.54164205552</v>
      </c>
      <c r="G224">
        <v>109.01712935617</v>
      </c>
      <c r="I224" s="9">
        <f t="shared" si="22"/>
        <v>196.36136143408999</v>
      </c>
      <c r="J224" s="9">
        <f t="shared" si="23"/>
        <v>837.70850648875</v>
      </c>
      <c r="K224" s="9">
        <f t="shared" si="24"/>
        <v>196.36136143408999</v>
      </c>
      <c r="L224" s="10">
        <f t="shared" si="21"/>
        <v>0.2344029694256507</v>
      </c>
      <c r="M224" s="10">
        <f t="shared" si="20"/>
        <v>0.29173608300806059</v>
      </c>
      <c r="P224" s="8">
        <f t="shared" si="25"/>
        <v>-0.7572618686482383</v>
      </c>
    </row>
    <row r="225" spans="1:16" x14ac:dyDescent="0.2">
      <c r="A225" s="8">
        <v>111.5</v>
      </c>
      <c r="B225" s="8">
        <v>223</v>
      </c>
      <c r="D225">
        <v>970.24420677362002</v>
      </c>
      <c r="E225">
        <v>306.24598930481</v>
      </c>
      <c r="F225">
        <v>120.87832250443</v>
      </c>
      <c r="G225">
        <v>108.91848789132</v>
      </c>
      <c r="I225" s="9">
        <f t="shared" si="22"/>
        <v>197.32750141348998</v>
      </c>
      <c r="J225" s="9">
        <f t="shared" si="23"/>
        <v>849.36588426919002</v>
      </c>
      <c r="K225" s="9">
        <f t="shared" si="24"/>
        <v>197.32750141348998</v>
      </c>
      <c r="L225" s="10">
        <f t="shared" si="21"/>
        <v>0.23232331915859109</v>
      </c>
      <c r="M225" s="10">
        <f t="shared" si="20"/>
        <v>0.28991469000939024</v>
      </c>
      <c r="P225" s="8">
        <f t="shared" si="25"/>
        <v>-1.3768630730571023</v>
      </c>
    </row>
    <row r="226" spans="1:16" x14ac:dyDescent="0.2">
      <c r="A226" s="8">
        <v>112</v>
      </c>
      <c r="B226" s="8">
        <v>224</v>
      </c>
      <c r="D226">
        <v>963.38324420676997</v>
      </c>
      <c r="E226">
        <v>306.02257872846002</v>
      </c>
      <c r="F226">
        <v>120.61783815712</v>
      </c>
      <c r="G226">
        <v>108.96455995274999</v>
      </c>
      <c r="I226" s="9">
        <f t="shared" si="22"/>
        <v>197.05801877571002</v>
      </c>
      <c r="J226" s="9">
        <f t="shared" si="23"/>
        <v>842.76540604964998</v>
      </c>
      <c r="K226" s="9">
        <f t="shared" si="24"/>
        <v>197.05801877571002</v>
      </c>
      <c r="L226" s="10">
        <f t="shared" si="21"/>
        <v>0.23382309876646826</v>
      </c>
      <c r="M226" s="10">
        <f t="shared" si="20"/>
        <v>0.29167272688565665</v>
      </c>
      <c r="P226" s="8">
        <f t="shared" si="25"/>
        <v>-0.77881434511916503</v>
      </c>
    </row>
    <row r="227" spans="1:16" x14ac:dyDescent="0.2">
      <c r="A227" s="8">
        <v>112.5</v>
      </c>
      <c r="B227" s="8">
        <v>225</v>
      </c>
      <c r="D227">
        <v>962.43969102793005</v>
      </c>
      <c r="E227">
        <v>306.40998217469001</v>
      </c>
      <c r="F227">
        <v>120.91258121678</v>
      </c>
      <c r="G227">
        <v>109.25575900768</v>
      </c>
      <c r="I227" s="9">
        <f t="shared" si="22"/>
        <v>197.15422316701</v>
      </c>
      <c r="J227" s="9">
        <f t="shared" si="23"/>
        <v>841.52710981115001</v>
      </c>
      <c r="K227" s="9">
        <f t="shared" si="24"/>
        <v>197.15422316701</v>
      </c>
      <c r="L227" s="10">
        <f t="shared" si="21"/>
        <v>0.23428148762938136</v>
      </c>
      <c r="M227" s="10">
        <f t="shared" si="20"/>
        <v>0.292389373016959</v>
      </c>
      <c r="P227" s="8">
        <f t="shared" si="25"/>
        <v>-0.53502576878553432</v>
      </c>
    </row>
    <row r="228" spans="1:16" x14ac:dyDescent="0.2">
      <c r="A228" s="8">
        <v>113</v>
      </c>
      <c r="B228" s="8">
        <v>226</v>
      </c>
      <c r="D228">
        <v>962.19310754604999</v>
      </c>
      <c r="E228">
        <v>305.96316102199</v>
      </c>
      <c r="F228">
        <v>120.27052569403</v>
      </c>
      <c r="G228">
        <v>108.86119314826</v>
      </c>
      <c r="I228" s="9">
        <f t="shared" si="22"/>
        <v>197.10196787373002</v>
      </c>
      <c r="J228" s="9">
        <f t="shared" si="23"/>
        <v>841.92258185202002</v>
      </c>
      <c r="K228" s="9">
        <f t="shared" si="24"/>
        <v>197.10196787373002</v>
      </c>
      <c r="L228" s="10">
        <f t="shared" si="21"/>
        <v>0.23410937314468366</v>
      </c>
      <c r="M228" s="10">
        <f t="shared" si="20"/>
        <v>0.29247551580065051</v>
      </c>
      <c r="P228" s="8">
        <f t="shared" si="25"/>
        <v>-0.50572172920409464</v>
      </c>
    </row>
    <row r="229" spans="1:16" x14ac:dyDescent="0.2">
      <c r="A229" s="8">
        <v>113.5</v>
      </c>
      <c r="B229" s="8">
        <v>227</v>
      </c>
      <c r="D229">
        <v>962.22162804515995</v>
      </c>
      <c r="E229">
        <v>305.08259061199999</v>
      </c>
      <c r="F229">
        <v>121.03307737743999</v>
      </c>
      <c r="G229">
        <v>108.7341996456</v>
      </c>
      <c r="I229" s="9">
        <f t="shared" si="22"/>
        <v>196.34839096639999</v>
      </c>
      <c r="J229" s="9">
        <f t="shared" si="23"/>
        <v>841.18855066771994</v>
      </c>
      <c r="K229" s="9">
        <f t="shared" si="24"/>
        <v>196.34839096639999</v>
      </c>
      <c r="L229" s="10">
        <f t="shared" si="21"/>
        <v>0.23341781198821865</v>
      </c>
      <c r="M229" s="10">
        <f t="shared" si="20"/>
        <v>0.29204221191257473</v>
      </c>
      <c r="P229" s="8">
        <f t="shared" si="25"/>
        <v>-0.65312298259794588</v>
      </c>
    </row>
    <row r="230" spans="1:16" x14ac:dyDescent="0.2">
      <c r="A230" s="8">
        <v>114</v>
      </c>
      <c r="B230" s="8">
        <v>228</v>
      </c>
      <c r="D230">
        <v>953.6862745098</v>
      </c>
      <c r="E230">
        <v>303.55614973261999</v>
      </c>
      <c r="F230">
        <v>120.76196101595001</v>
      </c>
      <c r="G230">
        <v>108.9367985824</v>
      </c>
      <c r="I230" s="9">
        <f t="shared" si="22"/>
        <v>194.61935115021998</v>
      </c>
      <c r="J230" s="9">
        <f t="shared" si="23"/>
        <v>832.92431349385004</v>
      </c>
      <c r="K230" s="9">
        <f t="shared" si="24"/>
        <v>194.61935115021998</v>
      </c>
      <c r="L230" s="10">
        <f t="shared" si="21"/>
        <v>0.2336579062434308</v>
      </c>
      <c r="M230" s="10">
        <f t="shared" si="20"/>
        <v>0.29254056343617613</v>
      </c>
      <c r="P230" s="8">
        <f t="shared" si="25"/>
        <v>-0.48359383404635353</v>
      </c>
    </row>
    <row r="231" spans="1:16" x14ac:dyDescent="0.2">
      <c r="A231" s="8">
        <v>114.5</v>
      </c>
      <c r="B231" s="8">
        <v>229</v>
      </c>
      <c r="D231">
        <v>956.57694592989003</v>
      </c>
      <c r="E231">
        <v>302.61913250149001</v>
      </c>
      <c r="F231">
        <v>120.66272888364</v>
      </c>
      <c r="G231">
        <v>108.9432959244</v>
      </c>
      <c r="I231" s="9">
        <f t="shared" si="22"/>
        <v>193.67583657709002</v>
      </c>
      <c r="J231" s="9">
        <f t="shared" si="23"/>
        <v>835.91421704625009</v>
      </c>
      <c r="K231" s="9">
        <f t="shared" si="24"/>
        <v>193.67583657709002</v>
      </c>
      <c r="L231" s="10">
        <f t="shared" si="21"/>
        <v>0.23169343531619127</v>
      </c>
      <c r="M231" s="10">
        <f t="shared" si="20"/>
        <v>0.29083434977732581</v>
      </c>
      <c r="P231" s="8">
        <f t="shared" si="25"/>
        <v>-1.0640133474486067</v>
      </c>
    </row>
    <row r="232" spans="1:16" x14ac:dyDescent="0.2">
      <c r="A232" s="8">
        <v>115</v>
      </c>
      <c r="B232" s="8">
        <v>230</v>
      </c>
      <c r="D232">
        <v>956.22935234700003</v>
      </c>
      <c r="E232">
        <v>304.19667260844</v>
      </c>
      <c r="F232">
        <v>120.82752510336999</v>
      </c>
      <c r="G232">
        <v>108.78086237447999</v>
      </c>
      <c r="I232" s="9">
        <f t="shared" si="22"/>
        <v>195.41581023396</v>
      </c>
      <c r="J232" s="9">
        <f t="shared" si="23"/>
        <v>835.40182724363001</v>
      </c>
      <c r="K232" s="9">
        <f t="shared" si="24"/>
        <v>195.41581023396</v>
      </c>
      <c r="L232" s="10">
        <f t="shared" si="21"/>
        <v>0.23391834188192465</v>
      </c>
      <c r="M232" s="10">
        <f t="shared" si="20"/>
        <v>0.29331751361144842</v>
      </c>
      <c r="P232" s="8">
        <f t="shared" si="25"/>
        <v>-0.21929103683794035</v>
      </c>
    </row>
    <row r="233" spans="1:16" x14ac:dyDescent="0.2">
      <c r="A233" s="8">
        <v>115.5</v>
      </c>
      <c r="B233" s="8">
        <v>231</v>
      </c>
      <c r="D233">
        <v>947.57694592989003</v>
      </c>
      <c r="E233">
        <v>304.12715389186002</v>
      </c>
      <c r="F233">
        <v>120.95451860603001</v>
      </c>
      <c r="G233">
        <v>109.11577082103</v>
      </c>
      <c r="I233" s="9">
        <f t="shared" si="22"/>
        <v>195.01138307083002</v>
      </c>
      <c r="J233" s="9">
        <f t="shared" si="23"/>
        <v>826.62242732386005</v>
      </c>
      <c r="K233" s="9">
        <f t="shared" si="24"/>
        <v>195.01138307083002</v>
      </c>
      <c r="L233" s="10">
        <f t="shared" si="21"/>
        <v>0.23591349160724751</v>
      </c>
      <c r="M233" s="10">
        <f t="shared" si="20"/>
        <v>0.29557092060516055</v>
      </c>
      <c r="P233" s="8">
        <f t="shared" si="25"/>
        <v>0.54727262534076304</v>
      </c>
    </row>
    <row r="234" spans="1:16" x14ac:dyDescent="0.2">
      <c r="A234" s="8">
        <v>116</v>
      </c>
      <c r="B234" s="8">
        <v>232</v>
      </c>
      <c r="D234">
        <v>962.92335115865001</v>
      </c>
      <c r="E234">
        <v>306.01307189543002</v>
      </c>
      <c r="F234">
        <v>120.83402244536001</v>
      </c>
      <c r="G234">
        <v>109.15534554046</v>
      </c>
      <c r="I234" s="9">
        <f t="shared" si="22"/>
        <v>196.85772635497</v>
      </c>
      <c r="J234" s="9">
        <f t="shared" si="23"/>
        <v>842.08932871329</v>
      </c>
      <c r="K234" s="9">
        <f t="shared" si="24"/>
        <v>196.85772635497</v>
      </c>
      <c r="L234" s="10">
        <f t="shared" si="21"/>
        <v>0.23377297353449192</v>
      </c>
      <c r="M234" s="10">
        <f t="shared" si="20"/>
        <v>0.29368865980079417</v>
      </c>
      <c r="P234" s="8">
        <f t="shared" si="25"/>
        <v>-9.3034580324565977E-2</v>
      </c>
    </row>
    <row r="235" spans="1:16" x14ac:dyDescent="0.2">
      <c r="A235" s="8">
        <v>116.5</v>
      </c>
      <c r="B235" s="8">
        <v>233</v>
      </c>
      <c r="D235">
        <v>961.94295900177997</v>
      </c>
      <c r="E235">
        <v>303.73677956031003</v>
      </c>
      <c r="F235">
        <v>121.20437093916</v>
      </c>
      <c r="G235">
        <v>108.69935026580001</v>
      </c>
      <c r="I235" s="9">
        <f t="shared" si="22"/>
        <v>195.03742929451002</v>
      </c>
      <c r="J235" s="9">
        <f t="shared" si="23"/>
        <v>840.73858806262001</v>
      </c>
      <c r="K235" s="9">
        <f t="shared" si="24"/>
        <v>195.03742929451002</v>
      </c>
      <c r="L235" s="10">
        <f t="shared" si="21"/>
        <v>0.23198343939933827</v>
      </c>
      <c r="M235" s="10">
        <f t="shared" si="20"/>
        <v>0.29215738293402976</v>
      </c>
      <c r="P235" s="8">
        <f t="shared" si="25"/>
        <v>-0.61394412133152521</v>
      </c>
    </row>
    <row r="236" spans="1:16" x14ac:dyDescent="0.2">
      <c r="A236" s="8">
        <v>117</v>
      </c>
      <c r="B236" s="8">
        <v>234</v>
      </c>
      <c r="D236">
        <v>964.42840166370001</v>
      </c>
      <c r="E236">
        <v>304.52584670232</v>
      </c>
      <c r="F236">
        <v>120.87300649734</v>
      </c>
      <c r="G236">
        <v>109.08269344359</v>
      </c>
      <c r="I236" s="9">
        <f t="shared" si="22"/>
        <v>195.44315325872998</v>
      </c>
      <c r="J236" s="9">
        <f t="shared" si="23"/>
        <v>843.55539516635997</v>
      </c>
      <c r="K236" s="9">
        <f t="shared" si="24"/>
        <v>195.44315325872998</v>
      </c>
      <c r="L236" s="10">
        <f t="shared" si="21"/>
        <v>0.23168976735687413</v>
      </c>
      <c r="M236" s="10">
        <f t="shared" si="20"/>
        <v>0.29212196815995484</v>
      </c>
      <c r="P236" s="8">
        <f t="shared" si="25"/>
        <v>-0.62599151400664321</v>
      </c>
    </row>
    <row r="237" spans="1:16" x14ac:dyDescent="0.2">
      <c r="A237" s="8">
        <v>117.5</v>
      </c>
      <c r="B237" s="8">
        <v>235</v>
      </c>
      <c r="D237">
        <v>962.71063576946005</v>
      </c>
      <c r="E237">
        <v>304.27688651218</v>
      </c>
      <c r="F237">
        <v>120.82339043119001</v>
      </c>
      <c r="G237">
        <v>108.79267572357</v>
      </c>
      <c r="I237" s="9">
        <f t="shared" si="22"/>
        <v>195.48421078861</v>
      </c>
      <c r="J237" s="9">
        <f t="shared" si="23"/>
        <v>841.88724533827008</v>
      </c>
      <c r="K237" s="9">
        <f t="shared" si="24"/>
        <v>195.48421078861</v>
      </c>
      <c r="L237" s="10">
        <f t="shared" si="21"/>
        <v>0.23219761538264486</v>
      </c>
      <c r="M237" s="10">
        <f t="shared" si="20"/>
        <v>0.29288807345411483</v>
      </c>
      <c r="P237" s="8">
        <f t="shared" si="25"/>
        <v>-0.36537792687192633</v>
      </c>
    </row>
    <row r="238" spans="1:16" x14ac:dyDescent="0.2">
      <c r="A238" s="8">
        <v>118</v>
      </c>
      <c r="B238" s="8">
        <v>236</v>
      </c>
      <c r="D238">
        <v>963.82650029708998</v>
      </c>
      <c r="E238">
        <v>306.04337492573001</v>
      </c>
      <c r="F238">
        <v>120.6568222091</v>
      </c>
      <c r="G238">
        <v>108.84878913172</v>
      </c>
      <c r="I238" s="9">
        <f t="shared" si="22"/>
        <v>197.19458579401001</v>
      </c>
      <c r="J238" s="9">
        <f t="shared" si="23"/>
        <v>843.16967808798995</v>
      </c>
      <c r="K238" s="9">
        <f t="shared" si="24"/>
        <v>197.19458579401001</v>
      </c>
      <c r="L238" s="10">
        <f t="shared" si="21"/>
        <v>0.23387295691322468</v>
      </c>
      <c r="M238" s="10">
        <f t="shared" si="20"/>
        <v>0.29482167225308387</v>
      </c>
      <c r="P238" s="8">
        <f t="shared" si="25"/>
        <v>0.29239343030324538</v>
      </c>
    </row>
    <row r="239" spans="1:16" x14ac:dyDescent="0.2">
      <c r="A239" s="8">
        <v>118.5</v>
      </c>
      <c r="B239" s="8">
        <v>237</v>
      </c>
      <c r="D239">
        <v>955.09447415329998</v>
      </c>
      <c r="E239">
        <v>308.10219845514001</v>
      </c>
      <c r="F239">
        <v>120.97696396929</v>
      </c>
      <c r="G239">
        <v>108.98700531601</v>
      </c>
      <c r="I239" s="9">
        <f t="shared" si="22"/>
        <v>199.11519313913001</v>
      </c>
      <c r="J239" s="9">
        <f t="shared" si="23"/>
        <v>834.11751018401003</v>
      </c>
      <c r="K239" s="9">
        <f t="shared" si="24"/>
        <v>199.11519313913001</v>
      </c>
      <c r="L239" s="10">
        <f t="shared" si="21"/>
        <v>0.2387135993526911</v>
      </c>
      <c r="M239" s="10">
        <f t="shared" si="20"/>
        <v>0.29992057196093952</v>
      </c>
      <c r="P239" s="8">
        <f t="shared" si="25"/>
        <v>2.0269363886069773</v>
      </c>
    </row>
    <row r="240" spans="1:16" x14ac:dyDescent="0.2">
      <c r="A240" s="8">
        <v>119</v>
      </c>
      <c r="B240" s="8">
        <v>238</v>
      </c>
      <c r="D240">
        <v>968.16755793226002</v>
      </c>
      <c r="E240">
        <v>311.03386809269</v>
      </c>
      <c r="F240">
        <v>121.13585351447</v>
      </c>
      <c r="G240">
        <v>109.18074424098999</v>
      </c>
      <c r="I240" s="9">
        <f t="shared" si="22"/>
        <v>201.85312385169999</v>
      </c>
      <c r="J240" s="9">
        <f t="shared" si="23"/>
        <v>847.03170441779002</v>
      </c>
      <c r="K240" s="9">
        <f t="shared" si="24"/>
        <v>201.85312385169999</v>
      </c>
      <c r="L240" s="10">
        <f t="shared" si="21"/>
        <v>0.23830645629781283</v>
      </c>
      <c r="M240" s="10">
        <f t="shared" si="20"/>
        <v>0.29977168617445049</v>
      </c>
      <c r="P240" s="8">
        <f t="shared" si="25"/>
        <v>1.9762884434928221</v>
      </c>
    </row>
    <row r="241" spans="1:16" x14ac:dyDescent="0.2">
      <c r="A241" s="8">
        <v>119.5</v>
      </c>
      <c r="B241" s="8">
        <v>239</v>
      </c>
      <c r="D241">
        <v>984.63339275103999</v>
      </c>
      <c r="E241">
        <v>315.33155080213999</v>
      </c>
      <c r="F241">
        <v>120.89781453042001</v>
      </c>
      <c r="G241">
        <v>109.17956290607999</v>
      </c>
      <c r="I241" s="9">
        <f t="shared" si="22"/>
        <v>206.15198789606001</v>
      </c>
      <c r="J241" s="9">
        <f t="shared" si="23"/>
        <v>863.73557822062003</v>
      </c>
      <c r="K241" s="9">
        <f t="shared" si="24"/>
        <v>206.15198789606001</v>
      </c>
      <c r="L241" s="10">
        <f t="shared" si="21"/>
        <v>0.23867488279312671</v>
      </c>
      <c r="M241" s="10">
        <f t="shared" si="20"/>
        <v>0.30039836993815361</v>
      </c>
      <c r="P241" s="8">
        <f t="shared" si="25"/>
        <v>2.1894736347488517</v>
      </c>
    </row>
    <row r="242" spans="1:16" x14ac:dyDescent="0.2">
      <c r="A242" s="8">
        <v>120</v>
      </c>
      <c r="B242" s="8">
        <v>240</v>
      </c>
      <c r="D242">
        <v>984.13309566250996</v>
      </c>
      <c r="E242">
        <v>316.6862745098</v>
      </c>
      <c r="F242">
        <v>120.86650915535</v>
      </c>
      <c r="G242">
        <v>109.02598936798999</v>
      </c>
      <c r="I242" s="9">
        <f>E242-G242</f>
        <v>207.66028514180999</v>
      </c>
      <c r="J242" s="9">
        <f>D242-F242</f>
        <v>863.2665865071599</v>
      </c>
      <c r="K242" s="9">
        <f t="shared" si="24"/>
        <v>207.66028514180999</v>
      </c>
      <c r="L242" s="10">
        <f t="shared" si="21"/>
        <v>0.24055174657230599</v>
      </c>
      <c r="M242" s="10">
        <f>L242+ABS($N$2)*A242</f>
        <v>0.30253349098572213</v>
      </c>
      <c r="O242" s="11"/>
      <c r="P242" s="8">
        <f>(M242-$O$2)/$O$2*100</f>
        <v>2.9157988010352782</v>
      </c>
    </row>
    <row r="243" spans="1:16" x14ac:dyDescent="0.2">
      <c r="A243" s="8">
        <v>120.5</v>
      </c>
      <c r="B243" s="8">
        <v>241</v>
      </c>
      <c r="D243">
        <v>977.49376114081997</v>
      </c>
      <c r="E243">
        <v>318.32976827095001</v>
      </c>
      <c r="F243">
        <v>120.68044890727001</v>
      </c>
      <c r="G243">
        <v>108.93266391022</v>
      </c>
      <c r="I243" s="9">
        <f t="shared" ref="I243:I274" si="26">E243-G243</f>
        <v>209.39710436073</v>
      </c>
      <c r="J243" s="9">
        <f t="shared" ref="J243:J274" si="27">D243-F243</f>
        <v>856.81331223354994</v>
      </c>
      <c r="K243" s="9">
        <f t="shared" si="24"/>
        <v>209.39710436073</v>
      </c>
      <c r="L243" s="10">
        <f t="shared" si="21"/>
        <v>0.24439058237187214</v>
      </c>
      <c r="M243" s="10">
        <f t="shared" ref="M243:M274" si="28">L243+ABS($N$2)*A243</f>
        <v>0.30663058405367749</v>
      </c>
      <c r="P243" s="8">
        <f t="shared" ref="P243:P274" si="29">(M243-$O$2)/$O$2*100</f>
        <v>4.3095473228169876</v>
      </c>
    </row>
    <row r="244" spans="1:16" x14ac:dyDescent="0.2">
      <c r="A244" s="8">
        <v>121</v>
      </c>
      <c r="B244" s="8">
        <v>242</v>
      </c>
      <c r="D244">
        <v>963.14557338087002</v>
      </c>
      <c r="E244">
        <v>317.76648841355001</v>
      </c>
      <c r="F244">
        <v>120.9084465446</v>
      </c>
      <c r="G244">
        <v>109.03662138216001</v>
      </c>
      <c r="I244" s="9">
        <f t="shared" si="26"/>
        <v>208.72986703139</v>
      </c>
      <c r="J244" s="9">
        <f t="shared" si="27"/>
        <v>842.23712683627002</v>
      </c>
      <c r="K244" s="9">
        <f t="shared" si="24"/>
        <v>208.72986703139</v>
      </c>
      <c r="L244" s="10">
        <f t="shared" si="21"/>
        <v>0.247827910193713</v>
      </c>
      <c r="M244" s="10">
        <f t="shared" si="28"/>
        <v>0.31032616914390759</v>
      </c>
      <c r="N244" s="1"/>
      <c r="P244" s="8">
        <f t="shared" si="29"/>
        <v>5.566710919346459</v>
      </c>
    </row>
    <row r="245" spans="1:16" x14ac:dyDescent="0.2">
      <c r="A245" s="8">
        <v>121.5</v>
      </c>
      <c r="B245" s="8">
        <v>243</v>
      </c>
      <c r="D245">
        <v>980.79619726679005</v>
      </c>
      <c r="E245">
        <v>322.08556149732999</v>
      </c>
      <c r="F245">
        <v>121.16893089190999</v>
      </c>
      <c r="G245">
        <v>108.96633195510999</v>
      </c>
      <c r="I245" s="9">
        <f t="shared" si="26"/>
        <v>213.11922954222001</v>
      </c>
      <c r="J245" s="9">
        <f t="shared" si="27"/>
        <v>859.62726637488004</v>
      </c>
      <c r="K245" s="9">
        <f t="shared" si="24"/>
        <v>213.11922954222001</v>
      </c>
      <c r="L245" s="10">
        <f t="shared" si="21"/>
        <v>0.24792050913061611</v>
      </c>
      <c r="M245" s="10">
        <f t="shared" si="28"/>
        <v>0.31067702534919994</v>
      </c>
      <c r="P245" s="8">
        <f t="shared" si="29"/>
        <v>5.6860651320463891</v>
      </c>
    </row>
    <row r="246" spans="1:16" x14ac:dyDescent="0.2">
      <c r="A246" s="8">
        <v>122</v>
      </c>
      <c r="B246" s="8">
        <v>244</v>
      </c>
      <c r="D246">
        <v>973.25193107545999</v>
      </c>
      <c r="E246">
        <v>321.37849079026</v>
      </c>
      <c r="F246">
        <v>120.81039574719</v>
      </c>
      <c r="G246">
        <v>108.92734790313</v>
      </c>
      <c r="I246" s="9">
        <f t="shared" si="26"/>
        <v>212.45114288713</v>
      </c>
      <c r="J246" s="9">
        <f t="shared" si="27"/>
        <v>852.44153532826999</v>
      </c>
      <c r="K246" s="9">
        <f t="shared" si="24"/>
        <v>212.45114288713</v>
      </c>
      <c r="L246" s="10">
        <f t="shared" si="21"/>
        <v>0.24922664380181378</v>
      </c>
      <c r="M246" s="10">
        <f t="shared" si="28"/>
        <v>0.31224141728878685</v>
      </c>
      <c r="P246" s="8">
        <f t="shared" si="29"/>
        <v>6.2182397536921155</v>
      </c>
    </row>
    <row r="247" spans="1:16" x14ac:dyDescent="0.2">
      <c r="A247" s="8">
        <v>122.5</v>
      </c>
      <c r="B247" s="8">
        <v>245</v>
      </c>
      <c r="D247">
        <v>1000.7058823528999</v>
      </c>
      <c r="E247">
        <v>329.22222222222001</v>
      </c>
      <c r="F247">
        <v>121.10809214411999</v>
      </c>
      <c r="G247">
        <v>109.24867099823</v>
      </c>
      <c r="I247" s="9">
        <f t="shared" si="26"/>
        <v>219.97355122399</v>
      </c>
      <c r="J247" s="9">
        <f t="shared" si="27"/>
        <v>879.59779020878</v>
      </c>
      <c r="K247" s="9">
        <f t="shared" si="24"/>
        <v>219.97355122399</v>
      </c>
      <c r="L247" s="10">
        <f t="shared" si="21"/>
        <v>0.25008424722369688</v>
      </c>
      <c r="M247" s="10">
        <f t="shared" si="28"/>
        <v>0.31335727797905916</v>
      </c>
      <c r="P247" s="8">
        <f t="shared" si="29"/>
        <v>6.5978330804205898</v>
      </c>
    </row>
    <row r="248" spans="1:16" x14ac:dyDescent="0.2">
      <c r="A248" s="8">
        <v>123</v>
      </c>
      <c r="B248" s="8">
        <v>246</v>
      </c>
      <c r="D248">
        <v>972.46167557931994</v>
      </c>
      <c r="E248">
        <v>326.09982174688002</v>
      </c>
      <c r="F248">
        <v>120.75251033668</v>
      </c>
      <c r="G248">
        <v>108.99409332546</v>
      </c>
      <c r="I248" s="9">
        <f t="shared" si="26"/>
        <v>217.10572842142003</v>
      </c>
      <c r="J248" s="9">
        <f t="shared" si="27"/>
        <v>851.70916524263998</v>
      </c>
      <c r="K248" s="9">
        <f t="shared" si="24"/>
        <v>217.10572842142003</v>
      </c>
      <c r="L248" s="10">
        <f t="shared" si="21"/>
        <v>0.25490594357942553</v>
      </c>
      <c r="M248" s="10">
        <f t="shared" si="28"/>
        <v>0.31843723160317705</v>
      </c>
      <c r="P248" s="8">
        <f t="shared" si="29"/>
        <v>8.3259309627240743</v>
      </c>
    </row>
    <row r="249" spans="1:16" x14ac:dyDescent="0.2">
      <c r="A249" s="8">
        <v>123.5</v>
      </c>
      <c r="B249" s="8">
        <v>247</v>
      </c>
      <c r="D249">
        <v>977.51515151515002</v>
      </c>
      <c r="E249">
        <v>327.17528223411</v>
      </c>
      <c r="F249">
        <v>120.98995865328</v>
      </c>
      <c r="G249">
        <v>108.96160661547999</v>
      </c>
      <c r="I249" s="9">
        <f t="shared" si="26"/>
        <v>218.21367561863002</v>
      </c>
      <c r="J249" s="9">
        <f t="shared" si="27"/>
        <v>856.52519286186998</v>
      </c>
      <c r="K249" s="9">
        <f t="shared" si="24"/>
        <v>218.21367561863002</v>
      </c>
      <c r="L249" s="10">
        <f t="shared" si="21"/>
        <v>0.25476620820634854</v>
      </c>
      <c r="M249" s="10">
        <f t="shared" si="28"/>
        <v>0.3185557534984893</v>
      </c>
      <c r="P249" s="8">
        <f t="shared" si="29"/>
        <v>8.3662497237700997</v>
      </c>
    </row>
    <row r="250" spans="1:16" x14ac:dyDescent="0.2">
      <c r="A250" s="8">
        <v>124</v>
      </c>
      <c r="B250" s="8">
        <v>248</v>
      </c>
      <c r="D250">
        <v>981.70350564468004</v>
      </c>
      <c r="E250">
        <v>329.74272133096002</v>
      </c>
      <c r="F250">
        <v>121.27938570585</v>
      </c>
      <c r="G250">
        <v>108.89249852333</v>
      </c>
      <c r="I250" s="9">
        <f t="shared" si="26"/>
        <v>220.85022280763002</v>
      </c>
      <c r="J250" s="9">
        <f t="shared" si="27"/>
        <v>860.42411993883002</v>
      </c>
      <c r="K250" s="9">
        <f t="shared" si="24"/>
        <v>220.85022280763002</v>
      </c>
      <c r="L250" s="10">
        <f t="shared" si="21"/>
        <v>0.25667600162502519</v>
      </c>
      <c r="M250" s="10">
        <f t="shared" si="28"/>
        <v>0.32072380418555518</v>
      </c>
      <c r="P250" s="8">
        <f t="shared" si="29"/>
        <v>9.1037768900138172</v>
      </c>
    </row>
    <row r="251" spans="1:16" x14ac:dyDescent="0.2">
      <c r="A251" s="8">
        <v>124.5</v>
      </c>
      <c r="B251" s="8">
        <v>249</v>
      </c>
      <c r="D251">
        <v>977.72608437314</v>
      </c>
      <c r="E251">
        <v>332.31075460487</v>
      </c>
      <c r="F251">
        <v>120.7418783225</v>
      </c>
      <c r="G251">
        <v>109.19432959244</v>
      </c>
      <c r="I251" s="9">
        <f t="shared" si="26"/>
        <v>223.11642501243</v>
      </c>
      <c r="J251" s="9">
        <f t="shared" si="27"/>
        <v>856.98420605063995</v>
      </c>
      <c r="K251" s="9">
        <f t="shared" si="24"/>
        <v>223.11642501243</v>
      </c>
      <c r="L251" s="10">
        <f t="shared" si="21"/>
        <v>0.26035068492177771</v>
      </c>
      <c r="M251" s="10">
        <f t="shared" si="28"/>
        <v>0.32465674475069695</v>
      </c>
      <c r="P251" s="8">
        <f t="shared" si="29"/>
        <v>10.441684037350644</v>
      </c>
    </row>
    <row r="252" spans="1:16" x14ac:dyDescent="0.2">
      <c r="A252" s="8">
        <v>125</v>
      </c>
      <c r="B252" s="8">
        <v>250</v>
      </c>
      <c r="D252">
        <v>989.44206773618998</v>
      </c>
      <c r="E252">
        <v>333.74153297683</v>
      </c>
      <c r="F252">
        <v>120.90667454222999</v>
      </c>
      <c r="G252">
        <v>109.21382161843</v>
      </c>
      <c r="I252" s="9">
        <f t="shared" si="26"/>
        <v>224.52771135839998</v>
      </c>
      <c r="J252" s="9">
        <f t="shared" si="27"/>
        <v>868.53539319395998</v>
      </c>
      <c r="K252" s="9">
        <f t="shared" si="24"/>
        <v>224.52771135839998</v>
      </c>
      <c r="L252" s="10">
        <f t="shared" si="21"/>
        <v>0.25851302447528329</v>
      </c>
      <c r="M252" s="10">
        <f t="shared" si="28"/>
        <v>0.32307734157259171</v>
      </c>
      <c r="P252" s="8">
        <f t="shared" si="29"/>
        <v>9.9044028947770286</v>
      </c>
    </row>
    <row r="253" spans="1:16" x14ac:dyDescent="0.2">
      <c r="A253" s="8">
        <v>125.5</v>
      </c>
      <c r="B253" s="8">
        <v>251</v>
      </c>
      <c r="D253">
        <v>989.76708259061002</v>
      </c>
      <c r="E253">
        <v>335.39215686275003</v>
      </c>
      <c r="F253">
        <v>120.86828115771</v>
      </c>
      <c r="G253">
        <v>109.35735380980999</v>
      </c>
      <c r="I253" s="9">
        <f t="shared" si="26"/>
        <v>226.03480305294005</v>
      </c>
      <c r="J253" s="9">
        <f t="shared" si="27"/>
        <v>868.89880143289997</v>
      </c>
      <c r="K253" s="9">
        <f t="shared" si="24"/>
        <v>226.03480305294005</v>
      </c>
      <c r="L253" s="10">
        <f t="shared" si="21"/>
        <v>0.26013938870693148</v>
      </c>
      <c r="M253" s="10">
        <f t="shared" si="28"/>
        <v>0.32496196307262915</v>
      </c>
      <c r="P253" s="8">
        <f t="shared" si="29"/>
        <v>10.545513161551133</v>
      </c>
    </row>
    <row r="254" spans="1:16" x14ac:dyDescent="0.2">
      <c r="A254" s="8">
        <v>126</v>
      </c>
      <c r="B254" s="8">
        <v>252</v>
      </c>
      <c r="D254">
        <v>948.08972073678001</v>
      </c>
      <c r="E254">
        <v>324.37789661318999</v>
      </c>
      <c r="F254">
        <v>120.87891317188</v>
      </c>
      <c r="G254">
        <v>108.9716479622</v>
      </c>
      <c r="I254" s="9">
        <f t="shared" si="26"/>
        <v>215.40624865098999</v>
      </c>
      <c r="J254" s="9">
        <f t="shared" si="27"/>
        <v>827.21080756490005</v>
      </c>
      <c r="K254" s="9">
        <f t="shared" si="24"/>
        <v>215.40624865098999</v>
      </c>
      <c r="L254" s="10">
        <f t="shared" si="21"/>
        <v>0.26040067015697205</v>
      </c>
      <c r="M254" s="10">
        <f t="shared" si="28"/>
        <v>0.32548150179105895</v>
      </c>
      <c r="P254" s="8">
        <f t="shared" si="29"/>
        <v>10.722249766946641</v>
      </c>
    </row>
    <row r="255" spans="1:16" x14ac:dyDescent="0.2">
      <c r="A255" s="8">
        <v>126.5</v>
      </c>
      <c r="B255" s="8">
        <v>253</v>
      </c>
      <c r="D255">
        <v>948.56268568032999</v>
      </c>
      <c r="E255">
        <v>327.89780154485999</v>
      </c>
      <c r="F255">
        <v>120.93797991731</v>
      </c>
      <c r="G255">
        <v>109.09450679267999</v>
      </c>
      <c r="I255" s="9">
        <f t="shared" si="26"/>
        <v>218.80329475217999</v>
      </c>
      <c r="J255" s="9">
        <f t="shared" si="27"/>
        <v>827.62470576301996</v>
      </c>
      <c r="K255" s="9">
        <f t="shared" si="24"/>
        <v>218.80329475217999</v>
      </c>
      <c r="L255" s="10">
        <f t="shared" si="21"/>
        <v>0.26437501590827522</v>
      </c>
      <c r="M255" s="10">
        <f t="shared" si="28"/>
        <v>0.32971410481075136</v>
      </c>
      <c r="P255" s="8">
        <f t="shared" si="29"/>
        <v>12.162096044329125</v>
      </c>
    </row>
    <row r="256" spans="1:16" x14ac:dyDescent="0.2">
      <c r="A256" s="8">
        <v>127</v>
      </c>
      <c r="B256" s="8">
        <v>254</v>
      </c>
      <c r="D256">
        <v>990.71420083185001</v>
      </c>
      <c r="E256">
        <v>339.31610219845999</v>
      </c>
      <c r="F256">
        <v>120.53927938571</v>
      </c>
      <c r="G256">
        <v>108.81925575901001</v>
      </c>
      <c r="I256" s="9">
        <f t="shared" si="26"/>
        <v>230.49684643945</v>
      </c>
      <c r="J256" s="9">
        <f t="shared" si="27"/>
        <v>870.17492144614005</v>
      </c>
      <c r="K256" s="9">
        <f t="shared" si="24"/>
        <v>230.49684643945</v>
      </c>
      <c r="L256" s="10">
        <f t="shared" si="21"/>
        <v>0.26488564627487571</v>
      </c>
      <c r="M256" s="10">
        <f t="shared" si="28"/>
        <v>0.33048299244574109</v>
      </c>
      <c r="P256" s="8">
        <f t="shared" si="29"/>
        <v>12.423656127761147</v>
      </c>
    </row>
    <row r="257" spans="1:16" x14ac:dyDescent="0.2">
      <c r="A257" s="8">
        <v>127.5</v>
      </c>
      <c r="B257" s="8">
        <v>255</v>
      </c>
      <c r="D257">
        <v>954.80332739155995</v>
      </c>
      <c r="E257">
        <v>333.09506833035999</v>
      </c>
      <c r="F257">
        <v>121.1329001772</v>
      </c>
      <c r="G257">
        <v>109.0490253987</v>
      </c>
      <c r="I257" s="9">
        <f t="shared" si="26"/>
        <v>224.04604293166</v>
      </c>
      <c r="J257" s="9">
        <f t="shared" si="27"/>
        <v>833.67042721435996</v>
      </c>
      <c r="K257" s="9">
        <f t="shared" si="24"/>
        <v>224.04604293166</v>
      </c>
      <c r="L257" s="10">
        <f t="shared" si="21"/>
        <v>0.2687465401409177</v>
      </c>
      <c r="M257" s="10">
        <f t="shared" si="28"/>
        <v>0.33460214358017232</v>
      </c>
      <c r="P257" s="8">
        <f t="shared" si="29"/>
        <v>13.824908359376678</v>
      </c>
    </row>
    <row r="258" spans="1:16" x14ac:dyDescent="0.2">
      <c r="A258" s="8">
        <v>128</v>
      </c>
      <c r="B258" s="8">
        <v>256</v>
      </c>
      <c r="D258">
        <v>949.46939988117003</v>
      </c>
      <c r="E258">
        <v>334.18122400474999</v>
      </c>
      <c r="F258">
        <v>120.53041937389</v>
      </c>
      <c r="G258">
        <v>109.05138806852</v>
      </c>
      <c r="I258" s="9">
        <f t="shared" si="26"/>
        <v>225.12983593622999</v>
      </c>
      <c r="J258" s="9">
        <f t="shared" si="27"/>
        <v>828.93898050728001</v>
      </c>
      <c r="K258" s="9">
        <f t="shared" si="24"/>
        <v>225.12983593622999</v>
      </c>
      <c r="L258" s="10">
        <f t="shared" ref="L258:L321" si="30">K258/J258</f>
        <v>0.27158794703858524</v>
      </c>
      <c r="M258" s="10">
        <f t="shared" si="28"/>
        <v>0.3377018077462291</v>
      </c>
      <c r="P258" s="8">
        <f t="shared" si="29"/>
        <v>14.879351662910745</v>
      </c>
    </row>
    <row r="259" spans="1:16" x14ac:dyDescent="0.2">
      <c r="A259" s="8">
        <v>128.5</v>
      </c>
      <c r="B259" s="8">
        <v>257</v>
      </c>
      <c r="D259">
        <v>1000.9726678550001</v>
      </c>
      <c r="E259">
        <v>348.96434937611002</v>
      </c>
      <c r="F259">
        <v>120.76314235085999</v>
      </c>
      <c r="G259">
        <v>109.08623744832001</v>
      </c>
      <c r="I259" s="9">
        <f t="shared" si="26"/>
        <v>239.87811192779003</v>
      </c>
      <c r="J259" s="9">
        <f t="shared" si="27"/>
        <v>880.20952550414006</v>
      </c>
      <c r="K259" s="9">
        <f t="shared" ref="K259:K321" si="31">I259*1</f>
        <v>239.87811192779003</v>
      </c>
      <c r="L259" s="10">
        <f t="shared" si="30"/>
        <v>0.27252387639227127</v>
      </c>
      <c r="M259" s="10">
        <f t="shared" si="28"/>
        <v>0.33889599436830437</v>
      </c>
      <c r="P259" s="8">
        <f t="shared" si="29"/>
        <v>15.28558989368628</v>
      </c>
    </row>
    <row r="260" spans="1:16" x14ac:dyDescent="0.2">
      <c r="A260" s="8">
        <v>129</v>
      </c>
      <c r="B260" s="8">
        <v>258</v>
      </c>
      <c r="D260">
        <v>1028.6078431373001</v>
      </c>
      <c r="E260">
        <v>351.83303624479998</v>
      </c>
      <c r="F260">
        <v>120.55877141169999</v>
      </c>
      <c r="G260">
        <v>108.91907855877</v>
      </c>
      <c r="I260" s="9">
        <f t="shared" si="26"/>
        <v>242.91395768602999</v>
      </c>
      <c r="J260" s="9">
        <f t="shared" si="27"/>
        <v>908.04907172560002</v>
      </c>
      <c r="K260" s="9">
        <f t="shared" si="31"/>
        <v>242.91395768602999</v>
      </c>
      <c r="L260" s="10">
        <f t="shared" si="30"/>
        <v>0.26751192776884997</v>
      </c>
      <c r="M260" s="10">
        <f t="shared" si="28"/>
        <v>0.3341423030132723</v>
      </c>
      <c r="P260" s="8">
        <f t="shared" si="29"/>
        <v>13.668479862454102</v>
      </c>
    </row>
    <row r="261" spans="1:16" x14ac:dyDescent="0.2">
      <c r="A261" s="8">
        <v>129.5</v>
      </c>
      <c r="B261" s="8">
        <v>259</v>
      </c>
      <c r="D261">
        <v>1017.5603089721</v>
      </c>
      <c r="E261">
        <v>345.24539512774999</v>
      </c>
      <c r="F261">
        <v>120.90903721204999</v>
      </c>
      <c r="G261">
        <v>109.02421736562</v>
      </c>
      <c r="I261" s="9">
        <f t="shared" si="26"/>
        <v>236.22117776212997</v>
      </c>
      <c r="J261" s="9">
        <f t="shared" si="27"/>
        <v>896.65127176005001</v>
      </c>
      <c r="K261" s="9">
        <f t="shared" si="31"/>
        <v>236.22117776212997</v>
      </c>
      <c r="L261" s="10">
        <f t="shared" si="30"/>
        <v>0.26344821582469619</v>
      </c>
      <c r="M261" s="10">
        <f t="shared" si="28"/>
        <v>0.33033684833750776</v>
      </c>
      <c r="P261" s="8">
        <f t="shared" si="29"/>
        <v>12.373940846355797</v>
      </c>
    </row>
    <row r="262" spans="1:16" x14ac:dyDescent="0.2">
      <c r="A262" s="8">
        <v>130</v>
      </c>
      <c r="B262" s="8">
        <v>260</v>
      </c>
      <c r="D262">
        <v>1012.23885918</v>
      </c>
      <c r="E262">
        <v>342.14319667260997</v>
      </c>
      <c r="F262">
        <v>120.91199054932</v>
      </c>
      <c r="G262">
        <v>109.10986414649</v>
      </c>
      <c r="I262" s="9">
        <f t="shared" si="26"/>
        <v>233.03333252611998</v>
      </c>
      <c r="J262" s="9">
        <f t="shared" si="27"/>
        <v>891.32686863068</v>
      </c>
      <c r="K262" s="9">
        <f t="shared" si="31"/>
        <v>233.03333252611998</v>
      </c>
      <c r="L262" s="10">
        <f t="shared" si="30"/>
        <v>0.2614454256092632</v>
      </c>
      <c r="M262" s="10">
        <f t="shared" si="28"/>
        <v>0.32859231539046396</v>
      </c>
      <c r="P262" s="8">
        <f t="shared" si="29"/>
        <v>11.780485883089566</v>
      </c>
    </row>
    <row r="263" spans="1:16" x14ac:dyDescent="0.2">
      <c r="A263" s="8">
        <v>130.5</v>
      </c>
      <c r="B263" s="8">
        <v>261</v>
      </c>
      <c r="D263">
        <v>1009.1592394534</v>
      </c>
      <c r="E263">
        <v>341.86452762923</v>
      </c>
      <c r="F263">
        <v>121.17247489663001</v>
      </c>
      <c r="G263">
        <v>108.89663319551001</v>
      </c>
      <c r="I263" s="9">
        <f t="shared" si="26"/>
        <v>232.96789443372001</v>
      </c>
      <c r="J263" s="9">
        <f t="shared" si="27"/>
        <v>887.98676455677003</v>
      </c>
      <c r="K263" s="9">
        <f t="shared" si="31"/>
        <v>232.96789443372001</v>
      </c>
      <c r="L263" s="10">
        <f t="shared" si="30"/>
        <v>0.26235514281567435</v>
      </c>
      <c r="M263" s="10">
        <f t="shared" si="28"/>
        <v>0.3297602898652644</v>
      </c>
      <c r="P263" s="8">
        <f t="shared" si="29"/>
        <v>12.177807269431481</v>
      </c>
    </row>
    <row r="264" spans="1:16" x14ac:dyDescent="0.2">
      <c r="A264" s="8">
        <v>131</v>
      </c>
      <c r="B264" s="8">
        <v>262</v>
      </c>
      <c r="D264">
        <v>876.75976331361005</v>
      </c>
      <c r="E264">
        <v>316.22544378698001</v>
      </c>
      <c r="F264">
        <v>120.94506792676</v>
      </c>
      <c r="G264">
        <v>108.90372120495999</v>
      </c>
      <c r="I264" s="9">
        <f t="shared" si="26"/>
        <v>207.32172258202002</v>
      </c>
      <c r="J264" s="9">
        <f t="shared" si="27"/>
        <v>755.81469538685008</v>
      </c>
      <c r="K264" s="9">
        <f t="shared" si="31"/>
        <v>207.32172258202002</v>
      </c>
      <c r="L264" s="10">
        <f t="shared" si="30"/>
        <v>0.27430231754875595</v>
      </c>
      <c r="M264" s="10">
        <f t="shared" si="28"/>
        <v>0.34196572186673524</v>
      </c>
      <c r="P264" s="8">
        <f t="shared" si="29"/>
        <v>16.329849345997388</v>
      </c>
    </row>
    <row r="265" spans="1:16" x14ac:dyDescent="0.2">
      <c r="A265" s="8">
        <v>131.5</v>
      </c>
      <c r="B265" s="8">
        <v>263</v>
      </c>
      <c r="D265">
        <v>894.04291593180994</v>
      </c>
      <c r="E265">
        <v>316.45091122869002</v>
      </c>
      <c r="F265">
        <v>120.82516243355001</v>
      </c>
      <c r="G265">
        <v>108.98818665092</v>
      </c>
      <c r="I265" s="9">
        <f t="shared" si="26"/>
        <v>207.46272457777002</v>
      </c>
      <c r="J265" s="9">
        <f t="shared" si="27"/>
        <v>773.21775349825998</v>
      </c>
      <c r="K265" s="9">
        <f t="shared" si="31"/>
        <v>207.46272457777002</v>
      </c>
      <c r="L265" s="10">
        <f t="shared" si="30"/>
        <v>0.26831086539225057</v>
      </c>
      <c r="M265" s="10">
        <f t="shared" si="28"/>
        <v>0.33623252697861905</v>
      </c>
      <c r="P265" s="8">
        <f t="shared" si="29"/>
        <v>14.379531945864201</v>
      </c>
    </row>
    <row r="266" spans="1:16" x14ac:dyDescent="0.2">
      <c r="A266" s="8">
        <v>132</v>
      </c>
      <c r="B266" s="8">
        <v>264</v>
      </c>
      <c r="D266">
        <v>898.95414462080998</v>
      </c>
      <c r="E266">
        <v>313.05937683716002</v>
      </c>
      <c r="F266">
        <v>120.8670998228</v>
      </c>
      <c r="G266">
        <v>108.95924394566001</v>
      </c>
      <c r="I266" s="9">
        <f t="shared" si="26"/>
        <v>204.10013289150001</v>
      </c>
      <c r="J266" s="9">
        <f t="shared" si="27"/>
        <v>778.08704479800997</v>
      </c>
      <c r="K266" s="9">
        <f t="shared" si="31"/>
        <v>204.10013289150001</v>
      </c>
      <c r="L266" s="10">
        <f t="shared" si="30"/>
        <v>0.26231015444356104</v>
      </c>
      <c r="M266" s="10">
        <f t="shared" si="28"/>
        <v>0.33049007329831875</v>
      </c>
      <c r="P266" s="8">
        <f t="shared" si="29"/>
        <v>12.426064891157386</v>
      </c>
    </row>
    <row r="267" spans="1:16" x14ac:dyDescent="0.2">
      <c r="A267" s="8">
        <v>132.5</v>
      </c>
      <c r="B267" s="8">
        <v>265</v>
      </c>
      <c r="D267">
        <v>899.48051948052</v>
      </c>
      <c r="E267">
        <v>313.48996458086998</v>
      </c>
      <c r="F267">
        <v>120.61075014767</v>
      </c>
      <c r="G267">
        <v>108.93797991731</v>
      </c>
      <c r="I267" s="9">
        <f t="shared" si="26"/>
        <v>204.55198466355998</v>
      </c>
      <c r="J267" s="9">
        <f t="shared" si="27"/>
        <v>778.86976933284996</v>
      </c>
      <c r="K267" s="9">
        <f t="shared" si="31"/>
        <v>204.55198466355998</v>
      </c>
      <c r="L267" s="10">
        <f t="shared" si="30"/>
        <v>0.26262668384057503</v>
      </c>
      <c r="M267" s="10">
        <f t="shared" si="28"/>
        <v>0.33106485996372198</v>
      </c>
      <c r="P267" s="8">
        <f t="shared" si="29"/>
        <v>12.621595735089466</v>
      </c>
    </row>
    <row r="268" spans="1:16" x14ac:dyDescent="0.2">
      <c r="A268" s="8">
        <v>133</v>
      </c>
      <c r="B268" s="8">
        <v>266</v>
      </c>
      <c r="D268">
        <v>881.59917355371999</v>
      </c>
      <c r="E268">
        <v>307.35537190082999</v>
      </c>
      <c r="F268">
        <v>120.85233313644</v>
      </c>
      <c r="G268">
        <v>109.13703484938</v>
      </c>
      <c r="I268" s="9">
        <f t="shared" si="26"/>
        <v>198.21833705144999</v>
      </c>
      <c r="J268" s="9">
        <f t="shared" si="27"/>
        <v>760.74684041728005</v>
      </c>
      <c r="K268" s="9">
        <f t="shared" si="31"/>
        <v>198.21833705144999</v>
      </c>
      <c r="L268" s="10">
        <f t="shared" si="30"/>
        <v>0.26055755544475812</v>
      </c>
      <c r="M268" s="10">
        <f t="shared" si="28"/>
        <v>0.32925398883629431</v>
      </c>
      <c r="P268" s="8">
        <f t="shared" si="29"/>
        <v>12.005573859303999</v>
      </c>
    </row>
    <row r="269" spans="1:16" x14ac:dyDescent="0.2">
      <c r="A269" s="8">
        <v>133.5</v>
      </c>
      <c r="B269" s="8">
        <v>267</v>
      </c>
      <c r="D269">
        <v>914.79385705847994</v>
      </c>
      <c r="E269">
        <v>312.65386887183001</v>
      </c>
      <c r="F269">
        <v>120.94270525694</v>
      </c>
      <c r="G269">
        <v>109.15062020083001</v>
      </c>
      <c r="I269" s="9">
        <f t="shared" si="26"/>
        <v>203.50324867099999</v>
      </c>
      <c r="J269" s="9">
        <f t="shared" si="27"/>
        <v>793.85115180153991</v>
      </c>
      <c r="K269" s="9">
        <f t="shared" si="31"/>
        <v>203.50324867099999</v>
      </c>
      <c r="L269" s="10">
        <f t="shared" si="30"/>
        <v>0.25634937759953658</v>
      </c>
      <c r="M269" s="10">
        <f t="shared" si="28"/>
        <v>0.32530406825946201</v>
      </c>
      <c r="P269" s="8">
        <f t="shared" si="29"/>
        <v>10.661890454068949</v>
      </c>
    </row>
    <row r="270" spans="1:16" x14ac:dyDescent="0.2">
      <c r="A270" s="8">
        <v>134</v>
      </c>
      <c r="B270" s="8">
        <v>268</v>
      </c>
      <c r="D270">
        <v>921.27347903130999</v>
      </c>
      <c r="E270">
        <v>313.05788541050998</v>
      </c>
      <c r="F270">
        <v>120.88009450679</v>
      </c>
      <c r="G270">
        <v>108.99940933255</v>
      </c>
      <c r="I270" s="9">
        <f t="shared" si="26"/>
        <v>204.05847607795999</v>
      </c>
      <c r="J270" s="9">
        <f t="shared" si="27"/>
        <v>800.39338452452</v>
      </c>
      <c r="K270" s="9">
        <f t="shared" si="31"/>
        <v>204.05847607795999</v>
      </c>
      <c r="L270" s="10">
        <f t="shared" si="30"/>
        <v>0.25494772948327471</v>
      </c>
      <c r="M270" s="10">
        <f t="shared" si="28"/>
        <v>0.32416067741158938</v>
      </c>
      <c r="P270" s="8">
        <f t="shared" si="29"/>
        <v>10.272931922346729</v>
      </c>
    </row>
    <row r="271" spans="1:16" x14ac:dyDescent="0.2">
      <c r="A271" s="8">
        <v>134.5</v>
      </c>
      <c r="B271" s="8">
        <v>269</v>
      </c>
      <c r="D271">
        <v>911.92449464923004</v>
      </c>
      <c r="E271">
        <v>310.16468489892998</v>
      </c>
      <c r="F271">
        <v>120.64559952747</v>
      </c>
      <c r="G271">
        <v>109.23922031895999</v>
      </c>
      <c r="I271" s="9">
        <f t="shared" si="26"/>
        <v>200.92546457996997</v>
      </c>
      <c r="J271" s="9">
        <f t="shared" si="27"/>
        <v>791.27889512176</v>
      </c>
      <c r="K271" s="9">
        <f t="shared" si="31"/>
        <v>200.92546457996997</v>
      </c>
      <c r="L271" s="10">
        <f t="shared" si="30"/>
        <v>0.25392496352256694</v>
      </c>
      <c r="M271" s="10">
        <f t="shared" si="28"/>
        <v>0.32339616871927085</v>
      </c>
      <c r="P271" s="8">
        <f t="shared" si="29"/>
        <v>10.012861466993375</v>
      </c>
    </row>
    <row r="272" spans="1:16" x14ac:dyDescent="0.2">
      <c r="A272" s="8">
        <v>135</v>
      </c>
      <c r="B272" s="8">
        <v>270</v>
      </c>
      <c r="D272">
        <v>902.67657550535</v>
      </c>
      <c r="E272">
        <v>308.03567181926002</v>
      </c>
      <c r="F272">
        <v>120.84111045481001</v>
      </c>
      <c r="G272">
        <v>108.90017720023999</v>
      </c>
      <c r="I272" s="9">
        <f t="shared" si="26"/>
        <v>199.13549461902002</v>
      </c>
      <c r="J272" s="9">
        <f t="shared" si="27"/>
        <v>781.83546505054005</v>
      </c>
      <c r="K272" s="9">
        <f t="shared" si="31"/>
        <v>199.13549461902002</v>
      </c>
      <c r="L272" s="10">
        <f t="shared" si="30"/>
        <v>0.25470256021981214</v>
      </c>
      <c r="M272" s="10">
        <f t="shared" si="28"/>
        <v>0.32443202268490529</v>
      </c>
      <c r="P272" s="8">
        <f t="shared" si="29"/>
        <v>10.365238117813561</v>
      </c>
    </row>
    <row r="273" spans="1:16" x14ac:dyDescent="0.2">
      <c r="A273" s="8">
        <v>135.5</v>
      </c>
      <c r="B273" s="8">
        <v>271</v>
      </c>
      <c r="D273">
        <v>883.53269916765998</v>
      </c>
      <c r="E273">
        <v>304.17122473246002</v>
      </c>
      <c r="F273">
        <v>120.75664500886</v>
      </c>
      <c r="G273">
        <v>109.34376845836</v>
      </c>
      <c r="I273" s="9">
        <f t="shared" si="26"/>
        <v>194.82745627410003</v>
      </c>
      <c r="J273" s="9">
        <f t="shared" si="27"/>
        <v>762.77605415879998</v>
      </c>
      <c r="K273" s="9">
        <f t="shared" si="31"/>
        <v>194.82745627410003</v>
      </c>
      <c r="L273" s="10">
        <f t="shared" si="30"/>
        <v>0.25541894663822196</v>
      </c>
      <c r="M273" s="10">
        <f t="shared" si="28"/>
        <v>0.32540666637170435</v>
      </c>
      <c r="P273" s="8">
        <f t="shared" si="29"/>
        <v>10.696792264914734</v>
      </c>
    </row>
    <row r="274" spans="1:16" x14ac:dyDescent="0.2">
      <c r="A274" s="8">
        <v>136</v>
      </c>
      <c r="B274" s="8">
        <v>272</v>
      </c>
      <c r="D274">
        <v>920.19916765754999</v>
      </c>
      <c r="E274">
        <v>309.17300832341999</v>
      </c>
      <c r="F274">
        <v>120.84878913172</v>
      </c>
      <c r="G274">
        <v>109.03544004725001</v>
      </c>
      <c r="I274" s="9">
        <f t="shared" si="26"/>
        <v>200.13756827616999</v>
      </c>
      <c r="J274" s="9">
        <f t="shared" si="27"/>
        <v>799.35037852583002</v>
      </c>
      <c r="K274" s="9">
        <f t="shared" si="31"/>
        <v>200.13756827616999</v>
      </c>
      <c r="L274" s="10">
        <f t="shared" si="30"/>
        <v>0.2503752717866547</v>
      </c>
      <c r="M274" s="10">
        <f t="shared" si="28"/>
        <v>0.32062124878852627</v>
      </c>
      <c r="P274" s="8">
        <f t="shared" si="29"/>
        <v>9.0688896100230991</v>
      </c>
    </row>
    <row r="275" spans="1:16" x14ac:dyDescent="0.2">
      <c r="A275" s="8">
        <v>136.5</v>
      </c>
      <c r="B275" s="8">
        <v>273</v>
      </c>
      <c r="D275">
        <v>932.10166468490002</v>
      </c>
      <c r="E275">
        <v>309.58263971462998</v>
      </c>
      <c r="F275">
        <v>121.33490844655</v>
      </c>
      <c r="G275">
        <v>109.07678676905</v>
      </c>
      <c r="I275" s="9">
        <f>E275-G275</f>
        <v>200.50585294557999</v>
      </c>
      <c r="J275" s="9">
        <f>D275-F275</f>
        <v>810.76675623835001</v>
      </c>
      <c r="K275" s="9">
        <f t="shared" si="31"/>
        <v>200.50585294557999</v>
      </c>
      <c r="L275" s="10">
        <f t="shared" si="30"/>
        <v>0.24730398897440126</v>
      </c>
      <c r="M275" s="10">
        <f>L275+ABS($N$2)*A275</f>
        <v>0.31780822324466207</v>
      </c>
      <c r="O275" s="11"/>
      <c r="P275" s="8">
        <f>(M275-$O$2)/$O$2*100</f>
        <v>8.1119549911442803</v>
      </c>
    </row>
    <row r="276" spans="1:16" x14ac:dyDescent="0.2">
      <c r="A276" s="8">
        <v>137</v>
      </c>
      <c r="B276" s="8">
        <v>274</v>
      </c>
      <c r="D276">
        <v>900.87514863258002</v>
      </c>
      <c r="E276">
        <v>302.02080856124002</v>
      </c>
      <c r="F276">
        <v>120.94388659185</v>
      </c>
      <c r="G276">
        <v>108.87064382753</v>
      </c>
      <c r="I276" s="9">
        <f t="shared" ref="I276:I291" si="32">E276-G276</f>
        <v>193.15016473371003</v>
      </c>
      <c r="J276" s="9">
        <f t="shared" ref="J276:J291" si="33">D276-F276</f>
        <v>779.93126204072996</v>
      </c>
      <c r="K276" s="9">
        <f t="shared" si="31"/>
        <v>193.15016473371003</v>
      </c>
      <c r="L276" s="10">
        <f t="shared" si="30"/>
        <v>0.24765024064854479</v>
      </c>
      <c r="M276" s="10">
        <f t="shared" ref="M276:M291" si="34">L276+ABS($N$2)*A276</f>
        <v>0.31841273218719485</v>
      </c>
      <c r="P276" s="8">
        <f t="shared" ref="P276:P291" si="35">(M276-$O$2)/$O$2*100</f>
        <v>8.3175967549715644</v>
      </c>
    </row>
    <row r="277" spans="1:16" x14ac:dyDescent="0.2">
      <c r="A277" s="8">
        <v>137.5</v>
      </c>
      <c r="B277" s="8">
        <v>275</v>
      </c>
      <c r="D277">
        <v>857.43103448275997</v>
      </c>
      <c r="E277">
        <v>294.52140309155999</v>
      </c>
      <c r="F277">
        <v>120.96692262256001</v>
      </c>
      <c r="G277">
        <v>108.95924394566001</v>
      </c>
      <c r="I277" s="9">
        <f t="shared" si="32"/>
        <v>185.56215914589998</v>
      </c>
      <c r="J277" s="9">
        <f t="shared" si="33"/>
        <v>736.46411186019998</v>
      </c>
      <c r="K277" s="9">
        <f t="shared" si="31"/>
        <v>185.56215914589998</v>
      </c>
      <c r="L277" s="10">
        <f t="shared" si="30"/>
        <v>0.25196361391894206</v>
      </c>
      <c r="M277" s="10">
        <f t="shared" si="34"/>
        <v>0.32298436272598136</v>
      </c>
      <c r="N277" s="1"/>
      <c r="P277" s="8">
        <f t="shared" si="35"/>
        <v>9.8727733643097526</v>
      </c>
    </row>
    <row r="278" spans="1:16" x14ac:dyDescent="0.2">
      <c r="A278" s="8">
        <v>138</v>
      </c>
      <c r="B278" s="8">
        <v>276</v>
      </c>
      <c r="D278">
        <v>889.08026159333997</v>
      </c>
      <c r="E278">
        <v>297.18668252081</v>
      </c>
      <c r="F278">
        <v>120.71175428234</v>
      </c>
      <c r="G278">
        <v>108.96692262256001</v>
      </c>
      <c r="I278" s="9">
        <f t="shared" si="32"/>
        <v>188.21975989825</v>
      </c>
      <c r="J278" s="9">
        <f t="shared" si="33"/>
        <v>768.36850731100003</v>
      </c>
      <c r="K278" s="9">
        <f t="shared" si="31"/>
        <v>188.21975989825</v>
      </c>
      <c r="L278" s="10">
        <f t="shared" si="30"/>
        <v>0.24496027375841856</v>
      </c>
      <c r="M278" s="10">
        <f t="shared" si="34"/>
        <v>0.31623927983384709</v>
      </c>
      <c r="P278" s="8">
        <f t="shared" si="35"/>
        <v>7.5782320506805902</v>
      </c>
    </row>
    <row r="279" spans="1:16" x14ac:dyDescent="0.2">
      <c r="A279" s="8">
        <v>138.5</v>
      </c>
      <c r="B279" s="8">
        <v>277</v>
      </c>
      <c r="D279">
        <v>910.61414982164001</v>
      </c>
      <c r="E279">
        <v>302.14030915577001</v>
      </c>
      <c r="F279">
        <v>120.78617838157</v>
      </c>
      <c r="G279">
        <v>108.94565859421</v>
      </c>
      <c r="I279" s="9">
        <f t="shared" si="32"/>
        <v>193.19465056156002</v>
      </c>
      <c r="J279" s="9">
        <f t="shared" si="33"/>
        <v>789.82797144006997</v>
      </c>
      <c r="K279" s="9">
        <f t="shared" si="31"/>
        <v>193.19465056156002</v>
      </c>
      <c r="L279" s="10">
        <f t="shared" si="30"/>
        <v>0.24460345486285315</v>
      </c>
      <c r="M279" s="10">
        <f t="shared" si="34"/>
        <v>0.31614071820667089</v>
      </c>
      <c r="P279" s="8">
        <f t="shared" si="35"/>
        <v>7.5447033707353768</v>
      </c>
    </row>
    <row r="280" spans="1:16" x14ac:dyDescent="0.2">
      <c r="A280" s="8">
        <v>139</v>
      </c>
      <c r="B280" s="8">
        <v>278</v>
      </c>
      <c r="D280">
        <v>911.99702734840002</v>
      </c>
      <c r="E280">
        <v>301.67657550535</v>
      </c>
      <c r="F280">
        <v>121.0773774365</v>
      </c>
      <c r="G280">
        <v>109.01299468399</v>
      </c>
      <c r="I280" s="9">
        <f t="shared" si="32"/>
        <v>192.66358082136</v>
      </c>
      <c r="J280" s="9">
        <f t="shared" si="33"/>
        <v>790.91964991190002</v>
      </c>
      <c r="K280" s="9">
        <f t="shared" si="31"/>
        <v>192.66358082136</v>
      </c>
      <c r="L280" s="10">
        <f t="shared" si="30"/>
        <v>0.2435943788257387</v>
      </c>
      <c r="M280" s="10">
        <f t="shared" si="34"/>
        <v>0.31538989943794571</v>
      </c>
      <c r="P280" s="8">
        <f t="shared" si="35"/>
        <v>7.2892899515916154</v>
      </c>
    </row>
    <row r="281" spans="1:16" x14ac:dyDescent="0.2">
      <c r="A281" s="8">
        <v>139.5</v>
      </c>
      <c r="B281" s="8">
        <v>279</v>
      </c>
      <c r="D281">
        <v>910.92687277051004</v>
      </c>
      <c r="E281">
        <v>299.97443519619998</v>
      </c>
      <c r="F281">
        <v>120.76727702303999</v>
      </c>
      <c r="G281">
        <v>109.07088009451</v>
      </c>
      <c r="I281" s="9">
        <f t="shared" si="32"/>
        <v>190.90355510168996</v>
      </c>
      <c r="J281" s="9">
        <f t="shared" si="33"/>
        <v>790.15959574747001</v>
      </c>
      <c r="K281" s="9">
        <f t="shared" si="31"/>
        <v>190.90355510168996</v>
      </c>
      <c r="L281" s="10">
        <f t="shared" si="30"/>
        <v>0.24160126147819577</v>
      </c>
      <c r="M281" s="10">
        <f t="shared" si="34"/>
        <v>0.31365503935879202</v>
      </c>
      <c r="P281" s="8">
        <f t="shared" si="35"/>
        <v>6.6991255031122394</v>
      </c>
    </row>
    <row r="282" spans="1:16" x14ac:dyDescent="0.2">
      <c r="A282" s="8">
        <v>140</v>
      </c>
      <c r="B282" s="8">
        <v>280</v>
      </c>
      <c r="D282">
        <v>877.68549346017005</v>
      </c>
      <c r="E282">
        <v>296.46848989299002</v>
      </c>
      <c r="F282">
        <v>120.58121677496</v>
      </c>
      <c r="G282">
        <v>108.79090372121</v>
      </c>
      <c r="I282" s="9">
        <f t="shared" si="32"/>
        <v>187.67758617178004</v>
      </c>
      <c r="J282" s="9">
        <f t="shared" si="33"/>
        <v>757.10427668521004</v>
      </c>
      <c r="K282" s="9">
        <f t="shared" si="31"/>
        <v>187.67758617178004</v>
      </c>
      <c r="L282" s="10">
        <f t="shared" si="30"/>
        <v>0.24788868845580819</v>
      </c>
      <c r="M282" s="10">
        <f t="shared" si="34"/>
        <v>0.32020072360479368</v>
      </c>
      <c r="P282" s="8">
        <f t="shared" si="35"/>
        <v>8.9258354144073344</v>
      </c>
    </row>
    <row r="283" spans="1:16" x14ac:dyDescent="0.2">
      <c r="A283" s="8">
        <v>140.5</v>
      </c>
      <c r="B283" s="8">
        <v>281</v>
      </c>
      <c r="D283">
        <v>886.32877526753998</v>
      </c>
      <c r="E283">
        <v>297.09869203328998</v>
      </c>
      <c r="F283">
        <v>120.75664500886</v>
      </c>
      <c r="G283">
        <v>108.8670998228</v>
      </c>
      <c r="I283" s="9">
        <f t="shared" si="32"/>
        <v>188.23159221048996</v>
      </c>
      <c r="J283" s="9">
        <f t="shared" si="33"/>
        <v>765.57213025867998</v>
      </c>
      <c r="K283" s="9">
        <f t="shared" si="31"/>
        <v>188.23159221048996</v>
      </c>
      <c r="L283" s="10">
        <f t="shared" si="30"/>
        <v>0.24587048662140848</v>
      </c>
      <c r="M283" s="10">
        <f t="shared" si="34"/>
        <v>0.31844077903878321</v>
      </c>
      <c r="P283" s="8">
        <f t="shared" si="35"/>
        <v>8.3271377288507384</v>
      </c>
    </row>
    <row r="284" spans="1:16" x14ac:dyDescent="0.2">
      <c r="A284" s="8">
        <v>141</v>
      </c>
      <c r="B284" s="8">
        <v>282</v>
      </c>
      <c r="D284">
        <v>899.93916125221995</v>
      </c>
      <c r="E284">
        <v>296.48966331955</v>
      </c>
      <c r="F284">
        <v>121.19255759008</v>
      </c>
      <c r="G284">
        <v>109.00236266982</v>
      </c>
      <c r="I284" s="9">
        <f t="shared" si="32"/>
        <v>187.48730064973</v>
      </c>
      <c r="J284" s="9">
        <f t="shared" si="33"/>
        <v>778.74660366213993</v>
      </c>
      <c r="K284" s="9">
        <f t="shared" si="31"/>
        <v>187.48730064973</v>
      </c>
      <c r="L284" s="10">
        <f t="shared" si="30"/>
        <v>0.24075520813580534</v>
      </c>
      <c r="M284" s="10">
        <f t="shared" si="34"/>
        <v>0.31358375782156928</v>
      </c>
      <c r="P284" s="8">
        <f t="shared" si="35"/>
        <v>6.6748769601851663</v>
      </c>
    </row>
    <row r="285" spans="1:16" x14ac:dyDescent="0.2">
      <c r="A285" s="8">
        <v>141.5</v>
      </c>
      <c r="B285" s="8">
        <v>283</v>
      </c>
      <c r="D285">
        <v>856.37212049616005</v>
      </c>
      <c r="E285">
        <v>286.61075014766999</v>
      </c>
      <c r="F285">
        <v>120.76196101595001</v>
      </c>
      <c r="G285">
        <v>109.02953337271001</v>
      </c>
      <c r="I285" s="9">
        <f t="shared" si="32"/>
        <v>177.58121677495998</v>
      </c>
      <c r="J285" s="9">
        <f t="shared" si="33"/>
        <v>735.61015948021009</v>
      </c>
      <c r="K285" s="9">
        <f t="shared" si="31"/>
        <v>177.58121677495998</v>
      </c>
      <c r="L285" s="10">
        <f t="shared" si="30"/>
        <v>0.24140669413870078</v>
      </c>
      <c r="M285" s="10">
        <f t="shared" si="34"/>
        <v>0.31449350109285396</v>
      </c>
      <c r="P285" s="8">
        <f t="shared" si="35"/>
        <v>6.9843532934105292</v>
      </c>
    </row>
    <row r="286" spans="1:16" x14ac:dyDescent="0.2">
      <c r="A286" s="8">
        <v>142</v>
      </c>
      <c r="B286" s="8">
        <v>284</v>
      </c>
      <c r="D286">
        <v>911.96256684492005</v>
      </c>
      <c r="E286">
        <v>295.16993464052001</v>
      </c>
      <c r="F286">
        <v>120.68222090963</v>
      </c>
      <c r="G286">
        <v>108.84524512698999</v>
      </c>
      <c r="I286" s="9">
        <f t="shared" si="32"/>
        <v>186.32468951353002</v>
      </c>
      <c r="J286" s="9">
        <f t="shared" si="33"/>
        <v>791.28034593529003</v>
      </c>
      <c r="K286" s="9">
        <f t="shared" si="31"/>
        <v>186.32468951353002</v>
      </c>
      <c r="L286" s="10">
        <f t="shared" si="30"/>
        <v>0.23547240933084851</v>
      </c>
      <c r="M286" s="10">
        <f t="shared" si="34"/>
        <v>0.3088174735533909</v>
      </c>
      <c r="P286" s="8">
        <f t="shared" si="35"/>
        <v>5.0534830735971328</v>
      </c>
    </row>
    <row r="287" spans="1:16" x14ac:dyDescent="0.2">
      <c r="A287" s="8">
        <v>142.5</v>
      </c>
      <c r="B287" s="8">
        <v>285</v>
      </c>
      <c r="D287">
        <v>905.42602495543997</v>
      </c>
      <c r="E287">
        <v>292.38086749851999</v>
      </c>
      <c r="F287">
        <v>120.81689308919</v>
      </c>
      <c r="G287">
        <v>109.20318960425</v>
      </c>
      <c r="I287" s="9">
        <f t="shared" si="32"/>
        <v>183.17767789427</v>
      </c>
      <c r="J287" s="9">
        <f t="shared" si="33"/>
        <v>784.60913186624998</v>
      </c>
      <c r="K287" s="9">
        <f t="shared" si="31"/>
        <v>183.17767789427</v>
      </c>
      <c r="L287" s="10">
        <f t="shared" si="30"/>
        <v>0.23346360685169257</v>
      </c>
      <c r="M287" s="10">
        <f t="shared" si="34"/>
        <v>0.30706692834262422</v>
      </c>
      <c r="P287" s="8">
        <f t="shared" si="35"/>
        <v>4.4579828593352966</v>
      </c>
    </row>
    <row r="288" spans="1:16" x14ac:dyDescent="0.2">
      <c r="A288" s="8">
        <v>143</v>
      </c>
      <c r="B288" s="8">
        <v>286</v>
      </c>
      <c r="D288">
        <v>902.44979203802995</v>
      </c>
      <c r="E288">
        <v>289.50683303624999</v>
      </c>
      <c r="F288">
        <v>120.43414057885001</v>
      </c>
      <c r="G288">
        <v>108.88718251624</v>
      </c>
      <c r="I288" s="9">
        <f t="shared" si="32"/>
        <v>180.61965052001</v>
      </c>
      <c r="J288" s="9">
        <f t="shared" si="33"/>
        <v>782.01565145917994</v>
      </c>
      <c r="K288" s="9">
        <f t="shared" si="31"/>
        <v>180.61965052001</v>
      </c>
      <c r="L288" s="10">
        <f t="shared" si="30"/>
        <v>0.23096679738185275</v>
      </c>
      <c r="M288" s="10">
        <f t="shared" si="34"/>
        <v>0.30482837614117364</v>
      </c>
      <c r="P288" s="8">
        <f t="shared" si="35"/>
        <v>3.6964724982196886</v>
      </c>
    </row>
    <row r="289" spans="1:16" x14ac:dyDescent="0.2">
      <c r="A289" s="8">
        <v>143.5</v>
      </c>
      <c r="B289" s="8">
        <v>287</v>
      </c>
      <c r="D289">
        <v>908.34105763518005</v>
      </c>
      <c r="E289">
        <v>288.88116458705002</v>
      </c>
      <c r="F289">
        <v>120.50915534553999</v>
      </c>
      <c r="G289">
        <v>109.2516243355</v>
      </c>
      <c r="I289" s="9">
        <f t="shared" si="32"/>
        <v>179.62954025155003</v>
      </c>
      <c r="J289" s="9">
        <f t="shared" si="33"/>
        <v>787.83190228964008</v>
      </c>
      <c r="K289" s="9">
        <f t="shared" si="31"/>
        <v>179.62954025155003</v>
      </c>
      <c r="L289" s="10">
        <f t="shared" si="30"/>
        <v>0.22800490781028396</v>
      </c>
      <c r="M289" s="10">
        <f t="shared" si="34"/>
        <v>0.30212474383799404</v>
      </c>
      <c r="P289" s="8">
        <f t="shared" si="35"/>
        <v>2.7767512559882181</v>
      </c>
    </row>
    <row r="290" spans="1:16" x14ac:dyDescent="0.2">
      <c r="A290" s="8">
        <v>144</v>
      </c>
      <c r="B290" s="8">
        <v>288</v>
      </c>
      <c r="D290">
        <v>917.92394533570996</v>
      </c>
      <c r="E290">
        <v>289.85858585859</v>
      </c>
      <c r="F290">
        <v>120.66036621382</v>
      </c>
      <c r="G290">
        <v>109.12876550502</v>
      </c>
      <c r="I290" s="9">
        <f t="shared" si="32"/>
        <v>180.72982035357001</v>
      </c>
      <c r="J290" s="9">
        <f t="shared" si="33"/>
        <v>797.26357912188996</v>
      </c>
      <c r="K290" s="9">
        <f t="shared" si="31"/>
        <v>180.72982035357001</v>
      </c>
      <c r="L290" s="10">
        <f t="shared" si="30"/>
        <v>0.2266876665213112</v>
      </c>
      <c r="M290" s="10">
        <f t="shared" si="34"/>
        <v>0.30106575981741057</v>
      </c>
      <c r="P290" s="8">
        <f t="shared" si="35"/>
        <v>2.4165062264518919</v>
      </c>
    </row>
    <row r="291" spans="1:16" x14ac:dyDescent="0.2">
      <c r="A291" s="8">
        <v>144.5</v>
      </c>
      <c r="B291" s="8">
        <v>289</v>
      </c>
      <c r="D291">
        <v>912.2</v>
      </c>
      <c r="E291">
        <v>286.57100591715999</v>
      </c>
      <c r="F291">
        <v>120.87536916716</v>
      </c>
      <c r="G291">
        <v>108.90372120495999</v>
      </c>
      <c r="I291" s="9">
        <f t="shared" si="32"/>
        <v>177.6672847122</v>
      </c>
      <c r="J291" s="9">
        <f t="shared" si="33"/>
        <v>791.32463083284006</v>
      </c>
      <c r="K291" s="9">
        <f t="shared" si="31"/>
        <v>177.6672847122</v>
      </c>
      <c r="L291" s="10">
        <f t="shared" si="30"/>
        <v>0.22451883562023303</v>
      </c>
      <c r="M291" s="10">
        <f t="shared" si="34"/>
        <v>0.29915518618472159</v>
      </c>
      <c r="P291" s="8">
        <f t="shared" si="35"/>
        <v>1.7665675669807586</v>
      </c>
    </row>
    <row r="292" spans="1:16" x14ac:dyDescent="0.2">
      <c r="A292" s="8">
        <v>145</v>
      </c>
      <c r="B292" s="8">
        <v>290</v>
      </c>
      <c r="D292">
        <v>920.73400473933998</v>
      </c>
      <c r="E292">
        <v>286.97511848340997</v>
      </c>
      <c r="F292">
        <v>120.96810395747001</v>
      </c>
      <c r="G292">
        <v>109.13703484938</v>
      </c>
      <c r="I292" s="9">
        <f>E292-G292</f>
        <v>177.83808363402997</v>
      </c>
      <c r="J292" s="9">
        <f>D292-F292</f>
        <v>799.76590078186996</v>
      </c>
      <c r="K292" s="9">
        <f t="shared" si="31"/>
        <v>177.83808363402997</v>
      </c>
      <c r="L292" s="10">
        <f t="shared" si="30"/>
        <v>0.22236267320245998</v>
      </c>
      <c r="M292" s="10">
        <f>L292+ABS($N$2)*A292</f>
        <v>0.29725728103533777</v>
      </c>
      <c r="O292" s="11"/>
      <c r="P292" s="8">
        <f>(M292-$O$2)/$O$2*100</f>
        <v>1.1209384703110885</v>
      </c>
    </row>
    <row r="293" spans="1:16" x14ac:dyDescent="0.2">
      <c r="A293" s="8">
        <v>145.5</v>
      </c>
      <c r="B293" s="8">
        <v>291</v>
      </c>
      <c r="D293">
        <v>889.51683402244998</v>
      </c>
      <c r="E293">
        <v>279.43414057885002</v>
      </c>
      <c r="F293">
        <v>120.72297696397</v>
      </c>
      <c r="G293">
        <v>109.06733608978</v>
      </c>
      <c r="I293" s="9">
        <f t="shared" ref="I293:I301" si="36">E293-G293</f>
        <v>170.36680448907003</v>
      </c>
      <c r="J293" s="9">
        <f t="shared" ref="J293:J301" si="37">D293-F293</f>
        <v>768.79385705847994</v>
      </c>
      <c r="K293" s="9">
        <f t="shared" si="31"/>
        <v>170.36680448907003</v>
      </c>
      <c r="L293" s="10">
        <f t="shared" si="30"/>
        <v>0.22160271303534976</v>
      </c>
      <c r="M293" s="10">
        <f t="shared" ref="M293:M301" si="38">L293+ABS($N$2)*A293</f>
        <v>0.29675557813661679</v>
      </c>
      <c r="P293" s="8">
        <f t="shared" ref="P293:P301" si="39">(M293-$O$2)/$O$2*100</f>
        <v>0.95026925146053398</v>
      </c>
    </row>
    <row r="294" spans="1:16" x14ac:dyDescent="0.2">
      <c r="A294" s="8">
        <v>146</v>
      </c>
      <c r="B294" s="8">
        <v>292</v>
      </c>
      <c r="D294">
        <v>874.47666863556003</v>
      </c>
      <c r="E294">
        <v>278.58771411695</v>
      </c>
      <c r="F294">
        <v>120.92734790313</v>
      </c>
      <c r="G294">
        <v>108.97519196691999</v>
      </c>
      <c r="I294" s="9">
        <f t="shared" si="36"/>
        <v>169.61252215003</v>
      </c>
      <c r="J294" s="9">
        <f t="shared" si="37"/>
        <v>753.54932073243003</v>
      </c>
      <c r="K294" s="9">
        <f t="shared" si="31"/>
        <v>169.61252215003</v>
      </c>
      <c r="L294" s="10">
        <f t="shared" si="30"/>
        <v>0.22508483185303799</v>
      </c>
      <c r="M294" s="10">
        <f t="shared" si="38"/>
        <v>0.30049595422269426</v>
      </c>
      <c r="N294" s="1"/>
      <c r="P294" s="8">
        <f t="shared" si="39"/>
        <v>2.222669842418973</v>
      </c>
    </row>
    <row r="295" spans="1:16" x14ac:dyDescent="0.2">
      <c r="A295" s="8">
        <v>146.5</v>
      </c>
      <c r="B295" s="8">
        <v>293</v>
      </c>
      <c r="D295">
        <v>845.48848198463998</v>
      </c>
      <c r="E295">
        <v>272.52569403426003</v>
      </c>
      <c r="F295">
        <v>120.58771411695</v>
      </c>
      <c r="G295">
        <v>108.69639692853001</v>
      </c>
      <c r="I295" s="9">
        <f t="shared" si="36"/>
        <v>163.82929710573001</v>
      </c>
      <c r="J295" s="9">
        <f t="shared" si="37"/>
        <v>724.90076786768998</v>
      </c>
      <c r="K295" s="9">
        <f t="shared" si="31"/>
        <v>163.82929710573001</v>
      </c>
      <c r="L295" s="10">
        <f t="shared" si="30"/>
        <v>0.22600237766009978</v>
      </c>
      <c r="M295" s="10">
        <f t="shared" si="38"/>
        <v>0.30167175729814533</v>
      </c>
      <c r="P295" s="8">
        <f t="shared" si="39"/>
        <v>2.6226543609874358</v>
      </c>
    </row>
    <row r="296" spans="1:16" x14ac:dyDescent="0.2">
      <c r="A296" s="8">
        <v>147</v>
      </c>
      <c r="B296" s="8">
        <v>294</v>
      </c>
      <c r="D296">
        <v>848.42074248673998</v>
      </c>
      <c r="E296">
        <v>271.25633470831002</v>
      </c>
      <c r="F296">
        <v>120.77141169522</v>
      </c>
      <c r="G296">
        <v>108.83756645008999</v>
      </c>
      <c r="I296" s="9">
        <f t="shared" si="36"/>
        <v>162.41876825822004</v>
      </c>
      <c r="J296" s="9">
        <f t="shared" si="37"/>
        <v>727.64933079152001</v>
      </c>
      <c r="K296" s="9">
        <f t="shared" si="31"/>
        <v>162.41876825822004</v>
      </c>
      <c r="L296" s="10">
        <f t="shared" si="30"/>
        <v>0.22321022144216732</v>
      </c>
      <c r="M296" s="10">
        <f t="shared" si="38"/>
        <v>0.29913785834860207</v>
      </c>
      <c r="P296" s="8">
        <f t="shared" si="39"/>
        <v>1.7606729862190611</v>
      </c>
    </row>
    <row r="297" spans="1:16" x14ac:dyDescent="0.2">
      <c r="A297" s="8">
        <v>147.5</v>
      </c>
      <c r="B297" s="8">
        <v>295</v>
      </c>
      <c r="D297">
        <v>885.17525162818004</v>
      </c>
      <c r="E297">
        <v>278.19715808170997</v>
      </c>
      <c r="F297">
        <v>120.80567040756</v>
      </c>
      <c r="G297">
        <v>108.7200236267</v>
      </c>
      <c r="I297" s="9">
        <f t="shared" si="36"/>
        <v>169.47713445500997</v>
      </c>
      <c r="J297" s="9">
        <f t="shared" si="37"/>
        <v>764.36958122062003</v>
      </c>
      <c r="K297" s="9">
        <f t="shared" si="31"/>
        <v>169.47713445500997</v>
      </c>
      <c r="L297" s="10">
        <f t="shared" si="30"/>
        <v>0.22172145336340088</v>
      </c>
      <c r="M297" s="10">
        <f t="shared" si="38"/>
        <v>0.29790734753822484</v>
      </c>
      <c r="P297" s="8">
        <f t="shared" si="39"/>
        <v>1.3420779983694076</v>
      </c>
    </row>
    <row r="298" spans="1:16" x14ac:dyDescent="0.2">
      <c r="A298" s="8">
        <v>148</v>
      </c>
      <c r="B298" s="8">
        <v>296</v>
      </c>
      <c r="D298">
        <v>844.87033747780004</v>
      </c>
      <c r="E298">
        <v>270.36767317940001</v>
      </c>
      <c r="F298">
        <v>121.15652687537001</v>
      </c>
      <c r="G298">
        <v>109.08269344359</v>
      </c>
      <c r="I298" s="9">
        <f t="shared" si="36"/>
        <v>161.28497973581</v>
      </c>
      <c r="J298" s="9">
        <f t="shared" si="37"/>
        <v>723.71381060243004</v>
      </c>
      <c r="K298" s="9">
        <f t="shared" si="31"/>
        <v>161.28497973581</v>
      </c>
      <c r="L298" s="10">
        <f t="shared" si="30"/>
        <v>0.22285740215673652</v>
      </c>
      <c r="M298" s="10">
        <f t="shared" si="38"/>
        <v>0.2993015535999497</v>
      </c>
      <c r="P298" s="8">
        <f t="shared" si="39"/>
        <v>1.8163588129269956</v>
      </c>
    </row>
    <row r="299" spans="1:16" x14ac:dyDescent="0.2">
      <c r="A299" s="8">
        <v>148.5</v>
      </c>
      <c r="B299" s="8">
        <v>297</v>
      </c>
      <c r="D299">
        <v>871.25296208530995</v>
      </c>
      <c r="E299">
        <v>273.71800947867001</v>
      </c>
      <c r="F299">
        <v>120.76255168340001</v>
      </c>
      <c r="G299">
        <v>108.82339043119001</v>
      </c>
      <c r="I299" s="9">
        <f t="shared" si="36"/>
        <v>164.89461904748001</v>
      </c>
      <c r="J299" s="9">
        <f t="shared" si="37"/>
        <v>750.49041040190991</v>
      </c>
      <c r="K299" s="9">
        <f t="shared" si="31"/>
        <v>164.89461904748001</v>
      </c>
      <c r="L299" s="10">
        <f t="shared" si="30"/>
        <v>0.21971582416246205</v>
      </c>
      <c r="M299" s="10">
        <f t="shared" si="38"/>
        <v>0.29641823287406449</v>
      </c>
      <c r="P299" s="8">
        <f t="shared" si="39"/>
        <v>0.83551118928964629</v>
      </c>
    </row>
    <row r="300" spans="1:16" x14ac:dyDescent="0.2">
      <c r="A300" s="8">
        <v>149</v>
      </c>
      <c r="B300" s="8">
        <v>298</v>
      </c>
      <c r="D300">
        <v>869.82109004739004</v>
      </c>
      <c r="E300">
        <v>272.60959715640001</v>
      </c>
      <c r="F300">
        <v>120.79090372121</v>
      </c>
      <c r="G300">
        <v>108.81098641465</v>
      </c>
      <c r="I300" s="9">
        <f t="shared" si="36"/>
        <v>163.79861074175</v>
      </c>
      <c r="J300" s="9">
        <f t="shared" si="37"/>
        <v>749.03018632618</v>
      </c>
      <c r="K300" s="9">
        <f t="shared" si="31"/>
        <v>163.79861074175</v>
      </c>
      <c r="L300" s="10">
        <f t="shared" si="30"/>
        <v>0.21868092065173547</v>
      </c>
      <c r="M300" s="10">
        <f t="shared" si="38"/>
        <v>0.29564158663172713</v>
      </c>
      <c r="P300" s="8">
        <f t="shared" si="39"/>
        <v>0.57131178394267101</v>
      </c>
    </row>
    <row r="301" spans="1:16" x14ac:dyDescent="0.2">
      <c r="A301" s="8">
        <v>149.5</v>
      </c>
      <c r="B301" s="8">
        <v>299</v>
      </c>
      <c r="D301">
        <v>871.56398104264997</v>
      </c>
      <c r="E301">
        <v>273.07582938388998</v>
      </c>
      <c r="F301">
        <v>120.5729474306</v>
      </c>
      <c r="G301">
        <v>108.82339043119001</v>
      </c>
      <c r="I301" s="9">
        <f t="shared" si="36"/>
        <v>164.25243895269998</v>
      </c>
      <c r="J301" s="9">
        <f t="shared" si="37"/>
        <v>750.99103361204993</v>
      </c>
      <c r="K301" s="9">
        <f t="shared" si="31"/>
        <v>164.25243895269998</v>
      </c>
      <c r="L301" s="10">
        <f t="shared" si="30"/>
        <v>0.21871424770904813</v>
      </c>
      <c r="M301" s="10">
        <f t="shared" si="38"/>
        <v>0.29593317095742905</v>
      </c>
      <c r="P301" s="8">
        <f t="shared" si="39"/>
        <v>0.67050289729577328</v>
      </c>
    </row>
    <row r="302" spans="1:16" x14ac:dyDescent="0.2">
      <c r="A302" s="8">
        <v>150</v>
      </c>
      <c r="B302" s="8">
        <v>300</v>
      </c>
      <c r="D302">
        <v>851.47212336892005</v>
      </c>
      <c r="E302">
        <v>269.17852906286998</v>
      </c>
      <c r="F302">
        <v>120.49320732427999</v>
      </c>
      <c r="G302">
        <v>108.71943295924</v>
      </c>
      <c r="I302" s="9">
        <f>E302-G302</f>
        <v>160.45909610362997</v>
      </c>
      <c r="J302" s="9">
        <f>D302-F302</f>
        <v>730.97891604464007</v>
      </c>
      <c r="K302" s="9">
        <f t="shared" si="31"/>
        <v>160.45909610362997</v>
      </c>
      <c r="L302" s="10">
        <f t="shared" si="30"/>
        <v>0.21951261873855596</v>
      </c>
      <c r="M302" s="10">
        <f>L302+ABS($N$2)*A302</f>
        <v>0.29698979925532609</v>
      </c>
      <c r="O302" s="11"/>
      <c r="P302" s="8">
        <f>(M302-$O$2)/$O$2*100</f>
        <v>1.0299465574325106</v>
      </c>
    </row>
    <row r="303" spans="1:16" x14ac:dyDescent="0.2">
      <c r="A303" s="8">
        <v>150.5</v>
      </c>
      <c r="B303" s="8">
        <v>301</v>
      </c>
      <c r="D303">
        <v>860.34635879219002</v>
      </c>
      <c r="E303">
        <v>269.78034339845999</v>
      </c>
      <c r="F303">
        <v>121.03780271706999</v>
      </c>
      <c r="G303">
        <v>108.95038393385001</v>
      </c>
      <c r="I303" s="9">
        <f t="shared" ref="I303:I309" si="40">E303-G303</f>
        <v>160.82995946461</v>
      </c>
      <c r="J303" s="9">
        <f t="shared" ref="J303:J309" si="41">D303-F303</f>
        <v>739.30855607512001</v>
      </c>
      <c r="K303" s="9">
        <f t="shared" si="31"/>
        <v>160.82995946461</v>
      </c>
      <c r="L303" s="10">
        <f t="shared" si="30"/>
        <v>0.21754104986750392</v>
      </c>
      <c r="M303" s="10">
        <f t="shared" ref="M303:M309" si="42">L303+ABS($N$2)*A303</f>
        <v>0.29527648765266329</v>
      </c>
      <c r="P303" s="8">
        <f t="shared" ref="P303:P309" si="43">(M303-$O$2)/$O$2*100</f>
        <v>0.44711246654025283</v>
      </c>
    </row>
    <row r="304" spans="1:16" x14ac:dyDescent="0.2">
      <c r="A304" s="8">
        <v>151</v>
      </c>
      <c r="B304" s="8">
        <v>302</v>
      </c>
      <c r="D304">
        <v>830.38425103611996</v>
      </c>
      <c r="E304">
        <v>263.89816459444</v>
      </c>
      <c r="F304">
        <v>120.76963969285001</v>
      </c>
      <c r="G304">
        <v>108.96455995274999</v>
      </c>
      <c r="I304" s="9">
        <f t="shared" si="40"/>
        <v>154.93360464169001</v>
      </c>
      <c r="J304" s="9">
        <f t="shared" si="41"/>
        <v>709.61461134326998</v>
      </c>
      <c r="K304" s="9">
        <f t="shared" si="31"/>
        <v>154.93360464169001</v>
      </c>
      <c r="L304" s="10">
        <f t="shared" si="30"/>
        <v>0.21833485692805471</v>
      </c>
      <c r="M304" s="10">
        <f t="shared" si="42"/>
        <v>0.29632855198160335</v>
      </c>
      <c r="N304" s="1"/>
      <c r="P304" s="8">
        <f t="shared" si="43"/>
        <v>0.80500355638343135</v>
      </c>
    </row>
    <row r="305" spans="1:16" x14ac:dyDescent="0.2">
      <c r="A305" s="8">
        <v>151.5</v>
      </c>
      <c r="B305" s="8">
        <v>303</v>
      </c>
      <c r="D305">
        <v>851.90822972172998</v>
      </c>
      <c r="E305">
        <v>266.04262877442</v>
      </c>
      <c r="F305">
        <v>120.99822799764</v>
      </c>
      <c r="G305">
        <v>109.06438275251</v>
      </c>
      <c r="I305" s="9">
        <f t="shared" si="40"/>
        <v>156.97824602191</v>
      </c>
      <c r="J305" s="9">
        <f t="shared" si="41"/>
        <v>730.91000172408997</v>
      </c>
      <c r="K305" s="9">
        <f t="shared" si="31"/>
        <v>156.97824602191</v>
      </c>
      <c r="L305" s="10">
        <f t="shared" si="30"/>
        <v>0.21477096448485522</v>
      </c>
      <c r="M305" s="10">
        <f t="shared" si="42"/>
        <v>0.29302291680679304</v>
      </c>
      <c r="P305" s="8">
        <f t="shared" si="43"/>
        <v>-0.3195069348416813</v>
      </c>
    </row>
    <row r="306" spans="1:16" x14ac:dyDescent="0.2">
      <c r="A306" s="8">
        <v>152</v>
      </c>
      <c r="B306" s="8">
        <v>304</v>
      </c>
      <c r="D306">
        <v>855.03493191236998</v>
      </c>
      <c r="E306">
        <v>267.49023090586002</v>
      </c>
      <c r="F306">
        <v>120.77082102775999</v>
      </c>
      <c r="G306">
        <v>108.92616656822</v>
      </c>
      <c r="I306" s="9">
        <f t="shared" si="40"/>
        <v>158.56406433764002</v>
      </c>
      <c r="J306" s="9">
        <f t="shared" si="41"/>
        <v>734.26411088460998</v>
      </c>
      <c r="K306" s="9">
        <f t="shared" si="31"/>
        <v>158.56406433764002</v>
      </c>
      <c r="L306" s="10">
        <f t="shared" si="30"/>
        <v>0.21594963172939069</v>
      </c>
      <c r="M306" s="10">
        <f t="shared" si="42"/>
        <v>0.29445984131971775</v>
      </c>
      <c r="P306" s="8">
        <f t="shared" si="43"/>
        <v>0.16930583620922415</v>
      </c>
    </row>
    <row r="307" spans="1:16" x14ac:dyDescent="0.2">
      <c r="A307" s="8">
        <v>152.5</v>
      </c>
      <c r="B307" s="8">
        <v>305</v>
      </c>
      <c r="D307">
        <v>870.99171107164</v>
      </c>
      <c r="E307">
        <v>267.29070455891002</v>
      </c>
      <c r="F307">
        <v>121.14294152392</v>
      </c>
      <c r="G307">
        <v>108.99645599528</v>
      </c>
      <c r="I307" s="9">
        <f t="shared" si="40"/>
        <v>158.29424856363002</v>
      </c>
      <c r="J307" s="9">
        <f t="shared" si="41"/>
        <v>749.84876954771994</v>
      </c>
      <c r="K307" s="9">
        <f t="shared" si="31"/>
        <v>158.29424856363002</v>
      </c>
      <c r="L307" s="10">
        <f t="shared" si="30"/>
        <v>0.21110156473165523</v>
      </c>
      <c r="M307" s="10">
        <f t="shared" si="42"/>
        <v>0.28987003159037156</v>
      </c>
      <c r="P307" s="8">
        <f t="shared" si="43"/>
        <v>-1.3920549675198415</v>
      </c>
    </row>
    <row r="308" spans="1:16" x14ac:dyDescent="0.2">
      <c r="A308" s="8">
        <v>153</v>
      </c>
      <c r="B308" s="8">
        <v>306</v>
      </c>
      <c r="D308">
        <v>809.25222024867003</v>
      </c>
      <c r="E308">
        <v>258.68028419183003</v>
      </c>
      <c r="F308">
        <v>120.77436503249</v>
      </c>
      <c r="G308">
        <v>109.02185469581001</v>
      </c>
      <c r="I308" s="9">
        <f t="shared" si="40"/>
        <v>149.65842949602001</v>
      </c>
      <c r="J308" s="9">
        <f t="shared" si="41"/>
        <v>688.47785521618005</v>
      </c>
      <c r="K308" s="9">
        <f t="shared" si="31"/>
        <v>149.65842949602001</v>
      </c>
      <c r="L308" s="10">
        <f t="shared" si="30"/>
        <v>0.21737580716961141</v>
      </c>
      <c r="M308" s="10">
        <f t="shared" si="42"/>
        <v>0.29640253129671695</v>
      </c>
      <c r="P308" s="8">
        <f t="shared" si="43"/>
        <v>0.83016982899960701</v>
      </c>
    </row>
    <row r="309" spans="1:16" x14ac:dyDescent="0.2">
      <c r="A309" s="8">
        <v>153.5</v>
      </c>
      <c r="B309" s="8">
        <v>307</v>
      </c>
      <c r="D309">
        <v>838.56483126110004</v>
      </c>
      <c r="E309">
        <v>262.90230905862001</v>
      </c>
      <c r="F309">
        <v>120.72297696397</v>
      </c>
      <c r="G309">
        <v>108.97932663909999</v>
      </c>
      <c r="I309" s="9">
        <f t="shared" si="40"/>
        <v>153.92298241952</v>
      </c>
      <c r="J309" s="9">
        <f t="shared" si="41"/>
        <v>717.84185429713</v>
      </c>
      <c r="K309" s="9">
        <f t="shared" si="31"/>
        <v>153.92298241952</v>
      </c>
      <c r="L309" s="10">
        <f t="shared" si="30"/>
        <v>0.21442464172033079</v>
      </c>
      <c r="M309" s="10">
        <f t="shared" si="42"/>
        <v>0.2937096231158256</v>
      </c>
      <c r="P309" s="8">
        <f t="shared" si="43"/>
        <v>-8.5903282877305101E-2</v>
      </c>
    </row>
    <row r="310" spans="1:16" x14ac:dyDescent="0.2">
      <c r="A310" s="8">
        <v>154</v>
      </c>
      <c r="B310" s="8">
        <v>308</v>
      </c>
      <c r="D310">
        <v>872.86264061575002</v>
      </c>
      <c r="E310">
        <v>267.78271166371002</v>
      </c>
      <c r="F310">
        <v>121.03130537507</v>
      </c>
      <c r="G310">
        <v>109.00708800945</v>
      </c>
      <c r="I310" s="9">
        <f>E310-G310</f>
        <v>158.77562365426002</v>
      </c>
      <c r="J310" s="9">
        <f>D310-F310</f>
        <v>751.83133524068</v>
      </c>
      <c r="K310" s="9">
        <f t="shared" si="31"/>
        <v>158.77562365426002</v>
      </c>
      <c r="L310" s="10">
        <f t="shared" si="30"/>
        <v>0.21118516376207166</v>
      </c>
      <c r="M310" s="10">
        <f>L310+ABS($N$2)*A310</f>
        <v>0.29072840242595566</v>
      </c>
      <c r="O310" s="11"/>
      <c r="P310" s="8">
        <f>(M310-$O$2)/$O$2*100</f>
        <v>-1.1000545019719832</v>
      </c>
    </row>
    <row r="311" spans="1:16" x14ac:dyDescent="0.2">
      <c r="A311" s="8">
        <v>154.5</v>
      </c>
      <c r="B311" s="8">
        <v>309</v>
      </c>
      <c r="D311">
        <v>872.29013079667004</v>
      </c>
      <c r="E311">
        <v>267.71938168846998</v>
      </c>
      <c r="F311">
        <v>120.91494388659</v>
      </c>
      <c r="G311">
        <v>108.98050797401</v>
      </c>
      <c r="I311" s="9">
        <f t="shared" ref="I311:I319" si="44">E311-G311</f>
        <v>158.73887371446</v>
      </c>
      <c r="J311" s="9">
        <f t="shared" ref="J311:J319" si="45">D311-F311</f>
        <v>751.37518691008006</v>
      </c>
      <c r="K311" s="9">
        <f t="shared" si="31"/>
        <v>158.73887371446</v>
      </c>
      <c r="L311" s="10">
        <f t="shared" si="30"/>
        <v>0.21126446079121972</v>
      </c>
      <c r="M311" s="10">
        <f t="shared" ref="M311:M319" si="46">L311+ABS($N$2)*A311</f>
        <v>0.29106595672349295</v>
      </c>
      <c r="P311" s="8">
        <f t="shared" ref="P311:P319" si="47">(M311-$O$2)/$O$2*100</f>
        <v>-0.98522533031041637</v>
      </c>
    </row>
    <row r="312" spans="1:16" x14ac:dyDescent="0.2">
      <c r="A312" s="8">
        <v>155</v>
      </c>
      <c r="B312" s="8">
        <v>310</v>
      </c>
      <c r="D312">
        <v>869.45709177592005</v>
      </c>
      <c r="E312">
        <v>267.63587604291001</v>
      </c>
      <c r="F312">
        <v>120.77849970467</v>
      </c>
      <c r="G312">
        <v>108.89545186060001</v>
      </c>
      <c r="I312" s="9">
        <f t="shared" si="44"/>
        <v>158.74042418230999</v>
      </c>
      <c r="J312" s="9">
        <f t="shared" si="45"/>
        <v>748.67859207125002</v>
      </c>
      <c r="K312" s="9">
        <f t="shared" si="31"/>
        <v>158.74042418230999</v>
      </c>
      <c r="L312" s="10">
        <f t="shared" si="30"/>
        <v>0.21202746527471569</v>
      </c>
      <c r="M312" s="10">
        <f t="shared" si="46"/>
        <v>0.29208721847537816</v>
      </c>
      <c r="N312" s="1"/>
      <c r="P312" s="8">
        <f t="shared" si="47"/>
        <v>-0.63781265663333231</v>
      </c>
    </row>
    <row r="313" spans="1:16" x14ac:dyDescent="0.2">
      <c r="A313" s="8">
        <v>155.5</v>
      </c>
      <c r="B313" s="8">
        <v>311</v>
      </c>
      <c r="D313">
        <v>886.24135876042999</v>
      </c>
      <c r="E313">
        <v>274.14839094159998</v>
      </c>
      <c r="F313">
        <v>121.06142941524</v>
      </c>
      <c r="G313">
        <v>109.13467217956</v>
      </c>
      <c r="I313" s="9">
        <f t="shared" si="44"/>
        <v>165.01371876203999</v>
      </c>
      <c r="J313" s="9">
        <f t="shared" si="45"/>
        <v>765.17992934518998</v>
      </c>
      <c r="K313" s="9">
        <f t="shared" si="31"/>
        <v>165.01371876203999</v>
      </c>
      <c r="L313" s="10">
        <f t="shared" si="30"/>
        <v>0.21565348545309082</v>
      </c>
      <c r="M313" s="10">
        <f t="shared" si="46"/>
        <v>0.29597149592214256</v>
      </c>
      <c r="P313" s="8">
        <f t="shared" si="47"/>
        <v>0.68354027819750784</v>
      </c>
    </row>
    <row r="314" spans="1:16" x14ac:dyDescent="0.2">
      <c r="A314" s="8">
        <v>156</v>
      </c>
      <c r="B314" s="8">
        <v>312</v>
      </c>
      <c r="D314">
        <v>869.32085561497001</v>
      </c>
      <c r="E314">
        <v>267.93166963754999</v>
      </c>
      <c r="F314">
        <v>120.92971057295</v>
      </c>
      <c r="G314">
        <v>109.04075605433999</v>
      </c>
      <c r="I314" s="9">
        <f t="shared" si="44"/>
        <v>158.89091358320999</v>
      </c>
      <c r="J314" s="9">
        <f t="shared" si="45"/>
        <v>748.39114504202007</v>
      </c>
      <c r="K314" s="9">
        <f t="shared" si="31"/>
        <v>158.89091358320999</v>
      </c>
      <c r="L314" s="10">
        <f t="shared" si="30"/>
        <v>0.21230998607591584</v>
      </c>
      <c r="M314" s="10">
        <f t="shared" si="46"/>
        <v>0.29288625381335676</v>
      </c>
      <c r="P314" s="8">
        <f t="shared" si="47"/>
        <v>-0.3659969319993841</v>
      </c>
    </row>
    <row r="315" spans="1:16" x14ac:dyDescent="0.2">
      <c r="A315" s="8">
        <v>156.5</v>
      </c>
      <c r="B315" s="8">
        <v>313</v>
      </c>
      <c r="D315">
        <v>865.03327391563005</v>
      </c>
      <c r="E315">
        <v>265.74925727866997</v>
      </c>
      <c r="F315">
        <v>120.40106320142</v>
      </c>
      <c r="G315">
        <v>108.9716479622</v>
      </c>
      <c r="I315" s="9">
        <f t="shared" si="44"/>
        <v>156.77760931646998</v>
      </c>
      <c r="J315" s="9">
        <f t="shared" si="45"/>
        <v>744.63221071421003</v>
      </c>
      <c r="K315" s="9">
        <f t="shared" si="31"/>
        <v>156.77760931646998</v>
      </c>
      <c r="L315" s="10">
        <f t="shared" si="30"/>
        <v>0.21054368460115036</v>
      </c>
      <c r="M315" s="10">
        <f t="shared" si="46"/>
        <v>0.29137820960698058</v>
      </c>
      <c r="P315" s="8">
        <f t="shared" si="47"/>
        <v>-0.87900318998687577</v>
      </c>
    </row>
    <row r="316" spans="1:16" x14ac:dyDescent="0.2">
      <c r="A316" s="8">
        <v>157</v>
      </c>
      <c r="B316" s="8">
        <v>314</v>
      </c>
      <c r="D316">
        <v>857.10219845513996</v>
      </c>
      <c r="E316">
        <v>264.77777777777999</v>
      </c>
      <c r="F316">
        <v>120.74542232723</v>
      </c>
      <c r="G316">
        <v>108.92852923804</v>
      </c>
      <c r="I316" s="9">
        <f t="shared" si="44"/>
        <v>155.84924853973999</v>
      </c>
      <c r="J316" s="9">
        <f t="shared" si="45"/>
        <v>736.35677612790994</v>
      </c>
      <c r="K316" s="9">
        <f t="shared" si="31"/>
        <v>155.84924853973999</v>
      </c>
      <c r="L316" s="10">
        <f t="shared" si="30"/>
        <v>0.21164909944777635</v>
      </c>
      <c r="M316" s="10">
        <f t="shared" si="46"/>
        <v>0.29274188172199578</v>
      </c>
      <c r="P316" s="8">
        <f t="shared" si="47"/>
        <v>-0.41510940896376863</v>
      </c>
    </row>
    <row r="317" spans="1:16" x14ac:dyDescent="0.2">
      <c r="A317" s="8">
        <v>157.5</v>
      </c>
      <c r="B317" s="8">
        <v>315</v>
      </c>
      <c r="D317">
        <v>845.93285799167995</v>
      </c>
      <c r="E317">
        <v>262.68033273916001</v>
      </c>
      <c r="F317">
        <v>120.78204370939</v>
      </c>
      <c r="G317">
        <v>109.15770821028001</v>
      </c>
      <c r="I317" s="9">
        <f t="shared" si="44"/>
        <v>153.52262452887999</v>
      </c>
      <c r="J317" s="9">
        <f t="shared" si="45"/>
        <v>725.15081428228996</v>
      </c>
      <c r="K317" s="9">
        <f t="shared" si="31"/>
        <v>153.52262452887999</v>
      </c>
      <c r="L317" s="10">
        <f t="shared" si="30"/>
        <v>0.21171130405587052</v>
      </c>
      <c r="M317" s="10">
        <f t="shared" si="46"/>
        <v>0.29306234359847916</v>
      </c>
      <c r="P317" s="8">
        <f t="shared" si="47"/>
        <v>-0.30609473460124575</v>
      </c>
    </row>
    <row r="318" spans="1:16" x14ac:dyDescent="0.2">
      <c r="A318" s="8">
        <v>158</v>
      </c>
      <c r="B318" s="8">
        <v>316</v>
      </c>
      <c r="D318">
        <v>835.61814967589999</v>
      </c>
      <c r="E318">
        <v>261.08308780200002</v>
      </c>
      <c r="F318">
        <v>120.76018901358999</v>
      </c>
      <c r="G318">
        <v>108.93148257531</v>
      </c>
      <c r="I318" s="9">
        <f t="shared" si="44"/>
        <v>152.15160522669004</v>
      </c>
      <c r="J318" s="9">
        <f t="shared" si="45"/>
        <v>714.85796066231001</v>
      </c>
      <c r="K318" s="9">
        <f t="shared" si="31"/>
        <v>152.15160522669004</v>
      </c>
      <c r="L318" s="10">
        <f t="shared" si="30"/>
        <v>0.21284173024487665</v>
      </c>
      <c r="M318" s="10">
        <f t="shared" si="46"/>
        <v>0.29445102705587456</v>
      </c>
      <c r="P318" s="8">
        <f t="shared" si="47"/>
        <v>0.16630740122171356</v>
      </c>
    </row>
    <row r="319" spans="1:16" x14ac:dyDescent="0.2">
      <c r="A319" s="8">
        <v>158.5</v>
      </c>
      <c r="B319" s="8">
        <v>317</v>
      </c>
      <c r="D319">
        <v>814.40142095914996</v>
      </c>
      <c r="E319">
        <v>257.19952634694999</v>
      </c>
      <c r="F319">
        <v>120.74601299468</v>
      </c>
      <c r="G319">
        <v>108.73715298287</v>
      </c>
      <c r="I319" s="9">
        <f t="shared" si="44"/>
        <v>148.46237336408001</v>
      </c>
      <c r="J319" s="9">
        <f t="shared" si="45"/>
        <v>693.65540796446999</v>
      </c>
      <c r="K319" s="9">
        <f t="shared" si="31"/>
        <v>148.46237336408001</v>
      </c>
      <c r="L319" s="10">
        <f t="shared" si="30"/>
        <v>0.2140290000761941</v>
      </c>
      <c r="M319" s="10">
        <f t="shared" si="46"/>
        <v>0.29589655415558125</v>
      </c>
      <c r="P319" s="8">
        <f t="shared" si="47"/>
        <v>0.65804659898834583</v>
      </c>
    </row>
    <row r="320" spans="1:16" x14ac:dyDescent="0.2">
      <c r="A320" s="8">
        <v>159</v>
      </c>
      <c r="B320" s="8">
        <v>318</v>
      </c>
      <c r="D320">
        <v>853.99940933255004</v>
      </c>
      <c r="E320">
        <v>262.58653278204002</v>
      </c>
      <c r="F320">
        <v>120.70998227998</v>
      </c>
      <c r="G320">
        <v>108.81039574719</v>
      </c>
      <c r="I320" s="9">
        <f>E320-G320</f>
        <v>153.77613703485002</v>
      </c>
      <c r="J320" s="9">
        <f>D320-F320</f>
        <v>733.28942705257009</v>
      </c>
      <c r="K320" s="9">
        <f t="shared" si="31"/>
        <v>153.77613703485002</v>
      </c>
      <c r="L320" s="10">
        <f t="shared" si="30"/>
        <v>0.20970728795715432</v>
      </c>
      <c r="M320" s="10">
        <f>L320+ABS($N$2)*A320</f>
        <v>0.29183309930493068</v>
      </c>
      <c r="O320" s="11"/>
      <c r="P320" s="8">
        <f>(M320-$O$2)/$O$2*100</f>
        <v>-0.72425887894097685</v>
      </c>
    </row>
    <row r="321" spans="1:16" x14ac:dyDescent="0.2">
      <c r="A321" s="8">
        <v>159.5</v>
      </c>
      <c r="B321" s="8">
        <v>319</v>
      </c>
      <c r="D321">
        <v>851.94329592439999</v>
      </c>
      <c r="E321">
        <v>261.23744831660002</v>
      </c>
      <c r="F321">
        <v>120.9923213231</v>
      </c>
      <c r="G321">
        <v>108.95156526875</v>
      </c>
      <c r="I321" s="9">
        <f t="shared" ref="I321" si="48">E321-G321</f>
        <v>152.28588304785001</v>
      </c>
      <c r="J321" s="9">
        <f t="shared" ref="J321" si="49">D321-F321</f>
        <v>730.9509746013</v>
      </c>
      <c r="K321" s="9">
        <f t="shared" si="31"/>
        <v>152.28588304785001</v>
      </c>
      <c r="L321" s="10">
        <f t="shared" si="30"/>
        <v>0.20833939393940193</v>
      </c>
      <c r="M321" s="10">
        <f t="shared" ref="M321" si="50">L321+ABS($N$2)*A321</f>
        <v>0.29072346255556752</v>
      </c>
      <c r="P321" s="8">
        <f t="shared" ref="P321" si="51">(M321-$O$2)/$O$2*100</f>
        <v>-1.1017349463595176</v>
      </c>
    </row>
    <row r="322" spans="1:16" x14ac:dyDescent="0.2">
      <c r="A322" s="8">
        <v>160</v>
      </c>
      <c r="D322">
        <v>848.26639102186004</v>
      </c>
      <c r="E322">
        <v>259.75605434140999</v>
      </c>
      <c r="F322">
        <v>120.64205552273999</v>
      </c>
      <c r="G322">
        <v>109.05611340815</v>
      </c>
      <c r="I322" s="9"/>
      <c r="J322" s="9"/>
      <c r="K322" s="9"/>
      <c r="L322" s="10"/>
      <c r="M322" s="10"/>
      <c r="N322" s="1"/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34D1-D68D-1349-9D4F-EA5D0FFD2E43}">
  <dimension ref="A1:Y798"/>
  <sheetViews>
    <sheetView zoomScale="50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949.28072153326002</v>
      </c>
      <c r="E2">
        <v>350.13134160089999</v>
      </c>
      <c r="F2">
        <v>146.55749718151</v>
      </c>
      <c r="G2">
        <v>122.21364148815999</v>
      </c>
      <c r="H2" s="4"/>
      <c r="I2" s="5">
        <f>E2-G2</f>
        <v>227.91770011273999</v>
      </c>
      <c r="J2" s="5">
        <f>D2-F2</f>
        <v>802.72322435174999</v>
      </c>
      <c r="K2" s="9">
        <f>I2*1</f>
        <v>227.91770011273999</v>
      </c>
      <c r="L2" s="6">
        <f t="shared" ref="L2:L65" si="0">K2/J2</f>
        <v>0.28393061667899044</v>
      </c>
      <c r="M2" s="6">
        <f>L2+ABS($N$2)*A2</f>
        <v>0.28393061667899044</v>
      </c>
      <c r="N2" s="4">
        <f>LINEST(V64:V103,U64:U103)</f>
        <v>-4.2278479994843632E-4</v>
      </c>
      <c r="O2" s="7">
        <f>AVERAGE(M62:M81)</f>
        <v>0.24015925250785117</v>
      </c>
      <c r="P2" s="4">
        <f>(M2-$O$2)/$O$2*100</f>
        <v>18.225974520681156</v>
      </c>
    </row>
    <row r="3" spans="1:16" x14ac:dyDescent="0.2">
      <c r="A3" s="8">
        <v>0.5</v>
      </c>
      <c r="B3" s="8">
        <v>1</v>
      </c>
      <c r="D3">
        <v>919.85174746335997</v>
      </c>
      <c r="E3">
        <v>342.96054114994001</v>
      </c>
      <c r="F3">
        <v>146.9892897407</v>
      </c>
      <c r="G3">
        <v>122.02367531003</v>
      </c>
      <c r="I3" s="9">
        <f t="shared" ref="I3:I66" si="1">E3-G3</f>
        <v>220.93686583991001</v>
      </c>
      <c r="J3" s="9">
        <f t="shared" ref="J3:J66" si="2">D3-F3</f>
        <v>772.86245772266</v>
      </c>
      <c r="K3" s="9">
        <f t="shared" ref="K3:K66" si="3">I3*1</f>
        <v>220.93686583991001</v>
      </c>
      <c r="L3" s="10">
        <f t="shared" si="0"/>
        <v>0.28586828565968814</v>
      </c>
      <c r="M3" s="10">
        <f t="shared" ref="M3:M66" si="4">L3+ABS($N$2)*A3</f>
        <v>0.28607967805966233</v>
      </c>
      <c r="P3" s="8">
        <f t="shared" ref="P3:P66" si="5">(M3-$O$2)/$O$2*100</f>
        <v>19.12082298403638</v>
      </c>
    </row>
    <row r="4" spans="1:16" ht="16" x14ac:dyDescent="0.2">
      <c r="A4" s="8">
        <v>1</v>
      </c>
      <c r="B4" s="8">
        <v>2</v>
      </c>
      <c r="D4">
        <v>889.50225479143</v>
      </c>
      <c r="E4">
        <v>340.80101465614001</v>
      </c>
      <c r="F4">
        <v>146.54114994362999</v>
      </c>
      <c r="G4">
        <v>121.89064261556</v>
      </c>
      <c r="I4" s="9">
        <f t="shared" si="1"/>
        <v>218.91037204058</v>
      </c>
      <c r="J4" s="9">
        <f t="shared" si="2"/>
        <v>742.96110484780002</v>
      </c>
      <c r="K4" s="9">
        <f t="shared" si="3"/>
        <v>218.91037204058</v>
      </c>
      <c r="L4" s="10">
        <f t="shared" si="0"/>
        <v>0.29464580394881518</v>
      </c>
      <c r="M4" s="10">
        <f t="shared" si="4"/>
        <v>0.29506858874876363</v>
      </c>
      <c r="N4" s="1" t="s">
        <v>7</v>
      </c>
      <c r="P4" s="8">
        <f t="shared" si="5"/>
        <v>22.863718831368942</v>
      </c>
    </row>
    <row r="5" spans="1:16" x14ac:dyDescent="0.2">
      <c r="A5" s="8">
        <v>1.5</v>
      </c>
      <c r="B5" s="8">
        <v>3</v>
      </c>
      <c r="D5">
        <v>883.20349492672005</v>
      </c>
      <c r="E5">
        <v>339.73224351748001</v>
      </c>
      <c r="F5">
        <v>146.41657271701999</v>
      </c>
      <c r="G5">
        <v>122.15388951522</v>
      </c>
      <c r="I5" s="9">
        <f t="shared" si="1"/>
        <v>217.57835400226003</v>
      </c>
      <c r="J5" s="9">
        <f t="shared" si="2"/>
        <v>736.78692220970004</v>
      </c>
      <c r="K5" s="9">
        <f t="shared" si="3"/>
        <v>217.57835400226003</v>
      </c>
      <c r="L5" s="10">
        <f t="shared" si="0"/>
        <v>0.2953070249261755</v>
      </c>
      <c r="M5" s="10">
        <f t="shared" si="4"/>
        <v>0.29594120212609815</v>
      </c>
      <c r="N5" s="8">
        <f>RSQ(V64:V83,U64:U83)</f>
        <v>0.98488701139296686</v>
      </c>
      <c r="P5" s="8">
        <f t="shared" si="5"/>
        <v>23.227066638385455</v>
      </c>
    </row>
    <row r="6" spans="1:16" x14ac:dyDescent="0.2">
      <c r="A6" s="8">
        <v>2</v>
      </c>
      <c r="B6" s="8">
        <v>4</v>
      </c>
      <c r="D6">
        <v>845.1809470124</v>
      </c>
      <c r="E6">
        <v>329.70067643742999</v>
      </c>
      <c r="F6">
        <v>146.56595264937999</v>
      </c>
      <c r="G6">
        <v>122.40698985344</v>
      </c>
      <c r="I6" s="9">
        <f t="shared" si="1"/>
        <v>207.29368658399</v>
      </c>
      <c r="J6" s="9">
        <f t="shared" si="2"/>
        <v>698.61499436302006</v>
      </c>
      <c r="K6" s="9">
        <f t="shared" si="3"/>
        <v>207.29368658399</v>
      </c>
      <c r="L6" s="10">
        <f t="shared" si="0"/>
        <v>0.29672092390887667</v>
      </c>
      <c r="M6" s="10">
        <f t="shared" si="4"/>
        <v>0.29756649350877351</v>
      </c>
      <c r="P6" s="8">
        <f t="shared" si="5"/>
        <v>23.903822318503266</v>
      </c>
    </row>
    <row r="7" spans="1:16" x14ac:dyDescent="0.2">
      <c r="A7" s="8">
        <v>2.5</v>
      </c>
      <c r="B7" s="8">
        <v>5</v>
      </c>
      <c r="D7">
        <v>825.45264937992999</v>
      </c>
      <c r="E7">
        <v>324.99887260428</v>
      </c>
      <c r="F7">
        <v>147.14937993236001</v>
      </c>
      <c r="G7">
        <v>122.18714768884</v>
      </c>
      <c r="I7" s="9">
        <f t="shared" si="1"/>
        <v>202.81172491543998</v>
      </c>
      <c r="J7" s="9">
        <f t="shared" si="2"/>
        <v>678.30326944756996</v>
      </c>
      <c r="K7" s="9">
        <f t="shared" si="3"/>
        <v>202.81172491543998</v>
      </c>
      <c r="L7" s="10">
        <f t="shared" si="0"/>
        <v>0.29899859554062858</v>
      </c>
      <c r="M7" s="10">
        <f t="shared" si="4"/>
        <v>0.30005555754049967</v>
      </c>
      <c r="P7" s="8">
        <f t="shared" si="5"/>
        <v>24.940244611516853</v>
      </c>
    </row>
    <row r="8" spans="1:16" x14ac:dyDescent="0.2">
      <c r="A8" s="8">
        <v>3</v>
      </c>
      <c r="B8" s="8">
        <v>6</v>
      </c>
      <c r="D8">
        <v>822.57497181510996</v>
      </c>
      <c r="E8">
        <v>322.15896279594</v>
      </c>
      <c r="F8">
        <v>146.94532130778001</v>
      </c>
      <c r="G8">
        <v>122.32581736189</v>
      </c>
      <c r="I8" s="9">
        <f t="shared" si="1"/>
        <v>199.83314543404998</v>
      </c>
      <c r="J8" s="9">
        <f t="shared" si="2"/>
        <v>675.62965050732998</v>
      </c>
      <c r="K8" s="9">
        <f t="shared" si="3"/>
        <v>199.83314543404998</v>
      </c>
      <c r="L8" s="10">
        <f t="shared" si="0"/>
        <v>0.29577320249932099</v>
      </c>
      <c r="M8" s="10">
        <f t="shared" si="4"/>
        <v>0.29704155689916628</v>
      </c>
      <c r="P8" s="8">
        <f t="shared" si="5"/>
        <v>23.685243769425686</v>
      </c>
    </row>
    <row r="9" spans="1:16" x14ac:dyDescent="0.2">
      <c r="A9" s="8">
        <v>3.5</v>
      </c>
      <c r="B9" s="8">
        <v>7</v>
      </c>
      <c r="D9">
        <v>972.91319052988001</v>
      </c>
      <c r="E9">
        <v>362.84554678692001</v>
      </c>
      <c r="F9">
        <v>146.9075535513</v>
      </c>
      <c r="G9">
        <v>122.301578354</v>
      </c>
      <c r="I9" s="9">
        <f t="shared" si="1"/>
        <v>240.54396843292</v>
      </c>
      <c r="J9" s="9">
        <f t="shared" si="2"/>
        <v>826.00563697858001</v>
      </c>
      <c r="K9" s="9">
        <f t="shared" si="3"/>
        <v>240.54396843292</v>
      </c>
      <c r="L9" s="10">
        <f t="shared" si="0"/>
        <v>0.29121347078549997</v>
      </c>
      <c r="M9" s="10">
        <f t="shared" si="4"/>
        <v>0.29269321758531952</v>
      </c>
      <c r="P9" s="8">
        <f t="shared" si="5"/>
        <v>21.874637153840631</v>
      </c>
    </row>
    <row r="10" spans="1:16" x14ac:dyDescent="0.2">
      <c r="A10" s="8">
        <v>4</v>
      </c>
      <c r="B10" s="8">
        <v>8</v>
      </c>
      <c r="D10">
        <v>979.94024802705997</v>
      </c>
      <c r="E10">
        <v>368.21420518602002</v>
      </c>
      <c r="F10">
        <v>147.83596392333999</v>
      </c>
      <c r="G10">
        <v>122.64430665163999</v>
      </c>
      <c r="I10" s="9">
        <f t="shared" si="1"/>
        <v>245.56989853438003</v>
      </c>
      <c r="J10" s="9">
        <f t="shared" si="2"/>
        <v>832.10428410371992</v>
      </c>
      <c r="K10" s="9">
        <f t="shared" si="3"/>
        <v>245.56989853438003</v>
      </c>
      <c r="L10" s="10">
        <f t="shared" si="0"/>
        <v>0.29511913737938439</v>
      </c>
      <c r="M10" s="10">
        <f t="shared" si="4"/>
        <v>0.29681027657917813</v>
      </c>
      <c r="P10" s="8">
        <f t="shared" si="5"/>
        <v>23.588940871422373</v>
      </c>
    </row>
    <row r="11" spans="1:16" x14ac:dyDescent="0.2">
      <c r="A11" s="8">
        <v>4.5</v>
      </c>
      <c r="B11" s="8">
        <v>9</v>
      </c>
      <c r="D11">
        <v>1465.4593679458001</v>
      </c>
      <c r="E11">
        <v>485.07844243791999</v>
      </c>
      <c r="F11">
        <v>147.16967305524</v>
      </c>
      <c r="G11">
        <v>122.46448703495</v>
      </c>
      <c r="I11" s="9">
        <f t="shared" si="1"/>
        <v>362.61395540296996</v>
      </c>
      <c r="J11" s="9">
        <f t="shared" si="2"/>
        <v>1318.28969489056</v>
      </c>
      <c r="K11" s="9">
        <f t="shared" si="3"/>
        <v>362.61395540296996</v>
      </c>
      <c r="L11" s="10">
        <f t="shared" si="0"/>
        <v>0.27506393838045817</v>
      </c>
      <c r="M11" s="10">
        <f t="shared" si="4"/>
        <v>0.27696646998022612</v>
      </c>
      <c r="P11" s="8">
        <f t="shared" si="5"/>
        <v>15.326170900357738</v>
      </c>
    </row>
    <row r="12" spans="1:16" x14ac:dyDescent="0.2">
      <c r="A12" s="8">
        <v>5</v>
      </c>
      <c r="B12" s="8">
        <v>10</v>
      </c>
      <c r="D12">
        <v>1475.7703160271001</v>
      </c>
      <c r="E12">
        <v>493.21275395034002</v>
      </c>
      <c r="F12">
        <v>146.78861330327001</v>
      </c>
      <c r="G12">
        <v>122.51860202931</v>
      </c>
      <c r="I12" s="9">
        <f t="shared" si="1"/>
        <v>370.69415192103003</v>
      </c>
      <c r="J12" s="9">
        <f t="shared" si="2"/>
        <v>1328.98170272383</v>
      </c>
      <c r="K12" s="9">
        <f t="shared" si="3"/>
        <v>370.69415192103003</v>
      </c>
      <c r="L12" s="10">
        <f t="shared" si="0"/>
        <v>0.27893096734234152</v>
      </c>
      <c r="M12" s="10">
        <f t="shared" si="4"/>
        <v>0.28104489134208371</v>
      </c>
      <c r="P12" s="8">
        <f t="shared" si="5"/>
        <v>17.024386280056369</v>
      </c>
    </row>
    <row r="13" spans="1:16" x14ac:dyDescent="0.2">
      <c r="A13" s="8">
        <v>5.5</v>
      </c>
      <c r="B13" s="8">
        <v>11</v>
      </c>
      <c r="D13">
        <v>1500.7686230248</v>
      </c>
      <c r="E13">
        <v>499.71049661400002</v>
      </c>
      <c r="F13">
        <v>147.10372040586</v>
      </c>
      <c r="G13">
        <v>122.58737316798</v>
      </c>
      <c r="I13" s="9">
        <f t="shared" si="1"/>
        <v>377.12312344602003</v>
      </c>
      <c r="J13" s="9">
        <f t="shared" si="2"/>
        <v>1353.66490261894</v>
      </c>
      <c r="K13" s="9">
        <f t="shared" si="3"/>
        <v>377.12312344602003</v>
      </c>
      <c r="L13" s="10">
        <f t="shared" si="0"/>
        <v>0.27859415038123442</v>
      </c>
      <c r="M13" s="10">
        <f t="shared" si="4"/>
        <v>0.28091946678095081</v>
      </c>
      <c r="P13" s="8">
        <f t="shared" si="5"/>
        <v>16.972160700644721</v>
      </c>
    </row>
    <row r="14" spans="1:16" x14ac:dyDescent="0.2">
      <c r="A14" s="8">
        <v>6</v>
      </c>
      <c r="B14" s="8">
        <v>12</v>
      </c>
      <c r="D14">
        <v>1500.6568848759</v>
      </c>
      <c r="E14">
        <v>504.18735891647998</v>
      </c>
      <c r="F14">
        <v>147.23393461104999</v>
      </c>
      <c r="G14">
        <v>122.4222096956</v>
      </c>
      <c r="I14" s="9">
        <f t="shared" si="1"/>
        <v>381.76514922087995</v>
      </c>
      <c r="J14" s="9">
        <f t="shared" si="2"/>
        <v>1353.42295026485</v>
      </c>
      <c r="K14" s="9">
        <f t="shared" si="3"/>
        <v>381.76514922087995</v>
      </c>
      <c r="L14" s="10">
        <f t="shared" si="0"/>
        <v>0.28207379603410204</v>
      </c>
      <c r="M14" s="10">
        <f t="shared" si="4"/>
        <v>0.28461050483379269</v>
      </c>
      <c r="P14" s="8">
        <f t="shared" si="5"/>
        <v>18.509073400987681</v>
      </c>
    </row>
    <row r="15" spans="1:16" x14ac:dyDescent="0.2">
      <c r="A15" s="8">
        <v>6.5</v>
      </c>
      <c r="B15" s="8">
        <v>13</v>
      </c>
      <c r="D15">
        <v>1495.374717833</v>
      </c>
      <c r="E15">
        <v>507.36286681716001</v>
      </c>
      <c r="F15">
        <v>148.00901916573</v>
      </c>
      <c r="G15">
        <v>122.74013528749001</v>
      </c>
      <c r="I15" s="9">
        <f t="shared" si="1"/>
        <v>384.62273152966998</v>
      </c>
      <c r="J15" s="9">
        <f t="shared" si="2"/>
        <v>1347.36569866727</v>
      </c>
      <c r="K15" s="9">
        <f t="shared" si="3"/>
        <v>384.62273152966998</v>
      </c>
      <c r="L15" s="10">
        <f t="shared" si="0"/>
        <v>0.28546276034050355</v>
      </c>
      <c r="M15" s="10">
        <f t="shared" si="4"/>
        <v>0.28821086154016839</v>
      </c>
      <c r="P15" s="8">
        <f t="shared" si="5"/>
        <v>20.008227261927519</v>
      </c>
    </row>
    <row r="16" spans="1:16" x14ac:dyDescent="0.2">
      <c r="A16" s="8">
        <v>7</v>
      </c>
      <c r="B16" s="8">
        <v>14</v>
      </c>
      <c r="D16">
        <v>1465.1963882619</v>
      </c>
      <c r="E16">
        <v>497.04966139955002</v>
      </c>
      <c r="F16">
        <v>147.91770011273999</v>
      </c>
      <c r="G16">
        <v>122.70744081173</v>
      </c>
      <c r="I16" s="9">
        <f t="shared" si="1"/>
        <v>374.34222058782001</v>
      </c>
      <c r="J16" s="9">
        <f t="shared" si="2"/>
        <v>1317.27868814916</v>
      </c>
      <c r="K16" s="9">
        <f t="shared" si="3"/>
        <v>374.34222058782001</v>
      </c>
      <c r="L16" s="10">
        <f t="shared" si="0"/>
        <v>0.28417845362228467</v>
      </c>
      <c r="M16" s="10">
        <f t="shared" si="4"/>
        <v>0.28713794722192371</v>
      </c>
      <c r="P16" s="8">
        <f t="shared" si="5"/>
        <v>19.561476072022973</v>
      </c>
    </row>
    <row r="17" spans="1:16" x14ac:dyDescent="0.2">
      <c r="A17" s="8">
        <v>7.5</v>
      </c>
      <c r="B17" s="8">
        <v>15</v>
      </c>
      <c r="D17">
        <v>1458.4559819413</v>
      </c>
      <c r="E17">
        <v>498.97404063204999</v>
      </c>
      <c r="F17">
        <v>147.46392333708999</v>
      </c>
      <c r="G17">
        <v>122.17925591882999</v>
      </c>
      <c r="I17" s="9">
        <f t="shared" si="1"/>
        <v>376.79478471322</v>
      </c>
      <c r="J17" s="9">
        <f t="shared" si="2"/>
        <v>1310.9920586042101</v>
      </c>
      <c r="K17" s="9">
        <f t="shared" si="3"/>
        <v>376.79478471322</v>
      </c>
      <c r="L17" s="10">
        <f t="shared" si="0"/>
        <v>0.28741195054559421</v>
      </c>
      <c r="M17" s="10">
        <f t="shared" si="4"/>
        <v>0.2905828365452075</v>
      </c>
      <c r="P17" s="8">
        <f t="shared" si="5"/>
        <v>20.995894811801143</v>
      </c>
    </row>
    <row r="18" spans="1:16" x14ac:dyDescent="0.2">
      <c r="A18" s="8">
        <v>8</v>
      </c>
      <c r="B18" s="8">
        <v>16</v>
      </c>
      <c r="D18">
        <v>1411.6038374718</v>
      </c>
      <c r="E18">
        <v>495.20993227990999</v>
      </c>
      <c r="F18">
        <v>147.92164599775001</v>
      </c>
      <c r="G18">
        <v>122.74746335963999</v>
      </c>
      <c r="I18" s="9">
        <f t="shared" si="1"/>
        <v>372.46246892027</v>
      </c>
      <c r="J18" s="9">
        <f t="shared" si="2"/>
        <v>1263.6821914740501</v>
      </c>
      <c r="K18" s="9">
        <f t="shared" si="3"/>
        <v>372.46246892027</v>
      </c>
      <c r="L18" s="10">
        <f t="shared" si="0"/>
        <v>0.29474378244248489</v>
      </c>
      <c r="M18" s="10">
        <f t="shared" si="4"/>
        <v>0.29812606084207238</v>
      </c>
      <c r="P18" s="8">
        <f t="shared" si="5"/>
        <v>24.136820767430642</v>
      </c>
    </row>
    <row r="19" spans="1:16" x14ac:dyDescent="0.2">
      <c r="A19" s="8">
        <v>8.5</v>
      </c>
      <c r="B19" s="8">
        <v>17</v>
      </c>
      <c r="D19">
        <v>1474.6286681716001</v>
      </c>
      <c r="E19">
        <v>511.60553047403999</v>
      </c>
      <c r="F19">
        <v>147.92841037203999</v>
      </c>
      <c r="G19">
        <v>122.43630214205</v>
      </c>
      <c r="I19" s="9">
        <f t="shared" si="1"/>
        <v>389.16922833198998</v>
      </c>
      <c r="J19" s="9">
        <f t="shared" si="2"/>
        <v>1326.7002577995602</v>
      </c>
      <c r="K19" s="9">
        <f t="shared" si="3"/>
        <v>389.16922833198998</v>
      </c>
      <c r="L19" s="10">
        <f t="shared" si="0"/>
        <v>0.29333621218816874</v>
      </c>
      <c r="M19" s="10">
        <f t="shared" si="4"/>
        <v>0.29692988298773043</v>
      </c>
      <c r="P19" s="8">
        <f t="shared" si="5"/>
        <v>23.638743828128522</v>
      </c>
    </row>
    <row r="20" spans="1:16" x14ac:dyDescent="0.2">
      <c r="A20" s="8">
        <v>9</v>
      </c>
      <c r="B20" s="8">
        <v>18</v>
      </c>
      <c r="D20">
        <v>1431.7889390518999</v>
      </c>
      <c r="E20">
        <v>499.65519187359001</v>
      </c>
      <c r="F20">
        <v>147.64543404734999</v>
      </c>
      <c r="G20">
        <v>122.50450958286</v>
      </c>
      <c r="I20" s="9">
        <f t="shared" si="1"/>
        <v>377.15068229073</v>
      </c>
      <c r="J20" s="9">
        <f t="shared" si="2"/>
        <v>1284.14350500455</v>
      </c>
      <c r="K20" s="9">
        <f t="shared" si="3"/>
        <v>377.15068229073</v>
      </c>
      <c r="L20" s="10">
        <f t="shared" si="0"/>
        <v>0.29369823607790135</v>
      </c>
      <c r="M20" s="10">
        <f t="shared" si="4"/>
        <v>0.29750329927743729</v>
      </c>
      <c r="P20" s="8">
        <f t="shared" si="5"/>
        <v>23.87750884913812</v>
      </c>
    </row>
    <row r="21" spans="1:16" x14ac:dyDescent="0.2">
      <c r="A21" s="8">
        <v>9.5</v>
      </c>
      <c r="B21" s="8">
        <v>19</v>
      </c>
      <c r="D21">
        <v>1410.7256885890999</v>
      </c>
      <c r="E21">
        <v>492.55424395727999</v>
      </c>
      <c r="F21">
        <v>147.32187147689001</v>
      </c>
      <c r="G21">
        <v>122.07440811725</v>
      </c>
      <c r="I21" s="9">
        <f t="shared" si="1"/>
        <v>370.47983584002998</v>
      </c>
      <c r="J21" s="9">
        <f t="shared" si="2"/>
        <v>1263.4038171122099</v>
      </c>
      <c r="K21" s="9">
        <f t="shared" si="3"/>
        <v>370.47983584002998</v>
      </c>
      <c r="L21" s="10">
        <f t="shared" si="0"/>
        <v>0.29323944634490967</v>
      </c>
      <c r="M21" s="10">
        <f t="shared" si="4"/>
        <v>0.29725590194441981</v>
      </c>
      <c r="P21" s="8">
        <f t="shared" si="5"/>
        <v>23.774494982116945</v>
      </c>
    </row>
    <row r="22" spans="1:16" x14ac:dyDescent="0.2">
      <c r="A22" s="8">
        <v>10</v>
      </c>
      <c r="B22" s="8">
        <v>20</v>
      </c>
      <c r="D22">
        <v>1332.8459808881</v>
      </c>
      <c r="E22">
        <v>477.07251264756002</v>
      </c>
      <c r="F22">
        <v>147.60710259301001</v>
      </c>
      <c r="G22">
        <v>122.21815107102999</v>
      </c>
      <c r="I22" s="9">
        <f t="shared" si="1"/>
        <v>354.85436157653004</v>
      </c>
      <c r="J22" s="9">
        <f t="shared" si="2"/>
        <v>1185.23887829509</v>
      </c>
      <c r="K22" s="9">
        <f t="shared" si="3"/>
        <v>354.85436157653004</v>
      </c>
      <c r="L22" s="10">
        <f t="shared" si="0"/>
        <v>0.29939480392928997</v>
      </c>
      <c r="M22" s="10">
        <f t="shared" si="4"/>
        <v>0.30362265192877436</v>
      </c>
      <c r="P22" s="8">
        <f t="shared" si="5"/>
        <v>26.425548363517027</v>
      </c>
    </row>
    <row r="23" spans="1:16" x14ac:dyDescent="0.2">
      <c r="A23" s="8">
        <v>10.5</v>
      </c>
      <c r="B23" s="8">
        <v>21</v>
      </c>
      <c r="D23">
        <v>1465.8083192805</v>
      </c>
      <c r="E23">
        <v>508.14221472738001</v>
      </c>
      <c r="F23">
        <v>146.8083427283</v>
      </c>
      <c r="G23">
        <v>121.95321307779</v>
      </c>
      <c r="I23" s="9">
        <f t="shared" si="1"/>
        <v>386.18900164959001</v>
      </c>
      <c r="J23" s="9">
        <f t="shared" si="2"/>
        <v>1318.9999765522</v>
      </c>
      <c r="K23" s="9">
        <f t="shared" si="3"/>
        <v>386.18900164959001</v>
      </c>
      <c r="L23" s="10">
        <f t="shared" si="0"/>
        <v>0.29278924072392232</v>
      </c>
      <c r="M23" s="10">
        <f t="shared" si="4"/>
        <v>0.29722848112338091</v>
      </c>
      <c r="P23" s="8">
        <f t="shared" si="5"/>
        <v>23.763077216300072</v>
      </c>
    </row>
    <row r="24" spans="1:16" x14ac:dyDescent="0.2">
      <c r="A24" s="8">
        <v>11</v>
      </c>
      <c r="B24" s="8">
        <v>22</v>
      </c>
      <c r="D24">
        <v>1555.8150646431</v>
      </c>
      <c r="E24">
        <v>540.41989881955999</v>
      </c>
      <c r="F24">
        <v>147.25873731679999</v>
      </c>
      <c r="G24">
        <v>122.6527621195</v>
      </c>
      <c r="I24" s="9">
        <f t="shared" si="1"/>
        <v>417.76713670006001</v>
      </c>
      <c r="J24" s="9">
        <f t="shared" si="2"/>
        <v>1408.5563273262999</v>
      </c>
      <c r="K24" s="9">
        <f t="shared" si="3"/>
        <v>417.76713670006001</v>
      </c>
      <c r="L24" s="10">
        <f t="shared" si="0"/>
        <v>0.29659242487878296</v>
      </c>
      <c r="M24" s="10">
        <f t="shared" si="4"/>
        <v>0.30124305767821574</v>
      </c>
      <c r="P24" s="8">
        <f t="shared" si="5"/>
        <v>25.43470823318275</v>
      </c>
    </row>
    <row r="25" spans="1:16" x14ac:dyDescent="0.2">
      <c r="A25" s="8">
        <v>11.5</v>
      </c>
      <c r="B25" s="8">
        <v>23</v>
      </c>
      <c r="D25">
        <v>1524.8724002249</v>
      </c>
      <c r="E25">
        <v>531.91118605958002</v>
      </c>
      <c r="F25">
        <v>147.91431792559001</v>
      </c>
      <c r="G25">
        <v>122.70180383315</v>
      </c>
      <c r="I25" s="9">
        <f t="shared" si="1"/>
        <v>409.20938222643002</v>
      </c>
      <c r="J25" s="9">
        <f t="shared" si="2"/>
        <v>1376.95808229931</v>
      </c>
      <c r="K25" s="9">
        <f t="shared" si="3"/>
        <v>409.20938222643002</v>
      </c>
      <c r="L25" s="10">
        <f t="shared" si="0"/>
        <v>0.29718361618032174</v>
      </c>
      <c r="M25" s="10">
        <f t="shared" si="4"/>
        <v>0.30204564137972878</v>
      </c>
      <c r="P25" s="8">
        <f t="shared" si="5"/>
        <v>25.768896357576089</v>
      </c>
    </row>
    <row r="26" spans="1:16" x14ac:dyDescent="0.2">
      <c r="A26" s="8">
        <v>12</v>
      </c>
      <c r="B26" s="8">
        <v>24</v>
      </c>
      <c r="D26">
        <v>1433.5536117382001</v>
      </c>
      <c r="E26">
        <v>496.25225733633999</v>
      </c>
      <c r="F26">
        <v>147.37260428409999</v>
      </c>
      <c r="G26">
        <v>122.26719278467</v>
      </c>
      <c r="I26" s="9">
        <f t="shared" si="1"/>
        <v>373.98506455167001</v>
      </c>
      <c r="J26" s="9">
        <f t="shared" si="2"/>
        <v>1286.1810074541002</v>
      </c>
      <c r="K26" s="9">
        <f t="shared" si="3"/>
        <v>373.98506455167001</v>
      </c>
      <c r="L26" s="10">
        <f t="shared" si="0"/>
        <v>0.29077172060870787</v>
      </c>
      <c r="M26" s="10">
        <f t="shared" si="4"/>
        <v>0.29584513820808911</v>
      </c>
      <c r="P26" s="8">
        <f t="shared" si="5"/>
        <v>23.187066548026287</v>
      </c>
    </row>
    <row r="27" spans="1:16" x14ac:dyDescent="0.2">
      <c r="A27" s="8">
        <v>12.5</v>
      </c>
      <c r="B27" s="8">
        <v>25</v>
      </c>
      <c r="D27">
        <v>1452.4435665914</v>
      </c>
      <c r="E27">
        <v>502.69074492099003</v>
      </c>
      <c r="F27">
        <v>147.66854565953</v>
      </c>
      <c r="G27">
        <v>122.90078917699999</v>
      </c>
      <c r="I27" s="9">
        <f t="shared" si="1"/>
        <v>379.78995574399005</v>
      </c>
      <c r="J27" s="9">
        <f t="shared" si="2"/>
        <v>1304.7750209318699</v>
      </c>
      <c r="K27" s="9">
        <f t="shared" si="3"/>
        <v>379.78995574399005</v>
      </c>
      <c r="L27" s="10">
        <f t="shared" si="0"/>
        <v>0.29107696702588942</v>
      </c>
      <c r="M27" s="10">
        <f t="shared" si="4"/>
        <v>0.29636177702524485</v>
      </c>
      <c r="P27" s="8">
        <f t="shared" si="5"/>
        <v>23.402189976235181</v>
      </c>
    </row>
    <row r="28" spans="1:16" x14ac:dyDescent="0.2">
      <c r="A28" s="8">
        <v>13</v>
      </c>
      <c r="B28" s="8">
        <v>26</v>
      </c>
      <c r="D28">
        <v>1544.9509029344999</v>
      </c>
      <c r="E28">
        <v>523.39390519186998</v>
      </c>
      <c r="F28">
        <v>147.69673055242001</v>
      </c>
      <c r="G28">
        <v>122.52536640360999</v>
      </c>
      <c r="I28" s="9">
        <f t="shared" si="1"/>
        <v>400.86853878825997</v>
      </c>
      <c r="J28" s="9">
        <f t="shared" si="2"/>
        <v>1397.25417238208</v>
      </c>
      <c r="K28" s="9">
        <f t="shared" si="3"/>
        <v>400.86853878825997</v>
      </c>
      <c r="L28" s="10">
        <f t="shared" si="0"/>
        <v>0.28689736392402215</v>
      </c>
      <c r="M28" s="10">
        <f t="shared" si="4"/>
        <v>0.29239356632335184</v>
      </c>
      <c r="P28" s="8">
        <f t="shared" si="5"/>
        <v>21.749865254012253</v>
      </c>
    </row>
    <row r="29" spans="1:16" x14ac:dyDescent="0.2">
      <c r="A29" s="8">
        <v>13.5</v>
      </c>
      <c r="B29" s="8">
        <v>27</v>
      </c>
      <c r="D29">
        <v>1419.9009566684999</v>
      </c>
      <c r="E29">
        <v>489.42431063589999</v>
      </c>
      <c r="F29">
        <v>148.15050732807001</v>
      </c>
      <c r="G29">
        <v>122.48478015784001</v>
      </c>
      <c r="I29" s="9">
        <f t="shared" si="1"/>
        <v>366.93953047805996</v>
      </c>
      <c r="J29" s="9">
        <f t="shared" si="2"/>
        <v>1271.7504493404299</v>
      </c>
      <c r="K29" s="9">
        <f t="shared" si="3"/>
        <v>366.93953047805996</v>
      </c>
      <c r="L29" s="10">
        <f t="shared" si="0"/>
        <v>0.28853107987370197</v>
      </c>
      <c r="M29" s="10">
        <f t="shared" si="4"/>
        <v>0.29423867467300585</v>
      </c>
      <c r="P29" s="8">
        <f t="shared" si="5"/>
        <v>22.51815060233282</v>
      </c>
    </row>
    <row r="30" spans="1:16" x14ac:dyDescent="0.2">
      <c r="A30" s="8">
        <v>14</v>
      </c>
      <c r="B30" s="8">
        <v>28</v>
      </c>
      <c r="D30">
        <v>1441.8221722003</v>
      </c>
      <c r="E30">
        <v>495.95666854248998</v>
      </c>
      <c r="F30">
        <v>147.98985343856</v>
      </c>
      <c r="G30">
        <v>122.51972942502999</v>
      </c>
      <c r="I30" s="9">
        <f t="shared" si="1"/>
        <v>373.43693911745999</v>
      </c>
      <c r="J30" s="9">
        <f t="shared" si="2"/>
        <v>1293.83231876174</v>
      </c>
      <c r="K30" s="9">
        <f t="shared" si="3"/>
        <v>373.43693911745999</v>
      </c>
      <c r="L30" s="10">
        <f t="shared" si="0"/>
        <v>0.28862854459753884</v>
      </c>
      <c r="M30" s="10">
        <f t="shared" si="4"/>
        <v>0.29454753179681692</v>
      </c>
      <c r="P30" s="8">
        <f t="shared" si="5"/>
        <v>22.646755734379926</v>
      </c>
    </row>
    <row r="31" spans="1:16" x14ac:dyDescent="0.2">
      <c r="A31" s="8">
        <v>14.5</v>
      </c>
      <c r="B31" s="8">
        <v>29</v>
      </c>
      <c r="D31">
        <v>1448.1198649409</v>
      </c>
      <c r="E31">
        <v>496.31176139561001</v>
      </c>
      <c r="F31">
        <v>148.25422773394001</v>
      </c>
      <c r="G31">
        <v>122.59188275085</v>
      </c>
      <c r="I31" s="9">
        <f t="shared" si="1"/>
        <v>373.71987864476</v>
      </c>
      <c r="J31" s="9">
        <f t="shared" si="2"/>
        <v>1299.8656372069599</v>
      </c>
      <c r="K31" s="9">
        <f t="shared" si="3"/>
        <v>373.71987864476</v>
      </c>
      <c r="L31" s="10">
        <f t="shared" si="0"/>
        <v>0.28750654525169023</v>
      </c>
      <c r="M31" s="10">
        <f t="shared" si="4"/>
        <v>0.29363692485094256</v>
      </c>
      <c r="P31" s="8">
        <f t="shared" si="5"/>
        <v>22.26758777130318</v>
      </c>
    </row>
    <row r="32" spans="1:16" x14ac:dyDescent="0.2">
      <c r="A32" s="8">
        <v>15</v>
      </c>
      <c r="B32" s="8">
        <v>30</v>
      </c>
      <c r="D32">
        <v>1416.7338210467001</v>
      </c>
      <c r="E32">
        <v>488.64265616207001</v>
      </c>
      <c r="F32">
        <v>148.11668545660001</v>
      </c>
      <c r="G32">
        <v>122.4785794814</v>
      </c>
      <c r="I32" s="9">
        <f t="shared" si="1"/>
        <v>366.16407668067001</v>
      </c>
      <c r="J32" s="9">
        <f t="shared" si="2"/>
        <v>1268.6171355901001</v>
      </c>
      <c r="K32" s="9">
        <f t="shared" si="3"/>
        <v>366.16407668067001</v>
      </c>
      <c r="L32" s="10">
        <f t="shared" si="0"/>
        <v>0.28863245372320151</v>
      </c>
      <c r="M32" s="10">
        <f t="shared" si="4"/>
        <v>0.29497422572242804</v>
      </c>
      <c r="P32" s="8">
        <f t="shared" si="5"/>
        <v>22.82442697592294</v>
      </c>
    </row>
    <row r="33" spans="1:16" x14ac:dyDescent="0.2">
      <c r="A33" s="8">
        <v>15.5</v>
      </c>
      <c r="B33" s="8">
        <v>31</v>
      </c>
      <c r="D33">
        <v>1471.3455261677</v>
      </c>
      <c r="E33">
        <v>502.34102419809</v>
      </c>
      <c r="F33">
        <v>147.88500563698</v>
      </c>
      <c r="G33">
        <v>122.85738444194</v>
      </c>
      <c r="I33" s="9">
        <f t="shared" si="1"/>
        <v>379.48363975615001</v>
      </c>
      <c r="J33" s="9">
        <f t="shared" si="2"/>
        <v>1323.46052053072</v>
      </c>
      <c r="K33" s="9">
        <f t="shared" si="3"/>
        <v>379.48363975615001</v>
      </c>
      <c r="L33" s="10">
        <f t="shared" si="0"/>
        <v>0.28673589719470705</v>
      </c>
      <c r="M33" s="10">
        <f t="shared" si="4"/>
        <v>0.29328906159390783</v>
      </c>
      <c r="P33" s="8">
        <f t="shared" si="5"/>
        <v>22.122740861012534</v>
      </c>
    </row>
    <row r="34" spans="1:16" x14ac:dyDescent="0.2">
      <c r="A34" s="8">
        <v>16</v>
      </c>
      <c r="B34" s="8">
        <v>32</v>
      </c>
      <c r="D34">
        <v>1493.0653889514999</v>
      </c>
      <c r="E34">
        <v>504.50394588501001</v>
      </c>
      <c r="F34">
        <v>147.98872604284</v>
      </c>
      <c r="G34">
        <v>122.37598647125</v>
      </c>
      <c r="I34" s="9">
        <f t="shared" si="1"/>
        <v>382.12795941375998</v>
      </c>
      <c r="J34" s="9">
        <f t="shared" si="2"/>
        <v>1345.07666290866</v>
      </c>
      <c r="K34" s="9">
        <f t="shared" si="3"/>
        <v>382.12795941375998</v>
      </c>
      <c r="L34" s="10">
        <f t="shared" si="0"/>
        <v>0.28409381409341211</v>
      </c>
      <c r="M34" s="10">
        <f t="shared" si="4"/>
        <v>0.29085837089258709</v>
      </c>
      <c r="P34" s="8">
        <f t="shared" si="5"/>
        <v>21.110624660642003</v>
      </c>
    </row>
    <row r="35" spans="1:16" x14ac:dyDescent="0.2">
      <c r="A35" s="8">
        <v>16.5</v>
      </c>
      <c r="B35" s="8">
        <v>33</v>
      </c>
      <c r="D35">
        <v>1650.8338963964</v>
      </c>
      <c r="E35">
        <v>546.39864864865001</v>
      </c>
      <c r="F35">
        <v>147.90135287486001</v>
      </c>
      <c r="G35">
        <v>122.74126268320001</v>
      </c>
      <c r="I35" s="9">
        <f t="shared" si="1"/>
        <v>423.65738596544998</v>
      </c>
      <c r="J35" s="9">
        <f t="shared" si="2"/>
        <v>1502.9325435215399</v>
      </c>
      <c r="K35" s="9">
        <f t="shared" si="3"/>
        <v>423.65738596544998</v>
      </c>
      <c r="L35" s="10">
        <f t="shared" si="0"/>
        <v>0.28188715973424405</v>
      </c>
      <c r="M35" s="10">
        <f t="shared" si="4"/>
        <v>0.28886310893339323</v>
      </c>
      <c r="P35" s="8">
        <f t="shared" si="5"/>
        <v>20.279816795294973</v>
      </c>
    </row>
    <row r="36" spans="1:16" x14ac:dyDescent="0.2">
      <c r="A36" s="8">
        <v>17</v>
      </c>
      <c r="B36" s="8">
        <v>34</v>
      </c>
      <c r="D36">
        <v>1632.9769144144</v>
      </c>
      <c r="E36">
        <v>539.08614864865001</v>
      </c>
      <c r="F36">
        <v>147.98027057497001</v>
      </c>
      <c r="G36">
        <v>122.72378804960999</v>
      </c>
      <c r="I36" s="9">
        <f t="shared" si="1"/>
        <v>416.36236059904002</v>
      </c>
      <c r="J36" s="9">
        <f t="shared" si="2"/>
        <v>1484.9966438394299</v>
      </c>
      <c r="K36" s="9">
        <f t="shared" si="3"/>
        <v>416.36236059904002</v>
      </c>
      <c r="L36" s="10">
        <f t="shared" si="0"/>
        <v>0.28037932767480417</v>
      </c>
      <c r="M36" s="10">
        <f t="shared" si="4"/>
        <v>0.2875666692739276</v>
      </c>
      <c r="P36" s="8">
        <f t="shared" si="5"/>
        <v>19.739991805864989</v>
      </c>
    </row>
    <row r="37" spans="1:16" x14ac:dyDescent="0.2">
      <c r="A37" s="8">
        <v>17.5</v>
      </c>
      <c r="B37" s="8">
        <v>35</v>
      </c>
      <c r="D37">
        <v>1541.3651591289999</v>
      </c>
      <c r="E37">
        <v>516.98045784477995</v>
      </c>
      <c r="F37">
        <v>148.00056369786</v>
      </c>
      <c r="G37">
        <v>122.97125140925</v>
      </c>
      <c r="I37" s="9">
        <f t="shared" si="1"/>
        <v>394.00920643552996</v>
      </c>
      <c r="J37" s="9">
        <f t="shared" si="2"/>
        <v>1393.3645954311401</v>
      </c>
      <c r="K37" s="9">
        <f t="shared" si="3"/>
        <v>394.00920643552996</v>
      </c>
      <c r="L37" s="10">
        <f t="shared" si="0"/>
        <v>0.28277538250038153</v>
      </c>
      <c r="M37" s="10">
        <f t="shared" si="4"/>
        <v>0.29017411649947916</v>
      </c>
      <c r="P37" s="8">
        <f t="shared" si="5"/>
        <v>20.82570772075206</v>
      </c>
    </row>
    <row r="38" spans="1:16" x14ac:dyDescent="0.2">
      <c r="A38" s="8">
        <v>18</v>
      </c>
      <c r="B38" s="8">
        <v>36</v>
      </c>
      <c r="D38">
        <v>1554.3461753211</v>
      </c>
      <c r="E38">
        <v>521.34282523729996</v>
      </c>
      <c r="F38">
        <v>148.71195039458999</v>
      </c>
      <c r="G38">
        <v>122.73280721533</v>
      </c>
      <c r="I38" s="9">
        <f t="shared" si="1"/>
        <v>398.61001802196995</v>
      </c>
      <c r="J38" s="9">
        <f t="shared" si="2"/>
        <v>1405.6342249265099</v>
      </c>
      <c r="K38" s="9">
        <f t="shared" si="3"/>
        <v>398.61001802196995</v>
      </c>
      <c r="L38" s="10">
        <f t="shared" si="0"/>
        <v>0.28358018818360109</v>
      </c>
      <c r="M38" s="10">
        <f t="shared" si="4"/>
        <v>0.29119031458267297</v>
      </c>
      <c r="P38" s="8">
        <f t="shared" si="5"/>
        <v>21.248842816561282</v>
      </c>
    </row>
    <row r="39" spans="1:16" x14ac:dyDescent="0.2">
      <c r="A39" s="8">
        <v>18.5</v>
      </c>
      <c r="B39" s="8">
        <v>37</v>
      </c>
      <c r="D39">
        <v>1528.5132245356999</v>
      </c>
      <c r="E39">
        <v>511.22509848059002</v>
      </c>
      <c r="F39">
        <v>148.31003382187001</v>
      </c>
      <c r="G39">
        <v>123.31961668546001</v>
      </c>
      <c r="I39" s="9">
        <f t="shared" si="1"/>
        <v>387.90548179513002</v>
      </c>
      <c r="J39" s="9">
        <f t="shared" si="2"/>
        <v>1380.2031907138298</v>
      </c>
      <c r="K39" s="9">
        <f t="shared" si="3"/>
        <v>387.90548179513002</v>
      </c>
      <c r="L39" s="10">
        <f t="shared" si="0"/>
        <v>0.28104954720073388</v>
      </c>
      <c r="M39" s="10">
        <f t="shared" si="4"/>
        <v>0.28887106599977996</v>
      </c>
      <c r="P39" s="8">
        <f t="shared" si="5"/>
        <v>20.283130041111505</v>
      </c>
    </row>
    <row r="40" spans="1:16" x14ac:dyDescent="0.2">
      <c r="A40" s="8">
        <v>19</v>
      </c>
      <c r="B40" s="8">
        <v>38</v>
      </c>
      <c r="D40">
        <v>1614.293258427</v>
      </c>
      <c r="E40">
        <v>534.44044943819995</v>
      </c>
      <c r="F40">
        <v>148.74689966177999</v>
      </c>
      <c r="G40">
        <v>122.82074408117001</v>
      </c>
      <c r="I40" s="9">
        <f t="shared" si="1"/>
        <v>411.61970535702994</v>
      </c>
      <c r="J40" s="9">
        <f t="shared" si="2"/>
        <v>1465.54635876522</v>
      </c>
      <c r="K40" s="9">
        <f t="shared" si="3"/>
        <v>411.61970535702994</v>
      </c>
      <c r="L40" s="10">
        <f t="shared" si="0"/>
        <v>0.2808643362901434</v>
      </c>
      <c r="M40" s="10">
        <f t="shared" si="4"/>
        <v>0.28889724748916368</v>
      </c>
      <c r="P40" s="8">
        <f t="shared" si="5"/>
        <v>20.294031761161978</v>
      </c>
    </row>
    <row r="41" spans="1:16" x14ac:dyDescent="0.2">
      <c r="A41" s="8">
        <v>19.5</v>
      </c>
      <c r="B41" s="8">
        <v>39</v>
      </c>
      <c r="D41">
        <v>1648.243258427</v>
      </c>
      <c r="E41">
        <v>540.95898876404999</v>
      </c>
      <c r="F41">
        <v>148.36020293122999</v>
      </c>
      <c r="G41">
        <v>123.55975197294001</v>
      </c>
      <c r="I41" s="9">
        <f t="shared" si="1"/>
        <v>417.39923679110996</v>
      </c>
      <c r="J41" s="9">
        <f t="shared" si="2"/>
        <v>1499.8830554957699</v>
      </c>
      <c r="K41" s="9">
        <f t="shared" si="3"/>
        <v>417.39923679110996</v>
      </c>
      <c r="L41" s="10">
        <f t="shared" si="0"/>
        <v>0.27828785401748751</v>
      </c>
      <c r="M41" s="10">
        <f t="shared" si="4"/>
        <v>0.28653215761648204</v>
      </c>
      <c r="P41" s="8">
        <f t="shared" si="5"/>
        <v>19.309231114097873</v>
      </c>
    </row>
    <row r="42" spans="1:16" x14ac:dyDescent="0.2">
      <c r="A42" s="8">
        <v>20</v>
      </c>
      <c r="B42" s="8">
        <v>40</v>
      </c>
      <c r="D42">
        <v>1692.0095505618001</v>
      </c>
      <c r="E42">
        <v>547.61966292135003</v>
      </c>
      <c r="F42">
        <v>148.47632468997</v>
      </c>
      <c r="G42">
        <v>122.74633596392</v>
      </c>
      <c r="I42" s="9">
        <f t="shared" si="1"/>
        <v>424.87332695743004</v>
      </c>
      <c r="J42" s="9">
        <f t="shared" si="2"/>
        <v>1543.5332258718302</v>
      </c>
      <c r="K42" s="9">
        <f t="shared" si="3"/>
        <v>424.87332695743004</v>
      </c>
      <c r="L42" s="10">
        <f t="shared" si="0"/>
        <v>0.27526024048976971</v>
      </c>
      <c r="M42" s="10">
        <f t="shared" si="4"/>
        <v>0.28371593648873844</v>
      </c>
      <c r="P42" s="8">
        <f t="shared" si="5"/>
        <v>18.13658375683999</v>
      </c>
    </row>
    <row r="43" spans="1:16" x14ac:dyDescent="0.2">
      <c r="A43" s="8">
        <v>20.5</v>
      </c>
      <c r="B43" s="8">
        <v>41</v>
      </c>
      <c r="D43">
        <v>1639.8033802816999</v>
      </c>
      <c r="E43">
        <v>528.85126760563003</v>
      </c>
      <c r="F43">
        <v>148.00056369786</v>
      </c>
      <c r="G43">
        <v>123.04509582864</v>
      </c>
      <c r="I43" s="9">
        <f t="shared" si="1"/>
        <v>405.80617177699003</v>
      </c>
      <c r="J43" s="9">
        <f t="shared" si="2"/>
        <v>1491.80281658384</v>
      </c>
      <c r="K43" s="9">
        <f t="shared" si="3"/>
        <v>405.80617177699003</v>
      </c>
      <c r="L43" s="10">
        <f t="shared" si="0"/>
        <v>0.2720240016078449</v>
      </c>
      <c r="M43" s="10">
        <f t="shared" si="4"/>
        <v>0.28069109000678782</v>
      </c>
      <c r="P43" s="8">
        <f t="shared" si="5"/>
        <v>16.877066811161736</v>
      </c>
    </row>
    <row r="44" spans="1:16" x14ac:dyDescent="0.2">
      <c r="A44" s="8">
        <v>21</v>
      </c>
      <c r="B44" s="8">
        <v>42</v>
      </c>
      <c r="D44">
        <v>1605.0850704224999</v>
      </c>
      <c r="E44">
        <v>514.1538028169</v>
      </c>
      <c r="F44">
        <v>148.49323562571001</v>
      </c>
      <c r="G44">
        <v>123.23562570462001</v>
      </c>
      <c r="I44" s="9">
        <f t="shared" si="1"/>
        <v>390.91817711227998</v>
      </c>
      <c r="J44" s="9">
        <f t="shared" si="2"/>
        <v>1456.59183479679</v>
      </c>
      <c r="K44" s="9">
        <f t="shared" si="3"/>
        <v>390.91817711227998</v>
      </c>
      <c r="L44" s="10">
        <f t="shared" si="0"/>
        <v>0.26837866845986902</v>
      </c>
      <c r="M44" s="10">
        <f t="shared" si="4"/>
        <v>0.2772571492587862</v>
      </c>
      <c r="P44" s="8">
        <f t="shared" si="5"/>
        <v>15.44720695269579</v>
      </c>
    </row>
    <row r="45" spans="1:16" x14ac:dyDescent="0.2">
      <c r="A45" s="8">
        <v>21.5</v>
      </c>
      <c r="B45" s="8">
        <v>43</v>
      </c>
      <c r="D45">
        <v>1699.0653521127001</v>
      </c>
      <c r="E45">
        <v>535.09802816901004</v>
      </c>
      <c r="F45">
        <v>148.38669673055</v>
      </c>
      <c r="G45">
        <v>122.96166854566</v>
      </c>
      <c r="I45" s="9">
        <f t="shared" si="1"/>
        <v>412.13635962335002</v>
      </c>
      <c r="J45" s="9">
        <f t="shared" si="2"/>
        <v>1550.6786553821501</v>
      </c>
      <c r="K45" s="9">
        <f t="shared" si="3"/>
        <v>412.13635962335002</v>
      </c>
      <c r="L45" s="10">
        <f t="shared" si="0"/>
        <v>0.26577805671916138</v>
      </c>
      <c r="M45" s="10">
        <f t="shared" si="4"/>
        <v>0.27486792991805276</v>
      </c>
      <c r="P45" s="8">
        <f t="shared" si="5"/>
        <v>14.452359027502764</v>
      </c>
    </row>
    <row r="46" spans="1:16" x14ac:dyDescent="0.2">
      <c r="A46" s="8">
        <v>22</v>
      </c>
      <c r="B46" s="8">
        <v>44</v>
      </c>
      <c r="D46">
        <v>1621.5104225352</v>
      </c>
      <c r="E46">
        <v>511.90084507042002</v>
      </c>
      <c r="F46">
        <v>148.46279594137999</v>
      </c>
      <c r="G46">
        <v>123.39120631342</v>
      </c>
      <c r="I46" s="9">
        <f t="shared" si="1"/>
        <v>388.509638757</v>
      </c>
      <c r="J46" s="9">
        <f t="shared" si="2"/>
        <v>1473.04762659382</v>
      </c>
      <c r="K46" s="9">
        <f t="shared" si="3"/>
        <v>388.509638757</v>
      </c>
      <c r="L46" s="10">
        <f t="shared" si="0"/>
        <v>0.2637454701008986</v>
      </c>
      <c r="M46" s="10">
        <f t="shared" si="4"/>
        <v>0.27304673569976423</v>
      </c>
      <c r="P46" s="8">
        <f t="shared" si="5"/>
        <v>13.69403129318864</v>
      </c>
    </row>
    <row r="47" spans="1:16" x14ac:dyDescent="0.2">
      <c r="A47" s="8">
        <v>22.5</v>
      </c>
      <c r="B47" s="8">
        <v>45</v>
      </c>
      <c r="D47">
        <v>1606.4843049327001</v>
      </c>
      <c r="E47">
        <v>501.56165919283001</v>
      </c>
      <c r="F47">
        <v>148.6809470124</v>
      </c>
      <c r="G47">
        <v>122.79988726043</v>
      </c>
      <c r="I47" s="9">
        <f t="shared" si="1"/>
        <v>378.76177193239999</v>
      </c>
      <c r="J47" s="9">
        <f t="shared" si="2"/>
        <v>1457.8033579203002</v>
      </c>
      <c r="K47" s="9">
        <f t="shared" si="3"/>
        <v>378.76177193239999</v>
      </c>
      <c r="L47" s="10">
        <f t="shared" si="0"/>
        <v>0.25981677835667832</v>
      </c>
      <c r="M47" s="10">
        <f t="shared" si="4"/>
        <v>0.26932943635551815</v>
      </c>
      <c r="P47" s="8">
        <f t="shared" si="5"/>
        <v>12.146183644002374</v>
      </c>
    </row>
    <row r="48" spans="1:16" x14ac:dyDescent="0.2">
      <c r="A48" s="8">
        <v>23</v>
      </c>
      <c r="B48" s="8">
        <v>46</v>
      </c>
      <c r="D48">
        <v>1638.0196188340999</v>
      </c>
      <c r="E48">
        <v>505.81614349775998</v>
      </c>
      <c r="F48">
        <v>148.23449830890999</v>
      </c>
      <c r="G48">
        <v>123.14430665163999</v>
      </c>
      <c r="I48" s="9">
        <f t="shared" si="1"/>
        <v>382.67183684611996</v>
      </c>
      <c r="J48" s="9">
        <f t="shared" si="2"/>
        <v>1489.78512052519</v>
      </c>
      <c r="K48" s="9">
        <f t="shared" si="3"/>
        <v>382.67183684611996</v>
      </c>
      <c r="L48" s="10">
        <f t="shared" si="0"/>
        <v>0.25686377959743462</v>
      </c>
      <c r="M48" s="10">
        <f t="shared" si="4"/>
        <v>0.26658782999624864</v>
      </c>
      <c r="P48" s="8">
        <f t="shared" si="5"/>
        <v>11.00460515779357</v>
      </c>
    </row>
    <row r="49" spans="1:25" x14ac:dyDescent="0.2">
      <c r="A49" s="8">
        <v>23.5</v>
      </c>
      <c r="B49" s="8">
        <v>47</v>
      </c>
      <c r="D49">
        <v>1636.6557746479</v>
      </c>
      <c r="E49">
        <v>503.31830985916002</v>
      </c>
      <c r="F49">
        <v>148.70349492672</v>
      </c>
      <c r="G49">
        <v>123.16459977452</v>
      </c>
      <c r="I49" s="9">
        <f t="shared" si="1"/>
        <v>380.15371008464001</v>
      </c>
      <c r="J49" s="9">
        <f t="shared" si="2"/>
        <v>1487.95227972118</v>
      </c>
      <c r="K49" s="9">
        <f t="shared" si="3"/>
        <v>380.15371008464001</v>
      </c>
      <c r="L49" s="10">
        <f t="shared" si="0"/>
        <v>0.25548783738943237</v>
      </c>
      <c r="M49" s="10">
        <f t="shared" si="4"/>
        <v>0.26542328018822064</v>
      </c>
      <c r="P49" s="8">
        <f t="shared" si="5"/>
        <v>10.519697832397092</v>
      </c>
    </row>
    <row r="50" spans="1:25" x14ac:dyDescent="0.2">
      <c r="A50" s="8">
        <v>24</v>
      </c>
      <c r="B50" s="8">
        <v>48</v>
      </c>
      <c r="D50">
        <v>1661.3459154929999</v>
      </c>
      <c r="E50">
        <v>507.32394366197002</v>
      </c>
      <c r="F50">
        <v>148.41939120631</v>
      </c>
      <c r="G50">
        <v>122.60090191657</v>
      </c>
      <c r="I50" s="9">
        <f t="shared" si="1"/>
        <v>384.7230417454</v>
      </c>
      <c r="J50" s="9">
        <f t="shared" si="2"/>
        <v>1512.92652428669</v>
      </c>
      <c r="K50" s="9">
        <f t="shared" si="3"/>
        <v>384.7230417454</v>
      </c>
      <c r="L50" s="10">
        <f t="shared" si="0"/>
        <v>0.25429063181160633</v>
      </c>
      <c r="M50" s="10">
        <f t="shared" si="4"/>
        <v>0.2644374670103688</v>
      </c>
      <c r="P50" s="8">
        <f t="shared" si="5"/>
        <v>10.109214718564274</v>
      </c>
    </row>
    <row r="51" spans="1:25" x14ac:dyDescent="0.2">
      <c r="A51" s="8">
        <v>24.5</v>
      </c>
      <c r="B51" s="8">
        <v>49</v>
      </c>
      <c r="D51">
        <v>1649.8095774648</v>
      </c>
      <c r="E51">
        <v>502.67943661971998</v>
      </c>
      <c r="F51">
        <v>148.86133032695</v>
      </c>
      <c r="G51">
        <v>123.30214205186</v>
      </c>
      <c r="I51" s="9">
        <f t="shared" si="1"/>
        <v>379.37729456785996</v>
      </c>
      <c r="J51" s="9">
        <f t="shared" si="2"/>
        <v>1500.9482471378501</v>
      </c>
      <c r="K51" s="9">
        <f t="shared" si="3"/>
        <v>379.37729456785996</v>
      </c>
      <c r="L51" s="10">
        <f t="shared" si="0"/>
        <v>0.25275841141844324</v>
      </c>
      <c r="M51" s="10">
        <f t="shared" si="4"/>
        <v>0.26311663901717991</v>
      </c>
      <c r="P51" s="8">
        <f t="shared" si="5"/>
        <v>9.5592346618326651</v>
      </c>
    </row>
    <row r="52" spans="1:25" x14ac:dyDescent="0.2">
      <c r="A52" s="8">
        <v>25</v>
      </c>
      <c r="B52" s="8">
        <v>50</v>
      </c>
      <c r="D52">
        <v>1516.1098591549001</v>
      </c>
      <c r="E52">
        <v>472.71830985916</v>
      </c>
      <c r="F52">
        <v>148.61273957159</v>
      </c>
      <c r="G52">
        <v>123.20011273957</v>
      </c>
      <c r="I52" s="9">
        <f t="shared" si="1"/>
        <v>349.51819711959001</v>
      </c>
      <c r="J52" s="9">
        <f t="shared" si="2"/>
        <v>1367.49711958331</v>
      </c>
      <c r="K52" s="9">
        <f t="shared" si="3"/>
        <v>349.51819711959001</v>
      </c>
      <c r="L52" s="10">
        <f t="shared" si="0"/>
        <v>0.25558971358279109</v>
      </c>
      <c r="M52" s="10">
        <f t="shared" si="4"/>
        <v>0.26615933358150201</v>
      </c>
      <c r="P52" s="8">
        <f t="shared" si="5"/>
        <v>10.826183377132581</v>
      </c>
    </row>
    <row r="53" spans="1:25" x14ac:dyDescent="0.2">
      <c r="A53" s="8">
        <v>25.5</v>
      </c>
      <c r="B53" s="8">
        <v>51</v>
      </c>
      <c r="D53">
        <v>1606.0923423423001</v>
      </c>
      <c r="E53">
        <v>486.87668918919002</v>
      </c>
      <c r="F53">
        <v>148.47519729424999</v>
      </c>
      <c r="G53">
        <v>123.21758737317001</v>
      </c>
      <c r="I53" s="9">
        <f t="shared" si="1"/>
        <v>363.65910181601998</v>
      </c>
      <c r="J53" s="9">
        <f t="shared" si="2"/>
        <v>1457.6171450480501</v>
      </c>
      <c r="K53" s="9">
        <f t="shared" si="3"/>
        <v>363.65910181601998</v>
      </c>
      <c r="L53" s="10">
        <f t="shared" si="0"/>
        <v>0.24948876531226039</v>
      </c>
      <c r="M53" s="10">
        <f t="shared" si="4"/>
        <v>0.2602697777109455</v>
      </c>
      <c r="P53" s="8">
        <f t="shared" si="5"/>
        <v>8.3738290293174913</v>
      </c>
      <c r="S53" s="11"/>
      <c r="U53" s="12"/>
    </row>
    <row r="54" spans="1:25" x14ac:dyDescent="0.2">
      <c r="A54" s="8">
        <v>26</v>
      </c>
      <c r="B54" s="8">
        <v>52</v>
      </c>
      <c r="D54">
        <v>1628.6148648649</v>
      </c>
      <c r="E54">
        <v>493.49324324323999</v>
      </c>
      <c r="F54">
        <v>148.68432919955001</v>
      </c>
      <c r="G54">
        <v>123.08680947012</v>
      </c>
      <c r="I54" s="9">
        <f t="shared" si="1"/>
        <v>370.40643377312</v>
      </c>
      <c r="J54" s="9">
        <f t="shared" si="2"/>
        <v>1479.9305356653499</v>
      </c>
      <c r="K54" s="9">
        <f t="shared" si="3"/>
        <v>370.40643377312</v>
      </c>
      <c r="L54" s="10">
        <f t="shared" si="0"/>
        <v>0.2502863646952132</v>
      </c>
      <c r="M54" s="10">
        <f t="shared" si="4"/>
        <v>0.26127876949387252</v>
      </c>
      <c r="P54" s="8">
        <f t="shared" si="5"/>
        <v>8.7939634910926134</v>
      </c>
      <c r="S54" s="11"/>
    </row>
    <row r="55" spans="1:25" x14ac:dyDescent="0.2">
      <c r="A55" s="8">
        <v>26.5</v>
      </c>
      <c r="B55" s="8">
        <v>53</v>
      </c>
      <c r="D55">
        <v>1589.1435810810999</v>
      </c>
      <c r="E55">
        <v>477.75225225225</v>
      </c>
      <c r="F55">
        <v>148.91093573844</v>
      </c>
      <c r="G55">
        <v>122.9892897407</v>
      </c>
      <c r="I55" s="9">
        <f t="shared" si="1"/>
        <v>354.76296251154997</v>
      </c>
      <c r="J55" s="9">
        <f t="shared" si="2"/>
        <v>1440.2326453426599</v>
      </c>
      <c r="K55" s="9">
        <f t="shared" si="3"/>
        <v>354.76296251154997</v>
      </c>
      <c r="L55" s="10">
        <f t="shared" si="0"/>
        <v>0.24632337258758971</v>
      </c>
      <c r="M55" s="10">
        <f t="shared" si="4"/>
        <v>0.25752716978622325</v>
      </c>
      <c r="P55" s="8">
        <f t="shared" si="5"/>
        <v>7.2318335008992847</v>
      </c>
      <c r="S55" s="11"/>
    </row>
    <row r="56" spans="1:25" x14ac:dyDescent="0.2">
      <c r="A56" s="8">
        <v>27</v>
      </c>
      <c r="B56" s="8">
        <v>54</v>
      </c>
      <c r="D56">
        <v>1534.8907042254</v>
      </c>
      <c r="E56">
        <v>463.82422535210998</v>
      </c>
      <c r="F56">
        <v>149.11555806088001</v>
      </c>
      <c r="G56">
        <v>123.17643742954</v>
      </c>
      <c r="I56" s="9">
        <f t="shared" si="1"/>
        <v>340.64778792256999</v>
      </c>
      <c r="J56" s="9">
        <f t="shared" si="2"/>
        <v>1385.77514616452</v>
      </c>
      <c r="K56" s="9">
        <f t="shared" si="3"/>
        <v>340.64778792256999</v>
      </c>
      <c r="L56" s="10">
        <f t="shared" si="0"/>
        <v>0.24581750427939056</v>
      </c>
      <c r="M56" s="10">
        <f t="shared" si="4"/>
        <v>0.25723269387799835</v>
      </c>
      <c r="P56" s="8">
        <f t="shared" si="5"/>
        <v>7.1092165685305133</v>
      </c>
      <c r="S56" s="11"/>
    </row>
    <row r="57" spans="1:25" x14ac:dyDescent="0.2">
      <c r="A57" s="8">
        <v>27.5</v>
      </c>
      <c r="B57" s="8">
        <v>55</v>
      </c>
      <c r="D57">
        <v>1527.7045582441999</v>
      </c>
      <c r="E57">
        <v>459.10129431626001</v>
      </c>
      <c r="F57">
        <v>149.23675310034</v>
      </c>
      <c r="G57">
        <v>123.66347237881</v>
      </c>
      <c r="I57" s="9">
        <f t="shared" si="1"/>
        <v>335.43782193745</v>
      </c>
      <c r="J57" s="9">
        <f t="shared" si="2"/>
        <v>1378.46780514386</v>
      </c>
      <c r="K57" s="9">
        <f t="shared" si="3"/>
        <v>335.43782193745</v>
      </c>
      <c r="L57" s="10">
        <f t="shared" si="0"/>
        <v>0.24334106366919681</v>
      </c>
      <c r="M57" s="10">
        <f t="shared" si="4"/>
        <v>0.2549676456677788</v>
      </c>
      <c r="P57" s="8">
        <f t="shared" si="5"/>
        <v>6.1660723063099647</v>
      </c>
      <c r="S57" s="11"/>
    </row>
    <row r="58" spans="1:25" x14ac:dyDescent="0.2">
      <c r="A58" s="8">
        <v>28</v>
      </c>
      <c r="B58" s="8">
        <v>56</v>
      </c>
      <c r="D58">
        <v>1480.9394279305</v>
      </c>
      <c r="E58">
        <v>444.11890072911001</v>
      </c>
      <c r="F58">
        <v>149.10202931229</v>
      </c>
      <c r="G58">
        <v>123.20124013529001</v>
      </c>
      <c r="I58" s="9">
        <f t="shared" si="1"/>
        <v>320.91766059382002</v>
      </c>
      <c r="J58" s="9">
        <f t="shared" si="2"/>
        <v>1331.83739861821</v>
      </c>
      <c r="K58" s="9">
        <f t="shared" si="3"/>
        <v>320.91766059382002</v>
      </c>
      <c r="L58" s="10">
        <f t="shared" si="0"/>
        <v>0.24095858918421587</v>
      </c>
      <c r="M58" s="10">
        <f t="shared" si="4"/>
        <v>0.25279656358277208</v>
      </c>
      <c r="P58" s="8">
        <f t="shared" si="5"/>
        <v>5.2620546337300835</v>
      </c>
      <c r="S58" s="11"/>
    </row>
    <row r="59" spans="1:25" x14ac:dyDescent="0.2">
      <c r="A59" s="8">
        <v>28.5</v>
      </c>
      <c r="B59" s="8">
        <v>57</v>
      </c>
      <c r="D59">
        <v>1570.1127313516999</v>
      </c>
      <c r="E59">
        <v>462.43522153674002</v>
      </c>
      <c r="F59">
        <v>149.12063134159999</v>
      </c>
      <c r="G59">
        <v>123.49887260428</v>
      </c>
      <c r="I59" s="9">
        <f t="shared" si="1"/>
        <v>338.93634893246002</v>
      </c>
      <c r="J59" s="9">
        <f t="shared" si="2"/>
        <v>1420.9921000100999</v>
      </c>
      <c r="K59" s="9">
        <f t="shared" si="3"/>
        <v>338.93634893246002</v>
      </c>
      <c r="L59" s="10">
        <f t="shared" si="0"/>
        <v>0.23852092416984655</v>
      </c>
      <c r="M59" s="10">
        <f t="shared" si="4"/>
        <v>0.25057029096837696</v>
      </c>
      <c r="P59" s="8">
        <f t="shared" si="5"/>
        <v>4.3350561562001211</v>
      </c>
      <c r="R59" s="1"/>
      <c r="S59" s="11"/>
    </row>
    <row r="60" spans="1:25" x14ac:dyDescent="0.2">
      <c r="A60" s="8">
        <v>29</v>
      </c>
      <c r="B60" s="8">
        <v>58</v>
      </c>
      <c r="D60">
        <v>1498.1084745763001</v>
      </c>
      <c r="E60">
        <v>448.74745762712001</v>
      </c>
      <c r="F60">
        <v>149.33934611049</v>
      </c>
      <c r="G60">
        <v>123.67474633595999</v>
      </c>
      <c r="I60" s="9">
        <f t="shared" si="1"/>
        <v>325.07271129116003</v>
      </c>
      <c r="J60" s="9">
        <f t="shared" si="2"/>
        <v>1348.7691284658101</v>
      </c>
      <c r="K60" s="9">
        <f t="shared" si="3"/>
        <v>325.07271129116003</v>
      </c>
      <c r="L60" s="10">
        <f t="shared" si="0"/>
        <v>0.24101434740052347</v>
      </c>
      <c r="M60" s="10">
        <f t="shared" si="4"/>
        <v>0.25327510659902813</v>
      </c>
      <c r="P60" s="8">
        <f t="shared" si="5"/>
        <v>5.4613153373086005</v>
      </c>
      <c r="S60" s="11"/>
    </row>
    <row r="61" spans="1:25" x14ac:dyDescent="0.2">
      <c r="A61" s="8">
        <v>29.5</v>
      </c>
      <c r="B61" s="8">
        <v>59</v>
      </c>
      <c r="C61" s="2"/>
      <c r="D61">
        <v>1457.1133032695</v>
      </c>
      <c r="E61">
        <v>438.28635851183998</v>
      </c>
      <c r="F61">
        <v>149.69842164600001</v>
      </c>
      <c r="G61">
        <v>123.59808342728</v>
      </c>
      <c r="I61" s="9">
        <f t="shared" si="1"/>
        <v>314.68827508455996</v>
      </c>
      <c r="J61" s="9">
        <f t="shared" si="2"/>
        <v>1307.4148816234999</v>
      </c>
      <c r="K61" s="9">
        <f t="shared" si="3"/>
        <v>314.68827508455996</v>
      </c>
      <c r="L61" s="10">
        <f t="shared" si="0"/>
        <v>0.24069503835981398</v>
      </c>
      <c r="M61" s="10">
        <f t="shared" si="4"/>
        <v>0.25316718995829285</v>
      </c>
      <c r="P61" s="8">
        <f t="shared" si="5"/>
        <v>5.4163798873484721</v>
      </c>
      <c r="S61" s="11"/>
    </row>
    <row r="62" spans="1:25" x14ac:dyDescent="0.2">
      <c r="A62" s="8">
        <v>30</v>
      </c>
      <c r="B62" s="8">
        <v>60</v>
      </c>
      <c r="D62">
        <v>1479.8224351747999</v>
      </c>
      <c r="E62">
        <v>441.69334836527997</v>
      </c>
      <c r="F62">
        <v>149.13866967306001</v>
      </c>
      <c r="G62">
        <v>123.22209695603</v>
      </c>
      <c r="I62" s="9">
        <f t="shared" si="1"/>
        <v>318.47125140924999</v>
      </c>
      <c r="J62" s="9">
        <f t="shared" si="2"/>
        <v>1330.6837655017398</v>
      </c>
      <c r="K62" s="9">
        <f t="shared" si="3"/>
        <v>318.47125140924999</v>
      </c>
      <c r="L62" s="10">
        <f t="shared" si="0"/>
        <v>0.23932902742611359</v>
      </c>
      <c r="M62" s="10">
        <f t="shared" si="4"/>
        <v>0.25201257142456668</v>
      </c>
      <c r="P62" s="8">
        <f t="shared" si="5"/>
        <v>4.9356078489326611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1488.1922209695999</v>
      </c>
      <c r="E63">
        <v>442.36809470124001</v>
      </c>
      <c r="F63">
        <v>149.28354002255</v>
      </c>
      <c r="G63">
        <v>123.16910935737999</v>
      </c>
      <c r="I63" s="9">
        <f t="shared" si="1"/>
        <v>319.19898534386004</v>
      </c>
      <c r="J63" s="9">
        <f t="shared" si="2"/>
        <v>1338.90868094705</v>
      </c>
      <c r="K63" s="9">
        <f t="shared" si="3"/>
        <v>319.19898534386004</v>
      </c>
      <c r="L63" s="10">
        <f t="shared" si="0"/>
        <v>0.23840235699874698</v>
      </c>
      <c r="M63" s="10">
        <f t="shared" si="4"/>
        <v>0.25129729339717427</v>
      </c>
      <c r="P63" s="8">
        <f t="shared" si="5"/>
        <v>4.6377729664856382</v>
      </c>
    </row>
    <row r="64" spans="1:25" x14ac:dyDescent="0.2">
      <c r="A64" s="8">
        <v>31</v>
      </c>
      <c r="B64" s="8">
        <v>62</v>
      </c>
      <c r="D64">
        <v>1554.0738444194001</v>
      </c>
      <c r="E64">
        <v>455.00225479143</v>
      </c>
      <c r="F64">
        <v>149.81792559188</v>
      </c>
      <c r="G64">
        <v>123.41206313415999</v>
      </c>
      <c r="I64" s="9">
        <f t="shared" si="1"/>
        <v>331.59019165727</v>
      </c>
      <c r="J64" s="9">
        <f t="shared" si="2"/>
        <v>1404.25591882752</v>
      </c>
      <c r="K64" s="9">
        <f t="shared" si="3"/>
        <v>331.59019165727</v>
      </c>
      <c r="L64" s="10">
        <f t="shared" si="0"/>
        <v>0.23613230837163243</v>
      </c>
      <c r="M64" s="10">
        <f t="shared" si="4"/>
        <v>0.24923863717003397</v>
      </c>
      <c r="P64" s="8">
        <f t="shared" si="5"/>
        <v>3.7805683384553279</v>
      </c>
      <c r="U64" s="8">
        <v>30.5</v>
      </c>
      <c r="V64" s="10">
        <f>L62</f>
        <v>0.23932902742611359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1481.4985899605001</v>
      </c>
      <c r="E65">
        <v>439.81105470953003</v>
      </c>
      <c r="F65">
        <v>149.32919954904</v>
      </c>
      <c r="G65">
        <v>123.43179255919</v>
      </c>
      <c r="I65" s="9">
        <f t="shared" si="1"/>
        <v>316.37926215034003</v>
      </c>
      <c r="J65" s="9">
        <f t="shared" si="2"/>
        <v>1332.1693904114602</v>
      </c>
      <c r="K65" s="9">
        <f t="shared" si="3"/>
        <v>316.37926215034003</v>
      </c>
      <c r="L65" s="10">
        <f t="shared" si="0"/>
        <v>0.23749176675844624</v>
      </c>
      <c r="M65" s="10">
        <f t="shared" si="4"/>
        <v>0.25080948795682201</v>
      </c>
      <c r="P65" s="8">
        <f t="shared" si="5"/>
        <v>4.4346554787110142</v>
      </c>
      <c r="U65" s="8">
        <v>31</v>
      </c>
      <c r="V65" s="10">
        <f t="shared" ref="V65:V83" si="6">L63</f>
        <v>0.23840235699874698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1437.3705583756</v>
      </c>
      <c r="E66">
        <v>428.90524534687</v>
      </c>
      <c r="F66">
        <v>149.11273957159</v>
      </c>
      <c r="G66">
        <v>123.65163472379</v>
      </c>
      <c r="I66" s="9">
        <f t="shared" si="1"/>
        <v>305.25361062308002</v>
      </c>
      <c r="J66" s="9">
        <f t="shared" si="2"/>
        <v>1288.25781880401</v>
      </c>
      <c r="K66" s="9">
        <f t="shared" si="3"/>
        <v>305.25361062308002</v>
      </c>
      <c r="L66" s="10">
        <f t="shared" ref="L66:L129" si="7">K66/J66</f>
        <v>0.23695071449787181</v>
      </c>
      <c r="M66" s="10">
        <f t="shared" si="4"/>
        <v>0.25047982809622177</v>
      </c>
      <c r="P66" s="8">
        <f t="shared" si="5"/>
        <v>4.2973882873961751</v>
      </c>
      <c r="U66" s="8">
        <v>31.5</v>
      </c>
      <c r="V66" s="10">
        <f t="shared" si="6"/>
        <v>0.23613230837163243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1493.581552306</v>
      </c>
      <c r="E67">
        <v>437.96569178853002</v>
      </c>
      <c r="F67">
        <v>149.86753100338001</v>
      </c>
      <c r="G67">
        <v>123.51409244644999</v>
      </c>
      <c r="I67" s="9">
        <f t="shared" ref="I67:I130" si="8">E67-G67</f>
        <v>314.45159934208004</v>
      </c>
      <c r="J67" s="9">
        <f t="shared" ref="J67:J130" si="9">D67-F67</f>
        <v>1343.71402130262</v>
      </c>
      <c r="K67" s="9">
        <f t="shared" ref="K67:K130" si="10">I67*1</f>
        <v>314.45159934208004</v>
      </c>
      <c r="L67" s="10">
        <f t="shared" si="7"/>
        <v>0.23401675829596921</v>
      </c>
      <c r="M67" s="10">
        <f t="shared" ref="M67:M130" si="11">L67+ABS($N$2)*A67</f>
        <v>0.2477572642942934</v>
      </c>
      <c r="P67" s="8">
        <f t="shared" ref="P67:P130" si="12">(M67-$O$2)/$O$2*100</f>
        <v>3.1637389386835482</v>
      </c>
      <c r="U67" s="8">
        <v>32</v>
      </c>
      <c r="V67" s="10">
        <f t="shared" si="6"/>
        <v>0.23749176675844624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1517.5293122886001</v>
      </c>
      <c r="E68">
        <v>442.62626832017997</v>
      </c>
      <c r="F68">
        <v>148.85005636979</v>
      </c>
      <c r="G68">
        <v>123.43122886133</v>
      </c>
      <c r="I68" s="9">
        <f t="shared" si="8"/>
        <v>319.19503945884998</v>
      </c>
      <c r="J68" s="9">
        <f t="shared" si="9"/>
        <v>1368.67925591881</v>
      </c>
      <c r="K68" s="9">
        <f t="shared" si="10"/>
        <v>319.19503945884998</v>
      </c>
      <c r="L68" s="10">
        <f t="shared" si="7"/>
        <v>0.23321390901374531</v>
      </c>
      <c r="M68" s="10">
        <f t="shared" si="11"/>
        <v>0.24716580741204369</v>
      </c>
      <c r="P68" s="8">
        <f t="shared" si="12"/>
        <v>2.9174619886708175</v>
      </c>
      <c r="U68" s="8">
        <v>32.5</v>
      </c>
      <c r="V68" s="10">
        <f t="shared" si="6"/>
        <v>0.23695071449787181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1561.7376126126001</v>
      </c>
      <c r="E69">
        <v>448.24436936937002</v>
      </c>
      <c r="F69">
        <v>149.30157835399999</v>
      </c>
      <c r="G69">
        <v>123.66629086810001</v>
      </c>
      <c r="I69" s="9">
        <f t="shared" si="8"/>
        <v>324.57807850127</v>
      </c>
      <c r="J69" s="9">
        <f t="shared" si="9"/>
        <v>1412.4360342586001</v>
      </c>
      <c r="K69" s="9">
        <f t="shared" si="10"/>
        <v>324.57807850127</v>
      </c>
      <c r="L69" s="10">
        <f t="shared" si="7"/>
        <v>0.22980019670175283</v>
      </c>
      <c r="M69" s="10">
        <f t="shared" si="11"/>
        <v>0.24396348750002544</v>
      </c>
      <c r="P69" s="8">
        <f t="shared" si="12"/>
        <v>1.584046815789415</v>
      </c>
      <c r="U69" s="8">
        <v>33</v>
      </c>
      <c r="V69" s="10">
        <f t="shared" si="6"/>
        <v>0.23401675829596921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1626.7014590348001</v>
      </c>
      <c r="E70">
        <v>458.13075196409</v>
      </c>
      <c r="F70">
        <v>149.6702367531</v>
      </c>
      <c r="G70">
        <v>123.35963923337</v>
      </c>
      <c r="I70" s="9">
        <f t="shared" si="8"/>
        <v>334.77111273072001</v>
      </c>
      <c r="J70" s="9">
        <f t="shared" si="9"/>
        <v>1477.0312222817001</v>
      </c>
      <c r="K70" s="9">
        <f t="shared" si="10"/>
        <v>334.77111273072001</v>
      </c>
      <c r="L70" s="10">
        <f t="shared" si="7"/>
        <v>0.22665134472483905</v>
      </c>
      <c r="M70" s="10">
        <f t="shared" si="11"/>
        <v>0.24102602792308589</v>
      </c>
      <c r="P70" s="8">
        <f t="shared" si="12"/>
        <v>0.36091693581798834</v>
      </c>
      <c r="U70" s="8">
        <v>33.5</v>
      </c>
      <c r="V70" s="10">
        <f t="shared" si="6"/>
        <v>0.23321390901374531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1630.9741863075001</v>
      </c>
      <c r="E71">
        <v>459.56397306397002</v>
      </c>
      <c r="F71">
        <v>149.44870349492999</v>
      </c>
      <c r="G71">
        <v>123.38726042841</v>
      </c>
      <c r="I71" s="9">
        <f t="shared" si="8"/>
        <v>336.17671263556002</v>
      </c>
      <c r="J71" s="9">
        <f t="shared" si="9"/>
        <v>1481.5254828125701</v>
      </c>
      <c r="K71" s="9">
        <f t="shared" si="10"/>
        <v>336.17671263556002</v>
      </c>
      <c r="L71" s="10">
        <f t="shared" si="7"/>
        <v>0.22691254152264231</v>
      </c>
      <c r="M71" s="10">
        <f t="shared" si="11"/>
        <v>0.24149861712086337</v>
      </c>
      <c r="P71" s="8">
        <f t="shared" si="12"/>
        <v>0.55769852671756637</v>
      </c>
      <c r="U71" s="8">
        <v>34</v>
      </c>
      <c r="V71" s="10">
        <f t="shared" si="6"/>
        <v>0.22980019670175283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1538.8636363636001</v>
      </c>
      <c r="E72">
        <v>433.40291806958999</v>
      </c>
      <c r="F72">
        <v>148.91657271701999</v>
      </c>
      <c r="G72">
        <v>123.33314543405</v>
      </c>
      <c r="I72" s="9">
        <f t="shared" si="8"/>
        <v>310.06977263554001</v>
      </c>
      <c r="J72" s="9">
        <f t="shared" si="9"/>
        <v>1389.9470636465801</v>
      </c>
      <c r="K72" s="9">
        <f t="shared" si="10"/>
        <v>310.06977263554001</v>
      </c>
      <c r="L72" s="10">
        <f t="shared" si="7"/>
        <v>0.22308027459841523</v>
      </c>
      <c r="M72" s="10">
        <f t="shared" si="11"/>
        <v>0.23787774259661049</v>
      </c>
      <c r="P72" s="8">
        <f t="shared" si="12"/>
        <v>-0.94999875599883266</v>
      </c>
      <c r="U72" s="8">
        <v>34.5</v>
      </c>
      <c r="V72" s="10">
        <f t="shared" si="6"/>
        <v>0.22665134472483905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1653.8142937534999</v>
      </c>
      <c r="E73">
        <v>459.45357343837998</v>
      </c>
      <c r="F73">
        <v>149.30890642616001</v>
      </c>
      <c r="G73">
        <v>123.43066516347</v>
      </c>
      <c r="I73" s="9">
        <f t="shared" si="8"/>
        <v>336.02290827490998</v>
      </c>
      <c r="J73" s="9">
        <f t="shared" si="9"/>
        <v>1504.5053873273398</v>
      </c>
      <c r="K73" s="9">
        <f t="shared" si="10"/>
        <v>336.02290827490998</v>
      </c>
      <c r="L73" s="10">
        <f t="shared" si="7"/>
        <v>0.22334443672005308</v>
      </c>
      <c r="M73" s="10">
        <f t="shared" si="11"/>
        <v>0.23835329711822256</v>
      </c>
      <c r="P73" s="8">
        <f t="shared" si="12"/>
        <v>-0.75198243281073074</v>
      </c>
      <c r="U73" s="8">
        <v>35</v>
      </c>
      <c r="V73" s="10">
        <f t="shared" si="6"/>
        <v>0.22691254152264231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1666.3550928530999</v>
      </c>
      <c r="E74">
        <v>459.9617332583</v>
      </c>
      <c r="F74">
        <v>149.60822998872999</v>
      </c>
      <c r="G74">
        <v>123.42615558061</v>
      </c>
      <c r="I74" s="9">
        <f t="shared" si="8"/>
        <v>336.53557767769001</v>
      </c>
      <c r="J74" s="9">
        <f t="shared" si="9"/>
        <v>1516.7468628643699</v>
      </c>
      <c r="K74" s="9">
        <f t="shared" si="10"/>
        <v>336.53557767769001</v>
      </c>
      <c r="L74" s="10">
        <f t="shared" si="7"/>
        <v>0.22187985742205132</v>
      </c>
      <c r="M74" s="10">
        <f t="shared" si="11"/>
        <v>0.23710011022019503</v>
      </c>
      <c r="P74" s="8">
        <f t="shared" si="12"/>
        <v>-1.2737973889039016</v>
      </c>
      <c r="U74" s="8">
        <v>35.5</v>
      </c>
      <c r="V74" s="10">
        <f t="shared" si="6"/>
        <v>0.22308027459841523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1682.243106359</v>
      </c>
      <c r="E75">
        <v>460.73832301632001</v>
      </c>
      <c r="F75">
        <v>149.50281848929001</v>
      </c>
      <c r="G75">
        <v>123.61104847802</v>
      </c>
      <c r="I75" s="9">
        <f t="shared" si="8"/>
        <v>337.12727453830001</v>
      </c>
      <c r="J75" s="9">
        <f t="shared" si="9"/>
        <v>1532.7402878697098</v>
      </c>
      <c r="K75" s="9">
        <f t="shared" si="10"/>
        <v>337.12727453830001</v>
      </c>
      <c r="L75" s="10">
        <f t="shared" si="7"/>
        <v>0.21995068388713054</v>
      </c>
      <c r="M75" s="10">
        <f t="shared" si="11"/>
        <v>0.23538232908524848</v>
      </c>
      <c r="P75" s="8">
        <f t="shared" si="12"/>
        <v>-1.9890649111870158</v>
      </c>
      <c r="U75" s="8">
        <v>36</v>
      </c>
      <c r="V75" s="10">
        <f t="shared" si="6"/>
        <v>0.22334443672005308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1655.1108610017</v>
      </c>
      <c r="E76">
        <v>450.53517163759</v>
      </c>
      <c r="F76">
        <v>149.16629086809999</v>
      </c>
      <c r="G76">
        <v>123.35851183766</v>
      </c>
      <c r="I76" s="9">
        <f t="shared" si="8"/>
        <v>327.17665979993001</v>
      </c>
      <c r="J76" s="9">
        <f t="shared" si="9"/>
        <v>1505.9445701335999</v>
      </c>
      <c r="K76" s="9">
        <f t="shared" si="10"/>
        <v>327.17665979993001</v>
      </c>
      <c r="L76" s="10">
        <f t="shared" si="7"/>
        <v>0.21725677444482869</v>
      </c>
      <c r="M76" s="10">
        <f t="shared" si="11"/>
        <v>0.23289981204292082</v>
      </c>
      <c r="P76" s="8">
        <f t="shared" si="12"/>
        <v>-3.0227611008628652</v>
      </c>
      <c r="U76" s="8">
        <v>36.5</v>
      </c>
      <c r="V76" s="10">
        <f t="shared" si="6"/>
        <v>0.22187985742205132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1716.2172200338</v>
      </c>
      <c r="E77">
        <v>462.87844682048001</v>
      </c>
      <c r="F77">
        <v>149.86302142052</v>
      </c>
      <c r="G77">
        <v>123.66629086810001</v>
      </c>
      <c r="I77" s="9">
        <f t="shared" si="8"/>
        <v>339.21215595237999</v>
      </c>
      <c r="J77" s="9">
        <f t="shared" si="9"/>
        <v>1566.35419861328</v>
      </c>
      <c r="K77" s="9">
        <f t="shared" si="10"/>
        <v>339.21215595237999</v>
      </c>
      <c r="L77" s="10">
        <f t="shared" si="7"/>
        <v>0.21656159012609683</v>
      </c>
      <c r="M77" s="10">
        <f t="shared" si="11"/>
        <v>0.23241602012416318</v>
      </c>
      <c r="P77" s="8">
        <f t="shared" si="12"/>
        <v>-3.2242073968958778</v>
      </c>
      <c r="U77" s="8">
        <v>37</v>
      </c>
      <c r="V77" s="10">
        <f t="shared" si="6"/>
        <v>0.21995068388713054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1726.9080654258</v>
      </c>
      <c r="E78">
        <v>462.67512690354999</v>
      </c>
      <c r="F78">
        <v>150.03438556934</v>
      </c>
      <c r="G78">
        <v>123.57384441939</v>
      </c>
      <c r="I78" s="9">
        <f t="shared" si="8"/>
        <v>339.10128248415998</v>
      </c>
      <c r="J78" s="9">
        <f t="shared" si="9"/>
        <v>1576.8736798564601</v>
      </c>
      <c r="K78" s="9">
        <f t="shared" si="10"/>
        <v>339.10128248415998</v>
      </c>
      <c r="L78" s="10">
        <f t="shared" si="7"/>
        <v>0.215046574000162</v>
      </c>
      <c r="M78" s="10">
        <f t="shared" si="11"/>
        <v>0.23111239639820258</v>
      </c>
      <c r="P78" s="8">
        <f t="shared" si="12"/>
        <v>-3.767023762431486</v>
      </c>
      <c r="U78" s="8">
        <v>37.5</v>
      </c>
      <c r="V78" s="10">
        <f t="shared" si="6"/>
        <v>0.21725677444482869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1726.4878736605001</v>
      </c>
      <c r="E79">
        <v>460.01804850536001</v>
      </c>
      <c r="F79">
        <v>149.7480270575</v>
      </c>
      <c r="G79">
        <v>123.53382187148</v>
      </c>
      <c r="I79" s="9">
        <f t="shared" si="8"/>
        <v>336.48422663387998</v>
      </c>
      <c r="J79" s="9">
        <f t="shared" si="9"/>
        <v>1576.7398466030002</v>
      </c>
      <c r="K79" s="9">
        <f t="shared" si="10"/>
        <v>336.48422663387998</v>
      </c>
      <c r="L79" s="10">
        <f t="shared" si="7"/>
        <v>0.21340503784363468</v>
      </c>
      <c r="M79" s="10">
        <f t="shared" si="11"/>
        <v>0.22968225264164949</v>
      </c>
      <c r="P79" s="8">
        <f t="shared" si="12"/>
        <v>-4.3625218503122936</v>
      </c>
      <c r="U79" s="8">
        <v>38</v>
      </c>
      <c r="V79" s="10">
        <f t="shared" si="6"/>
        <v>0.21656159012609683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1723.5801354401999</v>
      </c>
      <c r="E80">
        <v>454.25451467268999</v>
      </c>
      <c r="F80">
        <v>149.63190529875999</v>
      </c>
      <c r="G80">
        <v>123.63359639233001</v>
      </c>
      <c r="I80" s="9">
        <f t="shared" si="8"/>
        <v>330.62091828036</v>
      </c>
      <c r="J80" s="9">
        <f t="shared" si="9"/>
        <v>1573.94823014144</v>
      </c>
      <c r="K80" s="9">
        <f t="shared" si="10"/>
        <v>330.62091828036</v>
      </c>
      <c r="L80" s="10">
        <f t="shared" si="7"/>
        <v>0.21005831827813634</v>
      </c>
      <c r="M80" s="10">
        <f t="shared" si="11"/>
        <v>0.22654692547612537</v>
      </c>
      <c r="P80" s="8">
        <f t="shared" si="12"/>
        <v>-5.6680418886966635</v>
      </c>
      <c r="U80" s="8">
        <v>38.5</v>
      </c>
      <c r="V80" s="10">
        <f t="shared" si="6"/>
        <v>0.215046574000162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1595.1439051919001</v>
      </c>
      <c r="E81">
        <v>427.01918735892002</v>
      </c>
      <c r="F81">
        <v>149.79086809469999</v>
      </c>
      <c r="G81">
        <v>123.68996617813001</v>
      </c>
      <c r="I81" s="9">
        <f t="shared" si="8"/>
        <v>303.32922118079</v>
      </c>
      <c r="J81" s="9">
        <f t="shared" si="9"/>
        <v>1445.3530370972001</v>
      </c>
      <c r="K81" s="9">
        <f t="shared" si="10"/>
        <v>303.32922118079</v>
      </c>
      <c r="L81" s="10">
        <f t="shared" si="7"/>
        <v>0.20986514256059302</v>
      </c>
      <c r="M81" s="10">
        <f t="shared" si="11"/>
        <v>0.22656514215855625</v>
      </c>
      <c r="P81" s="8">
        <f t="shared" si="12"/>
        <v>-5.660456637559907</v>
      </c>
      <c r="U81" s="8">
        <v>39</v>
      </c>
      <c r="V81" s="10">
        <f t="shared" si="6"/>
        <v>0.21340503784363468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1577.5</v>
      </c>
      <c r="E82">
        <v>421.15688487584998</v>
      </c>
      <c r="F82">
        <v>150.20349492672</v>
      </c>
      <c r="G82">
        <v>123.78861330327</v>
      </c>
      <c r="H82" s="13"/>
      <c r="I82" s="14">
        <f t="shared" si="8"/>
        <v>297.36827157258</v>
      </c>
      <c r="J82" s="14">
        <f t="shared" si="9"/>
        <v>1427.2965050732801</v>
      </c>
      <c r="K82" s="9">
        <f t="shared" si="10"/>
        <v>297.36827157258</v>
      </c>
      <c r="L82" s="15">
        <f t="shared" si="7"/>
        <v>0.20834372571893361</v>
      </c>
      <c r="M82" s="15">
        <f t="shared" si="11"/>
        <v>0.22525511771687107</v>
      </c>
      <c r="N82" s="13"/>
      <c r="O82" s="13"/>
      <c r="P82" s="13">
        <f t="shared" si="12"/>
        <v>-6.205938199484053</v>
      </c>
      <c r="U82" s="8">
        <v>39.5</v>
      </c>
      <c r="V82" s="10">
        <f t="shared" si="6"/>
        <v>0.21005831827813634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1572.0671557562</v>
      </c>
      <c r="E83">
        <v>418.08126410835001</v>
      </c>
      <c r="F83">
        <v>149.94137542276999</v>
      </c>
      <c r="G83">
        <v>123.65558060879</v>
      </c>
      <c r="I83" s="9">
        <f t="shared" si="8"/>
        <v>294.42568349956002</v>
      </c>
      <c r="J83" s="9">
        <f t="shared" si="9"/>
        <v>1422.1257803334299</v>
      </c>
      <c r="K83" s="9">
        <f t="shared" si="10"/>
        <v>294.42568349956002</v>
      </c>
      <c r="L83" s="10">
        <f t="shared" si="7"/>
        <v>0.20703209770272873</v>
      </c>
      <c r="M83" s="10">
        <f t="shared" si="11"/>
        <v>0.22415488210064041</v>
      </c>
      <c r="P83" s="8">
        <f t="shared" si="12"/>
        <v>-6.6640657147646429</v>
      </c>
      <c r="U83" s="8">
        <v>40</v>
      </c>
      <c r="V83" s="10">
        <f t="shared" si="6"/>
        <v>0.20986514256059302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1624.9678329571</v>
      </c>
      <c r="E84">
        <v>428.66478555305002</v>
      </c>
      <c r="F84">
        <v>149.71251409244999</v>
      </c>
      <c r="G84">
        <v>123.66121758737</v>
      </c>
      <c r="I84" s="9">
        <f t="shared" si="8"/>
        <v>305.00356796568002</v>
      </c>
      <c r="J84" s="9">
        <f t="shared" si="9"/>
        <v>1475.25531886465</v>
      </c>
      <c r="K84" s="9">
        <f t="shared" si="10"/>
        <v>305.00356796568002</v>
      </c>
      <c r="L84" s="10">
        <f t="shared" si="7"/>
        <v>0.20674629270302133</v>
      </c>
      <c r="M84" s="10">
        <f t="shared" si="11"/>
        <v>0.22408046950090721</v>
      </c>
      <c r="P84" s="8">
        <f t="shared" si="12"/>
        <v>-6.6950504046969073</v>
      </c>
      <c r="U84" s="8">
        <v>150.5</v>
      </c>
      <c r="V84" s="10">
        <f>L302</f>
        <v>0.17132607630216851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1637.3053047404001</v>
      </c>
      <c r="E85">
        <v>434.40970654628001</v>
      </c>
      <c r="F85">
        <v>149.52423900789</v>
      </c>
      <c r="G85">
        <v>123.72266065389</v>
      </c>
      <c r="I85" s="9">
        <f t="shared" si="8"/>
        <v>310.68704589239002</v>
      </c>
      <c r="J85" s="9">
        <f t="shared" si="9"/>
        <v>1487.7810657325101</v>
      </c>
      <c r="K85" s="9">
        <f t="shared" si="10"/>
        <v>310.68704589239002</v>
      </c>
      <c r="L85" s="10">
        <f t="shared" si="7"/>
        <v>0.20882578293831358</v>
      </c>
      <c r="M85" s="10">
        <f t="shared" si="11"/>
        <v>0.22637135213617368</v>
      </c>
      <c r="P85" s="8">
        <f t="shared" si="12"/>
        <v>-5.7411489366734845</v>
      </c>
      <c r="U85" s="8">
        <v>151</v>
      </c>
      <c r="V85" s="10">
        <f t="shared" ref="V85:V103" si="13">L303</f>
        <v>0.17173101411031275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1664.0090293454</v>
      </c>
      <c r="E86">
        <v>431.35158013543997</v>
      </c>
      <c r="F86">
        <v>149.29425028185</v>
      </c>
      <c r="G86">
        <v>123.23506200676</v>
      </c>
      <c r="I86" s="9">
        <f t="shared" si="8"/>
        <v>308.11651812867996</v>
      </c>
      <c r="J86" s="9">
        <f t="shared" si="9"/>
        <v>1514.7147790635499</v>
      </c>
      <c r="K86" s="9">
        <f t="shared" si="10"/>
        <v>308.11651812867996</v>
      </c>
      <c r="L86" s="10">
        <f t="shared" si="7"/>
        <v>0.20341553564240553</v>
      </c>
      <c r="M86" s="10">
        <f t="shared" si="11"/>
        <v>0.22117249724023985</v>
      </c>
      <c r="P86" s="8">
        <f t="shared" si="12"/>
        <v>-7.9059020501367563</v>
      </c>
      <c r="U86" s="8">
        <v>151.5</v>
      </c>
      <c r="V86" s="10">
        <f t="shared" si="13"/>
        <v>0.17797249305703722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1601.7523970671</v>
      </c>
      <c r="E87">
        <v>419.64523406655002</v>
      </c>
      <c r="F87">
        <v>149.54847801578001</v>
      </c>
      <c r="G87">
        <v>123.22266065389</v>
      </c>
      <c r="I87" s="9">
        <f t="shared" si="8"/>
        <v>296.42257341266003</v>
      </c>
      <c r="J87" s="9">
        <f t="shared" si="9"/>
        <v>1452.2039190513201</v>
      </c>
      <c r="K87" s="9">
        <f t="shared" si="10"/>
        <v>296.42257341266003</v>
      </c>
      <c r="L87" s="10">
        <f t="shared" si="7"/>
        <v>0.20411911132033284</v>
      </c>
      <c r="M87" s="10">
        <f t="shared" si="11"/>
        <v>0.22208746531814139</v>
      </c>
      <c r="P87" s="8">
        <f t="shared" si="12"/>
        <v>-7.5249181536817895</v>
      </c>
      <c r="U87" s="8">
        <v>152</v>
      </c>
      <c r="V87" s="10">
        <f t="shared" si="13"/>
        <v>0.17179083986845226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1488.0538418396</v>
      </c>
      <c r="E88">
        <v>398.52832305103999</v>
      </c>
      <c r="F88">
        <v>149.63585118377</v>
      </c>
      <c r="G88">
        <v>123.37655016911</v>
      </c>
      <c r="I88" s="9">
        <f t="shared" si="8"/>
        <v>275.15177288193001</v>
      </c>
      <c r="J88" s="9">
        <f t="shared" si="9"/>
        <v>1338.41799065583</v>
      </c>
      <c r="K88" s="9">
        <f t="shared" si="10"/>
        <v>275.15177288193001</v>
      </c>
      <c r="L88" s="10">
        <f t="shared" si="7"/>
        <v>0.20557985233529669</v>
      </c>
      <c r="M88" s="10">
        <f t="shared" si="11"/>
        <v>0.22375959873307943</v>
      </c>
      <c r="P88" s="8">
        <f t="shared" si="12"/>
        <v>-6.8286579024206473</v>
      </c>
      <c r="U88" s="8">
        <v>152.5</v>
      </c>
      <c r="V88" s="10">
        <f t="shared" si="13"/>
        <v>0.17211042201861526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1483.9826135726</v>
      </c>
      <c r="E89">
        <v>397.70723499719998</v>
      </c>
      <c r="F89">
        <v>149.32807215333</v>
      </c>
      <c r="G89">
        <v>123.48816234498</v>
      </c>
      <c r="I89" s="9">
        <f t="shared" si="8"/>
        <v>274.21907265222001</v>
      </c>
      <c r="J89" s="9">
        <f t="shared" si="9"/>
        <v>1334.6545414192701</v>
      </c>
      <c r="K89" s="9">
        <f t="shared" si="10"/>
        <v>274.21907265222001</v>
      </c>
      <c r="L89" s="10">
        <f t="shared" si="7"/>
        <v>0.20546071222341608</v>
      </c>
      <c r="M89" s="10">
        <f t="shared" si="11"/>
        <v>0.22385185102117305</v>
      </c>
      <c r="P89" s="8">
        <f t="shared" si="12"/>
        <v>-6.7902449380520951</v>
      </c>
      <c r="U89" s="8">
        <v>153</v>
      </c>
      <c r="V89" s="10">
        <f t="shared" si="13"/>
        <v>0.17395061624783062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1628.2893998878001</v>
      </c>
      <c r="E90">
        <v>429.55860908581002</v>
      </c>
      <c r="F90">
        <v>149.72829763247</v>
      </c>
      <c r="G90">
        <v>123.45208568207001</v>
      </c>
      <c r="I90" s="9">
        <f t="shared" si="8"/>
        <v>306.10652340374003</v>
      </c>
      <c r="J90" s="9">
        <f t="shared" si="9"/>
        <v>1478.5611022553301</v>
      </c>
      <c r="K90" s="9">
        <f t="shared" si="10"/>
        <v>306.10652340374003</v>
      </c>
      <c r="L90" s="10">
        <f t="shared" si="7"/>
        <v>0.2070300124471143</v>
      </c>
      <c r="M90" s="10">
        <f t="shared" si="11"/>
        <v>0.2256325436448455</v>
      </c>
      <c r="P90" s="8">
        <f t="shared" si="12"/>
        <v>-6.0487816777039498</v>
      </c>
      <c r="U90" s="8">
        <v>153.5</v>
      </c>
      <c r="V90" s="10">
        <f t="shared" si="13"/>
        <v>0.17507213834711827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1592.8105975197</v>
      </c>
      <c r="E91">
        <v>413.52423900789</v>
      </c>
      <c r="F91">
        <v>149.75873731679999</v>
      </c>
      <c r="G91">
        <v>123.17812852311</v>
      </c>
      <c r="I91" s="9">
        <f t="shared" si="8"/>
        <v>290.34611048478001</v>
      </c>
      <c r="J91" s="9">
        <f t="shared" si="9"/>
        <v>1443.0518602028999</v>
      </c>
      <c r="K91" s="9">
        <f t="shared" si="10"/>
        <v>290.34611048478001</v>
      </c>
      <c r="L91" s="10">
        <f t="shared" si="7"/>
        <v>0.2012028247161928</v>
      </c>
      <c r="M91" s="10">
        <f t="shared" si="11"/>
        <v>0.22001674831389822</v>
      </c>
      <c r="P91" s="8">
        <f t="shared" si="12"/>
        <v>-8.3871447731519133</v>
      </c>
      <c r="U91" s="8">
        <v>154</v>
      </c>
      <c r="V91" s="10">
        <f t="shared" si="13"/>
        <v>0.17407916587111225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1534.9859075536001</v>
      </c>
      <c r="E92">
        <v>401.89571589628002</v>
      </c>
      <c r="F92">
        <v>149.12908680947001</v>
      </c>
      <c r="G92">
        <v>123.53551296505</v>
      </c>
      <c r="I92" s="9">
        <f t="shared" si="8"/>
        <v>278.36020293122999</v>
      </c>
      <c r="J92" s="9">
        <f t="shared" si="9"/>
        <v>1385.8568207441301</v>
      </c>
      <c r="K92" s="9">
        <f t="shared" si="10"/>
        <v>278.36020293122999</v>
      </c>
      <c r="L92" s="10">
        <f t="shared" si="7"/>
        <v>0.20085783665715598</v>
      </c>
      <c r="M92" s="10">
        <f t="shared" si="11"/>
        <v>0.2198831526548356</v>
      </c>
      <c r="P92" s="8">
        <f t="shared" si="12"/>
        <v>-8.4427727190534583</v>
      </c>
      <c r="U92" s="8">
        <v>154.5</v>
      </c>
      <c r="V92" s="10">
        <f t="shared" si="13"/>
        <v>0.17489260425872574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1546.5800450958</v>
      </c>
      <c r="E93">
        <v>410.59695603157002</v>
      </c>
      <c r="F93">
        <v>149.53889515220001</v>
      </c>
      <c r="G93">
        <v>123.23618940247999</v>
      </c>
      <c r="I93" s="9">
        <f t="shared" si="8"/>
        <v>287.36076662908999</v>
      </c>
      <c r="J93" s="9">
        <f t="shared" si="9"/>
        <v>1397.0411499436</v>
      </c>
      <c r="K93" s="9">
        <f t="shared" si="10"/>
        <v>287.36076662908999</v>
      </c>
      <c r="L93" s="10">
        <f t="shared" si="7"/>
        <v>0.20569241402852811</v>
      </c>
      <c r="M93" s="10">
        <f t="shared" si="11"/>
        <v>0.22492912242618196</v>
      </c>
      <c r="P93" s="8">
        <f t="shared" si="12"/>
        <v>-6.3416794991778689</v>
      </c>
      <c r="U93" s="8">
        <v>155</v>
      </c>
      <c r="V93" s="10">
        <f t="shared" si="13"/>
        <v>0.17412161392274739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1540.8330513254</v>
      </c>
      <c r="E94">
        <v>401.65256627186</v>
      </c>
      <c r="F94">
        <v>149.23506200675999</v>
      </c>
      <c r="G94">
        <v>123.45772266065001</v>
      </c>
      <c r="I94" s="9">
        <f t="shared" si="8"/>
        <v>278.19484361120999</v>
      </c>
      <c r="J94" s="9">
        <f t="shared" si="9"/>
        <v>1391.59798931864</v>
      </c>
      <c r="K94" s="9">
        <f t="shared" si="10"/>
        <v>278.19484361120999</v>
      </c>
      <c r="L94" s="10">
        <f t="shared" si="7"/>
        <v>0.19991035180168729</v>
      </c>
      <c r="M94" s="10">
        <f t="shared" si="11"/>
        <v>0.21935845259931536</v>
      </c>
      <c r="P94" s="8">
        <f t="shared" si="12"/>
        <v>-8.6612527692872465</v>
      </c>
      <c r="U94" s="8">
        <v>155.5</v>
      </c>
      <c r="V94" s="10">
        <f t="shared" si="13"/>
        <v>0.17632892060709751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1552.1759729272001</v>
      </c>
      <c r="E95">
        <v>404.22955442751999</v>
      </c>
      <c r="F95">
        <v>149.30608793687</v>
      </c>
      <c r="G95">
        <v>123.40586245772</v>
      </c>
      <c r="I95" s="9">
        <f t="shared" si="8"/>
        <v>280.8236919698</v>
      </c>
      <c r="J95" s="9">
        <f t="shared" si="9"/>
        <v>1402.8698849903301</v>
      </c>
      <c r="K95" s="9">
        <f t="shared" si="10"/>
        <v>280.8236919698</v>
      </c>
      <c r="L95" s="10">
        <f t="shared" si="7"/>
        <v>0.20017800294553739</v>
      </c>
      <c r="M95" s="10">
        <f t="shared" si="11"/>
        <v>0.21983749614313969</v>
      </c>
      <c r="P95" s="8">
        <f t="shared" si="12"/>
        <v>-8.4617836508494015</v>
      </c>
      <c r="U95" s="8">
        <v>156</v>
      </c>
      <c r="V95" s="10">
        <f t="shared" si="13"/>
        <v>0.17662664524604424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1577.3063518831</v>
      </c>
      <c r="E96">
        <v>409.81675098369999</v>
      </c>
      <c r="F96">
        <v>149.71025930101999</v>
      </c>
      <c r="G96">
        <v>123.51127395716</v>
      </c>
      <c r="I96" s="9">
        <f t="shared" si="8"/>
        <v>286.30547702653996</v>
      </c>
      <c r="J96" s="9">
        <f t="shared" si="9"/>
        <v>1427.59609258208</v>
      </c>
      <c r="K96" s="9">
        <f t="shared" si="10"/>
        <v>286.30547702653996</v>
      </c>
      <c r="L96" s="10">
        <f t="shared" si="7"/>
        <v>0.20055075697825836</v>
      </c>
      <c r="M96" s="10">
        <f t="shared" si="11"/>
        <v>0.22042164257583485</v>
      </c>
      <c r="P96" s="8">
        <f t="shared" si="12"/>
        <v>-8.2185507016312283</v>
      </c>
      <c r="U96" s="8">
        <v>156.5</v>
      </c>
      <c r="V96" s="10">
        <f t="shared" si="13"/>
        <v>0.1747814091970212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1530.9258010118001</v>
      </c>
      <c r="E97">
        <v>397.65205171445001</v>
      </c>
      <c r="F97">
        <v>149.70800450958001</v>
      </c>
      <c r="G97">
        <v>123.4464487035</v>
      </c>
      <c r="I97" s="9">
        <f t="shared" si="8"/>
        <v>274.20560301095003</v>
      </c>
      <c r="J97" s="9">
        <f t="shared" si="9"/>
        <v>1381.2177965022202</v>
      </c>
      <c r="K97" s="9">
        <f t="shared" si="10"/>
        <v>274.20560301095003</v>
      </c>
      <c r="L97" s="10">
        <f t="shared" si="7"/>
        <v>0.19852452213209612</v>
      </c>
      <c r="M97" s="10">
        <f t="shared" si="11"/>
        <v>0.21860680012964684</v>
      </c>
      <c r="P97" s="8">
        <f t="shared" si="12"/>
        <v>-8.9742336192105476</v>
      </c>
      <c r="U97" s="8">
        <v>157</v>
      </c>
      <c r="V97" s="10">
        <f t="shared" si="13"/>
        <v>0.17460470881818638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1614.5340078695999</v>
      </c>
      <c r="E98">
        <v>415.64811691962001</v>
      </c>
      <c r="F98">
        <v>148.85569334837001</v>
      </c>
      <c r="G98">
        <v>123.03156708005</v>
      </c>
      <c r="I98" s="9">
        <f t="shared" si="8"/>
        <v>292.61654983956998</v>
      </c>
      <c r="J98" s="9">
        <f t="shared" si="9"/>
        <v>1465.6783145212298</v>
      </c>
      <c r="K98" s="9">
        <f t="shared" si="10"/>
        <v>292.61654983956998</v>
      </c>
      <c r="L98" s="10">
        <f t="shared" si="7"/>
        <v>0.19964582060092392</v>
      </c>
      <c r="M98" s="10">
        <f t="shared" si="11"/>
        <v>0.21993949099844887</v>
      </c>
      <c r="P98" s="8">
        <f t="shared" si="12"/>
        <v>-8.4193139753136457</v>
      </c>
      <c r="U98" s="8">
        <v>157.5</v>
      </c>
      <c r="V98" s="10">
        <f t="shared" si="13"/>
        <v>0.17672984288170882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1560.6943353898</v>
      </c>
      <c r="E99">
        <v>401.74537296691</v>
      </c>
      <c r="F99">
        <v>149.52311161218</v>
      </c>
      <c r="G99">
        <v>123.19109357384001</v>
      </c>
      <c r="I99" s="9">
        <f t="shared" si="8"/>
        <v>278.55427939306998</v>
      </c>
      <c r="J99" s="9">
        <f t="shared" si="9"/>
        <v>1411.1712237776201</v>
      </c>
      <c r="K99" s="9">
        <f t="shared" si="10"/>
        <v>278.55427939306998</v>
      </c>
      <c r="L99" s="10">
        <f t="shared" si="7"/>
        <v>0.19739226161896711</v>
      </c>
      <c r="M99" s="10">
        <f t="shared" si="11"/>
        <v>0.21789732441646628</v>
      </c>
      <c r="P99" s="8">
        <f t="shared" si="12"/>
        <v>-9.2696524738962989</v>
      </c>
      <c r="U99" s="8">
        <v>158</v>
      </c>
      <c r="V99" s="10">
        <f t="shared" si="13"/>
        <v>0.17810677980488793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1606.939988783</v>
      </c>
      <c r="E100">
        <v>412.17274256870002</v>
      </c>
      <c r="F100">
        <v>149.46279594137999</v>
      </c>
      <c r="G100">
        <v>123.41995490417</v>
      </c>
      <c r="I100" s="9">
        <f t="shared" si="8"/>
        <v>288.75278766453005</v>
      </c>
      <c r="J100" s="9">
        <f t="shared" si="9"/>
        <v>1457.4771928416201</v>
      </c>
      <c r="K100" s="9">
        <f t="shared" si="10"/>
        <v>288.75278766453005</v>
      </c>
      <c r="L100" s="10">
        <f t="shared" si="7"/>
        <v>0.19811822036237378</v>
      </c>
      <c r="M100" s="10">
        <f t="shared" si="11"/>
        <v>0.21883467555984715</v>
      </c>
      <c r="P100" s="8">
        <f t="shared" si="12"/>
        <v>-8.8793484845256536</v>
      </c>
      <c r="U100" s="8">
        <v>158.5</v>
      </c>
      <c r="V100" s="10">
        <f t="shared" si="13"/>
        <v>0.17787945327491222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1627.99551318</v>
      </c>
      <c r="E101">
        <v>416.61413348289</v>
      </c>
      <c r="F101">
        <v>149.14825253664</v>
      </c>
      <c r="G101">
        <v>122.89177001127</v>
      </c>
      <c r="I101" s="9">
        <f t="shared" si="8"/>
        <v>293.72236347161999</v>
      </c>
      <c r="J101" s="9">
        <f t="shared" si="9"/>
        <v>1478.84726064336</v>
      </c>
      <c r="K101" s="9">
        <f t="shared" si="10"/>
        <v>293.72236347161999</v>
      </c>
      <c r="L101" s="10">
        <f t="shared" si="7"/>
        <v>0.19861575382966767</v>
      </c>
      <c r="M101" s="10">
        <f t="shared" si="11"/>
        <v>0.21954360142711526</v>
      </c>
      <c r="P101" s="8">
        <f t="shared" si="12"/>
        <v>-8.5841585803828</v>
      </c>
      <c r="U101" s="8">
        <v>159</v>
      </c>
      <c r="V101" s="10">
        <f t="shared" si="13"/>
        <v>0.17566095555076339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1577.4670793472001</v>
      </c>
      <c r="E102">
        <v>406.30106921778003</v>
      </c>
      <c r="F102">
        <v>149.58680947011999</v>
      </c>
      <c r="G102">
        <v>123.5107102593</v>
      </c>
      <c r="I102" s="9">
        <f t="shared" si="8"/>
        <v>282.79035895848006</v>
      </c>
      <c r="J102" s="9">
        <f t="shared" si="9"/>
        <v>1427.8802698770801</v>
      </c>
      <c r="K102" s="9">
        <f t="shared" si="10"/>
        <v>282.79035895848006</v>
      </c>
      <c r="L102" s="10">
        <f t="shared" si="7"/>
        <v>0.19804906960639229</v>
      </c>
      <c r="M102" s="10">
        <f t="shared" si="11"/>
        <v>0.21918830960381411</v>
      </c>
      <c r="P102" s="8">
        <f t="shared" si="12"/>
        <v>-8.7320986741293627</v>
      </c>
      <c r="U102" s="8">
        <v>159.5</v>
      </c>
      <c r="V102" s="10">
        <f t="shared" si="13"/>
        <v>0.17694091153726904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1592.8806978053001</v>
      </c>
      <c r="E103">
        <v>409.32695554305002</v>
      </c>
      <c r="F103">
        <v>149.52649379932001</v>
      </c>
      <c r="G103">
        <v>122.81172491545</v>
      </c>
      <c r="I103" s="9">
        <f t="shared" si="8"/>
        <v>286.51523062760003</v>
      </c>
      <c r="J103" s="9">
        <f t="shared" si="9"/>
        <v>1443.3542040059801</v>
      </c>
      <c r="K103" s="9">
        <f t="shared" si="10"/>
        <v>286.51523062760003</v>
      </c>
      <c r="L103" s="10">
        <f t="shared" si="7"/>
        <v>0.19850652724908885</v>
      </c>
      <c r="M103" s="10">
        <f t="shared" si="11"/>
        <v>0.21985715964648489</v>
      </c>
      <c r="P103" s="8">
        <f t="shared" si="12"/>
        <v>-8.4535959574168693</v>
      </c>
      <c r="U103" s="8">
        <v>160</v>
      </c>
      <c r="V103" s="10">
        <f t="shared" si="13"/>
        <v>0.1754717197609468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1538.2611142374999</v>
      </c>
      <c r="E104">
        <v>392.79122115925998</v>
      </c>
      <c r="F104">
        <v>149.00620067643999</v>
      </c>
      <c r="G104">
        <v>123.15896279594</v>
      </c>
      <c r="I104" s="9">
        <f t="shared" si="8"/>
        <v>269.63225836331998</v>
      </c>
      <c r="J104" s="9">
        <f t="shared" si="9"/>
        <v>1389.25491356106</v>
      </c>
      <c r="K104" s="9">
        <f t="shared" si="10"/>
        <v>269.63225836331998</v>
      </c>
      <c r="L104" s="10">
        <f t="shared" si="7"/>
        <v>0.19408407753777521</v>
      </c>
      <c r="M104" s="10">
        <f t="shared" si="11"/>
        <v>0.21564610233514547</v>
      </c>
      <c r="P104" s="8">
        <f t="shared" si="12"/>
        <v>-10.207039669189644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1568.6218345525999</v>
      </c>
      <c r="E105">
        <v>404.25492402926</v>
      </c>
      <c r="F105">
        <v>149.38105975197001</v>
      </c>
      <c r="G105">
        <v>123.18996617813001</v>
      </c>
      <c r="I105" s="9">
        <f t="shared" si="8"/>
        <v>281.06495785112998</v>
      </c>
      <c r="J105" s="9">
        <f t="shared" si="9"/>
        <v>1419.2407748006299</v>
      </c>
      <c r="K105" s="9">
        <f t="shared" si="10"/>
        <v>281.06495785112998</v>
      </c>
      <c r="L105" s="10">
        <f t="shared" si="7"/>
        <v>0.19803895353176632</v>
      </c>
      <c r="M105" s="10">
        <f t="shared" si="11"/>
        <v>0.21981237072911078</v>
      </c>
      <c r="P105" s="8">
        <f t="shared" si="12"/>
        <v>-8.4722456312921857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1530.6636619717999</v>
      </c>
      <c r="E106">
        <v>393.10366197182998</v>
      </c>
      <c r="F106">
        <v>149.37993235626001</v>
      </c>
      <c r="G106">
        <v>123.33709131905</v>
      </c>
      <c r="I106" s="9">
        <f t="shared" si="8"/>
        <v>269.76657065277999</v>
      </c>
      <c r="J106" s="9">
        <f t="shared" si="9"/>
        <v>1381.2837296155399</v>
      </c>
      <c r="K106" s="9">
        <f t="shared" si="10"/>
        <v>269.76657065277999</v>
      </c>
      <c r="L106" s="10">
        <f t="shared" si="7"/>
        <v>0.19530134531293261</v>
      </c>
      <c r="M106" s="10">
        <f t="shared" si="11"/>
        <v>0.2172861549102513</v>
      </c>
      <c r="P106" s="8">
        <f t="shared" si="12"/>
        <v>-9.5241375706947249</v>
      </c>
      <c r="X106" s="8">
        <v>-13</v>
      </c>
    </row>
    <row r="107" spans="1:25" x14ac:dyDescent="0.2">
      <c r="A107" s="8">
        <v>52.5</v>
      </c>
      <c r="B107" s="8">
        <v>105</v>
      </c>
      <c r="D107">
        <v>1540.6363636363999</v>
      </c>
      <c r="E107">
        <v>397.70016939582001</v>
      </c>
      <c r="F107">
        <v>149.84216459978001</v>
      </c>
      <c r="G107">
        <v>123.40868094701</v>
      </c>
      <c r="I107" s="9">
        <f t="shared" si="8"/>
        <v>274.29148844881001</v>
      </c>
      <c r="J107" s="9">
        <f t="shared" si="9"/>
        <v>1390.7941990366198</v>
      </c>
      <c r="K107" s="9">
        <f t="shared" si="10"/>
        <v>274.29148844881001</v>
      </c>
      <c r="L107" s="10">
        <f t="shared" si="7"/>
        <v>0.19721932162127739</v>
      </c>
      <c r="M107" s="10">
        <f t="shared" si="11"/>
        <v>0.21941552361857031</v>
      </c>
      <c r="P107" s="8">
        <f t="shared" si="12"/>
        <v>-8.6374889464659361</v>
      </c>
      <c r="X107" s="8">
        <v>-13</v>
      </c>
    </row>
    <row r="108" spans="1:25" x14ac:dyDescent="0.2">
      <c r="A108" s="8">
        <v>53</v>
      </c>
      <c r="B108" s="8">
        <v>106</v>
      </c>
      <c r="D108">
        <v>1495.9672501412001</v>
      </c>
      <c r="E108">
        <v>386.41276115188998</v>
      </c>
      <c r="F108">
        <v>149.28748590755001</v>
      </c>
      <c r="G108">
        <v>123.47914317926001</v>
      </c>
      <c r="I108" s="9">
        <f t="shared" si="8"/>
        <v>262.93361797262997</v>
      </c>
      <c r="J108" s="9">
        <f t="shared" si="9"/>
        <v>1346.6797642336501</v>
      </c>
      <c r="K108" s="9">
        <f t="shared" si="10"/>
        <v>262.93361797262997</v>
      </c>
      <c r="L108" s="10">
        <f t="shared" si="7"/>
        <v>0.1952458371736629</v>
      </c>
      <c r="M108" s="10">
        <f t="shared" si="11"/>
        <v>0.21765343157093003</v>
      </c>
      <c r="P108" s="8">
        <f t="shared" si="12"/>
        <v>-9.371207106078657</v>
      </c>
      <c r="X108" s="8">
        <v>-13</v>
      </c>
    </row>
    <row r="109" spans="1:25" x14ac:dyDescent="0.2">
      <c r="A109" s="8">
        <v>53.5</v>
      </c>
      <c r="B109" s="8">
        <v>107</v>
      </c>
      <c r="D109">
        <v>1618.6482213439001</v>
      </c>
      <c r="E109">
        <v>406.36081309994</v>
      </c>
      <c r="F109">
        <v>149.25422773394001</v>
      </c>
      <c r="G109">
        <v>123.04565952649</v>
      </c>
      <c r="I109" s="9">
        <f t="shared" si="8"/>
        <v>283.31515357345</v>
      </c>
      <c r="J109" s="9">
        <f t="shared" si="9"/>
        <v>1469.39399360996</v>
      </c>
      <c r="K109" s="9">
        <f t="shared" si="10"/>
        <v>283.31515357345</v>
      </c>
      <c r="L109" s="10">
        <f t="shared" si="7"/>
        <v>0.19281088312972508</v>
      </c>
      <c r="M109" s="10">
        <f t="shared" si="11"/>
        <v>0.21542986992696642</v>
      </c>
      <c r="P109" s="8">
        <f t="shared" si="12"/>
        <v>-10.297076761627707</v>
      </c>
      <c r="X109" s="8">
        <v>-13</v>
      </c>
    </row>
    <row r="110" spans="1:25" x14ac:dyDescent="0.2">
      <c r="A110" s="8">
        <v>54</v>
      </c>
      <c r="B110" s="8">
        <v>108</v>
      </c>
      <c r="D110">
        <v>1608.2049549549999</v>
      </c>
      <c r="E110">
        <v>405.11655405405003</v>
      </c>
      <c r="F110">
        <v>149.36076662908999</v>
      </c>
      <c r="G110">
        <v>123.04284103720001</v>
      </c>
      <c r="I110" s="9">
        <f t="shared" si="8"/>
        <v>282.07371301685004</v>
      </c>
      <c r="J110" s="9">
        <f t="shared" si="9"/>
        <v>1458.84418832591</v>
      </c>
      <c r="K110" s="9">
        <f t="shared" si="10"/>
        <v>282.07371301685004</v>
      </c>
      <c r="L110" s="10">
        <f t="shared" si="7"/>
        <v>0.19335424253946026</v>
      </c>
      <c r="M110" s="10">
        <f t="shared" si="11"/>
        <v>0.21618462173667582</v>
      </c>
      <c r="P110" s="8">
        <f t="shared" si="12"/>
        <v>-9.9828053763581632</v>
      </c>
      <c r="X110" s="8">
        <v>-13</v>
      </c>
    </row>
    <row r="111" spans="1:25" x14ac:dyDescent="0.2">
      <c r="A111" s="8">
        <v>54.5</v>
      </c>
      <c r="B111" s="8">
        <v>109</v>
      </c>
      <c r="D111">
        <v>1561.911036036</v>
      </c>
      <c r="E111">
        <v>393.28885135134999</v>
      </c>
      <c r="F111">
        <v>149.08229988726001</v>
      </c>
      <c r="G111">
        <v>123.07158962795999</v>
      </c>
      <c r="I111" s="9">
        <f t="shared" si="8"/>
        <v>270.21726172338998</v>
      </c>
      <c r="J111" s="9">
        <f t="shared" si="9"/>
        <v>1412.8287361487401</v>
      </c>
      <c r="K111" s="9">
        <f t="shared" si="10"/>
        <v>270.21726172338998</v>
      </c>
      <c r="L111" s="10">
        <f t="shared" si="7"/>
        <v>0.19125974352700453</v>
      </c>
      <c r="M111" s="10">
        <f t="shared" si="11"/>
        <v>0.21430151512419432</v>
      </c>
      <c r="P111" s="8">
        <f t="shared" si="12"/>
        <v>-10.766912835395139</v>
      </c>
      <c r="X111" s="8">
        <v>-13</v>
      </c>
    </row>
    <row r="112" spans="1:25" x14ac:dyDescent="0.2">
      <c r="A112" s="8">
        <v>55</v>
      </c>
      <c r="B112" s="8">
        <v>110</v>
      </c>
      <c r="D112">
        <v>1600.5940315314999</v>
      </c>
      <c r="E112">
        <v>409.68693693694001</v>
      </c>
      <c r="F112">
        <v>148.68038331453999</v>
      </c>
      <c r="G112">
        <v>122.93010146560999</v>
      </c>
      <c r="I112" s="9">
        <f t="shared" si="8"/>
        <v>286.75683547133002</v>
      </c>
      <c r="J112" s="9">
        <f t="shared" si="9"/>
        <v>1451.9136482169599</v>
      </c>
      <c r="K112" s="9">
        <f t="shared" si="10"/>
        <v>286.75683547133002</v>
      </c>
      <c r="L112" s="10">
        <f t="shared" si="7"/>
        <v>0.19750267918721284</v>
      </c>
      <c r="M112" s="10">
        <f t="shared" si="11"/>
        <v>0.22075584318437685</v>
      </c>
      <c r="P112" s="8">
        <f t="shared" si="12"/>
        <v>-8.0793927866010424</v>
      </c>
      <c r="X112" s="8">
        <v>-13</v>
      </c>
    </row>
    <row r="113" spans="1:24" x14ac:dyDescent="0.2">
      <c r="A113" s="8">
        <v>55.5</v>
      </c>
      <c r="B113" s="8">
        <v>111</v>
      </c>
      <c r="D113">
        <v>1606.9073033708</v>
      </c>
      <c r="E113">
        <v>402.25561797752999</v>
      </c>
      <c r="F113">
        <v>149.33201803833001</v>
      </c>
      <c r="G113">
        <v>123.36133032695</v>
      </c>
      <c r="I113" s="9">
        <f t="shared" si="8"/>
        <v>278.89428765058</v>
      </c>
      <c r="J113" s="9">
        <f t="shared" si="9"/>
        <v>1457.57528533247</v>
      </c>
      <c r="K113" s="9">
        <f t="shared" si="10"/>
        <v>278.89428765058</v>
      </c>
      <c r="L113" s="10">
        <f t="shared" si="7"/>
        <v>0.19134125726271817</v>
      </c>
      <c r="M113" s="10">
        <f t="shared" si="11"/>
        <v>0.21480581365985638</v>
      </c>
      <c r="P113" s="8">
        <f t="shared" si="12"/>
        <v>-10.556927781562758</v>
      </c>
      <c r="X113" s="8">
        <v>-13</v>
      </c>
    </row>
    <row r="114" spans="1:24" x14ac:dyDescent="0.2">
      <c r="A114" s="8">
        <v>56</v>
      </c>
      <c r="B114" s="8">
        <v>112</v>
      </c>
      <c r="D114">
        <v>1571.6870786516999</v>
      </c>
      <c r="E114">
        <v>391.27808988764002</v>
      </c>
      <c r="F114">
        <v>148.70405862458</v>
      </c>
      <c r="G114">
        <v>123.02085682073999</v>
      </c>
      <c r="I114" s="9">
        <f t="shared" si="8"/>
        <v>268.25723306690003</v>
      </c>
      <c r="J114" s="9">
        <f t="shared" si="9"/>
        <v>1422.9830200271199</v>
      </c>
      <c r="K114" s="9">
        <f t="shared" si="10"/>
        <v>268.25723306690003</v>
      </c>
      <c r="L114" s="10">
        <f t="shared" si="7"/>
        <v>0.18851752219909657</v>
      </c>
      <c r="M114" s="10">
        <f t="shared" si="11"/>
        <v>0.212193470996209</v>
      </c>
      <c r="P114" s="8">
        <f t="shared" si="12"/>
        <v>-11.644682109729636</v>
      </c>
      <c r="X114" s="8">
        <v>-13</v>
      </c>
    </row>
    <row r="115" spans="1:24" x14ac:dyDescent="0.2">
      <c r="A115" s="8">
        <v>56.5</v>
      </c>
      <c r="B115" s="8">
        <v>113</v>
      </c>
      <c r="D115">
        <v>1577.7715250422</v>
      </c>
      <c r="E115">
        <v>394.63984243106</v>
      </c>
      <c r="F115">
        <v>148.98985343856</v>
      </c>
      <c r="G115">
        <v>123.20856820744</v>
      </c>
      <c r="I115" s="9">
        <f t="shared" si="8"/>
        <v>271.43127422361999</v>
      </c>
      <c r="J115" s="9">
        <f t="shared" si="9"/>
        <v>1428.78167160364</v>
      </c>
      <c r="K115" s="9">
        <f t="shared" si="10"/>
        <v>271.43127422361999</v>
      </c>
      <c r="L115" s="10">
        <f t="shared" si="7"/>
        <v>0.18997393346946437</v>
      </c>
      <c r="M115" s="10">
        <f t="shared" si="11"/>
        <v>0.21386127466655103</v>
      </c>
      <c r="P115" s="8">
        <f t="shared" si="12"/>
        <v>-10.950224722422645</v>
      </c>
      <c r="X115" s="8">
        <v>-13</v>
      </c>
    </row>
    <row r="116" spans="1:24" x14ac:dyDescent="0.2">
      <c r="A116" s="8">
        <v>57</v>
      </c>
      <c r="B116" s="8">
        <v>114</v>
      </c>
      <c r="D116">
        <v>1608.6882386044001</v>
      </c>
      <c r="E116">
        <v>403.71750140686999</v>
      </c>
      <c r="F116">
        <v>149.31510710258999</v>
      </c>
      <c r="G116">
        <v>123.27113866966999</v>
      </c>
      <c r="I116" s="9">
        <f t="shared" si="8"/>
        <v>280.44636273719999</v>
      </c>
      <c r="J116" s="9">
        <f t="shared" si="9"/>
        <v>1459.3731315018101</v>
      </c>
      <c r="K116" s="9">
        <f t="shared" si="10"/>
        <v>280.44636273719999</v>
      </c>
      <c r="L116" s="10">
        <f t="shared" si="7"/>
        <v>0.19216905990902994</v>
      </c>
      <c r="M116" s="10">
        <f t="shared" si="11"/>
        <v>0.21626779350609082</v>
      </c>
      <c r="P116" s="8">
        <f t="shared" si="12"/>
        <v>-9.9481734525215906</v>
      </c>
      <c r="X116" s="8">
        <v>-13</v>
      </c>
    </row>
    <row r="117" spans="1:24" x14ac:dyDescent="0.2">
      <c r="A117" s="8">
        <v>57.5</v>
      </c>
      <c r="B117" s="8">
        <v>115</v>
      </c>
      <c r="D117">
        <v>1590.5369014084999</v>
      </c>
      <c r="E117">
        <v>394.79830985915999</v>
      </c>
      <c r="F117">
        <v>148.95997745208999</v>
      </c>
      <c r="G117">
        <v>123.01296505073</v>
      </c>
      <c r="I117" s="9">
        <f t="shared" si="8"/>
        <v>271.78534480842995</v>
      </c>
      <c r="J117" s="9">
        <f t="shared" si="9"/>
        <v>1441.5769239564099</v>
      </c>
      <c r="K117" s="9">
        <f t="shared" si="10"/>
        <v>271.78534480842995</v>
      </c>
      <c r="L117" s="10">
        <f t="shared" si="7"/>
        <v>0.18853336252255945</v>
      </c>
      <c r="M117" s="10">
        <f t="shared" si="11"/>
        <v>0.21284348851959453</v>
      </c>
      <c r="P117" s="8">
        <f t="shared" si="12"/>
        <v>-11.374021072689525</v>
      </c>
      <c r="X117" s="8">
        <v>-13</v>
      </c>
    </row>
    <row r="118" spans="1:24" x14ac:dyDescent="0.2">
      <c r="A118" s="8">
        <v>58</v>
      </c>
      <c r="B118" s="8">
        <v>116</v>
      </c>
      <c r="D118">
        <v>1527.9421673217</v>
      </c>
      <c r="E118">
        <v>380.61594609769998</v>
      </c>
      <c r="F118">
        <v>148.71476888388</v>
      </c>
      <c r="G118">
        <v>123.01916572717001</v>
      </c>
      <c r="I118" s="9">
        <f t="shared" si="8"/>
        <v>257.59678037052998</v>
      </c>
      <c r="J118" s="9">
        <f t="shared" si="9"/>
        <v>1379.2273984378201</v>
      </c>
      <c r="K118" s="9">
        <f t="shared" si="10"/>
        <v>257.59678037052998</v>
      </c>
      <c r="L118" s="10">
        <f t="shared" si="7"/>
        <v>0.18676889732780586</v>
      </c>
      <c r="M118" s="10">
        <f t="shared" si="11"/>
        <v>0.21129041572481516</v>
      </c>
      <c r="P118" s="8">
        <f t="shared" si="12"/>
        <v>-12.020705628275655</v>
      </c>
      <c r="X118" s="8">
        <v>-13</v>
      </c>
    </row>
    <row r="119" spans="1:24" x14ac:dyDescent="0.2">
      <c r="A119" s="8">
        <v>58.5</v>
      </c>
      <c r="B119" s="8">
        <v>117</v>
      </c>
      <c r="D119">
        <v>1432.7350956130999</v>
      </c>
      <c r="E119">
        <v>367.78683914510998</v>
      </c>
      <c r="F119">
        <v>149.39853438557</v>
      </c>
      <c r="G119">
        <v>122.85738444194</v>
      </c>
      <c r="I119" s="9">
        <f t="shared" si="8"/>
        <v>244.92945470316999</v>
      </c>
      <c r="J119" s="9">
        <f t="shared" si="9"/>
        <v>1283.33656122753</v>
      </c>
      <c r="K119" s="9">
        <f t="shared" si="10"/>
        <v>244.92945470316999</v>
      </c>
      <c r="L119" s="10">
        <f t="shared" si="7"/>
        <v>0.19085364050478812</v>
      </c>
      <c r="M119" s="10">
        <f t="shared" si="11"/>
        <v>0.21558655130177165</v>
      </c>
      <c r="P119" s="8">
        <f t="shared" si="12"/>
        <v>-10.231836146007407</v>
      </c>
      <c r="X119" s="8">
        <v>-13</v>
      </c>
    </row>
    <row r="120" spans="1:24" x14ac:dyDescent="0.2">
      <c r="A120" s="8">
        <v>59</v>
      </c>
      <c r="B120" s="8">
        <v>118</v>
      </c>
      <c r="D120">
        <v>1545.2956717257</v>
      </c>
      <c r="E120">
        <v>387.36537380550999</v>
      </c>
      <c r="F120">
        <v>148.87711386697001</v>
      </c>
      <c r="G120">
        <v>122.8297632469</v>
      </c>
      <c r="I120" s="9">
        <f t="shared" si="8"/>
        <v>264.53561055860996</v>
      </c>
      <c r="J120" s="9">
        <f t="shared" si="9"/>
        <v>1396.4185578587301</v>
      </c>
      <c r="K120" s="9">
        <f t="shared" si="10"/>
        <v>264.53561055860996</v>
      </c>
      <c r="L120" s="10">
        <f t="shared" si="7"/>
        <v>0.18943862430777861</v>
      </c>
      <c r="M120" s="10">
        <f t="shared" si="11"/>
        <v>0.21438292750473636</v>
      </c>
      <c r="P120" s="8">
        <f t="shared" si="12"/>
        <v>-10.733013504142273</v>
      </c>
      <c r="X120" s="8">
        <v>-13</v>
      </c>
    </row>
    <row r="121" spans="1:24" x14ac:dyDescent="0.2">
      <c r="A121" s="8">
        <v>59.5</v>
      </c>
      <c r="B121" s="8">
        <v>119</v>
      </c>
      <c r="D121">
        <v>1527.0788288287999</v>
      </c>
      <c r="E121">
        <v>379.99493243243001</v>
      </c>
      <c r="F121">
        <v>148.87373167982</v>
      </c>
      <c r="G121">
        <v>123.06031567079999</v>
      </c>
      <c r="I121" s="9">
        <f t="shared" si="8"/>
        <v>256.93461676163002</v>
      </c>
      <c r="J121" s="9">
        <f t="shared" si="9"/>
        <v>1378.20509714898</v>
      </c>
      <c r="K121" s="9">
        <f t="shared" si="10"/>
        <v>256.93461676163002</v>
      </c>
      <c r="L121" s="10">
        <f t="shared" si="7"/>
        <v>0.18642698194422375</v>
      </c>
      <c r="M121" s="10">
        <f t="shared" si="11"/>
        <v>0.2115826775411557</v>
      </c>
      <c r="P121" s="8">
        <f t="shared" si="12"/>
        <v>-11.899010622445727</v>
      </c>
      <c r="X121" s="8">
        <v>-13</v>
      </c>
    </row>
    <row r="122" spans="1:24" x14ac:dyDescent="0.2">
      <c r="A122" s="8">
        <v>60</v>
      </c>
      <c r="B122" s="8">
        <v>120</v>
      </c>
      <c r="D122">
        <v>1541.7342342341999</v>
      </c>
      <c r="E122">
        <v>382.82376126126002</v>
      </c>
      <c r="F122">
        <v>148.1916572717</v>
      </c>
      <c r="G122">
        <v>122.63077790304</v>
      </c>
      <c r="I122" s="9">
        <f t="shared" si="8"/>
        <v>260.19298335822003</v>
      </c>
      <c r="J122" s="9">
        <f t="shared" si="9"/>
        <v>1393.5425769624999</v>
      </c>
      <c r="K122" s="9">
        <f t="shared" si="10"/>
        <v>260.19298335822003</v>
      </c>
      <c r="L122" s="10">
        <f t="shared" si="7"/>
        <v>0.18671333596807771</v>
      </c>
      <c r="M122" s="10">
        <f t="shared" si="11"/>
        <v>0.21208042396498389</v>
      </c>
      <c r="P122" s="8">
        <f t="shared" si="12"/>
        <v>-11.69175380488384</v>
      </c>
      <c r="X122" s="8">
        <v>-13</v>
      </c>
    </row>
    <row r="123" spans="1:24" x14ac:dyDescent="0.2">
      <c r="A123" s="8">
        <v>60.5</v>
      </c>
      <c r="B123" s="8">
        <v>121</v>
      </c>
      <c r="D123">
        <v>1548.6728499157</v>
      </c>
      <c r="E123">
        <v>382.81394041596002</v>
      </c>
      <c r="F123">
        <v>148.54396843292</v>
      </c>
      <c r="G123">
        <v>122.87824126268001</v>
      </c>
      <c r="I123" s="9">
        <f t="shared" si="8"/>
        <v>259.93569915327998</v>
      </c>
      <c r="J123" s="9">
        <f t="shared" si="9"/>
        <v>1400.1288814827799</v>
      </c>
      <c r="K123" s="9">
        <f t="shared" si="10"/>
        <v>259.93569915327998</v>
      </c>
      <c r="L123" s="10">
        <f t="shared" si="7"/>
        <v>0.18565126581632974</v>
      </c>
      <c r="M123" s="10">
        <f t="shared" si="11"/>
        <v>0.21122974621321014</v>
      </c>
      <c r="P123" s="8">
        <f t="shared" si="12"/>
        <v>-12.045967828657894</v>
      </c>
      <c r="X123" s="8">
        <v>-13</v>
      </c>
    </row>
    <row r="124" spans="1:24" x14ac:dyDescent="0.2">
      <c r="A124" s="8">
        <v>61</v>
      </c>
      <c r="B124" s="8">
        <v>122</v>
      </c>
      <c r="D124">
        <v>1513.3653303219</v>
      </c>
      <c r="E124">
        <v>376.54319593449998</v>
      </c>
      <c r="F124">
        <v>148.66065388952001</v>
      </c>
      <c r="G124">
        <v>122.96505073281</v>
      </c>
      <c r="I124" s="9">
        <f t="shared" si="8"/>
        <v>253.57814520168998</v>
      </c>
      <c r="J124" s="9">
        <f t="shared" si="9"/>
        <v>1364.70467643238</v>
      </c>
      <c r="K124" s="9">
        <f t="shared" si="10"/>
        <v>253.57814520168998</v>
      </c>
      <c r="L124" s="10">
        <f t="shared" si="7"/>
        <v>0.1858117361073281</v>
      </c>
      <c r="M124" s="10">
        <f t="shared" si="11"/>
        <v>0.21160160890418273</v>
      </c>
      <c r="P124" s="8">
        <f t="shared" si="12"/>
        <v>-11.891127785191141</v>
      </c>
      <c r="X124" s="8">
        <v>-13</v>
      </c>
    </row>
    <row r="125" spans="1:24" x14ac:dyDescent="0.2">
      <c r="A125" s="8">
        <v>61.5</v>
      </c>
      <c r="B125" s="8">
        <v>123</v>
      </c>
      <c r="D125">
        <v>1480.0598531902999</v>
      </c>
      <c r="E125">
        <v>375.71428571428999</v>
      </c>
      <c r="F125">
        <v>149.10766629086999</v>
      </c>
      <c r="G125">
        <v>122.88613303269</v>
      </c>
      <c r="I125" s="9">
        <f t="shared" si="8"/>
        <v>252.82815268159999</v>
      </c>
      <c r="J125" s="9">
        <f t="shared" si="9"/>
        <v>1330.95218689943</v>
      </c>
      <c r="K125" s="9">
        <f t="shared" si="10"/>
        <v>252.82815268159999</v>
      </c>
      <c r="L125" s="10">
        <f t="shared" si="7"/>
        <v>0.18996035708133541</v>
      </c>
      <c r="M125" s="10">
        <f t="shared" si="11"/>
        <v>0.21596162227816423</v>
      </c>
      <c r="P125" s="8">
        <f t="shared" si="12"/>
        <v>-10.075660203387699</v>
      </c>
      <c r="X125" s="8">
        <v>-13</v>
      </c>
    </row>
    <row r="126" spans="1:24" x14ac:dyDescent="0.2">
      <c r="A126" s="8">
        <v>62</v>
      </c>
      <c r="B126" s="8">
        <v>124</v>
      </c>
      <c r="D126">
        <v>1548.9696117051001</v>
      </c>
      <c r="E126">
        <v>382.86325267303999</v>
      </c>
      <c r="F126">
        <v>149.01465614431001</v>
      </c>
      <c r="G126">
        <v>122.44475760992</v>
      </c>
      <c r="I126" s="9">
        <f t="shared" si="8"/>
        <v>260.41849506311996</v>
      </c>
      <c r="J126" s="9">
        <f t="shared" si="9"/>
        <v>1399.95495556079</v>
      </c>
      <c r="K126" s="9">
        <f t="shared" si="10"/>
        <v>260.41849506311996</v>
      </c>
      <c r="L126" s="10">
        <f t="shared" si="7"/>
        <v>0.1860191958524853</v>
      </c>
      <c r="M126" s="10">
        <f t="shared" si="11"/>
        <v>0.21223185344928835</v>
      </c>
      <c r="P126" s="8">
        <f t="shared" si="12"/>
        <v>-11.628700025892121</v>
      </c>
      <c r="X126" s="8">
        <v>-13</v>
      </c>
    </row>
    <row r="127" spans="1:24" x14ac:dyDescent="0.2">
      <c r="A127" s="8">
        <v>62.5</v>
      </c>
      <c r="B127" s="8">
        <v>125</v>
      </c>
      <c r="D127">
        <v>1562.6859876195999</v>
      </c>
      <c r="E127">
        <v>381.8441193022</v>
      </c>
      <c r="F127">
        <v>149.05693348365</v>
      </c>
      <c r="G127">
        <v>122.59301014656</v>
      </c>
      <c r="I127" s="9">
        <f t="shared" si="8"/>
        <v>259.25110915563999</v>
      </c>
      <c r="J127" s="9">
        <f t="shared" si="9"/>
        <v>1413.6290541359499</v>
      </c>
      <c r="K127" s="9">
        <f t="shared" si="10"/>
        <v>259.25110915563999</v>
      </c>
      <c r="L127" s="10">
        <f t="shared" si="7"/>
        <v>0.1833940158467538</v>
      </c>
      <c r="M127" s="10">
        <f t="shared" si="11"/>
        <v>0.20981806584353108</v>
      </c>
      <c r="P127" s="8">
        <f t="shared" si="12"/>
        <v>-12.633777940047592</v>
      </c>
      <c r="X127" s="8">
        <v>-13</v>
      </c>
    </row>
    <row r="128" spans="1:24" x14ac:dyDescent="0.2">
      <c r="A128" s="8">
        <v>63</v>
      </c>
      <c r="B128" s="8">
        <v>126</v>
      </c>
      <c r="D128">
        <v>1477.6612083569</v>
      </c>
      <c r="E128">
        <v>366.21964991530001</v>
      </c>
      <c r="F128">
        <v>148.73844419391</v>
      </c>
      <c r="G128">
        <v>122.87204058624999</v>
      </c>
      <c r="I128" s="9">
        <f t="shared" si="8"/>
        <v>243.34760932905002</v>
      </c>
      <c r="J128" s="9">
        <f t="shared" si="9"/>
        <v>1328.92276416299</v>
      </c>
      <c r="K128" s="9">
        <f t="shared" si="10"/>
        <v>243.34760932905002</v>
      </c>
      <c r="L128" s="10">
        <f t="shared" si="7"/>
        <v>0.18311644279968392</v>
      </c>
      <c r="M128" s="10">
        <f t="shared" si="11"/>
        <v>0.20975188519643539</v>
      </c>
      <c r="P128" s="8">
        <f t="shared" si="12"/>
        <v>-12.661334924175661</v>
      </c>
      <c r="X128" s="8">
        <v>-13</v>
      </c>
    </row>
    <row r="129" spans="1:24" x14ac:dyDescent="0.2">
      <c r="A129" s="8">
        <v>63.5</v>
      </c>
      <c r="B129" s="8">
        <v>127</v>
      </c>
      <c r="D129">
        <v>1492.0776152981</v>
      </c>
      <c r="E129">
        <v>369.05849268841001</v>
      </c>
      <c r="F129">
        <v>148.74859075536</v>
      </c>
      <c r="G129">
        <v>122.68996617813001</v>
      </c>
      <c r="I129" s="9">
        <f t="shared" si="8"/>
        <v>246.36852651027999</v>
      </c>
      <c r="J129" s="9">
        <f t="shared" si="9"/>
        <v>1343.3290245427399</v>
      </c>
      <c r="K129" s="9">
        <f t="shared" si="10"/>
        <v>246.36852651027999</v>
      </c>
      <c r="L129" s="10">
        <f t="shared" si="7"/>
        <v>0.18340147648796776</v>
      </c>
      <c r="M129" s="10">
        <f t="shared" si="11"/>
        <v>0.21024831128469346</v>
      </c>
      <c r="P129" s="8">
        <f t="shared" si="12"/>
        <v>-12.454627881630286</v>
      </c>
      <c r="X129" s="8">
        <v>-13</v>
      </c>
    </row>
    <row r="130" spans="1:24" x14ac:dyDescent="0.2">
      <c r="A130" s="8">
        <v>64</v>
      </c>
      <c r="B130" s="8">
        <v>128</v>
      </c>
      <c r="D130">
        <v>1451.1647855531</v>
      </c>
      <c r="E130">
        <v>361.57110609480998</v>
      </c>
      <c r="F130">
        <v>148.40304396843001</v>
      </c>
      <c r="G130">
        <v>122.50563697858</v>
      </c>
      <c r="I130" s="9">
        <f t="shared" si="8"/>
        <v>239.06546911622996</v>
      </c>
      <c r="J130" s="9">
        <f t="shared" si="9"/>
        <v>1302.7617415846701</v>
      </c>
      <c r="K130" s="9">
        <f t="shared" si="10"/>
        <v>239.06546911622996</v>
      </c>
      <c r="L130" s="10">
        <f t="shared" ref="L130:L193" si="14">K130/J130</f>
        <v>0.18350667008798741</v>
      </c>
      <c r="M130" s="10">
        <f t="shared" si="11"/>
        <v>0.21056489728468733</v>
      </c>
      <c r="P130" s="8">
        <f t="shared" si="12"/>
        <v>-12.322804519970077</v>
      </c>
      <c r="X130" s="8">
        <v>-13</v>
      </c>
    </row>
    <row r="131" spans="1:24" x14ac:dyDescent="0.2">
      <c r="A131" s="8">
        <v>64.5</v>
      </c>
      <c r="B131" s="8">
        <v>129</v>
      </c>
      <c r="D131">
        <v>1464.3483652762</v>
      </c>
      <c r="E131">
        <v>360.55467869222002</v>
      </c>
      <c r="F131">
        <v>148.64599774521</v>
      </c>
      <c r="G131">
        <v>122.55073280722</v>
      </c>
      <c r="I131" s="9">
        <f t="shared" ref="I131:I194" si="15">E131-G131</f>
        <v>238.00394588500001</v>
      </c>
      <c r="J131" s="9">
        <f t="shared" ref="J131:J194" si="16">D131-F131</f>
        <v>1315.7023675309899</v>
      </c>
      <c r="K131" s="9">
        <f t="shared" ref="K131:K194" si="17">I131*1</f>
        <v>238.00394588500001</v>
      </c>
      <c r="L131" s="10">
        <f t="shared" si="14"/>
        <v>0.18089497424226084</v>
      </c>
      <c r="M131" s="10">
        <f t="shared" ref="M131:M181" si="18">L131+ABS($N$2)*A131</f>
        <v>0.20816459383893499</v>
      </c>
      <c r="P131" s="8">
        <f t="shared" ref="P131:P194" si="19">(M131-$O$2)/$O$2*100</f>
        <v>-13.322267759752554</v>
      </c>
      <c r="X131" s="8">
        <v>-13</v>
      </c>
    </row>
    <row r="132" spans="1:24" x14ac:dyDescent="0.2">
      <c r="A132" s="8">
        <v>65</v>
      </c>
      <c r="B132" s="8">
        <v>130</v>
      </c>
      <c r="D132">
        <v>1521.7556306306001</v>
      </c>
      <c r="E132">
        <v>373.39977477477998</v>
      </c>
      <c r="F132">
        <v>148.84498308906001</v>
      </c>
      <c r="G132">
        <v>122.63021420519</v>
      </c>
      <c r="I132" s="9">
        <f t="shared" si="15"/>
        <v>250.76956056959</v>
      </c>
      <c r="J132" s="9">
        <f t="shared" si="16"/>
        <v>1372.9106475415401</v>
      </c>
      <c r="K132" s="9">
        <f t="shared" si="17"/>
        <v>250.76956056959</v>
      </c>
      <c r="L132" s="10">
        <f t="shared" si="14"/>
        <v>0.18265541243972505</v>
      </c>
      <c r="M132" s="10">
        <f t="shared" si="18"/>
        <v>0.21013642443637343</v>
      </c>
      <c r="P132" s="8">
        <f t="shared" si="19"/>
        <v>-12.501216487795427</v>
      </c>
      <c r="X132" s="8">
        <v>-13</v>
      </c>
    </row>
    <row r="133" spans="1:24" x14ac:dyDescent="0.2">
      <c r="A133" s="8">
        <v>65.5</v>
      </c>
      <c r="B133" s="8">
        <v>131</v>
      </c>
      <c r="D133">
        <v>1430.3051801802001</v>
      </c>
      <c r="E133">
        <v>359.83108108108001</v>
      </c>
      <c r="F133">
        <v>148.63528748591</v>
      </c>
      <c r="G133">
        <v>122.77113866966999</v>
      </c>
      <c r="I133" s="9">
        <f t="shared" si="15"/>
        <v>237.05994241141002</v>
      </c>
      <c r="J133" s="9">
        <f t="shared" si="16"/>
        <v>1281.66989269429</v>
      </c>
      <c r="K133" s="9">
        <f t="shared" si="17"/>
        <v>237.05994241141002</v>
      </c>
      <c r="L133" s="10">
        <f t="shared" si="14"/>
        <v>0.18496177819474979</v>
      </c>
      <c r="M133" s="10">
        <f t="shared" si="18"/>
        <v>0.21265418259137236</v>
      </c>
      <c r="P133" s="8">
        <f t="shared" si="19"/>
        <v>-11.452846238176736</v>
      </c>
      <c r="X133" s="8">
        <v>-13</v>
      </c>
    </row>
    <row r="134" spans="1:24" x14ac:dyDescent="0.2">
      <c r="A134" s="8">
        <v>66</v>
      </c>
      <c r="B134" s="8">
        <v>132</v>
      </c>
      <c r="D134">
        <v>1495.3057432431999</v>
      </c>
      <c r="E134">
        <v>367.60135135134999</v>
      </c>
      <c r="F134">
        <v>148.79086809469999</v>
      </c>
      <c r="G134">
        <v>122.60090191657</v>
      </c>
      <c r="I134" s="9">
        <f t="shared" si="15"/>
        <v>245.00044943477999</v>
      </c>
      <c r="J134" s="9">
        <f t="shared" si="16"/>
        <v>1346.5148751484999</v>
      </c>
      <c r="K134" s="9">
        <f t="shared" si="17"/>
        <v>245.00044943477999</v>
      </c>
      <c r="L134" s="10">
        <f t="shared" si="14"/>
        <v>0.18195153574353215</v>
      </c>
      <c r="M134" s="10">
        <f t="shared" si="18"/>
        <v>0.20985533254012895</v>
      </c>
      <c r="P134" s="8">
        <f t="shared" si="19"/>
        <v>-12.618260446464181</v>
      </c>
      <c r="X134" s="8">
        <v>-13</v>
      </c>
    </row>
    <row r="135" spans="1:24" x14ac:dyDescent="0.2">
      <c r="A135" s="8">
        <v>66.5</v>
      </c>
      <c r="B135" s="8">
        <v>133</v>
      </c>
      <c r="D135">
        <v>1563.1204954955001</v>
      </c>
      <c r="E135">
        <v>385.31193693694001</v>
      </c>
      <c r="F135">
        <v>148.63134160089999</v>
      </c>
      <c r="G135">
        <v>122.46899661781001</v>
      </c>
      <c r="I135" s="9">
        <f t="shared" si="15"/>
        <v>262.84294031912998</v>
      </c>
      <c r="J135" s="9">
        <f t="shared" si="16"/>
        <v>1414.4891538946001</v>
      </c>
      <c r="K135" s="9">
        <f t="shared" si="17"/>
        <v>262.84294031912998</v>
      </c>
      <c r="L135" s="10">
        <f t="shared" si="14"/>
        <v>0.18582181390039529</v>
      </c>
      <c r="M135" s="10">
        <f t="shared" si="18"/>
        <v>0.21393700309696631</v>
      </c>
      <c r="P135" s="8">
        <f t="shared" si="19"/>
        <v>-10.918692133265868</v>
      </c>
      <c r="X135" s="8">
        <v>-13</v>
      </c>
    </row>
    <row r="136" spans="1:24" x14ac:dyDescent="0.2">
      <c r="A136" s="8">
        <v>67</v>
      </c>
      <c r="B136" s="8">
        <v>134</v>
      </c>
      <c r="D136">
        <v>1529.8149405772999</v>
      </c>
      <c r="E136">
        <v>375.59535936615998</v>
      </c>
      <c r="F136">
        <v>148.8404735062</v>
      </c>
      <c r="G136">
        <v>122.80777903044</v>
      </c>
      <c r="I136" s="9">
        <f t="shared" si="15"/>
        <v>252.78758033571998</v>
      </c>
      <c r="J136" s="9">
        <f t="shared" si="16"/>
        <v>1380.9744670711</v>
      </c>
      <c r="K136" s="9">
        <f t="shared" si="17"/>
        <v>252.78758033571998</v>
      </c>
      <c r="L136" s="10">
        <f t="shared" si="14"/>
        <v>0.18305014782196194</v>
      </c>
      <c r="M136" s="10">
        <f t="shared" si="18"/>
        <v>0.21137672941850716</v>
      </c>
      <c r="P136" s="8">
        <f t="shared" si="19"/>
        <v>-11.984765437427011</v>
      </c>
      <c r="X136" s="8">
        <v>-13</v>
      </c>
    </row>
    <row r="137" spans="1:24" x14ac:dyDescent="0.2">
      <c r="A137" s="8">
        <v>67.5</v>
      </c>
      <c r="B137" s="8">
        <v>135</v>
      </c>
      <c r="D137">
        <v>1556.0033955857</v>
      </c>
      <c r="E137">
        <v>378.44991511036</v>
      </c>
      <c r="F137">
        <v>148.75366403608001</v>
      </c>
      <c r="G137">
        <v>122.46054114994</v>
      </c>
      <c r="I137" s="9">
        <f t="shared" si="15"/>
        <v>255.98937396041998</v>
      </c>
      <c r="J137" s="9">
        <f t="shared" si="16"/>
        <v>1407.24973154962</v>
      </c>
      <c r="K137" s="9">
        <f t="shared" si="17"/>
        <v>255.98937396041998</v>
      </c>
      <c r="L137" s="10">
        <f t="shared" si="14"/>
        <v>0.18190756638378064</v>
      </c>
      <c r="M137" s="10">
        <f t="shared" si="18"/>
        <v>0.21044554038030008</v>
      </c>
      <c r="P137" s="8">
        <f t="shared" si="19"/>
        <v>-12.372503585544637</v>
      </c>
      <c r="X137" s="8">
        <v>-13</v>
      </c>
    </row>
    <row r="138" spans="1:24" x14ac:dyDescent="0.2">
      <c r="A138" s="8">
        <v>68</v>
      </c>
      <c r="B138" s="8">
        <v>136</v>
      </c>
      <c r="D138">
        <v>1497.5591397850001</v>
      </c>
      <c r="E138">
        <v>364.35936615732999</v>
      </c>
      <c r="F138">
        <v>148.46561443067</v>
      </c>
      <c r="G138">
        <v>122.67192784667</v>
      </c>
      <c r="I138" s="9">
        <f t="shared" si="15"/>
        <v>241.68743831065999</v>
      </c>
      <c r="J138" s="9">
        <f t="shared" si="16"/>
        <v>1349.09352535433</v>
      </c>
      <c r="K138" s="9">
        <f t="shared" si="17"/>
        <v>241.68743831065999</v>
      </c>
      <c r="L138" s="10">
        <f t="shared" si="14"/>
        <v>0.17914802329748225</v>
      </c>
      <c r="M138" s="10">
        <f t="shared" si="18"/>
        <v>0.20789738969397592</v>
      </c>
      <c r="P138" s="8">
        <f t="shared" si="19"/>
        <v>-13.433528992525723</v>
      </c>
      <c r="X138" s="8">
        <v>-13</v>
      </c>
    </row>
    <row r="139" spans="1:24" x14ac:dyDescent="0.2">
      <c r="A139" s="8">
        <v>68.5</v>
      </c>
      <c r="B139" s="8">
        <v>137</v>
      </c>
      <c r="D139">
        <v>1461.5981890209</v>
      </c>
      <c r="E139">
        <v>365.58630447086</v>
      </c>
      <c r="F139">
        <v>148.54904171364001</v>
      </c>
      <c r="G139">
        <v>122.57497181511</v>
      </c>
      <c r="I139" s="9">
        <f t="shared" si="15"/>
        <v>243.01133265574998</v>
      </c>
      <c r="J139" s="9">
        <f t="shared" si="16"/>
        <v>1313.04914730726</v>
      </c>
      <c r="K139" s="9">
        <f t="shared" si="17"/>
        <v>243.01133265574998</v>
      </c>
      <c r="L139" s="10">
        <f t="shared" si="14"/>
        <v>0.1850740569415138</v>
      </c>
      <c r="M139" s="10">
        <f t="shared" si="18"/>
        <v>0.21403481573798169</v>
      </c>
      <c r="P139" s="8">
        <f t="shared" si="19"/>
        <v>-10.877963891487139</v>
      </c>
      <c r="X139" s="8">
        <v>-13</v>
      </c>
    </row>
    <row r="140" spans="1:24" x14ac:dyDescent="0.2">
      <c r="A140" s="8">
        <v>69</v>
      </c>
      <c r="B140" s="8">
        <v>138</v>
      </c>
      <c r="D140">
        <v>1383.6576117714001</v>
      </c>
      <c r="E140">
        <v>354.27956989247002</v>
      </c>
      <c r="F140">
        <v>148.67756482524999</v>
      </c>
      <c r="G140">
        <v>122.29199549042001</v>
      </c>
      <c r="I140" s="9">
        <f t="shared" si="15"/>
        <v>231.98757440205003</v>
      </c>
      <c r="J140" s="9">
        <f t="shared" si="16"/>
        <v>1234.9800469461502</v>
      </c>
      <c r="K140" s="9">
        <f t="shared" si="17"/>
        <v>231.98757440205003</v>
      </c>
      <c r="L140" s="10">
        <f t="shared" si="14"/>
        <v>0.18784722471889909</v>
      </c>
      <c r="M140" s="10">
        <f t="shared" si="18"/>
        <v>0.21701937591534121</v>
      </c>
      <c r="P140" s="8">
        <f t="shared" si="19"/>
        <v>-9.6352217750817175</v>
      </c>
      <c r="X140" s="8">
        <v>-13</v>
      </c>
    </row>
    <row r="141" spans="1:24" x14ac:dyDescent="0.2">
      <c r="A141" s="8">
        <v>69.5</v>
      </c>
      <c r="B141" s="8">
        <v>139</v>
      </c>
      <c r="D141">
        <v>1348.2637238257</v>
      </c>
      <c r="E141">
        <v>349.14883984154</v>
      </c>
      <c r="F141">
        <v>148.91882750846</v>
      </c>
      <c r="G141">
        <v>122.43235625705</v>
      </c>
      <c r="I141" s="9">
        <f t="shared" si="15"/>
        <v>226.71648358448999</v>
      </c>
      <c r="J141" s="9">
        <f t="shared" si="16"/>
        <v>1199.34489631724</v>
      </c>
      <c r="K141" s="9">
        <f t="shared" si="17"/>
        <v>226.71648358448999</v>
      </c>
      <c r="L141" s="10">
        <f t="shared" si="14"/>
        <v>0.18903360016010021</v>
      </c>
      <c r="M141" s="10">
        <f t="shared" si="18"/>
        <v>0.21841714375651652</v>
      </c>
      <c r="P141" s="8">
        <f t="shared" si="19"/>
        <v>-9.0532047065827133</v>
      </c>
      <c r="X141" s="8">
        <v>-13</v>
      </c>
    </row>
    <row r="142" spans="1:24" x14ac:dyDescent="0.2">
      <c r="A142" s="8">
        <v>70</v>
      </c>
      <c r="B142" s="8">
        <v>140</v>
      </c>
      <c r="D142">
        <v>1518.8467153285001</v>
      </c>
      <c r="E142">
        <v>383.18304323413997</v>
      </c>
      <c r="F142">
        <v>148.55524239008</v>
      </c>
      <c r="G142">
        <v>122.30890642615999</v>
      </c>
      <c r="I142" s="9">
        <f t="shared" si="15"/>
        <v>260.87413680797999</v>
      </c>
      <c r="J142" s="9">
        <f t="shared" si="16"/>
        <v>1370.2914729384202</v>
      </c>
      <c r="K142" s="9">
        <f t="shared" si="17"/>
        <v>260.87413680797999</v>
      </c>
      <c r="L142" s="10">
        <f t="shared" si="14"/>
        <v>0.19037857416463941</v>
      </c>
      <c r="M142" s="10">
        <f t="shared" si="18"/>
        <v>0.21997351016102995</v>
      </c>
      <c r="P142" s="8">
        <f t="shared" si="19"/>
        <v>-8.405148723620929</v>
      </c>
      <c r="X142" s="8">
        <v>-13</v>
      </c>
    </row>
    <row r="143" spans="1:24" x14ac:dyDescent="0.2">
      <c r="A143" s="8">
        <v>70.5</v>
      </c>
      <c r="B143" s="8">
        <v>141</v>
      </c>
      <c r="D143">
        <v>1568.4169472502999</v>
      </c>
      <c r="E143">
        <v>400.18574635240998</v>
      </c>
      <c r="F143">
        <v>148.37880496054001</v>
      </c>
      <c r="G143">
        <v>122.30665163472</v>
      </c>
      <c r="I143" s="9">
        <f t="shared" si="15"/>
        <v>277.87909471769001</v>
      </c>
      <c r="J143" s="9">
        <f t="shared" si="16"/>
        <v>1420.0381422897599</v>
      </c>
      <c r="K143" s="9">
        <f t="shared" si="17"/>
        <v>277.87909471769001</v>
      </c>
      <c r="L143" s="10">
        <f t="shared" si="14"/>
        <v>0.19568424709326473</v>
      </c>
      <c r="M143" s="10">
        <f t="shared" si="18"/>
        <v>0.2254905754896295</v>
      </c>
      <c r="P143" s="8">
        <f t="shared" si="19"/>
        <v>-6.1078958503762513</v>
      </c>
      <c r="X143" s="8">
        <v>-13</v>
      </c>
    </row>
    <row r="144" spans="1:24" x14ac:dyDescent="0.2">
      <c r="A144" s="8">
        <v>71</v>
      </c>
      <c r="B144" s="8">
        <v>142</v>
      </c>
      <c r="D144">
        <v>1452.4624017957001</v>
      </c>
      <c r="E144">
        <v>373.90965207632001</v>
      </c>
      <c r="F144">
        <v>148.05242390078999</v>
      </c>
      <c r="G144">
        <v>122.12006764374</v>
      </c>
      <c r="I144" s="9">
        <f t="shared" si="15"/>
        <v>251.78958443258</v>
      </c>
      <c r="J144" s="9">
        <f t="shared" si="16"/>
        <v>1304.4099778949101</v>
      </c>
      <c r="K144" s="9">
        <f t="shared" si="17"/>
        <v>251.78958443258</v>
      </c>
      <c r="L144" s="10">
        <f t="shared" si="14"/>
        <v>0.19302948359757599</v>
      </c>
      <c r="M144" s="10">
        <f t="shared" si="18"/>
        <v>0.22304720439391496</v>
      </c>
      <c r="P144" s="8">
        <f t="shared" si="19"/>
        <v>-7.1252920448596058</v>
      </c>
    </row>
    <row r="145" spans="1:16" x14ac:dyDescent="0.2">
      <c r="A145" s="8">
        <v>71.5</v>
      </c>
      <c r="B145" s="8">
        <v>143</v>
      </c>
      <c r="D145">
        <v>1468.0460157127</v>
      </c>
      <c r="E145">
        <v>376.86644219978001</v>
      </c>
      <c r="F145">
        <v>148.54509582864</v>
      </c>
      <c r="G145">
        <v>122.09357384442001</v>
      </c>
      <c r="I145" s="9">
        <f t="shared" si="15"/>
        <v>254.77286835536</v>
      </c>
      <c r="J145" s="9">
        <f t="shared" si="16"/>
        <v>1319.5009198840598</v>
      </c>
      <c r="K145" s="9">
        <f t="shared" si="17"/>
        <v>254.77286835536</v>
      </c>
      <c r="L145" s="10">
        <f t="shared" si="14"/>
        <v>0.19308275160410351</v>
      </c>
      <c r="M145" s="10">
        <f t="shared" si="18"/>
        <v>0.2233118648004167</v>
      </c>
      <c r="P145" s="8">
        <f t="shared" si="19"/>
        <v>-7.015090000283748</v>
      </c>
    </row>
    <row r="146" spans="1:16" x14ac:dyDescent="0.2">
      <c r="A146" s="8">
        <v>72</v>
      </c>
      <c r="B146" s="8">
        <v>144</v>
      </c>
      <c r="D146">
        <v>1449.5241301908</v>
      </c>
      <c r="E146">
        <v>373.68574635240998</v>
      </c>
      <c r="F146">
        <v>148.52818489289999</v>
      </c>
      <c r="G146">
        <v>122.21420518602</v>
      </c>
      <c r="I146" s="9">
        <f t="shared" si="15"/>
        <v>251.47154116638998</v>
      </c>
      <c r="J146" s="9">
        <f t="shared" si="16"/>
        <v>1300.9959452978999</v>
      </c>
      <c r="K146" s="9">
        <f t="shared" si="17"/>
        <v>251.47154116638998</v>
      </c>
      <c r="L146" s="10">
        <f t="shared" si="14"/>
        <v>0.19329156410922438</v>
      </c>
      <c r="M146" s="10">
        <f t="shared" si="18"/>
        <v>0.22373206970551179</v>
      </c>
      <c r="P146" s="8">
        <f t="shared" si="19"/>
        <v>-6.8401207243940538</v>
      </c>
    </row>
    <row r="147" spans="1:16" x14ac:dyDescent="0.2">
      <c r="A147" s="8">
        <v>72.5</v>
      </c>
      <c r="B147" s="8">
        <v>145</v>
      </c>
      <c r="D147">
        <v>1537.8580246914</v>
      </c>
      <c r="E147">
        <v>392.01907968575</v>
      </c>
      <c r="F147">
        <v>147.80777903044</v>
      </c>
      <c r="G147">
        <v>122.09188275085</v>
      </c>
      <c r="I147" s="9">
        <f t="shared" si="15"/>
        <v>269.9271969349</v>
      </c>
      <c r="J147" s="9">
        <f t="shared" si="16"/>
        <v>1390.0502456609599</v>
      </c>
      <c r="K147" s="9">
        <f t="shared" si="17"/>
        <v>269.9271969349</v>
      </c>
      <c r="L147" s="10">
        <f t="shared" si="14"/>
        <v>0.19418520861204649</v>
      </c>
      <c r="M147" s="10">
        <f t="shared" si="18"/>
        <v>0.22483710660830813</v>
      </c>
      <c r="P147" s="8">
        <f t="shared" si="19"/>
        <v>-6.3799939996241157</v>
      </c>
    </row>
    <row r="148" spans="1:16" x14ac:dyDescent="0.2">
      <c r="A148" s="8">
        <v>73</v>
      </c>
      <c r="B148" s="8">
        <v>146</v>
      </c>
      <c r="D148">
        <v>1610.0134680135</v>
      </c>
      <c r="E148">
        <v>407.43434343434001</v>
      </c>
      <c r="F148">
        <v>147.98872604284</v>
      </c>
      <c r="G148">
        <v>122.34441939121</v>
      </c>
      <c r="I148" s="9">
        <f t="shared" si="15"/>
        <v>285.08992404313</v>
      </c>
      <c r="J148" s="9">
        <f t="shared" si="16"/>
        <v>1462.02474197066</v>
      </c>
      <c r="K148" s="9">
        <f t="shared" si="17"/>
        <v>285.08992404313</v>
      </c>
      <c r="L148" s="10">
        <f t="shared" si="14"/>
        <v>0.19499664804499678</v>
      </c>
      <c r="M148" s="10">
        <f t="shared" si="18"/>
        <v>0.22585993844123264</v>
      </c>
      <c r="P148" s="8">
        <f t="shared" si="19"/>
        <v>-5.9540966743103336</v>
      </c>
    </row>
    <row r="149" spans="1:16" x14ac:dyDescent="0.2">
      <c r="A149" s="8">
        <v>73.5</v>
      </c>
      <c r="B149" s="8">
        <v>147</v>
      </c>
      <c r="D149">
        <v>1580.6732394365999</v>
      </c>
      <c r="E149">
        <v>396.20338028168999</v>
      </c>
      <c r="F149">
        <v>148.12175873731999</v>
      </c>
      <c r="G149">
        <v>122.54340473505999</v>
      </c>
      <c r="I149" s="9">
        <f t="shared" si="15"/>
        <v>273.65997554662999</v>
      </c>
      <c r="J149" s="9">
        <f t="shared" si="16"/>
        <v>1432.5514806992799</v>
      </c>
      <c r="K149" s="9">
        <f t="shared" si="17"/>
        <v>273.65997554662999</v>
      </c>
      <c r="L149" s="10">
        <f t="shared" si="14"/>
        <v>0.19102976698125132</v>
      </c>
      <c r="M149" s="10">
        <f t="shared" si="18"/>
        <v>0.22210444977746138</v>
      </c>
      <c r="P149" s="8">
        <f t="shared" si="19"/>
        <v>-7.5178459883820405</v>
      </c>
    </row>
    <row r="150" spans="1:16" x14ac:dyDescent="0.2">
      <c r="A150" s="8">
        <v>74</v>
      </c>
      <c r="B150" s="8">
        <v>148</v>
      </c>
      <c r="D150">
        <v>1618.9571830985999</v>
      </c>
      <c r="E150">
        <v>409.75605633803002</v>
      </c>
      <c r="F150">
        <v>148.58117249155001</v>
      </c>
      <c r="G150">
        <v>122.28861330327</v>
      </c>
      <c r="I150" s="9">
        <f t="shared" si="15"/>
        <v>287.46744303476004</v>
      </c>
      <c r="J150" s="9">
        <f t="shared" si="16"/>
        <v>1470.3760106070499</v>
      </c>
      <c r="K150" s="9">
        <f t="shared" si="17"/>
        <v>287.46744303476004</v>
      </c>
      <c r="L150" s="10">
        <f t="shared" si="14"/>
        <v>0.19550607529027769</v>
      </c>
      <c r="M150" s="10">
        <f t="shared" si="18"/>
        <v>0.22679215048646198</v>
      </c>
      <c r="P150" s="8">
        <f t="shared" si="19"/>
        <v>-5.5659325559202415</v>
      </c>
    </row>
    <row r="151" spans="1:16" x14ac:dyDescent="0.2">
      <c r="A151" s="8">
        <v>74.5</v>
      </c>
      <c r="B151" s="8">
        <v>149</v>
      </c>
      <c r="D151">
        <v>1523.8510158014001</v>
      </c>
      <c r="E151">
        <v>387.01693002257002</v>
      </c>
      <c r="F151">
        <v>148.22040586246001</v>
      </c>
      <c r="G151">
        <v>121.76606538895</v>
      </c>
      <c r="I151" s="9">
        <f t="shared" si="15"/>
        <v>265.25086463362004</v>
      </c>
      <c r="J151" s="9">
        <f t="shared" si="16"/>
        <v>1375.6306099389401</v>
      </c>
      <c r="K151" s="9">
        <f t="shared" si="17"/>
        <v>265.25086463362004</v>
      </c>
      <c r="L151" s="10">
        <f t="shared" si="14"/>
        <v>0.19282128699171189</v>
      </c>
      <c r="M151" s="10">
        <f t="shared" si="18"/>
        <v>0.2243187545878704</v>
      </c>
      <c r="P151" s="8">
        <f t="shared" si="19"/>
        <v>-6.5958307891814076</v>
      </c>
    </row>
    <row r="152" spans="1:16" x14ac:dyDescent="0.2">
      <c r="A152" s="8">
        <v>75</v>
      </c>
      <c r="B152" s="8">
        <v>150</v>
      </c>
      <c r="D152">
        <v>1473.1867945823999</v>
      </c>
      <c r="E152">
        <v>378.19413092551002</v>
      </c>
      <c r="F152">
        <v>147.62401352875</v>
      </c>
      <c r="G152">
        <v>122.0107102593</v>
      </c>
      <c r="I152" s="9">
        <f t="shared" si="15"/>
        <v>256.18342066621005</v>
      </c>
      <c r="J152" s="9">
        <f t="shared" si="16"/>
        <v>1325.5627810536498</v>
      </c>
      <c r="K152" s="9">
        <f t="shared" si="17"/>
        <v>256.18342066621005</v>
      </c>
      <c r="L152" s="10">
        <f t="shared" si="14"/>
        <v>0.19326389087552504</v>
      </c>
      <c r="M152" s="10">
        <f t="shared" si="18"/>
        <v>0.22497275087165775</v>
      </c>
      <c r="P152" s="8">
        <f t="shared" si="19"/>
        <v>-6.323513034625619</v>
      </c>
    </row>
    <row r="153" spans="1:16" x14ac:dyDescent="0.2">
      <c r="A153" s="8">
        <v>75.5</v>
      </c>
      <c r="B153" s="8">
        <v>151</v>
      </c>
      <c r="D153">
        <v>1472.5308988764</v>
      </c>
      <c r="E153">
        <v>372.84269662921002</v>
      </c>
      <c r="F153">
        <v>147.84723788049999</v>
      </c>
      <c r="G153">
        <v>122.25873731679999</v>
      </c>
      <c r="I153" s="9">
        <f t="shared" si="15"/>
        <v>250.58395931241003</v>
      </c>
      <c r="J153" s="9">
        <f t="shared" si="16"/>
        <v>1324.6836609959</v>
      </c>
      <c r="K153" s="9">
        <f t="shared" si="17"/>
        <v>250.58395931241003</v>
      </c>
      <c r="L153" s="10">
        <f t="shared" si="14"/>
        <v>0.18916513179004599</v>
      </c>
      <c r="M153" s="10">
        <f t="shared" si="18"/>
        <v>0.22108538418615292</v>
      </c>
      <c r="P153" s="8">
        <f t="shared" si="19"/>
        <v>-7.9421750869559746</v>
      </c>
    </row>
    <row r="154" spans="1:16" x14ac:dyDescent="0.2">
      <c r="A154" s="8">
        <v>76</v>
      </c>
      <c r="B154" s="8">
        <v>152</v>
      </c>
      <c r="D154">
        <v>1549.7707865169</v>
      </c>
      <c r="E154">
        <v>397.35842696628998</v>
      </c>
      <c r="F154">
        <v>147.71589627959</v>
      </c>
      <c r="G154">
        <v>121.96561443067</v>
      </c>
      <c r="I154" s="9">
        <f t="shared" si="15"/>
        <v>275.39281253562001</v>
      </c>
      <c r="J154" s="9">
        <f t="shared" si="16"/>
        <v>1402.05489023731</v>
      </c>
      <c r="K154" s="9">
        <f t="shared" si="17"/>
        <v>275.39281253562001</v>
      </c>
      <c r="L154" s="10">
        <f t="shared" si="14"/>
        <v>0.19642084946403729</v>
      </c>
      <c r="M154" s="10">
        <f t="shared" si="18"/>
        <v>0.22855249426011845</v>
      </c>
      <c r="P154" s="8">
        <f t="shared" si="19"/>
        <v>-4.8329423607584205</v>
      </c>
    </row>
    <row r="155" spans="1:16" x14ac:dyDescent="0.2">
      <c r="A155" s="8">
        <v>76.5</v>
      </c>
      <c r="B155" s="8">
        <v>153</v>
      </c>
      <c r="D155">
        <v>1621.5470852018</v>
      </c>
      <c r="E155">
        <v>407.39013452914998</v>
      </c>
      <c r="F155">
        <v>147.54565952649</v>
      </c>
      <c r="G155">
        <v>122.4222096956</v>
      </c>
      <c r="I155" s="9">
        <f t="shared" si="15"/>
        <v>284.96792483355</v>
      </c>
      <c r="J155" s="9">
        <f t="shared" si="16"/>
        <v>1474.00142567531</v>
      </c>
      <c r="K155" s="9">
        <f t="shared" si="17"/>
        <v>284.96792483355</v>
      </c>
      <c r="L155" s="10">
        <f t="shared" si="14"/>
        <v>0.19332947707495785</v>
      </c>
      <c r="M155" s="10">
        <f t="shared" si="18"/>
        <v>0.22567251427101323</v>
      </c>
      <c r="P155" s="8">
        <f t="shared" si="19"/>
        <v>-6.0321382938866126</v>
      </c>
    </row>
    <row r="156" spans="1:16" x14ac:dyDescent="0.2">
      <c r="A156" s="8">
        <v>77</v>
      </c>
      <c r="B156" s="8">
        <v>154</v>
      </c>
      <c r="D156">
        <v>1571.6555806087999</v>
      </c>
      <c r="E156">
        <v>394.97519729424999</v>
      </c>
      <c r="F156">
        <v>147.62570462232</v>
      </c>
      <c r="G156">
        <v>121.72040586246</v>
      </c>
      <c r="I156" s="9">
        <f t="shared" si="15"/>
        <v>273.25479143179001</v>
      </c>
      <c r="J156" s="9">
        <f t="shared" si="16"/>
        <v>1424.02987598648</v>
      </c>
      <c r="K156" s="9">
        <f t="shared" si="17"/>
        <v>273.25479143179001</v>
      </c>
      <c r="L156" s="10">
        <f t="shared" si="14"/>
        <v>0.19188838383218326</v>
      </c>
      <c r="M156" s="10">
        <f t="shared" si="18"/>
        <v>0.22444281342821287</v>
      </c>
      <c r="P156" s="8">
        <f t="shared" si="19"/>
        <v>-6.5441738827549445</v>
      </c>
    </row>
    <row r="157" spans="1:16" x14ac:dyDescent="0.2">
      <c r="A157" s="8">
        <v>77.5</v>
      </c>
      <c r="B157" s="8">
        <v>155</v>
      </c>
      <c r="D157">
        <v>1548.892897407</v>
      </c>
      <c r="E157">
        <v>390.35343855692997</v>
      </c>
      <c r="F157">
        <v>147.56764374295</v>
      </c>
      <c r="G157">
        <v>122.07497181511</v>
      </c>
      <c r="I157" s="9">
        <f t="shared" si="15"/>
        <v>268.27846674181995</v>
      </c>
      <c r="J157" s="9">
        <f t="shared" si="16"/>
        <v>1401.32525366405</v>
      </c>
      <c r="K157" s="9">
        <f t="shared" si="17"/>
        <v>268.27846674181995</v>
      </c>
      <c r="L157" s="10">
        <f t="shared" si="14"/>
        <v>0.19144625135410306</v>
      </c>
      <c r="M157" s="10">
        <f t="shared" si="18"/>
        <v>0.22421207335010687</v>
      </c>
      <c r="P157" s="8">
        <f t="shared" si="19"/>
        <v>-6.6402518292410813</v>
      </c>
    </row>
    <row r="158" spans="1:16" x14ac:dyDescent="0.2">
      <c r="A158" s="8">
        <v>78</v>
      </c>
      <c r="B158" s="8">
        <v>156</v>
      </c>
      <c r="D158">
        <v>1598.809926678</v>
      </c>
      <c r="E158">
        <v>396.87986463621002</v>
      </c>
      <c r="F158">
        <v>147.55411499435999</v>
      </c>
      <c r="G158">
        <v>121.60202931229</v>
      </c>
      <c r="I158" s="9">
        <f t="shared" si="15"/>
        <v>275.27783532392004</v>
      </c>
      <c r="J158" s="9">
        <f t="shared" si="16"/>
        <v>1451.2558116836401</v>
      </c>
      <c r="K158" s="9">
        <f t="shared" si="17"/>
        <v>275.27783532392004</v>
      </c>
      <c r="L158" s="10">
        <f t="shared" si="14"/>
        <v>0.18968250332418168</v>
      </c>
      <c r="M158" s="10">
        <f t="shared" si="18"/>
        <v>0.22265971772015972</v>
      </c>
      <c r="P158" s="8">
        <f t="shared" si="19"/>
        <v>-7.2866377642974074</v>
      </c>
    </row>
    <row r="159" spans="1:16" x14ac:dyDescent="0.2">
      <c r="A159" s="8">
        <v>78.5</v>
      </c>
      <c r="B159" s="8">
        <v>157</v>
      </c>
      <c r="D159">
        <v>1585.2111731844</v>
      </c>
      <c r="E159">
        <v>392.99106145251</v>
      </c>
      <c r="F159">
        <v>147.90642615557999</v>
      </c>
      <c r="G159">
        <v>121.87429537768</v>
      </c>
      <c r="I159" s="9">
        <f t="shared" si="15"/>
        <v>271.11676607483002</v>
      </c>
      <c r="J159" s="9">
        <f t="shared" si="16"/>
        <v>1437.30474702882</v>
      </c>
      <c r="K159" s="9">
        <f t="shared" si="17"/>
        <v>271.11676607483002</v>
      </c>
      <c r="L159" s="10">
        <f t="shared" si="14"/>
        <v>0.18862858877720923</v>
      </c>
      <c r="M159" s="10">
        <f t="shared" si="18"/>
        <v>0.22181719557316149</v>
      </c>
      <c r="P159" s="8">
        <f t="shared" si="19"/>
        <v>-7.6374558727817714</v>
      </c>
    </row>
    <row r="160" spans="1:16" x14ac:dyDescent="0.2">
      <c r="A160" s="8">
        <v>79</v>
      </c>
      <c r="B160" s="8">
        <v>158</v>
      </c>
      <c r="D160">
        <v>1656.7558659218</v>
      </c>
      <c r="E160">
        <v>407.13798882681999</v>
      </c>
      <c r="F160">
        <v>147.53269447576</v>
      </c>
      <c r="G160">
        <v>121.75986471250999</v>
      </c>
      <c r="I160" s="9">
        <f t="shared" si="15"/>
        <v>285.37812411431003</v>
      </c>
      <c r="J160" s="9">
        <f t="shared" si="16"/>
        <v>1509.2231714460399</v>
      </c>
      <c r="K160" s="9">
        <f t="shared" si="17"/>
        <v>285.37812411431003</v>
      </c>
      <c r="L160" s="10">
        <f t="shared" si="14"/>
        <v>0.18908941335752166</v>
      </c>
      <c r="M160" s="10">
        <f t="shared" si="18"/>
        <v>0.22248941255344812</v>
      </c>
      <c r="P160" s="8">
        <f t="shared" si="19"/>
        <v>-7.3575511956697968</v>
      </c>
    </row>
    <row r="161" spans="1:16" x14ac:dyDescent="0.2">
      <c r="A161" s="8">
        <v>79.5</v>
      </c>
      <c r="B161" s="8">
        <v>159</v>
      </c>
      <c r="D161">
        <v>1735.7480270574999</v>
      </c>
      <c r="E161">
        <v>407.09526493799001</v>
      </c>
      <c r="F161">
        <v>147.64205186020001</v>
      </c>
      <c r="G161">
        <v>122.0281848929</v>
      </c>
      <c r="I161" s="9">
        <f t="shared" si="15"/>
        <v>285.06708004508999</v>
      </c>
      <c r="J161" s="9">
        <f t="shared" si="16"/>
        <v>1588.1059751972998</v>
      </c>
      <c r="K161" s="9">
        <f t="shared" si="17"/>
        <v>285.06708004508999</v>
      </c>
      <c r="L161" s="10">
        <f t="shared" si="14"/>
        <v>0.17950129556667302</v>
      </c>
      <c r="M161" s="10">
        <f t="shared" si="18"/>
        <v>0.2131126871625737</v>
      </c>
      <c r="P161" s="8">
        <f t="shared" si="19"/>
        <v>-11.261929350147888</v>
      </c>
    </row>
    <row r="162" spans="1:16" x14ac:dyDescent="0.2">
      <c r="A162" s="8">
        <v>80</v>
      </c>
      <c r="B162" s="4">
        <v>160</v>
      </c>
      <c r="C162" s="4" t="s">
        <v>6</v>
      </c>
      <c r="D162">
        <v>1792.9069898534001</v>
      </c>
      <c r="E162">
        <v>411.28466741826003</v>
      </c>
      <c r="F162">
        <v>147.39627959414</v>
      </c>
      <c r="G162">
        <v>121.66516347238</v>
      </c>
      <c r="H162" s="4"/>
      <c r="I162" s="5">
        <f t="shared" si="15"/>
        <v>289.61950394588001</v>
      </c>
      <c r="J162" s="5">
        <f t="shared" si="16"/>
        <v>1645.5107102592601</v>
      </c>
      <c r="K162" s="9">
        <f t="shared" si="17"/>
        <v>289.61950394588001</v>
      </c>
      <c r="L162" s="6">
        <f t="shared" si="14"/>
        <v>0.1760058455652645</v>
      </c>
      <c r="M162" s="6">
        <f t="shared" si="18"/>
        <v>0.2098286295611394</v>
      </c>
      <c r="N162" s="4"/>
      <c r="O162" s="4"/>
      <c r="P162" s="4">
        <f t="shared" si="19"/>
        <v>-12.629379309764555</v>
      </c>
    </row>
    <row r="163" spans="1:16" x14ac:dyDescent="0.2">
      <c r="A163" s="8">
        <v>80.5</v>
      </c>
      <c r="B163" s="8">
        <v>161</v>
      </c>
      <c r="D163">
        <v>1693.0636978580001</v>
      </c>
      <c r="E163">
        <v>398.55467869222002</v>
      </c>
      <c r="F163">
        <v>147.37373167982</v>
      </c>
      <c r="G163">
        <v>121.69729425028</v>
      </c>
      <c r="I163" s="9">
        <f t="shared" si="15"/>
        <v>276.85738444194004</v>
      </c>
      <c r="J163" s="9">
        <f t="shared" si="16"/>
        <v>1545.6899661781802</v>
      </c>
      <c r="K163" s="9">
        <f t="shared" si="17"/>
        <v>276.85738444194004</v>
      </c>
      <c r="L163" s="10">
        <f t="shared" si="14"/>
        <v>0.17911572857426777</v>
      </c>
      <c r="M163" s="10">
        <f t="shared" si="18"/>
        <v>0.2131499049701169</v>
      </c>
      <c r="P163" s="8">
        <f t="shared" si="19"/>
        <v>-11.246432213496037</v>
      </c>
    </row>
    <row r="164" spans="1:16" x14ac:dyDescent="0.2">
      <c r="A164" s="8">
        <v>81</v>
      </c>
      <c r="B164" s="8">
        <v>162</v>
      </c>
      <c r="D164">
        <v>1613.9080654258</v>
      </c>
      <c r="E164">
        <v>390.26057529611001</v>
      </c>
      <c r="F164">
        <v>147.21927846674001</v>
      </c>
      <c r="G164">
        <v>121.63190529876</v>
      </c>
      <c r="I164" s="9">
        <f t="shared" si="15"/>
        <v>268.62866999735002</v>
      </c>
      <c r="J164" s="9">
        <f t="shared" si="16"/>
        <v>1466.6887869590601</v>
      </c>
      <c r="K164" s="9">
        <f t="shared" si="17"/>
        <v>268.62866999735002</v>
      </c>
      <c r="L164" s="10">
        <f t="shared" si="14"/>
        <v>0.18315314904282301</v>
      </c>
      <c r="M164" s="10">
        <f t="shared" si="18"/>
        <v>0.21739871783864634</v>
      </c>
      <c r="P164" s="8">
        <f t="shared" si="19"/>
        <v>-9.4772674512970312</v>
      </c>
    </row>
    <row r="165" spans="1:16" x14ac:dyDescent="0.2">
      <c r="A165" s="8">
        <v>81.5</v>
      </c>
      <c r="B165" s="8">
        <v>163</v>
      </c>
      <c r="D165">
        <v>1544.2379077615001</v>
      </c>
      <c r="E165">
        <v>380.31777277840001</v>
      </c>
      <c r="F165">
        <v>147.85907553550999</v>
      </c>
      <c r="G165">
        <v>121.74126268320001</v>
      </c>
      <c r="I165" s="9">
        <f t="shared" si="15"/>
        <v>258.57651009519998</v>
      </c>
      <c r="J165" s="9">
        <f t="shared" si="16"/>
        <v>1396.3788322259902</v>
      </c>
      <c r="K165" s="9">
        <f t="shared" si="17"/>
        <v>258.57651009519998</v>
      </c>
      <c r="L165" s="10">
        <f t="shared" si="14"/>
        <v>0.18517647512817059</v>
      </c>
      <c r="M165" s="10">
        <f t="shared" si="18"/>
        <v>0.21963343632396815</v>
      </c>
      <c r="P165" s="8">
        <f t="shared" si="19"/>
        <v>-8.5467521944473095</v>
      </c>
    </row>
    <row r="166" spans="1:16" x14ac:dyDescent="0.2">
      <c r="A166" s="8">
        <v>82</v>
      </c>
      <c r="B166" s="8">
        <v>164</v>
      </c>
      <c r="D166">
        <v>1592.7263513513999</v>
      </c>
      <c r="E166">
        <v>381.58952702702999</v>
      </c>
      <c r="F166">
        <v>147.50507328072001</v>
      </c>
      <c r="G166">
        <v>121.98647125140999</v>
      </c>
      <c r="I166" s="9">
        <f t="shared" si="15"/>
        <v>259.60305577561996</v>
      </c>
      <c r="J166" s="9">
        <f t="shared" si="16"/>
        <v>1445.22127807068</v>
      </c>
      <c r="K166" s="9">
        <f t="shared" si="17"/>
        <v>259.60305577561996</v>
      </c>
      <c r="L166" s="10">
        <f t="shared" si="14"/>
        <v>0.1796285867878869</v>
      </c>
      <c r="M166" s="10">
        <f t="shared" si="18"/>
        <v>0.21429694038365868</v>
      </c>
      <c r="P166" s="8">
        <f t="shared" si="19"/>
        <v>-10.768817713299224</v>
      </c>
    </row>
    <row r="167" spans="1:16" x14ac:dyDescent="0.2">
      <c r="A167" s="8">
        <v>82.5</v>
      </c>
      <c r="B167" s="8">
        <v>165</v>
      </c>
      <c r="D167">
        <v>1607.0833333333001</v>
      </c>
      <c r="E167">
        <v>385.05180180180002</v>
      </c>
      <c r="F167">
        <v>147.45264937992999</v>
      </c>
      <c r="G167">
        <v>121.81341600902</v>
      </c>
      <c r="I167" s="9">
        <f t="shared" si="15"/>
        <v>263.23838579278004</v>
      </c>
      <c r="J167" s="9">
        <f t="shared" si="16"/>
        <v>1459.63068395337</v>
      </c>
      <c r="K167" s="9">
        <f t="shared" si="17"/>
        <v>263.23838579278004</v>
      </c>
      <c r="L167" s="10">
        <f t="shared" si="14"/>
        <v>0.18034588385043129</v>
      </c>
      <c r="M167" s="10">
        <f t="shared" si="18"/>
        <v>0.2152256298461773</v>
      </c>
      <c r="P167" s="8">
        <f t="shared" si="19"/>
        <v>-10.382120364427246</v>
      </c>
    </row>
    <row r="168" spans="1:16" x14ac:dyDescent="0.2">
      <c r="A168" s="8">
        <v>83</v>
      </c>
      <c r="B168" s="8">
        <v>166</v>
      </c>
      <c r="D168">
        <v>1525.481981982</v>
      </c>
      <c r="E168">
        <v>371.66272522523002</v>
      </c>
      <c r="F168">
        <v>147.73449830890999</v>
      </c>
      <c r="G168">
        <v>122.06087936866</v>
      </c>
      <c r="I168" s="9">
        <f t="shared" si="15"/>
        <v>249.60184585657004</v>
      </c>
      <c r="J168" s="9">
        <f t="shared" si="16"/>
        <v>1377.7474836730901</v>
      </c>
      <c r="K168" s="9">
        <f t="shared" si="17"/>
        <v>249.60184585657004</v>
      </c>
      <c r="L168" s="10">
        <f t="shared" si="14"/>
        <v>0.18116661348647775</v>
      </c>
      <c r="M168" s="10">
        <f t="shared" si="18"/>
        <v>0.21625775188219798</v>
      </c>
      <c r="P168" s="8">
        <f t="shared" si="19"/>
        <v>-9.9523546880092884</v>
      </c>
    </row>
    <row r="169" spans="1:16" x14ac:dyDescent="0.2">
      <c r="A169" s="8">
        <v>83.5</v>
      </c>
      <c r="B169" s="8">
        <v>167</v>
      </c>
      <c r="D169">
        <v>1567.3575450451001</v>
      </c>
      <c r="E169">
        <v>378.66722972973002</v>
      </c>
      <c r="F169">
        <v>148.03043968432999</v>
      </c>
      <c r="G169">
        <v>122.16629086810001</v>
      </c>
      <c r="I169" s="9">
        <f t="shared" si="15"/>
        <v>256.50093886163</v>
      </c>
      <c r="J169" s="9">
        <f t="shared" si="16"/>
        <v>1419.32710536077</v>
      </c>
      <c r="K169" s="9">
        <f t="shared" si="17"/>
        <v>256.50093886163</v>
      </c>
      <c r="L169" s="10">
        <f t="shared" si="14"/>
        <v>0.18072010172484632</v>
      </c>
      <c r="M169" s="10">
        <f t="shared" si="18"/>
        <v>0.21602263252054074</v>
      </c>
      <c r="P169" s="8">
        <f t="shared" si="19"/>
        <v>-10.050256125993466</v>
      </c>
    </row>
    <row r="170" spans="1:16" x14ac:dyDescent="0.2">
      <c r="A170" s="8">
        <v>84</v>
      </c>
      <c r="B170" s="8">
        <v>168</v>
      </c>
      <c r="D170">
        <v>1602.3755630630999</v>
      </c>
      <c r="E170">
        <v>382.53265765766002</v>
      </c>
      <c r="F170">
        <v>147.80326944757999</v>
      </c>
      <c r="G170">
        <v>121.82638105975001</v>
      </c>
      <c r="I170" s="9">
        <f t="shared" si="15"/>
        <v>260.70627659791</v>
      </c>
      <c r="J170" s="9">
        <f t="shared" si="16"/>
        <v>1454.5722936155198</v>
      </c>
      <c r="K170" s="9">
        <f t="shared" si="17"/>
        <v>260.70627659791</v>
      </c>
      <c r="L170" s="10">
        <f t="shared" si="14"/>
        <v>0.1792322579924111</v>
      </c>
      <c r="M170" s="10">
        <f t="shared" si="18"/>
        <v>0.21474618118807975</v>
      </c>
      <c r="P170" s="8">
        <f t="shared" si="19"/>
        <v>-10.581758168547189</v>
      </c>
    </row>
    <row r="171" spans="1:16" x14ac:dyDescent="0.2">
      <c r="A171" s="8">
        <v>84.5</v>
      </c>
      <c r="B171" s="8">
        <v>169</v>
      </c>
      <c r="D171">
        <v>1619.6295045044999</v>
      </c>
      <c r="E171">
        <v>384.20664414414</v>
      </c>
      <c r="F171">
        <v>147.76775648252999</v>
      </c>
      <c r="G171">
        <v>122.13416009018999</v>
      </c>
      <c r="I171" s="9">
        <f t="shared" si="15"/>
        <v>262.07248405395001</v>
      </c>
      <c r="J171" s="9">
        <f t="shared" si="16"/>
        <v>1471.86174802197</v>
      </c>
      <c r="K171" s="9">
        <f t="shared" si="17"/>
        <v>262.07248405395001</v>
      </c>
      <c r="L171" s="10">
        <f t="shared" si="14"/>
        <v>0.17805509546405993</v>
      </c>
      <c r="M171" s="10">
        <f t="shared" si="18"/>
        <v>0.2137804110597028</v>
      </c>
      <c r="P171" s="8">
        <f t="shared" si="19"/>
        <v>-10.983895549594118</v>
      </c>
    </row>
    <row r="172" spans="1:16" x14ac:dyDescent="0.2">
      <c r="A172" s="8">
        <v>85</v>
      </c>
      <c r="B172" s="8">
        <v>170</v>
      </c>
      <c r="D172">
        <v>1573.0130016958999</v>
      </c>
      <c r="E172">
        <v>376.69135104578999</v>
      </c>
      <c r="F172">
        <v>147.92841037203999</v>
      </c>
      <c r="G172">
        <v>121.9329199549</v>
      </c>
      <c r="I172" s="9">
        <f t="shared" si="15"/>
        <v>254.75843109088999</v>
      </c>
      <c r="J172" s="9">
        <f t="shared" si="16"/>
        <v>1425.08459132386</v>
      </c>
      <c r="K172" s="9">
        <f t="shared" si="17"/>
        <v>254.75843109088999</v>
      </c>
      <c r="L172" s="10">
        <f t="shared" si="14"/>
        <v>0.17876723433956099</v>
      </c>
      <c r="M172" s="10">
        <f t="shared" si="18"/>
        <v>0.21470394233517809</v>
      </c>
      <c r="P172" s="8">
        <f t="shared" si="19"/>
        <v>-10.599346020133414</v>
      </c>
    </row>
    <row r="173" spans="1:16" x14ac:dyDescent="0.2">
      <c r="A173" s="8">
        <v>85.5</v>
      </c>
      <c r="B173" s="8">
        <v>171</v>
      </c>
      <c r="D173">
        <v>1550.3555681175999</v>
      </c>
      <c r="E173">
        <v>374.20915771621998</v>
      </c>
      <c r="F173">
        <v>148.25817361893999</v>
      </c>
      <c r="G173">
        <v>122.21476888388</v>
      </c>
      <c r="I173" s="9">
        <f t="shared" si="15"/>
        <v>251.99438883233998</v>
      </c>
      <c r="J173" s="9">
        <f t="shared" si="16"/>
        <v>1402.0973944986599</v>
      </c>
      <c r="K173" s="9">
        <f t="shared" si="17"/>
        <v>251.99438883233998</v>
      </c>
      <c r="L173" s="10">
        <f t="shared" si="14"/>
        <v>0.17972673640296163</v>
      </c>
      <c r="M173" s="10">
        <f t="shared" si="18"/>
        <v>0.21587483679855293</v>
      </c>
      <c r="P173" s="8">
        <f t="shared" si="19"/>
        <v>-10.111796841349822</v>
      </c>
    </row>
    <row r="174" spans="1:16" x14ac:dyDescent="0.2">
      <c r="A174" s="8">
        <v>86</v>
      </c>
      <c r="B174" s="8">
        <v>172</v>
      </c>
      <c r="D174">
        <v>1575.6401579244</v>
      </c>
      <c r="E174">
        <v>376.29780033841001</v>
      </c>
      <c r="F174">
        <v>147.92051860203</v>
      </c>
      <c r="G174">
        <v>122.19616685457</v>
      </c>
      <c r="I174" s="9">
        <f t="shared" si="15"/>
        <v>254.10163348384003</v>
      </c>
      <c r="J174" s="9">
        <f t="shared" si="16"/>
        <v>1427.7196393223701</v>
      </c>
      <c r="K174" s="9">
        <f t="shared" si="17"/>
        <v>254.10163348384003</v>
      </c>
      <c r="L174" s="10">
        <f t="shared" si="14"/>
        <v>0.17797726282202209</v>
      </c>
      <c r="M174" s="10">
        <f t="shared" si="18"/>
        <v>0.21433675561758761</v>
      </c>
      <c r="P174" s="8">
        <f t="shared" si="19"/>
        <v>-10.752239033313689</v>
      </c>
    </row>
    <row r="175" spans="1:16" x14ac:dyDescent="0.2">
      <c r="A175" s="8">
        <v>86.5</v>
      </c>
      <c r="B175" s="8">
        <v>173</v>
      </c>
      <c r="D175">
        <v>1556.9069373943</v>
      </c>
      <c r="E175">
        <v>372.22786238014999</v>
      </c>
      <c r="F175">
        <v>148.24633596391999</v>
      </c>
      <c r="G175">
        <v>122.08229988726001</v>
      </c>
      <c r="I175" s="9">
        <f t="shared" si="15"/>
        <v>250.14556249288998</v>
      </c>
      <c r="J175" s="9">
        <f t="shared" si="16"/>
        <v>1408.66060143038</v>
      </c>
      <c r="K175" s="9">
        <f t="shared" si="17"/>
        <v>250.14556249288998</v>
      </c>
      <c r="L175" s="10">
        <f t="shared" si="14"/>
        <v>0.17757688561665425</v>
      </c>
      <c r="M175" s="10">
        <f t="shared" si="18"/>
        <v>0.21414777081219399</v>
      </c>
      <c r="P175" s="8">
        <f t="shared" si="19"/>
        <v>-10.830930486347521</v>
      </c>
    </row>
    <row r="176" spans="1:16" x14ac:dyDescent="0.2">
      <c r="A176" s="8">
        <v>87</v>
      </c>
      <c r="B176" s="8">
        <v>174</v>
      </c>
      <c r="D176">
        <v>1542.3231810491</v>
      </c>
      <c r="E176">
        <v>371.23632261703</v>
      </c>
      <c r="F176">
        <v>148.15670800450999</v>
      </c>
      <c r="G176">
        <v>122.17474633595999</v>
      </c>
      <c r="I176" s="9">
        <f t="shared" si="15"/>
        <v>249.06157628107002</v>
      </c>
      <c r="J176" s="9">
        <f t="shared" si="16"/>
        <v>1394.16647304459</v>
      </c>
      <c r="K176" s="9">
        <f t="shared" si="17"/>
        <v>249.06157628107002</v>
      </c>
      <c r="L176" s="10">
        <f t="shared" si="14"/>
        <v>0.17864550690074169</v>
      </c>
      <c r="M176" s="10">
        <f t="shared" si="18"/>
        <v>0.21542778449625566</v>
      </c>
      <c r="P176" s="8">
        <f t="shared" si="19"/>
        <v>-10.297945114892878</v>
      </c>
    </row>
    <row r="177" spans="1:16" x14ac:dyDescent="0.2">
      <c r="A177" s="8">
        <v>87.5</v>
      </c>
      <c r="B177" s="8">
        <v>175</v>
      </c>
      <c r="D177">
        <v>1454.8962210942</v>
      </c>
      <c r="E177">
        <v>357.50479413424</v>
      </c>
      <c r="F177">
        <v>147.95603156708</v>
      </c>
      <c r="G177">
        <v>122.01860202931</v>
      </c>
      <c r="I177" s="9">
        <f t="shared" si="15"/>
        <v>235.48619210493001</v>
      </c>
      <c r="J177" s="9">
        <f t="shared" si="16"/>
        <v>1306.9401895271199</v>
      </c>
      <c r="K177" s="9">
        <f t="shared" si="17"/>
        <v>235.48619210493001</v>
      </c>
      <c r="L177" s="10">
        <f t="shared" si="14"/>
        <v>0.18018130744769137</v>
      </c>
      <c r="M177" s="10">
        <f t="shared" si="18"/>
        <v>0.21717497744317954</v>
      </c>
      <c r="P177" s="8">
        <f t="shared" si="19"/>
        <v>-9.5704307973394602</v>
      </c>
    </row>
    <row r="178" spans="1:16" x14ac:dyDescent="0.2">
      <c r="A178" s="8">
        <v>88</v>
      </c>
      <c r="B178" s="8">
        <v>176</v>
      </c>
      <c r="D178">
        <v>1482.8116515837</v>
      </c>
      <c r="E178">
        <v>361.67307692307998</v>
      </c>
      <c r="F178">
        <v>148.24239007892001</v>
      </c>
      <c r="G178">
        <v>122.25422773394</v>
      </c>
      <c r="I178" s="9">
        <f t="shared" si="15"/>
        <v>239.41884918913996</v>
      </c>
      <c r="J178" s="9">
        <f t="shared" si="16"/>
        <v>1334.5692615047801</v>
      </c>
      <c r="K178" s="9">
        <f t="shared" si="17"/>
        <v>239.41884918913996</v>
      </c>
      <c r="L178" s="10">
        <f t="shared" si="14"/>
        <v>0.17939784475418358</v>
      </c>
      <c r="M178" s="10">
        <f t="shared" si="18"/>
        <v>0.21660290714964597</v>
      </c>
      <c r="P178" s="8">
        <f t="shared" si="19"/>
        <v>-9.8086353585044996</v>
      </c>
    </row>
    <row r="179" spans="1:16" x14ac:dyDescent="0.2">
      <c r="A179" s="8">
        <v>88.5</v>
      </c>
      <c r="B179" s="8">
        <v>177</v>
      </c>
      <c r="D179">
        <v>1437.3226351351</v>
      </c>
      <c r="E179">
        <v>353.92511261261001</v>
      </c>
      <c r="F179">
        <v>148.14205186020001</v>
      </c>
      <c r="G179">
        <v>122.07553551297001</v>
      </c>
      <c r="I179" s="9">
        <f t="shared" si="15"/>
        <v>231.84957709963999</v>
      </c>
      <c r="J179" s="9">
        <f t="shared" si="16"/>
        <v>1289.1805832749001</v>
      </c>
      <c r="K179" s="9">
        <f t="shared" si="17"/>
        <v>231.84957709963999</v>
      </c>
      <c r="L179" s="10">
        <f t="shared" si="14"/>
        <v>0.17984259157136348</v>
      </c>
      <c r="M179" s="10">
        <f t="shared" si="18"/>
        <v>0.2172590463668001</v>
      </c>
      <c r="P179" s="8">
        <f t="shared" si="19"/>
        <v>-9.5354253071313266</v>
      </c>
    </row>
    <row r="180" spans="1:16" x14ac:dyDescent="0.2">
      <c r="A180" s="8">
        <v>89</v>
      </c>
      <c r="B180" s="8">
        <v>178</v>
      </c>
      <c r="D180">
        <v>1430.5210792580001</v>
      </c>
      <c r="E180">
        <v>351.75154581225001</v>
      </c>
      <c r="F180">
        <v>148.33596392333999</v>
      </c>
      <c r="G180">
        <v>122.5067643743</v>
      </c>
      <c r="I180" s="9">
        <f t="shared" si="15"/>
        <v>229.24478143795</v>
      </c>
      <c r="J180" s="9">
        <f t="shared" si="16"/>
        <v>1282.1851153346602</v>
      </c>
      <c r="K180" s="9">
        <f t="shared" si="17"/>
        <v>229.24478143795</v>
      </c>
      <c r="L180" s="10">
        <f t="shared" si="14"/>
        <v>0.17879226540398213</v>
      </c>
      <c r="M180" s="10">
        <f t="shared" si="18"/>
        <v>0.21642011259939298</v>
      </c>
      <c r="P180" s="8">
        <f t="shared" si="19"/>
        <v>-9.8847492489102091</v>
      </c>
    </row>
    <row r="181" spans="1:16" x14ac:dyDescent="0.2">
      <c r="A181" s="8">
        <v>89.5</v>
      </c>
      <c r="B181" s="8">
        <v>179</v>
      </c>
      <c r="D181">
        <v>1551.353569421</v>
      </c>
      <c r="E181">
        <v>369.75154581225001</v>
      </c>
      <c r="F181">
        <v>148.65783540023</v>
      </c>
      <c r="G181">
        <v>122.21758737317001</v>
      </c>
      <c r="I181" s="9">
        <f t="shared" si="15"/>
        <v>247.53395843908001</v>
      </c>
      <c r="J181" s="9">
        <f t="shared" si="16"/>
        <v>1402.69573402077</v>
      </c>
      <c r="K181" s="9">
        <f t="shared" si="17"/>
        <v>247.53395843908001</v>
      </c>
      <c r="L181" s="10">
        <f t="shared" si="14"/>
        <v>0.17647017270775753</v>
      </c>
      <c r="M181" s="10">
        <f t="shared" si="18"/>
        <v>0.21430941230314257</v>
      </c>
      <c r="P181" s="8">
        <f t="shared" si="19"/>
        <v>-10.76362452613127</v>
      </c>
    </row>
    <row r="182" spans="1:16" x14ac:dyDescent="0.2">
      <c r="A182" s="8">
        <v>90</v>
      </c>
      <c r="B182" s="8">
        <v>180</v>
      </c>
      <c r="D182">
        <v>1576.4051772651001</v>
      </c>
      <c r="E182">
        <v>374.40405177265001</v>
      </c>
      <c r="F182">
        <v>147.96166854565999</v>
      </c>
      <c r="G182">
        <v>122.12514092446</v>
      </c>
      <c r="I182" s="9">
        <f t="shared" si="15"/>
        <v>252.27891084819001</v>
      </c>
      <c r="J182" s="9">
        <f t="shared" si="16"/>
        <v>1428.4435087194402</v>
      </c>
      <c r="K182" s="9">
        <f t="shared" si="17"/>
        <v>252.27891084819001</v>
      </c>
      <c r="L182" s="10">
        <f t="shared" si="14"/>
        <v>0.17661105203547814</v>
      </c>
      <c r="M182" s="10">
        <f>L182+ABS($N$2)*A182</f>
        <v>0.21466168403083741</v>
      </c>
      <c r="P182" s="8">
        <f t="shared" si="19"/>
        <v>-10.616941971111524</v>
      </c>
    </row>
    <row r="183" spans="1:16" x14ac:dyDescent="0.2">
      <c r="A183" s="8">
        <v>90.5</v>
      </c>
      <c r="B183" s="8">
        <v>181</v>
      </c>
      <c r="D183">
        <v>1601.2535132097</v>
      </c>
      <c r="E183">
        <v>379.19111860596001</v>
      </c>
      <c r="F183">
        <v>148.28241262682999</v>
      </c>
      <c r="G183">
        <v>122.35456595265001</v>
      </c>
      <c r="I183" s="9">
        <f t="shared" si="15"/>
        <v>256.83655265331004</v>
      </c>
      <c r="J183" s="9">
        <f t="shared" si="16"/>
        <v>1452.9711005828701</v>
      </c>
      <c r="K183" s="9">
        <f t="shared" si="17"/>
        <v>256.83655265331004</v>
      </c>
      <c r="L183" s="10">
        <f t="shared" si="14"/>
        <v>0.17676645636673582</v>
      </c>
      <c r="M183" s="10">
        <f t="shared" ref="M183:M241" si="20">L183+ABS($N$2)*A183</f>
        <v>0.21502848076206932</v>
      </c>
      <c r="P183" s="8">
        <f t="shared" si="19"/>
        <v>-10.464211344495371</v>
      </c>
    </row>
    <row r="184" spans="1:16" x14ac:dyDescent="0.2">
      <c r="A184" s="8">
        <v>91</v>
      </c>
      <c r="B184" s="8">
        <v>182</v>
      </c>
      <c r="D184">
        <v>1656.4671163574999</v>
      </c>
      <c r="E184">
        <v>385.19786396851998</v>
      </c>
      <c r="F184">
        <v>148.22096956031999</v>
      </c>
      <c r="G184">
        <v>122.56989853439001</v>
      </c>
      <c r="I184" s="9">
        <f t="shared" si="15"/>
        <v>262.62796543412998</v>
      </c>
      <c r="J184" s="9">
        <f t="shared" si="16"/>
        <v>1508.2461467971798</v>
      </c>
      <c r="K184" s="9">
        <f t="shared" si="17"/>
        <v>262.62796543412998</v>
      </c>
      <c r="L184" s="10">
        <f t="shared" si="14"/>
        <v>0.17412805329675851</v>
      </c>
      <c r="M184" s="10">
        <f t="shared" si="20"/>
        <v>0.2126014700920662</v>
      </c>
      <c r="P184" s="8">
        <f t="shared" si="19"/>
        <v>-11.474795215264114</v>
      </c>
    </row>
    <row r="185" spans="1:16" x14ac:dyDescent="0.2">
      <c r="A185" s="8">
        <v>91.5</v>
      </c>
      <c r="B185" s="8">
        <v>183</v>
      </c>
      <c r="D185">
        <v>1644.7720381808001</v>
      </c>
      <c r="E185">
        <v>380.73554183043001</v>
      </c>
      <c r="F185">
        <v>148.49492671927999</v>
      </c>
      <c r="G185">
        <v>122.16967305524</v>
      </c>
      <c r="I185" s="9">
        <f t="shared" si="15"/>
        <v>258.56586877518998</v>
      </c>
      <c r="J185" s="9">
        <f t="shared" si="16"/>
        <v>1496.2771114615202</v>
      </c>
      <c r="K185" s="9">
        <f t="shared" si="17"/>
        <v>258.56586877518998</v>
      </c>
      <c r="L185" s="10">
        <f t="shared" si="14"/>
        <v>0.17280613784343082</v>
      </c>
      <c r="M185" s="10">
        <f t="shared" si="20"/>
        <v>0.21149094703871274</v>
      </c>
      <c r="P185" s="8">
        <f t="shared" si="19"/>
        <v>-11.937206320294164</v>
      </c>
    </row>
    <row r="186" spans="1:16" x14ac:dyDescent="0.2">
      <c r="A186" s="8">
        <v>92</v>
      </c>
      <c r="B186" s="8">
        <v>184</v>
      </c>
      <c r="D186">
        <v>1528.0875912409001</v>
      </c>
      <c r="E186">
        <v>361.73722627736998</v>
      </c>
      <c r="F186">
        <v>148.64994363021</v>
      </c>
      <c r="G186">
        <v>122.62570462232</v>
      </c>
      <c r="I186" s="9">
        <f t="shared" si="15"/>
        <v>239.11152165504998</v>
      </c>
      <c r="J186" s="9">
        <f t="shared" si="16"/>
        <v>1379.4376476106902</v>
      </c>
      <c r="K186" s="9">
        <f t="shared" si="17"/>
        <v>239.11152165504998</v>
      </c>
      <c r="L186" s="10">
        <f t="shared" si="14"/>
        <v>0.17333985488159803</v>
      </c>
      <c r="M186" s="10">
        <f t="shared" si="20"/>
        <v>0.21223605647685417</v>
      </c>
      <c r="P186" s="8">
        <f t="shared" si="19"/>
        <v>-11.626949925689056</v>
      </c>
    </row>
    <row r="187" spans="1:16" x14ac:dyDescent="0.2">
      <c r="A187" s="8">
        <v>92.5</v>
      </c>
      <c r="B187" s="8">
        <v>185</v>
      </c>
      <c r="D187">
        <v>1652.8446820484</v>
      </c>
      <c r="E187">
        <v>381.19583567810997</v>
      </c>
      <c r="F187">
        <v>148.07666290867999</v>
      </c>
      <c r="G187">
        <v>122.45321307779</v>
      </c>
      <c r="I187" s="9">
        <f t="shared" si="15"/>
        <v>258.74262260031998</v>
      </c>
      <c r="J187" s="9">
        <f t="shared" si="16"/>
        <v>1504.7680191397201</v>
      </c>
      <c r="K187" s="9">
        <f t="shared" si="17"/>
        <v>258.74262260031998</v>
      </c>
      <c r="L187" s="10">
        <f t="shared" si="14"/>
        <v>0.1719485125343399</v>
      </c>
      <c r="M187" s="10">
        <f t="shared" si="20"/>
        <v>0.21105610652957027</v>
      </c>
      <c r="P187" s="8">
        <f t="shared" si="19"/>
        <v>-12.118269720767669</v>
      </c>
    </row>
    <row r="188" spans="1:16" x14ac:dyDescent="0.2">
      <c r="A188" s="8">
        <v>93</v>
      </c>
      <c r="B188" s="8">
        <v>186</v>
      </c>
      <c r="D188">
        <v>1603.21132287</v>
      </c>
      <c r="E188">
        <v>374.18721973094</v>
      </c>
      <c r="F188">
        <v>148.35682074408001</v>
      </c>
      <c r="G188">
        <v>122.85174746336</v>
      </c>
      <c r="I188" s="9">
        <f t="shared" si="15"/>
        <v>251.33547226758</v>
      </c>
      <c r="J188" s="9">
        <f t="shared" si="16"/>
        <v>1454.8545021259199</v>
      </c>
      <c r="K188" s="9">
        <f t="shared" si="17"/>
        <v>251.33547226758</v>
      </c>
      <c r="L188" s="10">
        <f t="shared" si="14"/>
        <v>0.1727564315883916</v>
      </c>
      <c r="M188" s="10">
        <f t="shared" si="20"/>
        <v>0.21207541798359619</v>
      </c>
      <c r="P188" s="8">
        <f t="shared" si="19"/>
        <v>-11.693838247325854</v>
      </c>
    </row>
    <row r="189" spans="1:16" x14ac:dyDescent="0.2">
      <c r="A189" s="8">
        <v>93.5</v>
      </c>
      <c r="B189" s="8">
        <v>187</v>
      </c>
      <c r="D189">
        <v>1521.8759165256999</v>
      </c>
      <c r="E189">
        <v>361.93908629442001</v>
      </c>
      <c r="F189">
        <v>147.91939120631</v>
      </c>
      <c r="G189">
        <v>122.50112739572</v>
      </c>
      <c r="I189" s="9">
        <f t="shared" si="15"/>
        <v>239.4379588987</v>
      </c>
      <c r="J189" s="9">
        <f t="shared" si="16"/>
        <v>1373.95652531939</v>
      </c>
      <c r="K189" s="9">
        <f t="shared" si="17"/>
        <v>239.4379588987</v>
      </c>
      <c r="L189" s="10">
        <f t="shared" si="14"/>
        <v>0.17426894846111687</v>
      </c>
      <c r="M189" s="10">
        <f t="shared" si="20"/>
        <v>0.21379932725629566</v>
      </c>
      <c r="P189" s="8">
        <f t="shared" si="19"/>
        <v>-10.976019027496664</v>
      </c>
    </row>
    <row r="190" spans="1:16" x14ac:dyDescent="0.2">
      <c r="A190" s="8">
        <v>94</v>
      </c>
      <c r="B190" s="8">
        <v>188</v>
      </c>
      <c r="D190">
        <v>1539.4060913706001</v>
      </c>
      <c r="E190">
        <v>366.73660462493001</v>
      </c>
      <c r="F190">
        <v>148.13077790304001</v>
      </c>
      <c r="G190">
        <v>122.13359639233001</v>
      </c>
      <c r="I190" s="9">
        <f t="shared" si="15"/>
        <v>244.60300823260002</v>
      </c>
      <c r="J190" s="9">
        <f t="shared" si="16"/>
        <v>1391.27531346756</v>
      </c>
      <c r="K190" s="9">
        <f t="shared" si="17"/>
        <v>244.60300823260002</v>
      </c>
      <c r="L190" s="10">
        <f t="shared" si="14"/>
        <v>0.1758120810919595</v>
      </c>
      <c r="M190" s="10">
        <f t="shared" si="20"/>
        <v>0.21555385228711252</v>
      </c>
      <c r="P190" s="8">
        <f t="shared" si="19"/>
        <v>-10.245451700818506</v>
      </c>
    </row>
    <row r="191" spans="1:16" x14ac:dyDescent="0.2">
      <c r="A191" s="8">
        <v>94.5</v>
      </c>
      <c r="B191" s="8">
        <v>189</v>
      </c>
      <c r="D191">
        <v>1593.9825155103999</v>
      </c>
      <c r="E191">
        <v>373.20022560631998</v>
      </c>
      <c r="F191">
        <v>148.96956031567001</v>
      </c>
      <c r="G191">
        <v>122.48308906426</v>
      </c>
      <c r="I191" s="9">
        <f t="shared" si="15"/>
        <v>250.71713654205996</v>
      </c>
      <c r="J191" s="9">
        <f t="shared" si="16"/>
        <v>1445.01295519473</v>
      </c>
      <c r="K191" s="9">
        <f t="shared" si="17"/>
        <v>250.71713654205996</v>
      </c>
      <c r="L191" s="10">
        <f t="shared" si="14"/>
        <v>0.1735051133214742</v>
      </c>
      <c r="M191" s="10">
        <f t="shared" si="20"/>
        <v>0.21345827691660144</v>
      </c>
      <c r="P191" s="8">
        <f t="shared" si="19"/>
        <v>-11.11802910461542</v>
      </c>
    </row>
    <row r="192" spans="1:16" x14ac:dyDescent="0.2">
      <c r="A192" s="8">
        <v>95</v>
      </c>
      <c r="B192" s="8">
        <v>190</v>
      </c>
      <c r="D192">
        <v>1597.9506172839999</v>
      </c>
      <c r="E192">
        <v>372.69079685745999</v>
      </c>
      <c r="F192">
        <v>148.85400225479</v>
      </c>
      <c r="G192">
        <v>122.51521984217</v>
      </c>
      <c r="I192" s="9">
        <f t="shared" si="15"/>
        <v>250.17557701529</v>
      </c>
      <c r="J192" s="9">
        <f t="shared" si="16"/>
        <v>1449.0966150292099</v>
      </c>
      <c r="K192" s="9">
        <f t="shared" si="17"/>
        <v>250.17557701529</v>
      </c>
      <c r="L192" s="10">
        <f t="shared" si="14"/>
        <v>0.17264244110476176</v>
      </c>
      <c r="M192" s="10">
        <f t="shared" si="20"/>
        <v>0.21280699709986323</v>
      </c>
      <c r="P192" s="8">
        <f t="shared" si="19"/>
        <v>-11.389215748451646</v>
      </c>
    </row>
    <row r="193" spans="1:16" x14ac:dyDescent="0.2">
      <c r="A193" s="8">
        <v>95.5</v>
      </c>
      <c r="B193" s="8">
        <v>191</v>
      </c>
      <c r="D193">
        <v>1656.1645070423001</v>
      </c>
      <c r="E193">
        <v>376.29577464789003</v>
      </c>
      <c r="F193">
        <v>148.65727170237</v>
      </c>
      <c r="G193">
        <v>122.53776775647999</v>
      </c>
      <c r="I193" s="9">
        <f t="shared" si="15"/>
        <v>253.75800689141005</v>
      </c>
      <c r="J193" s="9">
        <f t="shared" si="16"/>
        <v>1507.50723533993</v>
      </c>
      <c r="K193" s="9">
        <f t="shared" si="17"/>
        <v>253.75800689141005</v>
      </c>
      <c r="L193" s="10">
        <f t="shared" si="14"/>
        <v>0.16832954492201146</v>
      </c>
      <c r="M193" s="10">
        <f t="shared" si="20"/>
        <v>0.20870549331708713</v>
      </c>
      <c r="P193" s="8">
        <f t="shared" si="19"/>
        <v>-13.097042425936003</v>
      </c>
    </row>
    <row r="194" spans="1:16" x14ac:dyDescent="0.2">
      <c r="A194" s="8">
        <v>96</v>
      </c>
      <c r="B194" s="8">
        <v>192</v>
      </c>
      <c r="D194">
        <v>1513.7526760563001</v>
      </c>
      <c r="E194">
        <v>354.66535211268001</v>
      </c>
      <c r="F194">
        <v>148.67136414882</v>
      </c>
      <c r="G194">
        <v>122.43517474634</v>
      </c>
      <c r="I194" s="9">
        <f t="shared" si="15"/>
        <v>232.23017736634</v>
      </c>
      <c r="J194" s="9">
        <f t="shared" si="16"/>
        <v>1365.0813119074801</v>
      </c>
      <c r="K194" s="9">
        <f t="shared" si="17"/>
        <v>232.23017736634</v>
      </c>
      <c r="L194" s="10">
        <f t="shared" ref="L194:L257" si="21">K194/J194</f>
        <v>0.17012186405353094</v>
      </c>
      <c r="M194" s="10">
        <f t="shared" si="20"/>
        <v>0.21070920484858083</v>
      </c>
      <c r="P194" s="8">
        <f t="shared" si="19"/>
        <v>-12.262716240053075</v>
      </c>
    </row>
    <row r="195" spans="1:16" x14ac:dyDescent="0.2">
      <c r="A195" s="8">
        <v>96.5</v>
      </c>
      <c r="B195" s="8">
        <v>193</v>
      </c>
      <c r="D195">
        <v>1543.3997734994</v>
      </c>
      <c r="E195">
        <v>358.56795016988002</v>
      </c>
      <c r="F195">
        <v>149.16347237881001</v>
      </c>
      <c r="G195">
        <v>122.5174746336</v>
      </c>
      <c r="I195" s="9">
        <f t="shared" ref="I195:I241" si="22">E195-G195</f>
        <v>236.05047553628003</v>
      </c>
      <c r="J195" s="9">
        <f t="shared" ref="J195:J241" si="23">D195-F195</f>
        <v>1394.23630112059</v>
      </c>
      <c r="K195" s="9">
        <f t="shared" ref="K195:K258" si="24">I195*1</f>
        <v>236.05047553628003</v>
      </c>
      <c r="L195" s="10">
        <f t="shared" si="21"/>
        <v>0.1693044969110036</v>
      </c>
      <c r="M195" s="10">
        <f t="shared" si="20"/>
        <v>0.21010323010602772</v>
      </c>
      <c r="P195" s="8">
        <f t="shared" ref="P195:P241" si="25">(M195-$O$2)/$O$2*100</f>
        <v>-12.515038287288505</v>
      </c>
    </row>
    <row r="196" spans="1:16" x14ac:dyDescent="0.2">
      <c r="A196" s="8">
        <v>97</v>
      </c>
      <c r="B196" s="8">
        <v>194</v>
      </c>
      <c r="D196">
        <v>1552.3227633069</v>
      </c>
      <c r="E196">
        <v>359.44280860702003</v>
      </c>
      <c r="F196">
        <v>148.50394588501001</v>
      </c>
      <c r="G196">
        <v>122.45490417136</v>
      </c>
      <c r="I196" s="9">
        <f t="shared" si="22"/>
        <v>236.98790443566003</v>
      </c>
      <c r="J196" s="9">
        <f t="shared" si="23"/>
        <v>1403.8188174218899</v>
      </c>
      <c r="K196" s="9">
        <f t="shared" si="24"/>
        <v>236.98790443566003</v>
      </c>
      <c r="L196" s="10">
        <f t="shared" si="21"/>
        <v>0.16881658907442756</v>
      </c>
      <c r="M196" s="10">
        <f t="shared" si="20"/>
        <v>0.20982671466942587</v>
      </c>
      <c r="P196" s="8">
        <f t="shared" si="25"/>
        <v>-12.630176652233574</v>
      </c>
    </row>
    <row r="197" spans="1:16" x14ac:dyDescent="0.2">
      <c r="A197" s="8">
        <v>97.5</v>
      </c>
      <c r="B197" s="8">
        <v>195</v>
      </c>
      <c r="D197">
        <v>1413.7909859155</v>
      </c>
      <c r="E197">
        <v>347.86873239437</v>
      </c>
      <c r="F197">
        <v>148.82581736188999</v>
      </c>
      <c r="G197">
        <v>122.57948139797</v>
      </c>
      <c r="I197" s="9">
        <f t="shared" si="22"/>
        <v>225.2892509964</v>
      </c>
      <c r="J197" s="9">
        <f t="shared" si="23"/>
        <v>1264.9651685536101</v>
      </c>
      <c r="K197" s="9">
        <f t="shared" si="24"/>
        <v>225.2892509964</v>
      </c>
      <c r="L197" s="10">
        <f t="shared" si="21"/>
        <v>0.17809917347684825</v>
      </c>
      <c r="M197" s="10">
        <f t="shared" si="20"/>
        <v>0.21932069147182079</v>
      </c>
      <c r="P197" s="8">
        <f t="shared" si="25"/>
        <v>-8.6769761391346503</v>
      </c>
    </row>
    <row r="198" spans="1:16" x14ac:dyDescent="0.2">
      <c r="A198" s="8">
        <v>98</v>
      </c>
      <c r="B198" s="8">
        <v>196</v>
      </c>
      <c r="D198">
        <v>1401.7403252945001</v>
      </c>
      <c r="E198">
        <v>342.77678070667002</v>
      </c>
      <c r="F198">
        <v>148.77903043968001</v>
      </c>
      <c r="G198">
        <v>122.33427282976</v>
      </c>
      <c r="I198" s="9">
        <f t="shared" si="22"/>
        <v>220.44250787691004</v>
      </c>
      <c r="J198" s="9">
        <f t="shared" si="23"/>
        <v>1252.9612948548202</v>
      </c>
      <c r="K198" s="9">
        <f t="shared" si="24"/>
        <v>220.44250787691004</v>
      </c>
      <c r="L198" s="10">
        <f t="shared" si="21"/>
        <v>0.17593720475016955</v>
      </c>
      <c r="M198" s="10">
        <f t="shared" si="20"/>
        <v>0.21737011514511631</v>
      </c>
      <c r="P198" s="8">
        <f t="shared" si="25"/>
        <v>-9.4891773374377273</v>
      </c>
    </row>
    <row r="199" spans="1:16" x14ac:dyDescent="0.2">
      <c r="A199" s="8">
        <v>98.5</v>
      </c>
      <c r="B199" s="8">
        <v>197</v>
      </c>
      <c r="D199">
        <v>1392.9242849131001</v>
      </c>
      <c r="E199">
        <v>342.01458216488999</v>
      </c>
      <c r="F199">
        <v>149.09470124014001</v>
      </c>
      <c r="G199">
        <v>122.47970687711</v>
      </c>
      <c r="I199" s="9">
        <f t="shared" si="22"/>
        <v>219.53487528777998</v>
      </c>
      <c r="J199" s="9">
        <f t="shared" si="23"/>
        <v>1243.8295836729601</v>
      </c>
      <c r="K199" s="9">
        <f t="shared" si="24"/>
        <v>219.53487528777998</v>
      </c>
      <c r="L199" s="10">
        <f t="shared" si="21"/>
        <v>0.17649915886347198</v>
      </c>
      <c r="M199" s="10">
        <f t="shared" si="20"/>
        <v>0.21814346165839296</v>
      </c>
      <c r="P199" s="8">
        <f t="shared" si="25"/>
        <v>-9.1671632966706031</v>
      </c>
    </row>
    <row r="200" spans="1:16" x14ac:dyDescent="0.2">
      <c r="A200" s="8">
        <v>99</v>
      </c>
      <c r="B200" s="8">
        <v>198</v>
      </c>
      <c r="D200">
        <v>1391.1700336700001</v>
      </c>
      <c r="E200">
        <v>340.20931537598</v>
      </c>
      <c r="F200">
        <v>148.64148816234999</v>
      </c>
      <c r="G200">
        <v>122.34329199549001</v>
      </c>
      <c r="I200" s="9">
        <f t="shared" si="22"/>
        <v>217.86602338048999</v>
      </c>
      <c r="J200" s="9">
        <f t="shared" si="23"/>
        <v>1242.5285455076501</v>
      </c>
      <c r="K200" s="9">
        <f t="shared" si="24"/>
        <v>217.86602338048999</v>
      </c>
      <c r="L200" s="10">
        <f t="shared" si="21"/>
        <v>0.17534085970755561</v>
      </c>
      <c r="M200" s="10">
        <f t="shared" si="20"/>
        <v>0.21719655490245082</v>
      </c>
      <c r="P200" s="8">
        <f t="shared" si="25"/>
        <v>-9.5614461510907898</v>
      </c>
    </row>
    <row r="201" spans="1:16" x14ac:dyDescent="0.2">
      <c r="A201" s="8">
        <v>99.5</v>
      </c>
      <c r="B201" s="8">
        <v>199</v>
      </c>
      <c r="D201">
        <v>1458.6030320044999</v>
      </c>
      <c r="E201">
        <v>345.25266704098999</v>
      </c>
      <c r="F201">
        <v>148.93348365276</v>
      </c>
      <c r="G201">
        <v>122.62852311160999</v>
      </c>
      <c r="I201" s="9">
        <f t="shared" si="22"/>
        <v>222.62414392938001</v>
      </c>
      <c r="J201" s="9">
        <f t="shared" si="23"/>
        <v>1309.6695483517399</v>
      </c>
      <c r="K201" s="9">
        <f t="shared" si="24"/>
        <v>222.62414392938001</v>
      </c>
      <c r="L201" s="10">
        <f t="shared" si="21"/>
        <v>0.1699849738505102</v>
      </c>
      <c r="M201" s="10">
        <f t="shared" si="20"/>
        <v>0.21205206144537961</v>
      </c>
      <c r="P201" s="8">
        <f t="shared" si="25"/>
        <v>-11.703563684914739</v>
      </c>
    </row>
    <row r="202" spans="1:16" x14ac:dyDescent="0.2">
      <c r="A202" s="8">
        <v>100</v>
      </c>
      <c r="B202" s="8">
        <v>200</v>
      </c>
      <c r="D202">
        <v>1477.6737787760001</v>
      </c>
      <c r="E202">
        <v>345.13980909601003</v>
      </c>
      <c r="F202">
        <v>149.09470124014001</v>
      </c>
      <c r="G202">
        <v>122.25140924465001</v>
      </c>
      <c r="I202" s="9">
        <f t="shared" si="22"/>
        <v>222.88839985136002</v>
      </c>
      <c r="J202" s="9">
        <f t="shared" si="23"/>
        <v>1328.5790775358601</v>
      </c>
      <c r="K202" s="9">
        <f t="shared" si="24"/>
        <v>222.88839985136002</v>
      </c>
      <c r="L202" s="10">
        <f t="shared" si="21"/>
        <v>0.16776449638568389</v>
      </c>
      <c r="M202" s="10">
        <f t="shared" si="20"/>
        <v>0.21004297638052752</v>
      </c>
      <c r="P202" s="8">
        <f t="shared" si="25"/>
        <v>-12.540127358340733</v>
      </c>
    </row>
    <row r="203" spans="1:16" x14ac:dyDescent="0.2">
      <c r="A203" s="8">
        <v>100.5</v>
      </c>
      <c r="B203" s="8">
        <v>201</v>
      </c>
      <c r="D203">
        <v>1390.5005636978999</v>
      </c>
      <c r="E203">
        <v>334.94644870349998</v>
      </c>
      <c r="F203">
        <v>148.96166854565999</v>
      </c>
      <c r="G203">
        <v>122.36527621195</v>
      </c>
      <c r="I203" s="9">
        <f t="shared" si="22"/>
        <v>212.58117249154998</v>
      </c>
      <c r="J203" s="9">
        <f t="shared" si="23"/>
        <v>1241.53889515224</v>
      </c>
      <c r="K203" s="9">
        <f t="shared" si="24"/>
        <v>212.58117249154998</v>
      </c>
      <c r="L203" s="10">
        <f t="shared" si="21"/>
        <v>0.17122393291229338</v>
      </c>
      <c r="M203" s="10">
        <f t="shared" si="20"/>
        <v>0.21371380530711123</v>
      </c>
      <c r="P203" s="8">
        <f t="shared" si="25"/>
        <v>-11.011629543556891</v>
      </c>
    </row>
    <row r="204" spans="1:16" x14ac:dyDescent="0.2">
      <c r="A204" s="8">
        <v>101</v>
      </c>
      <c r="B204" s="8">
        <v>202</v>
      </c>
      <c r="D204">
        <v>1403.9560315670999</v>
      </c>
      <c r="E204">
        <v>338.08399098082998</v>
      </c>
      <c r="F204">
        <v>149.21533258174</v>
      </c>
      <c r="G204">
        <v>122.48872604284</v>
      </c>
      <c r="I204" s="9">
        <f t="shared" si="22"/>
        <v>215.59526493798998</v>
      </c>
      <c r="J204" s="9">
        <f t="shared" si="23"/>
        <v>1254.7406989853598</v>
      </c>
      <c r="K204" s="9">
        <f t="shared" si="24"/>
        <v>215.59526493798998</v>
      </c>
      <c r="L204" s="10">
        <f t="shared" si="21"/>
        <v>0.17182455714740907</v>
      </c>
      <c r="M204" s="10">
        <f t="shared" si="20"/>
        <v>0.21452582194220116</v>
      </c>
      <c r="P204" s="8">
        <f t="shared" si="25"/>
        <v>-10.673513636461712</v>
      </c>
    </row>
    <row r="205" spans="1:16" x14ac:dyDescent="0.2">
      <c r="A205" s="8">
        <v>101.5</v>
      </c>
      <c r="B205" s="8">
        <v>203</v>
      </c>
      <c r="D205">
        <v>1401.6896745229999</v>
      </c>
      <c r="E205">
        <v>339.17845117845002</v>
      </c>
      <c r="F205">
        <v>148.93122886133</v>
      </c>
      <c r="G205">
        <v>122.76211950395</v>
      </c>
      <c r="I205" s="9">
        <f t="shared" si="22"/>
        <v>216.41633167450001</v>
      </c>
      <c r="J205" s="9">
        <f t="shared" si="23"/>
        <v>1252.7584456616698</v>
      </c>
      <c r="K205" s="9">
        <f t="shared" si="24"/>
        <v>216.41633167450001</v>
      </c>
      <c r="L205" s="10">
        <f t="shared" si="21"/>
        <v>0.17275184407972227</v>
      </c>
      <c r="M205" s="10">
        <f t="shared" si="20"/>
        <v>0.21566450127448855</v>
      </c>
      <c r="P205" s="8">
        <f t="shared" si="25"/>
        <v>-10.19937852802979</v>
      </c>
    </row>
    <row r="206" spans="1:16" x14ac:dyDescent="0.2">
      <c r="A206" s="8">
        <v>102</v>
      </c>
      <c r="B206" s="8">
        <v>204</v>
      </c>
      <c r="D206">
        <v>1343.0033670033999</v>
      </c>
      <c r="E206">
        <v>328.87934904602002</v>
      </c>
      <c r="F206">
        <v>148.66065388952001</v>
      </c>
      <c r="G206">
        <v>122.27226606539</v>
      </c>
      <c r="I206" s="9">
        <f t="shared" si="22"/>
        <v>206.60708298063003</v>
      </c>
      <c r="J206" s="9">
        <f t="shared" si="23"/>
        <v>1194.3427131138799</v>
      </c>
      <c r="K206" s="9">
        <f t="shared" si="24"/>
        <v>206.60708298063003</v>
      </c>
      <c r="L206" s="10">
        <f t="shared" si="21"/>
        <v>0.17298810526667496</v>
      </c>
      <c r="M206" s="10">
        <f t="shared" si="20"/>
        <v>0.21611215486141547</v>
      </c>
      <c r="P206" s="8">
        <f t="shared" si="25"/>
        <v>-10.012979885357348</v>
      </c>
    </row>
    <row r="207" spans="1:16" x14ac:dyDescent="0.2">
      <c r="A207" s="8">
        <v>102.5</v>
      </c>
      <c r="B207" s="8">
        <v>205</v>
      </c>
      <c r="D207">
        <v>1416.2037037037001</v>
      </c>
      <c r="E207">
        <v>337.99943883277001</v>
      </c>
      <c r="F207">
        <v>149.05355129650999</v>
      </c>
      <c r="G207">
        <v>122.54114994363</v>
      </c>
      <c r="I207" s="9">
        <f t="shared" si="22"/>
        <v>215.45828888914002</v>
      </c>
      <c r="J207" s="9">
        <f t="shared" si="23"/>
        <v>1267.15015240719</v>
      </c>
      <c r="K207" s="9">
        <f t="shared" si="24"/>
        <v>215.45828888914002</v>
      </c>
      <c r="L207" s="10">
        <f t="shared" si="21"/>
        <v>0.17003374736595855</v>
      </c>
      <c r="M207" s="10">
        <f t="shared" si="20"/>
        <v>0.21336918936067328</v>
      </c>
      <c r="P207" s="8">
        <f t="shared" si="25"/>
        <v>-11.155124304986783</v>
      </c>
    </row>
    <row r="208" spans="1:16" x14ac:dyDescent="0.2">
      <c r="A208" s="8">
        <v>103</v>
      </c>
      <c r="B208" s="8">
        <v>206</v>
      </c>
      <c r="D208">
        <v>1474.8754208754001</v>
      </c>
      <c r="E208">
        <v>348.97194163861002</v>
      </c>
      <c r="F208">
        <v>149.00450958286001</v>
      </c>
      <c r="G208">
        <v>122.79199549042001</v>
      </c>
      <c r="I208" s="9">
        <f t="shared" si="22"/>
        <v>226.17994614819003</v>
      </c>
      <c r="J208" s="9">
        <f t="shared" si="23"/>
        <v>1325.8709112925401</v>
      </c>
      <c r="K208" s="9">
        <f t="shared" si="24"/>
        <v>226.17994614819003</v>
      </c>
      <c r="L208" s="10">
        <f t="shared" si="21"/>
        <v>0.17058971897022462</v>
      </c>
      <c r="M208" s="10">
        <f t="shared" si="20"/>
        <v>0.21413655336491355</v>
      </c>
      <c r="P208" s="8">
        <f t="shared" si="25"/>
        <v>-10.835601323370581</v>
      </c>
    </row>
    <row r="209" spans="1:16" x14ac:dyDescent="0.2">
      <c r="A209" s="8">
        <v>103.5</v>
      </c>
      <c r="B209" s="8">
        <v>207</v>
      </c>
      <c r="D209">
        <v>1435.0377252251999</v>
      </c>
      <c r="E209">
        <v>341.25900900901001</v>
      </c>
      <c r="F209">
        <v>149.07722660653999</v>
      </c>
      <c r="G209">
        <v>122.81116121759</v>
      </c>
      <c r="I209" s="9">
        <f t="shared" si="22"/>
        <v>218.44784779142003</v>
      </c>
      <c r="J209" s="9">
        <f t="shared" si="23"/>
        <v>1285.9604986186598</v>
      </c>
      <c r="K209" s="9">
        <f t="shared" si="24"/>
        <v>218.44784779142003</v>
      </c>
      <c r="L209" s="10">
        <f t="shared" si="21"/>
        <v>0.16987135143425491</v>
      </c>
      <c r="M209" s="10">
        <f t="shared" si="20"/>
        <v>0.21362957822891807</v>
      </c>
      <c r="P209" s="8">
        <f t="shared" si="25"/>
        <v>-11.046700887806022</v>
      </c>
    </row>
    <row r="210" spans="1:16" x14ac:dyDescent="0.2">
      <c r="A210" s="8">
        <v>104</v>
      </c>
      <c r="B210" s="8">
        <v>208</v>
      </c>
      <c r="D210">
        <v>1373.5287162162001</v>
      </c>
      <c r="E210">
        <v>329.48761261261001</v>
      </c>
      <c r="F210">
        <v>149.06595264937999</v>
      </c>
      <c r="G210">
        <v>122.77395715896</v>
      </c>
      <c r="I210" s="9">
        <f t="shared" si="22"/>
        <v>206.71365545365001</v>
      </c>
      <c r="J210" s="9">
        <f t="shared" si="23"/>
        <v>1224.4627635668201</v>
      </c>
      <c r="K210" s="9">
        <f t="shared" si="24"/>
        <v>206.71365545365001</v>
      </c>
      <c r="L210" s="10">
        <f t="shared" si="21"/>
        <v>0.1688198788924376</v>
      </c>
      <c r="M210" s="10">
        <f t="shared" si="20"/>
        <v>0.21278949808707498</v>
      </c>
      <c r="P210" s="8">
        <f t="shared" si="25"/>
        <v>-11.396502168860403</v>
      </c>
    </row>
    <row r="211" spans="1:16" x14ac:dyDescent="0.2">
      <c r="A211" s="8">
        <v>104.5</v>
      </c>
      <c r="B211" s="8">
        <v>209</v>
      </c>
      <c r="D211">
        <v>1399.3108108107999</v>
      </c>
      <c r="E211">
        <v>339.10247747748002</v>
      </c>
      <c r="F211">
        <v>149.05411499435999</v>
      </c>
      <c r="G211">
        <v>122.69898534386</v>
      </c>
      <c r="I211" s="9">
        <f t="shared" si="22"/>
        <v>216.40349213362003</v>
      </c>
      <c r="J211" s="9">
        <f t="shared" si="23"/>
        <v>1250.25669581644</v>
      </c>
      <c r="K211" s="9">
        <f t="shared" si="24"/>
        <v>216.40349213362003</v>
      </c>
      <c r="L211" s="10">
        <f t="shared" si="21"/>
        <v>0.17308724908871989</v>
      </c>
      <c r="M211" s="10">
        <f t="shared" si="20"/>
        <v>0.21726826068333149</v>
      </c>
      <c r="P211" s="8">
        <f t="shared" si="25"/>
        <v>-9.5315885544619317</v>
      </c>
    </row>
    <row r="212" spans="1:16" x14ac:dyDescent="0.2">
      <c r="A212" s="8">
        <v>105</v>
      </c>
      <c r="B212" s="8">
        <v>210</v>
      </c>
      <c r="D212">
        <v>1307.0258572232001</v>
      </c>
      <c r="E212">
        <v>320.52782462057002</v>
      </c>
      <c r="F212">
        <v>149.35287485908</v>
      </c>
      <c r="G212">
        <v>122.301578354</v>
      </c>
      <c r="I212" s="9">
        <f t="shared" si="22"/>
        <v>198.22624626657</v>
      </c>
      <c r="J212" s="9">
        <f t="shared" si="23"/>
        <v>1157.6729823641201</v>
      </c>
      <c r="K212" s="9">
        <f t="shared" si="24"/>
        <v>198.22624626657</v>
      </c>
      <c r="L212" s="10">
        <f t="shared" si="21"/>
        <v>0.17122818730879077</v>
      </c>
      <c r="M212" s="10">
        <f t="shared" si="20"/>
        <v>0.21562059130337657</v>
      </c>
      <c r="P212" s="8">
        <f t="shared" si="25"/>
        <v>-10.217662217145845</v>
      </c>
    </row>
    <row r="213" spans="1:16" x14ac:dyDescent="0.2">
      <c r="A213" s="8">
        <v>105.5</v>
      </c>
      <c r="B213" s="8">
        <v>211</v>
      </c>
      <c r="D213">
        <v>1349.7093872962</v>
      </c>
      <c r="E213">
        <v>325.18043844856999</v>
      </c>
      <c r="F213">
        <v>149.30552423901</v>
      </c>
      <c r="G213">
        <v>122.63246899662001</v>
      </c>
      <c r="I213" s="9">
        <f t="shared" si="22"/>
        <v>202.54796945195</v>
      </c>
      <c r="J213" s="9">
        <f t="shared" si="23"/>
        <v>1200.4038630571899</v>
      </c>
      <c r="K213" s="9">
        <f t="shared" si="24"/>
        <v>202.54796945195</v>
      </c>
      <c r="L213" s="10">
        <f t="shared" si="21"/>
        <v>0.168733186959346</v>
      </c>
      <c r="M213" s="10">
        <f t="shared" si="20"/>
        <v>0.21333698335390602</v>
      </c>
      <c r="P213" s="8">
        <f t="shared" si="25"/>
        <v>-11.168534576059393</v>
      </c>
    </row>
    <row r="214" spans="1:16" x14ac:dyDescent="0.2">
      <c r="A214" s="8">
        <v>106</v>
      </c>
      <c r="B214" s="8">
        <v>212</v>
      </c>
      <c r="D214">
        <v>1328.1618725323999</v>
      </c>
      <c r="E214">
        <v>324.29667230682998</v>
      </c>
      <c r="F214">
        <v>149.37147688838999</v>
      </c>
      <c r="G214">
        <v>122.73506200676</v>
      </c>
      <c r="I214" s="9">
        <f t="shared" si="22"/>
        <v>201.56161030006996</v>
      </c>
      <c r="J214" s="9">
        <f t="shared" si="23"/>
        <v>1178.79039564401</v>
      </c>
      <c r="K214" s="9">
        <f t="shared" si="24"/>
        <v>201.56161030006996</v>
      </c>
      <c r="L214" s="10">
        <f t="shared" si="21"/>
        <v>0.17099020406418441</v>
      </c>
      <c r="M214" s="10">
        <f t="shared" si="20"/>
        <v>0.21580539285871866</v>
      </c>
      <c r="P214" s="8">
        <f t="shared" si="25"/>
        <v>-10.140712629148585</v>
      </c>
    </row>
    <row r="215" spans="1:16" x14ac:dyDescent="0.2">
      <c r="A215" s="8">
        <v>106.5</v>
      </c>
      <c r="B215" s="8">
        <v>213</v>
      </c>
      <c r="D215">
        <v>1398.8204983012999</v>
      </c>
      <c r="E215">
        <v>331.65458663647001</v>
      </c>
      <c r="F215">
        <v>148.88726042841</v>
      </c>
      <c r="G215">
        <v>122.56031567079999</v>
      </c>
      <c r="I215" s="9">
        <f t="shared" si="22"/>
        <v>209.09427096567003</v>
      </c>
      <c r="J215" s="9">
        <f t="shared" si="23"/>
        <v>1249.93323787289</v>
      </c>
      <c r="K215" s="9">
        <f t="shared" si="24"/>
        <v>209.09427096567003</v>
      </c>
      <c r="L215" s="10">
        <f t="shared" si="21"/>
        <v>0.1672843513798403</v>
      </c>
      <c r="M215" s="10">
        <f t="shared" si="20"/>
        <v>0.21231093257434877</v>
      </c>
      <c r="P215" s="8">
        <f t="shared" si="25"/>
        <v>-11.595772239752451</v>
      </c>
    </row>
    <row r="216" spans="1:16" x14ac:dyDescent="0.2">
      <c r="A216" s="8">
        <v>107</v>
      </c>
      <c r="B216" s="8">
        <v>214</v>
      </c>
      <c r="D216">
        <v>1425.6257046223</v>
      </c>
      <c r="E216">
        <v>335.19560315670998</v>
      </c>
      <c r="F216">
        <v>149.04509582864</v>
      </c>
      <c r="G216">
        <v>122.67418263811</v>
      </c>
      <c r="I216" s="9">
        <f t="shared" si="22"/>
        <v>212.5214205186</v>
      </c>
      <c r="J216" s="9">
        <f t="shared" si="23"/>
        <v>1276.5806087936598</v>
      </c>
      <c r="K216" s="9">
        <f t="shared" si="24"/>
        <v>212.5214205186</v>
      </c>
      <c r="L216" s="10">
        <f t="shared" si="21"/>
        <v>0.16647708656598503</v>
      </c>
      <c r="M216" s="10">
        <f t="shared" si="20"/>
        <v>0.21171506016046771</v>
      </c>
      <c r="P216" s="8">
        <f t="shared" si="25"/>
        <v>-11.843887774614712</v>
      </c>
    </row>
    <row r="217" spans="1:16" x14ac:dyDescent="0.2">
      <c r="A217" s="8">
        <v>107.5</v>
      </c>
      <c r="B217" s="8">
        <v>215</v>
      </c>
      <c r="D217">
        <v>1376.7418263811001</v>
      </c>
      <c r="E217">
        <v>327.96730552423998</v>
      </c>
      <c r="F217">
        <v>148.61668545660001</v>
      </c>
      <c r="G217">
        <v>122.55242390079</v>
      </c>
      <c r="I217" s="9">
        <f t="shared" si="22"/>
        <v>205.41488162344996</v>
      </c>
      <c r="J217" s="9">
        <f t="shared" si="23"/>
        <v>1228.1251409245001</v>
      </c>
      <c r="K217" s="9">
        <f t="shared" si="24"/>
        <v>205.41488162344996</v>
      </c>
      <c r="L217" s="10">
        <f t="shared" si="21"/>
        <v>0.16725891749827634</v>
      </c>
      <c r="M217" s="10">
        <f t="shared" si="20"/>
        <v>0.21270828349273324</v>
      </c>
      <c r="P217" s="8">
        <f t="shared" si="25"/>
        <v>-11.43031914384415</v>
      </c>
    </row>
    <row r="218" spans="1:16" x14ac:dyDescent="0.2">
      <c r="A218" s="8">
        <v>108</v>
      </c>
      <c r="B218" s="8">
        <v>216</v>
      </c>
      <c r="D218">
        <v>1471.4954853273</v>
      </c>
      <c r="E218">
        <v>342.99604966139998</v>
      </c>
      <c r="F218">
        <v>149.04284103719999</v>
      </c>
      <c r="G218">
        <v>122.6166854566</v>
      </c>
      <c r="I218" s="9">
        <f t="shared" si="22"/>
        <v>220.37936420479997</v>
      </c>
      <c r="J218" s="9">
        <f t="shared" si="23"/>
        <v>1322.4526442901001</v>
      </c>
      <c r="K218" s="9">
        <f t="shared" si="24"/>
        <v>220.37936420479997</v>
      </c>
      <c r="L218" s="10">
        <f t="shared" si="21"/>
        <v>0.16664442780338712</v>
      </c>
      <c r="M218" s="10">
        <f t="shared" si="20"/>
        <v>0.21230518619781824</v>
      </c>
      <c r="P218" s="8">
        <f t="shared" si="25"/>
        <v>-11.598164975601902</v>
      </c>
    </row>
    <row r="219" spans="1:16" x14ac:dyDescent="0.2">
      <c r="A219" s="8">
        <v>108.5</v>
      </c>
      <c r="B219" s="8">
        <v>217</v>
      </c>
      <c r="D219">
        <v>1440.25</v>
      </c>
      <c r="E219">
        <v>342.05699774265997</v>
      </c>
      <c r="F219">
        <v>149.05693348365</v>
      </c>
      <c r="G219">
        <v>122.86640360766999</v>
      </c>
      <c r="I219" s="9">
        <f t="shared" si="22"/>
        <v>219.19059413498996</v>
      </c>
      <c r="J219" s="9">
        <f t="shared" si="23"/>
        <v>1291.19306651635</v>
      </c>
      <c r="K219" s="9">
        <f t="shared" si="24"/>
        <v>219.19059413498996</v>
      </c>
      <c r="L219" s="10">
        <f t="shared" si="21"/>
        <v>0.16975818707450782</v>
      </c>
      <c r="M219" s="10">
        <f t="shared" si="20"/>
        <v>0.21563033786891317</v>
      </c>
      <c r="P219" s="8">
        <f t="shared" si="25"/>
        <v>-10.213603841116266</v>
      </c>
    </row>
    <row r="220" spans="1:16" x14ac:dyDescent="0.2">
      <c r="A220" s="8">
        <v>109</v>
      </c>
      <c r="B220" s="8">
        <v>218</v>
      </c>
      <c r="D220">
        <v>1548.2797518330999</v>
      </c>
      <c r="E220">
        <v>354.09701071630002</v>
      </c>
      <c r="F220">
        <v>149.06820744081</v>
      </c>
      <c r="G220">
        <v>122.50338218715</v>
      </c>
      <c r="I220" s="9">
        <f t="shared" si="22"/>
        <v>231.59362852915001</v>
      </c>
      <c r="J220" s="9">
        <f t="shared" si="23"/>
        <v>1399.2115443922899</v>
      </c>
      <c r="K220" s="9">
        <f t="shared" si="24"/>
        <v>231.59362852915001</v>
      </c>
      <c r="L220" s="10">
        <f t="shared" si="21"/>
        <v>0.16551723680191369</v>
      </c>
      <c r="M220" s="10">
        <f t="shared" si="20"/>
        <v>0.21160077999629323</v>
      </c>
      <c r="P220" s="8">
        <f t="shared" si="25"/>
        <v>-11.891472934453907</v>
      </c>
    </row>
    <row r="221" spans="1:16" x14ac:dyDescent="0.2">
      <c r="A221" s="8">
        <v>109.5</v>
      </c>
      <c r="B221" s="8">
        <v>219</v>
      </c>
      <c r="D221">
        <v>1488.4218838127999</v>
      </c>
      <c r="E221">
        <v>347.20924985900001</v>
      </c>
      <c r="F221">
        <v>149.43348365276</v>
      </c>
      <c r="G221">
        <v>123.18263810598</v>
      </c>
      <c r="I221" s="9">
        <f t="shared" si="22"/>
        <v>224.02661175302001</v>
      </c>
      <c r="J221" s="9">
        <f t="shared" si="23"/>
        <v>1338.9884001600399</v>
      </c>
      <c r="K221" s="9">
        <f t="shared" si="24"/>
        <v>224.02661175302001</v>
      </c>
      <c r="L221" s="10">
        <f t="shared" si="21"/>
        <v>0.16731034542662482</v>
      </c>
      <c r="M221" s="10">
        <f t="shared" si="20"/>
        <v>0.21360528102097859</v>
      </c>
      <c r="P221" s="8">
        <f t="shared" si="25"/>
        <v>-11.056818011208829</v>
      </c>
    </row>
    <row r="222" spans="1:16" x14ac:dyDescent="0.2">
      <c r="A222" s="8">
        <v>110</v>
      </c>
      <c r="B222" s="8">
        <v>220</v>
      </c>
      <c r="D222">
        <v>1458.3011844332</v>
      </c>
      <c r="E222">
        <v>345.58150028200998</v>
      </c>
      <c r="F222">
        <v>149.28466741826</v>
      </c>
      <c r="G222">
        <v>122.4611048478</v>
      </c>
      <c r="I222" s="9">
        <f t="shared" si="22"/>
        <v>223.12039543420997</v>
      </c>
      <c r="J222" s="9">
        <f t="shared" si="23"/>
        <v>1309.0165170149401</v>
      </c>
      <c r="K222" s="9">
        <f t="shared" si="24"/>
        <v>223.12039543420997</v>
      </c>
      <c r="L222" s="10">
        <f t="shared" si="21"/>
        <v>0.1704488771027963</v>
      </c>
      <c r="M222" s="10">
        <f t="shared" si="20"/>
        <v>0.21695520509712429</v>
      </c>
      <c r="P222" s="8">
        <f t="shared" si="25"/>
        <v>-9.6619418858194095</v>
      </c>
    </row>
    <row r="223" spans="1:16" x14ac:dyDescent="0.2">
      <c r="A223" s="8">
        <v>110.5</v>
      </c>
      <c r="B223" s="8">
        <v>221</v>
      </c>
      <c r="D223">
        <v>1450.2849162011</v>
      </c>
      <c r="E223">
        <v>343.04357541898997</v>
      </c>
      <c r="F223">
        <v>148.9329199549</v>
      </c>
      <c r="G223">
        <v>122.88049605412</v>
      </c>
      <c r="I223" s="9">
        <f t="shared" si="22"/>
        <v>220.16307936486999</v>
      </c>
      <c r="J223" s="9">
        <f t="shared" si="23"/>
        <v>1301.3519962462001</v>
      </c>
      <c r="K223" s="9">
        <f t="shared" si="24"/>
        <v>220.16307936486999</v>
      </c>
      <c r="L223" s="10">
        <f t="shared" si="21"/>
        <v>0.16918026790594617</v>
      </c>
      <c r="M223" s="10">
        <f t="shared" si="20"/>
        <v>0.21589798830024839</v>
      </c>
      <c r="P223" s="8">
        <f t="shared" si="25"/>
        <v>-10.10215677899382</v>
      </c>
    </row>
    <row r="224" spans="1:16" x14ac:dyDescent="0.2">
      <c r="A224" s="8">
        <v>111</v>
      </c>
      <c r="B224" s="8">
        <v>222</v>
      </c>
      <c r="D224">
        <v>1489.6235891648</v>
      </c>
      <c r="E224">
        <v>350.63939051918999</v>
      </c>
      <c r="F224">
        <v>149.0563697858</v>
      </c>
      <c r="G224">
        <v>122.84892897407001</v>
      </c>
      <c r="I224" s="9">
        <f t="shared" si="22"/>
        <v>227.79046154511997</v>
      </c>
      <c r="J224" s="9">
        <f t="shared" si="23"/>
        <v>1340.5672193790001</v>
      </c>
      <c r="K224" s="9">
        <f t="shared" si="24"/>
        <v>227.79046154511997</v>
      </c>
      <c r="L224" s="10">
        <f t="shared" si="21"/>
        <v>0.16992095454239203</v>
      </c>
      <c r="M224" s="10">
        <f t="shared" si="20"/>
        <v>0.21685006733666845</v>
      </c>
      <c r="P224" s="8">
        <f t="shared" si="25"/>
        <v>-9.7057202367919206</v>
      </c>
    </row>
    <row r="225" spans="1:16" x14ac:dyDescent="0.2">
      <c r="A225" s="8">
        <v>111.5</v>
      </c>
      <c r="B225" s="8">
        <v>223</v>
      </c>
      <c r="D225">
        <v>1449.6416478555</v>
      </c>
      <c r="E225">
        <v>346.43058690744999</v>
      </c>
      <c r="F225">
        <v>149.27057497182</v>
      </c>
      <c r="G225">
        <v>122.72717023675</v>
      </c>
      <c r="I225" s="9">
        <f t="shared" si="22"/>
        <v>223.70341667069999</v>
      </c>
      <c r="J225" s="9">
        <f t="shared" si="23"/>
        <v>1300.37107288368</v>
      </c>
      <c r="K225" s="9">
        <f t="shared" si="24"/>
        <v>223.70341667069999</v>
      </c>
      <c r="L225" s="10">
        <f t="shared" si="21"/>
        <v>0.17203044679748161</v>
      </c>
      <c r="M225" s="10">
        <f t="shared" si="20"/>
        <v>0.21917095199173225</v>
      </c>
      <c r="P225" s="8">
        <f t="shared" si="25"/>
        <v>-8.7393262166456704</v>
      </c>
    </row>
    <row r="226" spans="1:16" x14ac:dyDescent="0.2">
      <c r="A226" s="8">
        <v>112</v>
      </c>
      <c r="B226" s="8">
        <v>224</v>
      </c>
      <c r="D226">
        <v>1451.7579006772</v>
      </c>
      <c r="E226">
        <v>346.35553047403999</v>
      </c>
      <c r="F226">
        <v>149.43630214205001</v>
      </c>
      <c r="G226">
        <v>122.67925591882999</v>
      </c>
      <c r="I226" s="9">
        <f t="shared" si="22"/>
        <v>223.67627455521</v>
      </c>
      <c r="J226" s="9">
        <f t="shared" si="23"/>
        <v>1302.3215985351501</v>
      </c>
      <c r="K226" s="9">
        <f t="shared" si="24"/>
        <v>223.67627455521</v>
      </c>
      <c r="L226" s="10">
        <f t="shared" si="21"/>
        <v>0.17175195036832747</v>
      </c>
      <c r="M226" s="10">
        <f t="shared" si="20"/>
        <v>0.21910384796255233</v>
      </c>
      <c r="P226" s="8">
        <f t="shared" si="25"/>
        <v>-8.7672676881814091</v>
      </c>
    </row>
    <row r="227" spans="1:16" x14ac:dyDescent="0.2">
      <c r="A227" s="8">
        <v>112.5</v>
      </c>
      <c r="B227" s="8">
        <v>225</v>
      </c>
      <c r="D227">
        <v>1539.3663477772</v>
      </c>
      <c r="E227">
        <v>354.11930219470997</v>
      </c>
      <c r="F227">
        <v>149.09413754228001</v>
      </c>
      <c r="G227">
        <v>123.04791431792999</v>
      </c>
      <c r="I227" s="9">
        <f t="shared" si="22"/>
        <v>231.07138787677997</v>
      </c>
      <c r="J227" s="9">
        <f t="shared" si="23"/>
        <v>1390.2722102349198</v>
      </c>
      <c r="K227" s="9">
        <f t="shared" si="24"/>
        <v>231.07138787677997</v>
      </c>
      <c r="L227" s="10">
        <f t="shared" si="21"/>
        <v>0.16620585966954984</v>
      </c>
      <c r="M227" s="10">
        <f t="shared" si="20"/>
        <v>0.21376914966374894</v>
      </c>
      <c r="P227" s="8">
        <f t="shared" si="25"/>
        <v>-10.988584686421564</v>
      </c>
    </row>
    <row r="228" spans="1:16" x14ac:dyDescent="0.2">
      <c r="A228" s="8">
        <v>113</v>
      </c>
      <c r="B228" s="8">
        <v>226</v>
      </c>
      <c r="D228">
        <v>1527.2676767677001</v>
      </c>
      <c r="E228">
        <v>350.81200897868001</v>
      </c>
      <c r="F228">
        <v>149.78917700113001</v>
      </c>
      <c r="G228">
        <v>122.65896279594</v>
      </c>
      <c r="I228" s="9">
        <f t="shared" si="22"/>
        <v>228.15304618274001</v>
      </c>
      <c r="J228" s="9">
        <f t="shared" si="23"/>
        <v>1377.4784997665702</v>
      </c>
      <c r="K228" s="9">
        <f t="shared" si="24"/>
        <v>228.15304618274001</v>
      </c>
      <c r="L228" s="10">
        <f t="shared" si="21"/>
        <v>0.16563093087943168</v>
      </c>
      <c r="M228" s="10">
        <f t="shared" si="20"/>
        <v>0.21340561327360497</v>
      </c>
      <c r="P228" s="8">
        <f t="shared" si="25"/>
        <v>-11.139957738405929</v>
      </c>
    </row>
    <row r="229" spans="1:16" x14ac:dyDescent="0.2">
      <c r="A229" s="8">
        <v>113.5</v>
      </c>
      <c r="B229" s="8">
        <v>227</v>
      </c>
      <c r="D229">
        <v>1554.2222222221999</v>
      </c>
      <c r="E229">
        <v>353.37654320988003</v>
      </c>
      <c r="F229">
        <v>149.49549041713999</v>
      </c>
      <c r="G229">
        <v>122.69109357384001</v>
      </c>
      <c r="I229" s="9">
        <f t="shared" si="22"/>
        <v>230.68544963604</v>
      </c>
      <c r="J229" s="9">
        <f t="shared" si="23"/>
        <v>1404.7267318050599</v>
      </c>
      <c r="K229" s="9">
        <f t="shared" si="24"/>
        <v>230.68544963604</v>
      </c>
      <c r="L229" s="10">
        <f t="shared" si="21"/>
        <v>0.16422087258182344</v>
      </c>
      <c r="M229" s="10">
        <f t="shared" si="20"/>
        <v>0.21220694737597096</v>
      </c>
      <c r="P229" s="8">
        <f t="shared" si="25"/>
        <v>-11.639070674974894</v>
      </c>
    </row>
    <row r="230" spans="1:16" x14ac:dyDescent="0.2">
      <c r="A230" s="8">
        <v>114</v>
      </c>
      <c r="B230" s="8">
        <v>228</v>
      </c>
      <c r="D230">
        <v>1547.8518518518999</v>
      </c>
      <c r="E230">
        <v>352.97306397305999</v>
      </c>
      <c r="F230">
        <v>149.22547914318</v>
      </c>
      <c r="G230">
        <v>122.49436302142</v>
      </c>
      <c r="I230" s="9">
        <f t="shared" si="22"/>
        <v>230.47870095164001</v>
      </c>
      <c r="J230" s="9">
        <f t="shared" si="23"/>
        <v>1398.6263727087198</v>
      </c>
      <c r="K230" s="9">
        <f t="shared" si="24"/>
        <v>230.47870095164001</v>
      </c>
      <c r="L230" s="10">
        <f t="shared" si="21"/>
        <v>0.16478932862196205</v>
      </c>
      <c r="M230" s="10">
        <f t="shared" si="20"/>
        <v>0.21298679581608379</v>
      </c>
      <c r="P230" s="8">
        <f t="shared" si="25"/>
        <v>-11.314349294487029</v>
      </c>
    </row>
    <row r="231" spans="1:16" x14ac:dyDescent="0.2">
      <c r="A231" s="8">
        <v>114.5</v>
      </c>
      <c r="B231" s="8">
        <v>229</v>
      </c>
      <c r="D231">
        <v>1485.5993265993</v>
      </c>
      <c r="E231">
        <v>343.11054994388002</v>
      </c>
      <c r="F231">
        <v>150.10372040586</v>
      </c>
      <c r="G231">
        <v>122.97406989853</v>
      </c>
      <c r="I231" s="9">
        <f t="shared" si="22"/>
        <v>220.13648004535003</v>
      </c>
      <c r="J231" s="9">
        <f t="shared" si="23"/>
        <v>1335.4956061934399</v>
      </c>
      <c r="K231" s="9">
        <f t="shared" si="24"/>
        <v>220.13648004535003</v>
      </c>
      <c r="L231" s="10">
        <f t="shared" si="21"/>
        <v>0.16483504627379833</v>
      </c>
      <c r="M231" s="10">
        <f t="shared" si="20"/>
        <v>0.2132439058678943</v>
      </c>
      <c r="P231" s="8">
        <f t="shared" si="25"/>
        <v>-11.207291144894352</v>
      </c>
    </row>
    <row r="232" spans="1:16" x14ac:dyDescent="0.2">
      <c r="A232" s="8">
        <v>115</v>
      </c>
      <c r="B232" s="8">
        <v>230</v>
      </c>
      <c r="D232">
        <v>1437.806741573</v>
      </c>
      <c r="E232">
        <v>331.79101123596001</v>
      </c>
      <c r="F232">
        <v>149.50958286359</v>
      </c>
      <c r="G232">
        <v>122.66741826381001</v>
      </c>
      <c r="I232" s="9">
        <f t="shared" si="22"/>
        <v>209.12359297214999</v>
      </c>
      <c r="J232" s="9">
        <f t="shared" si="23"/>
        <v>1288.29715870941</v>
      </c>
      <c r="K232" s="9">
        <f t="shared" si="24"/>
        <v>209.12359297214999</v>
      </c>
      <c r="L232" s="10">
        <f t="shared" si="21"/>
        <v>0.16232558735256838</v>
      </c>
      <c r="M232" s="10">
        <f t="shared" si="20"/>
        <v>0.21094583934663858</v>
      </c>
      <c r="P232" s="8">
        <f t="shared" si="25"/>
        <v>-12.164183913862557</v>
      </c>
    </row>
    <row r="233" spans="1:16" x14ac:dyDescent="0.2">
      <c r="A233" s="8">
        <v>115.5</v>
      </c>
      <c r="B233" s="8">
        <v>231</v>
      </c>
      <c r="D233">
        <v>1445.1549295775001</v>
      </c>
      <c r="E233">
        <v>331.45971830986002</v>
      </c>
      <c r="F233">
        <v>149.30777903044</v>
      </c>
      <c r="G233">
        <v>122.81736189403</v>
      </c>
      <c r="I233" s="9">
        <f t="shared" si="22"/>
        <v>208.64235641583002</v>
      </c>
      <c r="J233" s="9">
        <f t="shared" si="23"/>
        <v>1295.84715054706</v>
      </c>
      <c r="K233" s="9">
        <f t="shared" si="24"/>
        <v>208.64235641583002</v>
      </c>
      <c r="L233" s="10">
        <f t="shared" si="21"/>
        <v>0.1610084617832811</v>
      </c>
      <c r="M233" s="10">
        <f t="shared" si="20"/>
        <v>0.20984010617732549</v>
      </c>
      <c r="P233" s="8">
        <f t="shared" si="25"/>
        <v>-12.624600557304991</v>
      </c>
    </row>
    <row r="234" spans="1:16" x14ac:dyDescent="0.2">
      <c r="A234" s="8">
        <v>116</v>
      </c>
      <c r="B234" s="8">
        <v>232</v>
      </c>
      <c r="D234">
        <v>1398.9430485762</v>
      </c>
      <c r="E234">
        <v>329.31825795645</v>
      </c>
      <c r="F234">
        <v>149.07609921081999</v>
      </c>
      <c r="G234">
        <v>122.27282976325</v>
      </c>
      <c r="I234" s="9">
        <f t="shared" si="22"/>
        <v>207.0454281932</v>
      </c>
      <c r="J234" s="9">
        <f t="shared" si="23"/>
        <v>1249.8669493653799</v>
      </c>
      <c r="K234" s="9">
        <f t="shared" si="24"/>
        <v>207.0454281932</v>
      </c>
      <c r="L234" s="10">
        <f t="shared" si="21"/>
        <v>0.16565397484774466</v>
      </c>
      <c r="M234" s="10">
        <f t="shared" si="20"/>
        <v>0.21469701164176327</v>
      </c>
      <c r="P234" s="8">
        <f t="shared" si="25"/>
        <v>-10.602231894128456</v>
      </c>
    </row>
    <row r="235" spans="1:16" x14ac:dyDescent="0.2">
      <c r="A235" s="8">
        <v>116.5</v>
      </c>
      <c r="B235" s="8">
        <v>233</v>
      </c>
      <c r="D235">
        <v>1487.7052868392</v>
      </c>
      <c r="E235">
        <v>346.15466816648001</v>
      </c>
      <c r="F235">
        <v>149.53664036077001</v>
      </c>
      <c r="G235">
        <v>122.6877113867</v>
      </c>
      <c r="I235" s="9">
        <f t="shared" si="22"/>
        <v>223.46695677977999</v>
      </c>
      <c r="J235" s="9">
        <f t="shared" si="23"/>
        <v>1338.16864647843</v>
      </c>
      <c r="K235" s="9">
        <f t="shared" si="24"/>
        <v>223.46695677977999</v>
      </c>
      <c r="L235" s="10">
        <f t="shared" si="21"/>
        <v>0.16699461414513275</v>
      </c>
      <c r="M235" s="10">
        <f t="shared" si="20"/>
        <v>0.21624904333912559</v>
      </c>
      <c r="P235" s="8">
        <f t="shared" si="25"/>
        <v>-9.9559808414809741</v>
      </c>
    </row>
    <row r="236" spans="1:16" x14ac:dyDescent="0.2">
      <c r="A236" s="8">
        <v>117</v>
      </c>
      <c r="B236" s="8">
        <v>234</v>
      </c>
      <c r="D236">
        <v>1545.7909859155</v>
      </c>
      <c r="E236">
        <v>349.93070422534998</v>
      </c>
      <c r="F236">
        <v>149.08850056369999</v>
      </c>
      <c r="G236">
        <v>122.64543404734999</v>
      </c>
      <c r="I236" s="9">
        <f t="shared" si="22"/>
        <v>227.28527017799999</v>
      </c>
      <c r="J236" s="9">
        <f t="shared" si="23"/>
        <v>1396.7024853518001</v>
      </c>
      <c r="K236" s="9">
        <f t="shared" si="24"/>
        <v>227.28527017799999</v>
      </c>
      <c r="L236" s="10">
        <f t="shared" si="21"/>
        <v>0.16272991031497419</v>
      </c>
      <c r="M236" s="10">
        <f t="shared" si="20"/>
        <v>0.21219573190894125</v>
      </c>
      <c r="P236" s="8">
        <f t="shared" si="25"/>
        <v>-11.643740687440616</v>
      </c>
    </row>
    <row r="237" spans="1:16" x14ac:dyDescent="0.2">
      <c r="A237" s="8">
        <v>117.5</v>
      </c>
      <c r="B237" s="8">
        <v>235</v>
      </c>
      <c r="D237">
        <v>1521.8861971831</v>
      </c>
      <c r="E237">
        <v>351.93521126760999</v>
      </c>
      <c r="F237">
        <v>149.05073280721999</v>
      </c>
      <c r="G237">
        <v>122.75817361894001</v>
      </c>
      <c r="I237" s="9">
        <f t="shared" si="22"/>
        <v>229.17703764866997</v>
      </c>
      <c r="J237" s="9">
        <f t="shared" si="23"/>
        <v>1372.8354643758801</v>
      </c>
      <c r="K237" s="9">
        <f t="shared" si="24"/>
        <v>229.17703764866997</v>
      </c>
      <c r="L237" s="10">
        <f t="shared" si="21"/>
        <v>0.16693700271857317</v>
      </c>
      <c r="M237" s="10">
        <f t="shared" si="20"/>
        <v>0.21661421671251443</v>
      </c>
      <c r="P237" s="8">
        <f t="shared" si="25"/>
        <v>-9.8039261654376659</v>
      </c>
    </row>
    <row r="238" spans="1:16" x14ac:dyDescent="0.2">
      <c r="A238" s="8">
        <v>118</v>
      </c>
      <c r="B238" s="8">
        <v>236</v>
      </c>
      <c r="D238">
        <v>1457.6681741097</v>
      </c>
      <c r="E238">
        <v>340.84567552289002</v>
      </c>
      <c r="F238">
        <v>149.07102593010001</v>
      </c>
      <c r="G238">
        <v>122.6488162345</v>
      </c>
      <c r="I238" s="9">
        <f t="shared" si="22"/>
        <v>218.19685928839002</v>
      </c>
      <c r="J238" s="9">
        <f t="shared" si="23"/>
        <v>1308.5971481796</v>
      </c>
      <c r="K238" s="9">
        <f t="shared" si="24"/>
        <v>218.19685928839002</v>
      </c>
      <c r="L238" s="10">
        <f t="shared" si="21"/>
        <v>0.1667410475347019</v>
      </c>
      <c r="M238" s="10">
        <f t="shared" si="20"/>
        <v>0.21662965392861738</v>
      </c>
      <c r="P238" s="8">
        <f t="shared" si="25"/>
        <v>-9.7974982573134746</v>
      </c>
    </row>
    <row r="239" spans="1:16" x14ac:dyDescent="0.2">
      <c r="A239" s="8">
        <v>118.5</v>
      </c>
      <c r="B239" s="8">
        <v>237</v>
      </c>
      <c r="D239">
        <v>1405.8569826135999</v>
      </c>
      <c r="E239">
        <v>334.39652271453002</v>
      </c>
      <c r="F239">
        <v>149.01578354002001</v>
      </c>
      <c r="G239">
        <v>122.65727170237</v>
      </c>
      <c r="I239" s="9">
        <f t="shared" si="22"/>
        <v>211.73925101216003</v>
      </c>
      <c r="J239" s="9">
        <f t="shared" si="23"/>
        <v>1256.8411990735799</v>
      </c>
      <c r="K239" s="9">
        <f t="shared" si="24"/>
        <v>211.73925101216003</v>
      </c>
      <c r="L239" s="10">
        <f t="shared" si="21"/>
        <v>0.16846937478516255</v>
      </c>
      <c r="M239" s="10">
        <f t="shared" si="20"/>
        <v>0.21856937357905226</v>
      </c>
      <c r="P239" s="8">
        <f t="shared" si="25"/>
        <v>-8.9898176744587843</v>
      </c>
    </row>
    <row r="240" spans="1:16" x14ac:dyDescent="0.2">
      <c r="A240" s="8">
        <v>119</v>
      </c>
      <c r="B240" s="8">
        <v>238</v>
      </c>
      <c r="D240">
        <v>1458.0702641933999</v>
      </c>
      <c r="E240">
        <v>343.26025857222999</v>
      </c>
      <c r="F240">
        <v>148.88669673055</v>
      </c>
      <c r="G240">
        <v>122.60315670801</v>
      </c>
      <c r="I240" s="9">
        <f t="shared" si="22"/>
        <v>220.65710186421998</v>
      </c>
      <c r="J240" s="9">
        <f t="shared" si="23"/>
        <v>1309.1835674628499</v>
      </c>
      <c r="K240" s="9">
        <f t="shared" si="24"/>
        <v>220.65710186421998</v>
      </c>
      <c r="L240" s="10">
        <f t="shared" si="21"/>
        <v>0.16854557859433372</v>
      </c>
      <c r="M240" s="10">
        <f t="shared" si="20"/>
        <v>0.21885696978819763</v>
      </c>
      <c r="P240" s="8">
        <f t="shared" si="25"/>
        <v>-8.8700653825349214</v>
      </c>
    </row>
    <row r="241" spans="1:16" x14ac:dyDescent="0.2">
      <c r="A241" s="8">
        <v>119.5</v>
      </c>
      <c r="B241" s="8">
        <v>239</v>
      </c>
      <c r="D241">
        <v>1475.8856172139999</v>
      </c>
      <c r="E241">
        <v>341.74009060023002</v>
      </c>
      <c r="F241">
        <v>149.23900789177</v>
      </c>
      <c r="G241">
        <v>123.02198421646</v>
      </c>
      <c r="I241" s="9">
        <f t="shared" si="22"/>
        <v>218.71810638377002</v>
      </c>
      <c r="J241" s="9">
        <f t="shared" si="23"/>
        <v>1326.64660932223</v>
      </c>
      <c r="K241" s="9">
        <f t="shared" si="24"/>
        <v>218.71810638377002</v>
      </c>
      <c r="L241" s="10">
        <f t="shared" si="21"/>
        <v>0.16486538679317986</v>
      </c>
      <c r="M241" s="10">
        <f t="shared" si="20"/>
        <v>0.21538817038701799</v>
      </c>
      <c r="P241" s="8">
        <f t="shared" si="25"/>
        <v>-10.314440048493809</v>
      </c>
    </row>
    <row r="242" spans="1:16" x14ac:dyDescent="0.2">
      <c r="A242" s="8">
        <v>120</v>
      </c>
      <c r="B242" s="8">
        <v>240</v>
      </c>
      <c r="D242">
        <v>1467.5419026048</v>
      </c>
      <c r="E242">
        <v>341.11211778029002</v>
      </c>
      <c r="F242">
        <v>148.96392333708999</v>
      </c>
      <c r="G242">
        <v>122.47125140925</v>
      </c>
      <c r="I242" s="9">
        <f>E242-G242</f>
        <v>218.64086637104003</v>
      </c>
      <c r="J242" s="9">
        <f>D242-F242</f>
        <v>1318.5779792677101</v>
      </c>
      <c r="K242" s="9">
        <f t="shared" si="24"/>
        <v>218.64086637104003</v>
      </c>
      <c r="L242" s="10">
        <f t="shared" si="21"/>
        <v>0.16581565126126643</v>
      </c>
      <c r="M242" s="10">
        <f>L242+ABS($N$2)*A242</f>
        <v>0.21654982725507879</v>
      </c>
      <c r="O242" s="11"/>
      <c r="P242" s="8">
        <f>(M242-$O$2)/$O$2*100</f>
        <v>-9.8307373154405315</v>
      </c>
    </row>
    <row r="243" spans="1:16" x14ac:dyDescent="0.2">
      <c r="A243" s="8">
        <v>120.5</v>
      </c>
      <c r="B243" s="8">
        <v>241</v>
      </c>
      <c r="D243">
        <v>1526.2627406569</v>
      </c>
      <c r="E243">
        <v>348.80407701018999</v>
      </c>
      <c r="F243">
        <v>149.08342728298001</v>
      </c>
      <c r="G243">
        <v>122.95772266065001</v>
      </c>
      <c r="I243" s="9">
        <f t="shared" ref="I243:I274" si="26">E243-G243</f>
        <v>225.84635434953998</v>
      </c>
      <c r="J243" s="9">
        <f t="shared" ref="J243:J274" si="27">D243-F243</f>
        <v>1377.17931337392</v>
      </c>
      <c r="K243" s="9">
        <f t="shared" si="24"/>
        <v>225.84635434953998</v>
      </c>
      <c r="L243" s="10">
        <f t="shared" si="21"/>
        <v>0.16399197414332647</v>
      </c>
      <c r="M243" s="10">
        <f t="shared" ref="M243:M274" si="28">L243+ABS($N$2)*A243</f>
        <v>0.21493754253711306</v>
      </c>
      <c r="P243" s="8">
        <f t="shared" ref="P243:P274" si="29">(M243-$O$2)/$O$2*100</f>
        <v>-10.502077145628014</v>
      </c>
    </row>
    <row r="244" spans="1:16" x14ac:dyDescent="0.2">
      <c r="A244" s="8">
        <v>121</v>
      </c>
      <c r="B244" s="8">
        <v>242</v>
      </c>
      <c r="D244">
        <v>1542.3499433749</v>
      </c>
      <c r="E244">
        <v>350.37202718007001</v>
      </c>
      <c r="F244">
        <v>148.72209695602999</v>
      </c>
      <c r="G244">
        <v>122.53776775647999</v>
      </c>
      <c r="I244" s="9">
        <f t="shared" si="26"/>
        <v>227.83425942359003</v>
      </c>
      <c r="J244" s="9">
        <f t="shared" si="27"/>
        <v>1393.6278464188699</v>
      </c>
      <c r="K244" s="9">
        <f t="shared" si="24"/>
        <v>227.83425942359003</v>
      </c>
      <c r="L244" s="10">
        <f t="shared" si="21"/>
        <v>0.1634828552034486</v>
      </c>
      <c r="M244" s="10">
        <f t="shared" si="28"/>
        <v>0.21463981599720938</v>
      </c>
      <c r="N244" s="1"/>
      <c r="P244" s="8">
        <f t="shared" si="29"/>
        <v>-10.6260476097241</v>
      </c>
    </row>
    <row r="245" spans="1:16" x14ac:dyDescent="0.2">
      <c r="A245" s="8">
        <v>121.5</v>
      </c>
      <c r="B245" s="8">
        <v>243</v>
      </c>
      <c r="D245">
        <v>1515.5161290322999</v>
      </c>
      <c r="E245">
        <v>350.76117713639002</v>
      </c>
      <c r="F245">
        <v>148.95321307779</v>
      </c>
      <c r="G245">
        <v>122.84498308905999</v>
      </c>
      <c r="I245" s="9">
        <f t="shared" si="26"/>
        <v>227.91619404733001</v>
      </c>
      <c r="J245" s="9">
        <f t="shared" si="27"/>
        <v>1366.5629159545099</v>
      </c>
      <c r="K245" s="9">
        <f t="shared" si="24"/>
        <v>227.91619404733001</v>
      </c>
      <c r="L245" s="10">
        <f t="shared" si="21"/>
        <v>0.16678060803964981</v>
      </c>
      <c r="M245" s="10">
        <f t="shared" si="28"/>
        <v>0.21814896123338481</v>
      </c>
      <c r="P245" s="8">
        <f t="shared" si="29"/>
        <v>-9.1648733266051465</v>
      </c>
    </row>
    <row r="246" spans="1:16" x14ac:dyDescent="0.2">
      <c r="A246" s="8">
        <v>122</v>
      </c>
      <c r="B246" s="8">
        <v>244</v>
      </c>
      <c r="D246">
        <v>1474.5693265422001</v>
      </c>
      <c r="E246">
        <v>344.87436332766998</v>
      </c>
      <c r="F246">
        <v>148.80439684328999</v>
      </c>
      <c r="G246">
        <v>122.66572717024</v>
      </c>
      <c r="I246" s="9">
        <f t="shared" si="26"/>
        <v>222.20863615742996</v>
      </c>
      <c r="J246" s="9">
        <f t="shared" si="27"/>
        <v>1325.76492969891</v>
      </c>
      <c r="K246" s="9">
        <f t="shared" si="24"/>
        <v>222.20863615742996</v>
      </c>
      <c r="L246" s="10">
        <f t="shared" si="21"/>
        <v>0.16760787012814934</v>
      </c>
      <c r="M246" s="10">
        <f t="shared" si="28"/>
        <v>0.21918761572185858</v>
      </c>
      <c r="P246" s="8">
        <f t="shared" si="29"/>
        <v>-8.7323875998935314</v>
      </c>
    </row>
    <row r="247" spans="1:16" x14ac:dyDescent="0.2">
      <c r="A247" s="8">
        <v>122.5</v>
      </c>
      <c r="B247" s="8">
        <v>245</v>
      </c>
      <c r="D247">
        <v>1424.359708193</v>
      </c>
      <c r="E247">
        <v>338.89618406285001</v>
      </c>
      <c r="F247">
        <v>148.92671927846999</v>
      </c>
      <c r="G247">
        <v>122.55298759865001</v>
      </c>
      <c r="I247" s="9">
        <f t="shared" si="26"/>
        <v>216.34319646419999</v>
      </c>
      <c r="J247" s="9">
        <f t="shared" si="27"/>
        <v>1275.4329889145299</v>
      </c>
      <c r="K247" s="9">
        <f t="shared" si="24"/>
        <v>216.34319646419999</v>
      </c>
      <c r="L247" s="10">
        <f t="shared" si="21"/>
        <v>0.16962333446331904</v>
      </c>
      <c r="M247" s="10">
        <f t="shared" si="28"/>
        <v>0.22141447245700249</v>
      </c>
      <c r="P247" s="8">
        <f t="shared" si="29"/>
        <v>-7.8051459001088785</v>
      </c>
    </row>
    <row r="248" spans="1:16" x14ac:dyDescent="0.2">
      <c r="A248" s="8">
        <v>123</v>
      </c>
      <c r="B248" s="8">
        <v>246</v>
      </c>
      <c r="D248">
        <v>1365.5581264108</v>
      </c>
      <c r="E248">
        <v>325.90970654628001</v>
      </c>
      <c r="F248">
        <v>149.08793686583999</v>
      </c>
      <c r="G248">
        <v>122.21025930102</v>
      </c>
      <c r="I248" s="9">
        <f t="shared" si="26"/>
        <v>203.69944724525999</v>
      </c>
      <c r="J248" s="9">
        <f t="shared" si="27"/>
        <v>1216.47018954496</v>
      </c>
      <c r="K248" s="9">
        <f t="shared" si="24"/>
        <v>203.69944724525999</v>
      </c>
      <c r="L248" s="10">
        <f t="shared" si="21"/>
        <v>0.16745124458944366</v>
      </c>
      <c r="M248" s="10">
        <f t="shared" si="28"/>
        <v>0.21945377498310131</v>
      </c>
      <c r="P248" s="8">
        <f t="shared" si="29"/>
        <v>-8.6215614466375641</v>
      </c>
    </row>
    <row r="249" spans="1:16" x14ac:dyDescent="0.2">
      <c r="A249" s="8">
        <v>123.5</v>
      </c>
      <c r="B249" s="8">
        <v>247</v>
      </c>
      <c r="D249">
        <v>1357.1760722347999</v>
      </c>
      <c r="E249">
        <v>324.91647855530999</v>
      </c>
      <c r="F249">
        <v>148.84723788049999</v>
      </c>
      <c r="G249">
        <v>122.57497181511</v>
      </c>
      <c r="I249" s="9">
        <f t="shared" si="26"/>
        <v>202.34150674019997</v>
      </c>
      <c r="J249" s="9">
        <f t="shared" si="27"/>
        <v>1208.3288343542999</v>
      </c>
      <c r="K249" s="9">
        <f t="shared" si="24"/>
        <v>202.34150674019997</v>
      </c>
      <c r="L249" s="10">
        <f t="shared" si="21"/>
        <v>0.16745566354735389</v>
      </c>
      <c r="M249" s="10">
        <f t="shared" si="28"/>
        <v>0.21966958634098577</v>
      </c>
      <c r="P249" s="8">
        <f t="shared" si="29"/>
        <v>-8.5316996754874399</v>
      </c>
    </row>
    <row r="250" spans="1:16" x14ac:dyDescent="0.2">
      <c r="A250" s="8">
        <v>124</v>
      </c>
      <c r="B250" s="8">
        <v>248</v>
      </c>
      <c r="D250">
        <v>1361.9034988712999</v>
      </c>
      <c r="E250">
        <v>326.20936794582002</v>
      </c>
      <c r="F250">
        <v>149.84892897406999</v>
      </c>
      <c r="G250">
        <v>122.49323562571</v>
      </c>
      <c r="I250" s="9">
        <f t="shared" si="26"/>
        <v>203.71613232011003</v>
      </c>
      <c r="J250" s="9">
        <f t="shared" si="27"/>
        <v>1212.0545698972298</v>
      </c>
      <c r="K250" s="9">
        <f t="shared" si="24"/>
        <v>203.71613232011003</v>
      </c>
      <c r="L250" s="10">
        <f t="shared" si="21"/>
        <v>0.16807504990256597</v>
      </c>
      <c r="M250" s="10">
        <f t="shared" si="28"/>
        <v>0.22050036509617207</v>
      </c>
      <c r="P250" s="8">
        <f t="shared" si="29"/>
        <v>-8.1857714022641765</v>
      </c>
    </row>
    <row r="251" spans="1:16" x14ac:dyDescent="0.2">
      <c r="A251" s="8">
        <v>124.5</v>
      </c>
      <c r="B251" s="8">
        <v>249</v>
      </c>
      <c r="D251">
        <v>1414.3340857788</v>
      </c>
      <c r="E251">
        <v>334.96839729120001</v>
      </c>
      <c r="F251">
        <v>149.17587373168001</v>
      </c>
      <c r="G251">
        <v>122.65050732807001</v>
      </c>
      <c r="I251" s="9">
        <f t="shared" si="26"/>
        <v>212.31788996313</v>
      </c>
      <c r="J251" s="9">
        <f t="shared" si="27"/>
        <v>1265.1582120471201</v>
      </c>
      <c r="K251" s="9">
        <f t="shared" si="24"/>
        <v>212.31788996313</v>
      </c>
      <c r="L251" s="10">
        <f t="shared" si="21"/>
        <v>0.16781924026686265</v>
      </c>
      <c r="M251" s="10">
        <f t="shared" si="28"/>
        <v>0.22045594786044298</v>
      </c>
      <c r="P251" s="8">
        <f t="shared" si="29"/>
        <v>-8.2042663114818186</v>
      </c>
    </row>
    <row r="252" spans="1:16" x14ac:dyDescent="0.2">
      <c r="A252" s="8">
        <v>125</v>
      </c>
      <c r="B252" s="8">
        <v>250</v>
      </c>
      <c r="D252">
        <v>1405.8713318283999</v>
      </c>
      <c r="E252">
        <v>333.9085778781</v>
      </c>
      <c r="F252">
        <v>149.34667418263999</v>
      </c>
      <c r="G252">
        <v>122.58850056369999</v>
      </c>
      <c r="I252" s="9">
        <f t="shared" si="26"/>
        <v>211.32007731440001</v>
      </c>
      <c r="J252" s="9">
        <f t="shared" si="27"/>
        <v>1256.5246576457598</v>
      </c>
      <c r="K252" s="9">
        <f t="shared" si="24"/>
        <v>211.32007731440001</v>
      </c>
      <c r="L252" s="10">
        <f t="shared" si="21"/>
        <v>0.16817821761678114</v>
      </c>
      <c r="M252" s="10">
        <f t="shared" si="28"/>
        <v>0.2210263176103357</v>
      </c>
      <c r="P252" s="8">
        <f t="shared" si="29"/>
        <v>-7.9667698403125167</v>
      </c>
    </row>
    <row r="253" spans="1:16" x14ac:dyDescent="0.2">
      <c r="A253" s="8">
        <v>125.5</v>
      </c>
      <c r="B253" s="8">
        <v>251</v>
      </c>
      <c r="D253">
        <v>1409.0451467268999</v>
      </c>
      <c r="E253">
        <v>336.57562076749002</v>
      </c>
      <c r="F253">
        <v>149.30947012401001</v>
      </c>
      <c r="G253">
        <v>122.68996617813001</v>
      </c>
      <c r="I253" s="9">
        <f t="shared" si="26"/>
        <v>213.88565458936</v>
      </c>
      <c r="J253" s="9">
        <f t="shared" si="27"/>
        <v>1259.73567660289</v>
      </c>
      <c r="K253" s="9">
        <f t="shared" si="24"/>
        <v>213.88565458936</v>
      </c>
      <c r="L253" s="10">
        <f t="shared" si="21"/>
        <v>0.16978613733171566</v>
      </c>
      <c r="M253" s="10">
        <f t="shared" si="28"/>
        <v>0.22284562972524441</v>
      </c>
      <c r="P253" s="8">
        <f t="shared" si="29"/>
        <v>-7.2092257957210082</v>
      </c>
    </row>
    <row r="254" spans="1:16" x14ac:dyDescent="0.2">
      <c r="A254" s="8">
        <v>126</v>
      </c>
      <c r="B254" s="8">
        <v>252</v>
      </c>
      <c r="D254">
        <v>1447.7325056433001</v>
      </c>
      <c r="E254">
        <v>345.56489841987002</v>
      </c>
      <c r="F254">
        <v>149.60259301015</v>
      </c>
      <c r="G254">
        <v>122.34780157835</v>
      </c>
      <c r="I254" s="9">
        <f t="shared" si="26"/>
        <v>223.21709684152</v>
      </c>
      <c r="J254" s="9">
        <f t="shared" si="27"/>
        <v>1298.1299126331501</v>
      </c>
      <c r="K254" s="9">
        <f t="shared" si="24"/>
        <v>223.21709684152</v>
      </c>
      <c r="L254" s="10">
        <f t="shared" si="21"/>
        <v>0.17195281818037952</v>
      </c>
      <c r="M254" s="10">
        <f t="shared" si="28"/>
        <v>0.2252237029738825</v>
      </c>
      <c r="P254" s="8">
        <f t="shared" si="29"/>
        <v>-6.2190189959391224</v>
      </c>
    </row>
    <row r="255" spans="1:16" x14ac:dyDescent="0.2">
      <c r="A255" s="8">
        <v>126.5</v>
      </c>
      <c r="B255" s="8">
        <v>253</v>
      </c>
      <c r="D255">
        <v>1447.3589164785999</v>
      </c>
      <c r="E255">
        <v>345.07674943567002</v>
      </c>
      <c r="F255">
        <v>148.94983089063999</v>
      </c>
      <c r="G255">
        <v>122.34272829763</v>
      </c>
      <c r="I255" s="9">
        <f t="shared" si="26"/>
        <v>222.73402113804002</v>
      </c>
      <c r="J255" s="9">
        <f t="shared" si="27"/>
        <v>1298.4090855879599</v>
      </c>
      <c r="K255" s="9">
        <f t="shared" si="24"/>
        <v>222.73402113804002</v>
      </c>
      <c r="L255" s="10">
        <f t="shared" si="21"/>
        <v>0.17154379433287711</v>
      </c>
      <c r="M255" s="10">
        <f t="shared" si="28"/>
        <v>0.22502607152635432</v>
      </c>
      <c r="P255" s="8">
        <f t="shared" si="29"/>
        <v>-6.3013108274902407</v>
      </c>
    </row>
    <row r="256" spans="1:16" x14ac:dyDescent="0.2">
      <c r="A256" s="8">
        <v>127</v>
      </c>
      <c r="B256" s="8">
        <v>254</v>
      </c>
      <c r="D256">
        <v>1447.6286681716001</v>
      </c>
      <c r="E256">
        <v>347.14051918735998</v>
      </c>
      <c r="F256">
        <v>150.02311161218</v>
      </c>
      <c r="G256">
        <v>122.33145434047</v>
      </c>
      <c r="I256" s="9">
        <f t="shared" si="26"/>
        <v>224.80906484688998</v>
      </c>
      <c r="J256" s="9">
        <f t="shared" si="27"/>
        <v>1297.6055565594202</v>
      </c>
      <c r="K256" s="9">
        <f t="shared" si="24"/>
        <v>224.80906484688998</v>
      </c>
      <c r="L256" s="10">
        <f t="shared" si="21"/>
        <v>0.1732491539593646</v>
      </c>
      <c r="M256" s="10">
        <f t="shared" si="28"/>
        <v>0.22694282355281603</v>
      </c>
      <c r="P256" s="8">
        <f t="shared" si="29"/>
        <v>-5.5031937420787367</v>
      </c>
    </row>
    <row r="257" spans="1:16" x14ac:dyDescent="0.2">
      <c r="A257" s="8">
        <v>127.5</v>
      </c>
      <c r="B257" s="8">
        <v>255</v>
      </c>
      <c r="D257">
        <v>1446.9187358917</v>
      </c>
      <c r="E257">
        <v>348.18566591422001</v>
      </c>
      <c r="F257">
        <v>149.45772266065001</v>
      </c>
      <c r="G257">
        <v>122.44588500563999</v>
      </c>
      <c r="I257" s="9">
        <f t="shared" si="26"/>
        <v>225.73978090858003</v>
      </c>
      <c r="J257" s="9">
        <f t="shared" si="27"/>
        <v>1297.4610132310499</v>
      </c>
      <c r="K257" s="9">
        <f t="shared" si="24"/>
        <v>225.73978090858003</v>
      </c>
      <c r="L257" s="10">
        <f t="shared" si="21"/>
        <v>0.17398579117720328</v>
      </c>
      <c r="M257" s="10">
        <f t="shared" si="28"/>
        <v>0.2278908531706289</v>
      </c>
      <c r="P257" s="8">
        <f t="shared" si="29"/>
        <v>-5.1084433387887858</v>
      </c>
    </row>
    <row r="258" spans="1:16" x14ac:dyDescent="0.2">
      <c r="A258" s="8">
        <v>128</v>
      </c>
      <c r="B258" s="8">
        <v>256</v>
      </c>
      <c r="D258">
        <v>1444.6834085779001</v>
      </c>
      <c r="E258">
        <v>349.99830699773997</v>
      </c>
      <c r="F258">
        <v>149.77959413753999</v>
      </c>
      <c r="G258">
        <v>122.40248027058</v>
      </c>
      <c r="I258" s="9">
        <f t="shared" si="26"/>
        <v>227.59582672715999</v>
      </c>
      <c r="J258" s="9">
        <f t="shared" si="27"/>
        <v>1294.9038144403601</v>
      </c>
      <c r="K258" s="9">
        <f t="shared" si="24"/>
        <v>227.59582672715999</v>
      </c>
      <c r="L258" s="10">
        <f t="shared" ref="L258:L321" si="30">K258/J258</f>
        <v>0.17576272784826402</v>
      </c>
      <c r="M258" s="10">
        <f t="shared" si="28"/>
        <v>0.22987918224166387</v>
      </c>
      <c r="P258" s="8">
        <f t="shared" si="29"/>
        <v>-4.280522261307099</v>
      </c>
    </row>
    <row r="259" spans="1:16" x14ac:dyDescent="0.2">
      <c r="A259" s="8">
        <v>128.5</v>
      </c>
      <c r="B259" s="8">
        <v>257</v>
      </c>
      <c r="D259">
        <v>1439.9813769752</v>
      </c>
      <c r="E259">
        <v>351.11004514672999</v>
      </c>
      <c r="F259">
        <v>149.13641488162</v>
      </c>
      <c r="G259">
        <v>122.59639233371</v>
      </c>
      <c r="I259" s="9">
        <f t="shared" si="26"/>
        <v>228.51365281301997</v>
      </c>
      <c r="J259" s="9">
        <f t="shared" si="27"/>
        <v>1290.8449620935799</v>
      </c>
      <c r="K259" s="9">
        <f t="shared" ref="K259:K321" si="31">I259*1</f>
        <v>228.51365281301997</v>
      </c>
      <c r="L259" s="10">
        <f t="shared" si="30"/>
        <v>0.17702641256189361</v>
      </c>
      <c r="M259" s="10">
        <f t="shared" si="28"/>
        <v>0.23135425935526768</v>
      </c>
      <c r="P259" s="8">
        <f t="shared" si="29"/>
        <v>-3.6663143562605964</v>
      </c>
    </row>
    <row r="260" spans="1:16" x14ac:dyDescent="0.2">
      <c r="A260" s="8">
        <v>129</v>
      </c>
      <c r="B260" s="8">
        <v>258</v>
      </c>
      <c r="D260">
        <v>1436.1275395033999</v>
      </c>
      <c r="E260">
        <v>354.91083521445</v>
      </c>
      <c r="F260">
        <v>149.60146561443</v>
      </c>
      <c r="G260">
        <v>122.47237880496</v>
      </c>
      <c r="I260" s="9">
        <f t="shared" si="26"/>
        <v>232.43845640949002</v>
      </c>
      <c r="J260" s="9">
        <f t="shared" si="27"/>
        <v>1286.5260738889699</v>
      </c>
      <c r="K260" s="9">
        <f t="shared" si="31"/>
        <v>232.43845640949002</v>
      </c>
      <c r="L260" s="10">
        <f t="shared" si="30"/>
        <v>0.18067139184118081</v>
      </c>
      <c r="M260" s="10">
        <f t="shared" si="28"/>
        <v>0.23521063103452911</v>
      </c>
      <c r="P260" s="8">
        <f t="shared" si="29"/>
        <v>-2.0605583260467073</v>
      </c>
    </row>
    <row r="261" spans="1:16" x14ac:dyDescent="0.2">
      <c r="A261" s="8">
        <v>129.5</v>
      </c>
      <c r="B261" s="8">
        <v>259</v>
      </c>
      <c r="D261">
        <v>1445.2782167042999</v>
      </c>
      <c r="E261">
        <v>358.53950338600998</v>
      </c>
      <c r="F261">
        <v>149.74746335963999</v>
      </c>
      <c r="G261">
        <v>122.51240135288</v>
      </c>
      <c r="I261" s="9">
        <f t="shared" si="26"/>
        <v>236.02710203312998</v>
      </c>
      <c r="J261" s="9">
        <f t="shared" si="27"/>
        <v>1295.5307533446598</v>
      </c>
      <c r="K261" s="9">
        <f t="shared" si="31"/>
        <v>236.02710203312998</v>
      </c>
      <c r="L261" s="10">
        <f t="shared" si="30"/>
        <v>0.18218564200331097</v>
      </c>
      <c r="M261" s="10">
        <f t="shared" si="28"/>
        <v>0.23693627359663347</v>
      </c>
      <c r="P261" s="8">
        <f t="shared" si="29"/>
        <v>-1.3420173812009746</v>
      </c>
    </row>
    <row r="262" spans="1:16" x14ac:dyDescent="0.2">
      <c r="A262" s="8">
        <v>130</v>
      </c>
      <c r="B262" s="8">
        <v>260</v>
      </c>
      <c r="D262">
        <v>1408.4977426636999</v>
      </c>
      <c r="E262">
        <v>351.41704288939002</v>
      </c>
      <c r="F262">
        <v>149.17981961669</v>
      </c>
      <c r="G262">
        <v>122.31510710259001</v>
      </c>
      <c r="I262" s="9">
        <f t="shared" si="26"/>
        <v>229.10193578680003</v>
      </c>
      <c r="J262" s="9">
        <f t="shared" si="27"/>
        <v>1259.31792304701</v>
      </c>
      <c r="K262" s="9">
        <f t="shared" si="31"/>
        <v>229.10193578680003</v>
      </c>
      <c r="L262" s="10">
        <f t="shared" si="30"/>
        <v>0.1819254150155121</v>
      </c>
      <c r="M262" s="10">
        <f t="shared" si="28"/>
        <v>0.23688743900880882</v>
      </c>
      <c r="P262" s="8">
        <f t="shared" si="29"/>
        <v>-1.3623516332919079</v>
      </c>
    </row>
    <row r="263" spans="1:16" x14ac:dyDescent="0.2">
      <c r="A263" s="8">
        <v>130.5</v>
      </c>
      <c r="B263" s="8">
        <v>261</v>
      </c>
      <c r="D263">
        <v>1388.8623024830999</v>
      </c>
      <c r="E263">
        <v>345.64221218962001</v>
      </c>
      <c r="F263">
        <v>149.23788049605</v>
      </c>
      <c r="G263">
        <v>122.55186020293</v>
      </c>
      <c r="I263" s="9">
        <f t="shared" si="26"/>
        <v>223.09035198669</v>
      </c>
      <c r="J263" s="9">
        <f t="shared" si="27"/>
        <v>1239.62442198705</v>
      </c>
      <c r="K263" s="9">
        <f t="shared" si="31"/>
        <v>223.09035198669</v>
      </c>
      <c r="L263" s="10">
        <f t="shared" si="30"/>
        <v>0.17996608329891434</v>
      </c>
      <c r="M263" s="10">
        <f t="shared" si="28"/>
        <v>0.23513949969218528</v>
      </c>
      <c r="P263" s="8">
        <f t="shared" si="29"/>
        <v>-2.0901767320006885</v>
      </c>
    </row>
    <row r="264" spans="1:16" x14ac:dyDescent="0.2">
      <c r="A264" s="8">
        <v>131</v>
      </c>
      <c r="B264" s="8">
        <v>262</v>
      </c>
      <c r="D264">
        <v>1379.7404063204999</v>
      </c>
      <c r="E264">
        <v>342.49097065463002</v>
      </c>
      <c r="F264">
        <v>149.33032694476</v>
      </c>
      <c r="G264">
        <v>122.03551296505</v>
      </c>
      <c r="I264" s="9">
        <f t="shared" si="26"/>
        <v>220.45545768958002</v>
      </c>
      <c r="J264" s="9">
        <f t="shared" si="27"/>
        <v>1230.41007937574</v>
      </c>
      <c r="K264" s="9">
        <f t="shared" si="31"/>
        <v>220.45545768958002</v>
      </c>
      <c r="L264" s="10">
        <f t="shared" si="30"/>
        <v>0.17917234374529031</v>
      </c>
      <c r="M264" s="10">
        <f t="shared" si="28"/>
        <v>0.23455715253853548</v>
      </c>
      <c r="P264" s="8">
        <f t="shared" si="29"/>
        <v>-2.3326604787515075</v>
      </c>
    </row>
    <row r="265" spans="1:16" x14ac:dyDescent="0.2">
      <c r="A265" s="8">
        <v>131.5</v>
      </c>
      <c r="B265" s="8">
        <v>263</v>
      </c>
      <c r="D265">
        <v>1418.5865764241</v>
      </c>
      <c r="E265">
        <v>350.67399887197001</v>
      </c>
      <c r="F265">
        <v>149.21702367531</v>
      </c>
      <c r="G265">
        <v>122.7519729425</v>
      </c>
      <c r="I265" s="9">
        <f t="shared" si="26"/>
        <v>227.92202592947001</v>
      </c>
      <c r="J265" s="9">
        <f t="shared" si="27"/>
        <v>1269.3695527487901</v>
      </c>
      <c r="K265" s="9">
        <f t="shared" si="31"/>
        <v>227.92202592947001</v>
      </c>
      <c r="L265" s="10">
        <f t="shared" si="30"/>
        <v>0.17955529611995985</v>
      </c>
      <c r="M265" s="10">
        <f t="shared" si="28"/>
        <v>0.23515149731317922</v>
      </c>
      <c r="P265" s="8">
        <f t="shared" si="29"/>
        <v>-2.0851810381564362</v>
      </c>
    </row>
    <row r="266" spans="1:16" x14ac:dyDescent="0.2">
      <c r="A266" s="8">
        <v>132</v>
      </c>
      <c r="B266" s="8">
        <v>264</v>
      </c>
      <c r="D266">
        <v>1409.5493513818001</v>
      </c>
      <c r="E266">
        <v>348.54032712916</v>
      </c>
      <c r="F266">
        <v>149.47012401353001</v>
      </c>
      <c r="G266">
        <v>122.78410372041</v>
      </c>
      <c r="I266" s="9">
        <f t="shared" si="26"/>
        <v>225.75622340875</v>
      </c>
      <c r="J266" s="9">
        <f t="shared" si="27"/>
        <v>1260.07922736827</v>
      </c>
      <c r="K266" s="9">
        <f t="shared" si="31"/>
        <v>225.75622340875</v>
      </c>
      <c r="L266" s="10">
        <f t="shared" si="30"/>
        <v>0.17916034048132962</v>
      </c>
      <c r="M266" s="10">
        <f t="shared" si="28"/>
        <v>0.23496793407452321</v>
      </c>
      <c r="P266" s="8">
        <f t="shared" si="29"/>
        <v>-2.1616150030106565</v>
      </c>
    </row>
    <row r="267" spans="1:16" x14ac:dyDescent="0.2">
      <c r="A267" s="8">
        <v>132.5</v>
      </c>
      <c r="B267" s="8">
        <v>265</v>
      </c>
      <c r="D267">
        <v>1397.3040045120999</v>
      </c>
      <c r="E267">
        <v>346.43090806543</v>
      </c>
      <c r="F267">
        <v>148.85343855693</v>
      </c>
      <c r="G267">
        <v>122.44475760992</v>
      </c>
      <c r="I267" s="9">
        <f t="shared" si="26"/>
        <v>223.98615045551</v>
      </c>
      <c r="J267" s="9">
        <f t="shared" si="27"/>
        <v>1248.4505659551698</v>
      </c>
      <c r="K267" s="9">
        <f t="shared" si="31"/>
        <v>223.98615045551</v>
      </c>
      <c r="L267" s="10">
        <f t="shared" si="30"/>
        <v>0.17941130915675602</v>
      </c>
      <c r="M267" s="10">
        <f t="shared" si="28"/>
        <v>0.23543029514992383</v>
      </c>
      <c r="P267" s="8">
        <f t="shared" si="29"/>
        <v>-1.9690923037715298</v>
      </c>
    </row>
    <row r="268" spans="1:16" x14ac:dyDescent="0.2">
      <c r="A268" s="8">
        <v>133</v>
      </c>
      <c r="B268" s="8">
        <v>266</v>
      </c>
      <c r="D268">
        <v>1432.2571912014</v>
      </c>
      <c r="E268">
        <v>353.65595036661</v>
      </c>
      <c r="F268">
        <v>149.11273957159</v>
      </c>
      <c r="G268">
        <v>122.18602029312</v>
      </c>
      <c r="I268" s="9">
        <f t="shared" si="26"/>
        <v>231.46993007348999</v>
      </c>
      <c r="J268" s="9">
        <f t="shared" si="27"/>
        <v>1283.14445162981</v>
      </c>
      <c r="K268" s="9">
        <f t="shared" si="31"/>
        <v>231.46993007348999</v>
      </c>
      <c r="L268" s="10">
        <f t="shared" si="30"/>
        <v>0.18039272957887487</v>
      </c>
      <c r="M268" s="10">
        <f t="shared" si="28"/>
        <v>0.23662310797201691</v>
      </c>
      <c r="P268" s="8">
        <f t="shared" si="29"/>
        <v>-1.4724165314924333</v>
      </c>
    </row>
    <row r="269" spans="1:16" x14ac:dyDescent="0.2">
      <c r="A269" s="8">
        <v>133.5</v>
      </c>
      <c r="B269" s="8">
        <v>267</v>
      </c>
      <c r="D269">
        <v>1441.9734912578001</v>
      </c>
      <c r="E269">
        <v>354.80315848843998</v>
      </c>
      <c r="F269">
        <v>148.58229988726001</v>
      </c>
      <c r="G269">
        <v>122.59751972943</v>
      </c>
      <c r="I269" s="9">
        <f t="shared" si="26"/>
        <v>232.20563875900996</v>
      </c>
      <c r="J269" s="9">
        <f t="shared" si="27"/>
        <v>1293.3911913705401</v>
      </c>
      <c r="K269" s="9">
        <f t="shared" si="31"/>
        <v>232.20563875900996</v>
      </c>
      <c r="L269" s="10">
        <f t="shared" si="30"/>
        <v>0.17953241085007976</v>
      </c>
      <c r="M269" s="10">
        <f t="shared" si="28"/>
        <v>0.235974181643196</v>
      </c>
      <c r="P269" s="8">
        <f t="shared" si="29"/>
        <v>-1.7426232056240887</v>
      </c>
    </row>
    <row r="270" spans="1:16" x14ac:dyDescent="0.2">
      <c r="A270" s="8">
        <v>134</v>
      </c>
      <c r="B270" s="8">
        <v>268</v>
      </c>
      <c r="D270">
        <v>1432.9514946418999</v>
      </c>
      <c r="E270">
        <v>354.10998307953002</v>
      </c>
      <c r="F270">
        <v>148.67418263811001</v>
      </c>
      <c r="G270">
        <v>122.24013528749001</v>
      </c>
      <c r="I270" s="9">
        <f t="shared" si="26"/>
        <v>231.86984779204002</v>
      </c>
      <c r="J270" s="9">
        <f t="shared" si="27"/>
        <v>1284.2773120037898</v>
      </c>
      <c r="K270" s="9">
        <f t="shared" si="31"/>
        <v>231.86984779204002</v>
      </c>
      <c r="L270" s="10">
        <f t="shared" si="30"/>
        <v>0.18054500038645532</v>
      </c>
      <c r="M270" s="10">
        <f t="shared" si="28"/>
        <v>0.23719816357954579</v>
      </c>
      <c r="P270" s="8">
        <f t="shared" si="29"/>
        <v>-1.2329689143284517</v>
      </c>
    </row>
    <row r="271" spans="1:16" x14ac:dyDescent="0.2">
      <c r="A271" s="8">
        <v>134.5</v>
      </c>
      <c r="B271" s="8">
        <v>269</v>
      </c>
      <c r="D271">
        <v>1461.4309080654</v>
      </c>
      <c r="E271">
        <v>359.55724760292998</v>
      </c>
      <c r="F271">
        <v>149.51465614431001</v>
      </c>
      <c r="G271">
        <v>122.69898534386</v>
      </c>
      <c r="I271" s="9">
        <f t="shared" si="26"/>
        <v>236.85826225906999</v>
      </c>
      <c r="J271" s="9">
        <f t="shared" si="27"/>
        <v>1311.91625192109</v>
      </c>
      <c r="K271" s="9">
        <f t="shared" si="31"/>
        <v>236.85826225906999</v>
      </c>
      <c r="L271" s="10">
        <f t="shared" si="30"/>
        <v>0.18054373662360629</v>
      </c>
      <c r="M271" s="10">
        <f t="shared" si="28"/>
        <v>0.23740829221667098</v>
      </c>
      <c r="P271" s="8">
        <f t="shared" si="29"/>
        <v>-1.1454733733776319</v>
      </c>
    </row>
    <row r="272" spans="1:16" x14ac:dyDescent="0.2">
      <c r="A272" s="8">
        <v>135</v>
      </c>
      <c r="B272" s="8">
        <v>270</v>
      </c>
      <c r="D272">
        <v>1456.5115623238</v>
      </c>
      <c r="E272">
        <v>361.04906937393997</v>
      </c>
      <c r="F272">
        <v>149.00394588501001</v>
      </c>
      <c r="G272">
        <v>122.32694475760999</v>
      </c>
      <c r="I272" s="9">
        <f t="shared" si="26"/>
        <v>238.72212461632998</v>
      </c>
      <c r="J272" s="9">
        <f t="shared" si="27"/>
        <v>1307.5076164387901</v>
      </c>
      <c r="K272" s="9">
        <f t="shared" si="31"/>
        <v>238.72212461632998</v>
      </c>
      <c r="L272" s="10">
        <f t="shared" si="30"/>
        <v>0.18257799925214091</v>
      </c>
      <c r="M272" s="10">
        <f t="shared" si="28"/>
        <v>0.2396539472451798</v>
      </c>
      <c r="P272" s="8">
        <f t="shared" si="29"/>
        <v>-0.21040424526423321</v>
      </c>
    </row>
    <row r="273" spans="1:16" x14ac:dyDescent="0.2">
      <c r="A273" s="8">
        <v>135.5</v>
      </c>
      <c r="B273" s="8">
        <v>271</v>
      </c>
      <c r="D273">
        <v>1457.9622109418999</v>
      </c>
      <c r="E273">
        <v>361.51494641850002</v>
      </c>
      <c r="F273">
        <v>149.55806087937</v>
      </c>
      <c r="G273">
        <v>122.13021420519</v>
      </c>
      <c r="I273" s="9">
        <f t="shared" si="26"/>
        <v>239.38473221331003</v>
      </c>
      <c r="J273" s="9">
        <f t="shared" si="27"/>
        <v>1308.4041500625299</v>
      </c>
      <c r="K273" s="9">
        <f t="shared" si="31"/>
        <v>239.38473221331003</v>
      </c>
      <c r="L273" s="10">
        <f t="shared" si="30"/>
        <v>0.18295931895498008</v>
      </c>
      <c r="M273" s="10">
        <f t="shared" si="28"/>
        <v>0.24024665934799319</v>
      </c>
      <c r="P273" s="8">
        <f t="shared" si="29"/>
        <v>3.6395366503385554E-2</v>
      </c>
    </row>
    <row r="274" spans="1:16" x14ac:dyDescent="0.2">
      <c r="A274" s="8">
        <v>136</v>
      </c>
      <c r="B274" s="8">
        <v>272</v>
      </c>
      <c r="D274">
        <v>1455.790750141</v>
      </c>
      <c r="E274">
        <v>360.30231246475</v>
      </c>
      <c r="F274">
        <v>149.51352874859001</v>
      </c>
      <c r="G274">
        <v>122.53945885006</v>
      </c>
      <c r="I274" s="9">
        <f t="shared" si="26"/>
        <v>237.76285361469002</v>
      </c>
      <c r="J274" s="9">
        <f t="shared" si="27"/>
        <v>1306.27722139241</v>
      </c>
      <c r="K274" s="9">
        <f t="shared" si="31"/>
        <v>237.76285361469002</v>
      </c>
      <c r="L274" s="10">
        <f t="shared" si="30"/>
        <v>0.18201561637984445</v>
      </c>
      <c r="M274" s="10">
        <f t="shared" si="28"/>
        <v>0.23951434917283179</v>
      </c>
      <c r="P274" s="8">
        <f t="shared" si="29"/>
        <v>-0.26853153825430592</v>
      </c>
    </row>
    <row r="275" spans="1:16" x14ac:dyDescent="0.2">
      <c r="A275" s="8">
        <v>136.5</v>
      </c>
      <c r="B275" s="8">
        <v>273</v>
      </c>
      <c r="D275">
        <v>1476.6520022561001</v>
      </c>
      <c r="E275">
        <v>368.68697123520002</v>
      </c>
      <c r="F275">
        <v>149.55524239008</v>
      </c>
      <c r="G275">
        <v>122.35400225479</v>
      </c>
      <c r="I275" s="9">
        <f>E275-G275</f>
        <v>246.33296898041002</v>
      </c>
      <c r="J275" s="9">
        <f>D275-F275</f>
        <v>1327.0967598660202</v>
      </c>
      <c r="K275" s="9">
        <f t="shared" si="31"/>
        <v>246.33296898041002</v>
      </c>
      <c r="L275" s="10">
        <f t="shared" si="30"/>
        <v>0.18561794168292528</v>
      </c>
      <c r="M275" s="10">
        <f>L275+ABS($N$2)*A275</f>
        <v>0.24332806687588684</v>
      </c>
      <c r="O275" s="11"/>
      <c r="P275" s="8">
        <f>(M275-$O$2)/$O$2*100</f>
        <v>1.319463787026937</v>
      </c>
    </row>
    <row r="276" spans="1:16" x14ac:dyDescent="0.2">
      <c r="A276" s="8">
        <v>137</v>
      </c>
      <c r="B276" s="8">
        <v>274</v>
      </c>
      <c r="D276">
        <v>1467.5924464487</v>
      </c>
      <c r="E276">
        <v>366.26268320179997</v>
      </c>
      <c r="F276">
        <v>149.53382187148</v>
      </c>
      <c r="G276">
        <v>122.47125140925</v>
      </c>
      <c r="I276" s="9">
        <f t="shared" ref="I276:I291" si="32">E276-G276</f>
        <v>243.79143179254999</v>
      </c>
      <c r="J276" s="9">
        <f t="shared" ref="J276:J291" si="33">D276-F276</f>
        <v>1318.0586245772199</v>
      </c>
      <c r="K276" s="9">
        <f t="shared" si="31"/>
        <v>243.79143179254999</v>
      </c>
      <c r="L276" s="10">
        <f t="shared" si="30"/>
        <v>0.18496251019999088</v>
      </c>
      <c r="M276" s="10">
        <f t="shared" ref="M276:M291" si="34">L276+ABS($N$2)*A276</f>
        <v>0.24288402779292667</v>
      </c>
      <c r="P276" s="8">
        <f t="shared" ref="P276:P291" si="35">(M276-$O$2)/$O$2*100</f>
        <v>1.1345701889984132</v>
      </c>
    </row>
    <row r="277" spans="1:16" x14ac:dyDescent="0.2">
      <c r="A277" s="8">
        <v>137.5</v>
      </c>
      <c r="B277" s="8">
        <v>275</v>
      </c>
      <c r="D277">
        <v>1482.9954904171</v>
      </c>
      <c r="E277">
        <v>372.72040586245998</v>
      </c>
      <c r="F277">
        <v>149.35343855693</v>
      </c>
      <c r="G277">
        <v>122.56426155581001</v>
      </c>
      <c r="I277" s="9">
        <f t="shared" si="32"/>
        <v>250.15614430664999</v>
      </c>
      <c r="J277" s="9">
        <f t="shared" si="33"/>
        <v>1333.6420518601699</v>
      </c>
      <c r="K277" s="9">
        <f t="shared" si="31"/>
        <v>250.15614430664999</v>
      </c>
      <c r="L277" s="10">
        <f t="shared" si="30"/>
        <v>0.18757367762791455</v>
      </c>
      <c r="M277" s="10">
        <f t="shared" si="34"/>
        <v>0.24570658762082453</v>
      </c>
      <c r="N277" s="1"/>
      <c r="P277" s="8">
        <f t="shared" si="35"/>
        <v>2.3098569199585661</v>
      </c>
    </row>
    <row r="278" spans="1:16" x14ac:dyDescent="0.2">
      <c r="A278" s="8">
        <v>138</v>
      </c>
      <c r="B278" s="8">
        <v>276</v>
      </c>
      <c r="D278">
        <v>1444.2384441939</v>
      </c>
      <c r="E278">
        <v>364.15276211949998</v>
      </c>
      <c r="F278">
        <v>148.97125140924999</v>
      </c>
      <c r="G278">
        <v>122.30890642615999</v>
      </c>
      <c r="I278" s="9">
        <f t="shared" si="32"/>
        <v>241.84385569334</v>
      </c>
      <c r="J278" s="9">
        <f t="shared" si="33"/>
        <v>1295.26719278465</v>
      </c>
      <c r="K278" s="9">
        <f t="shared" si="31"/>
        <v>241.84385569334</v>
      </c>
      <c r="L278" s="10">
        <f t="shared" si="30"/>
        <v>0.18671348818262609</v>
      </c>
      <c r="M278" s="10">
        <f t="shared" si="34"/>
        <v>0.2450577905755103</v>
      </c>
      <c r="P278" s="8">
        <f t="shared" si="35"/>
        <v>2.0397040782340858</v>
      </c>
    </row>
    <row r="279" spans="1:16" x14ac:dyDescent="0.2">
      <c r="A279" s="8">
        <v>138.5</v>
      </c>
      <c r="B279" s="8">
        <v>277</v>
      </c>
      <c r="D279">
        <v>1389.0355129651</v>
      </c>
      <c r="E279">
        <v>351.63246899661999</v>
      </c>
      <c r="F279">
        <v>149.26381059752001</v>
      </c>
      <c r="G279">
        <v>122.37373167982</v>
      </c>
      <c r="I279" s="9">
        <f t="shared" si="32"/>
        <v>229.25873731679999</v>
      </c>
      <c r="J279" s="9">
        <f t="shared" si="33"/>
        <v>1239.77170236758</v>
      </c>
      <c r="K279" s="9">
        <f t="shared" si="31"/>
        <v>229.25873731679999</v>
      </c>
      <c r="L279" s="10">
        <f t="shared" si="30"/>
        <v>0.1849201243091666</v>
      </c>
      <c r="M279" s="10">
        <f t="shared" si="34"/>
        <v>0.24347581910202504</v>
      </c>
      <c r="P279" s="8">
        <f t="shared" si="35"/>
        <v>1.3809863911303797</v>
      </c>
    </row>
    <row r="280" spans="1:16" x14ac:dyDescent="0.2">
      <c r="A280" s="8">
        <v>139</v>
      </c>
      <c r="B280" s="8">
        <v>278</v>
      </c>
      <c r="D280">
        <v>1359.916572717</v>
      </c>
      <c r="E280">
        <v>346.78184892897002</v>
      </c>
      <c r="F280">
        <v>149.18151071026</v>
      </c>
      <c r="G280">
        <v>122.59075535513</v>
      </c>
      <c r="I280" s="9">
        <f t="shared" si="32"/>
        <v>224.19109357384002</v>
      </c>
      <c r="J280" s="9">
        <f t="shared" si="33"/>
        <v>1210.73506200674</v>
      </c>
      <c r="K280" s="9">
        <f t="shared" si="31"/>
        <v>224.19109357384002</v>
      </c>
      <c r="L280" s="10">
        <f t="shared" si="30"/>
        <v>0.18516940708915555</v>
      </c>
      <c r="M280" s="10">
        <f t="shared" si="34"/>
        <v>0.24393649428198821</v>
      </c>
      <c r="P280" s="8">
        <f t="shared" si="35"/>
        <v>1.5728070997446009</v>
      </c>
    </row>
    <row r="281" spans="1:16" x14ac:dyDescent="0.2">
      <c r="A281" s="8">
        <v>139.5</v>
      </c>
      <c r="B281" s="8">
        <v>279</v>
      </c>
      <c r="D281">
        <v>1349.2638105975</v>
      </c>
      <c r="E281">
        <v>343.94532130777998</v>
      </c>
      <c r="F281">
        <v>148.76324689966</v>
      </c>
      <c r="G281">
        <v>122.41882750846</v>
      </c>
      <c r="I281" s="9">
        <f t="shared" si="32"/>
        <v>221.52649379931998</v>
      </c>
      <c r="J281" s="9">
        <f t="shared" si="33"/>
        <v>1200.5005636978399</v>
      </c>
      <c r="K281" s="9">
        <f t="shared" si="31"/>
        <v>221.52649379931998</v>
      </c>
      <c r="L281" s="10">
        <f t="shared" si="30"/>
        <v>0.18452843796837826</v>
      </c>
      <c r="M281" s="10">
        <f t="shared" si="34"/>
        <v>0.24350691756118512</v>
      </c>
      <c r="P281" s="8">
        <f t="shared" si="35"/>
        <v>1.3939354900450931</v>
      </c>
    </row>
    <row r="282" spans="1:16" x14ac:dyDescent="0.2">
      <c r="A282" s="8">
        <v>140</v>
      </c>
      <c r="B282" s="8">
        <v>280</v>
      </c>
      <c r="D282">
        <v>1347.8494926719</v>
      </c>
      <c r="E282">
        <v>342.35400225478998</v>
      </c>
      <c r="F282">
        <v>149.10372040586</v>
      </c>
      <c r="G282">
        <v>122.45941375423</v>
      </c>
      <c r="I282" s="9">
        <f t="shared" si="32"/>
        <v>219.89458850055996</v>
      </c>
      <c r="J282" s="9">
        <f t="shared" si="33"/>
        <v>1198.7457722660399</v>
      </c>
      <c r="K282" s="9">
        <f t="shared" si="31"/>
        <v>219.89458850055996</v>
      </c>
      <c r="L282" s="10">
        <f t="shared" si="30"/>
        <v>0.18343721712142844</v>
      </c>
      <c r="M282" s="10">
        <f t="shared" si="34"/>
        <v>0.24262708911420952</v>
      </c>
      <c r="P282" s="8">
        <f t="shared" si="35"/>
        <v>1.027583397511481</v>
      </c>
    </row>
    <row r="283" spans="1:16" x14ac:dyDescent="0.2">
      <c r="A283" s="8">
        <v>140.5</v>
      </c>
      <c r="B283" s="8">
        <v>281</v>
      </c>
      <c r="D283">
        <v>1346.1708004510001</v>
      </c>
      <c r="E283">
        <v>341.32018038332001</v>
      </c>
      <c r="F283">
        <v>149.03100338218999</v>
      </c>
      <c r="G283">
        <v>122.3686583991</v>
      </c>
      <c r="I283" s="9">
        <f t="shared" si="32"/>
        <v>218.95152198421999</v>
      </c>
      <c r="J283" s="9">
        <f t="shared" si="33"/>
        <v>1197.1397970688101</v>
      </c>
      <c r="K283" s="9">
        <f t="shared" si="31"/>
        <v>218.95152198421999</v>
      </c>
      <c r="L283" s="10">
        <f t="shared" si="30"/>
        <v>0.18289553360461455</v>
      </c>
      <c r="M283" s="10">
        <f t="shared" si="34"/>
        <v>0.24229679799736986</v>
      </c>
      <c r="P283" s="8">
        <f t="shared" si="35"/>
        <v>0.89005335717757295</v>
      </c>
    </row>
    <row r="284" spans="1:16" x14ac:dyDescent="0.2">
      <c r="A284" s="8">
        <v>141</v>
      </c>
      <c r="B284" s="8">
        <v>282</v>
      </c>
      <c r="D284">
        <v>1330.3258173618999</v>
      </c>
      <c r="E284">
        <v>338.49436302141999</v>
      </c>
      <c r="F284">
        <v>148.91939120631</v>
      </c>
      <c r="G284">
        <v>122.56144306652</v>
      </c>
      <c r="I284" s="9">
        <f t="shared" si="32"/>
        <v>215.9329199549</v>
      </c>
      <c r="J284" s="9">
        <f t="shared" si="33"/>
        <v>1181.40642615559</v>
      </c>
      <c r="K284" s="9">
        <f t="shared" si="31"/>
        <v>215.9329199549</v>
      </c>
      <c r="L284" s="10">
        <f t="shared" si="30"/>
        <v>0.18277615152100235</v>
      </c>
      <c r="M284" s="10">
        <f t="shared" si="34"/>
        <v>0.24238880831373188</v>
      </c>
      <c r="P284" s="8">
        <f t="shared" si="35"/>
        <v>0.92836556684728599</v>
      </c>
    </row>
    <row r="285" spans="1:16" x14ac:dyDescent="0.2">
      <c r="A285" s="8">
        <v>141.5</v>
      </c>
      <c r="B285" s="8">
        <v>283</v>
      </c>
      <c r="D285">
        <v>1328.7531003382001</v>
      </c>
      <c r="E285">
        <v>337.98647125141002</v>
      </c>
      <c r="F285">
        <v>149.40811724915</v>
      </c>
      <c r="G285">
        <v>122.44926719279</v>
      </c>
      <c r="I285" s="9">
        <f t="shared" si="32"/>
        <v>215.53720405862003</v>
      </c>
      <c r="J285" s="9">
        <f t="shared" si="33"/>
        <v>1179.3449830890499</v>
      </c>
      <c r="K285" s="9">
        <f t="shared" si="31"/>
        <v>215.53720405862003</v>
      </c>
      <c r="L285" s="10">
        <f t="shared" si="30"/>
        <v>0.18276009746873639</v>
      </c>
      <c r="M285" s="10">
        <f t="shared" si="34"/>
        <v>0.24258414666144013</v>
      </c>
      <c r="P285" s="8">
        <f t="shared" si="35"/>
        <v>1.0097025737160321</v>
      </c>
    </row>
    <row r="286" spans="1:16" x14ac:dyDescent="0.2">
      <c r="A286" s="8">
        <v>142</v>
      </c>
      <c r="B286" s="8">
        <v>284</v>
      </c>
      <c r="D286">
        <v>1317.3686583991</v>
      </c>
      <c r="E286">
        <v>336.78579481397998</v>
      </c>
      <c r="F286">
        <v>149.40417136414999</v>
      </c>
      <c r="G286">
        <v>122.54227733934999</v>
      </c>
      <c r="I286" s="9">
        <f t="shared" si="32"/>
        <v>214.24351747462998</v>
      </c>
      <c r="J286" s="9">
        <f t="shared" si="33"/>
        <v>1167.96448703495</v>
      </c>
      <c r="K286" s="9">
        <f t="shared" si="31"/>
        <v>214.24351747462998</v>
      </c>
      <c r="L286" s="10">
        <f t="shared" si="30"/>
        <v>0.1834332463468292</v>
      </c>
      <c r="M286" s="10">
        <f t="shared" si="34"/>
        <v>0.24346868793950716</v>
      </c>
      <c r="P286" s="8">
        <f t="shared" si="35"/>
        <v>1.3780170437313455</v>
      </c>
    </row>
    <row r="287" spans="1:16" x14ac:dyDescent="0.2">
      <c r="A287" s="8">
        <v>142.5</v>
      </c>
      <c r="B287" s="8">
        <v>285</v>
      </c>
      <c r="D287">
        <v>1343.7632468997001</v>
      </c>
      <c r="E287">
        <v>339.05467869222002</v>
      </c>
      <c r="F287">
        <v>149.14205186020001</v>
      </c>
      <c r="G287">
        <v>122.07835400226</v>
      </c>
      <c r="I287" s="9">
        <f t="shared" si="32"/>
        <v>216.97632468996002</v>
      </c>
      <c r="J287" s="9">
        <f t="shared" si="33"/>
        <v>1194.6211950395</v>
      </c>
      <c r="K287" s="9">
        <f t="shared" si="31"/>
        <v>216.97632468996002</v>
      </c>
      <c r="L287" s="10">
        <f t="shared" si="30"/>
        <v>0.18162772064561078</v>
      </c>
      <c r="M287" s="10">
        <f t="shared" si="34"/>
        <v>0.24187455463826296</v>
      </c>
      <c r="P287" s="8">
        <f t="shared" si="35"/>
        <v>0.71423528866776365</v>
      </c>
    </row>
    <row r="288" spans="1:16" x14ac:dyDescent="0.2">
      <c r="A288" s="8">
        <v>143</v>
      </c>
      <c r="B288" s="8">
        <v>286</v>
      </c>
      <c r="D288">
        <v>1423.3635851183999</v>
      </c>
      <c r="E288">
        <v>352.21645997744997</v>
      </c>
      <c r="F288">
        <v>149.34160090192</v>
      </c>
      <c r="G288">
        <v>122.09301014656</v>
      </c>
      <c r="I288" s="9">
        <f t="shared" si="32"/>
        <v>230.12344983088997</v>
      </c>
      <c r="J288" s="9">
        <f t="shared" si="33"/>
        <v>1274.02198421648</v>
      </c>
      <c r="K288" s="9">
        <f t="shared" si="31"/>
        <v>230.12344983088997</v>
      </c>
      <c r="L288" s="10">
        <f t="shared" si="30"/>
        <v>0.18062753443961585</v>
      </c>
      <c r="M288" s="10">
        <f t="shared" si="34"/>
        <v>0.24108576083224226</v>
      </c>
      <c r="P288" s="8">
        <f t="shared" si="35"/>
        <v>0.38578914396013159</v>
      </c>
    </row>
    <row r="289" spans="1:16" x14ac:dyDescent="0.2">
      <c r="A289" s="8">
        <v>143.5</v>
      </c>
      <c r="B289" s="8">
        <v>287</v>
      </c>
      <c r="D289">
        <v>1447.7080045096</v>
      </c>
      <c r="E289">
        <v>355.90811724915</v>
      </c>
      <c r="F289">
        <v>148.87993235626001</v>
      </c>
      <c r="G289">
        <v>122.35851183766</v>
      </c>
      <c r="I289" s="9">
        <f t="shared" si="32"/>
        <v>233.54960541149001</v>
      </c>
      <c r="J289" s="9">
        <f t="shared" si="33"/>
        <v>1298.8280721533399</v>
      </c>
      <c r="K289" s="9">
        <f t="shared" si="31"/>
        <v>233.54960541149001</v>
      </c>
      <c r="L289" s="10">
        <f t="shared" si="30"/>
        <v>0.17981564336247044</v>
      </c>
      <c r="M289" s="10">
        <f t="shared" si="34"/>
        <v>0.24048526215507104</v>
      </c>
      <c r="P289" s="8">
        <f t="shared" si="35"/>
        <v>0.13574727761497313</v>
      </c>
    </row>
    <row r="290" spans="1:16" x14ac:dyDescent="0.2">
      <c r="A290" s="8">
        <v>144</v>
      </c>
      <c r="B290" s="8">
        <v>288</v>
      </c>
      <c r="D290">
        <v>1466.3179255918999</v>
      </c>
      <c r="E290">
        <v>361.34949267193002</v>
      </c>
      <c r="F290">
        <v>149.21420518602</v>
      </c>
      <c r="G290">
        <v>122.33258173618999</v>
      </c>
      <c r="I290" s="9">
        <f t="shared" si="32"/>
        <v>239.01691093574004</v>
      </c>
      <c r="J290" s="9">
        <f t="shared" si="33"/>
        <v>1317.1037204058798</v>
      </c>
      <c r="K290" s="9">
        <f t="shared" si="31"/>
        <v>239.01691093574004</v>
      </c>
      <c r="L290" s="10">
        <f t="shared" si="30"/>
        <v>0.1814715934915774</v>
      </c>
      <c r="M290" s="10">
        <f t="shared" si="34"/>
        <v>0.24235260468415223</v>
      </c>
      <c r="P290" s="8">
        <f t="shared" si="35"/>
        <v>0.91329072413288037</v>
      </c>
    </row>
    <row r="291" spans="1:16" x14ac:dyDescent="0.2">
      <c r="A291" s="8">
        <v>144.5</v>
      </c>
      <c r="B291" s="8">
        <v>289</v>
      </c>
      <c r="D291">
        <v>1420.6257046223</v>
      </c>
      <c r="E291">
        <v>355.98196166855001</v>
      </c>
      <c r="F291">
        <v>149.16121758737</v>
      </c>
      <c r="G291">
        <v>122.06651634724</v>
      </c>
      <c r="I291" s="9">
        <f t="shared" si="32"/>
        <v>233.91544532131002</v>
      </c>
      <c r="J291" s="9">
        <f t="shared" si="33"/>
        <v>1271.46448703493</v>
      </c>
      <c r="K291" s="9">
        <f t="shared" si="31"/>
        <v>233.91544532131002</v>
      </c>
      <c r="L291" s="10">
        <f t="shared" si="30"/>
        <v>0.18397324322191927</v>
      </c>
      <c r="M291" s="10">
        <f t="shared" si="34"/>
        <v>0.24506564681446832</v>
      </c>
      <c r="P291" s="8">
        <f t="shared" si="35"/>
        <v>2.0429753404802753</v>
      </c>
    </row>
    <row r="292" spans="1:16" x14ac:dyDescent="0.2">
      <c r="A292" s="8">
        <v>145</v>
      </c>
      <c r="B292" s="8">
        <v>290</v>
      </c>
      <c r="D292">
        <v>1474.2164599775001</v>
      </c>
      <c r="E292">
        <v>367.60992108229999</v>
      </c>
      <c r="F292">
        <v>148.77733934611001</v>
      </c>
      <c r="G292">
        <v>122.24915445321</v>
      </c>
      <c r="I292" s="9">
        <f>E292-G292</f>
        <v>245.36076662908999</v>
      </c>
      <c r="J292" s="9">
        <f>D292-F292</f>
        <v>1325.4391206313901</v>
      </c>
      <c r="K292" s="9">
        <f t="shared" si="31"/>
        <v>245.36076662908999</v>
      </c>
      <c r="L292" s="10">
        <f t="shared" si="30"/>
        <v>0.18511658725766991</v>
      </c>
      <c r="M292" s="10">
        <f>L292+ABS($N$2)*A292</f>
        <v>0.24642038325019316</v>
      </c>
      <c r="O292" s="11"/>
      <c r="P292" s="8">
        <f>(M292-$O$2)/$O$2*100</f>
        <v>2.6070745461440472</v>
      </c>
    </row>
    <row r="293" spans="1:16" x14ac:dyDescent="0.2">
      <c r="A293" s="8">
        <v>145.5</v>
      </c>
      <c r="B293" s="8">
        <v>291</v>
      </c>
      <c r="D293">
        <v>1525.1758737317</v>
      </c>
      <c r="E293">
        <v>388.47519729424999</v>
      </c>
      <c r="F293">
        <v>149.26155580609</v>
      </c>
      <c r="G293">
        <v>122.15727170237</v>
      </c>
      <c r="I293" s="9">
        <f t="shared" ref="I293:I301" si="36">E293-G293</f>
        <v>266.31792559188</v>
      </c>
      <c r="J293" s="9">
        <f t="shared" ref="J293:J301" si="37">D293-F293</f>
        <v>1375.91431792561</v>
      </c>
      <c r="K293" s="9">
        <f t="shared" si="31"/>
        <v>266.31792559188</v>
      </c>
      <c r="L293" s="10">
        <f t="shared" si="30"/>
        <v>0.19355705665843553</v>
      </c>
      <c r="M293" s="10">
        <f t="shared" ref="M293:M301" si="38">L293+ABS($N$2)*A293</f>
        <v>0.25507224505093301</v>
      </c>
      <c r="P293" s="8">
        <f t="shared" ref="P293:P301" si="39">(M293-$O$2)/$O$2*100</f>
        <v>6.2096264821586731</v>
      </c>
    </row>
    <row r="294" spans="1:16" x14ac:dyDescent="0.2">
      <c r="A294" s="8">
        <v>146</v>
      </c>
      <c r="B294" s="8">
        <v>292</v>
      </c>
      <c r="D294">
        <v>1431.0528089888001</v>
      </c>
      <c r="E294">
        <v>358.06910112359998</v>
      </c>
      <c r="F294">
        <v>148.81059751973001</v>
      </c>
      <c r="G294">
        <v>122.21927846673999</v>
      </c>
      <c r="I294" s="9">
        <f t="shared" si="36"/>
        <v>235.84982265686</v>
      </c>
      <c r="J294" s="9">
        <f t="shared" si="37"/>
        <v>1282.2422114690701</v>
      </c>
      <c r="K294" s="9">
        <f t="shared" si="31"/>
        <v>235.84982265686</v>
      </c>
      <c r="L294" s="10">
        <f t="shared" si="30"/>
        <v>0.18393546909257175</v>
      </c>
      <c r="M294" s="10">
        <f t="shared" si="38"/>
        <v>0.24566204988504345</v>
      </c>
      <c r="N294" s="1"/>
      <c r="P294" s="8">
        <f t="shared" si="39"/>
        <v>2.291311835679696</v>
      </c>
    </row>
    <row r="295" spans="1:16" x14ac:dyDescent="0.2">
      <c r="A295" s="8">
        <v>146.5</v>
      </c>
      <c r="B295" s="8">
        <v>293</v>
      </c>
      <c r="D295">
        <v>1564.1112359551</v>
      </c>
      <c r="E295">
        <v>388.05561797753001</v>
      </c>
      <c r="F295">
        <v>148.72266065388999</v>
      </c>
      <c r="G295">
        <v>122.15670800450999</v>
      </c>
      <c r="I295" s="9">
        <f t="shared" si="36"/>
        <v>265.89890997302001</v>
      </c>
      <c r="J295" s="9">
        <f t="shared" si="37"/>
        <v>1415.38857530121</v>
      </c>
      <c r="K295" s="9">
        <f t="shared" si="31"/>
        <v>265.89890997302001</v>
      </c>
      <c r="L295" s="10">
        <f t="shared" si="30"/>
        <v>0.18786283471055562</v>
      </c>
      <c r="M295" s="10">
        <f t="shared" si="38"/>
        <v>0.24980080790300155</v>
      </c>
      <c r="P295" s="8">
        <f t="shared" si="39"/>
        <v>4.0146508179338971</v>
      </c>
    </row>
    <row r="296" spans="1:16" x14ac:dyDescent="0.2">
      <c r="A296" s="8">
        <v>147</v>
      </c>
      <c r="B296" s="8">
        <v>294</v>
      </c>
      <c r="D296">
        <v>1643.1037577116999</v>
      </c>
      <c r="E296">
        <v>399.61245092540997</v>
      </c>
      <c r="F296">
        <v>148.99154453213001</v>
      </c>
      <c r="G296">
        <v>121.94024802705999</v>
      </c>
      <c r="I296" s="9">
        <f t="shared" si="36"/>
        <v>277.67220289834995</v>
      </c>
      <c r="J296" s="9">
        <f t="shared" si="37"/>
        <v>1494.1122131795698</v>
      </c>
      <c r="K296" s="9">
        <f t="shared" si="31"/>
        <v>277.67220289834995</v>
      </c>
      <c r="L296" s="10">
        <f t="shared" si="30"/>
        <v>0.18584427625248112</v>
      </c>
      <c r="M296" s="10">
        <f t="shared" si="38"/>
        <v>0.24799364184490125</v>
      </c>
      <c r="P296" s="8">
        <f t="shared" si="39"/>
        <v>3.2621642744303436</v>
      </c>
    </row>
    <row r="297" spans="1:16" x14ac:dyDescent="0.2">
      <c r="A297" s="8">
        <v>147.5</v>
      </c>
      <c r="B297" s="8">
        <v>295</v>
      </c>
      <c r="D297">
        <v>1670.1510387423</v>
      </c>
      <c r="E297">
        <v>394.10948905110001</v>
      </c>
      <c r="F297">
        <v>149.08117249155001</v>
      </c>
      <c r="G297">
        <v>122.13697857948</v>
      </c>
      <c r="I297" s="9">
        <f t="shared" si="36"/>
        <v>271.97251047162001</v>
      </c>
      <c r="J297" s="9">
        <f t="shared" si="37"/>
        <v>1521.06986625075</v>
      </c>
      <c r="K297" s="9">
        <f t="shared" si="31"/>
        <v>271.97251047162001</v>
      </c>
      <c r="L297" s="10">
        <f t="shared" si="30"/>
        <v>0.17880343073392072</v>
      </c>
      <c r="M297" s="10">
        <f t="shared" si="38"/>
        <v>0.24116418872631507</v>
      </c>
      <c r="P297" s="8">
        <f t="shared" si="39"/>
        <v>0.41844576378794512</v>
      </c>
    </row>
    <row r="298" spans="1:16" x14ac:dyDescent="0.2">
      <c r="A298" s="8">
        <v>148</v>
      </c>
      <c r="B298" s="8">
        <v>296</v>
      </c>
      <c r="D298">
        <v>1670.9511510386999</v>
      </c>
      <c r="E298">
        <v>391.22346996070002</v>
      </c>
      <c r="F298">
        <v>148.76550169109001</v>
      </c>
      <c r="G298">
        <v>121.88331454340999</v>
      </c>
      <c r="I298" s="9">
        <f t="shared" si="36"/>
        <v>269.34015541729002</v>
      </c>
      <c r="J298" s="9">
        <f t="shared" si="37"/>
        <v>1522.1856493476098</v>
      </c>
      <c r="K298" s="9">
        <f t="shared" si="31"/>
        <v>269.34015541729002</v>
      </c>
      <c r="L298" s="10">
        <f t="shared" si="30"/>
        <v>0.17694303945955997</v>
      </c>
      <c r="M298" s="10">
        <f t="shared" si="38"/>
        <v>0.23951518985192854</v>
      </c>
      <c r="P298" s="8">
        <f t="shared" si="39"/>
        <v>-0.26818148757419508</v>
      </c>
    </row>
    <row r="299" spans="1:16" x14ac:dyDescent="0.2">
      <c r="A299" s="8">
        <v>148.5</v>
      </c>
      <c r="B299" s="8">
        <v>297</v>
      </c>
      <c r="D299">
        <v>1594.0617630545</v>
      </c>
      <c r="E299">
        <v>379.49635036495999</v>
      </c>
      <c r="F299">
        <v>148.77395715896</v>
      </c>
      <c r="G299">
        <v>122.32468996618</v>
      </c>
      <c r="I299" s="9">
        <f t="shared" si="36"/>
        <v>257.17166039877998</v>
      </c>
      <c r="J299" s="9">
        <f t="shared" si="37"/>
        <v>1445.28780589554</v>
      </c>
      <c r="K299" s="9">
        <f t="shared" si="31"/>
        <v>257.17166039877998</v>
      </c>
      <c r="L299" s="10">
        <f t="shared" si="30"/>
        <v>0.17793802684125556</v>
      </c>
      <c r="M299" s="10">
        <f t="shared" si="38"/>
        <v>0.24072156963359836</v>
      </c>
      <c r="P299" s="8">
        <f t="shared" si="39"/>
        <v>0.23414343602223447</v>
      </c>
    </row>
    <row r="300" spans="1:16" x14ac:dyDescent="0.2">
      <c r="A300" s="8">
        <v>149</v>
      </c>
      <c r="B300" s="8">
        <v>298</v>
      </c>
      <c r="D300">
        <v>1599.9977540708001</v>
      </c>
      <c r="E300">
        <v>378.2363840539</v>
      </c>
      <c r="F300">
        <v>148.53100338218999</v>
      </c>
      <c r="G300">
        <v>122.20180383315</v>
      </c>
      <c r="I300" s="9">
        <f t="shared" si="36"/>
        <v>256.03458022075</v>
      </c>
      <c r="J300" s="9">
        <f t="shared" si="37"/>
        <v>1451.4667506886101</v>
      </c>
      <c r="K300" s="9">
        <f t="shared" si="31"/>
        <v>256.03458022075</v>
      </c>
      <c r="L300" s="10">
        <f t="shared" si="30"/>
        <v>0.17639713765353643</v>
      </c>
      <c r="M300" s="10">
        <f t="shared" si="38"/>
        <v>0.23939207284585345</v>
      </c>
      <c r="P300" s="8">
        <f t="shared" si="39"/>
        <v>-0.31944622328162564</v>
      </c>
    </row>
    <row r="301" spans="1:16" x14ac:dyDescent="0.2">
      <c r="A301" s="8">
        <v>149.5</v>
      </c>
      <c r="B301" s="8">
        <v>299</v>
      </c>
      <c r="D301">
        <v>1750.6030320044999</v>
      </c>
      <c r="E301">
        <v>398.40258281863998</v>
      </c>
      <c r="F301">
        <v>149.00281848929001</v>
      </c>
      <c r="G301">
        <v>121.91206313415999</v>
      </c>
      <c r="I301" s="9">
        <f t="shared" si="36"/>
        <v>276.49051968447998</v>
      </c>
      <c r="J301" s="9">
        <f t="shared" si="37"/>
        <v>1601.6002135152098</v>
      </c>
      <c r="K301" s="9">
        <f t="shared" si="31"/>
        <v>276.49051968447998</v>
      </c>
      <c r="L301" s="10">
        <f t="shared" si="30"/>
        <v>0.17263391784747301</v>
      </c>
      <c r="M301" s="10">
        <f t="shared" si="38"/>
        <v>0.23584024543976423</v>
      </c>
      <c r="P301" s="8">
        <f t="shared" si="39"/>
        <v>-1.7983929509214907</v>
      </c>
    </row>
    <row r="302" spans="1:16" x14ac:dyDescent="0.2">
      <c r="A302" s="8">
        <v>150</v>
      </c>
      <c r="B302" s="8">
        <v>300</v>
      </c>
      <c r="D302">
        <v>1790.0443571027999</v>
      </c>
      <c r="E302">
        <v>403.4093206064</v>
      </c>
      <c r="F302">
        <v>148.53776775648001</v>
      </c>
      <c r="G302">
        <v>122.17643742954</v>
      </c>
      <c r="I302" s="9">
        <f>E302-G302</f>
        <v>281.23288317686001</v>
      </c>
      <c r="J302" s="9">
        <f>D302-F302</f>
        <v>1641.50658934632</v>
      </c>
      <c r="K302" s="9">
        <f t="shared" si="31"/>
        <v>281.23288317686001</v>
      </c>
      <c r="L302" s="10">
        <f t="shared" si="30"/>
        <v>0.17132607630216851</v>
      </c>
      <c r="M302" s="10">
        <f>L302+ABS($N$2)*A302</f>
        <v>0.23474379629443395</v>
      </c>
      <c r="O302" s="11"/>
      <c r="P302" s="8">
        <f>(M302-$O$2)/$O$2*100</f>
        <v>-2.2549438161830446</v>
      </c>
    </row>
    <row r="303" spans="1:16" x14ac:dyDescent="0.2">
      <c r="A303" s="8">
        <v>150.5</v>
      </c>
      <c r="B303" s="8">
        <v>301</v>
      </c>
      <c r="D303">
        <v>1692.3817567568001</v>
      </c>
      <c r="E303">
        <v>387.17511261261001</v>
      </c>
      <c r="F303">
        <v>148.91093573844</v>
      </c>
      <c r="G303">
        <v>122.11330326945</v>
      </c>
      <c r="I303" s="9">
        <f t="shared" ref="I303:I309" si="40">E303-G303</f>
        <v>265.06180934316001</v>
      </c>
      <c r="J303" s="9">
        <f t="shared" ref="J303:J309" si="41">D303-F303</f>
        <v>1543.4708210183601</v>
      </c>
      <c r="K303" s="9">
        <f t="shared" si="31"/>
        <v>265.06180934316001</v>
      </c>
      <c r="L303" s="10">
        <f t="shared" si="30"/>
        <v>0.17173101411031275</v>
      </c>
      <c r="M303" s="10">
        <f t="shared" ref="M303:M309" si="42">L303+ABS($N$2)*A303</f>
        <v>0.23536012650255242</v>
      </c>
      <c r="P303" s="8">
        <f t="shared" ref="P303:P309" si="43">(M303-$O$2)/$O$2*100</f>
        <v>-1.9983098528097967</v>
      </c>
    </row>
    <row r="304" spans="1:16" x14ac:dyDescent="0.2">
      <c r="A304" s="8">
        <v>151</v>
      </c>
      <c r="B304" s="8">
        <v>302</v>
      </c>
      <c r="D304">
        <v>1395.6193693693999</v>
      </c>
      <c r="E304">
        <v>344.07657657658001</v>
      </c>
      <c r="F304">
        <v>148.20124013528999</v>
      </c>
      <c r="G304">
        <v>122.07046223224</v>
      </c>
      <c r="I304" s="9">
        <f t="shared" si="40"/>
        <v>222.00611434434001</v>
      </c>
      <c r="J304" s="9">
        <f t="shared" si="41"/>
        <v>1247.41812923411</v>
      </c>
      <c r="K304" s="9">
        <f t="shared" si="31"/>
        <v>222.00611434434001</v>
      </c>
      <c r="L304" s="10">
        <f t="shared" si="30"/>
        <v>0.17797249305703722</v>
      </c>
      <c r="M304" s="10">
        <f t="shared" si="42"/>
        <v>0.24181299784925109</v>
      </c>
      <c r="N304" s="1"/>
      <c r="P304" s="8">
        <f t="shared" si="43"/>
        <v>0.6886036345178318</v>
      </c>
    </row>
    <row r="305" spans="1:16" x14ac:dyDescent="0.2">
      <c r="A305" s="8">
        <v>151.5</v>
      </c>
      <c r="B305" s="8">
        <v>303</v>
      </c>
      <c r="D305">
        <v>1577.1326587971</v>
      </c>
      <c r="E305">
        <v>367.52276559864998</v>
      </c>
      <c r="F305">
        <v>148.59301014656</v>
      </c>
      <c r="G305">
        <v>122.11273957159</v>
      </c>
      <c r="I305" s="9">
        <f t="shared" si="40"/>
        <v>245.41002602705998</v>
      </c>
      <c r="J305" s="9">
        <f t="shared" si="41"/>
        <v>1428.5396486505401</v>
      </c>
      <c r="K305" s="9">
        <f t="shared" si="31"/>
        <v>245.41002602705998</v>
      </c>
      <c r="L305" s="10">
        <f t="shared" si="30"/>
        <v>0.17179083986845226</v>
      </c>
      <c r="M305" s="10">
        <f t="shared" si="42"/>
        <v>0.23584273706064035</v>
      </c>
      <c r="P305" s="8">
        <f t="shared" si="43"/>
        <v>-1.7973554639830933</v>
      </c>
    </row>
    <row r="306" spans="1:16" x14ac:dyDescent="0.2">
      <c r="A306" s="8">
        <v>152</v>
      </c>
      <c r="B306" s="8">
        <v>304</v>
      </c>
      <c r="D306">
        <v>1560.3080382236999</v>
      </c>
      <c r="E306">
        <v>365.07026419337001</v>
      </c>
      <c r="F306">
        <v>148.55918827509001</v>
      </c>
      <c r="G306">
        <v>122.09357384442001</v>
      </c>
      <c r="I306" s="9">
        <f t="shared" si="40"/>
        <v>242.97669034895</v>
      </c>
      <c r="J306" s="9">
        <f t="shared" si="41"/>
        <v>1411.7488499486099</v>
      </c>
      <c r="K306" s="9">
        <f t="shared" si="31"/>
        <v>242.97669034895</v>
      </c>
      <c r="L306" s="10">
        <f t="shared" si="30"/>
        <v>0.17211042201861526</v>
      </c>
      <c r="M306" s="10">
        <f t="shared" si="42"/>
        <v>0.23637371161077758</v>
      </c>
      <c r="P306" s="8">
        <f t="shared" si="43"/>
        <v>-1.5762627746144533</v>
      </c>
    </row>
    <row r="307" spans="1:16" x14ac:dyDescent="0.2">
      <c r="A307" s="8">
        <v>152.5</v>
      </c>
      <c r="B307" s="8">
        <v>305</v>
      </c>
      <c r="D307">
        <v>1486.5199550309001</v>
      </c>
      <c r="E307">
        <v>354.73861720067998</v>
      </c>
      <c r="F307">
        <v>149.01240135288</v>
      </c>
      <c r="G307">
        <v>122.07835400226</v>
      </c>
      <c r="I307" s="9">
        <f t="shared" si="40"/>
        <v>232.66026319841998</v>
      </c>
      <c r="J307" s="9">
        <f t="shared" si="41"/>
        <v>1337.50755367802</v>
      </c>
      <c r="K307" s="9">
        <f t="shared" si="31"/>
        <v>232.66026319841998</v>
      </c>
      <c r="L307" s="10">
        <f t="shared" si="30"/>
        <v>0.17395061624783062</v>
      </c>
      <c r="M307" s="10">
        <f t="shared" si="42"/>
        <v>0.23842529823996716</v>
      </c>
      <c r="P307" s="8">
        <f t="shared" si="43"/>
        <v>-0.72200185909027881</v>
      </c>
    </row>
    <row r="308" spans="1:16" x14ac:dyDescent="0.2">
      <c r="A308" s="8">
        <v>153</v>
      </c>
      <c r="B308" s="8">
        <v>306</v>
      </c>
      <c r="D308">
        <v>1459.5812641084001</v>
      </c>
      <c r="E308">
        <v>351.22629796839999</v>
      </c>
      <c r="F308">
        <v>148.76888387823999</v>
      </c>
      <c r="G308">
        <v>121.73957158963</v>
      </c>
      <c r="I308" s="9">
        <f t="shared" si="40"/>
        <v>229.48672637876999</v>
      </c>
      <c r="J308" s="9">
        <f t="shared" si="41"/>
        <v>1310.8123802301602</v>
      </c>
      <c r="K308" s="9">
        <f t="shared" si="31"/>
        <v>229.48672637876999</v>
      </c>
      <c r="L308" s="10">
        <f t="shared" si="30"/>
        <v>0.17507213834711827</v>
      </c>
      <c r="M308" s="10">
        <f t="shared" si="42"/>
        <v>0.23975821273922904</v>
      </c>
      <c r="P308" s="8">
        <f t="shared" si="43"/>
        <v>-0.16698909762346945</v>
      </c>
    </row>
    <row r="309" spans="1:16" x14ac:dyDescent="0.2">
      <c r="A309" s="8">
        <v>153.5</v>
      </c>
      <c r="B309" s="8">
        <v>307</v>
      </c>
      <c r="D309">
        <v>1511.7556433409</v>
      </c>
      <c r="E309">
        <v>359.33803611738</v>
      </c>
      <c r="F309">
        <v>148.62006764373999</v>
      </c>
      <c r="G309">
        <v>122.04453213078</v>
      </c>
      <c r="I309" s="9">
        <f t="shared" si="40"/>
        <v>237.2935039866</v>
      </c>
      <c r="J309" s="9">
        <f t="shared" si="41"/>
        <v>1363.13557569716</v>
      </c>
      <c r="K309" s="9">
        <f t="shared" si="31"/>
        <v>237.2935039866</v>
      </c>
      <c r="L309" s="10">
        <f t="shared" si="30"/>
        <v>0.17407916587111225</v>
      </c>
      <c r="M309" s="10">
        <f t="shared" si="42"/>
        <v>0.23897663266319721</v>
      </c>
      <c r="P309" s="8">
        <f t="shared" si="43"/>
        <v>-0.49243151463227181</v>
      </c>
    </row>
    <row r="310" spans="1:16" x14ac:dyDescent="0.2">
      <c r="A310" s="8">
        <v>154</v>
      </c>
      <c r="B310" s="8">
        <v>308</v>
      </c>
      <c r="D310">
        <v>1469.3538374718</v>
      </c>
      <c r="E310">
        <v>352.85722347630002</v>
      </c>
      <c r="F310">
        <v>148.70856820744001</v>
      </c>
      <c r="G310">
        <v>121.88613303269</v>
      </c>
      <c r="I310" s="9">
        <f>E310-G310</f>
        <v>230.97109044361002</v>
      </c>
      <c r="J310" s="9">
        <f>D310-F310</f>
        <v>1320.64526926436</v>
      </c>
      <c r="K310" s="9">
        <f t="shared" si="31"/>
        <v>230.97109044361002</v>
      </c>
      <c r="L310" s="10">
        <f t="shared" si="30"/>
        <v>0.17489260425872574</v>
      </c>
      <c r="M310" s="10">
        <f>L310+ABS($N$2)*A310</f>
        <v>0.24000146345078494</v>
      </c>
      <c r="O310" s="11"/>
      <c r="P310" s="8">
        <f>(M310-$O$2)/$O$2*100</f>
        <v>-6.5701843846750721E-2</v>
      </c>
    </row>
    <row r="311" spans="1:16" x14ac:dyDescent="0.2">
      <c r="A311" s="8">
        <v>154.5</v>
      </c>
      <c r="B311" s="8">
        <v>309</v>
      </c>
      <c r="D311">
        <v>1492.5090293454</v>
      </c>
      <c r="E311">
        <v>355.98702031603</v>
      </c>
      <c r="F311">
        <v>148.18376550169</v>
      </c>
      <c r="G311">
        <v>121.91093573844</v>
      </c>
      <c r="I311" s="9">
        <f t="shared" ref="I311:I319" si="44">E311-G311</f>
        <v>234.07608457759</v>
      </c>
      <c r="J311" s="9">
        <f t="shared" ref="J311:J319" si="45">D311-F311</f>
        <v>1344.32526384371</v>
      </c>
      <c r="K311" s="9">
        <f t="shared" si="31"/>
        <v>234.07608457759</v>
      </c>
      <c r="L311" s="10">
        <f t="shared" si="30"/>
        <v>0.17412161392274739</v>
      </c>
      <c r="M311" s="10">
        <f t="shared" ref="M311:M319" si="46">L311+ABS($N$2)*A311</f>
        <v>0.23944186551478081</v>
      </c>
      <c r="P311" s="8">
        <f t="shared" ref="P311:P319" si="47">(M311-$O$2)/$O$2*100</f>
        <v>-0.29871303544589023</v>
      </c>
    </row>
    <row r="312" spans="1:16" x14ac:dyDescent="0.2">
      <c r="A312" s="8">
        <v>155</v>
      </c>
      <c r="B312" s="8">
        <v>310</v>
      </c>
      <c r="D312">
        <v>1397.3978555305</v>
      </c>
      <c r="E312">
        <v>342.29571106095</v>
      </c>
      <c r="F312">
        <v>147.90868094701</v>
      </c>
      <c r="G312">
        <v>121.97463359639001</v>
      </c>
      <c r="I312" s="9">
        <f t="shared" si="44"/>
        <v>220.32107746456001</v>
      </c>
      <c r="J312" s="9">
        <f t="shared" si="45"/>
        <v>1249.48917458349</v>
      </c>
      <c r="K312" s="9">
        <f t="shared" si="31"/>
        <v>220.32107746456001</v>
      </c>
      <c r="L312" s="10">
        <f t="shared" si="30"/>
        <v>0.17632892060709751</v>
      </c>
      <c r="M312" s="10">
        <f t="shared" si="46"/>
        <v>0.24186056459910515</v>
      </c>
      <c r="N312" s="1"/>
      <c r="P312" s="8">
        <f t="shared" si="47"/>
        <v>0.70840997108715131</v>
      </c>
    </row>
    <row r="313" spans="1:16" x14ac:dyDescent="0.2">
      <c r="A313" s="8">
        <v>155.5</v>
      </c>
      <c r="B313" s="8">
        <v>311</v>
      </c>
      <c r="D313">
        <v>1488.6726862303001</v>
      </c>
      <c r="E313">
        <v>358.57392776524</v>
      </c>
      <c r="F313">
        <v>148.68432919955001</v>
      </c>
      <c r="G313">
        <v>121.89627959414</v>
      </c>
      <c r="I313" s="9">
        <f t="shared" si="44"/>
        <v>236.6776481711</v>
      </c>
      <c r="J313" s="9">
        <f t="shared" si="45"/>
        <v>1339.9883570307502</v>
      </c>
      <c r="K313" s="9">
        <f t="shared" si="31"/>
        <v>236.6776481711</v>
      </c>
      <c r="L313" s="10">
        <f t="shared" si="30"/>
        <v>0.17662664524604424</v>
      </c>
      <c r="M313" s="10">
        <f t="shared" si="46"/>
        <v>0.24236968163802608</v>
      </c>
      <c r="P313" s="8">
        <f t="shared" si="47"/>
        <v>0.92040140327412545</v>
      </c>
    </row>
    <row r="314" spans="1:16" x14ac:dyDescent="0.2">
      <c r="A314" s="8">
        <v>156</v>
      </c>
      <c r="B314" s="8">
        <v>312</v>
      </c>
      <c r="D314">
        <v>1682.2608450703999</v>
      </c>
      <c r="E314">
        <v>390.14704225352</v>
      </c>
      <c r="F314">
        <v>148.33370913191001</v>
      </c>
      <c r="G314">
        <v>122.04509582864</v>
      </c>
      <c r="I314" s="9">
        <f t="shared" si="44"/>
        <v>268.10194642488</v>
      </c>
      <c r="J314" s="9">
        <f t="shared" si="45"/>
        <v>1533.92713593849</v>
      </c>
      <c r="K314" s="9">
        <f t="shared" si="31"/>
        <v>268.10194642488</v>
      </c>
      <c r="L314" s="10">
        <f t="shared" si="30"/>
        <v>0.1747814091970212</v>
      </c>
      <c r="M314" s="10">
        <f t="shared" si="46"/>
        <v>0.24073583798897727</v>
      </c>
      <c r="P314" s="8">
        <f t="shared" si="47"/>
        <v>0.24008464179711433</v>
      </c>
    </row>
    <row r="315" spans="1:16" x14ac:dyDescent="0.2">
      <c r="A315" s="8">
        <v>156.5</v>
      </c>
      <c r="B315" s="8">
        <v>313</v>
      </c>
      <c r="D315">
        <v>1644.8152112676</v>
      </c>
      <c r="E315">
        <v>383.45126760562999</v>
      </c>
      <c r="F315">
        <v>148.68151071026</v>
      </c>
      <c r="G315">
        <v>122.21927846673999</v>
      </c>
      <c r="I315" s="9">
        <f t="shared" si="44"/>
        <v>261.23198913889001</v>
      </c>
      <c r="J315" s="9">
        <f t="shared" si="45"/>
        <v>1496.13370055734</v>
      </c>
      <c r="K315" s="9">
        <f t="shared" si="31"/>
        <v>261.23198913889001</v>
      </c>
      <c r="L315" s="10">
        <f t="shared" si="30"/>
        <v>0.17460470881818638</v>
      </c>
      <c r="M315" s="10">
        <f t="shared" si="46"/>
        <v>0.24077053001011667</v>
      </c>
      <c r="P315" s="8">
        <f t="shared" si="47"/>
        <v>0.25453006531385536</v>
      </c>
    </row>
    <row r="316" spans="1:16" x14ac:dyDescent="0.2">
      <c r="A316" s="8">
        <v>157</v>
      </c>
      <c r="B316" s="8">
        <v>314</v>
      </c>
      <c r="D316">
        <v>1651.1280315849001</v>
      </c>
      <c r="E316">
        <v>387.44218838128</v>
      </c>
      <c r="F316">
        <v>148.41262683202001</v>
      </c>
      <c r="G316">
        <v>121.86753100337999</v>
      </c>
      <c r="I316" s="9">
        <f t="shared" si="44"/>
        <v>265.5746573779</v>
      </c>
      <c r="J316" s="9">
        <f t="shared" si="45"/>
        <v>1502.7154047528802</v>
      </c>
      <c r="K316" s="9">
        <f t="shared" si="31"/>
        <v>265.5746573779</v>
      </c>
      <c r="L316" s="10">
        <f t="shared" si="30"/>
        <v>0.17672984288170882</v>
      </c>
      <c r="M316" s="10">
        <f t="shared" si="46"/>
        <v>0.2431070564736133</v>
      </c>
      <c r="P316" s="8">
        <f t="shared" si="47"/>
        <v>1.2274371838602254</v>
      </c>
    </row>
    <row r="317" spans="1:16" x14ac:dyDescent="0.2">
      <c r="A317" s="8">
        <v>157.5</v>
      </c>
      <c r="B317" s="8">
        <v>315</v>
      </c>
      <c r="D317">
        <v>1544.2737020315999</v>
      </c>
      <c r="E317">
        <v>370.37471783296002</v>
      </c>
      <c r="F317">
        <v>148.44588500564001</v>
      </c>
      <c r="G317">
        <v>121.76832018038</v>
      </c>
      <c r="I317" s="9">
        <f t="shared" si="44"/>
        <v>248.60639765258003</v>
      </c>
      <c r="J317" s="9">
        <f t="shared" si="45"/>
        <v>1395.8278170259598</v>
      </c>
      <c r="K317" s="9">
        <f t="shared" si="31"/>
        <v>248.60639765258003</v>
      </c>
      <c r="L317" s="10">
        <f t="shared" si="30"/>
        <v>0.17810677980488793</v>
      </c>
      <c r="M317" s="10">
        <f t="shared" si="46"/>
        <v>0.24469538579676664</v>
      </c>
      <c r="P317" s="8">
        <f t="shared" si="47"/>
        <v>1.8888022183393411</v>
      </c>
    </row>
    <row r="318" spans="1:16" x14ac:dyDescent="0.2">
      <c r="A318" s="8">
        <v>158</v>
      </c>
      <c r="B318" s="8">
        <v>316</v>
      </c>
      <c r="D318">
        <v>1575.434856176</v>
      </c>
      <c r="E318">
        <v>375.57586012408001</v>
      </c>
      <c r="F318">
        <v>148.33314543405001</v>
      </c>
      <c r="G318">
        <v>121.72378804960999</v>
      </c>
      <c r="I318" s="9">
        <f t="shared" si="44"/>
        <v>253.85207207447002</v>
      </c>
      <c r="J318" s="9">
        <f t="shared" si="45"/>
        <v>1427.10171074195</v>
      </c>
      <c r="K318" s="9">
        <f t="shared" si="31"/>
        <v>253.85207207447002</v>
      </c>
      <c r="L318" s="10">
        <f t="shared" si="30"/>
        <v>0.17787945327491222</v>
      </c>
      <c r="M318" s="10">
        <f t="shared" si="46"/>
        <v>0.24467945166676516</v>
      </c>
      <c r="P318" s="8">
        <f t="shared" si="47"/>
        <v>1.8821674000531057</v>
      </c>
    </row>
    <row r="319" spans="1:16" x14ac:dyDescent="0.2">
      <c r="A319" s="8">
        <v>158.5</v>
      </c>
      <c r="B319" s="8">
        <v>317</v>
      </c>
      <c r="D319">
        <v>1628.4887640449001</v>
      </c>
      <c r="E319">
        <v>381.77528089888</v>
      </c>
      <c r="F319">
        <v>148.92841037203999</v>
      </c>
      <c r="G319">
        <v>121.87429537768</v>
      </c>
      <c r="I319" s="9">
        <f t="shared" si="44"/>
        <v>259.90098552120003</v>
      </c>
      <c r="J319" s="9">
        <f t="shared" si="45"/>
        <v>1479.5603536728602</v>
      </c>
      <c r="K319" s="9">
        <f t="shared" si="31"/>
        <v>259.90098552120003</v>
      </c>
      <c r="L319" s="10">
        <f t="shared" si="30"/>
        <v>0.17566095555076339</v>
      </c>
      <c r="M319" s="10">
        <f t="shared" si="46"/>
        <v>0.24267234634259055</v>
      </c>
      <c r="P319" s="8">
        <f t="shared" si="47"/>
        <v>1.0464280715802219</v>
      </c>
    </row>
    <row r="320" spans="1:16" x14ac:dyDescent="0.2">
      <c r="A320" s="8">
        <v>159</v>
      </c>
      <c r="B320" s="8">
        <v>318</v>
      </c>
      <c r="D320">
        <v>1662.1297752809</v>
      </c>
      <c r="E320">
        <v>389.66404494381999</v>
      </c>
      <c r="F320">
        <v>148.41093573844</v>
      </c>
      <c r="G320">
        <v>121.82525366404001</v>
      </c>
      <c r="I320" s="9">
        <f>E320-G320</f>
        <v>267.83879127977997</v>
      </c>
      <c r="J320" s="9">
        <f>D320-F320</f>
        <v>1513.71883954246</v>
      </c>
      <c r="K320" s="9">
        <f t="shared" si="31"/>
        <v>267.83879127977997</v>
      </c>
      <c r="L320" s="10">
        <f t="shared" si="30"/>
        <v>0.17694091153726904</v>
      </c>
      <c r="M320" s="10">
        <f>L320+ABS($N$2)*A320</f>
        <v>0.2441636947290704</v>
      </c>
      <c r="O320" s="11"/>
      <c r="P320" s="8">
        <f>(M320-$O$2)/$O$2*100</f>
        <v>1.6674111779592264</v>
      </c>
    </row>
    <row r="321" spans="1:16" x14ac:dyDescent="0.2">
      <c r="A321" s="8">
        <v>159.5</v>
      </c>
      <c r="B321" s="8">
        <v>319</v>
      </c>
      <c r="D321">
        <v>1600.5921348315001</v>
      </c>
      <c r="E321">
        <v>376.69775280899</v>
      </c>
      <c r="F321">
        <v>148.40473506200999</v>
      </c>
      <c r="G321">
        <v>121.87993235626</v>
      </c>
      <c r="I321" s="9">
        <f t="shared" ref="I321" si="48">E321-G321</f>
        <v>254.81782045273002</v>
      </c>
      <c r="J321" s="9">
        <f t="shared" ref="J321" si="49">D321-F321</f>
        <v>1452.1873997694902</v>
      </c>
      <c r="K321" s="9">
        <f t="shared" si="31"/>
        <v>254.81782045273002</v>
      </c>
      <c r="L321" s="10">
        <f t="shared" si="30"/>
        <v>0.1754717197609468</v>
      </c>
      <c r="M321" s="10">
        <f t="shared" ref="M321" si="50">L321+ABS($N$2)*A321</f>
        <v>0.24290589535272239</v>
      </c>
      <c r="P321" s="8">
        <f t="shared" ref="P321" si="51">(M321-$O$2)/$O$2*100</f>
        <v>1.1436756303117783</v>
      </c>
    </row>
    <row r="322" spans="1:16" x14ac:dyDescent="0.2">
      <c r="A322" s="8">
        <v>160</v>
      </c>
      <c r="D322">
        <v>1675.1651685393001</v>
      </c>
      <c r="E322">
        <v>392.36123595506001</v>
      </c>
      <c r="F322">
        <v>148.78579481398</v>
      </c>
      <c r="G322">
        <v>121.52931228861</v>
      </c>
      <c r="I322" s="9"/>
      <c r="J322" s="9"/>
      <c r="K322" s="9"/>
      <c r="L322" s="10"/>
      <c r="M322" s="10"/>
      <c r="N322" s="1"/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329-F3E7-AF4F-A36D-9C37DB66BD25}">
  <dimension ref="A1:Y798"/>
  <sheetViews>
    <sheetView zoomScale="50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1828.6052090472999</v>
      </c>
      <c r="E2">
        <v>476.96161754627002</v>
      </c>
      <c r="F2">
        <v>134.58407687028</v>
      </c>
      <c r="G2">
        <v>116.14001372684</v>
      </c>
      <c r="H2" s="4"/>
      <c r="I2" s="5">
        <f>E2-G2</f>
        <v>360.82160381943004</v>
      </c>
      <c r="J2" s="5">
        <f>D2-F2</f>
        <v>1694.0211321770198</v>
      </c>
      <c r="K2" s="9">
        <f>I2*1</f>
        <v>360.82160381943004</v>
      </c>
      <c r="L2" s="6">
        <f t="shared" ref="L2:L65" si="0">K2/J2</f>
        <v>0.21299710904770774</v>
      </c>
      <c r="M2" s="6">
        <f>L2+ABS($N$2)*A2</f>
        <v>0.21299710904770774</v>
      </c>
      <c r="N2" s="4">
        <f>LINEST(V64:V103,U64:U103)</f>
        <v>-1.9800773257232015E-6</v>
      </c>
      <c r="O2" s="7">
        <f>AVERAGE(M62:M81)</f>
        <v>0.16311438854961721</v>
      </c>
      <c r="P2" s="4">
        <f>(M2-$O$2)/$O$2*100</f>
        <v>30.581434870116851</v>
      </c>
    </row>
    <row r="3" spans="1:16" x14ac:dyDescent="0.2">
      <c r="A3" s="8">
        <v>0.5</v>
      </c>
      <c r="B3" s="8">
        <v>1</v>
      </c>
      <c r="D3">
        <v>1849.4818368746</v>
      </c>
      <c r="E3">
        <v>486.45442083619002</v>
      </c>
      <c r="F3">
        <v>133.84488675360001</v>
      </c>
      <c r="G3">
        <v>116.27865477008</v>
      </c>
      <c r="I3" s="9">
        <f t="shared" ref="I3:I66" si="1">E3-G3</f>
        <v>370.17576606611004</v>
      </c>
      <c r="J3" s="9">
        <f t="shared" ref="J3:J66" si="2">D3-F3</f>
        <v>1715.6369501210002</v>
      </c>
      <c r="K3" s="9">
        <f t="shared" ref="K3:K66" si="3">I3*1</f>
        <v>370.17576606611004</v>
      </c>
      <c r="L3" s="10">
        <f t="shared" si="0"/>
        <v>0.21576579243062022</v>
      </c>
      <c r="M3" s="10">
        <f t="shared" ref="M3:M66" si="4">L3+ABS($N$2)*A3</f>
        <v>0.21576678246928307</v>
      </c>
      <c r="P3" s="8">
        <f t="shared" ref="P3:P66" si="5">(M3-$O$2)/$O$2*100</f>
        <v>32.279429416277225</v>
      </c>
    </row>
    <row r="4" spans="1:16" ht="16" x14ac:dyDescent="0.2">
      <c r="A4" s="8">
        <v>1</v>
      </c>
      <c r="B4" s="8">
        <v>2</v>
      </c>
      <c r="D4">
        <v>1859.9773817682999</v>
      </c>
      <c r="E4">
        <v>492.01439342014999</v>
      </c>
      <c r="F4">
        <v>134.03294440631001</v>
      </c>
      <c r="G4">
        <v>115.98215511325</v>
      </c>
      <c r="I4" s="9">
        <f t="shared" si="1"/>
        <v>376.03223830690001</v>
      </c>
      <c r="J4" s="9">
        <f t="shared" si="2"/>
        <v>1725.9444373619899</v>
      </c>
      <c r="K4" s="9">
        <f t="shared" si="3"/>
        <v>376.03223830690001</v>
      </c>
      <c r="L4" s="10">
        <f t="shared" si="0"/>
        <v>0.21787041932916704</v>
      </c>
      <c r="M4" s="10">
        <f t="shared" si="4"/>
        <v>0.21787239940649275</v>
      </c>
      <c r="N4" s="1" t="s">
        <v>7</v>
      </c>
      <c r="P4" s="8">
        <f t="shared" si="5"/>
        <v>33.570313044590108</v>
      </c>
    </row>
    <row r="5" spans="1:16" x14ac:dyDescent="0.2">
      <c r="A5" s="8">
        <v>1.5</v>
      </c>
      <c r="B5" s="8">
        <v>3</v>
      </c>
      <c r="D5">
        <v>1750.9725839616001</v>
      </c>
      <c r="E5">
        <v>475.89444825223001</v>
      </c>
      <c r="F5">
        <v>134.89430336308001</v>
      </c>
      <c r="G5">
        <v>116.73713109128001</v>
      </c>
      <c r="I5" s="9">
        <f t="shared" si="1"/>
        <v>359.15731716095002</v>
      </c>
      <c r="J5" s="9">
        <f t="shared" si="2"/>
        <v>1616.07828059852</v>
      </c>
      <c r="K5" s="9">
        <f t="shared" si="3"/>
        <v>359.15731716095002</v>
      </c>
      <c r="L5" s="10">
        <f t="shared" si="0"/>
        <v>0.22224004955250987</v>
      </c>
      <c r="M5" s="10">
        <f t="shared" si="4"/>
        <v>0.22224301966849846</v>
      </c>
      <c r="N5" s="8">
        <f>RSQ(V64:V83,U64:U83)</f>
        <v>4.7915035969480962E-2</v>
      </c>
      <c r="P5" s="8">
        <f t="shared" si="5"/>
        <v>36.249794787965698</v>
      </c>
    </row>
    <row r="6" spans="1:16" x14ac:dyDescent="0.2">
      <c r="A6" s="8">
        <v>2</v>
      </c>
      <c r="B6" s="8">
        <v>4</v>
      </c>
      <c r="D6">
        <v>1860.5695681974</v>
      </c>
      <c r="E6">
        <v>499.77450308430002</v>
      </c>
      <c r="F6">
        <v>134.75909402882999</v>
      </c>
      <c r="G6">
        <v>116.04529855868</v>
      </c>
      <c r="I6" s="9">
        <f t="shared" si="1"/>
        <v>383.72920452562005</v>
      </c>
      <c r="J6" s="9">
        <f t="shared" si="2"/>
        <v>1725.81047416857</v>
      </c>
      <c r="K6" s="9">
        <f t="shared" si="3"/>
        <v>383.72920452562005</v>
      </c>
      <c r="L6" s="10">
        <f t="shared" si="0"/>
        <v>0.22234724511710141</v>
      </c>
      <c r="M6" s="10">
        <f t="shared" si="4"/>
        <v>0.22235120527175287</v>
      </c>
      <c r="P6" s="8">
        <f t="shared" si="5"/>
        <v>36.316119778799653</v>
      </c>
    </row>
    <row r="7" spans="1:16" x14ac:dyDescent="0.2">
      <c r="A7" s="8">
        <v>2.5</v>
      </c>
      <c r="B7" s="8">
        <v>5</v>
      </c>
      <c r="D7">
        <v>1730.9732693625999</v>
      </c>
      <c r="E7">
        <v>478.02056202878998</v>
      </c>
      <c r="F7">
        <v>134.6533973919</v>
      </c>
      <c r="G7">
        <v>116.54632807138</v>
      </c>
      <c r="I7" s="9">
        <f t="shared" si="1"/>
        <v>361.47423395740998</v>
      </c>
      <c r="J7" s="9">
        <f t="shared" si="2"/>
        <v>1596.3198719707</v>
      </c>
      <c r="K7" s="9">
        <f t="shared" si="3"/>
        <v>361.47423395740998</v>
      </c>
      <c r="L7" s="10">
        <f t="shared" si="0"/>
        <v>0.22644223147529968</v>
      </c>
      <c r="M7" s="10">
        <f t="shared" si="4"/>
        <v>0.22644718166861399</v>
      </c>
      <c r="P7" s="8">
        <f t="shared" si="5"/>
        <v>38.827226513945334</v>
      </c>
    </row>
    <row r="8" spans="1:16" x14ac:dyDescent="0.2">
      <c r="A8" s="8">
        <v>3</v>
      </c>
      <c r="B8" s="8">
        <v>6</v>
      </c>
      <c r="D8">
        <v>1887.9246058945</v>
      </c>
      <c r="E8">
        <v>510.32282385194998</v>
      </c>
      <c r="F8">
        <v>135.17364447495001</v>
      </c>
      <c r="G8">
        <v>116.38091969801</v>
      </c>
      <c r="I8" s="9">
        <f t="shared" si="1"/>
        <v>393.94190415393996</v>
      </c>
      <c r="J8" s="9">
        <f t="shared" si="2"/>
        <v>1752.7509614195501</v>
      </c>
      <c r="K8" s="9">
        <f t="shared" si="3"/>
        <v>393.94190415393996</v>
      </c>
      <c r="L8" s="10">
        <f t="shared" si="0"/>
        <v>0.22475634749324974</v>
      </c>
      <c r="M8" s="10">
        <f t="shared" si="4"/>
        <v>0.22476228772522691</v>
      </c>
      <c r="P8" s="8">
        <f t="shared" si="5"/>
        <v>37.794274143299894</v>
      </c>
    </row>
    <row r="9" spans="1:16" x14ac:dyDescent="0.2">
      <c r="A9" s="8">
        <v>3.5</v>
      </c>
      <c r="B9" s="8">
        <v>7</v>
      </c>
      <c r="D9">
        <v>1596.4729266621</v>
      </c>
      <c r="E9">
        <v>467.09252912954003</v>
      </c>
      <c r="F9">
        <v>135.31708991078</v>
      </c>
      <c r="G9">
        <v>116.37405628003</v>
      </c>
      <c r="I9" s="9">
        <f t="shared" si="1"/>
        <v>350.71847284951002</v>
      </c>
      <c r="J9" s="9">
        <f t="shared" si="2"/>
        <v>1461.1558367513201</v>
      </c>
      <c r="K9" s="9">
        <f t="shared" si="3"/>
        <v>350.71847284951002</v>
      </c>
      <c r="L9" s="10">
        <f t="shared" si="0"/>
        <v>0.24002810927360391</v>
      </c>
      <c r="M9" s="10">
        <f t="shared" si="4"/>
        <v>0.24003503954424393</v>
      </c>
      <c r="P9" s="8">
        <f t="shared" si="5"/>
        <v>47.15748970927141</v>
      </c>
    </row>
    <row r="10" spans="1:16" x14ac:dyDescent="0.2">
      <c r="A10" s="8">
        <v>4</v>
      </c>
      <c r="B10" s="8">
        <v>8</v>
      </c>
      <c r="D10">
        <v>2154.1609589041</v>
      </c>
      <c r="E10">
        <v>549.7904109589</v>
      </c>
      <c r="F10">
        <v>134.63692518874001</v>
      </c>
      <c r="G10">
        <v>116.43308167467001</v>
      </c>
      <c r="I10" s="9">
        <f t="shared" si="1"/>
        <v>433.35732928422999</v>
      </c>
      <c r="J10" s="9">
        <f t="shared" si="2"/>
        <v>2019.52403371536</v>
      </c>
      <c r="K10" s="9">
        <f t="shared" si="3"/>
        <v>433.35732928422999</v>
      </c>
      <c r="L10" s="10">
        <f t="shared" si="0"/>
        <v>0.21458389306067013</v>
      </c>
      <c r="M10" s="10">
        <f t="shared" si="4"/>
        <v>0.21459181336997302</v>
      </c>
      <c r="P10" s="8">
        <f t="shared" si="5"/>
        <v>31.559094987317483</v>
      </c>
    </row>
    <row r="11" spans="1:16" x14ac:dyDescent="0.2">
      <c r="A11" s="8">
        <v>4.5</v>
      </c>
      <c r="B11" s="8">
        <v>9</v>
      </c>
      <c r="D11">
        <v>2200.7171232876999</v>
      </c>
      <c r="E11">
        <v>553.72876712329003</v>
      </c>
      <c r="F11">
        <v>134.92107069321</v>
      </c>
      <c r="G11">
        <v>116.29993136582</v>
      </c>
      <c r="I11" s="9">
        <f t="shared" si="1"/>
        <v>437.42883575747004</v>
      </c>
      <c r="J11" s="9">
        <f t="shared" si="2"/>
        <v>2065.79605259449</v>
      </c>
      <c r="K11" s="9">
        <f t="shared" si="3"/>
        <v>437.42883575747004</v>
      </c>
      <c r="L11" s="10">
        <f t="shared" si="0"/>
        <v>0.21174831620386297</v>
      </c>
      <c r="M11" s="10">
        <f t="shared" si="4"/>
        <v>0.21175722655182874</v>
      </c>
      <c r="P11" s="8">
        <f t="shared" si="5"/>
        <v>29.821304199301235</v>
      </c>
    </row>
    <row r="12" spans="1:16" x14ac:dyDescent="0.2">
      <c r="A12" s="8">
        <v>5</v>
      </c>
      <c r="B12" s="8">
        <v>10</v>
      </c>
      <c r="D12">
        <v>2132.6352542373002</v>
      </c>
      <c r="E12">
        <v>533.52949152541999</v>
      </c>
      <c r="F12">
        <v>134.98215511325</v>
      </c>
      <c r="G12">
        <v>116.39945092655999</v>
      </c>
      <c r="I12" s="9">
        <f t="shared" si="1"/>
        <v>417.13004059885998</v>
      </c>
      <c r="J12" s="9">
        <f t="shared" si="2"/>
        <v>1997.6530991240502</v>
      </c>
      <c r="K12" s="9">
        <f t="shared" si="3"/>
        <v>417.13004059885998</v>
      </c>
      <c r="L12" s="10">
        <f t="shared" si="0"/>
        <v>0.20881004854234556</v>
      </c>
      <c r="M12" s="10">
        <f t="shared" si="4"/>
        <v>0.20881994892897418</v>
      </c>
      <c r="P12" s="8">
        <f t="shared" si="5"/>
        <v>28.020557098464643</v>
      </c>
    </row>
    <row r="13" spans="1:16" x14ac:dyDescent="0.2">
      <c r="A13" s="8">
        <v>5.5</v>
      </c>
      <c r="B13" s="8">
        <v>11</v>
      </c>
      <c r="D13">
        <v>2155.8318644067999</v>
      </c>
      <c r="E13">
        <v>541.33559322034</v>
      </c>
      <c r="F13">
        <v>135.22855181880999</v>
      </c>
      <c r="G13">
        <v>116.51818805764999</v>
      </c>
      <c r="I13" s="9">
        <f t="shared" si="1"/>
        <v>424.81740516269002</v>
      </c>
      <c r="J13" s="9">
        <f t="shared" si="2"/>
        <v>2020.6033125879899</v>
      </c>
      <c r="K13" s="9">
        <f t="shared" si="3"/>
        <v>424.81740516269002</v>
      </c>
      <c r="L13" s="10">
        <f t="shared" si="0"/>
        <v>0.21024285297176101</v>
      </c>
      <c r="M13" s="10">
        <f t="shared" si="4"/>
        <v>0.21025374339705249</v>
      </c>
      <c r="P13" s="8">
        <f t="shared" si="5"/>
        <v>28.899568742273228</v>
      </c>
    </row>
    <row r="14" spans="1:16" x14ac:dyDescent="0.2">
      <c r="A14" s="8">
        <v>6</v>
      </c>
      <c r="B14" s="8">
        <v>12</v>
      </c>
      <c r="D14">
        <v>2063.2772881356</v>
      </c>
      <c r="E14">
        <v>514.18644067797004</v>
      </c>
      <c r="F14">
        <v>135.17158544955001</v>
      </c>
      <c r="G14">
        <v>116.44337680165</v>
      </c>
      <c r="I14" s="9">
        <f t="shared" si="1"/>
        <v>397.74306387632004</v>
      </c>
      <c r="J14" s="9">
        <f t="shared" si="2"/>
        <v>1928.1057026860499</v>
      </c>
      <c r="K14" s="9">
        <f t="shared" si="3"/>
        <v>397.74306387632004</v>
      </c>
      <c r="L14" s="10">
        <f t="shared" si="0"/>
        <v>0.20628695995360782</v>
      </c>
      <c r="M14" s="10">
        <f t="shared" si="4"/>
        <v>0.20629884041756216</v>
      </c>
      <c r="P14" s="8">
        <f t="shared" si="5"/>
        <v>26.474949421650084</v>
      </c>
    </row>
    <row r="15" spans="1:16" x14ac:dyDescent="0.2">
      <c r="A15" s="8">
        <v>6.5</v>
      </c>
      <c r="B15" s="8">
        <v>13</v>
      </c>
      <c r="D15">
        <v>1968.8203389831001</v>
      </c>
      <c r="E15">
        <v>494.72610169491998</v>
      </c>
      <c r="F15">
        <v>135.7680164722</v>
      </c>
      <c r="G15">
        <v>116.84488675359999</v>
      </c>
      <c r="I15" s="9">
        <f t="shared" si="1"/>
        <v>377.88121494131997</v>
      </c>
      <c r="J15" s="9">
        <f t="shared" si="2"/>
        <v>1833.0523225109</v>
      </c>
      <c r="K15" s="9">
        <f t="shared" si="3"/>
        <v>377.88121494131997</v>
      </c>
      <c r="L15" s="10">
        <f t="shared" si="0"/>
        <v>0.20614862451045662</v>
      </c>
      <c r="M15" s="10">
        <f t="shared" si="4"/>
        <v>0.20616149501307382</v>
      </c>
      <c r="P15" s="8">
        <f t="shared" si="5"/>
        <v>26.390747527685001</v>
      </c>
    </row>
    <row r="16" spans="1:16" x14ac:dyDescent="0.2">
      <c r="A16" s="8">
        <v>7</v>
      </c>
      <c r="B16" s="8">
        <v>14</v>
      </c>
      <c r="D16">
        <v>2074.5339273475001</v>
      </c>
      <c r="E16">
        <v>509.16312542838</v>
      </c>
      <c r="F16">
        <v>135.70624571036001</v>
      </c>
      <c r="G16">
        <v>116.71105010295</v>
      </c>
      <c r="I16" s="9">
        <f t="shared" si="1"/>
        <v>392.45207532542997</v>
      </c>
      <c r="J16" s="9">
        <f t="shared" si="2"/>
        <v>1938.8276816371401</v>
      </c>
      <c r="K16" s="9">
        <f t="shared" si="3"/>
        <v>392.45207532542997</v>
      </c>
      <c r="L16" s="10">
        <f t="shared" si="0"/>
        <v>0.20241720243752898</v>
      </c>
      <c r="M16" s="10">
        <f t="shared" si="4"/>
        <v>0.20243106297880903</v>
      </c>
      <c r="P16" s="8">
        <f t="shared" si="5"/>
        <v>24.103743868820139</v>
      </c>
    </row>
    <row r="17" spans="1:16" x14ac:dyDescent="0.2">
      <c r="A17" s="8">
        <v>7.5</v>
      </c>
      <c r="B17" s="8">
        <v>15</v>
      </c>
      <c r="D17">
        <v>2128.8786840302</v>
      </c>
      <c r="E17">
        <v>519.10486634681001</v>
      </c>
      <c r="F17">
        <v>136.34248455731</v>
      </c>
      <c r="G17">
        <v>116.81331503089</v>
      </c>
      <c r="I17" s="9">
        <f t="shared" si="1"/>
        <v>402.29155131592</v>
      </c>
      <c r="J17" s="9">
        <f t="shared" si="2"/>
        <v>1992.5361994728901</v>
      </c>
      <c r="K17" s="9">
        <f t="shared" si="3"/>
        <v>402.29155131592</v>
      </c>
      <c r="L17" s="10">
        <f t="shared" si="0"/>
        <v>0.20189924349798166</v>
      </c>
      <c r="M17" s="10">
        <f t="shared" si="4"/>
        <v>0.2019140940779246</v>
      </c>
      <c r="P17" s="8">
        <f t="shared" si="5"/>
        <v>23.786807450469052</v>
      </c>
    </row>
    <row r="18" spans="1:16" x14ac:dyDescent="0.2">
      <c r="A18" s="8">
        <v>8</v>
      </c>
      <c r="B18" s="8">
        <v>16</v>
      </c>
      <c r="D18">
        <v>2082.4585332420002</v>
      </c>
      <c r="E18">
        <v>502.12200137079998</v>
      </c>
      <c r="F18">
        <v>135.99176389842</v>
      </c>
      <c r="G18">
        <v>116.70761839396</v>
      </c>
      <c r="I18" s="9">
        <f t="shared" si="1"/>
        <v>385.41438297683999</v>
      </c>
      <c r="J18" s="9">
        <f t="shared" si="2"/>
        <v>1946.4667693435802</v>
      </c>
      <c r="K18" s="9">
        <f t="shared" si="3"/>
        <v>385.41438297683999</v>
      </c>
      <c r="L18" s="10">
        <f t="shared" si="0"/>
        <v>0.19800717332914747</v>
      </c>
      <c r="M18" s="10">
        <f t="shared" si="4"/>
        <v>0.19802301394775326</v>
      </c>
      <c r="P18" s="8">
        <f t="shared" si="5"/>
        <v>21.401315793497467</v>
      </c>
    </row>
    <row r="19" spans="1:16" x14ac:dyDescent="0.2">
      <c r="A19" s="8">
        <v>8.5</v>
      </c>
      <c r="B19" s="8">
        <v>17</v>
      </c>
      <c r="D19">
        <v>2049.5407813571001</v>
      </c>
      <c r="E19">
        <v>490.71418779985999</v>
      </c>
      <c r="F19">
        <v>136.18325326012001</v>
      </c>
      <c r="G19">
        <v>116.63623884694999</v>
      </c>
      <c r="I19" s="9">
        <f t="shared" si="1"/>
        <v>374.07794895290999</v>
      </c>
      <c r="J19" s="9">
        <f t="shared" si="2"/>
        <v>1913.3575280969801</v>
      </c>
      <c r="K19" s="9">
        <f t="shared" si="3"/>
        <v>374.07794895290999</v>
      </c>
      <c r="L19" s="10">
        <f t="shared" si="0"/>
        <v>0.19550865087141703</v>
      </c>
      <c r="M19" s="10">
        <f t="shared" si="4"/>
        <v>0.19552548152868568</v>
      </c>
      <c r="P19" s="8">
        <f t="shared" si="5"/>
        <v>19.870161833828316</v>
      </c>
    </row>
    <row r="20" spans="1:16" x14ac:dyDescent="0.2">
      <c r="A20" s="8">
        <v>9</v>
      </c>
      <c r="B20" s="8">
        <v>18</v>
      </c>
      <c r="D20">
        <v>2124.2803289925</v>
      </c>
      <c r="E20">
        <v>503.11172035640999</v>
      </c>
      <c r="F20">
        <v>136.01441317775999</v>
      </c>
      <c r="G20">
        <v>116.52436513384001</v>
      </c>
      <c r="I20" s="9">
        <f t="shared" si="1"/>
        <v>386.58735522256995</v>
      </c>
      <c r="J20" s="9">
        <f t="shared" si="2"/>
        <v>1988.2659158147401</v>
      </c>
      <c r="K20" s="9">
        <f t="shared" si="3"/>
        <v>386.58735522256995</v>
      </c>
      <c r="L20" s="10">
        <f t="shared" si="0"/>
        <v>0.19443443261167428</v>
      </c>
      <c r="M20" s="10">
        <f t="shared" si="4"/>
        <v>0.19445225330760579</v>
      </c>
      <c r="P20" s="8">
        <f t="shared" si="5"/>
        <v>19.212201349395993</v>
      </c>
    </row>
    <row r="21" spans="1:16" x14ac:dyDescent="0.2">
      <c r="A21" s="8">
        <v>9.5</v>
      </c>
      <c r="B21" s="8">
        <v>19</v>
      </c>
      <c r="D21">
        <v>2066.1939684715999</v>
      </c>
      <c r="E21">
        <v>483.01370801919001</v>
      </c>
      <c r="F21">
        <v>135.55730954014999</v>
      </c>
      <c r="G21">
        <v>116.53397391900999</v>
      </c>
      <c r="I21" s="9">
        <f t="shared" si="1"/>
        <v>366.47973410018</v>
      </c>
      <c r="J21" s="9">
        <f t="shared" si="2"/>
        <v>1930.6366589314498</v>
      </c>
      <c r="K21" s="9">
        <f t="shared" si="3"/>
        <v>366.47973410018</v>
      </c>
      <c r="L21" s="10">
        <f t="shared" si="0"/>
        <v>0.1898232546268005</v>
      </c>
      <c r="M21" s="10">
        <f t="shared" si="4"/>
        <v>0.18984206536139486</v>
      </c>
      <c r="P21" s="8">
        <f t="shared" si="5"/>
        <v>16.385848636306815</v>
      </c>
    </row>
    <row r="22" spans="1:16" x14ac:dyDescent="0.2">
      <c r="A22" s="8">
        <v>10</v>
      </c>
      <c r="B22" s="8">
        <v>20</v>
      </c>
      <c r="D22">
        <v>2080.5942426319002</v>
      </c>
      <c r="E22">
        <v>485.64016449623</v>
      </c>
      <c r="F22">
        <v>135.40700068634001</v>
      </c>
      <c r="G22">
        <v>116.42621825669001</v>
      </c>
      <c r="I22" s="9">
        <f t="shared" si="1"/>
        <v>369.21394623954001</v>
      </c>
      <c r="J22" s="9">
        <f t="shared" si="2"/>
        <v>1945.1872419455601</v>
      </c>
      <c r="K22" s="9">
        <f t="shared" si="3"/>
        <v>369.21394623954001</v>
      </c>
      <c r="L22" s="10">
        <f t="shared" si="0"/>
        <v>0.18980894912217053</v>
      </c>
      <c r="M22" s="10">
        <f t="shared" si="4"/>
        <v>0.18982874989542775</v>
      </c>
      <c r="P22" s="8">
        <f t="shared" si="5"/>
        <v>16.377685367520101</v>
      </c>
    </row>
    <row r="23" spans="1:16" x14ac:dyDescent="0.2">
      <c r="A23" s="8">
        <v>10.5</v>
      </c>
      <c r="B23" s="8">
        <v>21</v>
      </c>
      <c r="D23">
        <v>1881.2852303523</v>
      </c>
      <c r="E23">
        <v>451.96747967480002</v>
      </c>
      <c r="F23">
        <v>135.86479066575001</v>
      </c>
      <c r="G23">
        <v>116.75634866163</v>
      </c>
      <c r="I23" s="9">
        <f t="shared" si="1"/>
        <v>335.21113101317002</v>
      </c>
      <c r="J23" s="9">
        <f t="shared" si="2"/>
        <v>1745.42043968655</v>
      </c>
      <c r="K23" s="9">
        <f t="shared" si="3"/>
        <v>335.21113101317002</v>
      </c>
      <c r="L23" s="10">
        <f t="shared" si="0"/>
        <v>0.19205179645619863</v>
      </c>
      <c r="M23" s="10">
        <f t="shared" si="4"/>
        <v>0.19207258726811874</v>
      </c>
      <c r="P23" s="8">
        <f t="shared" si="5"/>
        <v>17.753307342161804</v>
      </c>
    </row>
    <row r="24" spans="1:16" x14ac:dyDescent="0.2">
      <c r="A24" s="8">
        <v>11</v>
      </c>
      <c r="B24" s="8">
        <v>22</v>
      </c>
      <c r="D24">
        <v>1917.7635501355001</v>
      </c>
      <c r="E24">
        <v>456.20189701896999</v>
      </c>
      <c r="F24">
        <v>135.6533973919</v>
      </c>
      <c r="G24">
        <v>116.74536719286</v>
      </c>
      <c r="I24" s="9">
        <f t="shared" si="1"/>
        <v>339.45652982611</v>
      </c>
      <c r="J24" s="9">
        <f t="shared" si="2"/>
        <v>1782.1101527436001</v>
      </c>
      <c r="K24" s="9">
        <f t="shared" si="3"/>
        <v>339.45652982611</v>
      </c>
      <c r="L24" s="10">
        <f t="shared" si="0"/>
        <v>0.19048010545448538</v>
      </c>
      <c r="M24" s="10">
        <f t="shared" si="4"/>
        <v>0.19050188630506834</v>
      </c>
      <c r="P24" s="8">
        <f t="shared" si="5"/>
        <v>16.790362885197109</v>
      </c>
    </row>
    <row r="25" spans="1:16" x14ac:dyDescent="0.2">
      <c r="A25" s="8">
        <v>11.5</v>
      </c>
      <c r="B25" s="8">
        <v>23</v>
      </c>
      <c r="D25">
        <v>1860.0718157182</v>
      </c>
      <c r="E25">
        <v>445.22628726287002</v>
      </c>
      <c r="F25">
        <v>135.91283459163</v>
      </c>
      <c r="G25">
        <v>116.5772134523</v>
      </c>
      <c r="I25" s="9">
        <f t="shared" si="1"/>
        <v>328.64907381057003</v>
      </c>
      <c r="J25" s="9">
        <f t="shared" si="2"/>
        <v>1724.1589811265701</v>
      </c>
      <c r="K25" s="9">
        <f t="shared" si="3"/>
        <v>328.64907381057003</v>
      </c>
      <c r="L25" s="10">
        <f t="shared" si="0"/>
        <v>0.19061413559196835</v>
      </c>
      <c r="M25" s="10">
        <f t="shared" si="4"/>
        <v>0.19063690648121417</v>
      </c>
      <c r="P25" s="8">
        <f t="shared" si="5"/>
        <v>16.873139259094227</v>
      </c>
    </row>
    <row r="26" spans="1:16" x14ac:dyDescent="0.2">
      <c r="A26" s="8">
        <v>12</v>
      </c>
      <c r="B26" s="8">
        <v>24</v>
      </c>
      <c r="D26">
        <v>1950.982841455</v>
      </c>
      <c r="E26">
        <v>458.24296499656998</v>
      </c>
      <c r="F26">
        <v>135.61358956761001</v>
      </c>
      <c r="G26">
        <v>116.49210706932</v>
      </c>
      <c r="I26" s="9">
        <f t="shared" si="1"/>
        <v>341.75085792724997</v>
      </c>
      <c r="J26" s="9">
        <f t="shared" si="2"/>
        <v>1815.36925188739</v>
      </c>
      <c r="K26" s="9">
        <f t="shared" si="3"/>
        <v>341.75085792724997</v>
      </c>
      <c r="L26" s="10">
        <f t="shared" si="0"/>
        <v>0.18825418441561734</v>
      </c>
      <c r="M26" s="10">
        <f t="shared" si="4"/>
        <v>0.18827794534352602</v>
      </c>
      <c r="P26" s="8">
        <f t="shared" si="5"/>
        <v>15.426938737691057</v>
      </c>
    </row>
    <row r="27" spans="1:16" x14ac:dyDescent="0.2">
      <c r="A27" s="8">
        <v>12.5</v>
      </c>
      <c r="B27" s="8">
        <v>25</v>
      </c>
      <c r="D27">
        <v>1963.4426904598999</v>
      </c>
      <c r="E27">
        <v>459.83733699381997</v>
      </c>
      <c r="F27">
        <v>136.11530542209999</v>
      </c>
      <c r="G27">
        <v>116.85243651338</v>
      </c>
      <c r="I27" s="9">
        <f t="shared" si="1"/>
        <v>342.98490048043999</v>
      </c>
      <c r="J27" s="9">
        <f t="shared" si="2"/>
        <v>1827.3273850378</v>
      </c>
      <c r="K27" s="9">
        <f t="shared" si="3"/>
        <v>342.98490048043999</v>
      </c>
      <c r="L27" s="10">
        <f t="shared" si="0"/>
        <v>0.1876975649184752</v>
      </c>
      <c r="M27" s="10">
        <f t="shared" si="4"/>
        <v>0.18772231588504673</v>
      </c>
      <c r="P27" s="8">
        <f t="shared" si="5"/>
        <v>15.086300818853953</v>
      </c>
    </row>
    <row r="28" spans="1:16" x14ac:dyDescent="0.2">
      <c r="A28" s="8">
        <v>13</v>
      </c>
      <c r="B28" s="8">
        <v>26</v>
      </c>
      <c r="D28">
        <v>1930.4227865477001</v>
      </c>
      <c r="E28">
        <v>446.14138641043002</v>
      </c>
      <c r="F28">
        <v>135.90940288263999</v>
      </c>
      <c r="G28">
        <v>116.56005490734</v>
      </c>
      <c r="I28" s="9">
        <f t="shared" si="1"/>
        <v>329.58133150309004</v>
      </c>
      <c r="J28" s="9">
        <f t="shared" si="2"/>
        <v>1794.51338366506</v>
      </c>
      <c r="K28" s="9">
        <f t="shared" si="3"/>
        <v>329.58133150309004</v>
      </c>
      <c r="L28" s="10">
        <f t="shared" si="0"/>
        <v>0.18366055918176719</v>
      </c>
      <c r="M28" s="10">
        <f t="shared" si="4"/>
        <v>0.18368630018700158</v>
      </c>
      <c r="P28" s="8">
        <f t="shared" si="5"/>
        <v>12.61195399149393</v>
      </c>
    </row>
    <row r="29" spans="1:16" x14ac:dyDescent="0.2">
      <c r="A29" s="8">
        <v>13.5</v>
      </c>
      <c r="B29" s="8">
        <v>27</v>
      </c>
      <c r="D29">
        <v>1903.1448181194</v>
      </c>
      <c r="E29">
        <v>439.71859986273</v>
      </c>
      <c r="F29">
        <v>135.71791352093001</v>
      </c>
      <c r="G29">
        <v>116.62937542896</v>
      </c>
      <c r="I29" s="9">
        <f t="shared" si="1"/>
        <v>323.08922443377003</v>
      </c>
      <c r="J29" s="9">
        <f t="shared" si="2"/>
        <v>1767.4269045984699</v>
      </c>
      <c r="K29" s="9">
        <f t="shared" si="3"/>
        <v>323.08922443377003</v>
      </c>
      <c r="L29" s="10">
        <f t="shared" si="0"/>
        <v>0.18280202909277909</v>
      </c>
      <c r="M29" s="10">
        <f t="shared" si="4"/>
        <v>0.18282876013667637</v>
      </c>
      <c r="P29" s="8">
        <f t="shared" si="5"/>
        <v>12.086224742253386</v>
      </c>
    </row>
    <row r="30" spans="1:16" x14ac:dyDescent="0.2">
      <c r="A30" s="8">
        <v>14</v>
      </c>
      <c r="B30" s="8">
        <v>28</v>
      </c>
      <c r="D30">
        <v>2025.4002741603999</v>
      </c>
      <c r="E30">
        <v>468.81220013708003</v>
      </c>
      <c r="F30">
        <v>135.71516815374</v>
      </c>
      <c r="G30">
        <v>116.71791352093</v>
      </c>
      <c r="I30" s="9">
        <f t="shared" si="1"/>
        <v>352.09428661615004</v>
      </c>
      <c r="J30" s="9">
        <f t="shared" si="2"/>
        <v>1889.6851060066599</v>
      </c>
      <c r="K30" s="9">
        <f t="shared" si="3"/>
        <v>352.09428661615004</v>
      </c>
      <c r="L30" s="10">
        <f t="shared" si="0"/>
        <v>0.18632431694411056</v>
      </c>
      <c r="M30" s="10">
        <f t="shared" si="4"/>
        <v>0.18635203802667069</v>
      </c>
      <c r="P30" s="8">
        <f t="shared" si="5"/>
        <v>14.246229093385528</v>
      </c>
    </row>
    <row r="31" spans="1:16" x14ac:dyDescent="0.2">
      <c r="A31" s="8">
        <v>14.5</v>
      </c>
      <c r="B31" s="8">
        <v>29</v>
      </c>
      <c r="D31">
        <v>2009.2734749829001</v>
      </c>
      <c r="E31">
        <v>462.41740918437</v>
      </c>
      <c r="F31">
        <v>136.11393273850001</v>
      </c>
      <c r="G31">
        <v>116.36032944406</v>
      </c>
      <c r="I31" s="9">
        <f t="shared" si="1"/>
        <v>346.05707974030997</v>
      </c>
      <c r="J31" s="9">
        <f t="shared" si="2"/>
        <v>1873.1595422444002</v>
      </c>
      <c r="K31" s="9">
        <f t="shared" si="3"/>
        <v>346.05707974030997</v>
      </c>
      <c r="L31" s="10">
        <f t="shared" si="0"/>
        <v>0.18474511750647143</v>
      </c>
      <c r="M31" s="10">
        <f t="shared" si="4"/>
        <v>0.18477382862769443</v>
      </c>
      <c r="P31" s="8">
        <f t="shared" si="5"/>
        <v>13.278681464381483</v>
      </c>
    </row>
    <row r="32" spans="1:16" x14ac:dyDescent="0.2">
      <c r="A32" s="8">
        <v>15</v>
      </c>
      <c r="B32" s="8">
        <v>30</v>
      </c>
      <c r="D32">
        <v>2076.1192597670001</v>
      </c>
      <c r="E32">
        <v>476.45305003427001</v>
      </c>
      <c r="F32">
        <v>135.88812628689001</v>
      </c>
      <c r="G32">
        <v>116.72614962250999</v>
      </c>
      <c r="I32" s="9">
        <f t="shared" si="1"/>
        <v>359.72690041176003</v>
      </c>
      <c r="J32" s="9">
        <f t="shared" si="2"/>
        <v>1940.2311334801102</v>
      </c>
      <c r="K32" s="9">
        <f t="shared" si="3"/>
        <v>359.72690041176003</v>
      </c>
      <c r="L32" s="10">
        <f t="shared" si="0"/>
        <v>0.18540414809576483</v>
      </c>
      <c r="M32" s="10">
        <f t="shared" si="4"/>
        <v>0.18543384925565068</v>
      </c>
      <c r="P32" s="8">
        <f t="shared" si="5"/>
        <v>13.683318133056169</v>
      </c>
    </row>
    <row r="33" spans="1:16" x14ac:dyDescent="0.2">
      <c r="A33" s="8">
        <v>15.5</v>
      </c>
      <c r="B33" s="8">
        <v>31</v>
      </c>
      <c r="D33">
        <v>2026.9856948229001</v>
      </c>
      <c r="E33">
        <v>460.49250681198998</v>
      </c>
      <c r="F33">
        <v>136.53671928621</v>
      </c>
      <c r="G33">
        <v>117.1139327385</v>
      </c>
      <c r="I33" s="9">
        <f t="shared" si="1"/>
        <v>343.37857407348997</v>
      </c>
      <c r="J33" s="9">
        <f t="shared" si="2"/>
        <v>1890.4489755366901</v>
      </c>
      <c r="K33" s="9">
        <f t="shared" si="3"/>
        <v>343.37857407348997</v>
      </c>
      <c r="L33" s="10">
        <f t="shared" si="0"/>
        <v>0.1816386363858386</v>
      </c>
      <c r="M33" s="10">
        <f t="shared" si="4"/>
        <v>0.18166932758438731</v>
      </c>
      <c r="P33" s="8">
        <f t="shared" si="5"/>
        <v>11.375415252913713</v>
      </c>
    </row>
    <row r="34" spans="1:16" x14ac:dyDescent="0.2">
      <c r="A34" s="8">
        <v>16</v>
      </c>
      <c r="B34" s="8">
        <v>32</v>
      </c>
      <c r="D34">
        <v>2043.5844686649</v>
      </c>
      <c r="E34">
        <v>461.88283378747002</v>
      </c>
      <c r="F34">
        <v>136.33699382291999</v>
      </c>
      <c r="G34">
        <v>116.83115991763999</v>
      </c>
      <c r="I34" s="9">
        <f t="shared" si="1"/>
        <v>345.05167386983004</v>
      </c>
      <c r="J34" s="9">
        <f t="shared" si="2"/>
        <v>1907.24747484198</v>
      </c>
      <c r="K34" s="9">
        <f t="shared" si="3"/>
        <v>345.05167386983004</v>
      </c>
      <c r="L34" s="10">
        <f t="shared" si="0"/>
        <v>0.18091604703706235</v>
      </c>
      <c r="M34" s="10">
        <f t="shared" si="4"/>
        <v>0.18094772827427391</v>
      </c>
      <c r="P34" s="8">
        <f t="shared" si="5"/>
        <v>10.933026744744861</v>
      </c>
    </row>
    <row r="35" spans="1:16" x14ac:dyDescent="0.2">
      <c r="A35" s="8">
        <v>16.5</v>
      </c>
      <c r="B35" s="8">
        <v>33</v>
      </c>
      <c r="D35">
        <v>2059.2397820164001</v>
      </c>
      <c r="E35">
        <v>462.30040871935</v>
      </c>
      <c r="F35">
        <v>136.16197666438001</v>
      </c>
      <c r="G35">
        <v>116.80851063830001</v>
      </c>
      <c r="I35" s="9">
        <f t="shared" si="1"/>
        <v>345.49189808105001</v>
      </c>
      <c r="J35" s="9">
        <f t="shared" si="2"/>
        <v>1923.0778053520201</v>
      </c>
      <c r="K35" s="9">
        <f t="shared" si="3"/>
        <v>345.49189808105001</v>
      </c>
      <c r="L35" s="10">
        <f t="shared" si="0"/>
        <v>0.17965570457915384</v>
      </c>
      <c r="M35" s="10">
        <f t="shared" si="4"/>
        <v>0.17968837585502828</v>
      </c>
      <c r="P35" s="8">
        <f t="shared" si="5"/>
        <v>10.160959712250943</v>
      </c>
    </row>
    <row r="36" spans="1:16" x14ac:dyDescent="0.2">
      <c r="A36" s="8">
        <v>17</v>
      </c>
      <c r="B36" s="8">
        <v>34</v>
      </c>
      <c r="D36">
        <v>2066.4584468664998</v>
      </c>
      <c r="E36">
        <v>463.26634877383998</v>
      </c>
      <c r="F36">
        <v>136.36032944406</v>
      </c>
      <c r="G36">
        <v>117.21139327385001</v>
      </c>
      <c r="I36" s="9">
        <f t="shared" si="1"/>
        <v>346.05495549999</v>
      </c>
      <c r="J36" s="9">
        <f t="shared" si="2"/>
        <v>1930.0981174224398</v>
      </c>
      <c r="K36" s="9">
        <f t="shared" si="3"/>
        <v>346.05495549999</v>
      </c>
      <c r="L36" s="10">
        <f t="shared" si="0"/>
        <v>0.17929397079674425</v>
      </c>
      <c r="M36" s="10">
        <f t="shared" si="4"/>
        <v>0.17932763211128155</v>
      </c>
      <c r="P36" s="8">
        <f t="shared" si="5"/>
        <v>9.9397997355288439</v>
      </c>
    </row>
    <row r="37" spans="1:16" x14ac:dyDescent="0.2">
      <c r="A37" s="8">
        <v>17.5</v>
      </c>
      <c r="B37" s="8">
        <v>35</v>
      </c>
      <c r="D37">
        <v>2010.4352542372999</v>
      </c>
      <c r="E37">
        <v>444.4413559322</v>
      </c>
      <c r="F37">
        <v>136.4612216884</v>
      </c>
      <c r="G37">
        <v>117.04186684969</v>
      </c>
      <c r="I37" s="9">
        <f t="shared" si="1"/>
        <v>327.39948908251</v>
      </c>
      <c r="J37" s="9">
        <f t="shared" si="2"/>
        <v>1873.9740325488999</v>
      </c>
      <c r="K37" s="9">
        <f t="shared" si="3"/>
        <v>327.39948908251</v>
      </c>
      <c r="L37" s="10">
        <f t="shared" si="0"/>
        <v>0.17470865838903601</v>
      </c>
      <c r="M37" s="10">
        <f t="shared" si="4"/>
        <v>0.17474330974223617</v>
      </c>
      <c r="P37" s="8">
        <f t="shared" si="5"/>
        <v>7.1293043464903159</v>
      </c>
    </row>
    <row r="38" spans="1:16" x14ac:dyDescent="0.2">
      <c r="A38" s="8">
        <v>18</v>
      </c>
      <c r="B38" s="8">
        <v>36</v>
      </c>
      <c r="D38">
        <v>1999.8657627119001</v>
      </c>
      <c r="E38">
        <v>440.73491525423998</v>
      </c>
      <c r="F38">
        <v>136.08853809197001</v>
      </c>
      <c r="G38">
        <v>116.80507892931</v>
      </c>
      <c r="I38" s="9">
        <f t="shared" si="1"/>
        <v>323.92983632492997</v>
      </c>
      <c r="J38" s="9">
        <f t="shared" si="2"/>
        <v>1863.7772246199302</v>
      </c>
      <c r="K38" s="9">
        <f t="shared" si="3"/>
        <v>323.92983632492997</v>
      </c>
      <c r="L38" s="10">
        <f t="shared" si="0"/>
        <v>0.17380287302898403</v>
      </c>
      <c r="M38" s="10">
        <f t="shared" si="4"/>
        <v>0.17383851442084705</v>
      </c>
      <c r="P38" s="8">
        <f t="shared" si="5"/>
        <v>6.5746044641351213</v>
      </c>
    </row>
    <row r="39" spans="1:16" x14ac:dyDescent="0.2">
      <c r="A39" s="8">
        <v>18.5</v>
      </c>
      <c r="B39" s="8">
        <v>37</v>
      </c>
      <c r="D39">
        <v>1983.7918644068</v>
      </c>
      <c r="E39">
        <v>434.89898305085001</v>
      </c>
      <c r="F39">
        <v>136.02127659575001</v>
      </c>
      <c r="G39">
        <v>117.04873026767</v>
      </c>
      <c r="I39" s="9">
        <f t="shared" si="1"/>
        <v>317.85025278318</v>
      </c>
      <c r="J39" s="9">
        <f t="shared" si="2"/>
        <v>1847.7705878110501</v>
      </c>
      <c r="K39" s="9">
        <f t="shared" si="3"/>
        <v>317.85025278318</v>
      </c>
      <c r="L39" s="10">
        <f t="shared" si="0"/>
        <v>0.17201824451579745</v>
      </c>
      <c r="M39" s="10">
        <f t="shared" si="4"/>
        <v>0.17205487594632332</v>
      </c>
      <c r="P39" s="8">
        <f t="shared" si="5"/>
        <v>5.4811151095885897</v>
      </c>
    </row>
    <row r="40" spans="1:16" x14ac:dyDescent="0.2">
      <c r="A40" s="8">
        <v>19</v>
      </c>
      <c r="B40" s="8">
        <v>38</v>
      </c>
      <c r="D40">
        <v>1966.6908474576001</v>
      </c>
      <c r="E40">
        <v>431.17288135592997</v>
      </c>
      <c r="F40">
        <v>136.22580645161</v>
      </c>
      <c r="G40">
        <v>116.89773507207001</v>
      </c>
      <c r="I40" s="9">
        <f t="shared" si="1"/>
        <v>314.27514628385995</v>
      </c>
      <c r="J40" s="9">
        <f t="shared" si="2"/>
        <v>1830.4650410059901</v>
      </c>
      <c r="K40" s="9">
        <f t="shared" si="3"/>
        <v>314.27514628385995</v>
      </c>
      <c r="L40" s="10">
        <f t="shared" si="0"/>
        <v>0.1716914222579963</v>
      </c>
      <c r="M40" s="10">
        <f t="shared" si="4"/>
        <v>0.17172904372718503</v>
      </c>
      <c r="P40" s="8">
        <f t="shared" si="5"/>
        <v>5.2813582260692824</v>
      </c>
    </row>
    <row r="41" spans="1:16" x14ac:dyDescent="0.2">
      <c r="A41" s="8">
        <v>19.5</v>
      </c>
      <c r="B41" s="8">
        <v>39</v>
      </c>
      <c r="D41">
        <v>1934.4128813559</v>
      </c>
      <c r="E41">
        <v>430.29694915253998</v>
      </c>
      <c r="F41">
        <v>136.66300617708001</v>
      </c>
      <c r="G41">
        <v>117.06451612903</v>
      </c>
      <c r="I41" s="9">
        <f t="shared" si="1"/>
        <v>313.23243302351</v>
      </c>
      <c r="J41" s="9">
        <f t="shared" si="2"/>
        <v>1797.74987517882</v>
      </c>
      <c r="K41" s="9">
        <f t="shared" si="3"/>
        <v>313.23243302351</v>
      </c>
      <c r="L41" s="10">
        <f t="shared" si="0"/>
        <v>0.17423582521030806</v>
      </c>
      <c r="M41" s="10">
        <f t="shared" si="4"/>
        <v>0.17427443671815968</v>
      </c>
      <c r="P41" s="8">
        <f t="shared" si="5"/>
        <v>6.8418539086438264</v>
      </c>
    </row>
    <row r="42" spans="1:16" x14ac:dyDescent="0.2">
      <c r="A42" s="8">
        <v>20</v>
      </c>
      <c r="B42" s="8">
        <v>40</v>
      </c>
      <c r="D42">
        <v>1962.9533287577001</v>
      </c>
      <c r="E42">
        <v>437.2292381606</v>
      </c>
      <c r="F42">
        <v>136.28208647906999</v>
      </c>
      <c r="G42">
        <v>117.10089224434</v>
      </c>
      <c r="I42" s="9">
        <f t="shared" si="1"/>
        <v>320.12834591626</v>
      </c>
      <c r="J42" s="9">
        <f t="shared" si="2"/>
        <v>1826.6712422786302</v>
      </c>
      <c r="K42" s="9">
        <f t="shared" si="3"/>
        <v>320.12834591626</v>
      </c>
      <c r="L42" s="10">
        <f t="shared" si="0"/>
        <v>0.17525230512575696</v>
      </c>
      <c r="M42" s="10">
        <f t="shared" si="4"/>
        <v>0.17529190667227143</v>
      </c>
      <c r="P42" s="8">
        <f t="shared" si="5"/>
        <v>7.4656308563177314</v>
      </c>
    </row>
    <row r="43" spans="1:16" x14ac:dyDescent="0.2">
      <c r="A43" s="8">
        <v>20.5</v>
      </c>
      <c r="B43" s="8">
        <v>41</v>
      </c>
      <c r="D43">
        <v>1939.4072059823</v>
      </c>
      <c r="E43">
        <v>427.73555404487001</v>
      </c>
      <c r="F43">
        <v>136.72546328070999</v>
      </c>
      <c r="G43">
        <v>116.81537405628001</v>
      </c>
      <c r="I43" s="9">
        <f t="shared" si="1"/>
        <v>310.92017998859001</v>
      </c>
      <c r="J43" s="9">
        <f t="shared" si="2"/>
        <v>1802.6817427015899</v>
      </c>
      <c r="K43" s="9">
        <f t="shared" si="3"/>
        <v>310.92017998859001</v>
      </c>
      <c r="L43" s="10">
        <f t="shared" si="0"/>
        <v>0.17247646804400943</v>
      </c>
      <c r="M43" s="10">
        <f t="shared" si="4"/>
        <v>0.17251705962918676</v>
      </c>
      <c r="P43" s="8">
        <f t="shared" si="5"/>
        <v>5.7644645350887487</v>
      </c>
    </row>
    <row r="44" spans="1:16" x14ac:dyDescent="0.2">
      <c r="A44" s="8">
        <v>21</v>
      </c>
      <c r="B44" s="8">
        <v>42</v>
      </c>
      <c r="D44">
        <v>1920.9619306594</v>
      </c>
      <c r="E44">
        <v>423.74575118966999</v>
      </c>
      <c r="F44">
        <v>136.46808510637999</v>
      </c>
      <c r="G44">
        <v>117.08991077557</v>
      </c>
      <c r="I44" s="9">
        <f t="shared" si="1"/>
        <v>306.6558404141</v>
      </c>
      <c r="J44" s="9">
        <f t="shared" si="2"/>
        <v>1784.49384555302</v>
      </c>
      <c r="K44" s="9">
        <f t="shared" si="3"/>
        <v>306.6558404141</v>
      </c>
      <c r="L44" s="10">
        <f t="shared" si="0"/>
        <v>0.17184471730081335</v>
      </c>
      <c r="M44" s="10">
        <f t="shared" si="4"/>
        <v>0.17188629892465354</v>
      </c>
      <c r="P44" s="8">
        <f t="shared" si="5"/>
        <v>5.3777661511253081</v>
      </c>
    </row>
    <row r="45" spans="1:16" x14ac:dyDescent="0.2">
      <c r="A45" s="8">
        <v>21.5</v>
      </c>
      <c r="B45" s="8">
        <v>43</v>
      </c>
      <c r="D45">
        <v>2040.5363698164999</v>
      </c>
      <c r="E45">
        <v>442.04758667572997</v>
      </c>
      <c r="F45">
        <v>136.38709677419001</v>
      </c>
      <c r="G45">
        <v>117.37474262182999</v>
      </c>
      <c r="I45" s="9">
        <f t="shared" si="1"/>
        <v>324.67284405390001</v>
      </c>
      <c r="J45" s="9">
        <f t="shared" si="2"/>
        <v>1904.1492730423099</v>
      </c>
      <c r="K45" s="9">
        <f t="shared" si="3"/>
        <v>324.67284405390001</v>
      </c>
      <c r="L45" s="10">
        <f t="shared" si="0"/>
        <v>0.17050808392514394</v>
      </c>
      <c r="M45" s="10">
        <f t="shared" si="4"/>
        <v>0.17055065558764698</v>
      </c>
      <c r="P45" s="8">
        <f t="shared" si="5"/>
        <v>4.5589276973979258</v>
      </c>
    </row>
    <row r="46" spans="1:16" x14ac:dyDescent="0.2">
      <c r="A46" s="8">
        <v>22</v>
      </c>
      <c r="B46" s="8">
        <v>44</v>
      </c>
      <c r="D46">
        <v>1959.4653532609</v>
      </c>
      <c r="E46">
        <v>429.0625</v>
      </c>
      <c r="F46">
        <v>136.77144818119001</v>
      </c>
      <c r="G46">
        <v>116.65614275909</v>
      </c>
      <c r="I46" s="9">
        <f t="shared" si="1"/>
        <v>312.40635724090998</v>
      </c>
      <c r="J46" s="9">
        <f t="shared" si="2"/>
        <v>1822.69390507971</v>
      </c>
      <c r="K46" s="9">
        <f t="shared" si="3"/>
        <v>312.40635724090998</v>
      </c>
      <c r="L46" s="10">
        <f t="shared" si="0"/>
        <v>0.17139814664999817</v>
      </c>
      <c r="M46" s="10">
        <f t="shared" si="4"/>
        <v>0.17144170835116407</v>
      </c>
      <c r="P46" s="8">
        <f t="shared" si="5"/>
        <v>5.1052024751414233</v>
      </c>
    </row>
    <row r="47" spans="1:16" x14ac:dyDescent="0.2">
      <c r="A47" s="8">
        <v>22.5</v>
      </c>
      <c r="B47" s="8">
        <v>45</v>
      </c>
      <c r="D47">
        <v>2017.59375</v>
      </c>
      <c r="E47">
        <v>435.72282608696003</v>
      </c>
      <c r="F47">
        <v>136.50514756349</v>
      </c>
      <c r="G47">
        <v>117.10295126973</v>
      </c>
      <c r="I47" s="9">
        <f t="shared" si="1"/>
        <v>318.61987481723003</v>
      </c>
      <c r="J47" s="9">
        <f t="shared" si="2"/>
        <v>1881.08860243651</v>
      </c>
      <c r="K47" s="9">
        <f t="shared" si="3"/>
        <v>318.61987481723003</v>
      </c>
      <c r="L47" s="10">
        <f t="shared" si="0"/>
        <v>0.16938057803578874</v>
      </c>
      <c r="M47" s="10">
        <f t="shared" si="4"/>
        <v>0.16942512977561752</v>
      </c>
      <c r="P47" s="8">
        <f t="shared" si="5"/>
        <v>3.8689053014355426</v>
      </c>
    </row>
    <row r="48" spans="1:16" x14ac:dyDescent="0.2">
      <c r="A48" s="8">
        <v>23</v>
      </c>
      <c r="B48" s="8">
        <v>46</v>
      </c>
      <c r="D48">
        <v>1951.78125</v>
      </c>
      <c r="E48">
        <v>417.21331521739</v>
      </c>
      <c r="F48">
        <v>136.85929993137</v>
      </c>
      <c r="G48">
        <v>117.14824982842001</v>
      </c>
      <c r="I48" s="9">
        <f t="shared" si="1"/>
        <v>300.06506538896997</v>
      </c>
      <c r="J48" s="9">
        <f t="shared" si="2"/>
        <v>1814.9219500686299</v>
      </c>
      <c r="K48" s="9">
        <f t="shared" si="3"/>
        <v>300.06506538896997</v>
      </c>
      <c r="L48" s="10">
        <f t="shared" si="0"/>
        <v>0.16533221463194228</v>
      </c>
      <c r="M48" s="10">
        <f t="shared" si="4"/>
        <v>0.16537775641043392</v>
      </c>
      <c r="P48" s="8">
        <f t="shared" si="5"/>
        <v>1.3875954665570325</v>
      </c>
    </row>
    <row r="49" spans="1:25" x14ac:dyDescent="0.2">
      <c r="A49" s="8">
        <v>23.5</v>
      </c>
      <c r="B49" s="8">
        <v>47</v>
      </c>
      <c r="D49">
        <v>1929.7404891304</v>
      </c>
      <c r="E49">
        <v>417.33491847826002</v>
      </c>
      <c r="F49">
        <v>136.75566231984001</v>
      </c>
      <c r="G49">
        <v>117.24776938916</v>
      </c>
      <c r="I49" s="9">
        <f t="shared" si="1"/>
        <v>300.08714908910002</v>
      </c>
      <c r="J49" s="9">
        <f t="shared" si="2"/>
        <v>1792.98482681056</v>
      </c>
      <c r="K49" s="9">
        <f t="shared" si="3"/>
        <v>300.08714908910002</v>
      </c>
      <c r="L49" s="10">
        <f t="shared" si="0"/>
        <v>0.16736736675173555</v>
      </c>
      <c r="M49" s="10">
        <f t="shared" si="4"/>
        <v>0.16741389856889005</v>
      </c>
      <c r="P49" s="8">
        <f t="shared" si="5"/>
        <v>2.6358864214881854</v>
      </c>
    </row>
    <row r="50" spans="1:25" x14ac:dyDescent="0.2">
      <c r="A50" s="8">
        <v>24</v>
      </c>
      <c r="B50" s="8">
        <v>48</v>
      </c>
      <c r="D50">
        <v>1907.1175271739</v>
      </c>
      <c r="E50">
        <v>413.55706521739</v>
      </c>
      <c r="F50">
        <v>136.20933424846001</v>
      </c>
      <c r="G50">
        <v>117.38846945778999</v>
      </c>
      <c r="I50" s="9">
        <f t="shared" si="1"/>
        <v>296.16859575960001</v>
      </c>
      <c r="J50" s="9">
        <f t="shared" si="2"/>
        <v>1770.9081929254401</v>
      </c>
      <c r="K50" s="9">
        <f t="shared" si="3"/>
        <v>296.16859575960001</v>
      </c>
      <c r="L50" s="10">
        <f t="shared" si="0"/>
        <v>0.16724107830251</v>
      </c>
      <c r="M50" s="10">
        <f t="shared" si="4"/>
        <v>0.16728860015832736</v>
      </c>
      <c r="P50" s="8">
        <f t="shared" si="5"/>
        <v>2.5590701383406222</v>
      </c>
    </row>
    <row r="51" spans="1:25" x14ac:dyDescent="0.2">
      <c r="A51" s="8">
        <v>24.5</v>
      </c>
      <c r="B51" s="8">
        <v>49</v>
      </c>
      <c r="D51">
        <v>1954.4753424657999</v>
      </c>
      <c r="E51">
        <v>416.18493150684998</v>
      </c>
      <c r="F51">
        <v>136.80439258750999</v>
      </c>
      <c r="G51">
        <v>117.25326012354</v>
      </c>
      <c r="I51" s="9">
        <f t="shared" si="1"/>
        <v>298.93167138331</v>
      </c>
      <c r="J51" s="9">
        <f t="shared" si="2"/>
        <v>1817.67094987829</v>
      </c>
      <c r="K51" s="9">
        <f t="shared" si="3"/>
        <v>298.93167138331</v>
      </c>
      <c r="L51" s="10">
        <f t="shared" si="0"/>
        <v>0.16445862844610365</v>
      </c>
      <c r="M51" s="10">
        <f t="shared" si="4"/>
        <v>0.16450714034058386</v>
      </c>
      <c r="P51" s="8">
        <f t="shared" si="5"/>
        <v>0.85384974517008638</v>
      </c>
    </row>
    <row r="52" spans="1:25" x14ac:dyDescent="0.2">
      <c r="A52" s="8">
        <v>25</v>
      </c>
      <c r="B52" s="8">
        <v>50</v>
      </c>
      <c r="D52">
        <v>1922.3657534247</v>
      </c>
      <c r="E52">
        <v>409.85547945206002</v>
      </c>
      <c r="F52">
        <v>136.95607412491</v>
      </c>
      <c r="G52">
        <v>117.04804392587999</v>
      </c>
      <c r="I52" s="9">
        <f t="shared" si="1"/>
        <v>292.80743552618003</v>
      </c>
      <c r="J52" s="9">
        <f t="shared" si="2"/>
        <v>1785.40967929979</v>
      </c>
      <c r="K52" s="9">
        <f t="shared" si="3"/>
        <v>292.80743552618003</v>
      </c>
      <c r="L52" s="10">
        <f t="shared" si="0"/>
        <v>0.16400013897147381</v>
      </c>
      <c r="M52" s="10">
        <f t="shared" si="4"/>
        <v>0.16404964090461688</v>
      </c>
      <c r="P52" s="8">
        <f t="shared" si="5"/>
        <v>0.57337207545928726</v>
      </c>
    </row>
    <row r="53" spans="1:25" x14ac:dyDescent="0.2">
      <c r="A53" s="8">
        <v>25.5</v>
      </c>
      <c r="B53" s="8">
        <v>51</v>
      </c>
      <c r="D53">
        <v>1987.2328581126999</v>
      </c>
      <c r="E53">
        <v>424</v>
      </c>
      <c r="F53">
        <v>136.67192862044999</v>
      </c>
      <c r="G53">
        <v>117.58956760466999</v>
      </c>
      <c r="I53" s="9">
        <f t="shared" si="1"/>
        <v>306.41043239533002</v>
      </c>
      <c r="J53" s="9">
        <f t="shared" si="2"/>
        <v>1850.5609294922499</v>
      </c>
      <c r="K53" s="9">
        <f t="shared" si="3"/>
        <v>306.41043239533002</v>
      </c>
      <c r="L53" s="10">
        <f t="shared" si="0"/>
        <v>0.165577056941001</v>
      </c>
      <c r="M53" s="10">
        <f t="shared" si="4"/>
        <v>0.16562754891280695</v>
      </c>
      <c r="P53" s="8">
        <f t="shared" si="5"/>
        <v>1.5407349318084669</v>
      </c>
      <c r="S53" s="11"/>
      <c r="U53" s="12"/>
    </row>
    <row r="54" spans="1:25" x14ac:dyDescent="0.2">
      <c r="A54" s="8">
        <v>26</v>
      </c>
      <c r="B54" s="8">
        <v>52</v>
      </c>
      <c r="D54">
        <v>2008.0108621859999</v>
      </c>
      <c r="E54">
        <v>429.03190767142002</v>
      </c>
      <c r="F54">
        <v>137.06108442004</v>
      </c>
      <c r="G54">
        <v>117.55936856555</v>
      </c>
      <c r="I54" s="9">
        <f t="shared" si="1"/>
        <v>311.47253910587</v>
      </c>
      <c r="J54" s="9">
        <f t="shared" si="2"/>
        <v>1870.9497777659599</v>
      </c>
      <c r="K54" s="9">
        <f t="shared" si="3"/>
        <v>311.47253910587</v>
      </c>
      <c r="L54" s="10">
        <f t="shared" si="0"/>
        <v>0.16647830038377043</v>
      </c>
      <c r="M54" s="10">
        <f t="shared" si="4"/>
        <v>0.16652978239423924</v>
      </c>
      <c r="P54" s="8">
        <f t="shared" si="5"/>
        <v>2.0938642353939918</v>
      </c>
      <c r="S54" s="11"/>
    </row>
    <row r="55" spans="1:25" x14ac:dyDescent="0.2">
      <c r="A55" s="8">
        <v>26.5</v>
      </c>
      <c r="B55" s="8">
        <v>53</v>
      </c>
      <c r="D55">
        <v>1947.6793478261</v>
      </c>
      <c r="E55">
        <v>414.62567934782999</v>
      </c>
      <c r="F55">
        <v>137.20247083046999</v>
      </c>
      <c r="G55">
        <v>117.5394646534</v>
      </c>
      <c r="I55" s="9">
        <f t="shared" si="1"/>
        <v>297.08621469443</v>
      </c>
      <c r="J55" s="9">
        <f t="shared" si="2"/>
        <v>1810.4768769956299</v>
      </c>
      <c r="K55" s="9">
        <f t="shared" si="3"/>
        <v>297.08621469443</v>
      </c>
      <c r="L55" s="10">
        <f t="shared" si="0"/>
        <v>0.16409279702451957</v>
      </c>
      <c r="M55" s="10">
        <f t="shared" si="4"/>
        <v>0.16414526907365123</v>
      </c>
      <c r="P55" s="8">
        <f t="shared" si="5"/>
        <v>0.63199852152861569</v>
      </c>
      <c r="S55" s="11"/>
    </row>
    <row r="56" spans="1:25" x14ac:dyDescent="0.2">
      <c r="A56" s="8">
        <v>27</v>
      </c>
      <c r="B56" s="8">
        <v>54</v>
      </c>
      <c r="D56">
        <v>1932.1494565216999</v>
      </c>
      <c r="E56">
        <v>410.32201086957002</v>
      </c>
      <c r="F56">
        <v>137.04392587509</v>
      </c>
      <c r="G56">
        <v>117.34042553192</v>
      </c>
      <c r="I56" s="9">
        <f t="shared" si="1"/>
        <v>292.98158533765002</v>
      </c>
      <c r="J56" s="9">
        <f t="shared" si="2"/>
        <v>1795.1055306466099</v>
      </c>
      <c r="K56" s="9">
        <f t="shared" si="3"/>
        <v>292.98158533765002</v>
      </c>
      <c r="L56" s="10">
        <f t="shared" si="0"/>
        <v>0.16321134347578772</v>
      </c>
      <c r="M56" s="10">
        <f t="shared" si="4"/>
        <v>0.16326480556358225</v>
      </c>
      <c r="P56" s="8">
        <f t="shared" si="5"/>
        <v>9.2215662457811029E-2</v>
      </c>
      <c r="S56" s="11"/>
    </row>
    <row r="57" spans="1:25" x14ac:dyDescent="0.2">
      <c r="A57" s="8">
        <v>27.5</v>
      </c>
      <c r="B57" s="8">
        <v>55</v>
      </c>
      <c r="D57">
        <v>1953.8272108844001</v>
      </c>
      <c r="E57">
        <v>420.27551020407998</v>
      </c>
      <c r="F57">
        <v>137.10912834592</v>
      </c>
      <c r="G57">
        <v>117.35003431709001</v>
      </c>
      <c r="I57" s="9">
        <f t="shared" si="1"/>
        <v>302.92547588698994</v>
      </c>
      <c r="J57" s="9">
        <f t="shared" si="2"/>
        <v>1816.7180825384801</v>
      </c>
      <c r="K57" s="9">
        <f t="shared" si="3"/>
        <v>302.92547588698994</v>
      </c>
      <c r="L57" s="10">
        <f t="shared" si="0"/>
        <v>0.16674324915823788</v>
      </c>
      <c r="M57" s="10">
        <f t="shared" si="4"/>
        <v>0.16679770128469526</v>
      </c>
      <c r="P57" s="8">
        <f t="shared" si="5"/>
        <v>2.2581163855803155</v>
      </c>
      <c r="S57" s="11"/>
    </row>
    <row r="58" spans="1:25" x14ac:dyDescent="0.2">
      <c r="A58" s="8">
        <v>28</v>
      </c>
      <c r="B58" s="8">
        <v>56</v>
      </c>
      <c r="D58">
        <v>2011.8190476191</v>
      </c>
      <c r="E58">
        <v>430.72312925170002</v>
      </c>
      <c r="F58">
        <v>137.22168840082</v>
      </c>
      <c r="G58">
        <v>117.43651338367</v>
      </c>
      <c r="I58" s="9">
        <f t="shared" si="1"/>
        <v>313.28661586803003</v>
      </c>
      <c r="J58" s="9">
        <f t="shared" si="2"/>
        <v>1874.59735921828</v>
      </c>
      <c r="K58" s="9">
        <f t="shared" si="3"/>
        <v>313.28661586803003</v>
      </c>
      <c r="L58" s="10">
        <f t="shared" si="0"/>
        <v>0.16712208321827185</v>
      </c>
      <c r="M58" s="10">
        <f t="shared" si="4"/>
        <v>0.16717752538339209</v>
      </c>
      <c r="P58" s="8">
        <f t="shared" si="5"/>
        <v>2.4909738925569558</v>
      </c>
      <c r="S58" s="11"/>
    </row>
    <row r="59" spans="1:25" x14ac:dyDescent="0.2">
      <c r="A59" s="8">
        <v>28.5</v>
      </c>
      <c r="B59" s="8">
        <v>57</v>
      </c>
      <c r="D59">
        <v>2000.6069958848</v>
      </c>
      <c r="E59">
        <v>424.46021947873999</v>
      </c>
      <c r="F59">
        <v>137.47288949897001</v>
      </c>
      <c r="G59">
        <v>117.61908030199</v>
      </c>
      <c r="I59" s="9">
        <f t="shared" si="1"/>
        <v>306.84113917675</v>
      </c>
      <c r="J59" s="9">
        <f t="shared" si="2"/>
        <v>1863.1341063858299</v>
      </c>
      <c r="K59" s="9">
        <f t="shared" si="3"/>
        <v>306.84113917675</v>
      </c>
      <c r="L59" s="10">
        <f t="shared" si="0"/>
        <v>0.16469084974885181</v>
      </c>
      <c r="M59" s="10">
        <f t="shared" si="4"/>
        <v>0.16474728195263494</v>
      </c>
      <c r="P59" s="8">
        <f t="shared" si="5"/>
        <v>1.0010725709344903</v>
      </c>
      <c r="R59" s="1"/>
      <c r="S59" s="11"/>
    </row>
    <row r="60" spans="1:25" x14ac:dyDescent="0.2">
      <c r="A60" s="8">
        <v>29</v>
      </c>
      <c r="B60" s="8">
        <v>58</v>
      </c>
      <c r="D60">
        <v>2008.6049382716001</v>
      </c>
      <c r="E60">
        <v>426.54938271604999</v>
      </c>
      <c r="F60">
        <v>137.28620452985999</v>
      </c>
      <c r="G60">
        <v>117.56348661634</v>
      </c>
      <c r="I60" s="9">
        <f t="shared" si="1"/>
        <v>308.98589609970998</v>
      </c>
      <c r="J60" s="9">
        <f t="shared" si="2"/>
        <v>1871.3187337417401</v>
      </c>
      <c r="K60" s="9">
        <f t="shared" si="3"/>
        <v>308.98589609970998</v>
      </c>
      <c r="L60" s="10">
        <f t="shared" si="0"/>
        <v>0.16511665839089121</v>
      </c>
      <c r="M60" s="10">
        <f t="shared" si="4"/>
        <v>0.16517408063333719</v>
      </c>
      <c r="P60" s="8">
        <f t="shared" si="5"/>
        <v>1.2627286299108105</v>
      </c>
      <c r="S60" s="11"/>
    </row>
    <row r="61" spans="1:25" x14ac:dyDescent="0.2">
      <c r="A61" s="8">
        <v>29.5</v>
      </c>
      <c r="B61" s="8">
        <v>59</v>
      </c>
      <c r="C61" s="2"/>
      <c r="D61">
        <v>1969.3170899108</v>
      </c>
      <c r="E61">
        <v>411.71448181194</v>
      </c>
      <c r="F61">
        <v>137.54221002059001</v>
      </c>
      <c r="G61">
        <v>117.64447494852</v>
      </c>
      <c r="I61" s="9">
        <f t="shared" si="1"/>
        <v>294.07000686342002</v>
      </c>
      <c r="J61" s="9">
        <f t="shared" si="2"/>
        <v>1831.7748798902098</v>
      </c>
      <c r="K61" s="9">
        <f t="shared" si="3"/>
        <v>294.07000686342002</v>
      </c>
      <c r="L61" s="10">
        <f t="shared" si="0"/>
        <v>0.16053828998956768</v>
      </c>
      <c r="M61" s="10">
        <f t="shared" si="4"/>
        <v>0.16059670227067652</v>
      </c>
      <c r="P61" s="8">
        <f t="shared" si="5"/>
        <v>-1.543509620044861</v>
      </c>
      <c r="S61" s="11"/>
    </row>
    <row r="62" spans="1:25" x14ac:dyDescent="0.2">
      <c r="A62" s="8">
        <v>30</v>
      </c>
      <c r="B62" s="8">
        <v>60</v>
      </c>
      <c r="D62">
        <v>1976.46945779</v>
      </c>
      <c r="E62">
        <v>410.17707618394002</v>
      </c>
      <c r="F62">
        <v>136.84969114619</v>
      </c>
      <c r="G62">
        <v>117.63143445436</v>
      </c>
      <c r="I62" s="9">
        <f t="shared" si="1"/>
        <v>292.54564172957998</v>
      </c>
      <c r="J62" s="9">
        <f t="shared" si="2"/>
        <v>1839.61976664381</v>
      </c>
      <c r="K62" s="9">
        <f t="shared" si="3"/>
        <v>292.54564172957998</v>
      </c>
      <c r="L62" s="10">
        <f t="shared" si="0"/>
        <v>0.1590250588920874</v>
      </c>
      <c r="M62" s="10">
        <f t="shared" si="4"/>
        <v>0.1590844612118591</v>
      </c>
      <c r="P62" s="8">
        <f t="shared" si="5"/>
        <v>-2.4706142564071016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1975.7007549760001</v>
      </c>
      <c r="E63">
        <v>409.08236101579001</v>
      </c>
      <c r="F63">
        <v>137.58201784489</v>
      </c>
      <c r="G63">
        <v>117.48592999314</v>
      </c>
      <c r="I63" s="9">
        <f t="shared" si="1"/>
        <v>291.59643102264999</v>
      </c>
      <c r="J63" s="9">
        <f t="shared" si="2"/>
        <v>1838.11873713111</v>
      </c>
      <c r="K63" s="9">
        <f t="shared" si="3"/>
        <v>291.59643102264999</v>
      </c>
      <c r="L63" s="10">
        <f t="shared" si="0"/>
        <v>0.15863851726889333</v>
      </c>
      <c r="M63" s="10">
        <f t="shared" si="4"/>
        <v>0.15869890962732788</v>
      </c>
      <c r="P63" s="8">
        <f t="shared" si="5"/>
        <v>-2.7069830942266626</v>
      </c>
    </row>
    <row r="64" spans="1:25" x14ac:dyDescent="0.2">
      <c r="A64" s="8">
        <v>31</v>
      </c>
      <c r="B64" s="8">
        <v>62</v>
      </c>
      <c r="D64">
        <v>1940.0603980782</v>
      </c>
      <c r="E64">
        <v>406.89842141385998</v>
      </c>
      <c r="F64">
        <v>137.29444063143001</v>
      </c>
      <c r="G64">
        <v>117.3445435827</v>
      </c>
      <c r="I64" s="9">
        <f t="shared" si="1"/>
        <v>289.55387783115998</v>
      </c>
      <c r="J64" s="9">
        <f t="shared" si="2"/>
        <v>1802.76595744677</v>
      </c>
      <c r="K64" s="9">
        <f t="shared" si="3"/>
        <v>289.55387783115998</v>
      </c>
      <c r="L64" s="10">
        <f t="shared" si="0"/>
        <v>0.16061645530585164</v>
      </c>
      <c r="M64" s="10">
        <f t="shared" si="4"/>
        <v>0.16067783770294905</v>
      </c>
      <c r="P64" s="8">
        <f t="shared" si="5"/>
        <v>-1.4937681882840126</v>
      </c>
      <c r="U64" s="8">
        <v>30.5</v>
      </c>
      <c r="V64" s="10">
        <f>L62</f>
        <v>0.1590250588920874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1935.4346938776</v>
      </c>
      <c r="E65">
        <v>409.72176870748001</v>
      </c>
      <c r="F65">
        <v>137.21962937543</v>
      </c>
      <c r="G65">
        <v>117.50720658888</v>
      </c>
      <c r="I65" s="9">
        <f t="shared" si="1"/>
        <v>292.21456211860004</v>
      </c>
      <c r="J65" s="9">
        <f t="shared" si="2"/>
        <v>1798.21506450217</v>
      </c>
      <c r="K65" s="9">
        <f t="shared" si="3"/>
        <v>292.21456211860004</v>
      </c>
      <c r="L65" s="10">
        <f t="shared" si="0"/>
        <v>0.16250256595392204</v>
      </c>
      <c r="M65" s="10">
        <f t="shared" si="4"/>
        <v>0.16256493838968233</v>
      </c>
      <c r="P65" s="8">
        <f t="shared" si="5"/>
        <v>-0.33684959666678477</v>
      </c>
      <c r="U65" s="8">
        <v>31</v>
      </c>
      <c r="V65" s="10">
        <f t="shared" ref="V65:V83" si="6">L63</f>
        <v>0.15863851726889333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1965.6935704514001</v>
      </c>
      <c r="E66">
        <v>418.34473324213002</v>
      </c>
      <c r="F66">
        <v>137.19148936170001</v>
      </c>
      <c r="G66">
        <v>117.17089910775999</v>
      </c>
      <c r="I66" s="9">
        <f t="shared" si="1"/>
        <v>301.17383413437005</v>
      </c>
      <c r="J66" s="9">
        <f t="shared" si="2"/>
        <v>1828.5020810897001</v>
      </c>
      <c r="K66" s="9">
        <f t="shared" si="3"/>
        <v>301.17383413437005</v>
      </c>
      <c r="L66" s="10">
        <f t="shared" ref="L66:L129" si="7">K66/J66</f>
        <v>0.16471068709688577</v>
      </c>
      <c r="M66" s="10">
        <f t="shared" si="4"/>
        <v>0.16477404957130892</v>
      </c>
      <c r="P66" s="8">
        <f t="shared" si="5"/>
        <v>1.0174829065964734</v>
      </c>
      <c r="U66" s="8">
        <v>31.5</v>
      </c>
      <c r="V66" s="10">
        <f t="shared" si="6"/>
        <v>0.16061645530585164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1973.5259917921001</v>
      </c>
      <c r="E67">
        <v>429.46374829001002</v>
      </c>
      <c r="F67">
        <v>137.68359643101999</v>
      </c>
      <c r="G67">
        <v>117.66575154426999</v>
      </c>
      <c r="I67" s="9">
        <f t="shared" ref="I67:I130" si="8">E67-G67</f>
        <v>311.79799674574002</v>
      </c>
      <c r="J67" s="9">
        <f t="shared" ref="J67:J130" si="9">D67-F67</f>
        <v>1835.84239536108</v>
      </c>
      <c r="K67" s="9">
        <f t="shared" ref="K67:K130" si="10">I67*1</f>
        <v>311.79799674574002</v>
      </c>
      <c r="L67" s="10">
        <f t="shared" si="7"/>
        <v>0.1698391961824231</v>
      </c>
      <c r="M67" s="10">
        <f t="shared" ref="M67:M130" si="11">L67+ABS($N$2)*A67</f>
        <v>0.16990354869550911</v>
      </c>
      <c r="P67" s="8">
        <f t="shared" ref="P67:P130" si="12">(M67-$O$2)/$O$2*100</f>
        <v>4.1622080101331633</v>
      </c>
      <c r="U67" s="8">
        <v>32</v>
      </c>
      <c r="V67" s="10">
        <f t="shared" si="6"/>
        <v>0.16250256595392204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1919.6427104723</v>
      </c>
      <c r="E68">
        <v>410.67351129362999</v>
      </c>
      <c r="F68">
        <v>137.23747426218</v>
      </c>
      <c r="G68">
        <v>117.83321894303</v>
      </c>
      <c r="I68" s="9">
        <f t="shared" si="8"/>
        <v>292.84029235059995</v>
      </c>
      <c r="J68" s="9">
        <f t="shared" si="9"/>
        <v>1782.4052362101199</v>
      </c>
      <c r="K68" s="9">
        <f t="shared" si="10"/>
        <v>292.84029235059995</v>
      </c>
      <c r="L68" s="10">
        <f t="shared" si="7"/>
        <v>0.16429501350279824</v>
      </c>
      <c r="M68" s="10">
        <f t="shared" si="11"/>
        <v>0.1643603560545471</v>
      </c>
      <c r="P68" s="8">
        <f t="shared" si="12"/>
        <v>0.76386118723725194</v>
      </c>
      <c r="U68" s="8">
        <v>32.5</v>
      </c>
      <c r="V68" s="10">
        <f t="shared" si="6"/>
        <v>0.16471068709688577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2007.2443531828001</v>
      </c>
      <c r="E69">
        <v>427.51882272415997</v>
      </c>
      <c r="F69">
        <v>137.76595744681001</v>
      </c>
      <c r="G69">
        <v>117.76389842141</v>
      </c>
      <c r="I69" s="9">
        <f t="shared" si="8"/>
        <v>309.75492430274994</v>
      </c>
      <c r="J69" s="9">
        <f t="shared" si="9"/>
        <v>1869.47839573599</v>
      </c>
      <c r="K69" s="9">
        <f t="shared" si="10"/>
        <v>309.75492430274994</v>
      </c>
      <c r="L69" s="10">
        <f t="shared" si="7"/>
        <v>0.16569056107268004</v>
      </c>
      <c r="M69" s="10">
        <f t="shared" si="11"/>
        <v>0.16575689366309176</v>
      </c>
      <c r="P69" s="8">
        <f t="shared" si="12"/>
        <v>1.6200318910987659</v>
      </c>
      <c r="U69" s="8">
        <v>33</v>
      </c>
      <c r="V69" s="10">
        <f t="shared" si="6"/>
        <v>0.1698391961824231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1968.6812885538</v>
      </c>
      <c r="E70">
        <v>412.37285812200003</v>
      </c>
      <c r="F70">
        <v>137.8455730954</v>
      </c>
      <c r="G70">
        <v>117.7309540151</v>
      </c>
      <c r="I70" s="9">
        <f t="shared" si="8"/>
        <v>294.64190410690003</v>
      </c>
      <c r="J70" s="9">
        <f t="shared" si="9"/>
        <v>1830.8357154584</v>
      </c>
      <c r="K70" s="9">
        <f t="shared" si="10"/>
        <v>294.64190410690003</v>
      </c>
      <c r="L70" s="10">
        <f t="shared" si="7"/>
        <v>0.16093301087537956</v>
      </c>
      <c r="M70" s="10">
        <f t="shared" si="11"/>
        <v>0.16100033350445414</v>
      </c>
      <c r="P70" s="8">
        <f t="shared" si="12"/>
        <v>-1.2960567513147401</v>
      </c>
      <c r="U70" s="8">
        <v>33.5</v>
      </c>
      <c r="V70" s="10">
        <f t="shared" si="6"/>
        <v>0.16429501350279824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1933.1357093900001</v>
      </c>
      <c r="E71">
        <v>405.26113776558998</v>
      </c>
      <c r="F71">
        <v>137.89498970487</v>
      </c>
      <c r="G71">
        <v>117.9224433768</v>
      </c>
      <c r="I71" s="9">
        <f t="shared" si="8"/>
        <v>287.33869438878997</v>
      </c>
      <c r="J71" s="9">
        <f t="shared" si="9"/>
        <v>1795.24071968513</v>
      </c>
      <c r="K71" s="9">
        <f t="shared" si="10"/>
        <v>287.33869438878997</v>
      </c>
      <c r="L71" s="10">
        <f t="shared" si="7"/>
        <v>0.16005580267764133</v>
      </c>
      <c r="M71" s="10">
        <f t="shared" si="11"/>
        <v>0.16012411534537879</v>
      </c>
      <c r="P71" s="8">
        <f t="shared" si="12"/>
        <v>-1.8332369270592082</v>
      </c>
      <c r="U71" s="8">
        <v>34</v>
      </c>
      <c r="V71" s="10">
        <f t="shared" si="6"/>
        <v>0.16569056107268004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1906.3091158328</v>
      </c>
      <c r="E72">
        <v>398.76490747087001</v>
      </c>
      <c r="F72">
        <v>137.72683596431</v>
      </c>
      <c r="G72">
        <v>118.00754975978001</v>
      </c>
      <c r="I72" s="9">
        <f t="shared" si="8"/>
        <v>280.75735771108998</v>
      </c>
      <c r="J72" s="9">
        <f t="shared" si="9"/>
        <v>1768.5822798684899</v>
      </c>
      <c r="K72" s="9">
        <f t="shared" si="10"/>
        <v>280.75735771108998</v>
      </c>
      <c r="L72" s="10">
        <f t="shared" si="7"/>
        <v>0.15874712808496919</v>
      </c>
      <c r="M72" s="10">
        <f t="shared" si="11"/>
        <v>0.15881643079136951</v>
      </c>
      <c r="P72" s="8">
        <f t="shared" si="12"/>
        <v>-2.6349347819431173</v>
      </c>
      <c r="U72" s="8">
        <v>34.5</v>
      </c>
      <c r="V72" s="10">
        <f t="shared" si="6"/>
        <v>0.16093301087537956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1890.1965870306999</v>
      </c>
      <c r="E73">
        <v>403.2976109215</v>
      </c>
      <c r="F73">
        <v>137.52573781743001</v>
      </c>
      <c r="G73">
        <v>117.84145504461</v>
      </c>
      <c r="I73" s="9">
        <f t="shared" si="8"/>
        <v>285.45615587688997</v>
      </c>
      <c r="J73" s="9">
        <f t="shared" si="9"/>
        <v>1752.6708492132698</v>
      </c>
      <c r="K73" s="9">
        <f t="shared" si="10"/>
        <v>285.45615587688997</v>
      </c>
      <c r="L73" s="10">
        <f t="shared" si="7"/>
        <v>0.16286923240893983</v>
      </c>
      <c r="M73" s="10">
        <f t="shared" si="11"/>
        <v>0.16293952515400301</v>
      </c>
      <c r="P73" s="8">
        <f t="shared" si="12"/>
        <v>-0.10720292499580089</v>
      </c>
      <c r="U73" s="8">
        <v>35</v>
      </c>
      <c r="V73" s="10">
        <f t="shared" si="6"/>
        <v>0.16005580267764133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1886.1693877550999</v>
      </c>
      <c r="E74">
        <v>406.05102040816001</v>
      </c>
      <c r="F74">
        <v>138.00960878518001</v>
      </c>
      <c r="G74">
        <v>117.57172271791001</v>
      </c>
      <c r="I74" s="9">
        <f t="shared" si="8"/>
        <v>288.47929769025001</v>
      </c>
      <c r="J74" s="9">
        <f t="shared" si="9"/>
        <v>1748.1597789699199</v>
      </c>
      <c r="K74" s="9">
        <f t="shared" si="10"/>
        <v>288.47929769025001</v>
      </c>
      <c r="L74" s="10">
        <f t="shared" si="7"/>
        <v>0.16501883933071188</v>
      </c>
      <c r="M74" s="10">
        <f t="shared" si="11"/>
        <v>0.16509012211443791</v>
      </c>
      <c r="P74" s="8">
        <f t="shared" si="12"/>
        <v>1.2112564577463414</v>
      </c>
      <c r="U74" s="8">
        <v>35.5</v>
      </c>
      <c r="V74" s="10">
        <f t="shared" si="6"/>
        <v>0.15874712808496919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1936.6823129252</v>
      </c>
      <c r="E75">
        <v>417.14965986394998</v>
      </c>
      <c r="F75">
        <v>137.72752230610999</v>
      </c>
      <c r="G75">
        <v>118.08304735758</v>
      </c>
      <c r="I75" s="9">
        <f t="shared" si="8"/>
        <v>299.06661250637001</v>
      </c>
      <c r="J75" s="9">
        <f t="shared" si="9"/>
        <v>1798.9547906190901</v>
      </c>
      <c r="K75" s="9">
        <f t="shared" si="10"/>
        <v>299.06661250637001</v>
      </c>
      <c r="L75" s="10">
        <f t="shared" si="7"/>
        <v>0.16624465165322447</v>
      </c>
      <c r="M75" s="10">
        <f t="shared" si="11"/>
        <v>0.16631692447561336</v>
      </c>
      <c r="P75" s="8">
        <f t="shared" si="12"/>
        <v>1.9633681335365325</v>
      </c>
      <c r="U75" s="8">
        <v>36</v>
      </c>
      <c r="V75" s="10">
        <f t="shared" si="6"/>
        <v>0.16286923240893983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1977.237414966</v>
      </c>
      <c r="E76">
        <v>424.78163265306</v>
      </c>
      <c r="F76">
        <v>137.72752230610999</v>
      </c>
      <c r="G76">
        <v>117.6932052162</v>
      </c>
      <c r="I76" s="9">
        <f t="shared" si="8"/>
        <v>307.08842743686</v>
      </c>
      <c r="J76" s="9">
        <f t="shared" si="9"/>
        <v>1839.5098926598901</v>
      </c>
      <c r="K76" s="9">
        <f t="shared" si="10"/>
        <v>307.08842743686</v>
      </c>
      <c r="L76" s="10">
        <f t="shared" si="7"/>
        <v>0.16694035115669698</v>
      </c>
      <c r="M76" s="10">
        <f t="shared" si="11"/>
        <v>0.16701361401774872</v>
      </c>
      <c r="P76" s="8">
        <f t="shared" si="12"/>
        <v>2.3904852924396791</v>
      </c>
      <c r="U76" s="8">
        <v>36.5</v>
      </c>
      <c r="V76" s="10">
        <f t="shared" si="6"/>
        <v>0.16501883933071188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1933.7608991826</v>
      </c>
      <c r="E77">
        <v>409.95708446867002</v>
      </c>
      <c r="F77">
        <v>137.88881262869</v>
      </c>
      <c r="G77">
        <v>117.91146190803001</v>
      </c>
      <c r="I77" s="9">
        <f t="shared" si="8"/>
        <v>292.04562256064003</v>
      </c>
      <c r="J77" s="9">
        <f t="shared" si="9"/>
        <v>1795.8720865539101</v>
      </c>
      <c r="K77" s="9">
        <f t="shared" si="10"/>
        <v>292.04562256064003</v>
      </c>
      <c r="L77" s="10">
        <f t="shared" si="7"/>
        <v>0.16262050329043473</v>
      </c>
      <c r="M77" s="10">
        <f t="shared" si="11"/>
        <v>0.16269475619014936</v>
      </c>
      <c r="P77" s="8">
        <f t="shared" si="12"/>
        <v>-0.25726262606207845</v>
      </c>
      <c r="U77" s="8">
        <v>37</v>
      </c>
      <c r="V77" s="10">
        <f t="shared" si="6"/>
        <v>0.16624465165322447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1861.1594005449999</v>
      </c>
      <c r="E78">
        <v>397.12057220707999</v>
      </c>
      <c r="F78">
        <v>138.24571036376</v>
      </c>
      <c r="G78">
        <v>117.91283459163</v>
      </c>
      <c r="I78" s="9">
        <f t="shared" si="8"/>
        <v>279.20773761545001</v>
      </c>
      <c r="J78" s="9">
        <f t="shared" si="9"/>
        <v>1722.9136901812399</v>
      </c>
      <c r="K78" s="9">
        <f t="shared" si="10"/>
        <v>279.20773761545001</v>
      </c>
      <c r="L78" s="10">
        <f t="shared" si="7"/>
        <v>0.16205555693627294</v>
      </c>
      <c r="M78" s="10">
        <f t="shared" si="11"/>
        <v>0.16213079987465043</v>
      </c>
      <c r="P78" s="8">
        <f t="shared" si="12"/>
        <v>-0.60300546365815544</v>
      </c>
      <c r="U78" s="8">
        <v>37.5</v>
      </c>
      <c r="V78" s="10">
        <f t="shared" si="6"/>
        <v>0.16694035115669698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1912.6324728261</v>
      </c>
      <c r="E79">
        <v>410.34986413043998</v>
      </c>
      <c r="F79">
        <v>137.61153054221001</v>
      </c>
      <c r="G79">
        <v>117.98352779683999</v>
      </c>
      <c r="I79" s="9">
        <f t="shared" si="8"/>
        <v>292.36633633359997</v>
      </c>
      <c r="J79" s="9">
        <f t="shared" si="9"/>
        <v>1775.02094228389</v>
      </c>
      <c r="K79" s="9">
        <f t="shared" si="10"/>
        <v>292.36633633359997</v>
      </c>
      <c r="L79" s="10">
        <f t="shared" si="7"/>
        <v>0.1647114855768502</v>
      </c>
      <c r="M79" s="10">
        <f t="shared" si="11"/>
        <v>0.16478771855389054</v>
      </c>
      <c r="P79" s="8">
        <f t="shared" si="12"/>
        <v>1.0258629046476349</v>
      </c>
      <c r="U79" s="8">
        <v>38</v>
      </c>
      <c r="V79" s="10">
        <f t="shared" si="6"/>
        <v>0.16262050329043473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1975.2601902173999</v>
      </c>
      <c r="E80">
        <v>422.81861413043998</v>
      </c>
      <c r="F80">
        <v>137.49142072751999</v>
      </c>
      <c r="G80">
        <v>117.90322580645</v>
      </c>
      <c r="I80" s="9">
        <f t="shared" si="8"/>
        <v>304.91538832398999</v>
      </c>
      <c r="J80" s="9">
        <f t="shared" si="9"/>
        <v>1837.76876948988</v>
      </c>
      <c r="K80" s="9">
        <f t="shared" si="10"/>
        <v>304.91538832398999</v>
      </c>
      <c r="L80" s="10">
        <f t="shared" si="7"/>
        <v>0.16591607898997385</v>
      </c>
      <c r="M80" s="10">
        <f t="shared" si="11"/>
        <v>0.16599330200567705</v>
      </c>
      <c r="P80" s="8">
        <f t="shared" si="12"/>
        <v>1.7649659736695225</v>
      </c>
      <c r="U80" s="8">
        <v>38.5</v>
      </c>
      <c r="V80" s="10">
        <f t="shared" si="6"/>
        <v>0.16205555693627294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1968.9267624914</v>
      </c>
      <c r="E81">
        <v>410.00136892539001</v>
      </c>
      <c r="F81">
        <v>138.30954015099999</v>
      </c>
      <c r="G81">
        <v>118.05284831845999</v>
      </c>
      <c r="I81" s="9">
        <f t="shared" si="8"/>
        <v>291.94852060693</v>
      </c>
      <c r="J81" s="9">
        <f t="shared" si="9"/>
        <v>1830.6172223404001</v>
      </c>
      <c r="K81" s="9">
        <f t="shared" si="10"/>
        <v>291.94852060693</v>
      </c>
      <c r="L81" s="10">
        <f t="shared" si="7"/>
        <v>0.15948092099433045</v>
      </c>
      <c r="M81" s="10">
        <f t="shared" si="11"/>
        <v>0.15955913404869651</v>
      </c>
      <c r="P81" s="8">
        <f t="shared" si="12"/>
        <v>-2.1796081464874821</v>
      </c>
      <c r="U81" s="8">
        <v>39</v>
      </c>
      <c r="V81" s="10">
        <f t="shared" si="6"/>
        <v>0.1647114855768502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1973.5633127995</v>
      </c>
      <c r="E82">
        <v>413.11498973305999</v>
      </c>
      <c r="F82">
        <v>137.88743994508999</v>
      </c>
      <c r="G82">
        <v>117.96636925189</v>
      </c>
      <c r="H82" s="13"/>
      <c r="I82" s="14">
        <f t="shared" si="8"/>
        <v>295.14862048116998</v>
      </c>
      <c r="J82" s="14">
        <f t="shared" si="9"/>
        <v>1835.67587285441</v>
      </c>
      <c r="K82" s="9">
        <f t="shared" si="10"/>
        <v>295.14862048116998</v>
      </c>
      <c r="L82" s="15">
        <f t="shared" si="7"/>
        <v>0.16078471414576281</v>
      </c>
      <c r="M82" s="15">
        <f t="shared" si="11"/>
        <v>0.16086391723879173</v>
      </c>
      <c r="N82" s="13"/>
      <c r="O82" s="13"/>
      <c r="P82" s="13">
        <f t="shared" si="12"/>
        <v>-1.3796890212054573</v>
      </c>
      <c r="U82" s="8">
        <v>39.5</v>
      </c>
      <c r="V82" s="10">
        <f t="shared" si="6"/>
        <v>0.16591607898997385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1915.3781398506001</v>
      </c>
      <c r="E83">
        <v>400.19280380177003</v>
      </c>
      <c r="F83">
        <v>137.77899794097999</v>
      </c>
      <c r="G83">
        <v>118.12903225807</v>
      </c>
      <c r="I83" s="9">
        <f t="shared" si="8"/>
        <v>282.0637715437</v>
      </c>
      <c r="J83" s="9">
        <f t="shared" si="9"/>
        <v>1777.5991419096201</v>
      </c>
      <c r="K83" s="9">
        <f t="shared" si="10"/>
        <v>282.0637715437</v>
      </c>
      <c r="L83" s="10">
        <f t="shared" si="7"/>
        <v>0.15867681576437281</v>
      </c>
      <c r="M83" s="10">
        <f t="shared" si="11"/>
        <v>0.15875700889606462</v>
      </c>
      <c r="P83" s="8">
        <f t="shared" si="12"/>
        <v>-2.6713643672379881</v>
      </c>
      <c r="U83" s="8">
        <v>40</v>
      </c>
      <c r="V83" s="10">
        <f t="shared" si="6"/>
        <v>0.15948092099433045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1919.4833672776999</v>
      </c>
      <c r="E84">
        <v>401.19619823490001</v>
      </c>
      <c r="F84">
        <v>138.19629375429</v>
      </c>
      <c r="G84">
        <v>118.21688400824</v>
      </c>
      <c r="I84" s="9">
        <f t="shared" si="8"/>
        <v>282.97931422665999</v>
      </c>
      <c r="J84" s="9">
        <f t="shared" si="9"/>
        <v>1781.2870735234098</v>
      </c>
      <c r="K84" s="9">
        <f t="shared" si="10"/>
        <v>282.97931422665999</v>
      </c>
      <c r="L84" s="10">
        <f t="shared" si="7"/>
        <v>0.15886227348347792</v>
      </c>
      <c r="M84" s="10">
        <f t="shared" si="11"/>
        <v>0.15894345665383258</v>
      </c>
      <c r="P84" s="8">
        <f t="shared" si="12"/>
        <v>-2.5570594555586297</v>
      </c>
      <c r="U84" s="8">
        <v>150.5</v>
      </c>
      <c r="V84" s="10">
        <f>L302</f>
        <v>0.16996610486525815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1918.6768292683</v>
      </c>
      <c r="E85">
        <v>406.46815718157001</v>
      </c>
      <c r="F85">
        <v>138.11873713109</v>
      </c>
      <c r="G85">
        <v>117.73781743308</v>
      </c>
      <c r="I85" s="9">
        <f t="shared" si="8"/>
        <v>288.73033974849</v>
      </c>
      <c r="J85" s="9">
        <f t="shared" si="9"/>
        <v>1780.55809213721</v>
      </c>
      <c r="K85" s="9">
        <f t="shared" si="10"/>
        <v>288.73033974849</v>
      </c>
      <c r="L85" s="10">
        <f t="shared" si="7"/>
        <v>0.16215721409118755</v>
      </c>
      <c r="M85" s="10">
        <f t="shared" si="11"/>
        <v>0.16223938730020507</v>
      </c>
      <c r="P85" s="8">
        <f t="shared" si="12"/>
        <v>-0.53643412895238263</v>
      </c>
      <c r="U85" s="8">
        <v>151</v>
      </c>
      <c r="V85" s="10">
        <f t="shared" ref="V85:V103" si="13">L303</f>
        <v>0.16910122805522429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1960.1352093343</v>
      </c>
      <c r="E86">
        <v>414.88332189430002</v>
      </c>
      <c r="F86">
        <v>137.52230610844001</v>
      </c>
      <c r="G86">
        <v>117.87508579273</v>
      </c>
      <c r="I86" s="9">
        <f t="shared" si="8"/>
        <v>297.00823610156999</v>
      </c>
      <c r="J86" s="9">
        <f t="shared" si="9"/>
        <v>1822.61290322586</v>
      </c>
      <c r="K86" s="9">
        <f t="shared" si="10"/>
        <v>297.00823610156999</v>
      </c>
      <c r="L86" s="10">
        <f t="shared" si="7"/>
        <v>0.16295738693383124</v>
      </c>
      <c r="M86" s="10">
        <f t="shared" si="11"/>
        <v>0.16304055018151162</v>
      </c>
      <c r="P86" s="8">
        <f t="shared" si="12"/>
        <v>-4.5267844708337092E-2</v>
      </c>
      <c r="U86" s="8">
        <v>151.5</v>
      </c>
      <c r="V86" s="10">
        <f t="shared" si="13"/>
        <v>0.1680732964191558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2015.7316403569</v>
      </c>
      <c r="E87">
        <v>426.26218256691999</v>
      </c>
      <c r="F87">
        <v>138.28689087165</v>
      </c>
      <c r="G87">
        <v>118.13589567605</v>
      </c>
      <c r="I87" s="9">
        <f t="shared" si="8"/>
        <v>308.12628689087001</v>
      </c>
      <c r="J87" s="9">
        <f t="shared" si="9"/>
        <v>1877.44474948525</v>
      </c>
      <c r="K87" s="9">
        <f t="shared" si="10"/>
        <v>308.12628689087001</v>
      </c>
      <c r="L87" s="10">
        <f t="shared" si="7"/>
        <v>0.1641200290849309</v>
      </c>
      <c r="M87" s="10">
        <f t="shared" si="11"/>
        <v>0.16420418237127413</v>
      </c>
      <c r="P87" s="8">
        <f t="shared" si="12"/>
        <v>0.66811630252067811</v>
      </c>
      <c r="U87" s="8">
        <v>152</v>
      </c>
      <c r="V87" s="10">
        <f t="shared" si="13"/>
        <v>0.17081690764954358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1932.8255494506</v>
      </c>
      <c r="E88">
        <v>406.75686813187002</v>
      </c>
      <c r="F88">
        <v>137.52367879203999</v>
      </c>
      <c r="G88">
        <v>117.87989018531</v>
      </c>
      <c r="I88" s="9">
        <f t="shared" si="8"/>
        <v>288.87697794656003</v>
      </c>
      <c r="J88" s="9">
        <f t="shared" si="9"/>
        <v>1795.3018706585599</v>
      </c>
      <c r="K88" s="9">
        <f t="shared" si="10"/>
        <v>288.87697794656003</v>
      </c>
      <c r="L88" s="10">
        <f t="shared" si="7"/>
        <v>0.16090718929657941</v>
      </c>
      <c r="M88" s="10">
        <f t="shared" si="11"/>
        <v>0.16099233262158549</v>
      </c>
      <c r="P88" s="8">
        <f t="shared" si="12"/>
        <v>-1.3009618261764919</v>
      </c>
      <c r="U88" s="8">
        <v>152.5</v>
      </c>
      <c r="V88" s="10">
        <f t="shared" si="13"/>
        <v>0.17032097482961339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1907.5143638851</v>
      </c>
      <c r="E89">
        <v>406.61491108070999</v>
      </c>
      <c r="F89">
        <v>137.99931365820001</v>
      </c>
      <c r="G89">
        <v>117.98833218943</v>
      </c>
      <c r="I89" s="9">
        <f t="shared" si="8"/>
        <v>288.62657889128002</v>
      </c>
      <c r="J89" s="9">
        <f t="shared" si="9"/>
        <v>1769.5150502269</v>
      </c>
      <c r="K89" s="9">
        <f t="shared" si="10"/>
        <v>288.62657889128002</v>
      </c>
      <c r="L89" s="10">
        <f t="shared" si="7"/>
        <v>0.16311055328648955</v>
      </c>
      <c r="M89" s="10">
        <f t="shared" si="11"/>
        <v>0.16319668665015852</v>
      </c>
      <c r="P89" s="8">
        <f t="shared" si="12"/>
        <v>5.0454224960216766E-2</v>
      </c>
      <c r="U89" s="8">
        <v>153</v>
      </c>
      <c r="V89" s="10">
        <f t="shared" si="13"/>
        <v>0.16744479550919128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1902.6887824897001</v>
      </c>
      <c r="E90">
        <v>410.09575923392998</v>
      </c>
      <c r="F90">
        <v>138.14824982842001</v>
      </c>
      <c r="G90">
        <v>118.28277282086999</v>
      </c>
      <c r="I90" s="9">
        <f t="shared" si="8"/>
        <v>291.81298641306</v>
      </c>
      <c r="J90" s="9">
        <f t="shared" si="9"/>
        <v>1764.5405326612802</v>
      </c>
      <c r="K90" s="9">
        <f t="shared" si="10"/>
        <v>291.81298641306</v>
      </c>
      <c r="L90" s="10">
        <f t="shared" si="7"/>
        <v>0.16537618774500332</v>
      </c>
      <c r="M90" s="10">
        <f t="shared" si="11"/>
        <v>0.16546331114733515</v>
      </c>
      <c r="P90" s="8">
        <f t="shared" si="12"/>
        <v>1.4400462268253076</v>
      </c>
      <c r="U90" s="8">
        <v>153.5</v>
      </c>
      <c r="V90" s="10">
        <f t="shared" si="13"/>
        <v>0.16627444762809537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1921.7581743869</v>
      </c>
      <c r="E91">
        <v>402.40667574932002</v>
      </c>
      <c r="F91">
        <v>138.03912148250001</v>
      </c>
      <c r="G91">
        <v>117.52230610844001</v>
      </c>
      <c r="I91" s="9">
        <f t="shared" si="8"/>
        <v>284.88436964087998</v>
      </c>
      <c r="J91" s="9">
        <f t="shared" si="9"/>
        <v>1783.7190529044001</v>
      </c>
      <c r="K91" s="9">
        <f t="shared" si="10"/>
        <v>284.88436964087998</v>
      </c>
      <c r="L91" s="10">
        <f t="shared" si="7"/>
        <v>0.15971369996693566</v>
      </c>
      <c r="M91" s="10">
        <f t="shared" si="11"/>
        <v>0.15980181340793034</v>
      </c>
      <c r="P91" s="8">
        <f t="shared" si="12"/>
        <v>-2.0308295124309206</v>
      </c>
      <c r="U91" s="8">
        <v>154</v>
      </c>
      <c r="V91" s="10">
        <f t="shared" si="13"/>
        <v>0.16430785736466466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1952.4931506849</v>
      </c>
      <c r="E92">
        <v>401.60068493150999</v>
      </c>
      <c r="F92">
        <v>138.25051475634999</v>
      </c>
      <c r="G92">
        <v>117.846945779</v>
      </c>
      <c r="I92" s="9">
        <f t="shared" si="8"/>
        <v>283.75373915250998</v>
      </c>
      <c r="J92" s="9">
        <f t="shared" si="9"/>
        <v>1814.24263592855</v>
      </c>
      <c r="K92" s="9">
        <f t="shared" si="10"/>
        <v>283.75373915250998</v>
      </c>
      <c r="L92" s="10">
        <f t="shared" si="7"/>
        <v>0.15640341238440889</v>
      </c>
      <c r="M92" s="10">
        <f t="shared" si="11"/>
        <v>0.15649251586406643</v>
      </c>
      <c r="P92" s="8">
        <f t="shared" si="12"/>
        <v>-4.0596496387787999</v>
      </c>
      <c r="U92" s="8">
        <v>154.5</v>
      </c>
      <c r="V92" s="10">
        <f t="shared" si="13"/>
        <v>0.16362016202199672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1867.4227365555</v>
      </c>
      <c r="E93">
        <v>386.69434989788999</v>
      </c>
      <c r="F93">
        <v>137.96156485930001</v>
      </c>
      <c r="G93">
        <v>118.05971173645</v>
      </c>
      <c r="I93" s="9">
        <f t="shared" si="8"/>
        <v>268.63463816143997</v>
      </c>
      <c r="J93" s="9">
        <f t="shared" si="9"/>
        <v>1729.4611716961999</v>
      </c>
      <c r="K93" s="9">
        <f t="shared" si="10"/>
        <v>268.63463816143997</v>
      </c>
      <c r="L93" s="10">
        <f t="shared" si="7"/>
        <v>0.15532851651012886</v>
      </c>
      <c r="M93" s="10">
        <f t="shared" si="11"/>
        <v>0.15541861002844926</v>
      </c>
      <c r="P93" s="8">
        <f t="shared" si="12"/>
        <v>-4.7180255461197422</v>
      </c>
      <c r="U93" s="8">
        <v>155</v>
      </c>
      <c r="V93" s="10">
        <f t="shared" si="13"/>
        <v>0.16245759549542882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1824.0374404357001</v>
      </c>
      <c r="E94">
        <v>379.66303607896998</v>
      </c>
      <c r="F94">
        <v>137.40082361015999</v>
      </c>
      <c r="G94">
        <v>117.99039121483</v>
      </c>
      <c r="I94" s="9">
        <f t="shared" si="8"/>
        <v>261.67264486414001</v>
      </c>
      <c r="J94" s="9">
        <f t="shared" si="9"/>
        <v>1686.6366168255402</v>
      </c>
      <c r="K94" s="9">
        <f t="shared" si="10"/>
        <v>261.67264486414001</v>
      </c>
      <c r="L94" s="10">
        <f t="shared" si="7"/>
        <v>0.15514464838113171</v>
      </c>
      <c r="M94" s="10">
        <f t="shared" si="11"/>
        <v>0.15523573193811496</v>
      </c>
      <c r="P94" s="8">
        <f t="shared" si="12"/>
        <v>-4.8301420135634858</v>
      </c>
      <c r="U94" s="8">
        <v>155.5</v>
      </c>
      <c r="V94" s="10">
        <f t="shared" si="13"/>
        <v>0.16195952805081476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1792.0816882233</v>
      </c>
      <c r="E95">
        <v>374.97549353302003</v>
      </c>
      <c r="F95">
        <v>137.86547700755</v>
      </c>
      <c r="G95">
        <v>118.25669183253</v>
      </c>
      <c r="I95" s="9">
        <f t="shared" si="8"/>
        <v>256.71880170049002</v>
      </c>
      <c r="J95" s="9">
        <f t="shared" si="9"/>
        <v>1654.21621121575</v>
      </c>
      <c r="K95" s="9">
        <f t="shared" si="10"/>
        <v>256.71880170049002</v>
      </c>
      <c r="L95" s="10">
        <f t="shared" si="7"/>
        <v>0.1551905971903256</v>
      </c>
      <c r="M95" s="10">
        <f t="shared" si="11"/>
        <v>0.15528267078597174</v>
      </c>
      <c r="P95" s="8">
        <f t="shared" si="12"/>
        <v>-4.8013653689804103</v>
      </c>
      <c r="U95" s="8">
        <v>156</v>
      </c>
      <c r="V95" s="10">
        <f t="shared" si="13"/>
        <v>0.16005754339028791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1818.4867256637001</v>
      </c>
      <c r="E96">
        <v>379.33900612662001</v>
      </c>
      <c r="F96">
        <v>137.57721345229999</v>
      </c>
      <c r="G96">
        <v>118.08167467398999</v>
      </c>
      <c r="I96" s="9">
        <f t="shared" si="8"/>
        <v>261.25733145263001</v>
      </c>
      <c r="J96" s="9">
        <f t="shared" si="9"/>
        <v>1680.9095122114002</v>
      </c>
      <c r="K96" s="9">
        <f t="shared" si="10"/>
        <v>261.25733145263001</v>
      </c>
      <c r="L96" s="10">
        <f t="shared" si="7"/>
        <v>0.15542617229223751</v>
      </c>
      <c r="M96" s="10">
        <f t="shared" si="11"/>
        <v>0.15551923592654651</v>
      </c>
      <c r="P96" s="8">
        <f t="shared" si="12"/>
        <v>-4.6563351587835893</v>
      </c>
      <c r="U96" s="8">
        <v>156.5</v>
      </c>
      <c r="V96" s="10">
        <f t="shared" si="13"/>
        <v>0.16069650281670794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1884.0423208191</v>
      </c>
      <c r="E97">
        <v>398.70375426621001</v>
      </c>
      <c r="F97">
        <v>137.97803706246</v>
      </c>
      <c r="G97">
        <v>118.27247769389</v>
      </c>
      <c r="I97" s="9">
        <f t="shared" si="8"/>
        <v>280.43127657232003</v>
      </c>
      <c r="J97" s="9">
        <f t="shared" si="9"/>
        <v>1746.06428375664</v>
      </c>
      <c r="K97" s="9">
        <f t="shared" si="10"/>
        <v>280.43127657232003</v>
      </c>
      <c r="L97" s="10">
        <f t="shared" si="7"/>
        <v>0.16060764725624815</v>
      </c>
      <c r="M97" s="10">
        <f t="shared" si="11"/>
        <v>0.16070170092922001</v>
      </c>
      <c r="P97" s="8">
        <f t="shared" si="12"/>
        <v>-1.4791384388896478</v>
      </c>
      <c r="U97" s="8">
        <v>157</v>
      </c>
      <c r="V97" s="10">
        <f t="shared" si="13"/>
        <v>0.16003139699540742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1879.8554794521001</v>
      </c>
      <c r="E98">
        <v>403.84178082192</v>
      </c>
      <c r="F98">
        <v>137.99039121483</v>
      </c>
      <c r="G98">
        <v>117.48387096774</v>
      </c>
      <c r="I98" s="9">
        <f t="shared" si="8"/>
        <v>286.35790985417998</v>
      </c>
      <c r="J98" s="9">
        <f t="shared" si="9"/>
        <v>1741.8650882372701</v>
      </c>
      <c r="K98" s="9">
        <f t="shared" si="10"/>
        <v>286.35790985417998</v>
      </c>
      <c r="L98" s="10">
        <f t="shared" si="7"/>
        <v>0.16439729562750924</v>
      </c>
      <c r="M98" s="10">
        <f t="shared" si="11"/>
        <v>0.16449233933914395</v>
      </c>
      <c r="P98" s="8">
        <f t="shared" si="12"/>
        <v>0.84477574405251465</v>
      </c>
      <c r="U98" s="8">
        <v>157.5</v>
      </c>
      <c r="V98" s="10">
        <f t="shared" si="13"/>
        <v>0.15891753634187747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1922.2143835616</v>
      </c>
      <c r="E99">
        <v>414.82945205480002</v>
      </c>
      <c r="F99">
        <v>137.90871654084</v>
      </c>
      <c r="G99">
        <v>117.62937542896</v>
      </c>
      <c r="I99" s="9">
        <f t="shared" si="8"/>
        <v>297.20007662583998</v>
      </c>
      <c r="J99" s="9">
        <f t="shared" si="9"/>
        <v>1784.30566702076</v>
      </c>
      <c r="K99" s="9">
        <f t="shared" si="10"/>
        <v>297.20007662583998</v>
      </c>
      <c r="L99" s="10">
        <f t="shared" si="7"/>
        <v>0.16656343255473285</v>
      </c>
      <c r="M99" s="10">
        <f t="shared" si="11"/>
        <v>0.16665946630503042</v>
      </c>
      <c r="P99" s="8">
        <f t="shared" si="12"/>
        <v>2.1733691226968896</v>
      </c>
      <c r="U99" s="8">
        <v>158</v>
      </c>
      <c r="V99" s="10">
        <f t="shared" si="13"/>
        <v>0.15860972048661412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1837.05</v>
      </c>
      <c r="E100">
        <v>396.35821917807999</v>
      </c>
      <c r="F100">
        <v>137.66506520247</v>
      </c>
      <c r="G100">
        <v>117.76389842141</v>
      </c>
      <c r="I100" s="9">
        <f t="shared" si="8"/>
        <v>278.59432075666996</v>
      </c>
      <c r="J100" s="9">
        <f t="shared" si="9"/>
        <v>1699.3849347975299</v>
      </c>
      <c r="K100" s="9">
        <f t="shared" si="10"/>
        <v>278.59432075666996</v>
      </c>
      <c r="L100" s="10">
        <f t="shared" si="7"/>
        <v>0.16393832559770372</v>
      </c>
      <c r="M100" s="10">
        <f t="shared" si="11"/>
        <v>0.16403534938666414</v>
      </c>
      <c r="P100" s="8">
        <f t="shared" si="12"/>
        <v>0.56461042170218245</v>
      </c>
      <c r="U100" s="8">
        <v>158.5</v>
      </c>
      <c r="V100" s="10">
        <f t="shared" si="13"/>
        <v>0.1564985949880896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1854.7493150685</v>
      </c>
      <c r="E101">
        <v>401.55068493150998</v>
      </c>
      <c r="F101">
        <v>138.11942347288999</v>
      </c>
      <c r="G101">
        <v>118.11050102951</v>
      </c>
      <c r="I101" s="9">
        <f t="shared" si="8"/>
        <v>283.44018390199994</v>
      </c>
      <c r="J101" s="9">
        <f t="shared" si="9"/>
        <v>1716.6298915956099</v>
      </c>
      <c r="K101" s="9">
        <f t="shared" si="10"/>
        <v>283.44018390199994</v>
      </c>
      <c r="L101" s="10">
        <f t="shared" si="7"/>
        <v>0.16511432387941347</v>
      </c>
      <c r="M101" s="10">
        <f t="shared" si="11"/>
        <v>0.16521233770703678</v>
      </c>
      <c r="P101" s="8">
        <f t="shared" si="12"/>
        <v>1.2861827678564342</v>
      </c>
      <c r="U101" s="8">
        <v>159</v>
      </c>
      <c r="V101" s="10">
        <f t="shared" si="13"/>
        <v>0.15745670823685226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1800.0884773662999</v>
      </c>
      <c r="E102">
        <v>393.42386831276002</v>
      </c>
      <c r="F102">
        <v>137.86684969115001</v>
      </c>
      <c r="G102">
        <v>117.75978037063</v>
      </c>
      <c r="I102" s="9">
        <f t="shared" si="8"/>
        <v>275.66408794213004</v>
      </c>
      <c r="J102" s="9">
        <f t="shared" si="9"/>
        <v>1662.2216276751499</v>
      </c>
      <c r="K102" s="9">
        <f t="shared" si="10"/>
        <v>275.66408794213004</v>
      </c>
      <c r="L102" s="10">
        <f t="shared" si="7"/>
        <v>0.16584075393585448</v>
      </c>
      <c r="M102" s="10">
        <f t="shared" si="11"/>
        <v>0.16593975780214065</v>
      </c>
      <c r="P102" s="8">
        <f t="shared" si="12"/>
        <v>1.7321398054739983</v>
      </c>
      <c r="U102" s="8">
        <v>159.5</v>
      </c>
      <c r="V102" s="10">
        <f t="shared" si="13"/>
        <v>0.15736136141885948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1826.1899862826001</v>
      </c>
      <c r="E103">
        <v>394.45061728395001</v>
      </c>
      <c r="F103">
        <v>138.09608785175001</v>
      </c>
      <c r="G103">
        <v>117.89704873027</v>
      </c>
      <c r="I103" s="9">
        <f t="shared" si="8"/>
        <v>276.55356855368001</v>
      </c>
      <c r="J103" s="9">
        <f t="shared" si="9"/>
        <v>1688.09389843085</v>
      </c>
      <c r="K103" s="9">
        <f t="shared" si="10"/>
        <v>276.55356855368001</v>
      </c>
      <c r="L103" s="10">
        <f t="shared" si="7"/>
        <v>0.16382593930986156</v>
      </c>
      <c r="M103" s="10">
        <f t="shared" si="11"/>
        <v>0.16392593321481058</v>
      </c>
      <c r="P103" s="8">
        <f t="shared" si="12"/>
        <v>0.49753101023733964</v>
      </c>
      <c r="U103" s="8">
        <v>160</v>
      </c>
      <c r="V103" s="10">
        <f t="shared" si="13"/>
        <v>0.15606725632657106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1874.9122085048</v>
      </c>
      <c r="E104">
        <v>404.20438957476</v>
      </c>
      <c r="F104">
        <v>138.24090597117001</v>
      </c>
      <c r="G104">
        <v>117.85724090597</v>
      </c>
      <c r="I104" s="9">
        <f t="shared" si="8"/>
        <v>286.34714866879</v>
      </c>
      <c r="J104" s="9">
        <f t="shared" si="9"/>
        <v>1736.6713025336301</v>
      </c>
      <c r="K104" s="9">
        <f t="shared" si="10"/>
        <v>286.34714866879</v>
      </c>
      <c r="L104" s="10">
        <f t="shared" si="7"/>
        <v>0.1648827548719427</v>
      </c>
      <c r="M104" s="10">
        <f t="shared" si="11"/>
        <v>0.16498373881555459</v>
      </c>
      <c r="P104" s="8">
        <f t="shared" si="12"/>
        <v>1.146036399706543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1897.0932784637</v>
      </c>
      <c r="E105">
        <v>404.98422496570998</v>
      </c>
      <c r="F105">
        <v>138.11599176390001</v>
      </c>
      <c r="G105">
        <v>117.69457789979</v>
      </c>
      <c r="I105" s="9">
        <f t="shared" si="8"/>
        <v>287.28964706592001</v>
      </c>
      <c r="J105" s="9">
        <f t="shared" si="9"/>
        <v>1758.9772866998001</v>
      </c>
      <c r="K105" s="9">
        <f t="shared" si="10"/>
        <v>287.28964706592001</v>
      </c>
      <c r="L105" s="10">
        <f t="shared" si="7"/>
        <v>0.16332766161235313</v>
      </c>
      <c r="M105" s="10">
        <f t="shared" si="11"/>
        <v>0.16342963559462786</v>
      </c>
      <c r="P105" s="8">
        <f t="shared" si="12"/>
        <v>0.19326746574215228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1890.2881587954</v>
      </c>
      <c r="E106">
        <v>407.69541409993002</v>
      </c>
      <c r="F106">
        <v>138.16197666438001</v>
      </c>
      <c r="G106">
        <v>117.63555250515</v>
      </c>
      <c r="I106" s="9">
        <f t="shared" si="8"/>
        <v>290.05986159478005</v>
      </c>
      <c r="J106" s="9">
        <f t="shared" si="9"/>
        <v>1752.12618213102</v>
      </c>
      <c r="K106" s="9">
        <f t="shared" si="10"/>
        <v>290.05986159478005</v>
      </c>
      <c r="L106" s="10">
        <f t="shared" si="7"/>
        <v>0.1655473587193334</v>
      </c>
      <c r="M106" s="10">
        <f t="shared" si="11"/>
        <v>0.165650322740271</v>
      </c>
      <c r="P106" s="8">
        <f t="shared" si="12"/>
        <v>1.5546968070706961</v>
      </c>
      <c r="X106" s="8">
        <v>-13</v>
      </c>
    </row>
    <row r="107" spans="1:25" x14ac:dyDescent="0.2">
      <c r="A107" s="8">
        <v>52.5</v>
      </c>
      <c r="B107" s="8">
        <v>105</v>
      </c>
      <c r="D107">
        <v>1977.7159479807999</v>
      </c>
      <c r="E107">
        <v>426.94387405885999</v>
      </c>
      <c r="F107">
        <v>137.89567604666999</v>
      </c>
      <c r="G107">
        <v>117.84351407001</v>
      </c>
      <c r="I107" s="9">
        <f t="shared" si="8"/>
        <v>309.10035998884996</v>
      </c>
      <c r="J107" s="9">
        <f t="shared" si="9"/>
        <v>1839.82027193413</v>
      </c>
      <c r="K107" s="9">
        <f t="shared" si="10"/>
        <v>309.10035998884996</v>
      </c>
      <c r="L107" s="10">
        <f t="shared" si="7"/>
        <v>0.16800573659507786</v>
      </c>
      <c r="M107" s="10">
        <f t="shared" si="11"/>
        <v>0.16810969065467835</v>
      </c>
      <c r="P107" s="8">
        <f t="shared" si="12"/>
        <v>3.0624533797897477</v>
      </c>
      <c r="X107" s="8">
        <v>-13</v>
      </c>
    </row>
    <row r="108" spans="1:25" x14ac:dyDescent="0.2">
      <c r="A108" s="8">
        <v>53</v>
      </c>
      <c r="B108" s="8">
        <v>106</v>
      </c>
      <c r="D108">
        <v>2016.4701441318</v>
      </c>
      <c r="E108">
        <v>435.47838023335999</v>
      </c>
      <c r="F108">
        <v>138.15648592999</v>
      </c>
      <c r="G108">
        <v>117.99382292382001</v>
      </c>
      <c r="I108" s="9">
        <f t="shared" si="8"/>
        <v>317.48455730953998</v>
      </c>
      <c r="J108" s="9">
        <f t="shared" si="9"/>
        <v>1878.3136582018101</v>
      </c>
      <c r="K108" s="9">
        <f t="shared" si="10"/>
        <v>317.48455730953998</v>
      </c>
      <c r="L108" s="10">
        <f t="shared" si="7"/>
        <v>0.16902637955232755</v>
      </c>
      <c r="M108" s="10">
        <f t="shared" si="11"/>
        <v>0.16913132365059089</v>
      </c>
      <c r="P108" s="8">
        <f t="shared" si="12"/>
        <v>3.6887825497647033</v>
      </c>
      <c r="X108" s="8">
        <v>-13</v>
      </c>
    </row>
    <row r="109" spans="1:25" x14ac:dyDescent="0.2">
      <c r="A109" s="8">
        <v>53.5</v>
      </c>
      <c r="B109" s="8">
        <v>107</v>
      </c>
      <c r="D109">
        <v>2003.4910714286</v>
      </c>
      <c r="E109">
        <v>431.38049450548999</v>
      </c>
      <c r="F109">
        <v>138.15374056280001</v>
      </c>
      <c r="G109">
        <v>117.9238160604</v>
      </c>
      <c r="I109" s="9">
        <f t="shared" si="8"/>
        <v>313.45667844509001</v>
      </c>
      <c r="J109" s="9">
        <f t="shared" si="9"/>
        <v>1865.3373308657999</v>
      </c>
      <c r="K109" s="9">
        <f t="shared" si="10"/>
        <v>313.45667844509001</v>
      </c>
      <c r="L109" s="10">
        <f t="shared" si="7"/>
        <v>0.16804289136249606</v>
      </c>
      <c r="M109" s="10">
        <f t="shared" si="11"/>
        <v>0.16814882549942226</v>
      </c>
      <c r="P109" s="8">
        <f t="shared" si="12"/>
        <v>3.0864456499333501</v>
      </c>
      <c r="X109" s="8">
        <v>-13</v>
      </c>
    </row>
    <row r="110" spans="1:25" x14ac:dyDescent="0.2">
      <c r="A110" s="8">
        <v>54</v>
      </c>
      <c r="B110" s="8">
        <v>108</v>
      </c>
      <c r="D110">
        <v>2021.2726648352</v>
      </c>
      <c r="E110">
        <v>445.6978021978</v>
      </c>
      <c r="F110">
        <v>138.40013726836</v>
      </c>
      <c r="G110">
        <v>117.87714481812</v>
      </c>
      <c r="I110" s="9">
        <f t="shared" si="8"/>
        <v>327.82065737968003</v>
      </c>
      <c r="J110" s="9">
        <f t="shared" si="9"/>
        <v>1882.8725275668401</v>
      </c>
      <c r="K110" s="9">
        <f t="shared" si="10"/>
        <v>327.82065737968003</v>
      </c>
      <c r="L110" s="10">
        <f t="shared" si="7"/>
        <v>0.17410666552308213</v>
      </c>
      <c r="M110" s="10">
        <f t="shared" si="11"/>
        <v>0.17421358969867118</v>
      </c>
      <c r="P110" s="8">
        <f t="shared" si="12"/>
        <v>6.8045506271678411</v>
      </c>
      <c r="X110" s="8">
        <v>-13</v>
      </c>
    </row>
    <row r="111" spans="1:25" x14ac:dyDescent="0.2">
      <c r="A111" s="8">
        <v>54.5</v>
      </c>
      <c r="B111" s="8">
        <v>109</v>
      </c>
      <c r="D111">
        <v>2003.2570253598001</v>
      </c>
      <c r="E111">
        <v>430.63605209047</v>
      </c>
      <c r="F111">
        <v>137.82498284146001</v>
      </c>
      <c r="G111">
        <v>117.85861358957</v>
      </c>
      <c r="I111" s="9">
        <f t="shared" si="8"/>
        <v>312.77743850090002</v>
      </c>
      <c r="J111" s="9">
        <f t="shared" si="9"/>
        <v>1865.43204251834</v>
      </c>
      <c r="K111" s="9">
        <f t="shared" si="10"/>
        <v>312.77743850090002</v>
      </c>
      <c r="L111" s="10">
        <f t="shared" si="7"/>
        <v>0.16767024012230933</v>
      </c>
      <c r="M111" s="10">
        <f t="shared" si="11"/>
        <v>0.16777815433656124</v>
      </c>
      <c r="P111" s="8">
        <f t="shared" si="12"/>
        <v>2.8591995031298967</v>
      </c>
      <c r="X111" s="8">
        <v>-13</v>
      </c>
    </row>
    <row r="112" spans="1:25" x14ac:dyDescent="0.2">
      <c r="A112" s="8">
        <v>55</v>
      </c>
      <c r="B112" s="8">
        <v>110</v>
      </c>
      <c r="D112">
        <v>1956.509252913</v>
      </c>
      <c r="E112">
        <v>422.75668265936002</v>
      </c>
      <c r="F112">
        <v>137.97117364447999</v>
      </c>
      <c r="G112">
        <v>118.00274536719</v>
      </c>
      <c r="I112" s="9">
        <f t="shared" si="8"/>
        <v>304.75393729217001</v>
      </c>
      <c r="J112" s="9">
        <f t="shared" si="9"/>
        <v>1818.5380792685201</v>
      </c>
      <c r="K112" s="9">
        <f t="shared" si="10"/>
        <v>304.75393729217001</v>
      </c>
      <c r="L112" s="10">
        <f t="shared" si="7"/>
        <v>0.16758182892422729</v>
      </c>
      <c r="M112" s="10">
        <f t="shared" si="11"/>
        <v>0.16769073317714206</v>
      </c>
      <c r="P112" s="8">
        <f t="shared" si="12"/>
        <v>2.805604501366711</v>
      </c>
      <c r="X112" s="8">
        <v>-13</v>
      </c>
    </row>
    <row r="113" spans="1:24" x14ac:dyDescent="0.2">
      <c r="A113" s="8">
        <v>55.5</v>
      </c>
      <c r="B113" s="8">
        <v>111</v>
      </c>
      <c r="D113">
        <v>1970.3643835616001</v>
      </c>
      <c r="E113">
        <v>427.95273972603002</v>
      </c>
      <c r="F113">
        <v>138.24090597117001</v>
      </c>
      <c r="G113">
        <v>118.01990391215</v>
      </c>
      <c r="I113" s="9">
        <f t="shared" si="8"/>
        <v>309.93283581388005</v>
      </c>
      <c r="J113" s="9">
        <f t="shared" si="9"/>
        <v>1832.1234775904302</v>
      </c>
      <c r="K113" s="9">
        <f t="shared" si="10"/>
        <v>309.93283581388005</v>
      </c>
      <c r="L113" s="10">
        <f t="shared" si="7"/>
        <v>0.16916591027014027</v>
      </c>
      <c r="M113" s="10">
        <f t="shared" si="11"/>
        <v>0.16927580456171792</v>
      </c>
      <c r="P113" s="8">
        <f t="shared" si="12"/>
        <v>3.7773589852415088</v>
      </c>
      <c r="X113" s="8">
        <v>-13</v>
      </c>
    </row>
    <row r="114" spans="1:24" x14ac:dyDescent="0.2">
      <c r="A114" s="8">
        <v>56</v>
      </c>
      <c r="B114" s="8">
        <v>112</v>
      </c>
      <c r="D114">
        <v>1989.2608695652</v>
      </c>
      <c r="E114">
        <v>431.77921195651999</v>
      </c>
      <c r="F114">
        <v>138.384351407</v>
      </c>
      <c r="G114">
        <v>117.88263555251</v>
      </c>
      <c r="I114" s="9">
        <f t="shared" si="8"/>
        <v>313.89657640400998</v>
      </c>
      <c r="J114" s="9">
        <f t="shared" si="9"/>
        <v>1850.8765181582</v>
      </c>
      <c r="K114" s="9">
        <f t="shared" si="10"/>
        <v>313.89657640400998</v>
      </c>
      <c r="L114" s="10">
        <f t="shared" si="7"/>
        <v>0.16959347278140804</v>
      </c>
      <c r="M114" s="10">
        <f t="shared" si="11"/>
        <v>0.16970435711164855</v>
      </c>
      <c r="P114" s="8">
        <f t="shared" si="12"/>
        <v>4.0400902830388619</v>
      </c>
      <c r="X114" s="8">
        <v>-13</v>
      </c>
    </row>
    <row r="115" spans="1:24" x14ac:dyDescent="0.2">
      <c r="A115" s="8">
        <v>56.5</v>
      </c>
      <c r="B115" s="8">
        <v>113</v>
      </c>
      <c r="D115">
        <v>2019.5040760869999</v>
      </c>
      <c r="E115">
        <v>439.234375</v>
      </c>
      <c r="F115">
        <v>138.50789293067999</v>
      </c>
      <c r="G115">
        <v>118.10638297872001</v>
      </c>
      <c r="I115" s="9">
        <f t="shared" si="8"/>
        <v>321.12799202127997</v>
      </c>
      <c r="J115" s="9">
        <f t="shared" si="9"/>
        <v>1880.9961831563201</v>
      </c>
      <c r="K115" s="9">
        <f t="shared" si="10"/>
        <v>321.12799202127997</v>
      </c>
      <c r="L115" s="10">
        <f t="shared" si="7"/>
        <v>0.17072229858671256</v>
      </c>
      <c r="M115" s="10">
        <f t="shared" si="11"/>
        <v>0.17083417295561593</v>
      </c>
      <c r="P115" s="8">
        <f t="shared" si="12"/>
        <v>4.7327427547266678</v>
      </c>
      <c r="X115" s="8">
        <v>-13</v>
      </c>
    </row>
    <row r="116" spans="1:24" x14ac:dyDescent="0.2">
      <c r="A116" s="8">
        <v>57</v>
      </c>
      <c r="B116" s="8">
        <v>114</v>
      </c>
      <c r="D116">
        <v>2038.9707880435001</v>
      </c>
      <c r="E116">
        <v>459.23233695651999</v>
      </c>
      <c r="F116">
        <v>138.36101578585999</v>
      </c>
      <c r="G116">
        <v>118.06108442004</v>
      </c>
      <c r="I116" s="9">
        <f t="shared" si="8"/>
        <v>341.17125253647998</v>
      </c>
      <c r="J116" s="9">
        <f t="shared" si="9"/>
        <v>1900.6097722576401</v>
      </c>
      <c r="K116" s="9">
        <f t="shared" si="10"/>
        <v>341.17125253647998</v>
      </c>
      <c r="L116" s="10">
        <f t="shared" si="7"/>
        <v>0.17950620770050002</v>
      </c>
      <c r="M116" s="10">
        <f t="shared" si="11"/>
        <v>0.17961907210806624</v>
      </c>
      <c r="P116" s="8">
        <f t="shared" si="12"/>
        <v>10.118471892765319</v>
      </c>
      <c r="X116" s="8">
        <v>-13</v>
      </c>
    </row>
    <row r="117" spans="1:24" x14ac:dyDescent="0.2">
      <c r="A117" s="8">
        <v>57.5</v>
      </c>
      <c r="B117" s="8">
        <v>115</v>
      </c>
      <c r="D117">
        <v>1997.5629274966</v>
      </c>
      <c r="E117">
        <v>437.41518467852001</v>
      </c>
      <c r="F117">
        <v>138.30130404942</v>
      </c>
      <c r="G117">
        <v>118.10501029513</v>
      </c>
      <c r="I117" s="9">
        <f t="shared" si="8"/>
        <v>319.31017438339001</v>
      </c>
      <c r="J117" s="9">
        <f t="shared" si="9"/>
        <v>1859.26162344718</v>
      </c>
      <c r="K117" s="9">
        <f t="shared" si="10"/>
        <v>319.31017438339001</v>
      </c>
      <c r="L117" s="10">
        <f t="shared" si="7"/>
        <v>0.17174031365815545</v>
      </c>
      <c r="M117" s="10">
        <f t="shared" si="11"/>
        <v>0.17185416810438453</v>
      </c>
      <c r="P117" s="8">
        <f t="shared" si="12"/>
        <v>5.3580678151570877</v>
      </c>
      <c r="X117" s="8">
        <v>-13</v>
      </c>
    </row>
    <row r="118" spans="1:24" x14ac:dyDescent="0.2">
      <c r="A118" s="8">
        <v>58</v>
      </c>
      <c r="B118" s="8">
        <v>116</v>
      </c>
      <c r="D118">
        <v>1981.9972640219</v>
      </c>
      <c r="E118">
        <v>436.72982216141997</v>
      </c>
      <c r="F118">
        <v>138.01509951956001</v>
      </c>
      <c r="G118">
        <v>118.34591626629999</v>
      </c>
      <c r="I118" s="9">
        <f t="shared" si="8"/>
        <v>318.38390589511999</v>
      </c>
      <c r="J118" s="9">
        <f t="shared" si="9"/>
        <v>1843.9821645023401</v>
      </c>
      <c r="K118" s="9">
        <f t="shared" si="10"/>
        <v>318.38390589511999</v>
      </c>
      <c r="L118" s="10">
        <f t="shared" si="7"/>
        <v>0.17266105498425277</v>
      </c>
      <c r="M118" s="10">
        <f t="shared" si="11"/>
        <v>0.17277589946914471</v>
      </c>
      <c r="P118" s="8">
        <f t="shared" si="12"/>
        <v>5.9231506217421108</v>
      </c>
      <c r="X118" s="8">
        <v>-13</v>
      </c>
    </row>
    <row r="119" spans="1:24" x14ac:dyDescent="0.2">
      <c r="A119" s="8">
        <v>58.5</v>
      </c>
      <c r="B119" s="8">
        <v>117</v>
      </c>
      <c r="D119">
        <v>1999.3146374829</v>
      </c>
      <c r="E119">
        <v>443.21545827633003</v>
      </c>
      <c r="F119">
        <v>138.43033630747999</v>
      </c>
      <c r="G119">
        <v>117.83253260124</v>
      </c>
      <c r="I119" s="9">
        <f t="shared" si="8"/>
        <v>325.38292567509001</v>
      </c>
      <c r="J119" s="9">
        <f t="shared" si="9"/>
        <v>1860.88430117542</v>
      </c>
      <c r="K119" s="9">
        <f t="shared" si="10"/>
        <v>325.38292567509001</v>
      </c>
      <c r="L119" s="10">
        <f t="shared" si="7"/>
        <v>0.17485392588328205</v>
      </c>
      <c r="M119" s="10">
        <f t="shared" si="11"/>
        <v>0.17496976040683687</v>
      </c>
      <c r="P119" s="8">
        <f t="shared" si="12"/>
        <v>7.2681337082739423</v>
      </c>
      <c r="X119" s="8">
        <v>-13</v>
      </c>
    </row>
    <row r="120" spans="1:24" x14ac:dyDescent="0.2">
      <c r="A120" s="8">
        <v>59</v>
      </c>
      <c r="B120" s="8">
        <v>118</v>
      </c>
      <c r="D120">
        <v>2005.9401767505001</v>
      </c>
      <c r="E120">
        <v>444.99932019034998</v>
      </c>
      <c r="F120">
        <v>138.02264927933999</v>
      </c>
      <c r="G120">
        <v>117.79066575154</v>
      </c>
      <c r="I120" s="9">
        <f t="shared" si="8"/>
        <v>327.20865443880996</v>
      </c>
      <c r="J120" s="9">
        <f t="shared" si="9"/>
        <v>1867.9175274711602</v>
      </c>
      <c r="K120" s="9">
        <f t="shared" si="10"/>
        <v>327.20865443880996</v>
      </c>
      <c r="L120" s="10">
        <f t="shared" si="7"/>
        <v>0.17517296648626363</v>
      </c>
      <c r="M120" s="10">
        <f t="shared" si="11"/>
        <v>0.1752897910484813</v>
      </c>
      <c r="P120" s="8">
        <f t="shared" si="12"/>
        <v>7.4643338378211173</v>
      </c>
      <c r="X120" s="8">
        <v>-13</v>
      </c>
    </row>
    <row r="121" spans="1:24" x14ac:dyDescent="0.2">
      <c r="A121" s="8">
        <v>59.5</v>
      </c>
      <c r="B121" s="8">
        <v>119</v>
      </c>
      <c r="D121">
        <v>2032.4781420765</v>
      </c>
      <c r="E121">
        <v>459.92076502731999</v>
      </c>
      <c r="F121">
        <v>138.00068634179999</v>
      </c>
      <c r="G121">
        <v>117.87783115992001</v>
      </c>
      <c r="I121" s="9">
        <f t="shared" si="8"/>
        <v>342.0429338674</v>
      </c>
      <c r="J121" s="9">
        <f t="shared" si="9"/>
        <v>1894.4774557347</v>
      </c>
      <c r="K121" s="9">
        <f t="shared" si="10"/>
        <v>342.0429338674</v>
      </c>
      <c r="L121" s="10">
        <f t="shared" si="7"/>
        <v>0.18054737618123401</v>
      </c>
      <c r="M121" s="10">
        <f t="shared" si="11"/>
        <v>0.18066519078211454</v>
      </c>
      <c r="P121" s="8">
        <f t="shared" si="12"/>
        <v>10.759812416645643</v>
      </c>
      <c r="X121" s="8">
        <v>-13</v>
      </c>
    </row>
    <row r="122" spans="1:24" x14ac:dyDescent="0.2">
      <c r="A122" s="8">
        <v>60</v>
      </c>
      <c r="B122" s="8">
        <v>120</v>
      </c>
      <c r="D122">
        <v>2042.6475409836</v>
      </c>
      <c r="E122">
        <v>466.67622950819998</v>
      </c>
      <c r="F122">
        <v>138.07069320522001</v>
      </c>
      <c r="G122">
        <v>118</v>
      </c>
      <c r="I122" s="9">
        <f t="shared" si="8"/>
        <v>348.67622950819998</v>
      </c>
      <c r="J122" s="9">
        <f t="shared" si="9"/>
        <v>1904.5768477783799</v>
      </c>
      <c r="K122" s="9">
        <f t="shared" si="10"/>
        <v>348.67622950819998</v>
      </c>
      <c r="L122" s="10">
        <f t="shared" si="7"/>
        <v>0.18307280691504688</v>
      </c>
      <c r="M122" s="10">
        <f t="shared" si="11"/>
        <v>0.18319161155459027</v>
      </c>
      <c r="P122" s="8">
        <f t="shared" si="12"/>
        <v>12.30867686382298</v>
      </c>
      <c r="X122" s="8">
        <v>-13</v>
      </c>
    </row>
    <row r="123" spans="1:24" x14ac:dyDescent="0.2">
      <c r="A123" s="8">
        <v>60.5</v>
      </c>
      <c r="B123" s="8">
        <v>121</v>
      </c>
      <c r="D123">
        <v>2060.9118852459001</v>
      </c>
      <c r="E123">
        <v>488.01092896174998</v>
      </c>
      <c r="F123">
        <v>137.84076870281001</v>
      </c>
      <c r="G123">
        <v>118.08716540837</v>
      </c>
      <c r="I123" s="9">
        <f t="shared" si="8"/>
        <v>369.92376355338001</v>
      </c>
      <c r="J123" s="9">
        <f t="shared" si="9"/>
        <v>1923.0711165430901</v>
      </c>
      <c r="K123" s="9">
        <f t="shared" si="10"/>
        <v>369.92376355338001</v>
      </c>
      <c r="L123" s="10">
        <f t="shared" si="7"/>
        <v>0.19236093786191041</v>
      </c>
      <c r="M123" s="10">
        <f t="shared" si="11"/>
        <v>0.19248073254011666</v>
      </c>
      <c r="P123" s="8">
        <f t="shared" si="12"/>
        <v>18.003527617409791</v>
      </c>
      <c r="X123" s="8">
        <v>-13</v>
      </c>
    </row>
    <row r="124" spans="1:24" x14ac:dyDescent="0.2">
      <c r="A124" s="8">
        <v>61</v>
      </c>
      <c r="B124" s="8">
        <v>122</v>
      </c>
      <c r="D124">
        <v>2028.756147541</v>
      </c>
      <c r="E124">
        <v>470.32581967213002</v>
      </c>
      <c r="F124">
        <v>137.81400137268</v>
      </c>
      <c r="G124">
        <v>117.53328757721</v>
      </c>
      <c r="I124" s="9">
        <f t="shared" si="8"/>
        <v>352.79253209492003</v>
      </c>
      <c r="J124" s="9">
        <f t="shared" si="9"/>
        <v>1890.9421461683201</v>
      </c>
      <c r="K124" s="9">
        <f t="shared" si="10"/>
        <v>352.79253209492003</v>
      </c>
      <c r="L124" s="10">
        <f t="shared" si="7"/>
        <v>0.18656971225153315</v>
      </c>
      <c r="M124" s="10">
        <f t="shared" si="11"/>
        <v>0.18669049696840226</v>
      </c>
      <c r="P124" s="8">
        <f t="shared" si="12"/>
        <v>14.453727000063829</v>
      </c>
      <c r="X124" s="8">
        <v>-13</v>
      </c>
    </row>
    <row r="125" spans="1:24" x14ac:dyDescent="0.2">
      <c r="A125" s="8">
        <v>61.5</v>
      </c>
      <c r="B125" s="8">
        <v>123</v>
      </c>
      <c r="D125">
        <v>2074.6618852459001</v>
      </c>
      <c r="E125">
        <v>482.00887978141998</v>
      </c>
      <c r="F125">
        <v>138.11530542209999</v>
      </c>
      <c r="G125">
        <v>118.35552505148</v>
      </c>
      <c r="I125" s="9">
        <f t="shared" si="8"/>
        <v>363.65335472993996</v>
      </c>
      <c r="J125" s="9">
        <f t="shared" si="9"/>
        <v>1936.5465798238001</v>
      </c>
      <c r="K125" s="9">
        <f t="shared" si="10"/>
        <v>363.65335472993996</v>
      </c>
      <c r="L125" s="10">
        <f t="shared" si="7"/>
        <v>0.18778446050237921</v>
      </c>
      <c r="M125" s="10">
        <f t="shared" si="11"/>
        <v>0.1879062352579112</v>
      </c>
      <c r="P125" s="8">
        <f t="shared" si="12"/>
        <v>15.199055661942806</v>
      </c>
      <c r="X125" s="8">
        <v>-13</v>
      </c>
    </row>
    <row r="126" spans="1:24" x14ac:dyDescent="0.2">
      <c r="A126" s="8">
        <v>62</v>
      </c>
      <c r="B126" s="8">
        <v>124</v>
      </c>
      <c r="D126">
        <v>2091.0089041095998</v>
      </c>
      <c r="E126">
        <v>468.39109589040999</v>
      </c>
      <c r="F126">
        <v>138.23747426218</v>
      </c>
      <c r="G126">
        <v>117.75428963624</v>
      </c>
      <c r="I126" s="9">
        <f t="shared" si="8"/>
        <v>350.63680625416998</v>
      </c>
      <c r="J126" s="9">
        <f t="shared" si="9"/>
        <v>1952.7714298474198</v>
      </c>
      <c r="K126" s="9">
        <f t="shared" si="10"/>
        <v>350.63680625416998</v>
      </c>
      <c r="L126" s="10">
        <f t="shared" si="7"/>
        <v>0.17955854991260656</v>
      </c>
      <c r="M126" s="10">
        <f t="shared" si="11"/>
        <v>0.1796813147068014</v>
      </c>
      <c r="P126" s="8">
        <f t="shared" si="12"/>
        <v>10.156630757405411</v>
      </c>
      <c r="X126" s="8">
        <v>-13</v>
      </c>
    </row>
    <row r="127" spans="1:24" x14ac:dyDescent="0.2">
      <c r="A127" s="8">
        <v>62.5</v>
      </c>
      <c r="B127" s="8">
        <v>125</v>
      </c>
      <c r="D127">
        <v>2043.2135061392</v>
      </c>
      <c r="E127">
        <v>448.93792633014999</v>
      </c>
      <c r="F127">
        <v>137.70487302677</v>
      </c>
      <c r="G127">
        <v>118.19629375429</v>
      </c>
      <c r="I127" s="9">
        <f t="shared" si="8"/>
        <v>330.74163257585997</v>
      </c>
      <c r="J127" s="9">
        <f t="shared" si="9"/>
        <v>1905.5086331124301</v>
      </c>
      <c r="K127" s="9">
        <f t="shared" si="10"/>
        <v>330.74163257585997</v>
      </c>
      <c r="L127" s="10">
        <f t="shared" si="7"/>
        <v>0.17357131152726996</v>
      </c>
      <c r="M127" s="10">
        <f t="shared" si="11"/>
        <v>0.17369506636012766</v>
      </c>
      <c r="P127" s="8">
        <f t="shared" si="12"/>
        <v>6.4866612348498904</v>
      </c>
      <c r="X127" s="8">
        <v>-13</v>
      </c>
    </row>
    <row r="128" spans="1:24" x14ac:dyDescent="0.2">
      <c r="A128" s="8">
        <v>63</v>
      </c>
      <c r="B128" s="8">
        <v>126</v>
      </c>
      <c r="D128">
        <v>1997.8621399177</v>
      </c>
      <c r="E128">
        <v>436.16529492454998</v>
      </c>
      <c r="F128">
        <v>138.21894303363001</v>
      </c>
      <c r="G128">
        <v>117.77693891558</v>
      </c>
      <c r="I128" s="9">
        <f t="shared" si="8"/>
        <v>318.38835600896999</v>
      </c>
      <c r="J128" s="9">
        <f t="shared" si="9"/>
        <v>1859.64319688407</v>
      </c>
      <c r="K128" s="9">
        <f t="shared" si="10"/>
        <v>318.38835600896999</v>
      </c>
      <c r="L128" s="10">
        <f t="shared" si="7"/>
        <v>0.17120937852080789</v>
      </c>
      <c r="M128" s="10">
        <f t="shared" si="11"/>
        <v>0.17133412339232845</v>
      </c>
      <c r="P128" s="8">
        <f t="shared" si="12"/>
        <v>5.0392457193994922</v>
      </c>
      <c r="X128" s="8">
        <v>-13</v>
      </c>
    </row>
    <row r="129" spans="1:24" x14ac:dyDescent="0.2">
      <c r="A129" s="8">
        <v>63.5</v>
      </c>
      <c r="B129" s="8">
        <v>127</v>
      </c>
      <c r="D129">
        <v>2009.5747599450999</v>
      </c>
      <c r="E129">
        <v>437.33264746228002</v>
      </c>
      <c r="F129">
        <v>138.65065202471001</v>
      </c>
      <c r="G129">
        <v>117.78723404255</v>
      </c>
      <c r="I129" s="9">
        <f t="shared" si="8"/>
        <v>319.54541341973004</v>
      </c>
      <c r="J129" s="9">
        <f t="shared" si="9"/>
        <v>1870.9241079203898</v>
      </c>
      <c r="K129" s="9">
        <f t="shared" si="10"/>
        <v>319.54541341973004</v>
      </c>
      <c r="L129" s="10">
        <f t="shared" si="7"/>
        <v>0.17079549729834745</v>
      </c>
      <c r="M129" s="10">
        <f t="shared" si="11"/>
        <v>0.17092123220853087</v>
      </c>
      <c r="P129" s="8">
        <f t="shared" si="12"/>
        <v>4.7861158836633937</v>
      </c>
      <c r="X129" s="8">
        <v>-13</v>
      </c>
    </row>
    <row r="130" spans="1:24" x14ac:dyDescent="0.2">
      <c r="A130" s="8">
        <v>64</v>
      </c>
      <c r="B130" s="8">
        <v>128</v>
      </c>
      <c r="D130">
        <v>1977.9910836762999</v>
      </c>
      <c r="E130">
        <v>432.33127572017003</v>
      </c>
      <c r="F130">
        <v>138.70967741935999</v>
      </c>
      <c r="G130">
        <v>117.96774193548001</v>
      </c>
      <c r="I130" s="9">
        <f t="shared" si="8"/>
        <v>314.36353378469005</v>
      </c>
      <c r="J130" s="9">
        <f t="shared" si="9"/>
        <v>1839.28140625694</v>
      </c>
      <c r="K130" s="9">
        <f t="shared" si="10"/>
        <v>314.36353378469005</v>
      </c>
      <c r="L130" s="10">
        <f t="shared" ref="L130:L193" si="14">K130/J130</f>
        <v>0.17091649636389286</v>
      </c>
      <c r="M130" s="10">
        <f t="shared" si="11"/>
        <v>0.17104322131273914</v>
      </c>
      <c r="P130" s="8">
        <f t="shared" si="12"/>
        <v>4.8609033412831497</v>
      </c>
      <c r="X130" s="8">
        <v>-13</v>
      </c>
    </row>
    <row r="131" spans="1:24" x14ac:dyDescent="0.2">
      <c r="A131" s="8">
        <v>64.5</v>
      </c>
      <c r="B131" s="8">
        <v>129</v>
      </c>
      <c r="D131">
        <v>1953.864010989</v>
      </c>
      <c r="E131">
        <v>433.5364010989</v>
      </c>
      <c r="F131">
        <v>138.30130404942</v>
      </c>
      <c r="G131">
        <v>117.76321207962</v>
      </c>
      <c r="I131" s="9">
        <f t="shared" ref="I131:I194" si="15">E131-G131</f>
        <v>315.77318901927998</v>
      </c>
      <c r="J131" s="9">
        <f t="shared" ref="J131:J194" si="16">D131-F131</f>
        <v>1815.56270693958</v>
      </c>
      <c r="K131" s="9">
        <f t="shared" ref="K131:K194" si="17">I131*1</f>
        <v>315.77318901927998</v>
      </c>
      <c r="L131" s="10">
        <f t="shared" si="14"/>
        <v>0.17392579601481567</v>
      </c>
      <c r="M131" s="10">
        <f t="shared" ref="M131:M181" si="18">L131+ABS($N$2)*A131</f>
        <v>0.17405351100232483</v>
      </c>
      <c r="P131" s="8">
        <f t="shared" ref="P131:P194" si="19">(M131-$O$2)/$O$2*100</f>
        <v>6.7064117089707773</v>
      </c>
      <c r="X131" s="8">
        <v>-13</v>
      </c>
    </row>
    <row r="132" spans="1:24" x14ac:dyDescent="0.2">
      <c r="A132" s="8">
        <v>65</v>
      </c>
      <c r="B132" s="8">
        <v>130</v>
      </c>
      <c r="D132">
        <v>1961.2754120878999</v>
      </c>
      <c r="E132">
        <v>432.25686813187002</v>
      </c>
      <c r="F132">
        <v>138.38915579958999</v>
      </c>
      <c r="G132">
        <v>117.90803019904</v>
      </c>
      <c r="I132" s="9">
        <f t="shared" si="15"/>
        <v>314.34883793283001</v>
      </c>
      <c r="J132" s="9">
        <f t="shared" si="16"/>
        <v>1822.8862562883098</v>
      </c>
      <c r="K132" s="9">
        <f t="shared" si="17"/>
        <v>314.34883793283001</v>
      </c>
      <c r="L132" s="10">
        <f t="shared" si="14"/>
        <v>0.1724456678788587</v>
      </c>
      <c r="M132" s="10">
        <f t="shared" si="18"/>
        <v>0.17257437290503072</v>
      </c>
      <c r="P132" s="8">
        <f t="shared" si="19"/>
        <v>5.7996013960079971</v>
      </c>
      <c r="X132" s="8">
        <v>-13</v>
      </c>
    </row>
    <row r="133" spans="1:24" x14ac:dyDescent="0.2">
      <c r="A133" s="8">
        <v>65.5</v>
      </c>
      <c r="B133" s="8">
        <v>131</v>
      </c>
      <c r="D133">
        <v>2023.7926078029</v>
      </c>
      <c r="E133">
        <v>446.31553730322003</v>
      </c>
      <c r="F133">
        <v>137.90940288263999</v>
      </c>
      <c r="G133">
        <v>118.02814001373</v>
      </c>
      <c r="I133" s="9">
        <f t="shared" si="15"/>
        <v>328.28739728949006</v>
      </c>
      <c r="J133" s="9">
        <f t="shared" si="16"/>
        <v>1885.8832049202599</v>
      </c>
      <c r="K133" s="9">
        <f t="shared" si="17"/>
        <v>328.28739728949006</v>
      </c>
      <c r="L133" s="10">
        <f t="shared" si="14"/>
        <v>0.17407620813048755</v>
      </c>
      <c r="M133" s="10">
        <f t="shared" si="18"/>
        <v>0.17420590319532242</v>
      </c>
      <c r="P133" s="8">
        <f t="shared" si="19"/>
        <v>6.7998382879210677</v>
      </c>
      <c r="X133" s="8">
        <v>-13</v>
      </c>
    </row>
    <row r="134" spans="1:24" x14ac:dyDescent="0.2">
      <c r="A134" s="8">
        <v>66</v>
      </c>
      <c r="B134" s="8">
        <v>132</v>
      </c>
      <c r="D134">
        <v>2001.5304585900001</v>
      </c>
      <c r="E134">
        <v>453.96372347707</v>
      </c>
      <c r="F134">
        <v>138.23816060397999</v>
      </c>
      <c r="G134">
        <v>118.21207961565</v>
      </c>
      <c r="I134" s="9">
        <f t="shared" si="15"/>
        <v>335.75164386142001</v>
      </c>
      <c r="J134" s="9">
        <f t="shared" si="16"/>
        <v>1863.29229798602</v>
      </c>
      <c r="K134" s="9">
        <f t="shared" si="17"/>
        <v>335.75164386142001</v>
      </c>
      <c r="L134" s="10">
        <f t="shared" si="14"/>
        <v>0.18019268593785553</v>
      </c>
      <c r="M134" s="10">
        <f t="shared" si="18"/>
        <v>0.18032337104135326</v>
      </c>
      <c r="P134" s="8">
        <f t="shared" si="19"/>
        <v>10.55025411599499</v>
      </c>
      <c r="X134" s="8">
        <v>-13</v>
      </c>
    </row>
    <row r="135" spans="1:24" x14ac:dyDescent="0.2">
      <c r="A135" s="8">
        <v>66.5</v>
      </c>
      <c r="B135" s="8">
        <v>133</v>
      </c>
      <c r="D135">
        <v>2044.8151950719</v>
      </c>
      <c r="E135">
        <v>468.85968514716001</v>
      </c>
      <c r="F135">
        <v>138.12834591627001</v>
      </c>
      <c r="G135">
        <v>118.06451612903</v>
      </c>
      <c r="I135" s="9">
        <f t="shared" si="15"/>
        <v>350.79516901813003</v>
      </c>
      <c r="J135" s="9">
        <f t="shared" si="16"/>
        <v>1906.6868491556299</v>
      </c>
      <c r="K135" s="9">
        <f t="shared" si="17"/>
        <v>350.79516901813003</v>
      </c>
      <c r="L135" s="10">
        <f t="shared" si="14"/>
        <v>0.18398153276899062</v>
      </c>
      <c r="M135" s="10">
        <f t="shared" si="18"/>
        <v>0.18411320791115121</v>
      </c>
      <c r="P135" s="8">
        <f t="shared" si="19"/>
        <v>12.873676901376754</v>
      </c>
      <c r="X135" s="8">
        <v>-13</v>
      </c>
    </row>
    <row r="136" spans="1:24" x14ac:dyDescent="0.2">
      <c r="A136" s="8">
        <v>67</v>
      </c>
      <c r="B136" s="8">
        <v>134</v>
      </c>
      <c r="D136">
        <v>2032.4668035591999</v>
      </c>
      <c r="E136">
        <v>462.54140999316002</v>
      </c>
      <c r="F136">
        <v>138.20041180507999</v>
      </c>
      <c r="G136">
        <v>117.72340425532001</v>
      </c>
      <c r="I136" s="9">
        <f t="shared" si="15"/>
        <v>344.81800573784</v>
      </c>
      <c r="J136" s="9">
        <f t="shared" si="16"/>
        <v>1894.2663917541199</v>
      </c>
      <c r="K136" s="9">
        <f t="shared" si="17"/>
        <v>344.81800573784</v>
      </c>
      <c r="L136" s="10">
        <f t="shared" si="14"/>
        <v>0.18203247824005006</v>
      </c>
      <c r="M136" s="10">
        <f t="shared" si="18"/>
        <v>0.1821651434208735</v>
      </c>
      <c r="P136" s="8">
        <f t="shared" si="19"/>
        <v>11.679383431867697</v>
      </c>
      <c r="X136" s="8">
        <v>-13</v>
      </c>
    </row>
    <row r="137" spans="1:24" x14ac:dyDescent="0.2">
      <c r="A137" s="8">
        <v>67.5</v>
      </c>
      <c r="B137" s="8">
        <v>135</v>
      </c>
      <c r="D137">
        <v>2068.8603696098999</v>
      </c>
      <c r="E137">
        <v>479.52292950034001</v>
      </c>
      <c r="F137">
        <v>137.82910089224001</v>
      </c>
      <c r="G137">
        <v>117.85380919698</v>
      </c>
      <c r="I137" s="9">
        <f t="shared" si="15"/>
        <v>361.66912030336005</v>
      </c>
      <c r="J137" s="9">
        <f t="shared" si="16"/>
        <v>1931.0312687176599</v>
      </c>
      <c r="K137" s="9">
        <f t="shared" si="17"/>
        <v>361.66912030336005</v>
      </c>
      <c r="L137" s="10">
        <f t="shared" si="14"/>
        <v>0.18729324903347302</v>
      </c>
      <c r="M137" s="10">
        <f t="shared" si="18"/>
        <v>0.18742690425295935</v>
      </c>
      <c r="P137" s="8">
        <f t="shared" si="19"/>
        <v>14.905193784266677</v>
      </c>
      <c r="X137" s="8">
        <v>-13</v>
      </c>
    </row>
    <row r="138" spans="1:24" x14ac:dyDescent="0.2">
      <c r="A138" s="8">
        <v>68</v>
      </c>
      <c r="B138" s="8">
        <v>136</v>
      </c>
      <c r="D138">
        <v>1999.049659864</v>
      </c>
      <c r="E138">
        <v>458.73537414966</v>
      </c>
      <c r="F138">
        <v>138.36101578585999</v>
      </c>
      <c r="G138">
        <v>117.59094028826</v>
      </c>
      <c r="I138" s="9">
        <f t="shared" si="15"/>
        <v>341.14443386139999</v>
      </c>
      <c r="J138" s="9">
        <f t="shared" si="16"/>
        <v>1860.68864407814</v>
      </c>
      <c r="K138" s="9">
        <f t="shared" si="17"/>
        <v>341.14443386139999</v>
      </c>
      <c r="L138" s="10">
        <f t="shared" si="14"/>
        <v>0.18334310522458025</v>
      </c>
      <c r="M138" s="10">
        <f t="shared" si="18"/>
        <v>0.18347775048272943</v>
      </c>
      <c r="P138" s="8">
        <f t="shared" si="19"/>
        <v>12.484099112395569</v>
      </c>
      <c r="X138" s="8">
        <v>-13</v>
      </c>
    </row>
    <row r="139" spans="1:24" x14ac:dyDescent="0.2">
      <c r="A139" s="8">
        <v>68.5</v>
      </c>
      <c r="B139" s="8">
        <v>137</v>
      </c>
      <c r="D139">
        <v>1933.2068728521999</v>
      </c>
      <c r="E139">
        <v>437.24329896907</v>
      </c>
      <c r="F139">
        <v>138.58819492107</v>
      </c>
      <c r="G139">
        <v>117.66506520247</v>
      </c>
      <c r="I139" s="9">
        <f t="shared" si="15"/>
        <v>319.57823376659996</v>
      </c>
      <c r="J139" s="9">
        <f t="shared" si="16"/>
        <v>1794.6186779311299</v>
      </c>
      <c r="K139" s="9">
        <f t="shared" si="17"/>
        <v>319.57823376659996</v>
      </c>
      <c r="L139" s="10">
        <f t="shared" si="14"/>
        <v>0.17807584290553341</v>
      </c>
      <c r="M139" s="10">
        <f t="shared" si="18"/>
        <v>0.17821147820234545</v>
      </c>
      <c r="P139" s="8">
        <f t="shared" si="19"/>
        <v>9.2555229412737603</v>
      </c>
      <c r="X139" s="8">
        <v>-13</v>
      </c>
    </row>
    <row r="140" spans="1:24" x14ac:dyDescent="0.2">
      <c r="A140" s="8">
        <v>69</v>
      </c>
      <c r="B140" s="8">
        <v>138</v>
      </c>
      <c r="D140">
        <v>1935.1800687284999</v>
      </c>
      <c r="E140">
        <v>444.14020618556998</v>
      </c>
      <c r="F140">
        <v>138.3466026081</v>
      </c>
      <c r="G140">
        <v>117.59574468085</v>
      </c>
      <c r="I140" s="9">
        <f t="shared" si="15"/>
        <v>326.54446150471995</v>
      </c>
      <c r="J140" s="9">
        <f t="shared" si="16"/>
        <v>1796.8334661203999</v>
      </c>
      <c r="K140" s="9">
        <f t="shared" si="17"/>
        <v>326.54446150471995</v>
      </c>
      <c r="L140" s="10">
        <f t="shared" si="14"/>
        <v>0.1817332922954582</v>
      </c>
      <c r="M140" s="10">
        <f t="shared" si="18"/>
        <v>0.1818699176309331</v>
      </c>
      <c r="P140" s="8">
        <f t="shared" si="19"/>
        <v>11.498390330912292</v>
      </c>
      <c r="X140" s="8">
        <v>-13</v>
      </c>
    </row>
    <row r="141" spans="1:24" x14ac:dyDescent="0.2">
      <c r="A141" s="8">
        <v>69.5</v>
      </c>
      <c r="B141" s="8">
        <v>139</v>
      </c>
      <c r="D141">
        <v>1900.0192439862999</v>
      </c>
      <c r="E141">
        <v>435.6116838488</v>
      </c>
      <c r="F141">
        <v>137.91489361702</v>
      </c>
      <c r="G141">
        <v>118.00480439259</v>
      </c>
      <c r="I141" s="9">
        <f t="shared" si="15"/>
        <v>317.60687945620998</v>
      </c>
      <c r="J141" s="9">
        <f t="shared" si="16"/>
        <v>1762.1043503692799</v>
      </c>
      <c r="K141" s="9">
        <f t="shared" si="17"/>
        <v>317.60687945620998</v>
      </c>
      <c r="L141" s="10">
        <f t="shared" si="14"/>
        <v>0.18024294610568886</v>
      </c>
      <c r="M141" s="10">
        <f t="shared" si="18"/>
        <v>0.18038056147982662</v>
      </c>
      <c r="P141" s="8">
        <f t="shared" si="19"/>
        <v>10.585315669412736</v>
      </c>
      <c r="X141" s="8">
        <v>-13</v>
      </c>
    </row>
    <row r="142" spans="1:24" x14ac:dyDescent="0.2">
      <c r="A142" s="8">
        <v>70</v>
      </c>
      <c r="B142" s="8">
        <v>140</v>
      </c>
      <c r="D142">
        <v>1855.2693877551001</v>
      </c>
      <c r="E142">
        <v>427.90340136053999</v>
      </c>
      <c r="F142">
        <v>138.47014413177999</v>
      </c>
      <c r="G142">
        <v>117.68634179822</v>
      </c>
      <c r="I142" s="9">
        <f t="shared" si="15"/>
        <v>310.21705956232</v>
      </c>
      <c r="J142" s="9">
        <f t="shared" si="16"/>
        <v>1716.7992436233201</v>
      </c>
      <c r="K142" s="9">
        <f t="shared" si="17"/>
        <v>310.21705956232</v>
      </c>
      <c r="L142" s="10">
        <f t="shared" si="14"/>
        <v>0.18069501178693681</v>
      </c>
      <c r="M142" s="10">
        <f t="shared" si="18"/>
        <v>0.18083361719973742</v>
      </c>
      <c r="P142" s="8">
        <f t="shared" si="19"/>
        <v>10.863069044782803</v>
      </c>
      <c r="X142" s="8">
        <v>-13</v>
      </c>
    </row>
    <row r="143" spans="1:24" x14ac:dyDescent="0.2">
      <c r="A143" s="8">
        <v>70.5</v>
      </c>
      <c r="B143" s="8">
        <v>141</v>
      </c>
      <c r="D143">
        <v>1864.3952380952001</v>
      </c>
      <c r="E143">
        <v>429.88979591837</v>
      </c>
      <c r="F143">
        <v>138.04118050789</v>
      </c>
      <c r="G143">
        <v>117.87508579273</v>
      </c>
      <c r="I143" s="9">
        <f t="shared" si="15"/>
        <v>312.01471012564002</v>
      </c>
      <c r="J143" s="9">
        <f t="shared" si="16"/>
        <v>1726.3540575873101</v>
      </c>
      <c r="K143" s="9">
        <f t="shared" si="17"/>
        <v>312.01471012564002</v>
      </c>
      <c r="L143" s="10">
        <f t="shared" si="14"/>
        <v>0.1807362219553621</v>
      </c>
      <c r="M143" s="10">
        <f t="shared" si="18"/>
        <v>0.1808758174068256</v>
      </c>
      <c r="P143" s="8">
        <f t="shared" si="19"/>
        <v>10.888940586504786</v>
      </c>
      <c r="X143" s="8">
        <v>-13</v>
      </c>
    </row>
    <row r="144" spans="1:24" x14ac:dyDescent="0.2">
      <c r="A144" s="8">
        <v>71</v>
      </c>
      <c r="B144" s="8">
        <v>142</v>
      </c>
      <c r="D144">
        <v>1849.8156462585</v>
      </c>
      <c r="E144">
        <v>430.35034013605002</v>
      </c>
      <c r="F144">
        <v>138.44680851064001</v>
      </c>
      <c r="G144">
        <v>118.01647220316001</v>
      </c>
      <c r="I144" s="9">
        <f t="shared" si="15"/>
        <v>312.33386793289003</v>
      </c>
      <c r="J144" s="9">
        <f t="shared" si="16"/>
        <v>1711.36883774786</v>
      </c>
      <c r="K144" s="9">
        <f t="shared" si="17"/>
        <v>312.33386793289003</v>
      </c>
      <c r="L144" s="10">
        <f t="shared" si="14"/>
        <v>0.18250529111183156</v>
      </c>
      <c r="M144" s="10">
        <f t="shared" si="18"/>
        <v>0.18264587660195791</v>
      </c>
      <c r="P144" s="8">
        <f t="shared" si="19"/>
        <v>11.974104937039005</v>
      </c>
    </row>
    <row r="145" spans="1:16" x14ac:dyDescent="0.2">
      <c r="A145" s="8">
        <v>71.5</v>
      </c>
      <c r="B145" s="8">
        <v>143</v>
      </c>
      <c r="D145">
        <v>1832.8795918367</v>
      </c>
      <c r="E145">
        <v>429.29183673468998</v>
      </c>
      <c r="F145">
        <v>137.97597803706</v>
      </c>
      <c r="G145">
        <v>118.01166781057</v>
      </c>
      <c r="I145" s="9">
        <f t="shared" si="15"/>
        <v>311.28016892411995</v>
      </c>
      <c r="J145" s="9">
        <f t="shared" si="16"/>
        <v>1694.90361379964</v>
      </c>
      <c r="K145" s="9">
        <f t="shared" si="17"/>
        <v>311.28016892411995</v>
      </c>
      <c r="L145" s="10">
        <f t="shared" si="14"/>
        <v>0.18365656099245145</v>
      </c>
      <c r="M145" s="10">
        <f t="shared" si="18"/>
        <v>0.18379813652124066</v>
      </c>
      <c r="P145" s="8">
        <f t="shared" si="19"/>
        <v>12.680517123927256</v>
      </c>
    </row>
    <row r="146" spans="1:16" x14ac:dyDescent="0.2">
      <c r="A146" s="8">
        <v>72</v>
      </c>
      <c r="B146" s="8">
        <v>144</v>
      </c>
      <c r="D146">
        <v>1811.5455782312999</v>
      </c>
      <c r="E146">
        <v>428.41700680271998</v>
      </c>
      <c r="F146">
        <v>137.98078242964999</v>
      </c>
      <c r="G146">
        <v>117.60741249142001</v>
      </c>
      <c r="I146" s="9">
        <f t="shared" si="15"/>
        <v>310.80959431129997</v>
      </c>
      <c r="J146" s="9">
        <f t="shared" si="16"/>
        <v>1673.56479580165</v>
      </c>
      <c r="K146" s="9">
        <f t="shared" si="17"/>
        <v>310.80959431129997</v>
      </c>
      <c r="L146" s="10">
        <f t="shared" si="14"/>
        <v>0.18571709627915534</v>
      </c>
      <c r="M146" s="10">
        <f t="shared" si="18"/>
        <v>0.1858596618466074</v>
      </c>
      <c r="P146" s="8">
        <f t="shared" si="19"/>
        <v>13.944369653245756</v>
      </c>
    </row>
    <row r="147" spans="1:16" x14ac:dyDescent="0.2">
      <c r="A147" s="8">
        <v>72.5</v>
      </c>
      <c r="B147" s="8">
        <v>145</v>
      </c>
      <c r="D147">
        <v>1808.9190476191</v>
      </c>
      <c r="E147">
        <v>431.47959183673998</v>
      </c>
      <c r="F147">
        <v>138.29169526423999</v>
      </c>
      <c r="G147">
        <v>117.95470144132</v>
      </c>
      <c r="I147" s="9">
        <f t="shared" si="15"/>
        <v>313.52489039542002</v>
      </c>
      <c r="J147" s="9">
        <f t="shared" si="16"/>
        <v>1670.62735235486</v>
      </c>
      <c r="K147" s="9">
        <f t="shared" si="17"/>
        <v>313.52489039542002</v>
      </c>
      <c r="L147" s="10">
        <f t="shared" si="14"/>
        <v>0.18766895558933946</v>
      </c>
      <c r="M147" s="10">
        <f t="shared" si="18"/>
        <v>0.18781251119545439</v>
      </c>
      <c r="P147" s="8">
        <f t="shared" si="19"/>
        <v>15.141596560210468</v>
      </c>
    </row>
    <row r="148" spans="1:16" x14ac:dyDescent="0.2">
      <c r="A148" s="8">
        <v>73</v>
      </c>
      <c r="B148" s="8">
        <v>146</v>
      </c>
      <c r="D148">
        <v>1800.2687074830001</v>
      </c>
      <c r="E148">
        <v>433.76054421768998</v>
      </c>
      <c r="F148">
        <v>137.77899794097999</v>
      </c>
      <c r="G148">
        <v>117.57446808511</v>
      </c>
      <c r="I148" s="9">
        <f t="shared" si="15"/>
        <v>316.18607613257996</v>
      </c>
      <c r="J148" s="9">
        <f t="shared" si="16"/>
        <v>1662.4897095420201</v>
      </c>
      <c r="K148" s="9">
        <f t="shared" si="17"/>
        <v>316.18607613257996</v>
      </c>
      <c r="L148" s="10">
        <f t="shared" si="14"/>
        <v>0.19018829068101864</v>
      </c>
      <c r="M148" s="10">
        <f t="shared" si="18"/>
        <v>0.19033283632579642</v>
      </c>
      <c r="P148" s="8">
        <f t="shared" si="19"/>
        <v>16.686723972177184</v>
      </c>
    </row>
    <row r="149" spans="1:16" x14ac:dyDescent="0.2">
      <c r="A149" s="8">
        <v>73.5</v>
      </c>
      <c r="B149" s="8">
        <v>147</v>
      </c>
      <c r="D149">
        <v>1791.2244897958999</v>
      </c>
      <c r="E149">
        <v>435.90952380952001</v>
      </c>
      <c r="F149">
        <v>138.17844886754</v>
      </c>
      <c r="G149">
        <v>117.84214138641001</v>
      </c>
      <c r="I149" s="9">
        <f t="shared" si="15"/>
        <v>318.06738242311002</v>
      </c>
      <c r="J149" s="9">
        <f t="shared" si="16"/>
        <v>1653.0460409283598</v>
      </c>
      <c r="K149" s="9">
        <f t="shared" si="17"/>
        <v>318.06738242311002</v>
      </c>
      <c r="L149" s="10">
        <f t="shared" si="14"/>
        <v>0.19241289991202037</v>
      </c>
      <c r="M149" s="10">
        <f t="shared" si="18"/>
        <v>0.19255843559546104</v>
      </c>
      <c r="P149" s="8">
        <f t="shared" si="19"/>
        <v>18.05116477317226</v>
      </c>
    </row>
    <row r="150" spans="1:16" x14ac:dyDescent="0.2">
      <c r="A150" s="8">
        <v>74</v>
      </c>
      <c r="B150" s="8">
        <v>148</v>
      </c>
      <c r="D150">
        <v>1803.2489795918</v>
      </c>
      <c r="E150">
        <v>442.37482993197</v>
      </c>
      <c r="F150">
        <v>138.02882635552999</v>
      </c>
      <c r="G150">
        <v>117.82704186685</v>
      </c>
      <c r="I150" s="9">
        <f t="shared" si="15"/>
        <v>324.54778806512002</v>
      </c>
      <c r="J150" s="9">
        <f t="shared" si="16"/>
        <v>1665.2201532362701</v>
      </c>
      <c r="K150" s="9">
        <f t="shared" si="17"/>
        <v>324.54778806512002</v>
      </c>
      <c r="L150" s="10">
        <f t="shared" si="14"/>
        <v>0.19489782623299268</v>
      </c>
      <c r="M150" s="10">
        <f t="shared" si="18"/>
        <v>0.1950443519550962</v>
      </c>
      <c r="P150" s="8">
        <f t="shared" si="19"/>
        <v>19.575197313611806</v>
      </c>
    </row>
    <row r="151" spans="1:16" x14ac:dyDescent="0.2">
      <c r="A151" s="8">
        <v>74.5</v>
      </c>
      <c r="B151" s="8">
        <v>149</v>
      </c>
      <c r="D151">
        <v>1792.1183673469</v>
      </c>
      <c r="E151">
        <v>442.72108843537001</v>
      </c>
      <c r="F151">
        <v>137.98695950582999</v>
      </c>
      <c r="G151">
        <v>117.86822237474</v>
      </c>
      <c r="I151" s="9">
        <f t="shared" si="15"/>
        <v>324.85286606062999</v>
      </c>
      <c r="J151" s="9">
        <f t="shared" si="16"/>
        <v>1654.1314078410701</v>
      </c>
      <c r="K151" s="9">
        <f t="shared" si="17"/>
        <v>324.85286606062999</v>
      </c>
      <c r="L151" s="10">
        <f t="shared" si="14"/>
        <v>0.19638879022593472</v>
      </c>
      <c r="M151" s="10">
        <f t="shared" si="18"/>
        <v>0.1965363059867011</v>
      </c>
      <c r="P151" s="8">
        <f t="shared" si="19"/>
        <v>20.48986464913694</v>
      </c>
    </row>
    <row r="152" spans="1:16" x14ac:dyDescent="0.2">
      <c r="A152" s="8">
        <v>75</v>
      </c>
      <c r="B152" s="8">
        <v>150</v>
      </c>
      <c r="D152">
        <v>1813.6340136054</v>
      </c>
      <c r="E152">
        <v>449.43605442177</v>
      </c>
      <c r="F152">
        <v>138.0398078243</v>
      </c>
      <c r="G152">
        <v>118.06382978723001</v>
      </c>
      <c r="I152" s="9">
        <f t="shared" si="15"/>
        <v>331.37222463453998</v>
      </c>
      <c r="J152" s="9">
        <f t="shared" si="16"/>
        <v>1675.5942057811001</v>
      </c>
      <c r="K152" s="9">
        <f t="shared" si="17"/>
        <v>331.37222463453998</v>
      </c>
      <c r="L152" s="10">
        <f t="shared" si="14"/>
        <v>0.19776400723471499</v>
      </c>
      <c r="M152" s="10">
        <f t="shared" si="18"/>
        <v>0.19791251303414423</v>
      </c>
      <c r="P152" s="8">
        <f t="shared" si="19"/>
        <v>21.333571362983648</v>
      </c>
    </row>
    <row r="153" spans="1:16" x14ac:dyDescent="0.2">
      <c r="A153" s="8">
        <v>75.5</v>
      </c>
      <c r="B153" s="8">
        <v>151</v>
      </c>
      <c r="D153">
        <v>1813.1183673469</v>
      </c>
      <c r="E153">
        <v>453.94353741497002</v>
      </c>
      <c r="F153">
        <v>137.84076870281001</v>
      </c>
      <c r="G153">
        <v>117.82429649965999</v>
      </c>
      <c r="I153" s="9">
        <f t="shared" si="15"/>
        <v>336.11924091531</v>
      </c>
      <c r="J153" s="9">
        <f t="shared" si="16"/>
        <v>1675.2775986440899</v>
      </c>
      <c r="K153" s="9">
        <f t="shared" si="17"/>
        <v>336.11924091531</v>
      </c>
      <c r="L153" s="10">
        <f t="shared" si="14"/>
        <v>0.20063495219380534</v>
      </c>
      <c r="M153" s="10">
        <f t="shared" si="18"/>
        <v>0.20078444803189743</v>
      </c>
      <c r="P153" s="8">
        <f t="shared" si="19"/>
        <v>23.09425907624421</v>
      </c>
    </row>
    <row r="154" spans="1:16" x14ac:dyDescent="0.2">
      <c r="A154" s="8">
        <v>76</v>
      </c>
      <c r="B154" s="8">
        <v>152</v>
      </c>
      <c r="D154">
        <v>1821.0374149659999</v>
      </c>
      <c r="E154">
        <v>460.19455782313003</v>
      </c>
      <c r="F154">
        <v>137.95332875771999</v>
      </c>
      <c r="G154">
        <v>117.62388469458</v>
      </c>
      <c r="I154" s="9">
        <f t="shared" si="15"/>
        <v>342.57067312855003</v>
      </c>
      <c r="J154" s="9">
        <f t="shared" si="16"/>
        <v>1683.08408620828</v>
      </c>
      <c r="K154" s="9">
        <f t="shared" si="17"/>
        <v>342.57067312855003</v>
      </c>
      <c r="L154" s="10">
        <f t="shared" si="14"/>
        <v>0.2035374678755992</v>
      </c>
      <c r="M154" s="10">
        <f t="shared" si="18"/>
        <v>0.20368795375235416</v>
      </c>
      <c r="P154" s="8">
        <f t="shared" si="19"/>
        <v>24.874301748306532</v>
      </c>
    </row>
    <row r="155" spans="1:16" x14ac:dyDescent="0.2">
      <c r="A155" s="8">
        <v>76.5</v>
      </c>
      <c r="B155" s="8">
        <v>153</v>
      </c>
      <c r="D155">
        <v>1816.8700680272</v>
      </c>
      <c r="E155">
        <v>463.93741496599</v>
      </c>
      <c r="F155">
        <v>138.05559368566</v>
      </c>
      <c r="G155">
        <v>118.07000686342001</v>
      </c>
      <c r="I155" s="9">
        <f t="shared" si="15"/>
        <v>345.86740810256998</v>
      </c>
      <c r="J155" s="9">
        <f t="shared" si="16"/>
        <v>1678.8144743415401</v>
      </c>
      <c r="K155" s="9">
        <f t="shared" si="17"/>
        <v>345.86740810256998</v>
      </c>
      <c r="L155" s="10">
        <f t="shared" si="14"/>
        <v>0.2060188385248615</v>
      </c>
      <c r="M155" s="10">
        <f t="shared" si="18"/>
        <v>0.20617031444027933</v>
      </c>
      <c r="P155" s="8">
        <f t="shared" si="19"/>
        <v>26.396154424822605</v>
      </c>
    </row>
    <row r="156" spans="1:16" x14ac:dyDescent="0.2">
      <c r="A156" s="8">
        <v>77</v>
      </c>
      <c r="B156" s="8">
        <v>154</v>
      </c>
      <c r="D156">
        <v>1794.8768707483</v>
      </c>
      <c r="E156">
        <v>463.51088435373998</v>
      </c>
      <c r="F156">
        <v>138.58133150309001</v>
      </c>
      <c r="G156">
        <v>117.36101578586</v>
      </c>
      <c r="I156" s="9">
        <f t="shared" si="15"/>
        <v>346.14986856787999</v>
      </c>
      <c r="J156" s="9">
        <f t="shared" si="16"/>
        <v>1656.29553924521</v>
      </c>
      <c r="K156" s="9">
        <f t="shared" si="17"/>
        <v>346.14986856787999</v>
      </c>
      <c r="L156" s="10">
        <f t="shared" si="14"/>
        <v>0.20899040078657935</v>
      </c>
      <c r="M156" s="10">
        <f t="shared" si="18"/>
        <v>0.20914286674066004</v>
      </c>
      <c r="P156" s="8">
        <f t="shared" si="19"/>
        <v>28.218527255823041</v>
      </c>
    </row>
    <row r="157" spans="1:16" x14ac:dyDescent="0.2">
      <c r="A157" s="8">
        <v>77.5</v>
      </c>
      <c r="B157" s="8">
        <v>155</v>
      </c>
      <c r="D157">
        <v>1788.2768707483001</v>
      </c>
      <c r="E157">
        <v>460.97687074829997</v>
      </c>
      <c r="F157">
        <v>138.30610844200001</v>
      </c>
      <c r="G157">
        <v>117.72683596431</v>
      </c>
      <c r="I157" s="9">
        <f t="shared" si="15"/>
        <v>343.25003478398997</v>
      </c>
      <c r="J157" s="9">
        <f t="shared" si="16"/>
        <v>1649.9707623063</v>
      </c>
      <c r="K157" s="9">
        <f t="shared" si="17"/>
        <v>343.25003478398997</v>
      </c>
      <c r="L157" s="10">
        <f t="shared" si="14"/>
        <v>0.20803401043555531</v>
      </c>
      <c r="M157" s="10">
        <f t="shared" si="18"/>
        <v>0.20818746642829886</v>
      </c>
      <c r="P157" s="8">
        <f t="shared" si="19"/>
        <v>27.632803138621348</v>
      </c>
    </row>
    <row r="158" spans="1:16" x14ac:dyDescent="0.2">
      <c r="A158" s="8">
        <v>78</v>
      </c>
      <c r="B158" s="8">
        <v>156</v>
      </c>
      <c r="D158">
        <v>1791.4231292516999</v>
      </c>
      <c r="E158">
        <v>464.05850340135999</v>
      </c>
      <c r="F158">
        <v>138.50034317090001</v>
      </c>
      <c r="G158">
        <v>117.82841455045001</v>
      </c>
      <c r="I158" s="9">
        <f t="shared" si="15"/>
        <v>346.23008885090997</v>
      </c>
      <c r="J158" s="9">
        <f t="shared" si="16"/>
        <v>1652.9227860808001</v>
      </c>
      <c r="K158" s="9">
        <f t="shared" si="17"/>
        <v>346.23008885090997</v>
      </c>
      <c r="L158" s="10">
        <f t="shared" si="14"/>
        <v>0.20946537355918884</v>
      </c>
      <c r="M158" s="10">
        <f t="shared" si="18"/>
        <v>0.20961981959059525</v>
      </c>
      <c r="P158" s="8">
        <f t="shared" si="19"/>
        <v>28.510931165849733</v>
      </c>
    </row>
    <row r="159" spans="1:16" x14ac:dyDescent="0.2">
      <c r="A159" s="8">
        <v>78.5</v>
      </c>
      <c r="B159" s="8">
        <v>157</v>
      </c>
      <c r="D159">
        <v>1784.6761904762</v>
      </c>
      <c r="E159">
        <v>462.47687074829997</v>
      </c>
      <c r="F159">
        <v>138.13383665065001</v>
      </c>
      <c r="G159">
        <v>117.55113246397001</v>
      </c>
      <c r="I159" s="9">
        <f t="shared" si="15"/>
        <v>344.92573828432995</v>
      </c>
      <c r="J159" s="9">
        <f t="shared" si="16"/>
        <v>1646.54235382555</v>
      </c>
      <c r="K159" s="9">
        <f t="shared" si="17"/>
        <v>344.92573828432995</v>
      </c>
      <c r="L159" s="10">
        <f t="shared" si="14"/>
        <v>0.20948488660673384</v>
      </c>
      <c r="M159" s="10">
        <f t="shared" si="18"/>
        <v>0.2096403226768031</v>
      </c>
      <c r="P159" s="8">
        <f t="shared" si="19"/>
        <v>28.52350092526223</v>
      </c>
    </row>
    <row r="160" spans="1:16" x14ac:dyDescent="0.2">
      <c r="A160" s="8">
        <v>79</v>
      </c>
      <c r="B160" s="8">
        <v>158</v>
      </c>
      <c r="D160">
        <v>1773.2401360544</v>
      </c>
      <c r="E160">
        <v>459.94829931972998</v>
      </c>
      <c r="F160">
        <v>138.14070006863</v>
      </c>
      <c r="G160">
        <v>117.82498284146</v>
      </c>
      <c r="I160" s="9">
        <f t="shared" si="15"/>
        <v>342.12331647827</v>
      </c>
      <c r="J160" s="9">
        <f t="shared" si="16"/>
        <v>1635.09943598577</v>
      </c>
      <c r="K160" s="9">
        <f t="shared" si="17"/>
        <v>342.12331647827</v>
      </c>
      <c r="L160" s="10">
        <f t="shared" si="14"/>
        <v>0.20923700965746492</v>
      </c>
      <c r="M160" s="10">
        <f t="shared" si="18"/>
        <v>0.20939343576619704</v>
      </c>
      <c r="P160" s="8">
        <f t="shared" si="19"/>
        <v>28.372142781568506</v>
      </c>
    </row>
    <row r="161" spans="1:16" x14ac:dyDescent="0.2">
      <c r="A161" s="8">
        <v>79.5</v>
      </c>
      <c r="B161" s="8">
        <v>159</v>
      </c>
      <c r="D161">
        <v>1795.2612244898</v>
      </c>
      <c r="E161">
        <v>461.75646258503002</v>
      </c>
      <c r="F161">
        <v>137.85586822238</v>
      </c>
      <c r="G161">
        <v>117.73575840769</v>
      </c>
      <c r="I161" s="9">
        <f t="shared" si="15"/>
        <v>344.02070417734001</v>
      </c>
      <c r="J161" s="9">
        <f t="shared" si="16"/>
        <v>1657.4053562674201</v>
      </c>
      <c r="K161" s="9">
        <f t="shared" si="17"/>
        <v>344.02070417734001</v>
      </c>
      <c r="L161" s="10">
        <f t="shared" si="14"/>
        <v>0.20756582140659666</v>
      </c>
      <c r="M161" s="10">
        <f t="shared" si="18"/>
        <v>0.20772323755399166</v>
      </c>
      <c r="P161" s="8">
        <f t="shared" si="19"/>
        <v>27.348199874350776</v>
      </c>
    </row>
    <row r="162" spans="1:16" x14ac:dyDescent="0.2">
      <c r="A162" s="8">
        <v>80</v>
      </c>
      <c r="B162" s="4">
        <v>160</v>
      </c>
      <c r="C162" s="4" t="s">
        <v>6</v>
      </c>
      <c r="D162">
        <v>1801.7074829932001</v>
      </c>
      <c r="E162">
        <v>468.25646258503002</v>
      </c>
      <c r="F162">
        <v>138.47220315716999</v>
      </c>
      <c r="G162">
        <v>117.81606039808</v>
      </c>
      <c r="H162" s="4"/>
      <c r="I162" s="5">
        <f t="shared" si="15"/>
        <v>350.44040218695</v>
      </c>
      <c r="J162" s="5">
        <f t="shared" si="16"/>
        <v>1663.23527983603</v>
      </c>
      <c r="K162" s="9">
        <f t="shared" si="17"/>
        <v>350.44040218695</v>
      </c>
      <c r="L162" s="6">
        <f t="shared" si="14"/>
        <v>0.2106980331859592</v>
      </c>
      <c r="M162" s="6">
        <f t="shared" si="18"/>
        <v>0.21085643937201706</v>
      </c>
      <c r="N162" s="4"/>
      <c r="O162" s="4"/>
      <c r="P162" s="4">
        <f t="shared" si="19"/>
        <v>29.269061575078254</v>
      </c>
    </row>
    <row r="163" spans="1:16" x14ac:dyDescent="0.2">
      <c r="A163" s="8">
        <v>80.5</v>
      </c>
      <c r="B163" s="8">
        <v>161</v>
      </c>
      <c r="D163">
        <v>1795.1979591837</v>
      </c>
      <c r="E163">
        <v>468.56190476191</v>
      </c>
      <c r="F163">
        <v>137.89293067948</v>
      </c>
      <c r="G163">
        <v>117.97391901167001</v>
      </c>
      <c r="I163" s="9">
        <f t="shared" si="15"/>
        <v>350.58798575024002</v>
      </c>
      <c r="J163" s="9">
        <f t="shared" si="16"/>
        <v>1657.30502850422</v>
      </c>
      <c r="K163" s="9">
        <f t="shared" si="17"/>
        <v>350.58798575024002</v>
      </c>
      <c r="L163" s="10">
        <f t="shared" si="14"/>
        <v>0.21154101370624503</v>
      </c>
      <c r="M163" s="10">
        <f t="shared" si="18"/>
        <v>0.21170040993096575</v>
      </c>
      <c r="P163" s="8">
        <f t="shared" si="19"/>
        <v>29.786471821012483</v>
      </c>
    </row>
    <row r="164" spans="1:16" x14ac:dyDescent="0.2">
      <c r="A164" s="8">
        <v>81</v>
      </c>
      <c r="B164" s="8">
        <v>162</v>
      </c>
      <c r="D164">
        <v>1826.9244897958999</v>
      </c>
      <c r="E164">
        <v>479.20136054421999</v>
      </c>
      <c r="F164">
        <v>137.63486616335001</v>
      </c>
      <c r="G164">
        <v>117.56074124913999</v>
      </c>
      <c r="I164" s="9">
        <f t="shared" si="15"/>
        <v>361.64061929508</v>
      </c>
      <c r="J164" s="9">
        <f t="shared" si="16"/>
        <v>1689.28962363255</v>
      </c>
      <c r="K164" s="9">
        <f t="shared" si="17"/>
        <v>361.64061929508</v>
      </c>
      <c r="L164" s="10">
        <f t="shared" si="14"/>
        <v>0.2140785181154603</v>
      </c>
      <c r="M164" s="10">
        <f t="shared" si="18"/>
        <v>0.21423890437884388</v>
      </c>
      <c r="P164" s="8">
        <f t="shared" si="19"/>
        <v>31.342738236532259</v>
      </c>
    </row>
    <row r="165" spans="1:16" x14ac:dyDescent="0.2">
      <c r="A165" s="8">
        <v>81.5</v>
      </c>
      <c r="B165" s="8">
        <v>163</v>
      </c>
      <c r="D165">
        <v>1886.1068027210999</v>
      </c>
      <c r="E165">
        <v>498.11428571429002</v>
      </c>
      <c r="F165">
        <v>138.28757721344999</v>
      </c>
      <c r="G165">
        <v>117.67192862045</v>
      </c>
      <c r="I165" s="9">
        <f t="shared" si="15"/>
        <v>380.44235709384003</v>
      </c>
      <c r="J165" s="9">
        <f t="shared" si="16"/>
        <v>1747.8192255076499</v>
      </c>
      <c r="K165" s="9">
        <f t="shared" si="17"/>
        <v>380.44235709384003</v>
      </c>
      <c r="L165" s="10">
        <f t="shared" si="14"/>
        <v>0.21766687969880952</v>
      </c>
      <c r="M165" s="10">
        <f t="shared" si="18"/>
        <v>0.21782825600085595</v>
      </c>
      <c r="P165" s="8">
        <f t="shared" si="19"/>
        <v>33.543250192545408</v>
      </c>
    </row>
    <row r="166" spans="1:16" x14ac:dyDescent="0.2">
      <c r="A166" s="8">
        <v>82</v>
      </c>
      <c r="B166" s="8">
        <v>164</v>
      </c>
      <c r="D166">
        <v>1876.9789115645999</v>
      </c>
      <c r="E166">
        <v>496.35238095237997</v>
      </c>
      <c r="F166">
        <v>138.44269045985001</v>
      </c>
      <c r="G166">
        <v>117.66437886067</v>
      </c>
      <c r="I166" s="9">
        <f t="shared" si="15"/>
        <v>378.68800209170996</v>
      </c>
      <c r="J166" s="9">
        <f t="shared" si="16"/>
        <v>1738.53622110475</v>
      </c>
      <c r="K166" s="9">
        <f t="shared" si="17"/>
        <v>378.68800209170996</v>
      </c>
      <c r="L166" s="10">
        <f t="shared" si="14"/>
        <v>0.21782002439447209</v>
      </c>
      <c r="M166" s="10">
        <f t="shared" si="18"/>
        <v>0.21798239073518139</v>
      </c>
      <c r="P166" s="8">
        <f t="shared" si="19"/>
        <v>33.637745065558128</v>
      </c>
    </row>
    <row r="167" spans="1:16" x14ac:dyDescent="0.2">
      <c r="A167" s="8">
        <v>82.5</v>
      </c>
      <c r="B167" s="8">
        <v>165</v>
      </c>
      <c r="D167">
        <v>1914.2755102041001</v>
      </c>
      <c r="E167">
        <v>510.21564625849999</v>
      </c>
      <c r="F167">
        <v>138.36101578585999</v>
      </c>
      <c r="G167">
        <v>117.78654770076</v>
      </c>
      <c r="I167" s="9">
        <f t="shared" si="15"/>
        <v>392.42909855773996</v>
      </c>
      <c r="J167" s="9">
        <f t="shared" si="16"/>
        <v>1775.9144944182401</v>
      </c>
      <c r="K167" s="9">
        <f t="shared" si="17"/>
        <v>392.42909855773996</v>
      </c>
      <c r="L167" s="10">
        <f t="shared" si="14"/>
        <v>0.22097296902027547</v>
      </c>
      <c r="M167" s="10">
        <f t="shared" si="18"/>
        <v>0.22113632539964764</v>
      </c>
      <c r="P167" s="8">
        <f t="shared" si="19"/>
        <v>35.571317384046061</v>
      </c>
    </row>
    <row r="168" spans="1:16" x14ac:dyDescent="0.2">
      <c r="A168" s="8">
        <v>83</v>
      </c>
      <c r="B168" s="8">
        <v>166</v>
      </c>
      <c r="D168">
        <v>2012.1013605441999</v>
      </c>
      <c r="E168">
        <v>541.25510204082002</v>
      </c>
      <c r="F168">
        <v>138.45298558682001</v>
      </c>
      <c r="G168">
        <v>117.62388469458</v>
      </c>
      <c r="I168" s="9">
        <f t="shared" si="15"/>
        <v>423.63121734624002</v>
      </c>
      <c r="J168" s="9">
        <f t="shared" si="16"/>
        <v>1873.6483749573799</v>
      </c>
      <c r="K168" s="9">
        <f t="shared" si="17"/>
        <v>423.63121734624002</v>
      </c>
      <c r="L168" s="10">
        <f t="shared" si="14"/>
        <v>0.22609963694808874</v>
      </c>
      <c r="M168" s="10">
        <f t="shared" si="18"/>
        <v>0.22626398336612377</v>
      </c>
      <c r="P168" s="8">
        <f t="shared" si="19"/>
        <v>38.714913735091677</v>
      </c>
    </row>
    <row r="169" spans="1:16" x14ac:dyDescent="0.2">
      <c r="A169" s="8">
        <v>83.5</v>
      </c>
      <c r="B169" s="8">
        <v>167</v>
      </c>
      <c r="D169">
        <v>2056.7340136053999</v>
      </c>
      <c r="E169">
        <v>552.25170068027001</v>
      </c>
      <c r="F169">
        <v>138.20109814688001</v>
      </c>
      <c r="G169">
        <v>117.63074811256</v>
      </c>
      <c r="I169" s="9">
        <f t="shared" si="15"/>
        <v>434.62095256770999</v>
      </c>
      <c r="J169" s="9">
        <f t="shared" si="16"/>
        <v>1918.5329154585199</v>
      </c>
      <c r="K169" s="9">
        <f t="shared" si="17"/>
        <v>434.62095256770999</v>
      </c>
      <c r="L169" s="10">
        <f t="shared" si="14"/>
        <v>0.226538178764495</v>
      </c>
      <c r="M169" s="10">
        <f t="shared" si="18"/>
        <v>0.22670351522119289</v>
      </c>
      <c r="P169" s="8">
        <f t="shared" si="19"/>
        <v>38.984376079264592</v>
      </c>
    </row>
    <row r="170" spans="1:16" x14ac:dyDescent="0.2">
      <c r="A170" s="8">
        <v>84</v>
      </c>
      <c r="B170" s="8">
        <v>168</v>
      </c>
      <c r="D170">
        <v>1991.4513698630001</v>
      </c>
      <c r="E170">
        <v>526.54999999999995</v>
      </c>
      <c r="F170">
        <v>138.06177076183999</v>
      </c>
      <c r="G170">
        <v>117.54358270419</v>
      </c>
      <c r="I170" s="9">
        <f t="shared" si="15"/>
        <v>409.00641729580997</v>
      </c>
      <c r="J170" s="9">
        <f t="shared" si="16"/>
        <v>1853.38959910116</v>
      </c>
      <c r="K170" s="9">
        <f t="shared" si="17"/>
        <v>409.00641729580997</v>
      </c>
      <c r="L170" s="10">
        <f t="shared" si="14"/>
        <v>0.22068021612626193</v>
      </c>
      <c r="M170" s="10">
        <f t="shared" si="18"/>
        <v>0.22084654262162268</v>
      </c>
      <c r="P170" s="8">
        <f t="shared" si="19"/>
        <v>35.393661212446695</v>
      </c>
    </row>
    <row r="171" spans="1:16" x14ac:dyDescent="0.2">
      <c r="A171" s="8">
        <v>84.5</v>
      </c>
      <c r="B171" s="8">
        <v>169</v>
      </c>
      <c r="D171">
        <v>2039.3767123288001</v>
      </c>
      <c r="E171">
        <v>539.87534246575001</v>
      </c>
      <c r="F171">
        <v>138.66712422787</v>
      </c>
      <c r="G171">
        <v>118.03706245710001</v>
      </c>
      <c r="I171" s="9">
        <f t="shared" si="15"/>
        <v>421.83828000865003</v>
      </c>
      <c r="J171" s="9">
        <f t="shared" si="16"/>
        <v>1900.70958810093</v>
      </c>
      <c r="K171" s="9">
        <f t="shared" si="17"/>
        <v>421.83828000865003</v>
      </c>
      <c r="L171" s="10">
        <f t="shared" si="14"/>
        <v>0.22193726103635034</v>
      </c>
      <c r="M171" s="10">
        <f t="shared" si="18"/>
        <v>0.22210457757037394</v>
      </c>
      <c r="P171" s="8">
        <f t="shared" si="19"/>
        <v>36.164920547651562</v>
      </c>
    </row>
    <row r="172" spans="1:16" x14ac:dyDescent="0.2">
      <c r="A172" s="8">
        <v>85</v>
      </c>
      <c r="B172" s="8">
        <v>170</v>
      </c>
      <c r="D172">
        <v>1973.8993150685001</v>
      </c>
      <c r="E172">
        <v>521.85342465753001</v>
      </c>
      <c r="F172">
        <v>138.53260123542</v>
      </c>
      <c r="G172">
        <v>117.54495538778001</v>
      </c>
      <c r="I172" s="9">
        <f t="shared" si="15"/>
        <v>404.30846926974999</v>
      </c>
      <c r="J172" s="9">
        <f t="shared" si="16"/>
        <v>1835.36671383308</v>
      </c>
      <c r="K172" s="9">
        <f t="shared" si="17"/>
        <v>404.30846926974999</v>
      </c>
      <c r="L172" s="10">
        <f t="shared" si="14"/>
        <v>0.2202875677228395</v>
      </c>
      <c r="M172" s="10">
        <f t="shared" si="18"/>
        <v>0.22045587429552596</v>
      </c>
      <c r="P172" s="8">
        <f t="shared" si="19"/>
        <v>35.15415547075802</v>
      </c>
    </row>
    <row r="173" spans="1:16" x14ac:dyDescent="0.2">
      <c r="A173" s="8">
        <v>85.5</v>
      </c>
      <c r="B173" s="8">
        <v>171</v>
      </c>
      <c r="D173">
        <v>1889.3602739726</v>
      </c>
      <c r="E173">
        <v>498.65205479451998</v>
      </c>
      <c r="F173">
        <v>138.58544955388001</v>
      </c>
      <c r="G173">
        <v>118.10432395333</v>
      </c>
      <c r="I173" s="9">
        <f t="shared" si="15"/>
        <v>380.54773084119</v>
      </c>
      <c r="J173" s="9">
        <f t="shared" si="16"/>
        <v>1750.7748244187201</v>
      </c>
      <c r="K173" s="9">
        <f t="shared" si="17"/>
        <v>380.54773084119</v>
      </c>
      <c r="L173" s="10">
        <f t="shared" si="14"/>
        <v>0.21735960874782215</v>
      </c>
      <c r="M173" s="10">
        <f t="shared" si="18"/>
        <v>0.21752890535917149</v>
      </c>
      <c r="P173" s="8">
        <f t="shared" si="19"/>
        <v>33.359728282341024</v>
      </c>
    </row>
    <row r="174" spans="1:16" x14ac:dyDescent="0.2">
      <c r="A174" s="8">
        <v>86</v>
      </c>
      <c r="B174" s="8">
        <v>172</v>
      </c>
      <c r="D174">
        <v>1969.6342465753</v>
      </c>
      <c r="E174">
        <v>512.88698630137003</v>
      </c>
      <c r="F174">
        <v>138.19286204529999</v>
      </c>
      <c r="G174">
        <v>117.71036376115001</v>
      </c>
      <c r="I174" s="9">
        <f t="shared" si="15"/>
        <v>395.17662254022002</v>
      </c>
      <c r="J174" s="9">
        <f t="shared" si="16"/>
        <v>1831.4413845300001</v>
      </c>
      <c r="K174" s="9">
        <f t="shared" si="17"/>
        <v>395.17662254022002</v>
      </c>
      <c r="L174" s="10">
        <f t="shared" si="14"/>
        <v>0.21577355730750486</v>
      </c>
      <c r="M174" s="10">
        <f t="shared" si="18"/>
        <v>0.21594384395751706</v>
      </c>
      <c r="P174" s="8">
        <f t="shared" si="19"/>
        <v>32.387979918662928</v>
      </c>
    </row>
    <row r="175" spans="1:16" x14ac:dyDescent="0.2">
      <c r="A175" s="8">
        <v>86.5</v>
      </c>
      <c r="B175" s="8">
        <v>173</v>
      </c>
      <c r="D175">
        <v>2051.1657534247001</v>
      </c>
      <c r="E175">
        <v>536.41438356163997</v>
      </c>
      <c r="F175">
        <v>138.81468771447999</v>
      </c>
      <c r="G175">
        <v>118.02882635553</v>
      </c>
      <c r="I175" s="9">
        <f t="shared" si="15"/>
        <v>418.38555720610998</v>
      </c>
      <c r="J175" s="9">
        <f t="shared" si="16"/>
        <v>1912.3510657102202</v>
      </c>
      <c r="K175" s="9">
        <f t="shared" si="17"/>
        <v>418.38555720610998</v>
      </c>
      <c r="L175" s="10">
        <f t="shared" si="14"/>
        <v>0.21878072740306576</v>
      </c>
      <c r="M175" s="10">
        <f t="shared" si="18"/>
        <v>0.21895200409174082</v>
      </c>
      <c r="P175" s="8">
        <f t="shared" si="19"/>
        <v>34.23218272687118</v>
      </c>
    </row>
    <row r="176" spans="1:16" x14ac:dyDescent="0.2">
      <c r="A176" s="8">
        <v>87</v>
      </c>
      <c r="B176" s="8">
        <v>174</v>
      </c>
      <c r="D176">
        <v>2040.9020547944999</v>
      </c>
      <c r="E176">
        <v>540.48219178082002</v>
      </c>
      <c r="F176">
        <v>138.91146190802999</v>
      </c>
      <c r="G176">
        <v>117.8840082361</v>
      </c>
      <c r="I176" s="9">
        <f t="shared" si="15"/>
        <v>422.59818354472003</v>
      </c>
      <c r="J176" s="9">
        <f t="shared" si="16"/>
        <v>1901.99059288647</v>
      </c>
      <c r="K176" s="9">
        <f t="shared" si="17"/>
        <v>422.59818354472003</v>
      </c>
      <c r="L176" s="10">
        <f t="shared" si="14"/>
        <v>0.22218731529233432</v>
      </c>
      <c r="M176" s="10">
        <f t="shared" si="18"/>
        <v>0.22235958201967224</v>
      </c>
      <c r="P176" s="8">
        <f t="shared" si="19"/>
        <v>36.321255284007904</v>
      </c>
    </row>
    <row r="177" spans="1:16" x14ac:dyDescent="0.2">
      <c r="A177" s="8">
        <v>87.5</v>
      </c>
      <c r="B177" s="8">
        <v>175</v>
      </c>
      <c r="D177">
        <v>1984.1473183978001</v>
      </c>
      <c r="E177">
        <v>515.68160217243997</v>
      </c>
      <c r="F177">
        <v>139.37336993823001</v>
      </c>
      <c r="G177">
        <v>118.29444063143001</v>
      </c>
      <c r="I177" s="9">
        <f t="shared" si="15"/>
        <v>397.38716154100996</v>
      </c>
      <c r="J177" s="9">
        <f t="shared" si="16"/>
        <v>1844.77394845957</v>
      </c>
      <c r="K177" s="9">
        <f t="shared" si="17"/>
        <v>397.38716154100996</v>
      </c>
      <c r="L177" s="10">
        <f t="shared" si="14"/>
        <v>0.21541238799086343</v>
      </c>
      <c r="M177" s="10">
        <f t="shared" si="18"/>
        <v>0.2155856447568642</v>
      </c>
      <c r="P177" s="8">
        <f t="shared" si="19"/>
        <v>32.168379916579795</v>
      </c>
    </row>
    <row r="178" spans="1:16" x14ac:dyDescent="0.2">
      <c r="A178" s="8">
        <v>88</v>
      </c>
      <c r="B178" s="8">
        <v>176</v>
      </c>
      <c r="D178">
        <v>1999.1093007468</v>
      </c>
      <c r="E178">
        <v>517.94161575016994</v>
      </c>
      <c r="F178">
        <v>139.06039807824001</v>
      </c>
      <c r="G178">
        <v>118.43719972546</v>
      </c>
      <c r="I178" s="9">
        <f t="shared" si="15"/>
        <v>399.50441602470994</v>
      </c>
      <c r="J178" s="9">
        <f t="shared" si="16"/>
        <v>1860.04890266856</v>
      </c>
      <c r="K178" s="9">
        <f t="shared" si="17"/>
        <v>399.50441602470994</v>
      </c>
      <c r="L178" s="10">
        <f t="shared" si="14"/>
        <v>0.21478167345576354</v>
      </c>
      <c r="M178" s="10">
        <f t="shared" si="18"/>
        <v>0.21495592026042717</v>
      </c>
      <c r="P178" s="8">
        <f t="shared" si="19"/>
        <v>31.782316797294964</v>
      </c>
    </row>
    <row r="179" spans="1:16" x14ac:dyDescent="0.2">
      <c r="A179" s="8">
        <v>88.5</v>
      </c>
      <c r="B179" s="8">
        <v>177</v>
      </c>
      <c r="D179">
        <v>1999.517311609</v>
      </c>
      <c r="E179">
        <v>513.19280380176997</v>
      </c>
      <c r="F179">
        <v>138.93067947838</v>
      </c>
      <c r="G179">
        <v>118.30199039122</v>
      </c>
      <c r="I179" s="9">
        <f t="shared" si="15"/>
        <v>394.89081341054998</v>
      </c>
      <c r="J179" s="9">
        <f t="shared" si="16"/>
        <v>1860.58663213062</v>
      </c>
      <c r="K179" s="9">
        <f t="shared" si="17"/>
        <v>394.89081341054998</v>
      </c>
      <c r="L179" s="10">
        <f t="shared" si="14"/>
        <v>0.2122399498046201</v>
      </c>
      <c r="M179" s="10">
        <f t="shared" si="18"/>
        <v>0.21241518664794662</v>
      </c>
      <c r="P179" s="8">
        <f t="shared" si="19"/>
        <v>30.224677624520389</v>
      </c>
    </row>
    <row r="180" spans="1:16" x14ac:dyDescent="0.2">
      <c r="A180" s="8">
        <v>89</v>
      </c>
      <c r="B180" s="8">
        <v>178</v>
      </c>
      <c r="D180">
        <v>1968.1907671419001</v>
      </c>
      <c r="E180">
        <v>500.25933469110998</v>
      </c>
      <c r="F180">
        <v>139.16678105697</v>
      </c>
      <c r="G180">
        <v>118.17158544954999</v>
      </c>
      <c r="I180" s="9">
        <f t="shared" si="15"/>
        <v>382.08774924156</v>
      </c>
      <c r="J180" s="9">
        <f t="shared" si="16"/>
        <v>1829.0239860849301</v>
      </c>
      <c r="K180" s="9">
        <f t="shared" si="17"/>
        <v>382.08774924156</v>
      </c>
      <c r="L180" s="10">
        <f t="shared" si="14"/>
        <v>0.20890253607850601</v>
      </c>
      <c r="M180" s="10">
        <f t="shared" si="18"/>
        <v>0.20907876296049538</v>
      </c>
      <c r="P180" s="8">
        <f t="shared" si="19"/>
        <v>28.179227362824843</v>
      </c>
    </row>
    <row r="181" spans="1:16" x14ac:dyDescent="0.2">
      <c r="A181" s="8">
        <v>89.5</v>
      </c>
      <c r="B181" s="8">
        <v>179</v>
      </c>
      <c r="D181">
        <v>1982.1311141304</v>
      </c>
      <c r="E181">
        <v>516.38315217391005</v>
      </c>
      <c r="F181">
        <v>138.34385724091001</v>
      </c>
      <c r="G181">
        <v>118.24776938916</v>
      </c>
      <c r="I181" s="9">
        <f t="shared" si="15"/>
        <v>398.13538278475005</v>
      </c>
      <c r="J181" s="9">
        <f t="shared" si="16"/>
        <v>1843.78725688949</v>
      </c>
      <c r="K181" s="9">
        <f t="shared" si="17"/>
        <v>398.13538278475005</v>
      </c>
      <c r="L181" s="10">
        <f t="shared" si="14"/>
        <v>0.21593347133574037</v>
      </c>
      <c r="M181" s="10">
        <f t="shared" si="18"/>
        <v>0.2161106882563926</v>
      </c>
      <c r="P181" s="8">
        <f t="shared" si="19"/>
        <v>32.490266602479778</v>
      </c>
    </row>
    <row r="182" spans="1:16" x14ac:dyDescent="0.2">
      <c r="A182" s="8">
        <v>90</v>
      </c>
      <c r="B182" s="8">
        <v>180</v>
      </c>
      <c r="D182">
        <v>1770.6908967391</v>
      </c>
      <c r="E182">
        <v>461.21535326087002</v>
      </c>
      <c r="F182">
        <v>139.46671242279001</v>
      </c>
      <c r="G182">
        <v>118.41592312972</v>
      </c>
      <c r="I182" s="9">
        <f t="shared" si="15"/>
        <v>342.79943013115002</v>
      </c>
      <c r="J182" s="9">
        <f t="shared" si="16"/>
        <v>1631.2241843163101</v>
      </c>
      <c r="K182" s="9">
        <f t="shared" si="17"/>
        <v>342.79943013115002</v>
      </c>
      <c r="L182" s="10">
        <f t="shared" si="14"/>
        <v>0.21014857027443254</v>
      </c>
      <c r="M182" s="10">
        <f>L182+ABS($N$2)*A182</f>
        <v>0.21032677723374762</v>
      </c>
      <c r="P182" s="8">
        <f t="shared" si="19"/>
        <v>28.944343355564268</v>
      </c>
    </row>
    <row r="183" spans="1:16" x14ac:dyDescent="0.2">
      <c r="A183" s="8">
        <v>90.5</v>
      </c>
      <c r="B183" s="8">
        <v>181</v>
      </c>
      <c r="D183">
        <v>1868.6005434783001</v>
      </c>
      <c r="E183">
        <v>482.99184782609001</v>
      </c>
      <c r="F183">
        <v>139.02539464653</v>
      </c>
      <c r="G183">
        <v>118.39807824297</v>
      </c>
      <c r="I183" s="9">
        <f t="shared" si="15"/>
        <v>364.59376958311998</v>
      </c>
      <c r="J183" s="9">
        <f t="shared" si="16"/>
        <v>1729.5751488317701</v>
      </c>
      <c r="K183" s="9">
        <f t="shared" si="17"/>
        <v>364.59376958311998</v>
      </c>
      <c r="L183" s="10">
        <f t="shared" si="14"/>
        <v>0.21079961158633806</v>
      </c>
      <c r="M183" s="10">
        <f t="shared" ref="M183:M241" si="20">L183+ABS($N$2)*A183</f>
        <v>0.210978808584316</v>
      </c>
      <c r="P183" s="8">
        <f t="shared" si="19"/>
        <v>29.344082064311007</v>
      </c>
    </row>
    <row r="184" spans="1:16" x14ac:dyDescent="0.2">
      <c r="A184" s="8">
        <v>91</v>
      </c>
      <c r="B184" s="8">
        <v>182</v>
      </c>
      <c r="D184">
        <v>1951.3729619564999</v>
      </c>
      <c r="E184">
        <v>506.81114130434997</v>
      </c>
      <c r="F184">
        <v>139.30954015099999</v>
      </c>
      <c r="G184">
        <v>118.44612216884001</v>
      </c>
      <c r="I184" s="9">
        <f t="shared" si="15"/>
        <v>388.36501913550995</v>
      </c>
      <c r="J184" s="9">
        <f t="shared" si="16"/>
        <v>1812.0634218055</v>
      </c>
      <c r="K184" s="9">
        <f t="shared" si="17"/>
        <v>388.36501913550995</v>
      </c>
      <c r="L184" s="10">
        <f t="shared" si="14"/>
        <v>0.21432197927628363</v>
      </c>
      <c r="M184" s="10">
        <f t="shared" si="20"/>
        <v>0.21450216631292443</v>
      </c>
      <c r="P184" s="8">
        <f t="shared" si="19"/>
        <v>31.504135361838877</v>
      </c>
    </row>
    <row r="185" spans="1:16" x14ac:dyDescent="0.2">
      <c r="A185" s="8">
        <v>91.5</v>
      </c>
      <c r="B185" s="8">
        <v>183</v>
      </c>
      <c r="D185">
        <v>1981.2316576087001</v>
      </c>
      <c r="E185">
        <v>515.46059782608995</v>
      </c>
      <c r="F185">
        <v>139.40013726836</v>
      </c>
      <c r="G185">
        <v>118.78929306795</v>
      </c>
      <c r="I185" s="9">
        <f t="shared" si="15"/>
        <v>396.67130475813997</v>
      </c>
      <c r="J185" s="9">
        <f t="shared" si="16"/>
        <v>1841.8315203403401</v>
      </c>
      <c r="K185" s="9">
        <f t="shared" si="17"/>
        <v>396.67130475813997</v>
      </c>
      <c r="L185" s="10">
        <f t="shared" si="14"/>
        <v>0.21536785551636212</v>
      </c>
      <c r="M185" s="10">
        <f t="shared" si="20"/>
        <v>0.2155490325916658</v>
      </c>
      <c r="P185" s="8">
        <f t="shared" si="19"/>
        <v>32.145934217261697</v>
      </c>
    </row>
    <row r="186" spans="1:16" x14ac:dyDescent="0.2">
      <c r="A186" s="8">
        <v>92</v>
      </c>
      <c r="B186" s="8">
        <v>184</v>
      </c>
      <c r="D186">
        <v>1990.2785326087001</v>
      </c>
      <c r="E186">
        <v>512.90081521739</v>
      </c>
      <c r="F186">
        <v>139.09059711736001</v>
      </c>
      <c r="G186">
        <v>118.25531914894</v>
      </c>
      <c r="I186" s="9">
        <f t="shared" si="15"/>
        <v>394.64549606845003</v>
      </c>
      <c r="J186" s="9">
        <f t="shared" si="16"/>
        <v>1851.1879354913401</v>
      </c>
      <c r="K186" s="9">
        <f t="shared" si="17"/>
        <v>394.64549606845003</v>
      </c>
      <c r="L186" s="10">
        <f t="shared" si="14"/>
        <v>0.21318499786122672</v>
      </c>
      <c r="M186" s="10">
        <f t="shared" si="20"/>
        <v>0.21336716497519326</v>
      </c>
      <c r="P186" s="8">
        <f t="shared" si="19"/>
        <v>30.80830383659859</v>
      </c>
    </row>
    <row r="187" spans="1:16" x14ac:dyDescent="0.2">
      <c r="A187" s="8">
        <v>92.5</v>
      </c>
      <c r="B187" s="8">
        <v>185</v>
      </c>
      <c r="D187">
        <v>1994.9836956521999</v>
      </c>
      <c r="E187">
        <v>508.72758152173998</v>
      </c>
      <c r="F187">
        <v>138.98009608785</v>
      </c>
      <c r="G187">
        <v>118.45092656142999</v>
      </c>
      <c r="I187" s="9">
        <f t="shared" si="15"/>
        <v>390.27665496031</v>
      </c>
      <c r="J187" s="9">
        <f t="shared" si="16"/>
        <v>1856.00359956435</v>
      </c>
      <c r="K187" s="9">
        <f t="shared" si="17"/>
        <v>390.27665496031</v>
      </c>
      <c r="L187" s="10">
        <f t="shared" si="14"/>
        <v>0.21027796231209767</v>
      </c>
      <c r="M187" s="10">
        <f t="shared" si="20"/>
        <v>0.21046111946472706</v>
      </c>
      <c r="P187" s="8">
        <f t="shared" si="19"/>
        <v>29.026704103855078</v>
      </c>
    </row>
    <row r="188" spans="1:16" x14ac:dyDescent="0.2">
      <c r="A188" s="8">
        <v>93</v>
      </c>
      <c r="B188" s="8">
        <v>186</v>
      </c>
      <c r="D188">
        <v>1964.4689419795</v>
      </c>
      <c r="E188">
        <v>492.55085324231999</v>
      </c>
      <c r="F188">
        <v>138.75566231984001</v>
      </c>
      <c r="G188">
        <v>118.01647220316001</v>
      </c>
      <c r="I188" s="9">
        <f t="shared" si="15"/>
        <v>374.53438103916</v>
      </c>
      <c r="J188" s="9">
        <f t="shared" si="16"/>
        <v>1825.71327965966</v>
      </c>
      <c r="K188" s="9">
        <f t="shared" si="17"/>
        <v>374.53438103916</v>
      </c>
      <c r="L188" s="10">
        <f t="shared" si="14"/>
        <v>0.20514414021733948</v>
      </c>
      <c r="M188" s="10">
        <f t="shared" si="20"/>
        <v>0.20532828740863174</v>
      </c>
      <c r="P188" s="8">
        <f t="shared" si="19"/>
        <v>25.87993569075828</v>
      </c>
    </row>
    <row r="189" spans="1:16" x14ac:dyDescent="0.2">
      <c r="A189" s="8">
        <v>93.5</v>
      </c>
      <c r="B189" s="8">
        <v>187</v>
      </c>
      <c r="D189">
        <v>1973.8354948806</v>
      </c>
      <c r="E189">
        <v>494.87849829352001</v>
      </c>
      <c r="F189">
        <v>139.25051475634999</v>
      </c>
      <c r="G189">
        <v>118.20247083047001</v>
      </c>
      <c r="I189" s="9">
        <f t="shared" si="15"/>
        <v>376.67602746304999</v>
      </c>
      <c r="J189" s="9">
        <f t="shared" si="16"/>
        <v>1834.58498012425</v>
      </c>
      <c r="K189" s="9">
        <f t="shared" si="17"/>
        <v>376.67602746304999</v>
      </c>
      <c r="L189" s="10">
        <f t="shared" si="14"/>
        <v>0.2053194763632803</v>
      </c>
      <c r="M189" s="10">
        <f t="shared" si="20"/>
        <v>0.20550461359323541</v>
      </c>
      <c r="P189" s="8">
        <f t="shared" si="19"/>
        <v>25.988035402973452</v>
      </c>
    </row>
    <row r="190" spans="1:16" x14ac:dyDescent="0.2">
      <c r="A190" s="8">
        <v>94</v>
      </c>
      <c r="B190" s="8">
        <v>188</v>
      </c>
      <c r="D190">
        <v>1983.3098976109</v>
      </c>
      <c r="E190">
        <v>498.24709897611001</v>
      </c>
      <c r="F190">
        <v>138.68428277282001</v>
      </c>
      <c r="G190">
        <v>118.15854495539</v>
      </c>
      <c r="I190" s="9">
        <f t="shared" si="15"/>
        <v>380.08855402072004</v>
      </c>
      <c r="J190" s="9">
        <f t="shared" si="16"/>
        <v>1844.6256148380799</v>
      </c>
      <c r="K190" s="9">
        <f t="shared" si="17"/>
        <v>380.08855402072004</v>
      </c>
      <c r="L190" s="10">
        <f t="shared" si="14"/>
        <v>0.2060518681749326</v>
      </c>
      <c r="M190" s="10">
        <f t="shared" si="20"/>
        <v>0.20623799544355056</v>
      </c>
      <c r="P190" s="8">
        <f t="shared" si="19"/>
        <v>26.43764739418787</v>
      </c>
    </row>
    <row r="191" spans="1:16" x14ac:dyDescent="0.2">
      <c r="A191" s="8">
        <v>94.5</v>
      </c>
      <c r="B191" s="8">
        <v>189</v>
      </c>
      <c r="D191">
        <v>1998.5027397260001</v>
      </c>
      <c r="E191">
        <v>488.18630136986002</v>
      </c>
      <c r="F191">
        <v>139.26561427591</v>
      </c>
      <c r="G191">
        <v>118.67055593686</v>
      </c>
      <c r="I191" s="9">
        <f t="shared" si="15"/>
        <v>369.51574543300001</v>
      </c>
      <c r="J191" s="9">
        <f t="shared" si="16"/>
        <v>1859.2371254500902</v>
      </c>
      <c r="K191" s="9">
        <f t="shared" si="17"/>
        <v>369.51574543300001</v>
      </c>
      <c r="L191" s="10">
        <f t="shared" si="14"/>
        <v>0.19874589441814552</v>
      </c>
      <c r="M191" s="10">
        <f t="shared" si="20"/>
        <v>0.19893301172542638</v>
      </c>
      <c r="P191" s="8">
        <f t="shared" si="19"/>
        <v>21.959205128561436</v>
      </c>
    </row>
    <row r="192" spans="1:16" x14ac:dyDescent="0.2">
      <c r="A192" s="8">
        <v>95</v>
      </c>
      <c r="B192" s="8">
        <v>190</v>
      </c>
      <c r="D192">
        <v>1997.6905248807</v>
      </c>
      <c r="E192">
        <v>480.93387866393999</v>
      </c>
      <c r="F192">
        <v>139.30748112559999</v>
      </c>
      <c r="G192">
        <v>118.3081674674</v>
      </c>
      <c r="I192" s="9">
        <f t="shared" si="15"/>
        <v>362.62571119654001</v>
      </c>
      <c r="J192" s="9">
        <f t="shared" si="16"/>
        <v>1858.3830437551001</v>
      </c>
      <c r="K192" s="9">
        <f t="shared" si="17"/>
        <v>362.62571119654001</v>
      </c>
      <c r="L192" s="10">
        <f t="shared" si="14"/>
        <v>0.19512969213484024</v>
      </c>
      <c r="M192" s="10">
        <f t="shared" si="20"/>
        <v>0.19531779948078395</v>
      </c>
      <c r="P192" s="8">
        <f t="shared" si="19"/>
        <v>19.742838885958179</v>
      </c>
    </row>
    <row r="193" spans="1:16" x14ac:dyDescent="0.2">
      <c r="A193" s="8">
        <v>95.5</v>
      </c>
      <c r="B193" s="8">
        <v>191</v>
      </c>
      <c r="D193">
        <v>1952.2793220338999</v>
      </c>
      <c r="E193">
        <v>458.13694915254001</v>
      </c>
      <c r="F193">
        <v>138.68359643101999</v>
      </c>
      <c r="G193">
        <v>118.25326012354</v>
      </c>
      <c r="I193" s="9">
        <f t="shared" si="15"/>
        <v>339.88368902900004</v>
      </c>
      <c r="J193" s="9">
        <f t="shared" si="16"/>
        <v>1813.5957256028798</v>
      </c>
      <c r="K193" s="9">
        <f t="shared" si="17"/>
        <v>339.88368902900004</v>
      </c>
      <c r="L193" s="10">
        <f t="shared" si="14"/>
        <v>0.18740873957232948</v>
      </c>
      <c r="M193" s="10">
        <f t="shared" si="20"/>
        <v>0.18759783695693605</v>
      </c>
      <c r="P193" s="8">
        <f t="shared" si="19"/>
        <v>15.009986933109399</v>
      </c>
    </row>
    <row r="194" spans="1:16" x14ac:dyDescent="0.2">
      <c r="A194" s="8">
        <v>96</v>
      </c>
      <c r="B194" s="8">
        <v>192</v>
      </c>
      <c r="D194">
        <v>1943.1735593220001</v>
      </c>
      <c r="E194">
        <v>459.16949152542003</v>
      </c>
      <c r="F194">
        <v>139.18531228552001</v>
      </c>
      <c r="G194">
        <v>118.50789293068</v>
      </c>
      <c r="I194" s="9">
        <f t="shared" si="15"/>
        <v>340.66159859474004</v>
      </c>
      <c r="J194" s="9">
        <f t="shared" si="16"/>
        <v>1803.9882470364801</v>
      </c>
      <c r="K194" s="9">
        <f t="shared" si="17"/>
        <v>340.66159859474004</v>
      </c>
      <c r="L194" s="10">
        <f t="shared" ref="L194:L257" si="21">K194/J194</f>
        <v>0.18883803658608384</v>
      </c>
      <c r="M194" s="10">
        <f t="shared" si="20"/>
        <v>0.18902812400935326</v>
      </c>
      <c r="P194" s="8">
        <f t="shared" si="19"/>
        <v>15.886848297171182</v>
      </c>
    </row>
    <row r="195" spans="1:16" x14ac:dyDescent="0.2">
      <c r="A195" s="8">
        <v>96.5</v>
      </c>
      <c r="B195" s="8">
        <v>193</v>
      </c>
      <c r="D195">
        <v>1873.9430508475</v>
      </c>
      <c r="E195">
        <v>437.24338983051001</v>
      </c>
      <c r="F195">
        <v>139.68840082361001</v>
      </c>
      <c r="G195">
        <v>118.17638984214</v>
      </c>
      <c r="I195" s="9">
        <f t="shared" ref="I195:I241" si="22">E195-G195</f>
        <v>319.06699998837001</v>
      </c>
      <c r="J195" s="9">
        <f t="shared" ref="J195:J241" si="23">D195-F195</f>
        <v>1734.25465002389</v>
      </c>
      <c r="K195" s="9">
        <f t="shared" ref="K195:K258" si="24">I195*1</f>
        <v>319.06699998837001</v>
      </c>
      <c r="L195" s="10">
        <f t="shared" si="21"/>
        <v>0.18397932505700634</v>
      </c>
      <c r="M195" s="10">
        <f t="shared" si="20"/>
        <v>0.18417040251893863</v>
      </c>
      <c r="P195" s="8">
        <f t="shared" ref="P195:P241" si="25">(M195-$O$2)/$O$2*100</f>
        <v>12.908741010862116</v>
      </c>
    </row>
    <row r="196" spans="1:16" x14ac:dyDescent="0.2">
      <c r="A196" s="8">
        <v>97</v>
      </c>
      <c r="B196" s="8">
        <v>194</v>
      </c>
      <c r="D196">
        <v>1870.0425531915</v>
      </c>
      <c r="E196">
        <v>444.41592312972</v>
      </c>
      <c r="F196">
        <v>139.07687028140001</v>
      </c>
      <c r="G196">
        <v>118.66437886067</v>
      </c>
      <c r="I196" s="9">
        <f t="shared" si="22"/>
        <v>325.75154426904999</v>
      </c>
      <c r="J196" s="9">
        <f t="shared" si="23"/>
        <v>1730.9656829101</v>
      </c>
      <c r="K196" s="9">
        <f t="shared" si="24"/>
        <v>325.75154426904999</v>
      </c>
      <c r="L196" s="10">
        <f t="shared" si="21"/>
        <v>0.18819064264832588</v>
      </c>
      <c r="M196" s="10">
        <f t="shared" si="20"/>
        <v>0.18838271014892102</v>
      </c>
      <c r="P196" s="8">
        <f t="shared" si="25"/>
        <v>15.491166551268115</v>
      </c>
    </row>
    <row r="197" spans="1:16" x14ac:dyDescent="0.2">
      <c r="A197" s="8">
        <v>97.5</v>
      </c>
      <c r="B197" s="8">
        <v>195</v>
      </c>
      <c r="D197">
        <v>1771.4317089911001</v>
      </c>
      <c r="E197">
        <v>426.09746053535002</v>
      </c>
      <c r="F197">
        <v>139.41249142072999</v>
      </c>
      <c r="G197">
        <v>118.63692518873999</v>
      </c>
      <c r="I197" s="9">
        <f t="shared" si="22"/>
        <v>307.46053534661002</v>
      </c>
      <c r="J197" s="9">
        <f t="shared" si="23"/>
        <v>1632.0192175703701</v>
      </c>
      <c r="K197" s="9">
        <f t="shared" si="24"/>
        <v>307.46053534661002</v>
      </c>
      <c r="L197" s="10">
        <f t="shared" si="21"/>
        <v>0.18839271746097119</v>
      </c>
      <c r="M197" s="10">
        <f t="shared" si="20"/>
        <v>0.18858577500022922</v>
      </c>
      <c r="P197" s="8">
        <f t="shared" si="25"/>
        <v>15.615658849656878</v>
      </c>
    </row>
    <row r="198" spans="1:16" x14ac:dyDescent="0.2">
      <c r="A198" s="8">
        <v>98</v>
      </c>
      <c r="B198" s="8">
        <v>196</v>
      </c>
      <c r="D198">
        <v>1899.6586867305</v>
      </c>
      <c r="E198">
        <v>445.53556771545999</v>
      </c>
      <c r="F198">
        <v>139.55525051475999</v>
      </c>
      <c r="G198">
        <v>118.72546328071</v>
      </c>
      <c r="I198" s="9">
        <f t="shared" si="22"/>
        <v>326.81010443474997</v>
      </c>
      <c r="J198" s="9">
        <f t="shared" si="23"/>
        <v>1760.10343621574</v>
      </c>
      <c r="K198" s="9">
        <f t="shared" si="24"/>
        <v>326.81010443474997</v>
      </c>
      <c r="L198" s="10">
        <f t="shared" si="21"/>
        <v>0.18567664701422246</v>
      </c>
      <c r="M198" s="10">
        <f t="shared" si="20"/>
        <v>0.18587069459214334</v>
      </c>
      <c r="P198" s="8">
        <f t="shared" si="25"/>
        <v>13.951133462149453</v>
      </c>
    </row>
    <row r="199" spans="1:16" x14ac:dyDescent="0.2">
      <c r="A199" s="8">
        <v>98.5</v>
      </c>
      <c r="B199" s="8">
        <v>197</v>
      </c>
      <c r="D199">
        <v>1904.4904240766</v>
      </c>
      <c r="E199">
        <v>447.55608755129998</v>
      </c>
      <c r="F199">
        <v>139.21276595744999</v>
      </c>
      <c r="G199">
        <v>118.10226492792999</v>
      </c>
      <c r="I199" s="9">
        <f t="shared" si="22"/>
        <v>329.45382262337</v>
      </c>
      <c r="J199" s="9">
        <f t="shared" si="23"/>
        <v>1765.2776581191499</v>
      </c>
      <c r="K199" s="9">
        <f t="shared" si="24"/>
        <v>329.45382262337</v>
      </c>
      <c r="L199" s="10">
        <f t="shared" si="21"/>
        <v>0.1866300301870886</v>
      </c>
      <c r="M199" s="10">
        <f t="shared" si="20"/>
        <v>0.18682506780367233</v>
      </c>
      <c r="P199" s="8">
        <f t="shared" si="25"/>
        <v>14.536227898032827</v>
      </c>
    </row>
    <row r="200" spans="1:16" x14ac:dyDescent="0.2">
      <c r="A200" s="8">
        <v>99</v>
      </c>
      <c r="B200" s="8">
        <v>198</v>
      </c>
      <c r="D200">
        <v>1956.5253077975001</v>
      </c>
      <c r="E200">
        <v>460.03625170998998</v>
      </c>
      <c r="F200">
        <v>139.29238160604001</v>
      </c>
      <c r="G200">
        <v>118.12765957447</v>
      </c>
      <c r="I200" s="9">
        <f t="shared" si="22"/>
        <v>341.90859213552</v>
      </c>
      <c r="J200" s="9">
        <f t="shared" si="23"/>
        <v>1817.2329261914601</v>
      </c>
      <c r="K200" s="9">
        <f t="shared" si="24"/>
        <v>341.90859213552</v>
      </c>
      <c r="L200" s="10">
        <f t="shared" si="21"/>
        <v>0.18814791830351041</v>
      </c>
      <c r="M200" s="10">
        <f t="shared" si="20"/>
        <v>0.188343945958757</v>
      </c>
      <c r="P200" s="8">
        <f t="shared" si="25"/>
        <v>15.467401517104848</v>
      </c>
    </row>
    <row r="201" spans="1:16" x14ac:dyDescent="0.2">
      <c r="A201" s="8">
        <v>99.5</v>
      </c>
      <c r="B201" s="8">
        <v>199</v>
      </c>
      <c r="D201">
        <v>1980.4086897488</v>
      </c>
      <c r="E201">
        <v>456.53292600136001</v>
      </c>
      <c r="F201">
        <v>139.33287577214</v>
      </c>
      <c r="G201">
        <v>118.47426218257</v>
      </c>
      <c r="I201" s="9">
        <f t="shared" si="22"/>
        <v>338.05866381879002</v>
      </c>
      <c r="J201" s="9">
        <f t="shared" si="23"/>
        <v>1841.0758139766601</v>
      </c>
      <c r="K201" s="9">
        <f t="shared" si="24"/>
        <v>338.05866381879002</v>
      </c>
      <c r="L201" s="10">
        <f t="shared" si="21"/>
        <v>0.18362017536290098</v>
      </c>
      <c r="M201" s="10">
        <f t="shared" si="20"/>
        <v>0.18381719305681044</v>
      </c>
      <c r="P201" s="8">
        <f t="shared" si="25"/>
        <v>12.692200051312891</v>
      </c>
    </row>
    <row r="202" spans="1:16" x14ac:dyDescent="0.2">
      <c r="A202" s="8">
        <v>100</v>
      </c>
      <c r="B202" s="8">
        <v>200</v>
      </c>
      <c r="D202">
        <v>1982.0420909708</v>
      </c>
      <c r="E202">
        <v>454.37678207738998</v>
      </c>
      <c r="F202">
        <v>139.29993136581999</v>
      </c>
      <c r="G202">
        <v>118.12285518188</v>
      </c>
      <c r="I202" s="9">
        <f t="shared" si="22"/>
        <v>336.25392689550995</v>
      </c>
      <c r="J202" s="9">
        <f t="shared" si="23"/>
        <v>1842.7421596049801</v>
      </c>
      <c r="K202" s="9">
        <f t="shared" si="24"/>
        <v>336.25392689550995</v>
      </c>
      <c r="L202" s="10">
        <f t="shared" si="21"/>
        <v>0.18247475651590406</v>
      </c>
      <c r="M202" s="10">
        <f t="shared" si="20"/>
        <v>0.18267276424847637</v>
      </c>
      <c r="P202" s="8">
        <f t="shared" si="25"/>
        <v>11.990588857775572</v>
      </c>
    </row>
    <row r="203" spans="1:16" x14ac:dyDescent="0.2">
      <c r="A203" s="8">
        <v>100.5</v>
      </c>
      <c r="B203" s="8">
        <v>201</v>
      </c>
      <c r="D203">
        <v>1877.2713498623</v>
      </c>
      <c r="E203">
        <v>427.78099173554</v>
      </c>
      <c r="F203">
        <v>139.75497597803999</v>
      </c>
      <c r="G203">
        <v>118.70899107756</v>
      </c>
      <c r="I203" s="9">
        <f t="shared" si="22"/>
        <v>309.07200065797997</v>
      </c>
      <c r="J203" s="9">
        <f t="shared" si="23"/>
        <v>1737.51637388426</v>
      </c>
      <c r="K203" s="9">
        <f t="shared" si="24"/>
        <v>309.07200065797997</v>
      </c>
      <c r="L203" s="10">
        <f t="shared" si="21"/>
        <v>0.17788148952348692</v>
      </c>
      <c r="M203" s="10">
        <f t="shared" si="20"/>
        <v>0.17808048729472212</v>
      </c>
      <c r="P203" s="8">
        <f t="shared" si="25"/>
        <v>9.1752167777353488</v>
      </c>
    </row>
    <row r="204" spans="1:16" x14ac:dyDescent="0.2">
      <c r="A204" s="8">
        <v>101</v>
      </c>
      <c r="B204" s="8">
        <v>202</v>
      </c>
      <c r="D204">
        <v>1820.9347382732999</v>
      </c>
      <c r="E204">
        <v>413.26172671652</v>
      </c>
      <c r="F204">
        <v>139.5010295127</v>
      </c>
      <c r="G204">
        <v>118.42964996568</v>
      </c>
      <c r="I204" s="9">
        <f t="shared" si="22"/>
        <v>294.83207675083997</v>
      </c>
      <c r="J204" s="9">
        <f t="shared" si="23"/>
        <v>1681.4337087606</v>
      </c>
      <c r="K204" s="9">
        <f t="shared" si="24"/>
        <v>294.83207675083997</v>
      </c>
      <c r="L204" s="10">
        <f t="shared" si="21"/>
        <v>0.17534564414565196</v>
      </c>
      <c r="M204" s="10">
        <f t="shared" si="20"/>
        <v>0.17554563195555001</v>
      </c>
      <c r="P204" s="8">
        <f t="shared" si="25"/>
        <v>7.6211813785829072</v>
      </c>
    </row>
    <row r="205" spans="1:16" x14ac:dyDescent="0.2">
      <c r="A205" s="8">
        <v>101.5</v>
      </c>
      <c r="B205" s="8">
        <v>203</v>
      </c>
      <c r="D205">
        <v>1837.9265805574</v>
      </c>
      <c r="E205">
        <v>413.14276002718998</v>
      </c>
      <c r="F205">
        <v>139.30061770762001</v>
      </c>
      <c r="G205">
        <v>118.04529855868</v>
      </c>
      <c r="I205" s="9">
        <f t="shared" si="22"/>
        <v>295.09746146851001</v>
      </c>
      <c r="J205" s="9">
        <f t="shared" si="23"/>
        <v>1698.6259628497801</v>
      </c>
      <c r="K205" s="9">
        <f t="shared" si="24"/>
        <v>295.09746146851001</v>
      </c>
      <c r="L205" s="10">
        <f t="shared" si="21"/>
        <v>0.17372715825762242</v>
      </c>
      <c r="M205" s="10">
        <f t="shared" si="20"/>
        <v>0.17392813610618332</v>
      </c>
      <c r="P205" s="8">
        <f t="shared" si="25"/>
        <v>6.6295485350617707</v>
      </c>
    </row>
    <row r="206" spans="1:16" x14ac:dyDescent="0.2">
      <c r="A206" s="8">
        <v>102</v>
      </c>
      <c r="B206" s="8">
        <v>204</v>
      </c>
      <c r="D206">
        <v>1854.2050237609999</v>
      </c>
      <c r="E206">
        <v>420.04684317719</v>
      </c>
      <c r="F206">
        <v>139.10295126973</v>
      </c>
      <c r="G206">
        <v>117.94989704872999</v>
      </c>
      <c r="I206" s="9">
        <f t="shared" si="22"/>
        <v>302.09694612845999</v>
      </c>
      <c r="J206" s="9">
        <f t="shared" si="23"/>
        <v>1715.1020724912698</v>
      </c>
      <c r="K206" s="9">
        <f t="shared" si="24"/>
        <v>302.09694612845999</v>
      </c>
      <c r="L206" s="10">
        <f t="shared" si="21"/>
        <v>0.17613933944447363</v>
      </c>
      <c r="M206" s="10">
        <f t="shared" si="20"/>
        <v>0.17634130733169739</v>
      </c>
      <c r="P206" s="8">
        <f t="shared" si="25"/>
        <v>8.1089834561447844</v>
      </c>
    </row>
    <row r="207" spans="1:16" x14ac:dyDescent="0.2">
      <c r="A207" s="8">
        <v>102.5</v>
      </c>
      <c r="B207" s="8">
        <v>205</v>
      </c>
      <c r="D207">
        <v>1898.9076714189</v>
      </c>
      <c r="E207">
        <v>429.61710794296999</v>
      </c>
      <c r="F207">
        <v>139.61358956761001</v>
      </c>
      <c r="G207">
        <v>118.09540150994999</v>
      </c>
      <c r="I207" s="9">
        <f t="shared" si="22"/>
        <v>311.52170643301997</v>
      </c>
      <c r="J207" s="9">
        <f t="shared" si="23"/>
        <v>1759.29408185129</v>
      </c>
      <c r="K207" s="9">
        <f t="shared" si="24"/>
        <v>311.52170643301997</v>
      </c>
      <c r="L207" s="10">
        <f t="shared" si="21"/>
        <v>0.17707199134394197</v>
      </c>
      <c r="M207" s="10">
        <f t="shared" si="20"/>
        <v>0.17727494926982859</v>
      </c>
      <c r="P207" s="8">
        <f t="shared" si="25"/>
        <v>8.6813682386480124</v>
      </c>
    </row>
    <row r="208" spans="1:16" x14ac:dyDescent="0.2">
      <c r="A208" s="8">
        <v>103</v>
      </c>
      <c r="B208" s="8">
        <v>206</v>
      </c>
      <c r="D208">
        <v>1883.5960624576001</v>
      </c>
      <c r="E208">
        <v>425.52138492872001</v>
      </c>
      <c r="F208">
        <v>139.32052161977001</v>
      </c>
      <c r="G208">
        <v>118.10981468771</v>
      </c>
      <c r="I208" s="9">
        <f t="shared" si="22"/>
        <v>307.41157024101</v>
      </c>
      <c r="J208" s="9">
        <f t="shared" si="23"/>
        <v>1744.27554083783</v>
      </c>
      <c r="K208" s="9">
        <f t="shared" si="24"/>
        <v>307.41157024101</v>
      </c>
      <c r="L208" s="10">
        <f t="shared" si="21"/>
        <v>0.17624025736974483</v>
      </c>
      <c r="M208" s="10">
        <f t="shared" si="20"/>
        <v>0.17644420533429431</v>
      </c>
      <c r="P208" s="8">
        <f t="shared" si="25"/>
        <v>8.172066795089842</v>
      </c>
    </row>
    <row r="209" spans="1:16" x14ac:dyDescent="0.2">
      <c r="A209" s="8">
        <v>103.5</v>
      </c>
      <c r="B209" s="8">
        <v>207</v>
      </c>
      <c r="D209">
        <v>1831.9660556686999</v>
      </c>
      <c r="E209">
        <v>413.55668703327001</v>
      </c>
      <c r="F209">
        <v>139.04598490047999</v>
      </c>
      <c r="G209">
        <v>118.24159231297</v>
      </c>
      <c r="I209" s="9">
        <f t="shared" si="22"/>
        <v>295.31509472030001</v>
      </c>
      <c r="J209" s="9">
        <f t="shared" si="23"/>
        <v>1692.9200707682198</v>
      </c>
      <c r="K209" s="9">
        <f t="shared" si="24"/>
        <v>295.31509472030001</v>
      </c>
      <c r="L209" s="10">
        <f t="shared" si="21"/>
        <v>0.17444125084197909</v>
      </c>
      <c r="M209" s="10">
        <f t="shared" si="20"/>
        <v>0.17464618884519145</v>
      </c>
      <c r="P209" s="8">
        <f t="shared" si="25"/>
        <v>7.0697627585848579</v>
      </c>
    </row>
    <row r="210" spans="1:16" x14ac:dyDescent="0.2">
      <c r="A210" s="8">
        <v>104</v>
      </c>
      <c r="B210" s="8">
        <v>208</v>
      </c>
      <c r="D210">
        <v>1891.6965376782</v>
      </c>
      <c r="E210">
        <v>430.58723693143003</v>
      </c>
      <c r="F210">
        <v>138.95195607413001</v>
      </c>
      <c r="G210">
        <v>118.56280027454</v>
      </c>
      <c r="I210" s="9">
        <f t="shared" si="22"/>
        <v>312.02443665689003</v>
      </c>
      <c r="J210" s="9">
        <f t="shared" si="23"/>
        <v>1752.7445816040699</v>
      </c>
      <c r="K210" s="9">
        <f t="shared" si="24"/>
        <v>312.02443665689003</v>
      </c>
      <c r="L210" s="10">
        <f t="shared" si="21"/>
        <v>0.17802048280835803</v>
      </c>
      <c r="M210" s="10">
        <f t="shared" si="20"/>
        <v>0.17822641085023325</v>
      </c>
      <c r="P210" s="8">
        <f t="shared" si="25"/>
        <v>9.2646776504447725</v>
      </c>
    </row>
    <row r="211" spans="1:16" x14ac:dyDescent="0.2">
      <c r="A211" s="8">
        <v>104.5</v>
      </c>
      <c r="B211" s="8">
        <v>209</v>
      </c>
      <c r="D211">
        <v>1933.4114052953</v>
      </c>
      <c r="E211">
        <v>440.69857433809</v>
      </c>
      <c r="F211">
        <v>139.43719972546</v>
      </c>
      <c r="G211">
        <v>118.71928620452999</v>
      </c>
      <c r="I211" s="9">
        <f t="shared" si="22"/>
        <v>321.97928813355998</v>
      </c>
      <c r="J211" s="9">
        <f t="shared" si="23"/>
        <v>1793.97420556984</v>
      </c>
      <c r="K211" s="9">
        <f t="shared" si="24"/>
        <v>321.97928813355998</v>
      </c>
      <c r="L211" s="10">
        <f t="shared" si="21"/>
        <v>0.17947821497872993</v>
      </c>
      <c r="M211" s="10">
        <f t="shared" si="20"/>
        <v>0.179685133059268</v>
      </c>
      <c r="P211" s="8">
        <f t="shared" si="25"/>
        <v>10.15897166215364</v>
      </c>
    </row>
    <row r="212" spans="1:16" x14ac:dyDescent="0.2">
      <c r="A212" s="8">
        <v>105</v>
      </c>
      <c r="B212" s="8">
        <v>210</v>
      </c>
      <c r="D212">
        <v>1865.1207598372</v>
      </c>
      <c r="E212">
        <v>425.49389416553998</v>
      </c>
      <c r="F212">
        <v>139.45710363761</v>
      </c>
      <c r="G212">
        <v>118.54632807138</v>
      </c>
      <c r="I212" s="9">
        <f t="shared" si="22"/>
        <v>306.94756609415998</v>
      </c>
      <c r="J212" s="9">
        <f t="shared" si="23"/>
        <v>1725.6636561995899</v>
      </c>
      <c r="K212" s="9">
        <f t="shared" si="24"/>
        <v>306.94756609415998</v>
      </c>
      <c r="L212" s="10">
        <f t="shared" si="21"/>
        <v>0.17787218557418497</v>
      </c>
      <c r="M212" s="10">
        <f t="shared" si="20"/>
        <v>0.1780800936933859</v>
      </c>
      <c r="P212" s="8">
        <f t="shared" si="25"/>
        <v>9.1749754738628226</v>
      </c>
    </row>
    <row r="213" spans="1:16" x14ac:dyDescent="0.2">
      <c r="A213" s="8">
        <v>105.5</v>
      </c>
      <c r="B213" s="8">
        <v>211</v>
      </c>
      <c r="D213">
        <v>1818.2698630136999</v>
      </c>
      <c r="E213">
        <v>409.42054794520999</v>
      </c>
      <c r="F213">
        <v>139.49210706932001</v>
      </c>
      <c r="G213">
        <v>118.99450926561001</v>
      </c>
      <c r="I213" s="9">
        <f t="shared" si="22"/>
        <v>290.42603867959997</v>
      </c>
      <c r="J213" s="9">
        <f t="shared" si="23"/>
        <v>1678.7777559443798</v>
      </c>
      <c r="K213" s="9">
        <f t="shared" si="24"/>
        <v>290.42603867959997</v>
      </c>
      <c r="L213" s="10">
        <f t="shared" si="21"/>
        <v>0.17299850301877731</v>
      </c>
      <c r="M213" s="10">
        <f t="shared" si="20"/>
        <v>0.1732074011766411</v>
      </c>
      <c r="P213" s="8">
        <f t="shared" si="25"/>
        <v>6.1876899498377052</v>
      </c>
    </row>
    <row r="214" spans="1:16" x14ac:dyDescent="0.2">
      <c r="A214" s="8">
        <v>106</v>
      </c>
      <c r="B214" s="8">
        <v>212</v>
      </c>
      <c r="D214">
        <v>1708.0102739726001</v>
      </c>
      <c r="E214">
        <v>397.04589041096</v>
      </c>
      <c r="F214">
        <v>139.39396019218</v>
      </c>
      <c r="G214">
        <v>118.73438572409</v>
      </c>
      <c r="I214" s="9">
        <f t="shared" si="22"/>
        <v>278.31150468686997</v>
      </c>
      <c r="J214" s="9">
        <f t="shared" si="23"/>
        <v>1568.6163137804201</v>
      </c>
      <c r="K214" s="9">
        <f t="shared" si="24"/>
        <v>278.31150468686997</v>
      </c>
      <c r="L214" s="10">
        <f t="shared" si="21"/>
        <v>0.1774248439480586</v>
      </c>
      <c r="M214" s="10">
        <f t="shared" si="20"/>
        <v>0.17763473214458525</v>
      </c>
      <c r="P214" s="8">
        <f t="shared" si="25"/>
        <v>8.9019391385887126</v>
      </c>
    </row>
    <row r="215" spans="1:16" x14ac:dyDescent="0.2">
      <c r="A215" s="8">
        <v>106.5</v>
      </c>
      <c r="B215" s="8">
        <v>213</v>
      </c>
      <c r="D215">
        <v>1701.2659863946001</v>
      </c>
      <c r="E215">
        <v>399.19523809523997</v>
      </c>
      <c r="F215">
        <v>139.59505833905001</v>
      </c>
      <c r="G215">
        <v>118.46190803019999</v>
      </c>
      <c r="I215" s="9">
        <f t="shared" si="22"/>
        <v>280.73333006503998</v>
      </c>
      <c r="J215" s="9">
        <f t="shared" si="23"/>
        <v>1561.6709280555501</v>
      </c>
      <c r="K215" s="9">
        <f t="shared" si="24"/>
        <v>280.73333006503998</v>
      </c>
      <c r="L215" s="10">
        <f t="shared" si="21"/>
        <v>0.17976471548624104</v>
      </c>
      <c r="M215" s="10">
        <f t="shared" si="20"/>
        <v>0.17997559372143057</v>
      </c>
      <c r="P215" s="8">
        <f t="shared" si="25"/>
        <v>10.337043421944598</v>
      </c>
    </row>
    <row r="216" spans="1:16" x14ac:dyDescent="0.2">
      <c r="A216" s="8">
        <v>107</v>
      </c>
      <c r="B216" s="8">
        <v>214</v>
      </c>
      <c r="D216">
        <v>1730.1834924965999</v>
      </c>
      <c r="E216">
        <v>406.6514324693</v>
      </c>
      <c r="F216">
        <v>140.08167467398999</v>
      </c>
      <c r="G216">
        <v>118.41455044612</v>
      </c>
      <c r="I216" s="9">
        <f t="shared" si="22"/>
        <v>288.23688202317999</v>
      </c>
      <c r="J216" s="9">
        <f t="shared" si="23"/>
        <v>1590.10181782261</v>
      </c>
      <c r="K216" s="9">
        <f t="shared" si="24"/>
        <v>288.23688202317999</v>
      </c>
      <c r="L216" s="10">
        <f t="shared" si="21"/>
        <v>0.18126945003929013</v>
      </c>
      <c r="M216" s="10">
        <f t="shared" si="20"/>
        <v>0.18148131831314251</v>
      </c>
      <c r="P216" s="8">
        <f t="shared" si="25"/>
        <v>11.260153029319255</v>
      </c>
    </row>
    <row r="217" spans="1:16" x14ac:dyDescent="0.2">
      <c r="A217" s="8">
        <v>107.5</v>
      </c>
      <c r="B217" s="8">
        <v>215</v>
      </c>
      <c r="D217">
        <v>1720.3001364257</v>
      </c>
      <c r="E217">
        <v>401.90177353342</v>
      </c>
      <c r="F217">
        <v>139.78380233356</v>
      </c>
      <c r="G217">
        <v>118.52024708304999</v>
      </c>
      <c r="I217" s="9">
        <f t="shared" si="22"/>
        <v>283.38152645037002</v>
      </c>
      <c r="J217" s="9">
        <f t="shared" si="23"/>
        <v>1580.5163340921399</v>
      </c>
      <c r="K217" s="9">
        <f t="shared" si="24"/>
        <v>283.38152645037002</v>
      </c>
      <c r="L217" s="10">
        <f t="shared" si="21"/>
        <v>0.17929680341655338</v>
      </c>
      <c r="M217" s="10">
        <f t="shared" si="20"/>
        <v>0.17950966172906863</v>
      </c>
      <c r="P217" s="8">
        <f t="shared" si="25"/>
        <v>10.051396032707558</v>
      </c>
    </row>
    <row r="218" spans="1:16" x14ac:dyDescent="0.2">
      <c r="A218" s="8">
        <v>108</v>
      </c>
      <c r="B218" s="8">
        <v>216</v>
      </c>
      <c r="D218">
        <v>1737.1773533424</v>
      </c>
      <c r="E218">
        <v>403.20873124146999</v>
      </c>
      <c r="F218">
        <v>139.84488675360001</v>
      </c>
      <c r="G218">
        <v>118.51956074125</v>
      </c>
      <c r="I218" s="9">
        <f t="shared" si="22"/>
        <v>284.68917050021997</v>
      </c>
      <c r="J218" s="9">
        <f t="shared" si="23"/>
        <v>1597.3324665887999</v>
      </c>
      <c r="K218" s="9">
        <f t="shared" si="24"/>
        <v>284.68917050021997</v>
      </c>
      <c r="L218" s="10">
        <f t="shared" si="21"/>
        <v>0.17822787456902503</v>
      </c>
      <c r="M218" s="10">
        <f t="shared" si="20"/>
        <v>0.17844172292020313</v>
      </c>
      <c r="P218" s="8">
        <f t="shared" si="25"/>
        <v>9.3966783107693477</v>
      </c>
    </row>
    <row r="219" spans="1:16" x14ac:dyDescent="0.2">
      <c r="A219" s="8">
        <v>108.5</v>
      </c>
      <c r="B219" s="8">
        <v>217</v>
      </c>
      <c r="D219">
        <v>1757.1111869030999</v>
      </c>
      <c r="E219">
        <v>408.21691678036001</v>
      </c>
      <c r="F219">
        <v>139.51063829787</v>
      </c>
      <c r="G219">
        <v>118.31777625257</v>
      </c>
      <c r="I219" s="9">
        <f t="shared" si="22"/>
        <v>289.89914052779</v>
      </c>
      <c r="J219" s="9">
        <f t="shared" si="23"/>
        <v>1617.60054860523</v>
      </c>
      <c r="K219" s="9">
        <f t="shared" si="24"/>
        <v>289.89914052779</v>
      </c>
      <c r="L219" s="10">
        <f t="shared" si="21"/>
        <v>0.17921553054476549</v>
      </c>
      <c r="M219" s="10">
        <f t="shared" si="20"/>
        <v>0.17943036893460645</v>
      </c>
      <c r="P219" s="8">
        <f t="shared" si="25"/>
        <v>10.002784260829412</v>
      </c>
    </row>
    <row r="220" spans="1:16" x14ac:dyDescent="0.2">
      <c r="A220" s="8">
        <v>109</v>
      </c>
      <c r="B220" s="8">
        <v>218</v>
      </c>
      <c r="D220">
        <v>1738.7135061392</v>
      </c>
      <c r="E220">
        <v>405.00477489768002</v>
      </c>
      <c r="F220">
        <v>139.11393273850001</v>
      </c>
      <c r="G220">
        <v>118.43376801647</v>
      </c>
      <c r="I220" s="9">
        <f t="shared" si="22"/>
        <v>286.57100688121</v>
      </c>
      <c r="J220" s="9">
        <f t="shared" si="23"/>
        <v>1599.5995734007001</v>
      </c>
      <c r="K220" s="9">
        <f t="shared" si="24"/>
        <v>286.57100688121</v>
      </c>
      <c r="L220" s="10">
        <f t="shared" si="21"/>
        <v>0.1791517149957528</v>
      </c>
      <c r="M220" s="10">
        <f t="shared" si="20"/>
        <v>0.17936754342425662</v>
      </c>
      <c r="P220" s="8">
        <f t="shared" si="25"/>
        <v>9.9642680324890023</v>
      </c>
    </row>
    <row r="221" spans="1:16" x14ac:dyDescent="0.2">
      <c r="A221" s="8">
        <v>109.5</v>
      </c>
      <c r="B221" s="8">
        <v>219</v>
      </c>
      <c r="D221">
        <v>1732.3642564802001</v>
      </c>
      <c r="E221">
        <v>399.31582537516999</v>
      </c>
      <c r="F221">
        <v>139.31022649279001</v>
      </c>
      <c r="G221">
        <v>118.79752916952999</v>
      </c>
      <c r="I221" s="9">
        <f t="shared" si="22"/>
        <v>280.51829620564001</v>
      </c>
      <c r="J221" s="9">
        <f t="shared" si="23"/>
        <v>1593.0540299874101</v>
      </c>
      <c r="K221" s="9">
        <f t="shared" si="24"/>
        <v>280.51829620564001</v>
      </c>
      <c r="L221" s="10">
        <f t="shared" si="21"/>
        <v>0.17608837548834233</v>
      </c>
      <c r="M221" s="10">
        <f t="shared" si="20"/>
        <v>0.17630519395550903</v>
      </c>
      <c r="P221" s="8">
        <f t="shared" si="25"/>
        <v>8.0868435477593419</v>
      </c>
    </row>
    <row r="222" spans="1:16" x14ac:dyDescent="0.2">
      <c r="A222" s="8">
        <v>110</v>
      </c>
      <c r="B222" s="8">
        <v>220</v>
      </c>
      <c r="D222">
        <v>1742.2864938609</v>
      </c>
      <c r="E222">
        <v>401.47953615279999</v>
      </c>
      <c r="F222">
        <v>139.31571722717999</v>
      </c>
      <c r="G222">
        <v>118.17227179135</v>
      </c>
      <c r="I222" s="9">
        <f t="shared" si="22"/>
        <v>283.30726436145</v>
      </c>
      <c r="J222" s="9">
        <f t="shared" si="23"/>
        <v>1602.9707766337201</v>
      </c>
      <c r="K222" s="9">
        <f t="shared" si="24"/>
        <v>283.30726436145</v>
      </c>
      <c r="L222" s="10">
        <f t="shared" si="21"/>
        <v>0.17673888288618869</v>
      </c>
      <c r="M222" s="10">
        <f t="shared" si="20"/>
        <v>0.17695669139201825</v>
      </c>
      <c r="P222" s="8">
        <f t="shared" si="25"/>
        <v>8.4862549315754539</v>
      </c>
    </row>
    <row r="223" spans="1:16" x14ac:dyDescent="0.2">
      <c r="A223" s="8">
        <v>110.5</v>
      </c>
      <c r="B223" s="8">
        <v>221</v>
      </c>
      <c r="D223">
        <v>1827.9395380435001</v>
      </c>
      <c r="E223">
        <v>418.68274456521999</v>
      </c>
      <c r="F223">
        <v>139.30816746740001</v>
      </c>
      <c r="G223">
        <v>118.36376115305001</v>
      </c>
      <c r="I223" s="9">
        <f t="shared" si="22"/>
        <v>300.31898341216998</v>
      </c>
      <c r="J223" s="9">
        <f t="shared" si="23"/>
        <v>1688.6313705761002</v>
      </c>
      <c r="K223" s="9">
        <f t="shared" si="24"/>
        <v>300.31898341216998</v>
      </c>
      <c r="L223" s="10">
        <f t="shared" si="21"/>
        <v>0.17784756853694597</v>
      </c>
      <c r="M223" s="10">
        <f t="shared" si="20"/>
        <v>0.17806636708143839</v>
      </c>
      <c r="P223" s="8">
        <f t="shared" si="25"/>
        <v>9.1665601451664589</v>
      </c>
    </row>
    <row r="224" spans="1:16" x14ac:dyDescent="0.2">
      <c r="A224" s="8">
        <v>111</v>
      </c>
      <c r="B224" s="8">
        <v>222</v>
      </c>
      <c r="D224">
        <v>1818.5319293478001</v>
      </c>
      <c r="E224">
        <v>417.61413043478001</v>
      </c>
      <c r="F224">
        <v>139.77625257378</v>
      </c>
      <c r="G224">
        <v>118.4214138641</v>
      </c>
      <c r="I224" s="9">
        <f t="shared" si="22"/>
        <v>299.19271657067998</v>
      </c>
      <c r="J224" s="9">
        <f t="shared" si="23"/>
        <v>1678.75567677402</v>
      </c>
      <c r="K224" s="9">
        <f t="shared" si="24"/>
        <v>299.19271657067998</v>
      </c>
      <c r="L224" s="10">
        <f t="shared" si="21"/>
        <v>0.17822290682919595</v>
      </c>
      <c r="M224" s="10">
        <f t="shared" si="20"/>
        <v>0.17844269541235122</v>
      </c>
      <c r="P224" s="8">
        <f t="shared" si="25"/>
        <v>9.3972745133218858</v>
      </c>
    </row>
    <row r="225" spans="1:16" x14ac:dyDescent="0.2">
      <c r="A225" s="8">
        <v>111.5</v>
      </c>
      <c r="B225" s="8">
        <v>223</v>
      </c>
      <c r="D225">
        <v>1816.7846467391</v>
      </c>
      <c r="E225">
        <v>421.56861413043998</v>
      </c>
      <c r="F225">
        <v>139.4632807138</v>
      </c>
      <c r="G225">
        <v>118.73987645848</v>
      </c>
      <c r="I225" s="9">
        <f t="shared" si="22"/>
        <v>302.82873767195997</v>
      </c>
      <c r="J225" s="9">
        <f t="shared" si="23"/>
        <v>1677.3213660253</v>
      </c>
      <c r="K225" s="9">
        <f t="shared" si="24"/>
        <v>302.82873767195997</v>
      </c>
      <c r="L225" s="10">
        <f t="shared" si="21"/>
        <v>0.18054306336630319</v>
      </c>
      <c r="M225" s="10">
        <f t="shared" si="20"/>
        <v>0.18076384198812132</v>
      </c>
      <c r="P225" s="8">
        <f t="shared" si="25"/>
        <v>10.820292186017284</v>
      </c>
    </row>
    <row r="226" spans="1:16" x14ac:dyDescent="0.2">
      <c r="A226" s="8">
        <v>112</v>
      </c>
      <c r="B226" s="8">
        <v>224</v>
      </c>
      <c r="D226">
        <v>1833.7309782609</v>
      </c>
      <c r="E226">
        <v>430.47350543478001</v>
      </c>
      <c r="F226">
        <v>139.23816060397999</v>
      </c>
      <c r="G226">
        <v>118.66575154426999</v>
      </c>
      <c r="I226" s="9">
        <f t="shared" si="22"/>
        <v>311.80775389051001</v>
      </c>
      <c r="J226" s="9">
        <f t="shared" si="23"/>
        <v>1694.4928176569199</v>
      </c>
      <c r="K226" s="9">
        <f t="shared" si="24"/>
        <v>311.80775389051001</v>
      </c>
      <c r="L226" s="10">
        <f t="shared" si="21"/>
        <v>0.18401243761048566</v>
      </c>
      <c r="M226" s="10">
        <f t="shared" si="20"/>
        <v>0.18423420627096665</v>
      </c>
      <c r="P226" s="8">
        <f t="shared" si="25"/>
        <v>12.94785696660051</v>
      </c>
    </row>
    <row r="227" spans="1:16" x14ac:dyDescent="0.2">
      <c r="A227" s="8">
        <v>112.5</v>
      </c>
      <c r="B227" s="8">
        <v>225</v>
      </c>
      <c r="D227">
        <v>1816.8471467391</v>
      </c>
      <c r="E227">
        <v>429.53260869565003</v>
      </c>
      <c r="F227">
        <v>139.55387783116001</v>
      </c>
      <c r="G227">
        <v>118.44406314344999</v>
      </c>
      <c r="I227" s="9">
        <f t="shared" si="22"/>
        <v>311.0885455522</v>
      </c>
      <c r="J227" s="9">
        <f t="shared" si="23"/>
        <v>1677.29326890794</v>
      </c>
      <c r="K227" s="9">
        <f t="shared" si="24"/>
        <v>311.0885455522</v>
      </c>
      <c r="L227" s="10">
        <f t="shared" si="21"/>
        <v>0.18547057412013881</v>
      </c>
      <c r="M227" s="10">
        <f t="shared" si="20"/>
        <v>0.18569333281928269</v>
      </c>
      <c r="P227" s="8">
        <f t="shared" si="25"/>
        <v>13.842398865258451</v>
      </c>
    </row>
    <row r="228" spans="1:16" x14ac:dyDescent="0.2">
      <c r="A228" s="8">
        <v>113</v>
      </c>
      <c r="B228" s="8">
        <v>226</v>
      </c>
      <c r="D228">
        <v>1801.3838315216999</v>
      </c>
      <c r="E228">
        <v>431.97622282609001</v>
      </c>
      <c r="F228">
        <v>139.58750857927001</v>
      </c>
      <c r="G228">
        <v>118.05078929307</v>
      </c>
      <c r="I228" s="9">
        <f t="shared" si="22"/>
        <v>313.92543353302</v>
      </c>
      <c r="J228" s="9">
        <f t="shared" si="23"/>
        <v>1661.7963229424299</v>
      </c>
      <c r="K228" s="9">
        <f t="shared" si="24"/>
        <v>313.92543353302</v>
      </c>
      <c r="L228" s="10">
        <f t="shared" si="21"/>
        <v>0.18890728616920607</v>
      </c>
      <c r="M228" s="10">
        <f t="shared" si="20"/>
        <v>0.1891310349070128</v>
      </c>
      <c r="P228" s="8">
        <f t="shared" si="25"/>
        <v>15.949939541649737</v>
      </c>
    </row>
    <row r="229" spans="1:16" x14ac:dyDescent="0.2">
      <c r="A229" s="8">
        <v>113.5</v>
      </c>
      <c r="B229" s="8">
        <v>227</v>
      </c>
      <c r="D229">
        <v>1788.2493206521999</v>
      </c>
      <c r="E229">
        <v>434.89673913043998</v>
      </c>
      <c r="F229">
        <v>139.41523678792001</v>
      </c>
      <c r="G229">
        <v>118.38160603980999</v>
      </c>
      <c r="I229" s="9">
        <f t="shared" si="22"/>
        <v>316.51513309063</v>
      </c>
      <c r="J229" s="9">
        <f t="shared" si="23"/>
        <v>1648.8340838642798</v>
      </c>
      <c r="K229" s="9">
        <f t="shared" si="24"/>
        <v>316.51513309063</v>
      </c>
      <c r="L229" s="10">
        <f t="shared" si="21"/>
        <v>0.19196299748294338</v>
      </c>
      <c r="M229" s="10">
        <f t="shared" si="20"/>
        <v>0.19218773625941296</v>
      </c>
      <c r="P229" s="8">
        <f t="shared" si="25"/>
        <v>17.823901354325972</v>
      </c>
    </row>
    <row r="230" spans="1:16" x14ac:dyDescent="0.2">
      <c r="A230" s="8">
        <v>114</v>
      </c>
      <c r="B230" s="8">
        <v>228</v>
      </c>
      <c r="D230">
        <v>1767.0054347826001</v>
      </c>
      <c r="E230">
        <v>423.63994565217001</v>
      </c>
      <c r="F230">
        <v>139.31091283459</v>
      </c>
      <c r="G230">
        <v>118.42553191489</v>
      </c>
      <c r="I230" s="9">
        <f t="shared" si="22"/>
        <v>305.21441373727998</v>
      </c>
      <c r="J230" s="9">
        <f t="shared" si="23"/>
        <v>1627.6945219480101</v>
      </c>
      <c r="K230" s="9">
        <f t="shared" si="24"/>
        <v>305.21441373727998</v>
      </c>
      <c r="L230" s="10">
        <f t="shared" si="21"/>
        <v>0.18751332613198338</v>
      </c>
      <c r="M230" s="10">
        <f t="shared" si="20"/>
        <v>0.18773905494711582</v>
      </c>
      <c r="P230" s="8">
        <f t="shared" si="25"/>
        <v>15.096562980406913</v>
      </c>
    </row>
    <row r="231" spans="1:16" x14ac:dyDescent="0.2">
      <c r="A231" s="8">
        <v>114.5</v>
      </c>
      <c r="B231" s="8">
        <v>229</v>
      </c>
      <c r="D231">
        <v>1775.8600543478001</v>
      </c>
      <c r="E231">
        <v>420.19904891303997</v>
      </c>
      <c r="F231">
        <v>139.31159917638999</v>
      </c>
      <c r="G231">
        <v>118.21413864103999</v>
      </c>
      <c r="I231" s="9">
        <f t="shared" si="22"/>
        <v>301.98491027199998</v>
      </c>
      <c r="J231" s="9">
        <f t="shared" si="23"/>
        <v>1636.5484551714101</v>
      </c>
      <c r="K231" s="9">
        <f t="shared" si="24"/>
        <v>301.98491027199998</v>
      </c>
      <c r="L231" s="10">
        <f t="shared" si="21"/>
        <v>0.1845254928552485</v>
      </c>
      <c r="M231" s="10">
        <f t="shared" si="20"/>
        <v>0.1847522117090438</v>
      </c>
      <c r="P231" s="8">
        <f t="shared" si="25"/>
        <v>13.265428851388331</v>
      </c>
    </row>
    <row r="232" spans="1:16" x14ac:dyDescent="0.2">
      <c r="A232" s="8">
        <v>115</v>
      </c>
      <c r="B232" s="8">
        <v>230</v>
      </c>
      <c r="D232">
        <v>1767.4341032609</v>
      </c>
      <c r="E232">
        <v>426.11480978261</v>
      </c>
      <c r="F232">
        <v>138.98284145504999</v>
      </c>
      <c r="G232">
        <v>118.537405628</v>
      </c>
      <c r="I232" s="9">
        <f t="shared" si="22"/>
        <v>307.57740415461001</v>
      </c>
      <c r="J232" s="9">
        <f t="shared" si="23"/>
        <v>1628.45126180585</v>
      </c>
      <c r="K232" s="9">
        <f t="shared" si="24"/>
        <v>307.57740415461001</v>
      </c>
      <c r="L232" s="10">
        <f t="shared" si="21"/>
        <v>0.18887725495298277</v>
      </c>
      <c r="M232" s="10">
        <f t="shared" si="20"/>
        <v>0.18910496384544093</v>
      </c>
      <c r="P232" s="8">
        <f t="shared" si="25"/>
        <v>15.933956241952089</v>
      </c>
    </row>
    <row r="233" spans="1:16" x14ac:dyDescent="0.2">
      <c r="A233" s="8">
        <v>115.5</v>
      </c>
      <c r="B233" s="8">
        <v>231</v>
      </c>
      <c r="D233">
        <v>1769.4932065216999</v>
      </c>
      <c r="E233">
        <v>425.4402173913</v>
      </c>
      <c r="F233">
        <v>139.24365133837</v>
      </c>
      <c r="G233">
        <v>118.40425531915</v>
      </c>
      <c r="I233" s="9">
        <f t="shared" si="22"/>
        <v>307.03596207215003</v>
      </c>
      <c r="J233" s="9">
        <f t="shared" si="23"/>
        <v>1630.2495551833299</v>
      </c>
      <c r="K233" s="9">
        <f t="shared" si="24"/>
        <v>307.03596207215003</v>
      </c>
      <c r="L233" s="10">
        <f t="shared" si="21"/>
        <v>0.18833678628890793</v>
      </c>
      <c r="M233" s="10">
        <f t="shared" si="20"/>
        <v>0.18856548522002897</v>
      </c>
      <c r="P233" s="8">
        <f t="shared" si="25"/>
        <v>15.60321986105467</v>
      </c>
    </row>
    <row r="234" spans="1:16" x14ac:dyDescent="0.2">
      <c r="A234" s="8">
        <v>116</v>
      </c>
      <c r="B234" s="8">
        <v>232</v>
      </c>
      <c r="D234">
        <v>1774.4273097826001</v>
      </c>
      <c r="E234">
        <v>421.83967391303997</v>
      </c>
      <c r="F234">
        <v>139.13177762526001</v>
      </c>
      <c r="G234">
        <v>118.59711736445</v>
      </c>
      <c r="I234" s="9">
        <f t="shared" si="22"/>
        <v>303.24255654858996</v>
      </c>
      <c r="J234" s="9">
        <f t="shared" si="23"/>
        <v>1635.2955321573402</v>
      </c>
      <c r="K234" s="9">
        <f t="shared" si="24"/>
        <v>303.24255654858996</v>
      </c>
      <c r="L234" s="10">
        <f t="shared" si="21"/>
        <v>0.18543593533123739</v>
      </c>
      <c r="M234" s="10">
        <f t="shared" si="20"/>
        <v>0.18566562430102129</v>
      </c>
      <c r="P234" s="8">
        <f t="shared" si="25"/>
        <v>13.825411695390869</v>
      </c>
    </row>
    <row r="235" spans="1:16" x14ac:dyDescent="0.2">
      <c r="A235" s="8">
        <v>116.5</v>
      </c>
      <c r="B235" s="8">
        <v>233</v>
      </c>
      <c r="D235">
        <v>1747.1304347826001</v>
      </c>
      <c r="E235">
        <v>418.66847826087002</v>
      </c>
      <c r="F235">
        <v>139.25669183253001</v>
      </c>
      <c r="G235">
        <v>118.78586135896001</v>
      </c>
      <c r="I235" s="9">
        <f t="shared" si="22"/>
        <v>299.88261690191001</v>
      </c>
      <c r="J235" s="9">
        <f t="shared" si="23"/>
        <v>1607.8737429500702</v>
      </c>
      <c r="K235" s="9">
        <f t="shared" si="24"/>
        <v>299.88261690191001</v>
      </c>
      <c r="L235" s="10">
        <f t="shared" si="21"/>
        <v>0.18650880905094944</v>
      </c>
      <c r="M235" s="10">
        <f t="shared" si="20"/>
        <v>0.18673948805939619</v>
      </c>
      <c r="P235" s="8">
        <f t="shared" si="25"/>
        <v>14.483761806575721</v>
      </c>
    </row>
    <row r="236" spans="1:16" x14ac:dyDescent="0.2">
      <c r="A236" s="8">
        <v>117</v>
      </c>
      <c r="B236" s="8">
        <v>234</v>
      </c>
      <c r="D236">
        <v>1739.8919836957</v>
      </c>
      <c r="E236">
        <v>409.4035326087</v>
      </c>
      <c r="F236">
        <v>139.35483870968</v>
      </c>
      <c r="G236">
        <v>118.31914893617</v>
      </c>
      <c r="I236" s="9">
        <f t="shared" si="22"/>
        <v>291.08438367253001</v>
      </c>
      <c r="J236" s="9">
        <f t="shared" si="23"/>
        <v>1600.5371449860199</v>
      </c>
      <c r="K236" s="9">
        <f t="shared" si="24"/>
        <v>291.08438367253001</v>
      </c>
      <c r="L236" s="10">
        <f t="shared" si="21"/>
        <v>0.18186668430933073</v>
      </c>
      <c r="M236" s="10">
        <f t="shared" si="20"/>
        <v>0.18209835335644034</v>
      </c>
      <c r="P236" s="8">
        <f t="shared" si="25"/>
        <v>11.638436667436276</v>
      </c>
    </row>
    <row r="237" spans="1:16" x14ac:dyDescent="0.2">
      <c r="A237" s="8">
        <v>117.5</v>
      </c>
      <c r="B237" s="8">
        <v>235</v>
      </c>
      <c r="D237">
        <v>1729.7160326087001</v>
      </c>
      <c r="E237">
        <v>407.49252717390999</v>
      </c>
      <c r="F237">
        <v>139.67673301304001</v>
      </c>
      <c r="G237">
        <v>118.23678792038</v>
      </c>
      <c r="I237" s="9">
        <f t="shared" si="22"/>
        <v>289.25573925353001</v>
      </c>
      <c r="J237" s="9">
        <f t="shared" si="23"/>
        <v>1590.0392995956599</v>
      </c>
      <c r="K237" s="9">
        <f t="shared" si="24"/>
        <v>289.25573925353001</v>
      </c>
      <c r="L237" s="10">
        <f t="shared" si="21"/>
        <v>0.18191735218562616</v>
      </c>
      <c r="M237" s="10">
        <f t="shared" si="20"/>
        <v>0.18215001127139863</v>
      </c>
      <c r="P237" s="8">
        <f t="shared" si="25"/>
        <v>11.670106414916937</v>
      </c>
    </row>
    <row r="238" spans="1:16" x14ac:dyDescent="0.2">
      <c r="A238" s="8">
        <v>118</v>
      </c>
      <c r="B238" s="8">
        <v>236</v>
      </c>
      <c r="D238">
        <v>1730.15625</v>
      </c>
      <c r="E238">
        <v>407.82065217390999</v>
      </c>
      <c r="F238">
        <v>139.68496911462</v>
      </c>
      <c r="G238">
        <v>118.19698009609</v>
      </c>
      <c r="I238" s="9">
        <f t="shared" si="22"/>
        <v>289.62367207782</v>
      </c>
      <c r="J238" s="9">
        <f t="shared" si="23"/>
        <v>1590.4712808853801</v>
      </c>
      <c r="K238" s="9">
        <f t="shared" si="24"/>
        <v>289.62367207782</v>
      </c>
      <c r="L238" s="10">
        <f t="shared" si="21"/>
        <v>0.18209927809359305</v>
      </c>
      <c r="M238" s="10">
        <f t="shared" si="20"/>
        <v>0.18233292721802838</v>
      </c>
      <c r="P238" s="8">
        <f t="shared" si="25"/>
        <v>11.782246090794832</v>
      </c>
    </row>
    <row r="239" spans="1:16" x14ac:dyDescent="0.2">
      <c r="A239" s="8">
        <v>118.5</v>
      </c>
      <c r="B239" s="8">
        <v>237</v>
      </c>
      <c r="D239">
        <v>1744.4150815216999</v>
      </c>
      <c r="E239">
        <v>415.02717391303997</v>
      </c>
      <c r="F239">
        <v>139.66026080987999</v>
      </c>
      <c r="G239">
        <v>118.31571722718</v>
      </c>
      <c r="I239" s="9">
        <f t="shared" si="22"/>
        <v>296.71145668585996</v>
      </c>
      <c r="J239" s="9">
        <f t="shared" si="23"/>
        <v>1604.75482071182</v>
      </c>
      <c r="K239" s="9">
        <f t="shared" si="24"/>
        <v>296.71145668585996</v>
      </c>
      <c r="L239" s="10">
        <f t="shared" si="21"/>
        <v>0.18489519573728269</v>
      </c>
      <c r="M239" s="10">
        <f t="shared" si="20"/>
        <v>0.1851298349003809</v>
      </c>
      <c r="P239" s="8">
        <f t="shared" si="25"/>
        <v>13.496937055351733</v>
      </c>
    </row>
    <row r="240" spans="1:16" x14ac:dyDescent="0.2">
      <c r="A240" s="8">
        <v>119</v>
      </c>
      <c r="B240" s="8">
        <v>238</v>
      </c>
      <c r="D240">
        <v>1627.8545953360999</v>
      </c>
      <c r="E240">
        <v>392.98010973936999</v>
      </c>
      <c r="F240">
        <v>139.23816060397999</v>
      </c>
      <c r="G240">
        <v>118.23472889499</v>
      </c>
      <c r="I240" s="9">
        <f t="shared" si="22"/>
        <v>274.74538084438001</v>
      </c>
      <c r="J240" s="9">
        <f t="shared" si="23"/>
        <v>1488.6164347321198</v>
      </c>
      <c r="K240" s="9">
        <f t="shared" si="24"/>
        <v>274.74538084438001</v>
      </c>
      <c r="L240" s="10">
        <f t="shared" si="21"/>
        <v>0.18456425337922666</v>
      </c>
      <c r="M240" s="10">
        <f t="shared" si="20"/>
        <v>0.18479988258098773</v>
      </c>
      <c r="P240" s="8">
        <f t="shared" si="25"/>
        <v>13.294654275563239</v>
      </c>
    </row>
    <row r="241" spans="1:16" x14ac:dyDescent="0.2">
      <c r="A241" s="8">
        <v>119.5</v>
      </c>
      <c r="B241" s="8">
        <v>239</v>
      </c>
      <c r="D241">
        <v>1632.3305898491001</v>
      </c>
      <c r="E241">
        <v>396.06241426612002</v>
      </c>
      <c r="F241">
        <v>139.32189430336001</v>
      </c>
      <c r="G241">
        <v>118.17021276596</v>
      </c>
      <c r="I241" s="9">
        <f t="shared" si="22"/>
        <v>277.89220150016001</v>
      </c>
      <c r="J241" s="9">
        <f t="shared" si="23"/>
        <v>1493.00869554574</v>
      </c>
      <c r="K241" s="9">
        <f t="shared" si="24"/>
        <v>277.89220150016001</v>
      </c>
      <c r="L241" s="10">
        <f t="shared" si="21"/>
        <v>0.1861289906276011</v>
      </c>
      <c r="M241" s="10">
        <f t="shared" si="20"/>
        <v>0.18636560986802503</v>
      </c>
      <c r="P241" s="8">
        <f t="shared" si="25"/>
        <v>14.254549537384992</v>
      </c>
    </row>
    <row r="242" spans="1:16" x14ac:dyDescent="0.2">
      <c r="A242" s="8">
        <v>120</v>
      </c>
      <c r="B242" s="8">
        <v>240</v>
      </c>
      <c r="D242">
        <v>1636.6611796981999</v>
      </c>
      <c r="E242">
        <v>397.71330589848998</v>
      </c>
      <c r="F242">
        <v>139.44406314344999</v>
      </c>
      <c r="G242">
        <v>118.58888126287</v>
      </c>
      <c r="I242" s="9">
        <f>E242-G242</f>
        <v>279.12442463561996</v>
      </c>
      <c r="J242" s="9">
        <f>D242-F242</f>
        <v>1497.21711655475</v>
      </c>
      <c r="K242" s="9">
        <f t="shared" si="24"/>
        <v>279.12442463561996</v>
      </c>
      <c r="L242" s="10">
        <f t="shared" si="21"/>
        <v>0.18642882288035409</v>
      </c>
      <c r="M242" s="10">
        <f>L242+ABS($N$2)*A242</f>
        <v>0.18666643215944087</v>
      </c>
      <c r="O242" s="11"/>
      <c r="P242" s="8">
        <f>(M242-$O$2)/$O$2*100</f>
        <v>14.438973667034558</v>
      </c>
    </row>
    <row r="243" spans="1:16" x14ac:dyDescent="0.2">
      <c r="A243" s="8">
        <v>120.5</v>
      </c>
      <c r="B243" s="8">
        <v>241</v>
      </c>
      <c r="D243">
        <v>1616.0658436214001</v>
      </c>
      <c r="E243">
        <v>395.66803840877998</v>
      </c>
      <c r="F243">
        <v>139.50446122169001</v>
      </c>
      <c r="G243">
        <v>118.31434454358001</v>
      </c>
      <c r="I243" s="9">
        <f t="shared" ref="I243:I274" si="26">E243-G243</f>
        <v>277.35369386519994</v>
      </c>
      <c r="J243" s="9">
        <f t="shared" ref="J243:J274" si="27">D243-F243</f>
        <v>1476.5613823997101</v>
      </c>
      <c r="K243" s="9">
        <f t="shared" si="24"/>
        <v>277.35369386519994</v>
      </c>
      <c r="L243" s="10">
        <f t="shared" si="21"/>
        <v>0.18783756447323866</v>
      </c>
      <c r="M243" s="10">
        <f t="shared" ref="M243:M274" si="28">L243+ABS($N$2)*A243</f>
        <v>0.18807616379098829</v>
      </c>
      <c r="P243" s="8">
        <f t="shared" ref="P243:P274" si="29">(M243-$O$2)/$O$2*100</f>
        <v>15.303233187045326</v>
      </c>
    </row>
    <row r="244" spans="1:16" x14ac:dyDescent="0.2">
      <c r="A244" s="8">
        <v>121</v>
      </c>
      <c r="B244" s="8">
        <v>242</v>
      </c>
      <c r="D244">
        <v>1633.9663923182</v>
      </c>
      <c r="E244">
        <v>399.71604938271997</v>
      </c>
      <c r="F244">
        <v>139.44200411804999</v>
      </c>
      <c r="G244">
        <v>118.21345229924999</v>
      </c>
      <c r="I244" s="9">
        <f t="shared" si="26"/>
        <v>281.50259708346999</v>
      </c>
      <c r="J244" s="9">
        <f t="shared" si="27"/>
        <v>1494.52438820015</v>
      </c>
      <c r="K244" s="9">
        <f t="shared" si="24"/>
        <v>281.50259708346999</v>
      </c>
      <c r="L244" s="10">
        <f t="shared" si="21"/>
        <v>0.18835597418552832</v>
      </c>
      <c r="M244" s="10">
        <f t="shared" si="28"/>
        <v>0.18859556354194082</v>
      </c>
      <c r="N244" s="1"/>
      <c r="P244" s="8">
        <f t="shared" si="29"/>
        <v>15.621659878627186</v>
      </c>
    </row>
    <row r="245" spans="1:16" x14ac:dyDescent="0.2">
      <c r="A245" s="8">
        <v>121.5</v>
      </c>
      <c r="B245" s="8">
        <v>243</v>
      </c>
      <c r="D245">
        <v>1647.5356652948999</v>
      </c>
      <c r="E245">
        <v>405.41632373113998</v>
      </c>
      <c r="F245">
        <v>139.10706932052</v>
      </c>
      <c r="G245">
        <v>118.40082361016</v>
      </c>
      <c r="I245" s="9">
        <f t="shared" si="26"/>
        <v>287.01550012097999</v>
      </c>
      <c r="J245" s="9">
        <f t="shared" si="27"/>
        <v>1508.42859597438</v>
      </c>
      <c r="K245" s="9">
        <f t="shared" si="24"/>
        <v>287.01550012097999</v>
      </c>
      <c r="L245" s="10">
        <f t="shared" si="21"/>
        <v>0.1902745021454465</v>
      </c>
      <c r="M245" s="10">
        <f t="shared" si="28"/>
        <v>0.19051508154052188</v>
      </c>
      <c r="P245" s="8">
        <f t="shared" si="29"/>
        <v>16.79845244465956</v>
      </c>
    </row>
    <row r="246" spans="1:16" x14ac:dyDescent="0.2">
      <c r="A246" s="8">
        <v>122</v>
      </c>
      <c r="B246" s="8">
        <v>244</v>
      </c>
      <c r="D246">
        <v>1587.4080932785</v>
      </c>
      <c r="E246">
        <v>393.37105624142998</v>
      </c>
      <c r="F246">
        <v>139.90391214824999</v>
      </c>
      <c r="G246">
        <v>118.44612216884001</v>
      </c>
      <c r="I246" s="9">
        <f t="shared" si="26"/>
        <v>274.92493407258996</v>
      </c>
      <c r="J246" s="9">
        <f t="shared" si="27"/>
        <v>1447.5041811302501</v>
      </c>
      <c r="K246" s="9">
        <f t="shared" si="24"/>
        <v>274.92493407258996</v>
      </c>
      <c r="L246" s="10">
        <f t="shared" si="21"/>
        <v>0.18993032120841349</v>
      </c>
      <c r="M246" s="10">
        <f t="shared" si="28"/>
        <v>0.19017189064215173</v>
      </c>
      <c r="P246" s="8">
        <f t="shared" si="29"/>
        <v>16.588053532937707</v>
      </c>
    </row>
    <row r="247" spans="1:16" x14ac:dyDescent="0.2">
      <c r="A247" s="8">
        <v>122.5</v>
      </c>
      <c r="B247" s="8">
        <v>245</v>
      </c>
      <c r="D247">
        <v>1627.7263374485999</v>
      </c>
      <c r="E247">
        <v>404.67352537723002</v>
      </c>
      <c r="F247">
        <v>139.59643102264999</v>
      </c>
      <c r="G247">
        <v>118.14275909403</v>
      </c>
      <c r="I247" s="9">
        <f t="shared" si="26"/>
        <v>286.53076628320002</v>
      </c>
      <c r="J247" s="9">
        <f t="shared" si="27"/>
        <v>1488.1299064259499</v>
      </c>
      <c r="K247" s="9">
        <f t="shared" si="24"/>
        <v>286.53076628320002</v>
      </c>
      <c r="L247" s="10">
        <f t="shared" si="21"/>
        <v>0.19254418921756811</v>
      </c>
      <c r="M247" s="10">
        <f t="shared" si="28"/>
        <v>0.1927867486899692</v>
      </c>
      <c r="P247" s="8">
        <f t="shared" si="29"/>
        <v>18.191135928714257</v>
      </c>
    </row>
    <row r="248" spans="1:16" x14ac:dyDescent="0.2">
      <c r="A248" s="8">
        <v>123</v>
      </c>
      <c r="B248" s="8">
        <v>246</v>
      </c>
      <c r="D248">
        <v>1663.3353909465</v>
      </c>
      <c r="E248">
        <v>418.55829903978002</v>
      </c>
      <c r="F248">
        <v>140</v>
      </c>
      <c r="G248">
        <v>118.2292381606</v>
      </c>
      <c r="I248" s="9">
        <f t="shared" si="26"/>
        <v>300.32906087918002</v>
      </c>
      <c r="J248" s="9">
        <f t="shared" si="27"/>
        <v>1523.3353909465</v>
      </c>
      <c r="K248" s="9">
        <f t="shared" si="24"/>
        <v>300.32906087918002</v>
      </c>
      <c r="L248" s="10">
        <f t="shared" si="21"/>
        <v>0.19715229007616988</v>
      </c>
      <c r="M248" s="10">
        <f t="shared" si="28"/>
        <v>0.19739583958723383</v>
      </c>
      <c r="P248" s="8">
        <f t="shared" si="29"/>
        <v>21.016816077625588</v>
      </c>
    </row>
    <row r="249" spans="1:16" x14ac:dyDescent="0.2">
      <c r="A249" s="8">
        <v>123.5</v>
      </c>
      <c r="B249" s="8">
        <v>247</v>
      </c>
      <c r="D249">
        <v>1646.6508916324001</v>
      </c>
      <c r="E249">
        <v>415.02880658435998</v>
      </c>
      <c r="F249">
        <v>139.77282086478999</v>
      </c>
      <c r="G249">
        <v>118.34248455731</v>
      </c>
      <c r="I249" s="9">
        <f t="shared" si="26"/>
        <v>296.68632202704998</v>
      </c>
      <c r="J249" s="9">
        <f t="shared" si="27"/>
        <v>1506.8780707676101</v>
      </c>
      <c r="K249" s="9">
        <f t="shared" si="24"/>
        <v>296.68632202704998</v>
      </c>
      <c r="L249" s="10">
        <f t="shared" si="21"/>
        <v>0.19688807461105112</v>
      </c>
      <c r="M249" s="10">
        <f t="shared" si="28"/>
        <v>0.19713261416077793</v>
      </c>
      <c r="P249" s="8">
        <f t="shared" si="29"/>
        <v>20.855441333927956</v>
      </c>
    </row>
    <row r="250" spans="1:16" x14ac:dyDescent="0.2">
      <c r="A250" s="8">
        <v>124</v>
      </c>
      <c r="B250" s="8">
        <v>248</v>
      </c>
      <c r="D250">
        <v>1604.5898491083999</v>
      </c>
      <c r="E250">
        <v>407.64266117969999</v>
      </c>
      <c r="F250">
        <v>139.34385724091001</v>
      </c>
      <c r="G250">
        <v>118.34591626629999</v>
      </c>
      <c r="I250" s="9">
        <f t="shared" si="26"/>
        <v>289.2967449134</v>
      </c>
      <c r="J250" s="9">
        <f t="shared" si="27"/>
        <v>1465.2459918674899</v>
      </c>
      <c r="K250" s="9">
        <f t="shared" si="24"/>
        <v>289.2967449134</v>
      </c>
      <c r="L250" s="10">
        <f t="shared" si="21"/>
        <v>0.19743902834000221</v>
      </c>
      <c r="M250" s="10">
        <f t="shared" si="28"/>
        <v>0.19768455792839187</v>
      </c>
      <c r="P250" s="8">
        <f t="shared" si="29"/>
        <v>21.193819678427008</v>
      </c>
    </row>
    <row r="251" spans="1:16" x14ac:dyDescent="0.2">
      <c r="A251" s="8">
        <v>124.5</v>
      </c>
      <c r="B251" s="8">
        <v>249</v>
      </c>
      <c r="D251">
        <v>1611.3168724279999</v>
      </c>
      <c r="E251">
        <v>410.06172839506002</v>
      </c>
      <c r="F251">
        <v>139.20521619767001</v>
      </c>
      <c r="G251">
        <v>118.07069320522</v>
      </c>
      <c r="I251" s="9">
        <f t="shared" si="26"/>
        <v>291.99103518984003</v>
      </c>
      <c r="J251" s="9">
        <f t="shared" si="27"/>
        <v>1472.1116562303298</v>
      </c>
      <c r="K251" s="9">
        <f t="shared" si="24"/>
        <v>291.99103518984003</v>
      </c>
      <c r="L251" s="10">
        <f t="shared" si="21"/>
        <v>0.19834842958688895</v>
      </c>
      <c r="M251" s="10">
        <f t="shared" si="28"/>
        <v>0.1985949492139415</v>
      </c>
      <c r="P251" s="8">
        <f t="shared" si="29"/>
        <v>21.751950260066462</v>
      </c>
    </row>
    <row r="252" spans="1:16" x14ac:dyDescent="0.2">
      <c r="A252" s="8">
        <v>125</v>
      </c>
      <c r="B252" s="8">
        <v>250</v>
      </c>
      <c r="D252">
        <v>1629.4561042524001</v>
      </c>
      <c r="E252">
        <v>412.86145404664001</v>
      </c>
      <c r="F252">
        <v>139.51544269045999</v>
      </c>
      <c r="G252">
        <v>118.47700754976</v>
      </c>
      <c r="I252" s="9">
        <f t="shared" si="26"/>
        <v>294.38444649688</v>
      </c>
      <c r="J252" s="9">
        <f t="shared" si="27"/>
        <v>1489.94066156194</v>
      </c>
      <c r="K252" s="9">
        <f t="shared" si="24"/>
        <v>294.38444649688</v>
      </c>
      <c r="L252" s="10">
        <f t="shared" si="21"/>
        <v>0.19758132259325673</v>
      </c>
      <c r="M252" s="10">
        <f t="shared" si="28"/>
        <v>0.19782883225897213</v>
      </c>
      <c r="P252" s="8">
        <f t="shared" si="29"/>
        <v>21.282269466249602</v>
      </c>
    </row>
    <row r="253" spans="1:16" x14ac:dyDescent="0.2">
      <c r="A253" s="8">
        <v>125.5</v>
      </c>
      <c r="B253" s="8">
        <v>251</v>
      </c>
      <c r="D253">
        <v>1627.8086419752999</v>
      </c>
      <c r="E253">
        <v>412.48285322358998</v>
      </c>
      <c r="F253">
        <v>139.45435827041999</v>
      </c>
      <c r="G253">
        <v>118.36101578586</v>
      </c>
      <c r="I253" s="9">
        <f t="shared" si="26"/>
        <v>294.12183743772999</v>
      </c>
      <c r="J253" s="9">
        <f t="shared" si="27"/>
        <v>1488.3542837048799</v>
      </c>
      <c r="K253" s="9">
        <f t="shared" si="24"/>
        <v>294.12183743772999</v>
      </c>
      <c r="L253" s="10">
        <f t="shared" si="21"/>
        <v>0.19761547412326344</v>
      </c>
      <c r="M253" s="10">
        <f t="shared" si="28"/>
        <v>0.1978639738276417</v>
      </c>
      <c r="P253" s="8">
        <f t="shared" si="29"/>
        <v>21.303813591805934</v>
      </c>
    </row>
    <row r="254" spans="1:16" x14ac:dyDescent="0.2">
      <c r="A254" s="8">
        <v>126</v>
      </c>
      <c r="B254" s="8">
        <v>252</v>
      </c>
      <c r="D254">
        <v>1634.6378600823</v>
      </c>
      <c r="E254">
        <v>412.67969821674001</v>
      </c>
      <c r="F254">
        <v>139.93685655455999</v>
      </c>
      <c r="G254">
        <v>118.33493479753</v>
      </c>
      <c r="I254" s="9">
        <f t="shared" si="26"/>
        <v>294.34476341921004</v>
      </c>
      <c r="J254" s="9">
        <f t="shared" si="27"/>
        <v>1494.7010035277399</v>
      </c>
      <c r="K254" s="9">
        <f t="shared" si="24"/>
        <v>294.34476341921004</v>
      </c>
      <c r="L254" s="10">
        <f t="shared" si="21"/>
        <v>0.19692551401551753</v>
      </c>
      <c r="M254" s="10">
        <f t="shared" si="28"/>
        <v>0.19717500375855865</v>
      </c>
      <c r="P254" s="8">
        <f t="shared" si="29"/>
        <v>20.881428984776935</v>
      </c>
    </row>
    <row r="255" spans="1:16" x14ac:dyDescent="0.2">
      <c r="A255" s="8">
        <v>126.5</v>
      </c>
      <c r="B255" s="8">
        <v>253</v>
      </c>
      <c r="D255">
        <v>1614.0740740741001</v>
      </c>
      <c r="E255">
        <v>409.23868312757003</v>
      </c>
      <c r="F255">
        <v>139.55456417296</v>
      </c>
      <c r="G255">
        <v>118.32189430336</v>
      </c>
      <c r="I255" s="9">
        <f t="shared" si="26"/>
        <v>290.91678882421002</v>
      </c>
      <c r="J255" s="9">
        <f t="shared" si="27"/>
        <v>1474.5195099011401</v>
      </c>
      <c r="K255" s="9">
        <f t="shared" si="24"/>
        <v>290.91678882421002</v>
      </c>
      <c r="L255" s="10">
        <f t="shared" si="21"/>
        <v>0.19729599158963634</v>
      </c>
      <c r="M255" s="10">
        <f t="shared" si="28"/>
        <v>0.19754647137134032</v>
      </c>
      <c r="P255" s="8">
        <f t="shared" si="29"/>
        <v>21.109163408505395</v>
      </c>
    </row>
    <row r="256" spans="1:16" x14ac:dyDescent="0.2">
      <c r="A256" s="8">
        <v>127</v>
      </c>
      <c r="B256" s="8">
        <v>254</v>
      </c>
      <c r="D256">
        <v>1604.6790123456999</v>
      </c>
      <c r="E256">
        <v>405.37105624142998</v>
      </c>
      <c r="F256">
        <v>139.24982841455</v>
      </c>
      <c r="G256">
        <v>118.10638297872001</v>
      </c>
      <c r="I256" s="9">
        <f t="shared" si="26"/>
        <v>287.26467326270995</v>
      </c>
      <c r="J256" s="9">
        <f t="shared" si="27"/>
        <v>1465.42918393115</v>
      </c>
      <c r="K256" s="9">
        <f t="shared" si="24"/>
        <v>287.26467326270995</v>
      </c>
      <c r="L256" s="10">
        <f t="shared" si="21"/>
        <v>0.19602767326640497</v>
      </c>
      <c r="M256" s="10">
        <f t="shared" si="28"/>
        <v>0.1962791430867718</v>
      </c>
      <c r="P256" s="8">
        <f t="shared" si="29"/>
        <v>20.332206638573957</v>
      </c>
    </row>
    <row r="257" spans="1:16" x14ac:dyDescent="0.2">
      <c r="A257" s="8">
        <v>127.5</v>
      </c>
      <c r="B257" s="8">
        <v>255</v>
      </c>
      <c r="D257">
        <v>1614.0171467764001</v>
      </c>
      <c r="E257">
        <v>404.91083676269</v>
      </c>
      <c r="F257">
        <v>139.43308167467001</v>
      </c>
      <c r="G257">
        <v>118.25531914894</v>
      </c>
      <c r="I257" s="9">
        <f t="shared" si="26"/>
        <v>286.65551761375002</v>
      </c>
      <c r="J257" s="9">
        <f t="shared" si="27"/>
        <v>1474.5840651017302</v>
      </c>
      <c r="K257" s="9">
        <f t="shared" si="24"/>
        <v>286.65551761375002</v>
      </c>
      <c r="L257" s="10">
        <f t="shared" si="21"/>
        <v>0.19439754192242267</v>
      </c>
      <c r="M257" s="10">
        <f t="shared" si="28"/>
        <v>0.19465000178145239</v>
      </c>
      <c r="P257" s="8">
        <f t="shared" si="29"/>
        <v>19.333434353795511</v>
      </c>
    </row>
    <row r="258" spans="1:16" x14ac:dyDescent="0.2">
      <c r="A258" s="8">
        <v>128</v>
      </c>
      <c r="B258" s="8">
        <v>256</v>
      </c>
      <c r="D258">
        <v>1601.8936899862999</v>
      </c>
      <c r="E258">
        <v>403.92592592593002</v>
      </c>
      <c r="F258">
        <v>139.33973919012001</v>
      </c>
      <c r="G258">
        <v>117.98764584763001</v>
      </c>
      <c r="I258" s="9">
        <f t="shared" si="26"/>
        <v>285.93828007830001</v>
      </c>
      <c r="J258" s="9">
        <f t="shared" si="27"/>
        <v>1462.5539507961798</v>
      </c>
      <c r="K258" s="9">
        <f t="shared" si="24"/>
        <v>285.93828007830001</v>
      </c>
      <c r="L258" s="10">
        <f t="shared" ref="L258:L313" si="30">K258/J258</f>
        <v>0.19550614178891793</v>
      </c>
      <c r="M258" s="10">
        <f t="shared" si="28"/>
        <v>0.1957595916866105</v>
      </c>
      <c r="P258" s="8">
        <f t="shared" si="29"/>
        <v>20.013686975912034</v>
      </c>
    </row>
    <row r="259" spans="1:16" x14ac:dyDescent="0.2">
      <c r="A259" s="8">
        <v>128.5</v>
      </c>
      <c r="B259" s="8">
        <v>257</v>
      </c>
      <c r="D259">
        <v>1597.6207133058999</v>
      </c>
      <c r="E259">
        <v>404.46913580247002</v>
      </c>
      <c r="F259">
        <v>139.34248455731</v>
      </c>
      <c r="G259">
        <v>118.23884694578</v>
      </c>
      <c r="I259" s="9">
        <f t="shared" si="26"/>
        <v>286.23028885669004</v>
      </c>
      <c r="J259" s="9">
        <f t="shared" si="27"/>
        <v>1458.27822874859</v>
      </c>
      <c r="K259" s="9">
        <f t="shared" ref="K259:K313" si="31">I259*1</f>
        <v>286.23028885669004</v>
      </c>
      <c r="L259" s="10">
        <f t="shared" si="30"/>
        <v>0.19627961469486951</v>
      </c>
      <c r="M259" s="10">
        <f t="shared" si="28"/>
        <v>0.19653405463122495</v>
      </c>
      <c r="P259" s="8">
        <f t="shared" si="29"/>
        <v>20.488484418063415</v>
      </c>
    </row>
    <row r="260" spans="1:16" x14ac:dyDescent="0.2">
      <c r="A260" s="8">
        <v>129</v>
      </c>
      <c r="B260" s="8">
        <v>258</v>
      </c>
      <c r="D260">
        <v>1592.2160493827</v>
      </c>
      <c r="E260">
        <v>400.62551440329003</v>
      </c>
      <c r="F260">
        <v>139.17707618393999</v>
      </c>
      <c r="G260">
        <v>118.25600549073</v>
      </c>
      <c r="I260" s="9">
        <f t="shared" si="26"/>
        <v>282.36950891256004</v>
      </c>
      <c r="J260" s="9">
        <f t="shared" si="27"/>
        <v>1453.03897319876</v>
      </c>
      <c r="K260" s="9">
        <f t="shared" si="31"/>
        <v>282.36950891256004</v>
      </c>
      <c r="L260" s="10">
        <f t="shared" si="30"/>
        <v>0.19433030642732455</v>
      </c>
      <c r="M260" s="10">
        <f t="shared" si="28"/>
        <v>0.19458573640234283</v>
      </c>
      <c r="P260" s="8">
        <f t="shared" si="29"/>
        <v>19.294035389865353</v>
      </c>
    </row>
    <row r="261" spans="1:16" x14ac:dyDescent="0.2">
      <c r="A261" s="8">
        <v>129.5</v>
      </c>
      <c r="B261" s="8">
        <v>259</v>
      </c>
      <c r="D261">
        <v>1611.9663923182</v>
      </c>
      <c r="E261">
        <v>408.88271604938001</v>
      </c>
      <c r="F261">
        <v>139.65202470830999</v>
      </c>
      <c r="G261">
        <v>118.22443376802001</v>
      </c>
      <c r="I261" s="9">
        <f t="shared" si="26"/>
        <v>290.65828228136002</v>
      </c>
      <c r="J261" s="9">
        <f t="shared" si="27"/>
        <v>1472.31436760989</v>
      </c>
      <c r="K261" s="9">
        <f t="shared" si="31"/>
        <v>290.65828228136002</v>
      </c>
      <c r="L261" s="10">
        <f t="shared" si="30"/>
        <v>0.19741591108236331</v>
      </c>
      <c r="M261" s="10">
        <f t="shared" si="28"/>
        <v>0.19767233109604446</v>
      </c>
      <c r="P261" s="8">
        <f t="shared" si="29"/>
        <v>21.186323814661627</v>
      </c>
    </row>
    <row r="262" spans="1:16" x14ac:dyDescent="0.2">
      <c r="A262" s="8">
        <v>130</v>
      </c>
      <c r="B262" s="8">
        <v>260</v>
      </c>
      <c r="D262">
        <v>1638.4362139918001</v>
      </c>
      <c r="E262">
        <v>414.74005486969003</v>
      </c>
      <c r="F262">
        <v>139.12765957446999</v>
      </c>
      <c r="G262">
        <v>118.15030885381</v>
      </c>
      <c r="I262" s="9">
        <f t="shared" si="26"/>
        <v>296.58974601588</v>
      </c>
      <c r="J262" s="9">
        <f t="shared" si="27"/>
        <v>1499.30855441733</v>
      </c>
      <c r="K262" s="9">
        <f t="shared" si="31"/>
        <v>296.58974601588</v>
      </c>
      <c r="L262" s="10">
        <f t="shared" si="30"/>
        <v>0.19781768411982578</v>
      </c>
      <c r="M262" s="10">
        <f t="shared" si="28"/>
        <v>0.19807509417216979</v>
      </c>
      <c r="P262" s="8">
        <f t="shared" si="29"/>
        <v>21.433244444844295</v>
      </c>
    </row>
    <row r="263" spans="1:16" x14ac:dyDescent="0.2">
      <c r="A263" s="8">
        <v>130.5</v>
      </c>
      <c r="B263" s="8">
        <v>261</v>
      </c>
      <c r="D263">
        <v>1680.2805212620001</v>
      </c>
      <c r="E263">
        <v>429.34705075445999</v>
      </c>
      <c r="F263">
        <v>139.73438572409</v>
      </c>
      <c r="G263">
        <v>118.20178448868</v>
      </c>
      <c r="I263" s="9">
        <f t="shared" si="26"/>
        <v>311.14526626577998</v>
      </c>
      <c r="J263" s="9">
        <f t="shared" si="27"/>
        <v>1540.54613553791</v>
      </c>
      <c r="K263" s="9">
        <f t="shared" si="31"/>
        <v>311.14526626577998</v>
      </c>
      <c r="L263" s="10">
        <f t="shared" si="30"/>
        <v>0.20197075510311666</v>
      </c>
      <c r="M263" s="10">
        <f t="shared" si="28"/>
        <v>0.20222915519412354</v>
      </c>
      <c r="P263" s="8">
        <f t="shared" si="29"/>
        <v>23.979960929448076</v>
      </c>
    </row>
    <row r="264" spans="1:16" x14ac:dyDescent="0.2">
      <c r="A264" s="8">
        <v>131</v>
      </c>
      <c r="B264" s="8">
        <v>262</v>
      </c>
      <c r="D264">
        <v>1655.5054869685</v>
      </c>
      <c r="E264">
        <v>423.81344307270001</v>
      </c>
      <c r="F264">
        <v>138.77899794097999</v>
      </c>
      <c r="G264">
        <v>118.16403568977</v>
      </c>
      <c r="I264" s="9">
        <f t="shared" si="26"/>
        <v>305.64940738293001</v>
      </c>
      <c r="J264" s="9">
        <f t="shared" si="27"/>
        <v>1516.7264890275201</v>
      </c>
      <c r="K264" s="9">
        <f t="shared" si="31"/>
        <v>305.64940738293001</v>
      </c>
      <c r="L264" s="10">
        <f t="shared" si="30"/>
        <v>0.20151913320832374</v>
      </c>
      <c r="M264" s="10">
        <f t="shared" si="28"/>
        <v>0.20177852333799348</v>
      </c>
      <c r="P264" s="8">
        <f t="shared" si="29"/>
        <v>23.703693544248647</v>
      </c>
    </row>
    <row r="265" spans="1:16" x14ac:dyDescent="0.2">
      <c r="A265" s="8">
        <v>131.5</v>
      </c>
      <c r="B265" s="8">
        <v>263</v>
      </c>
      <c r="D265">
        <v>1661.0144032922001</v>
      </c>
      <c r="E265">
        <v>426.29492455418</v>
      </c>
      <c r="F265">
        <v>139.40768702814</v>
      </c>
      <c r="G265">
        <v>118.06520247083</v>
      </c>
      <c r="I265" s="9">
        <f t="shared" si="26"/>
        <v>308.22972208335</v>
      </c>
      <c r="J265" s="9">
        <f t="shared" si="27"/>
        <v>1521.6067162640602</v>
      </c>
      <c r="K265" s="9">
        <f t="shared" si="31"/>
        <v>308.22972208335</v>
      </c>
      <c r="L265" s="10">
        <f t="shared" si="30"/>
        <v>0.20256858673713932</v>
      </c>
      <c r="M265" s="10">
        <f t="shared" si="28"/>
        <v>0.20282896690547192</v>
      </c>
      <c r="P265" s="8">
        <f t="shared" si="29"/>
        <v>24.347685516274407</v>
      </c>
    </row>
    <row r="266" spans="1:16" x14ac:dyDescent="0.2">
      <c r="A266" s="8">
        <v>132</v>
      </c>
      <c r="B266" s="8">
        <v>264</v>
      </c>
      <c r="D266">
        <v>1611.0637860081999</v>
      </c>
      <c r="E266">
        <v>410.52057613169001</v>
      </c>
      <c r="F266">
        <v>139.23129718600001</v>
      </c>
      <c r="G266">
        <v>118.12834591627001</v>
      </c>
      <c r="I266" s="9">
        <f t="shared" si="26"/>
        <v>292.39223021542</v>
      </c>
      <c r="J266" s="9">
        <f t="shared" si="27"/>
        <v>1471.8324888222</v>
      </c>
      <c r="K266" s="9">
        <f t="shared" si="31"/>
        <v>292.39223021542</v>
      </c>
      <c r="L266" s="10">
        <f t="shared" si="30"/>
        <v>0.1986586329871004</v>
      </c>
      <c r="M266" s="10">
        <f t="shared" si="28"/>
        <v>0.19892000319409586</v>
      </c>
      <c r="P266" s="8">
        <f t="shared" si="29"/>
        <v>21.951230031179662</v>
      </c>
    </row>
    <row r="267" spans="1:16" x14ac:dyDescent="0.2">
      <c r="A267" s="8">
        <v>132.5</v>
      </c>
      <c r="B267" s="8">
        <v>265</v>
      </c>
      <c r="D267">
        <v>1597.0582990398</v>
      </c>
      <c r="E267">
        <v>406.33127572017003</v>
      </c>
      <c r="F267">
        <v>139.15648592999</v>
      </c>
      <c r="G267">
        <v>117.90940288263999</v>
      </c>
      <c r="I267" s="9">
        <f t="shared" si="26"/>
        <v>288.42187283753003</v>
      </c>
      <c r="J267" s="9">
        <f t="shared" si="27"/>
        <v>1457.9018131098101</v>
      </c>
      <c r="K267" s="9">
        <f t="shared" si="31"/>
        <v>288.42187283753003</v>
      </c>
      <c r="L267" s="10">
        <f t="shared" si="30"/>
        <v>0.19783353737814846</v>
      </c>
      <c r="M267" s="10">
        <f t="shared" si="28"/>
        <v>0.19809589762380678</v>
      </c>
      <c r="P267" s="8">
        <f t="shared" si="29"/>
        <v>21.445998348299394</v>
      </c>
    </row>
    <row r="268" spans="1:16" x14ac:dyDescent="0.2">
      <c r="A268" s="8">
        <v>133</v>
      </c>
      <c r="B268" s="8">
        <v>266</v>
      </c>
      <c r="D268">
        <v>1585.2133058985</v>
      </c>
      <c r="E268">
        <v>400.90466392318001</v>
      </c>
      <c r="F268">
        <v>139.36650652025</v>
      </c>
      <c r="G268">
        <v>118.1921757035</v>
      </c>
      <c r="I268" s="9">
        <f t="shared" si="26"/>
        <v>282.71248821968004</v>
      </c>
      <c r="J268" s="9">
        <f t="shared" si="27"/>
        <v>1445.8467993782501</v>
      </c>
      <c r="K268" s="9">
        <f t="shared" si="31"/>
        <v>282.71248821968004</v>
      </c>
      <c r="L268" s="10">
        <f t="shared" si="30"/>
        <v>0.19553419376192097</v>
      </c>
      <c r="M268" s="10">
        <f t="shared" si="28"/>
        <v>0.19579754404624214</v>
      </c>
      <c r="P268" s="8">
        <f t="shared" si="29"/>
        <v>20.036954303809409</v>
      </c>
    </row>
    <row r="269" spans="1:16" x14ac:dyDescent="0.2">
      <c r="A269" s="8">
        <v>133.5</v>
      </c>
      <c r="B269" s="8">
        <v>267</v>
      </c>
      <c r="D269">
        <v>1587.1666666666999</v>
      </c>
      <c r="E269">
        <v>399.58916323731</v>
      </c>
      <c r="F269">
        <v>139.22168840082</v>
      </c>
      <c r="G269">
        <v>118.28551818806</v>
      </c>
      <c r="I269" s="9">
        <f t="shared" si="26"/>
        <v>281.30364504925001</v>
      </c>
      <c r="J269" s="9">
        <f t="shared" si="27"/>
        <v>1447.9449782658799</v>
      </c>
      <c r="K269" s="9">
        <f t="shared" si="31"/>
        <v>281.30364504925001</v>
      </c>
      <c r="L269" s="10">
        <f t="shared" si="30"/>
        <v>0.19427785535480163</v>
      </c>
      <c r="M269" s="10">
        <f t="shared" si="28"/>
        <v>0.19454219567778569</v>
      </c>
      <c r="P269" s="8">
        <f t="shared" si="29"/>
        <v>19.267342021521639</v>
      </c>
    </row>
    <row r="270" spans="1:16" x14ac:dyDescent="0.2">
      <c r="A270" s="8">
        <v>134</v>
      </c>
      <c r="B270" s="8">
        <v>268</v>
      </c>
      <c r="D270">
        <v>1562.9128943758999</v>
      </c>
      <c r="E270">
        <v>393.47462277092001</v>
      </c>
      <c r="F270">
        <v>139.44474948524001</v>
      </c>
      <c r="G270">
        <v>117.8455730954</v>
      </c>
      <c r="I270" s="9">
        <f t="shared" si="26"/>
        <v>275.62904967552004</v>
      </c>
      <c r="J270" s="9">
        <f t="shared" si="27"/>
        <v>1423.4681448906599</v>
      </c>
      <c r="K270" s="9">
        <f t="shared" si="31"/>
        <v>275.62904967552004</v>
      </c>
      <c r="L270" s="10">
        <f t="shared" si="30"/>
        <v>0.19363204625607677</v>
      </c>
      <c r="M270" s="10">
        <f t="shared" si="28"/>
        <v>0.19389737661772369</v>
      </c>
      <c r="P270" s="8">
        <f t="shared" si="29"/>
        <v>18.872024927919036</v>
      </c>
    </row>
    <row r="271" spans="1:16" x14ac:dyDescent="0.2">
      <c r="A271" s="8">
        <v>134.5</v>
      </c>
      <c r="B271" s="8">
        <v>269</v>
      </c>
      <c r="D271">
        <v>1575.0528120713</v>
      </c>
      <c r="E271">
        <v>394.92043895747997</v>
      </c>
      <c r="F271">
        <v>139.64859299931001</v>
      </c>
      <c r="G271">
        <v>118.35209334248999</v>
      </c>
      <c r="I271" s="9">
        <f t="shared" si="26"/>
        <v>276.56834561498999</v>
      </c>
      <c r="J271" s="9">
        <f t="shared" si="27"/>
        <v>1435.4042190719899</v>
      </c>
      <c r="K271" s="9">
        <f t="shared" si="31"/>
        <v>276.56834561498999</v>
      </c>
      <c r="L271" s="10">
        <f t="shared" si="30"/>
        <v>0.19267628027023323</v>
      </c>
      <c r="M271" s="10">
        <f t="shared" si="28"/>
        <v>0.192942600670543</v>
      </c>
      <c r="P271" s="8">
        <f t="shared" si="29"/>
        <v>18.286683588218487</v>
      </c>
    </row>
    <row r="272" spans="1:16" x14ac:dyDescent="0.2">
      <c r="A272" s="8">
        <v>135</v>
      </c>
      <c r="B272" s="8">
        <v>270</v>
      </c>
      <c r="D272">
        <v>1597.2181069958999</v>
      </c>
      <c r="E272">
        <v>398.57956104252003</v>
      </c>
      <c r="F272">
        <v>139.01372683596</v>
      </c>
      <c r="G272">
        <v>118.14138641043</v>
      </c>
      <c r="I272" s="9">
        <f t="shared" si="26"/>
        <v>280.43817463209001</v>
      </c>
      <c r="J272" s="9">
        <f t="shared" si="27"/>
        <v>1458.20438015994</v>
      </c>
      <c r="K272" s="9">
        <f t="shared" si="31"/>
        <v>280.43817463209001</v>
      </c>
      <c r="L272" s="10">
        <f t="shared" si="30"/>
        <v>0.19231746828337654</v>
      </c>
      <c r="M272" s="10">
        <f t="shared" si="28"/>
        <v>0.19258477872234916</v>
      </c>
      <c r="P272" s="8">
        <f t="shared" si="29"/>
        <v>18.067314867055675</v>
      </c>
    </row>
    <row r="273" spans="1:16" x14ac:dyDescent="0.2">
      <c r="A273" s="8">
        <v>135.5</v>
      </c>
      <c r="B273" s="8">
        <v>271</v>
      </c>
      <c r="D273">
        <v>1579.5322359396</v>
      </c>
      <c r="E273">
        <v>393.41700960219998</v>
      </c>
      <c r="F273">
        <v>139.30061770762001</v>
      </c>
      <c r="G273">
        <v>118.02676733013</v>
      </c>
      <c r="I273" s="9">
        <f t="shared" si="26"/>
        <v>275.39024227207</v>
      </c>
      <c r="J273" s="9">
        <f t="shared" si="27"/>
        <v>1440.2316182319801</v>
      </c>
      <c r="K273" s="9">
        <f t="shared" si="31"/>
        <v>275.39024227207</v>
      </c>
      <c r="L273" s="10">
        <f t="shared" si="30"/>
        <v>0.19121246804047912</v>
      </c>
      <c r="M273" s="10">
        <f t="shared" si="28"/>
        <v>0.1914807685181146</v>
      </c>
      <c r="P273" s="8">
        <f t="shared" si="29"/>
        <v>17.390482973774393</v>
      </c>
    </row>
    <row r="274" spans="1:16" x14ac:dyDescent="0.2">
      <c r="A274" s="8">
        <v>136</v>
      </c>
      <c r="B274" s="8">
        <v>272</v>
      </c>
      <c r="D274">
        <v>1577.2716049383</v>
      </c>
      <c r="E274">
        <v>391.69067215363998</v>
      </c>
      <c r="F274">
        <v>139.14207275223001</v>
      </c>
      <c r="G274">
        <v>117.90734385723999</v>
      </c>
      <c r="I274" s="9">
        <f t="shared" si="26"/>
        <v>273.78332829639999</v>
      </c>
      <c r="J274" s="9">
        <f t="shared" si="27"/>
        <v>1438.12953218607</v>
      </c>
      <c r="K274" s="9">
        <f t="shared" si="31"/>
        <v>273.78332829639999</v>
      </c>
      <c r="L274" s="10">
        <f t="shared" si="30"/>
        <v>0.19037459572937618</v>
      </c>
      <c r="M274" s="10">
        <f t="shared" si="28"/>
        <v>0.19064388624567452</v>
      </c>
      <c r="P274" s="8">
        <f t="shared" si="29"/>
        <v>16.877418320262535</v>
      </c>
    </row>
    <row r="275" spans="1:16" x14ac:dyDescent="0.2">
      <c r="A275" s="8">
        <v>136.5</v>
      </c>
      <c r="B275" s="8">
        <v>273</v>
      </c>
      <c r="D275">
        <v>1573.5877914952</v>
      </c>
      <c r="E275">
        <v>391.41220850479999</v>
      </c>
      <c r="F275">
        <v>139.03843514069999</v>
      </c>
      <c r="G275">
        <v>118.23610157859</v>
      </c>
      <c r="I275" s="9">
        <f>E275-G275</f>
        <v>273.17610692620997</v>
      </c>
      <c r="J275" s="9">
        <f>D275-F275</f>
        <v>1434.5493563545001</v>
      </c>
      <c r="K275" s="9">
        <f t="shared" si="31"/>
        <v>273.17610692620997</v>
      </c>
      <c r="L275" s="10">
        <f t="shared" si="30"/>
        <v>0.19042642605229665</v>
      </c>
      <c r="M275" s="10">
        <f>L275+ABS($N$2)*A275</f>
        <v>0.19069670660725788</v>
      </c>
      <c r="O275" s="11"/>
      <c r="P275" s="8">
        <f>(M275-$O$2)/$O$2*100</f>
        <v>16.90980072506019</v>
      </c>
    </row>
    <row r="276" spans="1:16" x14ac:dyDescent="0.2">
      <c r="A276" s="8">
        <v>137</v>
      </c>
      <c r="B276" s="8">
        <v>274</v>
      </c>
      <c r="D276">
        <v>1566.1440329218001</v>
      </c>
      <c r="E276">
        <v>390.13717421125</v>
      </c>
      <c r="F276">
        <v>139.42210020589999</v>
      </c>
      <c r="G276">
        <v>118.00343170898999</v>
      </c>
      <c r="I276" s="9">
        <f t="shared" ref="I276:I291" si="32">E276-G276</f>
        <v>272.13374250226002</v>
      </c>
      <c r="J276" s="9">
        <f t="shared" ref="J276:J291" si="33">D276-F276</f>
        <v>1426.7219327159</v>
      </c>
      <c r="K276" s="9">
        <f t="shared" si="31"/>
        <v>272.13374250226002</v>
      </c>
      <c r="L276" s="10">
        <f t="shared" si="30"/>
        <v>0.19074056146612095</v>
      </c>
      <c r="M276" s="10">
        <f t="shared" ref="M276:M291" si="34">L276+ABS($N$2)*A276</f>
        <v>0.19101183205974503</v>
      </c>
      <c r="P276" s="8">
        <f t="shared" ref="P276:P291" si="35">(M276-$O$2)/$O$2*100</f>
        <v>17.102993646475152</v>
      </c>
    </row>
    <row r="277" spans="1:16" x14ac:dyDescent="0.2">
      <c r="A277" s="8">
        <v>137.5</v>
      </c>
      <c r="B277" s="8">
        <v>275</v>
      </c>
      <c r="D277">
        <v>1570.2613168723999</v>
      </c>
      <c r="E277">
        <v>389.82441700959998</v>
      </c>
      <c r="F277">
        <v>139.44543582704</v>
      </c>
      <c r="G277">
        <v>117.846945779</v>
      </c>
      <c r="I277" s="9">
        <f t="shared" si="32"/>
        <v>271.97747123059997</v>
      </c>
      <c r="J277" s="9">
        <f t="shared" si="33"/>
        <v>1430.8158810453599</v>
      </c>
      <c r="K277" s="9">
        <f t="shared" si="31"/>
        <v>271.97747123059997</v>
      </c>
      <c r="L277" s="10">
        <f t="shared" si="30"/>
        <v>0.1900855832211564</v>
      </c>
      <c r="M277" s="10">
        <f t="shared" si="34"/>
        <v>0.19035784385344334</v>
      </c>
      <c r="N277" s="1"/>
      <c r="P277" s="8">
        <f t="shared" si="35"/>
        <v>16.702055254640541</v>
      </c>
    </row>
    <row r="278" spans="1:16" x14ac:dyDescent="0.2">
      <c r="A278" s="8">
        <v>138</v>
      </c>
      <c r="B278" s="8">
        <v>276</v>
      </c>
      <c r="D278">
        <v>1588.4753086420001</v>
      </c>
      <c r="E278">
        <v>393.97393689986001</v>
      </c>
      <c r="F278">
        <v>139.0398078243</v>
      </c>
      <c r="G278">
        <v>117.84145504461</v>
      </c>
      <c r="I278" s="9">
        <f t="shared" si="32"/>
        <v>276.13248185525003</v>
      </c>
      <c r="J278" s="9">
        <f t="shared" si="33"/>
        <v>1449.4355008177001</v>
      </c>
      <c r="K278" s="9">
        <f t="shared" si="31"/>
        <v>276.13248185525003</v>
      </c>
      <c r="L278" s="10">
        <f t="shared" si="30"/>
        <v>0.19051036193019261</v>
      </c>
      <c r="M278" s="10">
        <f t="shared" si="34"/>
        <v>0.1907836126011424</v>
      </c>
      <c r="P278" s="8">
        <f t="shared" si="35"/>
        <v>16.963079895988812</v>
      </c>
    </row>
    <row r="279" spans="1:16" x14ac:dyDescent="0.2">
      <c r="A279" s="8">
        <v>138.5</v>
      </c>
      <c r="B279" s="8">
        <v>277</v>
      </c>
      <c r="D279">
        <v>1611.2949245542</v>
      </c>
      <c r="E279">
        <v>399.81618655693001</v>
      </c>
      <c r="F279">
        <v>139.35072065889</v>
      </c>
      <c r="G279">
        <v>117.92999313657999</v>
      </c>
      <c r="I279" s="9">
        <f t="shared" si="32"/>
        <v>281.88619342035003</v>
      </c>
      <c r="J279" s="9">
        <f t="shared" si="33"/>
        <v>1471.94420389531</v>
      </c>
      <c r="K279" s="9">
        <f t="shared" si="31"/>
        <v>281.88619342035003</v>
      </c>
      <c r="L279" s="10">
        <f t="shared" si="30"/>
        <v>0.1915060317329792</v>
      </c>
      <c r="M279" s="10">
        <f t="shared" si="34"/>
        <v>0.19178027244259185</v>
      </c>
      <c r="P279" s="8">
        <f t="shared" si="35"/>
        <v>17.574098856554805</v>
      </c>
    </row>
    <row r="280" spans="1:16" x14ac:dyDescent="0.2">
      <c r="A280" s="8">
        <v>139</v>
      </c>
      <c r="B280" s="8">
        <v>278</v>
      </c>
      <c r="D280">
        <v>1632.0205761317</v>
      </c>
      <c r="E280">
        <v>403.59533607681999</v>
      </c>
      <c r="F280">
        <v>139.46190803019999</v>
      </c>
      <c r="G280">
        <v>118.14893617021001</v>
      </c>
      <c r="I280" s="9">
        <f t="shared" si="32"/>
        <v>285.44639990661</v>
      </c>
      <c r="J280" s="9">
        <f t="shared" si="33"/>
        <v>1492.5586681015</v>
      </c>
      <c r="K280" s="9">
        <f t="shared" si="31"/>
        <v>285.44639990661</v>
      </c>
      <c r="L280" s="10">
        <f t="shared" si="30"/>
        <v>0.19124635165577189</v>
      </c>
      <c r="M280" s="10">
        <f t="shared" si="34"/>
        <v>0.1915215824040474</v>
      </c>
      <c r="P280" s="8">
        <f t="shared" si="35"/>
        <v>17.415504608159754</v>
      </c>
    </row>
    <row r="281" spans="1:16" x14ac:dyDescent="0.2">
      <c r="A281" s="8">
        <v>139.5</v>
      </c>
      <c r="B281" s="8">
        <v>279</v>
      </c>
      <c r="D281">
        <v>1588.0967078189001</v>
      </c>
      <c r="E281">
        <v>384.01989026063001</v>
      </c>
      <c r="F281">
        <v>138.82017844887</v>
      </c>
      <c r="G281">
        <v>117.82704186685</v>
      </c>
      <c r="I281" s="9">
        <f t="shared" si="32"/>
        <v>266.19284839378003</v>
      </c>
      <c r="J281" s="9">
        <f t="shared" si="33"/>
        <v>1449.2765293700302</v>
      </c>
      <c r="K281" s="9">
        <f t="shared" si="31"/>
        <v>266.19284839378003</v>
      </c>
      <c r="L281" s="10">
        <f t="shared" si="30"/>
        <v>0.1836729174862774</v>
      </c>
      <c r="M281" s="10">
        <f t="shared" si="34"/>
        <v>0.1839491382732158</v>
      </c>
      <c r="P281" s="8">
        <f t="shared" si="35"/>
        <v>12.773091269787601</v>
      </c>
    </row>
    <row r="282" spans="1:16" x14ac:dyDescent="0.2">
      <c r="A282" s="8">
        <v>140</v>
      </c>
      <c r="B282" s="8">
        <v>280</v>
      </c>
      <c r="D282">
        <v>1506.924386921</v>
      </c>
      <c r="E282">
        <v>371.92166212533999</v>
      </c>
      <c r="F282">
        <v>138.90322580645</v>
      </c>
      <c r="G282">
        <v>117.87714481812</v>
      </c>
      <c r="I282" s="9">
        <f t="shared" si="32"/>
        <v>254.04451730721999</v>
      </c>
      <c r="J282" s="9">
        <f t="shared" si="33"/>
        <v>1368.0211611145501</v>
      </c>
      <c r="K282" s="9">
        <f t="shared" si="31"/>
        <v>254.04451730721999</v>
      </c>
      <c r="L282" s="10">
        <f t="shared" si="30"/>
        <v>0.18570218394885471</v>
      </c>
      <c r="M282" s="10">
        <f t="shared" si="34"/>
        <v>0.18597939477445596</v>
      </c>
      <c r="P282" s="8">
        <f t="shared" si="35"/>
        <v>14.017773924268811</v>
      </c>
    </row>
    <row r="283" spans="1:16" x14ac:dyDescent="0.2">
      <c r="A283" s="8">
        <v>140.5</v>
      </c>
      <c r="B283" s="8">
        <v>281</v>
      </c>
      <c r="D283">
        <v>1494.3049693669</v>
      </c>
      <c r="E283">
        <v>374.99727705921998</v>
      </c>
      <c r="F283">
        <v>139.06657515443001</v>
      </c>
      <c r="G283">
        <v>117.88812628689</v>
      </c>
      <c r="I283" s="9">
        <f t="shared" si="32"/>
        <v>257.10915077233</v>
      </c>
      <c r="J283" s="9">
        <f t="shared" si="33"/>
        <v>1355.23839421247</v>
      </c>
      <c r="K283" s="9">
        <f t="shared" si="31"/>
        <v>257.10915077233</v>
      </c>
      <c r="L283" s="10">
        <f t="shared" si="30"/>
        <v>0.18971507291286291</v>
      </c>
      <c r="M283" s="10">
        <f t="shared" si="34"/>
        <v>0.18999327377712702</v>
      </c>
      <c r="P283" s="8">
        <f t="shared" si="35"/>
        <v>16.478549480834801</v>
      </c>
    </row>
    <row r="284" spans="1:16" x14ac:dyDescent="0.2">
      <c r="A284" s="8">
        <v>141</v>
      </c>
      <c r="B284" s="8">
        <v>282</v>
      </c>
      <c r="D284">
        <v>1630.863172226</v>
      </c>
      <c r="E284">
        <v>413.13138189244</v>
      </c>
      <c r="F284">
        <v>138.57035003432</v>
      </c>
      <c r="G284">
        <v>117.84008236102</v>
      </c>
      <c r="I284" s="9">
        <f t="shared" si="32"/>
        <v>295.29129953142001</v>
      </c>
      <c r="J284" s="9">
        <f t="shared" si="33"/>
        <v>1492.29282219168</v>
      </c>
      <c r="K284" s="9">
        <f t="shared" si="31"/>
        <v>295.29129953142001</v>
      </c>
      <c r="L284" s="10">
        <f t="shared" si="30"/>
        <v>0.19787758484138232</v>
      </c>
      <c r="M284" s="10">
        <f t="shared" si="34"/>
        <v>0.19815677574430929</v>
      </c>
      <c r="P284" s="8">
        <f t="shared" si="35"/>
        <v>21.483320696771425</v>
      </c>
    </row>
    <row r="285" spans="1:16" x14ac:dyDescent="0.2">
      <c r="A285" s="8">
        <v>141.5</v>
      </c>
      <c r="B285" s="8">
        <v>283</v>
      </c>
      <c r="D285">
        <v>1722.8644414169</v>
      </c>
      <c r="E285">
        <v>414.78746594005997</v>
      </c>
      <c r="F285">
        <v>138.89704873027</v>
      </c>
      <c r="G285">
        <v>118.10295126973</v>
      </c>
      <c r="I285" s="9">
        <f t="shared" si="32"/>
        <v>296.68451467032997</v>
      </c>
      <c r="J285" s="9">
        <f t="shared" si="33"/>
        <v>1583.9673926866301</v>
      </c>
      <c r="K285" s="9">
        <f t="shared" si="31"/>
        <v>296.68451467032997</v>
      </c>
      <c r="L285" s="10">
        <f t="shared" si="30"/>
        <v>0.18730468571522269</v>
      </c>
      <c r="M285" s="10">
        <f t="shared" si="34"/>
        <v>0.18758486665681251</v>
      </c>
      <c r="P285" s="8">
        <f t="shared" si="35"/>
        <v>15.002035274007545</v>
      </c>
    </row>
    <row r="286" spans="1:16" x14ac:dyDescent="0.2">
      <c r="A286" s="8">
        <v>142</v>
      </c>
      <c r="B286" s="8">
        <v>284</v>
      </c>
      <c r="D286">
        <v>1805.7329700273001</v>
      </c>
      <c r="E286">
        <v>422.2772479564</v>
      </c>
      <c r="F286">
        <v>139.35827041867</v>
      </c>
      <c r="G286">
        <v>117.95264241592</v>
      </c>
      <c r="I286" s="9">
        <f t="shared" si="32"/>
        <v>304.32460554047998</v>
      </c>
      <c r="J286" s="9">
        <f t="shared" si="33"/>
        <v>1666.3746996086302</v>
      </c>
      <c r="K286" s="9">
        <f t="shared" si="31"/>
        <v>304.32460554047998</v>
      </c>
      <c r="L286" s="10">
        <f t="shared" si="30"/>
        <v>0.1826267559222752</v>
      </c>
      <c r="M286" s="10">
        <f t="shared" si="34"/>
        <v>0.18290792690252788</v>
      </c>
      <c r="P286" s="8">
        <f t="shared" si="35"/>
        <v>12.13475925018702</v>
      </c>
    </row>
    <row r="287" spans="1:16" x14ac:dyDescent="0.2">
      <c r="A287" s="8">
        <v>142.5</v>
      </c>
      <c r="B287" s="8">
        <v>285</v>
      </c>
      <c r="D287">
        <v>1748.9713896457999</v>
      </c>
      <c r="E287">
        <v>413.84945504087</v>
      </c>
      <c r="F287">
        <v>138.84076870281001</v>
      </c>
      <c r="G287">
        <v>118.00823610158</v>
      </c>
      <c r="I287" s="9">
        <f t="shared" si="32"/>
        <v>295.84121893929</v>
      </c>
      <c r="J287" s="9">
        <f t="shared" si="33"/>
        <v>1610.1306209429899</v>
      </c>
      <c r="K287" s="9">
        <f t="shared" si="31"/>
        <v>295.84121893929</v>
      </c>
      <c r="L287" s="10">
        <f t="shared" si="30"/>
        <v>0.18373740309716455</v>
      </c>
      <c r="M287" s="10">
        <f t="shared" si="34"/>
        <v>0.18401956411608011</v>
      </c>
      <c r="P287" s="8">
        <f t="shared" si="35"/>
        <v>12.816267008905733</v>
      </c>
    </row>
    <row r="288" spans="1:16" x14ac:dyDescent="0.2">
      <c r="A288" s="8">
        <v>143</v>
      </c>
      <c r="B288" s="8">
        <v>286</v>
      </c>
      <c r="D288">
        <v>1753.2452316076001</v>
      </c>
      <c r="E288">
        <v>413.89237057220998</v>
      </c>
      <c r="F288">
        <v>138.71585449553999</v>
      </c>
      <c r="G288">
        <v>118.13589567605</v>
      </c>
      <c r="I288" s="9">
        <f t="shared" si="32"/>
        <v>295.75647489616</v>
      </c>
      <c r="J288" s="9">
        <f t="shared" si="33"/>
        <v>1614.52937711206</v>
      </c>
      <c r="K288" s="9">
        <f t="shared" si="31"/>
        <v>295.75647489616</v>
      </c>
      <c r="L288" s="10">
        <f t="shared" si="30"/>
        <v>0.18318432546900157</v>
      </c>
      <c r="M288" s="10">
        <f t="shared" si="34"/>
        <v>0.18346747652657999</v>
      </c>
      <c r="P288" s="8">
        <f t="shared" si="35"/>
        <v>12.477800491997456</v>
      </c>
    </row>
    <row r="289" spans="1:16" x14ac:dyDescent="0.2">
      <c r="A289" s="8">
        <v>143.5</v>
      </c>
      <c r="B289" s="8">
        <v>287</v>
      </c>
      <c r="D289">
        <v>1724.1777929155</v>
      </c>
      <c r="E289">
        <v>410.59059945503998</v>
      </c>
      <c r="F289">
        <v>138.99794097461</v>
      </c>
      <c r="G289">
        <v>117.59574468085</v>
      </c>
      <c r="I289" s="9">
        <f t="shared" si="32"/>
        <v>292.99485477419</v>
      </c>
      <c r="J289" s="9">
        <f t="shared" si="33"/>
        <v>1585.1798519408901</v>
      </c>
      <c r="K289" s="9">
        <f t="shared" si="31"/>
        <v>292.99485477419</v>
      </c>
      <c r="L289" s="10">
        <f t="shared" si="30"/>
        <v>0.18483382463854045</v>
      </c>
      <c r="M289" s="10">
        <f t="shared" si="34"/>
        <v>0.18511796573478173</v>
      </c>
      <c r="P289" s="8">
        <f t="shared" si="35"/>
        <v>13.489660465159591</v>
      </c>
    </row>
    <row r="290" spans="1:16" x14ac:dyDescent="0.2">
      <c r="A290" s="8">
        <v>144</v>
      </c>
      <c r="B290" s="8">
        <v>288</v>
      </c>
      <c r="D290">
        <v>1601.6250847458</v>
      </c>
      <c r="E290">
        <v>384.67932203390001</v>
      </c>
      <c r="F290">
        <v>139.24639670555999</v>
      </c>
      <c r="G290">
        <v>117.80988332189</v>
      </c>
      <c r="I290" s="9">
        <f t="shared" si="32"/>
        <v>266.86943871201004</v>
      </c>
      <c r="J290" s="9">
        <f t="shared" si="33"/>
        <v>1462.3786880402399</v>
      </c>
      <c r="K290" s="9">
        <f t="shared" si="31"/>
        <v>266.86943871201004</v>
      </c>
      <c r="L290" s="10">
        <f t="shared" si="30"/>
        <v>0.18248996712995497</v>
      </c>
      <c r="M290" s="10">
        <f t="shared" si="34"/>
        <v>0.1827750982648591</v>
      </c>
      <c r="P290" s="8">
        <f t="shared" si="35"/>
        <v>12.053326435553151</v>
      </c>
    </row>
    <row r="291" spans="1:16" x14ac:dyDescent="0.2">
      <c r="A291" s="8">
        <v>144.5</v>
      </c>
      <c r="B291" s="8">
        <v>289</v>
      </c>
      <c r="D291">
        <v>1612.1830508475</v>
      </c>
      <c r="E291">
        <v>387.20067796609999</v>
      </c>
      <c r="F291">
        <v>138.93067947838</v>
      </c>
      <c r="G291">
        <v>118.12422786547999</v>
      </c>
      <c r="I291" s="9">
        <f t="shared" si="32"/>
        <v>269.07645010061998</v>
      </c>
      <c r="J291" s="9">
        <f t="shared" si="33"/>
        <v>1473.2523713691201</v>
      </c>
      <c r="K291" s="9">
        <f t="shared" si="31"/>
        <v>269.07645010061998</v>
      </c>
      <c r="L291" s="10">
        <f t="shared" si="30"/>
        <v>0.18264111114279924</v>
      </c>
      <c r="M291" s="10">
        <f t="shared" si="34"/>
        <v>0.18292723231636623</v>
      </c>
      <c r="P291" s="8">
        <f t="shared" si="35"/>
        <v>12.146594756551607</v>
      </c>
    </row>
    <row r="292" spans="1:16" x14ac:dyDescent="0.2">
      <c r="A292" s="8">
        <v>145</v>
      </c>
      <c r="B292" s="8">
        <v>290</v>
      </c>
      <c r="D292">
        <v>1694.6142372881</v>
      </c>
      <c r="E292">
        <v>405.92677966102002</v>
      </c>
      <c r="F292">
        <v>138.73575840769001</v>
      </c>
      <c r="G292">
        <v>117.90391214825</v>
      </c>
      <c r="I292" s="9">
        <f>E292-G292</f>
        <v>288.02286751277001</v>
      </c>
      <c r="J292" s="9">
        <f>D292-F292</f>
        <v>1555.8784788804101</v>
      </c>
      <c r="K292" s="9">
        <f t="shared" si="31"/>
        <v>288.02286751277001</v>
      </c>
      <c r="L292" s="10">
        <f t="shared" si="30"/>
        <v>0.18511912814683801</v>
      </c>
      <c r="M292" s="10">
        <f>L292+ABS($N$2)*A292</f>
        <v>0.18540623935906786</v>
      </c>
      <c r="O292" s="11"/>
      <c r="P292" s="8">
        <f>(M292-$O$2)/$O$2*100</f>
        <v>13.66639142485567</v>
      </c>
    </row>
    <row r="293" spans="1:16" x14ac:dyDescent="0.2">
      <c r="A293" s="8">
        <v>145.5</v>
      </c>
      <c r="B293" s="8">
        <v>291</v>
      </c>
      <c r="D293">
        <v>1666.9068493151001</v>
      </c>
      <c r="E293">
        <v>390.01438356163999</v>
      </c>
      <c r="F293">
        <v>139.0020590254</v>
      </c>
      <c r="G293">
        <v>117.87234042553</v>
      </c>
      <c r="I293" s="9">
        <f t="shared" ref="I293:I301" si="36">E293-G293</f>
        <v>272.14204313610998</v>
      </c>
      <c r="J293" s="9">
        <f t="shared" ref="J293:J301" si="37">D293-F293</f>
        <v>1527.9047902897</v>
      </c>
      <c r="K293" s="9">
        <f t="shared" si="31"/>
        <v>272.14204313610998</v>
      </c>
      <c r="L293" s="10">
        <f t="shared" si="30"/>
        <v>0.17811452969167679</v>
      </c>
      <c r="M293" s="10">
        <f t="shared" ref="M293:M301" si="38">L293+ABS($N$2)*A293</f>
        <v>0.17840263094256953</v>
      </c>
      <c r="P293" s="8">
        <f t="shared" ref="P293:P301" si="39">(M293-$O$2)/$O$2*100</f>
        <v>9.3727123210236218</v>
      </c>
    </row>
    <row r="294" spans="1:16" x14ac:dyDescent="0.2">
      <c r="A294" s="8">
        <v>146</v>
      </c>
      <c r="B294" s="8">
        <v>292</v>
      </c>
      <c r="D294">
        <v>1589.15</v>
      </c>
      <c r="E294">
        <v>376.40205479451998</v>
      </c>
      <c r="F294">
        <v>138.68565545641999</v>
      </c>
      <c r="G294">
        <v>117.67604667124</v>
      </c>
      <c r="I294" s="9">
        <f t="shared" si="36"/>
        <v>258.72600812328</v>
      </c>
      <c r="J294" s="9">
        <f t="shared" si="37"/>
        <v>1450.4643445435802</v>
      </c>
      <c r="K294" s="9">
        <f t="shared" si="31"/>
        <v>258.72600812328</v>
      </c>
      <c r="L294" s="10">
        <f t="shared" si="30"/>
        <v>0.17837460748109166</v>
      </c>
      <c r="M294" s="10">
        <f t="shared" si="38"/>
        <v>0.17866369877064725</v>
      </c>
      <c r="N294" s="1"/>
      <c r="P294" s="8">
        <f t="shared" si="39"/>
        <v>9.5327643130024349</v>
      </c>
    </row>
    <row r="295" spans="1:16" x14ac:dyDescent="0.2">
      <c r="A295" s="8">
        <v>146.5</v>
      </c>
      <c r="B295" s="8">
        <v>293</v>
      </c>
      <c r="D295">
        <v>1548.7554794521</v>
      </c>
      <c r="E295">
        <v>370.67739726027003</v>
      </c>
      <c r="F295">
        <v>138.75360329444001</v>
      </c>
      <c r="G295">
        <v>117.73507206588999</v>
      </c>
      <c r="I295" s="9">
        <f t="shared" si="36"/>
        <v>252.94232519438003</v>
      </c>
      <c r="J295" s="9">
        <f t="shared" si="37"/>
        <v>1410.00187615766</v>
      </c>
      <c r="K295" s="9">
        <f t="shared" si="31"/>
        <v>252.94232519438003</v>
      </c>
      <c r="L295" s="10">
        <f t="shared" si="30"/>
        <v>0.1793914812962257</v>
      </c>
      <c r="M295" s="10">
        <f t="shared" si="38"/>
        <v>0.17968156262444415</v>
      </c>
      <c r="P295" s="8">
        <f t="shared" si="39"/>
        <v>10.156782747456658</v>
      </c>
    </row>
    <row r="296" spans="1:16" x14ac:dyDescent="0.2">
      <c r="A296" s="8">
        <v>147</v>
      </c>
      <c r="B296" s="8">
        <v>294</v>
      </c>
      <c r="D296">
        <v>1455.5842465753001</v>
      </c>
      <c r="E296">
        <v>351.79315068493003</v>
      </c>
      <c r="F296">
        <v>139.10706932052</v>
      </c>
      <c r="G296">
        <v>117.63486616335</v>
      </c>
      <c r="I296" s="9">
        <f t="shared" si="36"/>
        <v>234.15828452158001</v>
      </c>
      <c r="J296" s="9">
        <f t="shared" si="37"/>
        <v>1316.4771772547801</v>
      </c>
      <c r="K296" s="9">
        <f t="shared" si="31"/>
        <v>234.15828452158001</v>
      </c>
      <c r="L296" s="10">
        <f t="shared" si="30"/>
        <v>0.17786733303638802</v>
      </c>
      <c r="M296" s="10">
        <f t="shared" si="38"/>
        <v>0.17815840440326933</v>
      </c>
      <c r="P296" s="8">
        <f t="shared" si="39"/>
        <v>9.2229851623886177</v>
      </c>
    </row>
    <row r="297" spans="1:16" x14ac:dyDescent="0.2">
      <c r="A297" s="8">
        <v>147.5</v>
      </c>
      <c r="B297" s="8">
        <v>295</v>
      </c>
      <c r="D297">
        <v>1560.6815068492999</v>
      </c>
      <c r="E297">
        <v>364.75753424658001</v>
      </c>
      <c r="F297">
        <v>139.26149622512</v>
      </c>
      <c r="G297">
        <v>118.0013726836</v>
      </c>
      <c r="I297" s="9">
        <f t="shared" si="36"/>
        <v>246.75616156298003</v>
      </c>
      <c r="J297" s="9">
        <f t="shared" si="37"/>
        <v>1421.4200106241799</v>
      </c>
      <c r="K297" s="9">
        <f t="shared" si="31"/>
        <v>246.75616156298003</v>
      </c>
      <c r="L297" s="10">
        <f t="shared" si="30"/>
        <v>0.17359834511871225</v>
      </c>
      <c r="M297" s="10">
        <f t="shared" si="38"/>
        <v>0.17389040652425641</v>
      </c>
      <c r="P297" s="8">
        <f t="shared" si="39"/>
        <v>6.606417784756788</v>
      </c>
    </row>
    <row r="298" spans="1:16" x14ac:dyDescent="0.2">
      <c r="A298" s="8">
        <v>148</v>
      </c>
      <c r="B298" s="8">
        <v>296</v>
      </c>
      <c r="D298">
        <v>1693.1911966988</v>
      </c>
      <c r="E298">
        <v>389.14236588721002</v>
      </c>
      <c r="F298">
        <v>138.65477007550001</v>
      </c>
      <c r="G298">
        <v>117.97185998627</v>
      </c>
      <c r="I298" s="9">
        <f t="shared" si="36"/>
        <v>271.17050590094004</v>
      </c>
      <c r="J298" s="9">
        <f t="shared" si="37"/>
        <v>1554.5364266233</v>
      </c>
      <c r="K298" s="9">
        <f t="shared" si="31"/>
        <v>271.17050590094004</v>
      </c>
      <c r="L298" s="10">
        <f t="shared" si="30"/>
        <v>0.17443818057706467</v>
      </c>
      <c r="M298" s="10">
        <f t="shared" si="38"/>
        <v>0.17473123202127169</v>
      </c>
      <c r="P298" s="8">
        <f t="shared" si="39"/>
        <v>7.1218998979484835</v>
      </c>
    </row>
    <row r="299" spans="1:16" x14ac:dyDescent="0.2">
      <c r="A299" s="8">
        <v>148.5</v>
      </c>
      <c r="B299" s="8">
        <v>297</v>
      </c>
      <c r="D299">
        <v>1733.5942228336</v>
      </c>
      <c r="E299">
        <v>394.24621733150002</v>
      </c>
      <c r="F299">
        <v>138.72820864791001</v>
      </c>
      <c r="G299">
        <v>117.72477693892</v>
      </c>
      <c r="I299" s="9">
        <f t="shared" si="36"/>
        <v>276.52144039258002</v>
      </c>
      <c r="J299" s="9">
        <f t="shared" si="37"/>
        <v>1594.8660141856901</v>
      </c>
      <c r="K299" s="9">
        <f t="shared" si="31"/>
        <v>276.52144039258002</v>
      </c>
      <c r="L299" s="10">
        <f t="shared" si="30"/>
        <v>0.17338223896743257</v>
      </c>
      <c r="M299" s="10">
        <f t="shared" si="38"/>
        <v>0.17367628045030248</v>
      </c>
      <c r="P299" s="8">
        <f t="shared" si="39"/>
        <v>6.4751442190965767</v>
      </c>
    </row>
    <row r="300" spans="1:16" x14ac:dyDescent="0.2">
      <c r="A300" s="8">
        <v>149</v>
      </c>
      <c r="B300" s="8">
        <v>298</v>
      </c>
      <c r="D300">
        <v>1767.1134800550001</v>
      </c>
      <c r="E300">
        <v>398.23521320495001</v>
      </c>
      <c r="F300">
        <v>139.19286204529999</v>
      </c>
      <c r="G300">
        <v>117.75017158545</v>
      </c>
      <c r="I300" s="9">
        <f t="shared" si="36"/>
        <v>280.48504161950001</v>
      </c>
      <c r="J300" s="9">
        <f t="shared" si="37"/>
        <v>1627.9206180097001</v>
      </c>
      <c r="K300" s="9">
        <f t="shared" si="31"/>
        <v>280.48504161950001</v>
      </c>
      <c r="L300" s="10">
        <f t="shared" si="30"/>
        <v>0.17229651035590526</v>
      </c>
      <c r="M300" s="10">
        <f t="shared" si="38"/>
        <v>0.17259154187743803</v>
      </c>
      <c r="P300" s="8">
        <f t="shared" si="39"/>
        <v>5.8101271212735419</v>
      </c>
    </row>
    <row r="301" spans="1:16" x14ac:dyDescent="0.2">
      <c r="A301" s="8">
        <v>149.5</v>
      </c>
      <c r="B301" s="8">
        <v>299</v>
      </c>
      <c r="D301">
        <v>1632.5254470426</v>
      </c>
      <c r="E301">
        <v>372.99724896836</v>
      </c>
      <c r="F301">
        <v>139.16678105697</v>
      </c>
      <c r="G301">
        <v>117.82704186685</v>
      </c>
      <c r="I301" s="9">
        <f t="shared" si="36"/>
        <v>255.17020710151002</v>
      </c>
      <c r="J301" s="9">
        <f t="shared" si="37"/>
        <v>1493.3586659856301</v>
      </c>
      <c r="K301" s="9">
        <f t="shared" si="31"/>
        <v>255.17020710151002</v>
      </c>
      <c r="L301" s="10">
        <f t="shared" si="30"/>
        <v>0.17087000793148069</v>
      </c>
      <c r="M301" s="10">
        <f t="shared" si="38"/>
        <v>0.17116602949167631</v>
      </c>
      <c r="P301" s="8">
        <f t="shared" si="39"/>
        <v>4.9361929463444572</v>
      </c>
    </row>
    <row r="302" spans="1:16" x14ac:dyDescent="0.2">
      <c r="A302" s="8">
        <v>150</v>
      </c>
      <c r="B302" s="8">
        <v>300</v>
      </c>
      <c r="D302">
        <v>1645.0887207702999</v>
      </c>
      <c r="E302">
        <v>373.92365887208001</v>
      </c>
      <c r="F302">
        <v>138.68085106383</v>
      </c>
      <c r="G302">
        <v>117.8853809197</v>
      </c>
      <c r="I302" s="9">
        <f>E302-G302</f>
        <v>256.03827795237999</v>
      </c>
      <c r="J302" s="9">
        <f>D302-F302</f>
        <v>1506.4078697064699</v>
      </c>
      <c r="K302" s="9">
        <f t="shared" si="31"/>
        <v>256.03827795237999</v>
      </c>
      <c r="L302" s="10">
        <f t="shared" si="30"/>
        <v>0.16996610486525815</v>
      </c>
      <c r="M302" s="10">
        <f>L302+ABS($N$2)*A302</f>
        <v>0.17026311646411663</v>
      </c>
      <c r="O302" s="11"/>
      <c r="P302" s="8">
        <f>(M302-$O$2)/$O$2*100</f>
        <v>4.3826470356567393</v>
      </c>
    </row>
    <row r="303" spans="1:16" x14ac:dyDescent="0.2">
      <c r="A303" s="8">
        <v>150.5</v>
      </c>
      <c r="B303" s="8">
        <v>301</v>
      </c>
      <c r="D303">
        <v>1671.7077028885999</v>
      </c>
      <c r="E303">
        <v>376.99931224209001</v>
      </c>
      <c r="F303">
        <v>138.84282772821001</v>
      </c>
      <c r="G303">
        <v>117.78997940975</v>
      </c>
      <c r="I303" s="9">
        <f t="shared" ref="I303:I309" si="40">E303-G303</f>
        <v>259.20933283234001</v>
      </c>
      <c r="J303" s="9">
        <f t="shared" ref="J303:J309" si="41">D303-F303</f>
        <v>1532.8648751603898</v>
      </c>
      <c r="K303" s="9">
        <f t="shared" si="31"/>
        <v>259.20933283234001</v>
      </c>
      <c r="L303" s="10">
        <f t="shared" si="30"/>
        <v>0.16910122805522429</v>
      </c>
      <c r="M303" s="10">
        <f t="shared" ref="M303:M309" si="42">L303+ABS($N$2)*A303</f>
        <v>0.16939922969274562</v>
      </c>
      <c r="P303" s="8">
        <f t="shared" ref="P303:P309" si="43">(M303-$O$2)/$O$2*100</f>
        <v>3.8530268230853508</v>
      </c>
    </row>
    <row r="304" spans="1:16" x14ac:dyDescent="0.2">
      <c r="A304" s="8">
        <v>151</v>
      </c>
      <c r="B304" s="8">
        <v>302</v>
      </c>
      <c r="D304">
        <v>1730.6960110041</v>
      </c>
      <c r="E304">
        <v>385.04470426410001</v>
      </c>
      <c r="F304">
        <v>138.83596431023</v>
      </c>
      <c r="G304">
        <v>117.49553877831001</v>
      </c>
      <c r="I304" s="9">
        <f t="shared" si="40"/>
        <v>267.54916548579001</v>
      </c>
      <c r="J304" s="9">
        <f t="shared" si="41"/>
        <v>1591.8600466938701</v>
      </c>
      <c r="K304" s="9">
        <f t="shared" si="31"/>
        <v>267.54916548579001</v>
      </c>
      <c r="L304" s="10">
        <f t="shared" si="30"/>
        <v>0.1680732964191558</v>
      </c>
      <c r="M304" s="10">
        <f t="shared" si="42"/>
        <v>0.16837228809533999</v>
      </c>
      <c r="N304" s="1"/>
      <c r="P304" s="8">
        <f t="shared" si="43"/>
        <v>3.2234431263085046</v>
      </c>
    </row>
    <row r="305" spans="1:16" x14ac:dyDescent="0.2">
      <c r="A305" s="8">
        <v>151.5</v>
      </c>
      <c r="B305" s="8">
        <v>303</v>
      </c>
      <c r="D305">
        <v>1587.4126547455</v>
      </c>
      <c r="E305">
        <v>365.00137551581997</v>
      </c>
      <c r="F305">
        <v>139.26630061770999</v>
      </c>
      <c r="G305">
        <v>117.63349347975</v>
      </c>
      <c r="I305" s="9">
        <f t="shared" si="40"/>
        <v>247.36788203606997</v>
      </c>
      <c r="J305" s="9">
        <f t="shared" si="41"/>
        <v>1448.1463541277901</v>
      </c>
      <c r="K305" s="9">
        <f t="shared" si="31"/>
        <v>247.36788203606997</v>
      </c>
      <c r="L305" s="10">
        <f t="shared" si="30"/>
        <v>0.17081690764954358</v>
      </c>
      <c r="M305" s="10">
        <f t="shared" si="42"/>
        <v>0.17111688936439065</v>
      </c>
      <c r="P305" s="8">
        <f t="shared" si="43"/>
        <v>4.9060667706449363</v>
      </c>
    </row>
    <row r="306" spans="1:16" x14ac:dyDescent="0.2">
      <c r="A306" s="8">
        <v>152</v>
      </c>
      <c r="B306" s="8">
        <v>304</v>
      </c>
      <c r="D306">
        <v>1574.2283356258999</v>
      </c>
      <c r="E306">
        <v>362.24071526823002</v>
      </c>
      <c r="F306">
        <v>138.81537405628001</v>
      </c>
      <c r="G306">
        <v>117.75978037063</v>
      </c>
      <c r="I306" s="9">
        <f t="shared" si="40"/>
        <v>244.48093489760004</v>
      </c>
      <c r="J306" s="9">
        <f t="shared" si="41"/>
        <v>1435.4129615696199</v>
      </c>
      <c r="K306" s="9">
        <f t="shared" si="31"/>
        <v>244.48093489760004</v>
      </c>
      <c r="L306" s="10">
        <f t="shared" si="30"/>
        <v>0.17032097482961339</v>
      </c>
      <c r="M306" s="10">
        <f t="shared" si="42"/>
        <v>0.17062194658312332</v>
      </c>
      <c r="P306" s="8">
        <f t="shared" si="43"/>
        <v>4.6026338327733809</v>
      </c>
    </row>
    <row r="307" spans="1:16" x14ac:dyDescent="0.2">
      <c r="A307" s="8">
        <v>152.5</v>
      </c>
      <c r="B307" s="8">
        <v>305</v>
      </c>
      <c r="D307">
        <v>1650.8473177441999</v>
      </c>
      <c r="E307">
        <v>370.59078404401998</v>
      </c>
      <c r="F307">
        <v>138.42690459849001</v>
      </c>
      <c r="G307">
        <v>117.34385724091</v>
      </c>
      <c r="I307" s="9">
        <f t="shared" si="40"/>
        <v>253.24692680311</v>
      </c>
      <c r="J307" s="9">
        <f t="shared" si="41"/>
        <v>1512.42041314571</v>
      </c>
      <c r="K307" s="9">
        <f t="shared" si="31"/>
        <v>253.24692680311</v>
      </c>
      <c r="L307" s="10">
        <f t="shared" si="30"/>
        <v>0.16744479550919128</v>
      </c>
      <c r="M307" s="10">
        <f t="shared" si="42"/>
        <v>0.16774675730136407</v>
      </c>
      <c r="P307" s="8">
        <f t="shared" si="43"/>
        <v>2.8399510263545835</v>
      </c>
    </row>
    <row r="308" spans="1:16" x14ac:dyDescent="0.2">
      <c r="A308" s="8">
        <v>153</v>
      </c>
      <c r="B308" s="8">
        <v>306</v>
      </c>
      <c r="D308">
        <v>1643.3658872077001</v>
      </c>
      <c r="E308">
        <v>367.76547455295997</v>
      </c>
      <c r="F308">
        <v>138.94715168153999</v>
      </c>
      <c r="G308">
        <v>117.61908030199</v>
      </c>
      <c r="I308" s="9">
        <f t="shared" si="40"/>
        <v>250.14639425096999</v>
      </c>
      <c r="J308" s="9">
        <f t="shared" si="41"/>
        <v>1504.4187355261602</v>
      </c>
      <c r="K308" s="9">
        <f t="shared" si="31"/>
        <v>250.14639425096999</v>
      </c>
      <c r="L308" s="10">
        <f t="shared" si="30"/>
        <v>0.16627444762809537</v>
      </c>
      <c r="M308" s="10">
        <f t="shared" si="42"/>
        <v>0.16657739945893102</v>
      </c>
      <c r="P308" s="8">
        <f t="shared" si="43"/>
        <v>2.1230566721343567</v>
      </c>
    </row>
    <row r="309" spans="1:16" x14ac:dyDescent="0.2">
      <c r="A309" s="8">
        <v>153.5</v>
      </c>
      <c r="B309" s="8">
        <v>307</v>
      </c>
      <c r="D309">
        <v>1669.7579092159999</v>
      </c>
      <c r="E309">
        <v>368.87207702888998</v>
      </c>
      <c r="F309">
        <v>138.79341111874001</v>
      </c>
      <c r="G309">
        <v>117.32258064516</v>
      </c>
      <c r="I309" s="9">
        <f t="shared" si="40"/>
        <v>251.54949638372997</v>
      </c>
      <c r="J309" s="9">
        <f t="shared" si="41"/>
        <v>1530.9644980972598</v>
      </c>
      <c r="K309" s="9">
        <f t="shared" si="31"/>
        <v>251.54949638372997</v>
      </c>
      <c r="L309" s="10">
        <f t="shared" si="30"/>
        <v>0.16430785736466466</v>
      </c>
      <c r="M309" s="10">
        <f t="shared" si="42"/>
        <v>0.16461179923416316</v>
      </c>
      <c r="P309" s="8">
        <f t="shared" si="43"/>
        <v>0.91801262773974113</v>
      </c>
    </row>
    <row r="310" spans="1:16" x14ac:dyDescent="0.2">
      <c r="A310" s="8">
        <v>154</v>
      </c>
      <c r="B310" s="8">
        <v>308</v>
      </c>
      <c r="D310">
        <v>1619.4381017881999</v>
      </c>
      <c r="E310">
        <v>359.93741403026002</v>
      </c>
      <c r="F310">
        <v>138.93960192175999</v>
      </c>
      <c r="G310">
        <v>117.69800960879</v>
      </c>
      <c r="I310" s="9">
        <f>E310-G310</f>
        <v>242.23940442147</v>
      </c>
      <c r="J310" s="9">
        <f>D310-F310</f>
        <v>1480.4984998664399</v>
      </c>
      <c r="K310" s="9">
        <f t="shared" si="31"/>
        <v>242.23940442147</v>
      </c>
      <c r="L310" s="10">
        <f t="shared" si="30"/>
        <v>0.16362016202199672</v>
      </c>
      <c r="M310" s="10">
        <f>L310+ABS($N$2)*A310</f>
        <v>0.16392509393015808</v>
      </c>
      <c r="O310" s="11"/>
      <c r="P310" s="8">
        <f>(M310-$O$2)/$O$2*100</f>
        <v>0.49701647276461197</v>
      </c>
    </row>
    <row r="311" spans="1:16" x14ac:dyDescent="0.2">
      <c r="A311" s="8">
        <v>154.5</v>
      </c>
      <c r="B311" s="8">
        <v>309</v>
      </c>
      <c r="D311">
        <v>1654.5426409904001</v>
      </c>
      <c r="E311">
        <v>363.53920220083</v>
      </c>
      <c r="F311">
        <v>139.01441317775999</v>
      </c>
      <c r="G311">
        <v>117.33013040493999</v>
      </c>
      <c r="I311" s="9">
        <f t="shared" ref="I311:I314" si="44">E311-G311</f>
        <v>246.20907179589</v>
      </c>
      <c r="J311" s="9">
        <f t="shared" ref="J311:J314" si="45">D311-F311</f>
        <v>1515.5282278126401</v>
      </c>
      <c r="K311" s="9">
        <f t="shared" si="31"/>
        <v>246.20907179589</v>
      </c>
      <c r="L311" s="10">
        <f t="shared" si="30"/>
        <v>0.16245759549542882</v>
      </c>
      <c r="M311" s="10">
        <f t="shared" ref="M311:M314" si="46">L311+ABS($N$2)*A311</f>
        <v>0.16276351744225306</v>
      </c>
      <c r="P311" s="8">
        <f t="shared" ref="P311:P314" si="47">(M311-$O$2)/$O$2*100</f>
        <v>-0.21510739210932189</v>
      </c>
    </row>
    <row r="312" spans="1:16" x14ac:dyDescent="0.2">
      <c r="A312" s="8">
        <v>155</v>
      </c>
      <c r="B312" s="8">
        <v>310</v>
      </c>
      <c r="D312">
        <v>1695.1430536451001</v>
      </c>
      <c r="E312">
        <v>369.63273727647999</v>
      </c>
      <c r="F312">
        <v>138.87714481812</v>
      </c>
      <c r="G312">
        <v>117.58064516128999</v>
      </c>
      <c r="I312" s="9">
        <f t="shared" si="44"/>
        <v>252.05209211518999</v>
      </c>
      <c r="J312" s="9">
        <f t="shared" si="45"/>
        <v>1556.26590882698</v>
      </c>
      <c r="K312" s="9">
        <f t="shared" si="31"/>
        <v>252.05209211518999</v>
      </c>
      <c r="L312" s="10">
        <f t="shared" si="30"/>
        <v>0.16195952805081476</v>
      </c>
      <c r="M312" s="10">
        <f t="shared" si="46"/>
        <v>0.16226644003630186</v>
      </c>
      <c r="N312" s="1"/>
      <c r="P312" s="8">
        <f t="shared" si="47"/>
        <v>-0.51984899729272815</v>
      </c>
    </row>
    <row r="313" spans="1:16" x14ac:dyDescent="0.2">
      <c r="A313" s="8">
        <v>155.5</v>
      </c>
      <c r="B313" s="8">
        <v>311</v>
      </c>
      <c r="D313">
        <v>1730.9050894085001</v>
      </c>
      <c r="E313">
        <v>372.99931224209001</v>
      </c>
      <c r="F313">
        <v>138.31983527796999</v>
      </c>
      <c r="G313">
        <v>118.09402882636</v>
      </c>
      <c r="I313" s="9">
        <f t="shared" si="44"/>
        <v>254.90528341573003</v>
      </c>
      <c r="J313" s="9">
        <f t="shared" si="45"/>
        <v>1592.5852541305301</v>
      </c>
      <c r="K313" s="9">
        <f t="shared" si="31"/>
        <v>254.90528341573003</v>
      </c>
      <c r="L313" s="10">
        <f t="shared" si="30"/>
        <v>0.16005754339028791</v>
      </c>
      <c r="M313" s="10">
        <f t="shared" si="46"/>
        <v>0.16036544541443787</v>
      </c>
      <c r="P313" s="8">
        <f t="shared" si="47"/>
        <v>-1.6852854978781666</v>
      </c>
    </row>
    <row r="314" spans="1:16" x14ac:dyDescent="0.2">
      <c r="A314" s="8">
        <v>156</v>
      </c>
      <c r="B314" s="8">
        <v>312</v>
      </c>
      <c r="D314">
        <v>1750.3617606603</v>
      </c>
      <c r="E314">
        <v>376.74140302614001</v>
      </c>
      <c r="F314">
        <v>138.84900480439001</v>
      </c>
      <c r="G314">
        <v>117.77693891558</v>
      </c>
      <c r="I314" s="9">
        <f t="shared" si="44"/>
        <v>258.96446411056002</v>
      </c>
      <c r="J314" s="9">
        <f t="shared" si="45"/>
        <v>1611.51275585591</v>
      </c>
      <c r="K314" s="9">
        <f t="shared" ref="K314:K322" si="48">I314*1</f>
        <v>258.96446411056002</v>
      </c>
      <c r="L314" s="10">
        <f t="shared" ref="L314:L322" si="49">K314/J314</f>
        <v>0.16069650281670794</v>
      </c>
      <c r="M314" s="10">
        <f t="shared" si="46"/>
        <v>0.16100539487952076</v>
      </c>
      <c r="O314" s="11"/>
      <c r="P314" s="8">
        <f t="shared" si="47"/>
        <v>-1.2929537908024136</v>
      </c>
    </row>
    <row r="315" spans="1:16" x14ac:dyDescent="0.2">
      <c r="A315" s="8">
        <v>156.5</v>
      </c>
      <c r="B315" s="8">
        <v>313</v>
      </c>
      <c r="D315">
        <v>1756.1884456671</v>
      </c>
      <c r="E315">
        <v>376.77028885831999</v>
      </c>
      <c r="F315">
        <v>138.96842827728</v>
      </c>
      <c r="G315">
        <v>117.96431022649</v>
      </c>
      <c r="I315" s="9">
        <f t="shared" ref="I315:I322" si="50">E315-G315</f>
        <v>258.80597863182999</v>
      </c>
      <c r="J315" s="9">
        <f t="shared" ref="J315:J322" si="51">D315-F315</f>
        <v>1617.22001738982</v>
      </c>
      <c r="K315" s="9">
        <f t="shared" si="48"/>
        <v>258.80597863182999</v>
      </c>
      <c r="L315" s="10">
        <f t="shared" si="49"/>
        <v>0.16003139699540742</v>
      </c>
      <c r="M315" s="10">
        <f t="shared" ref="M315:M322" si="52">L315+ABS($N$2)*A315</f>
        <v>0.16034127909688309</v>
      </c>
      <c r="P315" s="8">
        <f t="shared" ref="P315:P322" si="53">(M315-$O$2)/$O$2*100</f>
        <v>-1.7001010624458683</v>
      </c>
    </row>
    <row r="316" spans="1:16" x14ac:dyDescent="0.2">
      <c r="A316" s="8">
        <v>157</v>
      </c>
      <c r="B316" s="8">
        <v>314</v>
      </c>
      <c r="D316">
        <v>1767.0240715268001</v>
      </c>
      <c r="E316">
        <v>376.3734525447</v>
      </c>
      <c r="F316">
        <v>139.14344543582999</v>
      </c>
      <c r="G316">
        <v>117.67467398765</v>
      </c>
      <c r="I316" s="9">
        <f t="shared" si="50"/>
        <v>258.69877855704999</v>
      </c>
      <c r="J316" s="9">
        <f t="shared" si="51"/>
        <v>1627.8806260909701</v>
      </c>
      <c r="K316" s="9">
        <f t="shared" si="48"/>
        <v>258.69877855704999</v>
      </c>
      <c r="L316" s="10">
        <f t="shared" si="49"/>
        <v>0.15891753634187747</v>
      </c>
      <c r="M316" s="10">
        <f t="shared" si="52"/>
        <v>0.159228408482016</v>
      </c>
      <c r="N316" s="1"/>
      <c r="P316" s="8">
        <f t="shared" si="53"/>
        <v>-2.3823649784391341</v>
      </c>
    </row>
    <row r="317" spans="1:16" x14ac:dyDescent="0.2">
      <c r="A317" s="8">
        <v>157.5</v>
      </c>
      <c r="B317" s="8">
        <v>315</v>
      </c>
      <c r="D317">
        <v>1776.6409903714</v>
      </c>
      <c r="E317">
        <v>377.32462173315002</v>
      </c>
      <c r="F317">
        <v>138.59162663006001</v>
      </c>
      <c r="G317">
        <v>117.51407000686</v>
      </c>
      <c r="I317" s="9">
        <f t="shared" si="50"/>
        <v>259.81055172629004</v>
      </c>
      <c r="J317" s="9">
        <f t="shared" si="51"/>
        <v>1638.0493637413399</v>
      </c>
      <c r="K317" s="9">
        <f t="shared" si="48"/>
        <v>259.81055172629004</v>
      </c>
      <c r="L317" s="10">
        <f t="shared" si="49"/>
        <v>0.15860972048661412</v>
      </c>
      <c r="M317" s="10">
        <f t="shared" si="52"/>
        <v>0.15892158266541553</v>
      </c>
      <c r="P317" s="8">
        <f t="shared" si="53"/>
        <v>-2.5704696694652922</v>
      </c>
    </row>
    <row r="318" spans="1:16" x14ac:dyDescent="0.2">
      <c r="A318" s="8">
        <v>158</v>
      </c>
      <c r="B318" s="8">
        <v>316</v>
      </c>
      <c r="D318">
        <v>1714.0894085282</v>
      </c>
      <c r="E318">
        <v>364.02269601099999</v>
      </c>
      <c r="F318">
        <v>138.50171585449999</v>
      </c>
      <c r="G318">
        <v>117.44543582704</v>
      </c>
      <c r="I318" s="9">
        <f t="shared" si="50"/>
        <v>246.57726018395999</v>
      </c>
      <c r="J318" s="9">
        <f t="shared" si="51"/>
        <v>1575.5876926737001</v>
      </c>
      <c r="K318" s="9">
        <f t="shared" si="48"/>
        <v>246.57726018395999</v>
      </c>
      <c r="L318" s="10">
        <f t="shared" si="49"/>
        <v>0.1564985949880896</v>
      </c>
      <c r="M318" s="10">
        <f t="shared" si="52"/>
        <v>0.15681144720555387</v>
      </c>
      <c r="O318" s="11"/>
      <c r="P318" s="8">
        <f t="shared" si="53"/>
        <v>-3.8641234535517812</v>
      </c>
    </row>
    <row r="319" spans="1:16" x14ac:dyDescent="0.2">
      <c r="A319" s="8">
        <v>158.5</v>
      </c>
      <c r="B319" s="8">
        <v>317</v>
      </c>
      <c r="D319">
        <v>1758.3466299862</v>
      </c>
      <c r="E319">
        <v>372.60247592847003</v>
      </c>
      <c r="F319">
        <v>138.61496225120001</v>
      </c>
      <c r="G319">
        <v>117.56485929993001</v>
      </c>
      <c r="I319" s="9">
        <f t="shared" si="50"/>
        <v>255.03761662854004</v>
      </c>
      <c r="J319" s="9">
        <f t="shared" si="51"/>
        <v>1619.731667735</v>
      </c>
      <c r="K319" s="9">
        <f t="shared" si="48"/>
        <v>255.03761662854004</v>
      </c>
      <c r="L319" s="10">
        <f t="shared" si="49"/>
        <v>0.15745670823685226</v>
      </c>
      <c r="M319" s="10">
        <f t="shared" si="52"/>
        <v>0.15777055049297939</v>
      </c>
      <c r="P319" s="8">
        <f t="shared" si="53"/>
        <v>-3.276129165645187</v>
      </c>
    </row>
    <row r="320" spans="1:16" x14ac:dyDescent="0.2">
      <c r="A320" s="8">
        <v>159</v>
      </c>
      <c r="B320" s="8">
        <v>318</v>
      </c>
      <c r="D320">
        <v>1806.7297111416999</v>
      </c>
      <c r="E320">
        <v>379.95460797799001</v>
      </c>
      <c r="F320">
        <v>138.97254632807</v>
      </c>
      <c r="G320">
        <v>117.51407000686</v>
      </c>
      <c r="I320" s="9">
        <f t="shared" si="50"/>
        <v>262.44053797113003</v>
      </c>
      <c r="J320" s="9">
        <f t="shared" si="51"/>
        <v>1667.75716481363</v>
      </c>
      <c r="K320" s="9">
        <f t="shared" si="48"/>
        <v>262.44053797113003</v>
      </c>
      <c r="L320" s="10">
        <f t="shared" si="49"/>
        <v>0.15736136141885948</v>
      </c>
      <c r="M320" s="10">
        <f t="shared" si="52"/>
        <v>0.15767619371364947</v>
      </c>
      <c r="N320" s="1"/>
      <c r="P320" s="8">
        <f t="shared" si="53"/>
        <v>-3.3339761650233086</v>
      </c>
    </row>
    <row r="321" spans="1:16" x14ac:dyDescent="0.2">
      <c r="A321" s="8">
        <v>159.5</v>
      </c>
      <c r="B321" s="8">
        <v>319</v>
      </c>
      <c r="D321">
        <v>1810.2689133424999</v>
      </c>
      <c r="E321">
        <v>378.22696011004001</v>
      </c>
      <c r="F321">
        <v>138.92587508579001</v>
      </c>
      <c r="G321">
        <v>117.3850377488</v>
      </c>
      <c r="I321" s="9">
        <f t="shared" si="50"/>
        <v>260.84192236123999</v>
      </c>
      <c r="J321" s="9">
        <f t="shared" si="51"/>
        <v>1671.3430382567099</v>
      </c>
      <c r="K321" s="9">
        <f t="shared" si="48"/>
        <v>260.84192236123999</v>
      </c>
      <c r="L321" s="10">
        <f t="shared" si="49"/>
        <v>0.15606725632657106</v>
      </c>
      <c r="M321" s="10">
        <f t="shared" si="52"/>
        <v>0.15638307866002391</v>
      </c>
      <c r="P321" s="8">
        <f t="shared" si="53"/>
        <v>-4.1267419443783355</v>
      </c>
    </row>
    <row r="322" spans="1:16" x14ac:dyDescent="0.2">
      <c r="A322" s="8">
        <v>160</v>
      </c>
      <c r="B322" s="8">
        <v>320</v>
      </c>
      <c r="D322">
        <v>1807.2496561211001</v>
      </c>
      <c r="E322">
        <v>375.54470426410001</v>
      </c>
      <c r="F322">
        <v>138.57789979410001</v>
      </c>
      <c r="G322">
        <v>117.52916952642001</v>
      </c>
      <c r="I322" s="9">
        <f t="shared" si="50"/>
        <v>258.01553473768001</v>
      </c>
      <c r="J322" s="9">
        <f t="shared" si="51"/>
        <v>1668.6717563270001</v>
      </c>
      <c r="K322" s="9">
        <f t="shared" si="48"/>
        <v>258.01553473768001</v>
      </c>
      <c r="L322" s="10">
        <f t="shared" si="49"/>
        <v>0.15462330069372743</v>
      </c>
      <c r="M322" s="10">
        <f t="shared" si="52"/>
        <v>0.15494011306584313</v>
      </c>
      <c r="O322" s="11"/>
      <c r="P322" s="8">
        <f t="shared" si="53"/>
        <v>-5.011376100206868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FD71-DD9C-144F-96DC-97D7B4146AEA}">
  <dimension ref="A1:Y798"/>
  <sheetViews>
    <sheetView topLeftCell="C1" zoomScale="75" zoomScaleNormal="70" workbookViewId="0">
      <selection activeCell="H38" sqref="H38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967.98568019093</v>
      </c>
      <c r="E2">
        <v>354.55369928401001</v>
      </c>
      <c r="F2">
        <v>141.47349612865</v>
      </c>
      <c r="G2">
        <v>119.61703394878</v>
      </c>
      <c r="H2" s="4"/>
      <c r="I2" s="5">
        <f>E2-G2</f>
        <v>234.93666533523</v>
      </c>
      <c r="J2" s="5">
        <f>D2-F2</f>
        <v>826.51218406227997</v>
      </c>
      <c r="K2" s="9">
        <f>I2*1</f>
        <v>234.93666533523</v>
      </c>
      <c r="L2" s="6">
        <f t="shared" ref="L2:L65" si="0">K2/J2</f>
        <v>0.28425069813311654</v>
      </c>
      <c r="M2" s="6">
        <f>L2+ABS($N$2)*A2</f>
        <v>0.28425069813311654</v>
      </c>
      <c r="N2" s="4">
        <f>LINEST(V64:V103,U64:U103)</f>
        <v>-4.0955351592693053E-5</v>
      </c>
      <c r="O2" s="7">
        <f>AVERAGE(M62:M81)</f>
        <v>0.21609429586566767</v>
      </c>
      <c r="P2" s="4">
        <f>(M2-$O$2)/$O$2*100</f>
        <v>31.54012094322816</v>
      </c>
    </row>
    <row r="3" spans="1:16" x14ac:dyDescent="0.2">
      <c r="A3" s="8">
        <v>0.5</v>
      </c>
      <c r="B3" s="8">
        <v>1</v>
      </c>
      <c r="D3">
        <v>991.89677804296002</v>
      </c>
      <c r="E3">
        <v>359.29474940334001</v>
      </c>
      <c r="F3">
        <v>142.17510422871001</v>
      </c>
      <c r="G3">
        <v>119.49315068493</v>
      </c>
      <c r="I3" s="9">
        <f t="shared" ref="I3:I66" si="1">E3-G3</f>
        <v>239.80159871840999</v>
      </c>
      <c r="J3" s="9">
        <f t="shared" ref="J3:J66" si="2">D3-F3</f>
        <v>849.72167381425004</v>
      </c>
      <c r="K3" s="9">
        <f t="shared" ref="K3:K66" si="3">I3*1</f>
        <v>239.80159871840999</v>
      </c>
      <c r="L3" s="10">
        <f t="shared" si="0"/>
        <v>0.28221193610606998</v>
      </c>
      <c r="M3" s="10">
        <f t="shared" ref="M3:M66" si="4">L3+ABS($N$2)*A3</f>
        <v>0.28223241378186631</v>
      </c>
      <c r="P3" s="8">
        <f t="shared" ref="P3:P66" si="5">(M3-$O$2)/$O$2*100</f>
        <v>30.606137774831677</v>
      </c>
    </row>
    <row r="4" spans="1:16" ht="16" x14ac:dyDescent="0.2">
      <c r="A4" s="8">
        <v>1</v>
      </c>
      <c r="B4" s="8">
        <v>2</v>
      </c>
      <c r="D4">
        <v>1019.0680190931</v>
      </c>
      <c r="E4">
        <v>359.30548926014001</v>
      </c>
      <c r="F4">
        <v>142.20309708159999</v>
      </c>
      <c r="G4">
        <v>119.45265038714</v>
      </c>
      <c r="I4" s="9">
        <f t="shared" si="1"/>
        <v>239.852838873</v>
      </c>
      <c r="J4" s="9">
        <f t="shared" si="2"/>
        <v>876.86492201150008</v>
      </c>
      <c r="K4" s="9">
        <f t="shared" si="3"/>
        <v>239.852838873</v>
      </c>
      <c r="L4" s="10">
        <f t="shared" si="0"/>
        <v>0.27353453519703497</v>
      </c>
      <c r="M4" s="10">
        <f t="shared" si="4"/>
        <v>0.27357549054862768</v>
      </c>
      <c r="N4" s="1" t="s">
        <v>7</v>
      </c>
      <c r="P4" s="8">
        <f t="shared" si="5"/>
        <v>26.600051821216269</v>
      </c>
    </row>
    <row r="5" spans="1:16" x14ac:dyDescent="0.2">
      <c r="A5" s="8">
        <v>1.5</v>
      </c>
      <c r="B5" s="8">
        <v>3</v>
      </c>
      <c r="D5">
        <v>1049.6336515513001</v>
      </c>
      <c r="E5">
        <v>366.70823389022001</v>
      </c>
      <c r="F5">
        <v>142.27278141751</v>
      </c>
      <c r="G5">
        <v>119.52054794521</v>
      </c>
      <c r="I5" s="9">
        <f t="shared" si="1"/>
        <v>247.18768594501</v>
      </c>
      <c r="J5" s="9">
        <f t="shared" si="2"/>
        <v>907.36087013379006</v>
      </c>
      <c r="K5" s="9">
        <f t="shared" si="3"/>
        <v>247.18768594501</v>
      </c>
      <c r="L5" s="10">
        <f t="shared" si="0"/>
        <v>0.27242489078084475</v>
      </c>
      <c r="M5" s="10">
        <f t="shared" si="4"/>
        <v>0.27248632380823379</v>
      </c>
      <c r="N5" s="8">
        <f>RSQ(V64:V83,U64:U83)</f>
        <v>0.5565993265940874</v>
      </c>
      <c r="P5" s="8">
        <f t="shared" si="5"/>
        <v>26.096027994011244</v>
      </c>
    </row>
    <row r="6" spans="1:16" x14ac:dyDescent="0.2">
      <c r="A6" s="8">
        <v>2</v>
      </c>
      <c r="B6" s="8">
        <v>4</v>
      </c>
      <c r="D6">
        <v>1080.6915274462999</v>
      </c>
      <c r="E6">
        <v>369.20286396181001</v>
      </c>
      <c r="F6">
        <v>141.56938653961001</v>
      </c>
      <c r="G6">
        <v>119.74508636093</v>
      </c>
      <c r="I6" s="9">
        <f t="shared" si="1"/>
        <v>249.45777760088001</v>
      </c>
      <c r="J6" s="9">
        <f t="shared" si="2"/>
        <v>939.12214090668988</v>
      </c>
      <c r="K6" s="9">
        <f t="shared" si="3"/>
        <v>249.45777760088001</v>
      </c>
      <c r="L6" s="10">
        <f t="shared" si="0"/>
        <v>0.26562868314449189</v>
      </c>
      <c r="M6" s="10">
        <f t="shared" si="4"/>
        <v>0.26571059384767726</v>
      </c>
      <c r="P6" s="8">
        <f t="shared" si="5"/>
        <v>22.960484812080807</v>
      </c>
    </row>
    <row r="7" spans="1:16" x14ac:dyDescent="0.2">
      <c r="A7" s="8">
        <v>2.5</v>
      </c>
      <c r="B7" s="8">
        <v>5</v>
      </c>
      <c r="D7">
        <v>1009.6972040452</v>
      </c>
      <c r="E7">
        <v>357.64128494943998</v>
      </c>
      <c r="F7">
        <v>142.36450268017001</v>
      </c>
      <c r="G7">
        <v>119.67718880286</v>
      </c>
      <c r="I7" s="9">
        <f t="shared" si="1"/>
        <v>237.96409614657998</v>
      </c>
      <c r="J7" s="9">
        <f t="shared" si="2"/>
        <v>867.33270136503006</v>
      </c>
      <c r="K7" s="9">
        <f t="shared" si="3"/>
        <v>237.96409614657998</v>
      </c>
      <c r="L7" s="10">
        <f t="shared" si="0"/>
        <v>0.27436310861110863</v>
      </c>
      <c r="M7" s="10">
        <f t="shared" si="4"/>
        <v>0.27446549699009037</v>
      </c>
      <c r="P7" s="8">
        <f t="shared" si="5"/>
        <v>27.011912040801136</v>
      </c>
    </row>
    <row r="8" spans="1:16" x14ac:dyDescent="0.2">
      <c r="A8" s="8">
        <v>3</v>
      </c>
      <c r="B8" s="8">
        <v>6</v>
      </c>
      <c r="D8">
        <v>1085.6900654372</v>
      </c>
      <c r="E8">
        <v>370.42831647829001</v>
      </c>
      <c r="F8">
        <v>142.64264443120999</v>
      </c>
      <c r="G8">
        <v>119.70696843359001</v>
      </c>
      <c r="I8" s="9">
        <f t="shared" si="1"/>
        <v>250.72134804469999</v>
      </c>
      <c r="J8" s="9">
        <f t="shared" si="2"/>
        <v>943.04742100599003</v>
      </c>
      <c r="K8" s="9">
        <f t="shared" si="3"/>
        <v>250.72134804469999</v>
      </c>
      <c r="L8" s="10">
        <f t="shared" si="0"/>
        <v>0.26586292742017631</v>
      </c>
      <c r="M8" s="10">
        <f t="shared" si="4"/>
        <v>0.26598579347495438</v>
      </c>
      <c r="P8" s="8">
        <f t="shared" si="5"/>
        <v>23.087836450945073</v>
      </c>
    </row>
    <row r="9" spans="1:16" x14ac:dyDescent="0.2">
      <c r="A9" s="8">
        <v>3.5</v>
      </c>
      <c r="B9" s="8">
        <v>7</v>
      </c>
      <c r="D9">
        <v>1093.0333135039</v>
      </c>
      <c r="E9">
        <v>372.10291493159002</v>
      </c>
      <c r="F9">
        <v>142.83263847527999</v>
      </c>
      <c r="G9">
        <v>120.04228707564</v>
      </c>
      <c r="I9" s="9">
        <f t="shared" si="1"/>
        <v>252.06062785595003</v>
      </c>
      <c r="J9" s="9">
        <f t="shared" si="2"/>
        <v>950.20067502862003</v>
      </c>
      <c r="K9" s="9">
        <f t="shared" si="3"/>
        <v>252.06062785595003</v>
      </c>
      <c r="L9" s="10">
        <f t="shared" si="0"/>
        <v>0.26527094168645793</v>
      </c>
      <c r="M9" s="10">
        <f t="shared" si="4"/>
        <v>0.26541428541703238</v>
      </c>
      <c r="P9" s="8">
        <f t="shared" si="5"/>
        <v>22.823364843477346</v>
      </c>
    </row>
    <row r="10" spans="1:16" x14ac:dyDescent="0.2">
      <c r="A10" s="8">
        <v>4</v>
      </c>
      <c r="B10" s="8">
        <v>8</v>
      </c>
      <c r="D10">
        <v>1303.6490184413999</v>
      </c>
      <c r="E10">
        <v>418.09339678763001</v>
      </c>
      <c r="F10">
        <v>142.6217986897</v>
      </c>
      <c r="G10">
        <v>120.07266229899</v>
      </c>
      <c r="I10" s="9">
        <f t="shared" si="1"/>
        <v>298.02073448864002</v>
      </c>
      <c r="J10" s="9">
        <f t="shared" si="2"/>
        <v>1161.0272197516999</v>
      </c>
      <c r="K10" s="9">
        <f t="shared" si="3"/>
        <v>298.02073448864002</v>
      </c>
      <c r="L10" s="10">
        <f t="shared" si="0"/>
        <v>0.2566871210412926</v>
      </c>
      <c r="M10" s="10">
        <f t="shared" si="4"/>
        <v>0.25685094244766338</v>
      </c>
      <c r="P10" s="8">
        <f t="shared" si="5"/>
        <v>18.860584180959393</v>
      </c>
    </row>
    <row r="11" spans="1:16" x14ac:dyDescent="0.2">
      <c r="A11" s="8">
        <v>4.5</v>
      </c>
      <c r="B11" s="8">
        <v>9</v>
      </c>
      <c r="D11">
        <v>1222.0197723188001</v>
      </c>
      <c r="E11">
        <v>403.39005392451003</v>
      </c>
      <c r="F11">
        <v>143.35973793925001</v>
      </c>
      <c r="G11">
        <v>120.22275163787999</v>
      </c>
      <c r="I11" s="9">
        <f t="shared" si="1"/>
        <v>283.16730228663005</v>
      </c>
      <c r="J11" s="9">
        <f t="shared" si="2"/>
        <v>1078.6600343795501</v>
      </c>
      <c r="K11" s="9">
        <f t="shared" si="3"/>
        <v>283.16730228663005</v>
      </c>
      <c r="L11" s="10">
        <f t="shared" si="0"/>
        <v>0.26251765455416087</v>
      </c>
      <c r="M11" s="10">
        <f t="shared" si="4"/>
        <v>0.26270195363632798</v>
      </c>
      <c r="P11" s="8">
        <f t="shared" si="5"/>
        <v>21.56820363256297</v>
      </c>
    </row>
    <row r="12" spans="1:16" x14ac:dyDescent="0.2">
      <c r="A12" s="8">
        <v>5</v>
      </c>
      <c r="B12" s="8">
        <v>10</v>
      </c>
      <c r="D12">
        <v>1230.5458358297999</v>
      </c>
      <c r="E12">
        <v>403.59856201318001</v>
      </c>
      <c r="F12">
        <v>142.99463966646999</v>
      </c>
      <c r="G12">
        <v>119.90946992257</v>
      </c>
      <c r="I12" s="9">
        <f t="shared" si="1"/>
        <v>283.68909209061002</v>
      </c>
      <c r="J12" s="9">
        <f t="shared" si="2"/>
        <v>1087.5511961633299</v>
      </c>
      <c r="K12" s="9">
        <f t="shared" si="3"/>
        <v>283.68909209061002</v>
      </c>
      <c r="L12" s="10">
        <f t="shared" si="0"/>
        <v>0.26085125288024164</v>
      </c>
      <c r="M12" s="10">
        <f t="shared" si="4"/>
        <v>0.26105602963820512</v>
      </c>
      <c r="P12" s="8">
        <f t="shared" si="5"/>
        <v>20.806534292088561</v>
      </c>
    </row>
    <row r="13" spans="1:16" x14ac:dyDescent="0.2">
      <c r="A13" s="8">
        <v>5.5</v>
      </c>
      <c r="B13" s="8">
        <v>11</v>
      </c>
      <c r="D13">
        <v>1314.6851520572</v>
      </c>
      <c r="E13">
        <v>415.62492546214003</v>
      </c>
      <c r="F13">
        <v>142.71649791543001</v>
      </c>
      <c r="G13">
        <v>119.70279928529</v>
      </c>
      <c r="I13" s="9">
        <f t="shared" si="1"/>
        <v>295.92212617685004</v>
      </c>
      <c r="J13" s="9">
        <f t="shared" si="2"/>
        <v>1171.96865414177</v>
      </c>
      <c r="K13" s="9">
        <f t="shared" si="3"/>
        <v>295.92212617685004</v>
      </c>
      <c r="L13" s="10">
        <f t="shared" si="0"/>
        <v>0.25250003498903573</v>
      </c>
      <c r="M13" s="10">
        <f t="shared" si="4"/>
        <v>0.25272528942279554</v>
      </c>
      <c r="P13" s="8">
        <f t="shared" si="5"/>
        <v>16.951393099195489</v>
      </c>
    </row>
    <row r="14" spans="1:16" x14ac:dyDescent="0.2">
      <c r="A14" s="8">
        <v>6</v>
      </c>
      <c r="B14" s="8">
        <v>12</v>
      </c>
      <c r="D14">
        <v>1318.0685748359999</v>
      </c>
      <c r="E14">
        <v>409.59153249850999</v>
      </c>
      <c r="F14">
        <v>142.93686718284999</v>
      </c>
      <c r="G14">
        <v>119.812983919</v>
      </c>
      <c r="I14" s="9">
        <f t="shared" si="1"/>
        <v>289.77854857951002</v>
      </c>
      <c r="J14" s="9">
        <f t="shared" si="2"/>
        <v>1175.13170765315</v>
      </c>
      <c r="K14" s="9">
        <f t="shared" si="3"/>
        <v>289.77854857951002</v>
      </c>
      <c r="L14" s="10">
        <f t="shared" si="0"/>
        <v>0.24659240040269648</v>
      </c>
      <c r="M14" s="10">
        <f t="shared" si="4"/>
        <v>0.24683813251225264</v>
      </c>
      <c r="P14" s="8">
        <f t="shared" si="5"/>
        <v>14.227046819272129</v>
      </c>
    </row>
    <row r="15" spans="1:16" x14ac:dyDescent="0.2">
      <c r="A15" s="8">
        <v>6.5</v>
      </c>
      <c r="B15" s="8">
        <v>13</v>
      </c>
      <c r="D15">
        <v>1346.5521765056999</v>
      </c>
      <c r="E15">
        <v>413.55038759690001</v>
      </c>
      <c r="F15">
        <v>142.87194758785</v>
      </c>
      <c r="G15">
        <v>119.62596783799999</v>
      </c>
      <c r="I15" s="9">
        <f t="shared" si="1"/>
        <v>293.9244197589</v>
      </c>
      <c r="J15" s="9">
        <f t="shared" si="2"/>
        <v>1203.6802289178499</v>
      </c>
      <c r="K15" s="9">
        <f t="shared" si="3"/>
        <v>293.9244197589</v>
      </c>
      <c r="L15" s="10">
        <f t="shared" si="0"/>
        <v>0.24418812629592512</v>
      </c>
      <c r="M15" s="10">
        <f t="shared" si="4"/>
        <v>0.24445433608127762</v>
      </c>
      <c r="P15" s="8">
        <f t="shared" si="5"/>
        <v>13.123918936407103</v>
      </c>
    </row>
    <row r="16" spans="1:16" x14ac:dyDescent="0.2">
      <c r="A16" s="8">
        <v>7</v>
      </c>
      <c r="B16" s="8">
        <v>14</v>
      </c>
      <c r="D16">
        <v>1341.4203935599</v>
      </c>
      <c r="E16">
        <v>409.74299344066998</v>
      </c>
      <c r="F16">
        <v>143.11971411555001</v>
      </c>
      <c r="G16">
        <v>119.92376414533</v>
      </c>
      <c r="I16" s="9">
        <f t="shared" si="1"/>
        <v>289.81922929533999</v>
      </c>
      <c r="J16" s="9">
        <f t="shared" si="2"/>
        <v>1198.30067944435</v>
      </c>
      <c r="K16" s="9">
        <f t="shared" si="3"/>
        <v>289.81922929533999</v>
      </c>
      <c r="L16" s="10">
        <f t="shared" si="0"/>
        <v>0.24185852037547761</v>
      </c>
      <c r="M16" s="10">
        <f t="shared" si="4"/>
        <v>0.24214520783662646</v>
      </c>
      <c r="P16" s="8">
        <f t="shared" si="5"/>
        <v>12.055344573811897</v>
      </c>
    </row>
    <row r="17" spans="1:16" x14ac:dyDescent="0.2">
      <c r="A17" s="8">
        <v>7.5</v>
      </c>
      <c r="B17" s="8">
        <v>15</v>
      </c>
      <c r="D17">
        <v>1357.5259391771001</v>
      </c>
      <c r="E17">
        <v>412.50685748360002</v>
      </c>
      <c r="F17">
        <v>143.03394877904</v>
      </c>
      <c r="G17">
        <v>119.97260273972999</v>
      </c>
      <c r="I17" s="9">
        <f t="shared" si="1"/>
        <v>292.53425474387001</v>
      </c>
      <c r="J17" s="9">
        <f t="shared" si="2"/>
        <v>1214.4919903980601</v>
      </c>
      <c r="K17" s="9">
        <f t="shared" si="3"/>
        <v>292.53425474387001</v>
      </c>
      <c r="L17" s="10">
        <f t="shared" si="0"/>
        <v>0.2408696451328505</v>
      </c>
      <c r="M17" s="10">
        <f t="shared" si="4"/>
        <v>0.24117681026979571</v>
      </c>
      <c r="P17" s="8">
        <f t="shared" si="5"/>
        <v>11.607208003176664</v>
      </c>
    </row>
    <row r="18" spans="1:16" x14ac:dyDescent="0.2">
      <c r="A18" s="8">
        <v>8</v>
      </c>
      <c r="B18" s="8">
        <v>16</v>
      </c>
      <c r="D18">
        <v>1357.3339296362999</v>
      </c>
      <c r="E18">
        <v>410.25819916517997</v>
      </c>
      <c r="F18">
        <v>142.92555092316999</v>
      </c>
      <c r="G18">
        <v>119.77129243597</v>
      </c>
      <c r="I18" s="9">
        <f t="shared" si="1"/>
        <v>290.48690672920998</v>
      </c>
      <c r="J18" s="9">
        <f t="shared" si="2"/>
        <v>1214.4083787131299</v>
      </c>
      <c r="K18" s="9">
        <f t="shared" si="3"/>
        <v>290.48690672920998</v>
      </c>
      <c r="L18" s="10">
        <f t="shared" si="0"/>
        <v>0.2392003479398172</v>
      </c>
      <c r="M18" s="10">
        <f t="shared" si="4"/>
        <v>0.23952799075255876</v>
      </c>
      <c r="P18" s="8">
        <f t="shared" si="5"/>
        <v>10.844198729548307</v>
      </c>
    </row>
    <row r="19" spans="1:16" x14ac:dyDescent="0.2">
      <c r="A19" s="8">
        <v>8.5</v>
      </c>
      <c r="B19" s="8">
        <v>17</v>
      </c>
      <c r="D19">
        <v>1335.1164874552001</v>
      </c>
      <c r="E19">
        <v>404.22640382318002</v>
      </c>
      <c r="F19">
        <v>143.80405002978</v>
      </c>
      <c r="G19">
        <v>119.8534842168</v>
      </c>
      <c r="I19" s="9">
        <f t="shared" si="1"/>
        <v>284.37291960638004</v>
      </c>
      <c r="J19" s="9">
        <f t="shared" si="2"/>
        <v>1191.3124374254201</v>
      </c>
      <c r="K19" s="9">
        <f t="shared" si="3"/>
        <v>284.37291960638004</v>
      </c>
      <c r="L19" s="10">
        <f t="shared" si="0"/>
        <v>0.23870557435037498</v>
      </c>
      <c r="M19" s="10">
        <f t="shared" si="4"/>
        <v>0.23905369483891287</v>
      </c>
      <c r="P19" s="8">
        <f t="shared" si="5"/>
        <v>10.624713105577586</v>
      </c>
    </row>
    <row r="20" spans="1:16" x14ac:dyDescent="0.2">
      <c r="A20" s="8">
        <v>9</v>
      </c>
      <c r="B20" s="8">
        <v>18</v>
      </c>
      <c r="D20">
        <v>1327.8416965352001</v>
      </c>
      <c r="E20">
        <v>400.4366786141</v>
      </c>
      <c r="F20">
        <v>143.55092316855001</v>
      </c>
      <c r="G20">
        <v>119.92316855271</v>
      </c>
      <c r="I20" s="9">
        <f t="shared" si="1"/>
        <v>280.51351006138998</v>
      </c>
      <c r="J20" s="9">
        <f t="shared" si="2"/>
        <v>1184.29077336665</v>
      </c>
      <c r="K20" s="9">
        <f t="shared" si="3"/>
        <v>280.51351006138998</v>
      </c>
      <c r="L20" s="10">
        <f t="shared" si="0"/>
        <v>0.23686202440297532</v>
      </c>
      <c r="M20" s="10">
        <f t="shared" si="4"/>
        <v>0.23723062256730956</v>
      </c>
      <c r="P20" s="8">
        <f t="shared" si="5"/>
        <v>9.7810664631245192</v>
      </c>
    </row>
    <row r="21" spans="1:16" x14ac:dyDescent="0.2">
      <c r="A21" s="8">
        <v>9.5</v>
      </c>
      <c r="B21" s="8">
        <v>19</v>
      </c>
      <c r="D21">
        <v>1279.9105105105</v>
      </c>
      <c r="E21">
        <v>390.6</v>
      </c>
      <c r="F21">
        <v>143.35914234664</v>
      </c>
      <c r="G21">
        <v>119.71649791543</v>
      </c>
      <c r="I21" s="9">
        <f t="shared" si="1"/>
        <v>270.88350208457001</v>
      </c>
      <c r="J21" s="9">
        <f t="shared" si="2"/>
        <v>1136.5513681638599</v>
      </c>
      <c r="K21" s="9">
        <f t="shared" si="3"/>
        <v>270.88350208457001</v>
      </c>
      <c r="L21" s="10">
        <f t="shared" si="0"/>
        <v>0.23833810742948836</v>
      </c>
      <c r="M21" s="10">
        <f t="shared" si="4"/>
        <v>0.23872718326961895</v>
      </c>
      <c r="P21" s="8">
        <f t="shared" si="5"/>
        <v>10.473616304069743</v>
      </c>
    </row>
    <row r="22" spans="1:16" x14ac:dyDescent="0.2">
      <c r="A22" s="8">
        <v>10</v>
      </c>
      <c r="B22" s="8">
        <v>20</v>
      </c>
      <c r="D22">
        <v>1200.4294294294</v>
      </c>
      <c r="E22">
        <v>380.57897897897999</v>
      </c>
      <c r="F22">
        <v>143.17569982131999</v>
      </c>
      <c r="G22">
        <v>120.1542584872</v>
      </c>
      <c r="I22" s="9">
        <f t="shared" si="1"/>
        <v>260.42472049178002</v>
      </c>
      <c r="J22" s="9">
        <f t="shared" si="2"/>
        <v>1057.25372960808</v>
      </c>
      <c r="K22" s="9">
        <f t="shared" si="3"/>
        <v>260.42472049178002</v>
      </c>
      <c r="L22" s="10">
        <f t="shared" si="0"/>
        <v>0.24632187449300225</v>
      </c>
      <c r="M22" s="10">
        <f t="shared" si="4"/>
        <v>0.24673142800892917</v>
      </c>
      <c r="P22" s="8">
        <f t="shared" si="5"/>
        <v>14.177668142756851</v>
      </c>
    </row>
    <row r="23" spans="1:16" x14ac:dyDescent="0.2">
      <c r="A23" s="8">
        <v>10.5</v>
      </c>
      <c r="B23" s="8">
        <v>21</v>
      </c>
      <c r="D23">
        <v>1233.8324324324001</v>
      </c>
      <c r="E23">
        <v>382.34594594595001</v>
      </c>
      <c r="F23">
        <v>143.49315068492999</v>
      </c>
      <c r="G23">
        <v>120.04764740917</v>
      </c>
      <c r="I23" s="9">
        <f t="shared" si="1"/>
        <v>262.29829853678001</v>
      </c>
      <c r="J23" s="9">
        <f t="shared" si="2"/>
        <v>1090.3392817474701</v>
      </c>
      <c r="K23" s="9">
        <f t="shared" si="3"/>
        <v>262.29829853678001</v>
      </c>
      <c r="L23" s="10">
        <f t="shared" si="0"/>
        <v>0.24056576051850442</v>
      </c>
      <c r="M23" s="10">
        <f t="shared" si="4"/>
        <v>0.2409957917102277</v>
      </c>
      <c r="P23" s="8">
        <f t="shared" si="5"/>
        <v>11.523439683960808</v>
      </c>
    </row>
    <row r="24" spans="1:16" x14ac:dyDescent="0.2">
      <c r="A24" s="8">
        <v>11</v>
      </c>
      <c r="B24" s="8">
        <v>22</v>
      </c>
      <c r="D24">
        <v>1266.4594594595001</v>
      </c>
      <c r="E24">
        <v>386.78138138138002</v>
      </c>
      <c r="F24">
        <v>143.67540202501999</v>
      </c>
      <c r="G24">
        <v>120.03871351994999</v>
      </c>
      <c r="I24" s="9">
        <f t="shared" si="1"/>
        <v>266.74266786143005</v>
      </c>
      <c r="J24" s="9">
        <f t="shared" si="2"/>
        <v>1122.78405743448</v>
      </c>
      <c r="K24" s="9">
        <f t="shared" si="3"/>
        <v>266.74266786143005</v>
      </c>
      <c r="L24" s="10">
        <f t="shared" si="0"/>
        <v>0.23757254664884284</v>
      </c>
      <c r="M24" s="10">
        <f t="shared" si="4"/>
        <v>0.23802305551636246</v>
      </c>
      <c r="P24" s="8">
        <f t="shared" si="5"/>
        <v>10.147773481409494</v>
      </c>
    </row>
    <row r="25" spans="1:16" x14ac:dyDescent="0.2">
      <c r="A25" s="8">
        <v>11.5</v>
      </c>
      <c r="B25" s="8">
        <v>23</v>
      </c>
      <c r="D25">
        <v>1351.1201201201</v>
      </c>
      <c r="E25">
        <v>400.01981981981999</v>
      </c>
      <c r="F25">
        <v>143.44252531269001</v>
      </c>
      <c r="G25">
        <v>120.46873138773</v>
      </c>
      <c r="I25" s="9">
        <f t="shared" si="1"/>
        <v>279.55108843208995</v>
      </c>
      <c r="J25" s="9">
        <f t="shared" si="2"/>
        <v>1207.6775948074101</v>
      </c>
      <c r="K25" s="9">
        <f t="shared" si="3"/>
        <v>279.55108843208995</v>
      </c>
      <c r="L25" s="10">
        <f t="shared" si="0"/>
        <v>0.23147824355942476</v>
      </c>
      <c r="M25" s="10">
        <f t="shared" si="4"/>
        <v>0.23194923010274074</v>
      </c>
      <c r="P25" s="8">
        <f t="shared" si="5"/>
        <v>7.3370443090867585</v>
      </c>
    </row>
    <row r="26" spans="1:16" x14ac:dyDescent="0.2">
      <c r="A26" s="8">
        <v>12</v>
      </c>
      <c r="B26" s="8">
        <v>24</v>
      </c>
      <c r="D26">
        <v>1373.2561048243001</v>
      </c>
      <c r="E26">
        <v>401.62060750447</v>
      </c>
      <c r="F26">
        <v>143.11494937462999</v>
      </c>
      <c r="G26">
        <v>120.26682549136</v>
      </c>
      <c r="I26" s="9">
        <f t="shared" si="1"/>
        <v>281.35378201310999</v>
      </c>
      <c r="J26" s="9">
        <f t="shared" si="2"/>
        <v>1230.1411554496701</v>
      </c>
      <c r="K26" s="9">
        <f t="shared" si="3"/>
        <v>281.35378201310999</v>
      </c>
      <c r="L26" s="10">
        <f t="shared" si="0"/>
        <v>0.22871666456055031</v>
      </c>
      <c r="M26" s="10">
        <f t="shared" si="4"/>
        <v>0.22920812877966262</v>
      </c>
      <c r="P26" s="8">
        <f t="shared" si="5"/>
        <v>6.0685696776313831</v>
      </c>
    </row>
    <row r="27" spans="1:16" x14ac:dyDescent="0.2">
      <c r="A27" s="8">
        <v>12.5</v>
      </c>
      <c r="B27" s="8">
        <v>25</v>
      </c>
      <c r="D27">
        <v>1374.5419892793</v>
      </c>
      <c r="E27">
        <v>403.14830256105</v>
      </c>
      <c r="F27">
        <v>143.37581893985001</v>
      </c>
      <c r="G27">
        <v>120.15902322811</v>
      </c>
      <c r="I27" s="9">
        <f t="shared" si="1"/>
        <v>282.98927933293999</v>
      </c>
      <c r="J27" s="9">
        <f t="shared" si="2"/>
        <v>1231.16617033945</v>
      </c>
      <c r="K27" s="9">
        <f t="shared" si="3"/>
        <v>282.98927933293999</v>
      </c>
      <c r="L27" s="10">
        <f t="shared" si="0"/>
        <v>0.22985465825049092</v>
      </c>
      <c r="M27" s="10">
        <f t="shared" si="4"/>
        <v>0.23036660014539959</v>
      </c>
      <c r="P27" s="8">
        <f t="shared" si="5"/>
        <v>6.6046649785721874</v>
      </c>
    </row>
    <row r="28" spans="1:16" x14ac:dyDescent="0.2">
      <c r="A28" s="8">
        <v>13</v>
      </c>
      <c r="B28" s="8">
        <v>26</v>
      </c>
      <c r="D28">
        <v>1367.2656343061001</v>
      </c>
      <c r="E28">
        <v>402.32638475282999</v>
      </c>
      <c r="F28">
        <v>143.60452650387001</v>
      </c>
      <c r="G28">
        <v>119.84216795712</v>
      </c>
      <c r="I28" s="9">
        <f t="shared" si="1"/>
        <v>282.48421679570998</v>
      </c>
      <c r="J28" s="9">
        <f t="shared" si="2"/>
        <v>1223.6611078022302</v>
      </c>
      <c r="K28" s="9">
        <f t="shared" si="3"/>
        <v>282.48421679570998</v>
      </c>
      <c r="L28" s="10">
        <f t="shared" si="0"/>
        <v>0.2308516753491241</v>
      </c>
      <c r="M28" s="10">
        <f t="shared" si="4"/>
        <v>0.23138409491982911</v>
      </c>
      <c r="P28" s="8">
        <f t="shared" si="5"/>
        <v>7.0755218192645675</v>
      </c>
    </row>
    <row r="29" spans="1:16" x14ac:dyDescent="0.2">
      <c r="A29" s="8">
        <v>13.5</v>
      </c>
      <c r="B29" s="8">
        <v>27</v>
      </c>
      <c r="D29">
        <v>1384.3299583085</v>
      </c>
      <c r="E29">
        <v>404.71947587850002</v>
      </c>
      <c r="F29">
        <v>143.83621203096999</v>
      </c>
      <c r="G29">
        <v>119.89160214413</v>
      </c>
      <c r="I29" s="9">
        <f t="shared" si="1"/>
        <v>284.82787373437003</v>
      </c>
      <c r="J29" s="9">
        <f t="shared" si="2"/>
        <v>1240.4937462775299</v>
      </c>
      <c r="K29" s="9">
        <f t="shared" si="3"/>
        <v>284.82787373437003</v>
      </c>
      <c r="L29" s="10">
        <f t="shared" si="0"/>
        <v>0.22960847210159721</v>
      </c>
      <c r="M29" s="10">
        <f t="shared" si="4"/>
        <v>0.23016136934809855</v>
      </c>
      <c r="P29" s="8">
        <f t="shared" si="5"/>
        <v>6.5096921814056161</v>
      </c>
    </row>
    <row r="30" spans="1:16" x14ac:dyDescent="0.2">
      <c r="A30" s="8">
        <v>14</v>
      </c>
      <c r="B30" s="8">
        <v>28</v>
      </c>
      <c r="D30">
        <v>1357.2193664076999</v>
      </c>
      <c r="E30">
        <v>402.29527794380999</v>
      </c>
      <c r="F30">
        <v>143.93508040500001</v>
      </c>
      <c r="G30">
        <v>120.40381179273</v>
      </c>
      <c r="I30" s="9">
        <f t="shared" si="1"/>
        <v>281.89146615108001</v>
      </c>
      <c r="J30" s="9">
        <f t="shared" si="2"/>
        <v>1213.2842860026999</v>
      </c>
      <c r="K30" s="9">
        <f t="shared" si="3"/>
        <v>281.89146615108001</v>
      </c>
      <c r="L30" s="10">
        <f t="shared" si="0"/>
        <v>0.23233752336791802</v>
      </c>
      <c r="M30" s="10">
        <f t="shared" si="4"/>
        <v>0.23291089829021572</v>
      </c>
      <c r="P30" s="8">
        <f t="shared" si="5"/>
        <v>7.782066785789608</v>
      </c>
    </row>
    <row r="31" spans="1:16" x14ac:dyDescent="0.2">
      <c r="A31" s="8">
        <v>14.5</v>
      </c>
      <c r="B31" s="8">
        <v>29</v>
      </c>
      <c r="D31">
        <v>1291.9868499700999</v>
      </c>
      <c r="E31">
        <v>388.80573819486</v>
      </c>
      <c r="F31">
        <v>143.58725431804999</v>
      </c>
      <c r="G31">
        <v>119.98570577725</v>
      </c>
      <c r="I31" s="9">
        <f t="shared" si="1"/>
        <v>268.82003241760998</v>
      </c>
      <c r="J31" s="9">
        <f t="shared" si="2"/>
        <v>1148.3995956520498</v>
      </c>
      <c r="K31" s="9">
        <f t="shared" si="3"/>
        <v>268.82003241760998</v>
      </c>
      <c r="L31" s="10">
        <f t="shared" si="0"/>
        <v>0.23408231197171109</v>
      </c>
      <c r="M31" s="10">
        <f t="shared" si="4"/>
        <v>0.23467616456980514</v>
      </c>
      <c r="P31" s="8">
        <f t="shared" si="5"/>
        <v>8.5989630729025155</v>
      </c>
    </row>
    <row r="32" spans="1:16" x14ac:dyDescent="0.2">
      <c r="A32" s="8">
        <v>15</v>
      </c>
      <c r="B32" s="8">
        <v>30</v>
      </c>
      <c r="D32">
        <v>1317.8968395945001</v>
      </c>
      <c r="E32">
        <v>392.19200954084999</v>
      </c>
      <c r="F32">
        <v>143.58784991066</v>
      </c>
      <c r="G32">
        <v>120.05777248362</v>
      </c>
      <c r="I32" s="9">
        <f t="shared" si="1"/>
        <v>272.13423705723</v>
      </c>
      <c r="J32" s="9">
        <f t="shared" si="2"/>
        <v>1174.3089896838401</v>
      </c>
      <c r="K32" s="9">
        <f t="shared" si="3"/>
        <v>272.13423705723</v>
      </c>
      <c r="L32" s="10">
        <f t="shared" si="0"/>
        <v>0.2317398908191079</v>
      </c>
      <c r="M32" s="10">
        <f t="shared" si="4"/>
        <v>0.2323542210929983</v>
      </c>
      <c r="P32" s="8">
        <f t="shared" si="5"/>
        <v>7.5244583213979945</v>
      </c>
    </row>
    <row r="33" spans="1:16" x14ac:dyDescent="0.2">
      <c r="A33" s="8">
        <v>15.5</v>
      </c>
      <c r="B33" s="8">
        <v>31</v>
      </c>
      <c r="D33">
        <v>1308.5968992247999</v>
      </c>
      <c r="E33">
        <v>391.77221228384002</v>
      </c>
      <c r="F33">
        <v>143.68671828468999</v>
      </c>
      <c r="G33">
        <v>120.26086956522001</v>
      </c>
      <c r="I33" s="9">
        <f t="shared" si="1"/>
        <v>271.51134271862003</v>
      </c>
      <c r="J33" s="9">
        <f t="shared" si="2"/>
        <v>1164.91018094011</v>
      </c>
      <c r="K33" s="9">
        <f t="shared" si="3"/>
        <v>271.51134271862003</v>
      </c>
      <c r="L33" s="10">
        <f t="shared" si="0"/>
        <v>0.23307491612744252</v>
      </c>
      <c r="M33" s="10">
        <f t="shared" si="4"/>
        <v>0.23370972407712926</v>
      </c>
      <c r="P33" s="8">
        <f t="shared" si="5"/>
        <v>8.1517321597475192</v>
      </c>
    </row>
    <row r="34" spans="1:16" x14ac:dyDescent="0.2">
      <c r="A34" s="8">
        <v>16</v>
      </c>
      <c r="B34" s="8">
        <v>32</v>
      </c>
      <c r="D34">
        <v>1309.3363148479</v>
      </c>
      <c r="E34">
        <v>390.04293381038002</v>
      </c>
      <c r="F34">
        <v>143.78201310303999</v>
      </c>
      <c r="G34">
        <v>120.26861226921</v>
      </c>
      <c r="I34" s="9">
        <f t="shared" si="1"/>
        <v>269.77432154117002</v>
      </c>
      <c r="J34" s="9">
        <f t="shared" si="2"/>
        <v>1165.5543017448599</v>
      </c>
      <c r="K34" s="9">
        <f t="shared" si="3"/>
        <v>269.77432154117002</v>
      </c>
      <c r="L34" s="10">
        <f t="shared" si="0"/>
        <v>0.23145581560405384</v>
      </c>
      <c r="M34" s="10">
        <f t="shared" si="4"/>
        <v>0.23211110122953693</v>
      </c>
      <c r="P34" s="8">
        <f t="shared" si="5"/>
        <v>7.41195194426877</v>
      </c>
    </row>
    <row r="35" spans="1:16" x14ac:dyDescent="0.2">
      <c r="A35" s="8">
        <v>16.5</v>
      </c>
      <c r="B35" s="8">
        <v>33</v>
      </c>
      <c r="D35">
        <v>1307.1073345258999</v>
      </c>
      <c r="E35">
        <v>392.31186642814998</v>
      </c>
      <c r="F35">
        <v>143.62894580106999</v>
      </c>
      <c r="G35">
        <v>120.51995235259</v>
      </c>
      <c r="I35" s="9">
        <f t="shared" si="1"/>
        <v>271.79191407555999</v>
      </c>
      <c r="J35" s="9">
        <f t="shared" si="2"/>
        <v>1163.47838872483</v>
      </c>
      <c r="K35" s="9">
        <f t="shared" si="3"/>
        <v>271.79191407555999</v>
      </c>
      <c r="L35" s="10">
        <f t="shared" si="0"/>
        <v>0.23360289001452222</v>
      </c>
      <c r="M35" s="10">
        <f t="shared" si="4"/>
        <v>0.23427865331580167</v>
      </c>
      <c r="P35" s="8">
        <f t="shared" si="5"/>
        <v>8.4150103903890532</v>
      </c>
    </row>
    <row r="36" spans="1:16" x14ac:dyDescent="0.2">
      <c r="A36" s="8">
        <v>17</v>
      </c>
      <c r="B36" s="8">
        <v>34</v>
      </c>
      <c r="D36">
        <v>1305.3249850924001</v>
      </c>
      <c r="E36">
        <v>391.03160405486</v>
      </c>
      <c r="F36">
        <v>143.56104824299999</v>
      </c>
      <c r="G36">
        <v>120.52352590828001</v>
      </c>
      <c r="I36" s="9">
        <f t="shared" si="1"/>
        <v>270.50807814657998</v>
      </c>
      <c r="J36" s="9">
        <f t="shared" si="2"/>
        <v>1161.7639368494001</v>
      </c>
      <c r="K36" s="9">
        <f t="shared" si="3"/>
        <v>270.50807814657998</v>
      </c>
      <c r="L36" s="10">
        <f t="shared" si="0"/>
        <v>0.23284255051002331</v>
      </c>
      <c r="M36" s="10">
        <f t="shared" si="4"/>
        <v>0.23353879148709908</v>
      </c>
      <c r="P36" s="8">
        <f t="shared" si="5"/>
        <v>8.0726312332999122</v>
      </c>
    </row>
    <row r="37" spans="1:16" x14ac:dyDescent="0.2">
      <c r="A37" s="8">
        <v>17.5</v>
      </c>
      <c r="B37" s="8">
        <v>35</v>
      </c>
      <c r="D37">
        <v>1308.3870005962999</v>
      </c>
      <c r="E37">
        <v>389.81872391175</v>
      </c>
      <c r="F37">
        <v>144.31745086360999</v>
      </c>
      <c r="G37">
        <v>120.55330553901</v>
      </c>
      <c r="I37" s="9">
        <f t="shared" si="1"/>
        <v>269.26541837273999</v>
      </c>
      <c r="J37" s="9">
        <f t="shared" si="2"/>
        <v>1164.0695497326899</v>
      </c>
      <c r="K37" s="9">
        <f t="shared" si="3"/>
        <v>269.26541837273999</v>
      </c>
      <c r="L37" s="10">
        <f t="shared" si="0"/>
        <v>0.23131385786577144</v>
      </c>
      <c r="M37" s="10">
        <f t="shared" si="4"/>
        <v>0.23203057651864356</v>
      </c>
      <c r="P37" s="8">
        <f t="shared" si="5"/>
        <v>7.3746882531700351</v>
      </c>
    </row>
    <row r="38" spans="1:16" x14ac:dyDescent="0.2">
      <c r="A38" s="8">
        <v>18</v>
      </c>
      <c r="B38" s="8">
        <v>36</v>
      </c>
      <c r="D38">
        <v>1304.6970781156999</v>
      </c>
      <c r="E38">
        <v>388.21288014311</v>
      </c>
      <c r="F38">
        <v>144.50744490768</v>
      </c>
      <c r="G38">
        <v>120.79988088147999</v>
      </c>
      <c r="I38" s="9">
        <f t="shared" si="1"/>
        <v>267.41299926163003</v>
      </c>
      <c r="J38" s="9">
        <f t="shared" si="2"/>
        <v>1160.18963320802</v>
      </c>
      <c r="K38" s="9">
        <f t="shared" si="3"/>
        <v>267.41299926163003</v>
      </c>
      <c r="L38" s="10">
        <f t="shared" si="0"/>
        <v>0.23049076772235158</v>
      </c>
      <c r="M38" s="10">
        <f t="shared" si="4"/>
        <v>0.23122796405102006</v>
      </c>
      <c r="P38" s="8">
        <f t="shared" si="5"/>
        <v>7.0032705512782467</v>
      </c>
    </row>
    <row r="39" spans="1:16" x14ac:dyDescent="0.2">
      <c r="A39" s="8">
        <v>18.5</v>
      </c>
      <c r="B39" s="8">
        <v>37</v>
      </c>
      <c r="D39">
        <v>1321.8121645796</v>
      </c>
      <c r="E39">
        <v>390.65712581992</v>
      </c>
      <c r="F39">
        <v>144.40381179273001</v>
      </c>
      <c r="G39">
        <v>120.82251340083</v>
      </c>
      <c r="I39" s="9">
        <f t="shared" si="1"/>
        <v>269.83461241908998</v>
      </c>
      <c r="J39" s="9">
        <f t="shared" si="2"/>
        <v>1177.40835278687</v>
      </c>
      <c r="K39" s="9">
        <f t="shared" si="3"/>
        <v>269.83461241908998</v>
      </c>
      <c r="L39" s="10">
        <f t="shared" si="0"/>
        <v>0.22917674380379943</v>
      </c>
      <c r="M39" s="10">
        <f t="shared" si="4"/>
        <v>0.22993441780826426</v>
      </c>
      <c r="P39" s="8">
        <f t="shared" si="5"/>
        <v>6.4046678729549322</v>
      </c>
    </row>
    <row r="40" spans="1:16" x14ac:dyDescent="0.2">
      <c r="A40" s="8">
        <v>19</v>
      </c>
      <c r="B40" s="8">
        <v>38</v>
      </c>
      <c r="D40">
        <v>1300.6398330351999</v>
      </c>
      <c r="E40">
        <v>384.19260584377002</v>
      </c>
      <c r="F40">
        <v>144.01250744491</v>
      </c>
      <c r="G40">
        <v>120.5324597975</v>
      </c>
      <c r="I40" s="9">
        <f t="shared" si="1"/>
        <v>263.66014604627003</v>
      </c>
      <c r="J40" s="9">
        <f t="shared" si="2"/>
        <v>1156.62732559029</v>
      </c>
      <c r="K40" s="9">
        <f t="shared" si="3"/>
        <v>263.66014604627003</v>
      </c>
      <c r="L40" s="10">
        <f t="shared" si="0"/>
        <v>0.22795600641002484</v>
      </c>
      <c r="M40" s="10">
        <f t="shared" si="4"/>
        <v>0.22873415809028599</v>
      </c>
      <c r="P40" s="8">
        <f t="shared" si="5"/>
        <v>5.8492345547499962</v>
      </c>
    </row>
    <row r="41" spans="1:16" x14ac:dyDescent="0.2">
      <c r="A41" s="8">
        <v>19.5</v>
      </c>
      <c r="B41" s="8">
        <v>39</v>
      </c>
      <c r="D41">
        <v>1307.8980322003999</v>
      </c>
      <c r="E41">
        <v>384.75313059033999</v>
      </c>
      <c r="F41">
        <v>144.13460393091</v>
      </c>
      <c r="G41">
        <v>120.81655747469</v>
      </c>
      <c r="I41" s="9">
        <f t="shared" si="1"/>
        <v>263.93657311564999</v>
      </c>
      <c r="J41" s="9">
        <f t="shared" si="2"/>
        <v>1163.7634282694899</v>
      </c>
      <c r="K41" s="9">
        <f t="shared" si="3"/>
        <v>263.93657311564999</v>
      </c>
      <c r="L41" s="10">
        <f t="shared" si="0"/>
        <v>0.2267957272966743</v>
      </c>
      <c r="M41" s="10">
        <f t="shared" si="4"/>
        <v>0.22759435665273181</v>
      </c>
      <c r="P41" s="8">
        <f t="shared" si="5"/>
        <v>5.3217789673694167</v>
      </c>
    </row>
    <row r="42" spans="1:16" x14ac:dyDescent="0.2">
      <c r="A42" s="8">
        <v>20</v>
      </c>
      <c r="B42" s="8">
        <v>40</v>
      </c>
      <c r="D42">
        <v>1272.375</v>
      </c>
      <c r="E42">
        <v>375.50533175355997</v>
      </c>
      <c r="F42">
        <v>144.12745681953999</v>
      </c>
      <c r="G42">
        <v>120.5854675402</v>
      </c>
      <c r="I42" s="9">
        <f t="shared" si="1"/>
        <v>254.91986421335997</v>
      </c>
      <c r="J42" s="9">
        <f t="shared" si="2"/>
        <v>1128.2475431804601</v>
      </c>
      <c r="K42" s="9">
        <f t="shared" si="3"/>
        <v>254.91986421335997</v>
      </c>
      <c r="L42" s="10">
        <f t="shared" si="0"/>
        <v>0.22594320347000857</v>
      </c>
      <c r="M42" s="10">
        <f t="shared" si="4"/>
        <v>0.22676231050186244</v>
      </c>
      <c r="P42" s="8">
        <f t="shared" si="5"/>
        <v>4.9367405064807475</v>
      </c>
    </row>
    <row r="43" spans="1:16" x14ac:dyDescent="0.2">
      <c r="A43" s="8">
        <v>20.5</v>
      </c>
      <c r="B43" s="8">
        <v>41</v>
      </c>
      <c r="D43">
        <v>1275.4081753554999</v>
      </c>
      <c r="E43">
        <v>372.45853080568997</v>
      </c>
      <c r="F43">
        <v>144.59976176295001</v>
      </c>
      <c r="G43">
        <v>120.82370458606</v>
      </c>
      <c r="I43" s="9">
        <f t="shared" si="1"/>
        <v>251.63482621962999</v>
      </c>
      <c r="J43" s="9">
        <f t="shared" si="2"/>
        <v>1130.8084135925499</v>
      </c>
      <c r="K43" s="9">
        <f t="shared" si="3"/>
        <v>251.63482621962999</v>
      </c>
      <c r="L43" s="10">
        <f t="shared" si="0"/>
        <v>0.22252648918678672</v>
      </c>
      <c r="M43" s="10">
        <f t="shared" si="4"/>
        <v>0.22336607389443694</v>
      </c>
      <c r="P43" s="8">
        <f t="shared" si="5"/>
        <v>3.3650948534475345</v>
      </c>
    </row>
    <row r="44" spans="1:16" x14ac:dyDescent="0.2">
      <c r="A44" s="8">
        <v>21</v>
      </c>
      <c r="B44" s="8">
        <v>42</v>
      </c>
      <c r="D44">
        <v>1270.1238151658999</v>
      </c>
      <c r="E44">
        <v>373.06990521326998</v>
      </c>
      <c r="F44">
        <v>144.20131030375001</v>
      </c>
      <c r="G44">
        <v>120.49374627755</v>
      </c>
      <c r="I44" s="9">
        <f t="shared" si="1"/>
        <v>252.57615893571997</v>
      </c>
      <c r="J44" s="9">
        <f t="shared" si="2"/>
        <v>1125.9225048621499</v>
      </c>
      <c r="K44" s="9">
        <f t="shared" si="3"/>
        <v>252.57615893571997</v>
      </c>
      <c r="L44" s="10">
        <f t="shared" si="0"/>
        <v>0.22432819118989333</v>
      </c>
      <c r="M44" s="10">
        <f t="shared" si="4"/>
        <v>0.22518825357333988</v>
      </c>
      <c r="P44" s="8">
        <f t="shared" si="5"/>
        <v>4.2083284388614119</v>
      </c>
    </row>
    <row r="45" spans="1:16" x14ac:dyDescent="0.2">
      <c r="A45" s="8">
        <v>21.5</v>
      </c>
      <c r="B45" s="8">
        <v>43</v>
      </c>
      <c r="D45">
        <v>1263.5432464455</v>
      </c>
      <c r="E45">
        <v>369.14454976303</v>
      </c>
      <c r="F45">
        <v>144.42763549732001</v>
      </c>
      <c r="G45">
        <v>120.65574746873</v>
      </c>
      <c r="I45" s="9">
        <f t="shared" si="1"/>
        <v>248.4888022943</v>
      </c>
      <c r="J45" s="9">
        <f t="shared" si="2"/>
        <v>1119.1156109481799</v>
      </c>
      <c r="K45" s="9">
        <f t="shared" si="3"/>
        <v>248.4888022943</v>
      </c>
      <c r="L45" s="10">
        <f t="shared" si="0"/>
        <v>0.2220403324405115</v>
      </c>
      <c r="M45" s="10">
        <f t="shared" si="4"/>
        <v>0.2229208724997544</v>
      </c>
      <c r="P45" s="8">
        <f t="shared" si="5"/>
        <v>3.159073036490692</v>
      </c>
    </row>
    <row r="46" spans="1:16" x14ac:dyDescent="0.2">
      <c r="A46" s="8">
        <v>22</v>
      </c>
      <c r="B46" s="8">
        <v>44</v>
      </c>
      <c r="D46">
        <v>1299.461492891</v>
      </c>
      <c r="E46">
        <v>376.48696682464998</v>
      </c>
      <c r="F46">
        <v>145.03037522335001</v>
      </c>
      <c r="G46">
        <v>120.97736748064</v>
      </c>
      <c r="I46" s="9">
        <f t="shared" si="1"/>
        <v>255.50959934400998</v>
      </c>
      <c r="J46" s="9">
        <f t="shared" si="2"/>
        <v>1154.4311176676501</v>
      </c>
      <c r="K46" s="9">
        <f t="shared" si="3"/>
        <v>255.50959934400998</v>
      </c>
      <c r="L46" s="10">
        <f t="shared" si="0"/>
        <v>0.22132944567557022</v>
      </c>
      <c r="M46" s="10">
        <f t="shared" si="4"/>
        <v>0.22223046341060948</v>
      </c>
      <c r="P46" s="8">
        <f t="shared" si="5"/>
        <v>2.8395786757630495</v>
      </c>
    </row>
    <row r="47" spans="1:16" x14ac:dyDescent="0.2">
      <c r="A47" s="8">
        <v>22.5</v>
      </c>
      <c r="B47" s="8">
        <v>45</v>
      </c>
      <c r="D47">
        <v>1289.9401658767999</v>
      </c>
      <c r="E47">
        <v>374.63447867298999</v>
      </c>
      <c r="F47">
        <v>144.42108397856001</v>
      </c>
      <c r="G47">
        <v>120.9309112567</v>
      </c>
      <c r="I47" s="9">
        <f t="shared" si="1"/>
        <v>253.70356741628999</v>
      </c>
      <c r="J47" s="9">
        <f t="shared" si="2"/>
        <v>1145.5190818982398</v>
      </c>
      <c r="K47" s="9">
        <f t="shared" si="3"/>
        <v>253.70356741628999</v>
      </c>
      <c r="L47" s="10">
        <f t="shared" si="0"/>
        <v>0.22147476321029744</v>
      </c>
      <c r="M47" s="10">
        <f t="shared" si="4"/>
        <v>0.22239625862113302</v>
      </c>
      <c r="P47" s="8">
        <f t="shared" si="5"/>
        <v>2.9163022236287475</v>
      </c>
    </row>
    <row r="48" spans="1:16" x14ac:dyDescent="0.2">
      <c r="A48" s="8">
        <v>23</v>
      </c>
      <c r="B48" s="8">
        <v>46</v>
      </c>
      <c r="D48">
        <v>1286.0882701421999</v>
      </c>
      <c r="E48">
        <v>371.52962085308002</v>
      </c>
      <c r="F48">
        <v>144.59082787373001</v>
      </c>
      <c r="G48">
        <v>121.01369863014</v>
      </c>
      <c r="I48" s="9">
        <f t="shared" si="1"/>
        <v>250.51592222294002</v>
      </c>
      <c r="J48" s="9">
        <f t="shared" si="2"/>
        <v>1141.49744226847</v>
      </c>
      <c r="K48" s="9">
        <f t="shared" si="3"/>
        <v>250.51592222294002</v>
      </c>
      <c r="L48" s="10">
        <f t="shared" si="0"/>
        <v>0.21946253486568998</v>
      </c>
      <c r="M48" s="10">
        <f t="shared" si="4"/>
        <v>0.22040450795232192</v>
      </c>
      <c r="P48" s="8">
        <f t="shared" si="5"/>
        <v>1.9945978071228851</v>
      </c>
    </row>
    <row r="49" spans="1:25" x14ac:dyDescent="0.2">
      <c r="A49" s="8">
        <v>23.5</v>
      </c>
      <c r="B49" s="8">
        <v>47</v>
      </c>
      <c r="D49">
        <v>1283.1540284360001</v>
      </c>
      <c r="E49">
        <v>371.75710900474002</v>
      </c>
      <c r="F49">
        <v>144.94937462775999</v>
      </c>
      <c r="G49">
        <v>120.93508040499999</v>
      </c>
      <c r="I49" s="9">
        <f t="shared" si="1"/>
        <v>250.82202859974001</v>
      </c>
      <c r="J49" s="9">
        <f t="shared" si="2"/>
        <v>1138.20465380824</v>
      </c>
      <c r="K49" s="9">
        <f t="shared" si="3"/>
        <v>250.82202859974001</v>
      </c>
      <c r="L49" s="10">
        <f t="shared" si="0"/>
        <v>0.22036637063513315</v>
      </c>
      <c r="M49" s="10">
        <f t="shared" si="4"/>
        <v>0.22132882139756144</v>
      </c>
      <c r="P49" s="8">
        <f t="shared" si="5"/>
        <v>2.4223339681061025</v>
      </c>
    </row>
    <row r="50" spans="1:25" x14ac:dyDescent="0.2">
      <c r="A50" s="8">
        <v>24</v>
      </c>
      <c r="B50" s="8">
        <v>48</v>
      </c>
      <c r="D50">
        <v>1289.5468009479</v>
      </c>
      <c r="E50">
        <v>373.99229857820001</v>
      </c>
      <c r="F50">
        <v>144.58070279929001</v>
      </c>
      <c r="G50">
        <v>120.76414532459999</v>
      </c>
      <c r="I50" s="9">
        <f t="shared" si="1"/>
        <v>253.2281532536</v>
      </c>
      <c r="J50" s="9">
        <f t="shared" si="2"/>
        <v>1144.9660981486099</v>
      </c>
      <c r="K50" s="9">
        <f t="shared" si="3"/>
        <v>253.2281532536</v>
      </c>
      <c r="L50" s="10">
        <f t="shared" si="0"/>
        <v>0.22116650760495482</v>
      </c>
      <c r="M50" s="10">
        <f t="shared" si="4"/>
        <v>0.22214943604317947</v>
      </c>
      <c r="P50" s="8">
        <f t="shared" si="5"/>
        <v>2.8020823748517176</v>
      </c>
    </row>
    <row r="51" spans="1:25" x14ac:dyDescent="0.2">
      <c r="A51" s="8">
        <v>24.5</v>
      </c>
      <c r="B51" s="8">
        <v>49</v>
      </c>
      <c r="D51">
        <v>1282.6238151658999</v>
      </c>
      <c r="E51">
        <v>370.53139810427001</v>
      </c>
      <c r="F51">
        <v>144.93627159023001</v>
      </c>
      <c r="G51">
        <v>120.83859440143</v>
      </c>
      <c r="I51" s="9">
        <f t="shared" si="1"/>
        <v>249.69280370284002</v>
      </c>
      <c r="J51" s="9">
        <f t="shared" si="2"/>
        <v>1137.6875435756699</v>
      </c>
      <c r="K51" s="9">
        <f t="shared" si="3"/>
        <v>249.69280370284002</v>
      </c>
      <c r="L51" s="10">
        <f t="shared" si="0"/>
        <v>0.2194739716654307</v>
      </c>
      <c r="M51" s="10">
        <f t="shared" si="4"/>
        <v>0.22047737777945167</v>
      </c>
      <c r="P51" s="8">
        <f t="shared" si="5"/>
        <v>2.0283191169972814</v>
      </c>
    </row>
    <row r="52" spans="1:25" x14ac:dyDescent="0.2">
      <c r="A52" s="8">
        <v>25</v>
      </c>
      <c r="B52" s="8">
        <v>50</v>
      </c>
      <c r="D52">
        <v>1306.9218009479</v>
      </c>
      <c r="E52">
        <v>375.93838862558999</v>
      </c>
      <c r="F52">
        <v>144.65574746873</v>
      </c>
      <c r="G52">
        <v>121.05539011316</v>
      </c>
      <c r="I52" s="9">
        <f t="shared" si="1"/>
        <v>254.88299851242999</v>
      </c>
      <c r="J52" s="9">
        <f t="shared" si="2"/>
        <v>1162.2660534791701</v>
      </c>
      <c r="K52" s="9">
        <f t="shared" si="3"/>
        <v>254.88299851242999</v>
      </c>
      <c r="L52" s="10">
        <f t="shared" si="0"/>
        <v>0.21929832481078995</v>
      </c>
      <c r="M52" s="10">
        <f t="shared" si="4"/>
        <v>0.22032220860060728</v>
      </c>
      <c r="P52" s="8">
        <f t="shared" si="5"/>
        <v>1.9565128815652952</v>
      </c>
    </row>
    <row r="53" spans="1:25" x14ac:dyDescent="0.2">
      <c r="A53" s="8">
        <v>25.5</v>
      </c>
      <c r="B53" s="8">
        <v>51</v>
      </c>
      <c r="D53">
        <v>1281.2316350711001</v>
      </c>
      <c r="E53">
        <v>370.34419431280003</v>
      </c>
      <c r="F53">
        <v>145.24895771292</v>
      </c>
      <c r="G53">
        <v>121.2156045265</v>
      </c>
      <c r="I53" s="9">
        <f t="shared" si="1"/>
        <v>249.12858978630004</v>
      </c>
      <c r="J53" s="9">
        <f t="shared" si="2"/>
        <v>1135.9826773581801</v>
      </c>
      <c r="K53" s="9">
        <f t="shared" si="3"/>
        <v>249.12858978630004</v>
      </c>
      <c r="L53" s="10">
        <f t="shared" si="0"/>
        <v>0.21930668024416428</v>
      </c>
      <c r="M53" s="10">
        <f t="shared" si="4"/>
        <v>0.22035104170977796</v>
      </c>
      <c r="P53" s="8">
        <f t="shared" si="5"/>
        <v>1.9698557183371657</v>
      </c>
      <c r="S53" s="11"/>
      <c r="U53" s="12"/>
    </row>
    <row r="54" spans="1:25" x14ac:dyDescent="0.2">
      <c r="A54" s="8">
        <v>26</v>
      </c>
      <c r="B54" s="8">
        <v>52</v>
      </c>
      <c r="D54">
        <v>1255.4514218009999</v>
      </c>
      <c r="E54">
        <v>364.74348341232002</v>
      </c>
      <c r="F54">
        <v>144.81536628946</v>
      </c>
      <c r="G54">
        <v>121.24359737939</v>
      </c>
      <c r="I54" s="9">
        <f t="shared" si="1"/>
        <v>243.49988603293002</v>
      </c>
      <c r="J54" s="9">
        <f t="shared" si="2"/>
        <v>1110.63605551154</v>
      </c>
      <c r="K54" s="9">
        <f t="shared" si="3"/>
        <v>243.49988603293002</v>
      </c>
      <c r="L54" s="10">
        <f t="shared" si="0"/>
        <v>0.21924363505448968</v>
      </c>
      <c r="M54" s="10">
        <f t="shared" si="4"/>
        <v>0.22030847419589969</v>
      </c>
      <c r="P54" s="8">
        <f t="shared" si="5"/>
        <v>1.9501571354996399</v>
      </c>
      <c r="S54" s="11"/>
    </row>
    <row r="55" spans="1:25" x14ac:dyDescent="0.2">
      <c r="A55" s="8">
        <v>26.5</v>
      </c>
      <c r="B55" s="8">
        <v>53</v>
      </c>
      <c r="D55">
        <v>1266.9680094787</v>
      </c>
      <c r="E55">
        <v>368.11848341232002</v>
      </c>
      <c r="F55">
        <v>145.71173317450999</v>
      </c>
      <c r="G55">
        <v>121.11971411555</v>
      </c>
      <c r="I55" s="9">
        <f t="shared" si="1"/>
        <v>246.99876929677004</v>
      </c>
      <c r="J55" s="9">
        <f t="shared" si="2"/>
        <v>1121.2562763041899</v>
      </c>
      <c r="K55" s="9">
        <f t="shared" si="3"/>
        <v>246.99876929677004</v>
      </c>
      <c r="L55" s="10">
        <f t="shared" si="0"/>
        <v>0.22028752437481189</v>
      </c>
      <c r="M55" s="10">
        <f t="shared" si="4"/>
        <v>0.22137284119201825</v>
      </c>
      <c r="P55" s="8">
        <f t="shared" si="5"/>
        <v>2.4427046096727714</v>
      </c>
      <c r="S55" s="11"/>
    </row>
    <row r="56" spans="1:25" x14ac:dyDescent="0.2">
      <c r="A56" s="8">
        <v>27</v>
      </c>
      <c r="B56" s="8">
        <v>54</v>
      </c>
      <c r="D56">
        <v>1262.6688388626001</v>
      </c>
      <c r="E56">
        <v>368.62440758294002</v>
      </c>
      <c r="F56">
        <v>145.14770696842999</v>
      </c>
      <c r="G56">
        <v>121.41810601549</v>
      </c>
      <c r="I56" s="9">
        <f t="shared" si="1"/>
        <v>247.20630156745003</v>
      </c>
      <c r="J56" s="9">
        <f t="shared" si="2"/>
        <v>1117.5211318941701</v>
      </c>
      <c r="K56" s="9">
        <f t="shared" si="3"/>
        <v>247.20630156745003</v>
      </c>
      <c r="L56" s="10">
        <f t="shared" si="0"/>
        <v>0.22120950961208366</v>
      </c>
      <c r="M56" s="10">
        <f t="shared" si="4"/>
        <v>0.22231530410508638</v>
      </c>
      <c r="P56" s="8">
        <f t="shared" si="5"/>
        <v>2.8788396354922385</v>
      </c>
      <c r="S56" s="11"/>
    </row>
    <row r="57" spans="1:25" x14ac:dyDescent="0.2">
      <c r="A57" s="8">
        <v>27.5</v>
      </c>
      <c r="B57" s="8">
        <v>55</v>
      </c>
      <c r="D57">
        <v>1247.3459715639999</v>
      </c>
      <c r="E57">
        <v>362.90521327014</v>
      </c>
      <c r="F57">
        <v>145.28052412150001</v>
      </c>
      <c r="G57">
        <v>121.41691483026</v>
      </c>
      <c r="I57" s="9">
        <f t="shared" si="1"/>
        <v>241.48829843988</v>
      </c>
      <c r="J57" s="9">
        <f t="shared" si="2"/>
        <v>1102.0654474424998</v>
      </c>
      <c r="K57" s="9">
        <f t="shared" si="3"/>
        <v>241.48829843988</v>
      </c>
      <c r="L57" s="10">
        <f t="shared" si="0"/>
        <v>0.21912337329900694</v>
      </c>
      <c r="M57" s="10">
        <f t="shared" si="4"/>
        <v>0.22024964546780601</v>
      </c>
      <c r="P57" s="8">
        <f t="shared" si="5"/>
        <v>1.9229334978473764</v>
      </c>
      <c r="S57" s="11"/>
    </row>
    <row r="58" spans="1:25" x14ac:dyDescent="0.2">
      <c r="A58" s="8">
        <v>28</v>
      </c>
      <c r="B58" s="8">
        <v>56</v>
      </c>
      <c r="D58">
        <v>1232.5651658767999</v>
      </c>
      <c r="E58">
        <v>359.44727488152</v>
      </c>
      <c r="F58">
        <v>145.07027992853</v>
      </c>
      <c r="G58">
        <v>121.26920786181999</v>
      </c>
      <c r="I58" s="9">
        <f t="shared" si="1"/>
        <v>238.17806701969999</v>
      </c>
      <c r="J58" s="9">
        <f t="shared" si="2"/>
        <v>1087.4948859482699</v>
      </c>
      <c r="K58" s="9">
        <f t="shared" si="3"/>
        <v>238.17806701969999</v>
      </c>
      <c r="L58" s="10">
        <f t="shared" si="0"/>
        <v>0.21901534443724241</v>
      </c>
      <c r="M58" s="10">
        <f t="shared" si="4"/>
        <v>0.22016209428183781</v>
      </c>
      <c r="P58" s="8">
        <f t="shared" si="5"/>
        <v>1.8824182285213276</v>
      </c>
      <c r="S58" s="11"/>
    </row>
    <row r="59" spans="1:25" x14ac:dyDescent="0.2">
      <c r="A59" s="8">
        <v>28.5</v>
      </c>
      <c r="B59" s="8">
        <v>57</v>
      </c>
      <c r="D59">
        <v>1236.0995260663999</v>
      </c>
      <c r="E59">
        <v>360.70793838863</v>
      </c>
      <c r="F59">
        <v>145.47111375819</v>
      </c>
      <c r="G59">
        <v>121.10720667064</v>
      </c>
      <c r="I59" s="9">
        <f t="shared" si="1"/>
        <v>239.60073171799002</v>
      </c>
      <c r="J59" s="9">
        <f t="shared" si="2"/>
        <v>1090.6284123082098</v>
      </c>
      <c r="K59" s="9">
        <f t="shared" si="3"/>
        <v>239.60073171799002</v>
      </c>
      <c r="L59" s="10">
        <f t="shared" si="0"/>
        <v>0.21969052796900659</v>
      </c>
      <c r="M59" s="10">
        <f t="shared" si="4"/>
        <v>0.22085775548939834</v>
      </c>
      <c r="P59" s="8">
        <f t="shared" si="5"/>
        <v>2.2043430645165301</v>
      </c>
      <c r="R59" s="1"/>
      <c r="S59" s="11"/>
    </row>
    <row r="60" spans="1:25" x14ac:dyDescent="0.2">
      <c r="A60" s="8">
        <v>29</v>
      </c>
      <c r="B60" s="8">
        <v>58</v>
      </c>
      <c r="D60">
        <v>1241.3252369668</v>
      </c>
      <c r="E60">
        <v>362.60130331753999</v>
      </c>
      <c r="F60">
        <v>145.23883263848001</v>
      </c>
      <c r="G60">
        <v>121.38832638475</v>
      </c>
      <c r="I60" s="9">
        <f t="shared" si="1"/>
        <v>241.21297693278999</v>
      </c>
      <c r="J60" s="9">
        <f t="shared" si="2"/>
        <v>1096.08640432832</v>
      </c>
      <c r="K60" s="9">
        <f t="shared" si="3"/>
        <v>241.21297693278999</v>
      </c>
      <c r="L60" s="10">
        <f t="shared" si="0"/>
        <v>0.22006748371320681</v>
      </c>
      <c r="M60" s="10">
        <f t="shared" si="4"/>
        <v>0.22125518890939491</v>
      </c>
      <c r="P60" s="8">
        <f t="shared" si="5"/>
        <v>2.3882597284916063</v>
      </c>
      <c r="S60" s="11"/>
    </row>
    <row r="61" spans="1:25" x14ac:dyDescent="0.2">
      <c r="A61" s="8">
        <v>29.5</v>
      </c>
      <c r="B61" s="8">
        <v>59</v>
      </c>
      <c r="C61" s="2"/>
      <c r="D61">
        <v>1274.4567535545</v>
      </c>
      <c r="E61">
        <v>369.78021327014</v>
      </c>
      <c r="F61">
        <v>145.18939845145999</v>
      </c>
      <c r="G61">
        <v>121.18046456224</v>
      </c>
      <c r="I61" s="9">
        <f t="shared" si="1"/>
        <v>248.59974870790001</v>
      </c>
      <c r="J61" s="9">
        <f t="shared" si="2"/>
        <v>1129.26735510304</v>
      </c>
      <c r="K61" s="9">
        <f t="shared" si="3"/>
        <v>248.59974870790001</v>
      </c>
      <c r="L61" s="10">
        <f t="shared" si="0"/>
        <v>0.2201425088439013</v>
      </c>
      <c r="M61" s="10">
        <f t="shared" si="4"/>
        <v>0.22135069171588573</v>
      </c>
      <c r="P61" s="8">
        <f t="shared" si="5"/>
        <v>2.4324546972242307</v>
      </c>
      <c r="S61" s="11"/>
    </row>
    <row r="62" spans="1:25" x14ac:dyDescent="0.2">
      <c r="A62" s="8">
        <v>30</v>
      </c>
      <c r="B62" s="8">
        <v>60</v>
      </c>
      <c r="D62">
        <v>1246.1080597015</v>
      </c>
      <c r="E62">
        <v>362.6</v>
      </c>
      <c r="F62">
        <v>145.49612864801</v>
      </c>
      <c r="G62">
        <v>121.38773079214</v>
      </c>
      <c r="I62" s="9">
        <f t="shared" si="1"/>
        <v>241.21226920786</v>
      </c>
      <c r="J62" s="9">
        <f t="shared" si="2"/>
        <v>1100.61193105349</v>
      </c>
      <c r="K62" s="9">
        <f t="shared" si="3"/>
        <v>241.21226920786</v>
      </c>
      <c r="L62" s="10">
        <f t="shared" si="0"/>
        <v>0.21916196108920522</v>
      </c>
      <c r="M62" s="10">
        <f t="shared" si="4"/>
        <v>0.220390621636986</v>
      </c>
      <c r="P62" s="8">
        <f t="shared" si="5"/>
        <v>1.9881717627517064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1202.9647761194001</v>
      </c>
      <c r="E63">
        <v>354.05910447760999</v>
      </c>
      <c r="F63">
        <v>145.72840976772</v>
      </c>
      <c r="G63">
        <v>121.55032757594</v>
      </c>
      <c r="I63" s="9">
        <f t="shared" si="1"/>
        <v>232.50877690166999</v>
      </c>
      <c r="J63" s="9">
        <f t="shared" si="2"/>
        <v>1057.2363663516801</v>
      </c>
      <c r="K63" s="9">
        <f t="shared" si="3"/>
        <v>232.50877690166999</v>
      </c>
      <c r="L63" s="10">
        <f t="shared" si="0"/>
        <v>0.21992128184543366</v>
      </c>
      <c r="M63" s="10">
        <f t="shared" si="4"/>
        <v>0.2211704200690108</v>
      </c>
      <c r="P63" s="8">
        <f t="shared" si="5"/>
        <v>2.3490320200301098</v>
      </c>
    </row>
    <row r="64" spans="1:25" x14ac:dyDescent="0.2">
      <c r="A64" s="8">
        <v>31</v>
      </c>
      <c r="B64" s="8">
        <v>62</v>
      </c>
      <c r="D64">
        <v>1284.5307462687001</v>
      </c>
      <c r="E64">
        <v>368.6471641791</v>
      </c>
      <c r="F64">
        <v>145.76831447289999</v>
      </c>
      <c r="G64">
        <v>121.77129243597</v>
      </c>
      <c r="I64" s="9">
        <f t="shared" si="1"/>
        <v>246.87587174313001</v>
      </c>
      <c r="J64" s="9">
        <f t="shared" si="2"/>
        <v>1138.7624317958002</v>
      </c>
      <c r="K64" s="9">
        <f t="shared" si="3"/>
        <v>246.87587174313001</v>
      </c>
      <c r="L64" s="10">
        <f t="shared" si="0"/>
        <v>0.2167931298487015</v>
      </c>
      <c r="M64" s="10">
        <f t="shared" si="4"/>
        <v>0.21806274574807499</v>
      </c>
      <c r="P64" s="8">
        <f t="shared" si="5"/>
        <v>0.91092172263121052</v>
      </c>
      <c r="U64" s="8">
        <v>30.5</v>
      </c>
      <c r="V64" s="10">
        <f>L62</f>
        <v>0.21916196108920522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1315.4819419774999</v>
      </c>
      <c r="E65">
        <v>371.39905269389999</v>
      </c>
      <c r="F65">
        <v>146.31149493746</v>
      </c>
      <c r="G65">
        <v>121.77188802859</v>
      </c>
      <c r="I65" s="9">
        <f t="shared" si="1"/>
        <v>249.62716466530998</v>
      </c>
      <c r="J65" s="9">
        <f t="shared" si="2"/>
        <v>1169.17044704004</v>
      </c>
      <c r="K65" s="9">
        <f t="shared" si="3"/>
        <v>249.62716466530998</v>
      </c>
      <c r="L65" s="10">
        <f t="shared" si="0"/>
        <v>0.21350793230985687</v>
      </c>
      <c r="M65" s="10">
        <f t="shared" si="4"/>
        <v>0.21479802588502669</v>
      </c>
      <c r="P65" s="8">
        <f t="shared" si="5"/>
        <v>-0.59986311783388491</v>
      </c>
      <c r="U65" s="8">
        <v>31</v>
      </c>
      <c r="V65" s="10">
        <f t="shared" ref="V65:V83" si="6">L63</f>
        <v>0.21992128184543366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1322.8342214327999</v>
      </c>
      <c r="E66">
        <v>374.73416222616999</v>
      </c>
      <c r="F66">
        <v>145.20488385944</v>
      </c>
      <c r="G66">
        <v>121.45622394282</v>
      </c>
      <c r="I66" s="9">
        <f t="shared" si="1"/>
        <v>253.27793828334998</v>
      </c>
      <c r="J66" s="9">
        <f t="shared" si="2"/>
        <v>1177.6293375733599</v>
      </c>
      <c r="K66" s="9">
        <f t="shared" si="3"/>
        <v>253.27793828334998</v>
      </c>
      <c r="L66" s="10">
        <f t="shared" ref="L66:L129" si="7">K66/J66</f>
        <v>0.21507441280739337</v>
      </c>
      <c r="M66" s="10">
        <f t="shared" si="4"/>
        <v>0.21638498405835954</v>
      </c>
      <c r="P66" s="8">
        <f t="shared" si="5"/>
        <v>0.13451914199187207</v>
      </c>
      <c r="U66" s="8">
        <v>31.5</v>
      </c>
      <c r="V66" s="10">
        <f t="shared" si="6"/>
        <v>0.2167931298487015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1318.7308153476999</v>
      </c>
      <c r="E67">
        <v>375.85011990407997</v>
      </c>
      <c r="F67">
        <v>146.06253722453999</v>
      </c>
      <c r="G67">
        <v>121.64324002382</v>
      </c>
      <c r="I67" s="9">
        <f t="shared" ref="I67:I130" si="8">E67-G67</f>
        <v>254.20687988025998</v>
      </c>
      <c r="J67" s="9">
        <f t="shared" ref="J67:J130" si="9">D67-F67</f>
        <v>1172.66827812316</v>
      </c>
      <c r="K67" s="9">
        <f t="shared" ref="K67:K130" si="10">I67*1</f>
        <v>254.20687988025998</v>
      </c>
      <c r="L67" s="10">
        <f t="shared" si="7"/>
        <v>0.2167764615302076</v>
      </c>
      <c r="M67" s="10">
        <f t="shared" ref="M67:M130" si="11">L67+ABS($N$2)*A67</f>
        <v>0.21810751045697013</v>
      </c>
      <c r="P67" s="8">
        <f t="shared" ref="P67:P130" si="12">(M67-$O$2)/$O$2*100</f>
        <v>0.93163708150536018</v>
      </c>
      <c r="U67" s="8">
        <v>32</v>
      </c>
      <c r="V67" s="10">
        <f t="shared" si="6"/>
        <v>0.21350793230985687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1296.0413669064999</v>
      </c>
      <c r="E68">
        <v>367.70803357314003</v>
      </c>
      <c r="F68">
        <v>145.73615247171</v>
      </c>
      <c r="G68">
        <v>121.51578320429</v>
      </c>
      <c r="I68" s="9">
        <f t="shared" si="8"/>
        <v>246.19225036885001</v>
      </c>
      <c r="J68" s="9">
        <f t="shared" si="9"/>
        <v>1150.3052144347898</v>
      </c>
      <c r="K68" s="9">
        <f t="shared" si="10"/>
        <v>246.19225036885001</v>
      </c>
      <c r="L68" s="10">
        <f t="shared" si="7"/>
        <v>0.21402341507233646</v>
      </c>
      <c r="M68" s="10">
        <f t="shared" si="11"/>
        <v>0.21537494167489535</v>
      </c>
      <c r="P68" s="8">
        <f t="shared" si="12"/>
        <v>-0.33288902323432801</v>
      </c>
      <c r="U68" s="8">
        <v>32.5</v>
      </c>
      <c r="V68" s="10">
        <f t="shared" si="6"/>
        <v>0.21507441280739337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1262.6954436451001</v>
      </c>
      <c r="E69">
        <v>362.41786570743</v>
      </c>
      <c r="F69">
        <v>145.93627159023001</v>
      </c>
      <c r="G69">
        <v>121.79749851102</v>
      </c>
      <c r="I69" s="9">
        <f t="shared" si="8"/>
        <v>240.62036719641</v>
      </c>
      <c r="J69" s="9">
        <f t="shared" si="9"/>
        <v>1116.7591720548701</v>
      </c>
      <c r="K69" s="9">
        <f t="shared" si="10"/>
        <v>240.62036719641</v>
      </c>
      <c r="L69" s="10">
        <f t="shared" si="7"/>
        <v>0.21546307674703166</v>
      </c>
      <c r="M69" s="10">
        <f t="shared" si="11"/>
        <v>0.21683508102538687</v>
      </c>
      <c r="P69" s="8">
        <f t="shared" si="12"/>
        <v>0.34280643862052873</v>
      </c>
      <c r="U69" s="8">
        <v>33</v>
      </c>
      <c r="V69" s="10">
        <f t="shared" si="6"/>
        <v>0.2167764615302076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1299.8023809524</v>
      </c>
      <c r="E70">
        <v>369.48095238094999</v>
      </c>
      <c r="F70">
        <v>146.05717689100999</v>
      </c>
      <c r="G70">
        <v>121.74210839785999</v>
      </c>
      <c r="I70" s="9">
        <f t="shared" si="8"/>
        <v>247.73884398308999</v>
      </c>
      <c r="J70" s="9">
        <f t="shared" si="9"/>
        <v>1153.74520406139</v>
      </c>
      <c r="K70" s="9">
        <f t="shared" si="10"/>
        <v>247.73884398308999</v>
      </c>
      <c r="L70" s="10">
        <f t="shared" si="7"/>
        <v>0.2147257844375039</v>
      </c>
      <c r="M70" s="10">
        <f t="shared" si="11"/>
        <v>0.21611826639165546</v>
      </c>
      <c r="P70" s="8">
        <f t="shared" si="12"/>
        <v>1.1092623195706251E-2</v>
      </c>
      <c r="U70" s="8">
        <v>33.5</v>
      </c>
      <c r="V70" s="10">
        <f t="shared" si="6"/>
        <v>0.21402341507233646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1311.2488095238</v>
      </c>
      <c r="E71">
        <v>370.96964285714</v>
      </c>
      <c r="F71">
        <v>145.83442525313001</v>
      </c>
      <c r="G71">
        <v>121.72126265634</v>
      </c>
      <c r="I71" s="9">
        <f t="shared" si="8"/>
        <v>249.2483802008</v>
      </c>
      <c r="J71" s="9">
        <f t="shared" si="9"/>
        <v>1165.4143842706699</v>
      </c>
      <c r="K71" s="9">
        <f t="shared" si="10"/>
        <v>249.2483802008</v>
      </c>
      <c r="L71" s="10">
        <f t="shared" si="7"/>
        <v>0.21387103468504259</v>
      </c>
      <c r="M71" s="10">
        <f t="shared" si="11"/>
        <v>0.21528399431499051</v>
      </c>
      <c r="P71" s="8">
        <f t="shared" si="12"/>
        <v>-0.37497590921181462</v>
      </c>
      <c r="U71" s="8">
        <v>34</v>
      </c>
      <c r="V71" s="10">
        <f t="shared" si="6"/>
        <v>0.21546307674703166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1281.7643884892</v>
      </c>
      <c r="E72">
        <v>363.81055155874998</v>
      </c>
      <c r="F72">
        <v>146.27516378797</v>
      </c>
      <c r="G72">
        <v>121.68254913638999</v>
      </c>
      <c r="I72" s="9">
        <f t="shared" si="8"/>
        <v>242.12800242236</v>
      </c>
      <c r="J72" s="9">
        <f t="shared" si="9"/>
        <v>1135.4892247012299</v>
      </c>
      <c r="K72" s="9">
        <f t="shared" si="10"/>
        <v>242.12800242236</v>
      </c>
      <c r="L72" s="10">
        <f t="shared" si="7"/>
        <v>0.21323672400860411</v>
      </c>
      <c r="M72" s="10">
        <f t="shared" si="11"/>
        <v>0.21467016131434835</v>
      </c>
      <c r="P72" s="8">
        <f t="shared" si="12"/>
        <v>-0.65903384705934698</v>
      </c>
      <c r="U72" s="8">
        <v>34.5</v>
      </c>
      <c r="V72" s="10">
        <f t="shared" si="6"/>
        <v>0.2147257844375039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1287.2565947242001</v>
      </c>
      <c r="E73">
        <v>366.60071942446001</v>
      </c>
      <c r="F73">
        <v>146.41274568195001</v>
      </c>
      <c r="G73">
        <v>121.96366885051</v>
      </c>
      <c r="I73" s="9">
        <f t="shared" si="8"/>
        <v>244.63705057395001</v>
      </c>
      <c r="J73" s="9">
        <f t="shared" si="9"/>
        <v>1140.84384904225</v>
      </c>
      <c r="K73" s="9">
        <f t="shared" si="10"/>
        <v>244.63705057395001</v>
      </c>
      <c r="L73" s="10">
        <f t="shared" si="7"/>
        <v>0.21443517513753113</v>
      </c>
      <c r="M73" s="10">
        <f t="shared" si="11"/>
        <v>0.21588909011907173</v>
      </c>
      <c r="P73" s="8">
        <f t="shared" si="12"/>
        <v>-9.4961204678674832E-2</v>
      </c>
      <c r="U73" s="8">
        <v>35</v>
      </c>
      <c r="V73" s="10">
        <f t="shared" si="6"/>
        <v>0.21387103468504259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1295.6097122302001</v>
      </c>
      <c r="E74">
        <v>367.52517985612002</v>
      </c>
      <c r="F74">
        <v>146.52233472304999</v>
      </c>
      <c r="G74">
        <v>121.93924955331001</v>
      </c>
      <c r="I74" s="9">
        <f t="shared" si="8"/>
        <v>245.58593030281003</v>
      </c>
      <c r="J74" s="9">
        <f t="shared" si="9"/>
        <v>1149.08737750715</v>
      </c>
      <c r="K74" s="9">
        <f t="shared" si="10"/>
        <v>245.58593030281003</v>
      </c>
      <c r="L74" s="10">
        <f t="shared" si="7"/>
        <v>0.21372258986569706</v>
      </c>
      <c r="M74" s="10">
        <f t="shared" si="11"/>
        <v>0.21519698252303401</v>
      </c>
      <c r="P74" s="8">
        <f t="shared" si="12"/>
        <v>-0.41524156805668672</v>
      </c>
      <c r="U74" s="8">
        <v>35.5</v>
      </c>
      <c r="V74" s="10">
        <f t="shared" si="6"/>
        <v>0.21323672400860411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1292.2613908873</v>
      </c>
      <c r="E75">
        <v>366.71402877698</v>
      </c>
      <c r="F75">
        <v>146.7438951757</v>
      </c>
      <c r="G75">
        <v>121.92495533055001</v>
      </c>
      <c r="I75" s="9">
        <f t="shared" si="8"/>
        <v>244.78907344643</v>
      </c>
      <c r="J75" s="9">
        <f t="shared" si="9"/>
        <v>1145.5174957116001</v>
      </c>
      <c r="K75" s="9">
        <f t="shared" si="10"/>
        <v>244.78907344643</v>
      </c>
      <c r="L75" s="10">
        <f t="shared" si="7"/>
        <v>0.21369300282434014</v>
      </c>
      <c r="M75" s="10">
        <f t="shared" si="11"/>
        <v>0.21518787315747345</v>
      </c>
      <c r="P75" s="8">
        <f t="shared" si="12"/>
        <v>-0.41945702664807122</v>
      </c>
      <c r="U75" s="8">
        <v>36</v>
      </c>
      <c r="V75" s="10">
        <f t="shared" si="6"/>
        <v>0.21443517513753113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1295.2607913669001</v>
      </c>
      <c r="E76">
        <v>366.72541966427002</v>
      </c>
      <c r="F76">
        <v>146.58844550328001</v>
      </c>
      <c r="G76">
        <v>122.21441334127999</v>
      </c>
      <c r="I76" s="9">
        <f t="shared" si="8"/>
        <v>244.51100632299003</v>
      </c>
      <c r="J76" s="9">
        <f t="shared" si="9"/>
        <v>1148.6723458636202</v>
      </c>
      <c r="K76" s="9">
        <f t="shared" si="10"/>
        <v>244.51100632299003</v>
      </c>
      <c r="L76" s="10">
        <f t="shared" si="7"/>
        <v>0.21286401401015392</v>
      </c>
      <c r="M76" s="10">
        <f t="shared" si="11"/>
        <v>0.21437936201908356</v>
      </c>
      <c r="P76" s="8">
        <f t="shared" si="12"/>
        <v>-0.7936044029825654</v>
      </c>
      <c r="U76" s="8">
        <v>36.5</v>
      </c>
      <c r="V76" s="10">
        <f t="shared" si="6"/>
        <v>0.21372258986569706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1315.3411270982999</v>
      </c>
      <c r="E77">
        <v>370.20683453237001</v>
      </c>
      <c r="F77">
        <v>147.04824300179001</v>
      </c>
      <c r="G77">
        <v>121.93269803454</v>
      </c>
      <c r="I77" s="9">
        <f t="shared" si="8"/>
        <v>248.27413649783</v>
      </c>
      <c r="J77" s="9">
        <f t="shared" si="9"/>
        <v>1168.2928840965099</v>
      </c>
      <c r="K77" s="9">
        <f t="shared" si="10"/>
        <v>248.27413649783</v>
      </c>
      <c r="L77" s="10">
        <f t="shared" si="7"/>
        <v>0.21251018462706023</v>
      </c>
      <c r="M77" s="10">
        <f t="shared" si="11"/>
        <v>0.21404601031178622</v>
      </c>
      <c r="P77" s="8">
        <f t="shared" si="12"/>
        <v>-0.94786655319895297</v>
      </c>
      <c r="U77" s="8">
        <v>37</v>
      </c>
      <c r="V77" s="10">
        <f t="shared" si="6"/>
        <v>0.21369300282434014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1303.4280575539999</v>
      </c>
      <c r="E78">
        <v>369.88009592326</v>
      </c>
      <c r="F78">
        <v>146.78201310303999</v>
      </c>
      <c r="G78">
        <v>122.04526503871</v>
      </c>
      <c r="I78" s="9">
        <f t="shared" si="8"/>
        <v>247.83483088455</v>
      </c>
      <c r="J78" s="9">
        <f t="shared" si="9"/>
        <v>1156.6460444509598</v>
      </c>
      <c r="K78" s="9">
        <f t="shared" si="10"/>
        <v>247.83483088455</v>
      </c>
      <c r="L78" s="10">
        <f t="shared" si="7"/>
        <v>0.21427024462111308</v>
      </c>
      <c r="M78" s="10">
        <f t="shared" si="11"/>
        <v>0.21582654798163542</v>
      </c>
      <c r="P78" s="8">
        <f t="shared" si="12"/>
        <v>-0.12390326313781602</v>
      </c>
      <c r="U78" s="8">
        <v>37.5</v>
      </c>
      <c r="V78" s="10">
        <f t="shared" si="6"/>
        <v>0.21286401401015392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1333.8998800959</v>
      </c>
      <c r="E79">
        <v>375.31834532374</v>
      </c>
      <c r="F79">
        <v>146.59082787373001</v>
      </c>
      <c r="G79">
        <v>122.27992852889</v>
      </c>
      <c r="I79" s="9">
        <f t="shared" si="8"/>
        <v>253.03841679485001</v>
      </c>
      <c r="J79" s="9">
        <f t="shared" si="9"/>
        <v>1187.3090522221701</v>
      </c>
      <c r="K79" s="9">
        <f t="shared" si="10"/>
        <v>253.03841679485001</v>
      </c>
      <c r="L79" s="10">
        <f t="shared" si="7"/>
        <v>0.21311925174095386</v>
      </c>
      <c r="M79" s="10">
        <f t="shared" si="11"/>
        <v>0.21469603277727253</v>
      </c>
      <c r="P79" s="8">
        <f t="shared" si="12"/>
        <v>-0.64706154449553266</v>
      </c>
      <c r="U79" s="8">
        <v>38</v>
      </c>
      <c r="V79" s="10">
        <f t="shared" si="6"/>
        <v>0.21251018462706023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1305.9652694611</v>
      </c>
      <c r="E80">
        <v>367.42994011975998</v>
      </c>
      <c r="F80">
        <v>146.4145324598</v>
      </c>
      <c r="G80">
        <v>121.73793924955</v>
      </c>
      <c r="I80" s="9">
        <f t="shared" si="8"/>
        <v>245.69200087020999</v>
      </c>
      <c r="J80" s="9">
        <f t="shared" si="9"/>
        <v>1159.5507370012999</v>
      </c>
      <c r="K80" s="9">
        <f t="shared" si="10"/>
        <v>245.69200087020999</v>
      </c>
      <c r="L80" s="10">
        <f t="shared" si="7"/>
        <v>0.21188551137106004</v>
      </c>
      <c r="M80" s="10">
        <f t="shared" si="11"/>
        <v>0.21348277008317507</v>
      </c>
      <c r="P80" s="8">
        <f t="shared" si="12"/>
        <v>-1.208512132183269</v>
      </c>
      <c r="U80" s="8">
        <v>38.5</v>
      </c>
      <c r="V80" s="10">
        <f t="shared" si="6"/>
        <v>0.21427024462111308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1323.2526946108001</v>
      </c>
      <c r="E81">
        <v>373.72634730538999</v>
      </c>
      <c r="F81">
        <v>146.53722453841999</v>
      </c>
      <c r="G81">
        <v>121.47766527695001</v>
      </c>
      <c r="I81" s="9">
        <f t="shared" si="8"/>
        <v>252.24868202843999</v>
      </c>
      <c r="J81" s="9">
        <f t="shared" si="9"/>
        <v>1176.71547007238</v>
      </c>
      <c r="K81" s="9">
        <f t="shared" si="10"/>
        <v>252.24868202843999</v>
      </c>
      <c r="L81" s="10">
        <f t="shared" si="7"/>
        <v>0.21436675937720454</v>
      </c>
      <c r="M81" s="10">
        <f t="shared" si="11"/>
        <v>0.21598449576511591</v>
      </c>
      <c r="P81" s="8">
        <f t="shared" si="12"/>
        <v>-5.0811198005897604E-2</v>
      </c>
      <c r="U81" s="8">
        <v>39</v>
      </c>
      <c r="V81" s="10">
        <f t="shared" si="6"/>
        <v>0.21311925174095386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1240.3040095751001</v>
      </c>
      <c r="E82">
        <v>353.40873728306002</v>
      </c>
      <c r="F82">
        <v>146.74568195353999</v>
      </c>
      <c r="G82">
        <v>122.15366289457999</v>
      </c>
      <c r="H82" s="13"/>
      <c r="I82" s="14">
        <f t="shared" si="8"/>
        <v>231.25507438848001</v>
      </c>
      <c r="J82" s="14">
        <f t="shared" si="9"/>
        <v>1093.55832762156</v>
      </c>
      <c r="K82" s="9">
        <f t="shared" si="10"/>
        <v>231.25507438848001</v>
      </c>
      <c r="L82" s="15">
        <f t="shared" si="7"/>
        <v>0.21147026962105384</v>
      </c>
      <c r="M82" s="15">
        <f t="shared" si="11"/>
        <v>0.21310848368476157</v>
      </c>
      <c r="N82" s="13"/>
      <c r="O82" s="13"/>
      <c r="P82" s="13">
        <f t="shared" si="12"/>
        <v>-1.3817172586370319</v>
      </c>
      <c r="U82" s="8">
        <v>39.5</v>
      </c>
      <c r="V82" s="10">
        <f t="shared" si="6"/>
        <v>0.21188551137106004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1230.4602034710001</v>
      </c>
      <c r="E83">
        <v>350.37402752843002</v>
      </c>
      <c r="F83">
        <v>146.56283502085</v>
      </c>
      <c r="G83">
        <v>121.87849910660999</v>
      </c>
      <c r="I83" s="9">
        <f t="shared" si="8"/>
        <v>228.49552842182004</v>
      </c>
      <c r="J83" s="9">
        <f t="shared" si="9"/>
        <v>1083.8973684501502</v>
      </c>
      <c r="K83" s="9">
        <f t="shared" si="10"/>
        <v>228.49552842182004</v>
      </c>
      <c r="L83" s="10">
        <f t="shared" si="7"/>
        <v>0.21080919197040088</v>
      </c>
      <c r="M83" s="10">
        <f t="shared" si="11"/>
        <v>0.21246788370990494</v>
      </c>
      <c r="P83" s="8">
        <f t="shared" si="12"/>
        <v>-1.6781619066969937</v>
      </c>
      <c r="U83" s="8">
        <v>40</v>
      </c>
      <c r="V83" s="10">
        <f t="shared" si="6"/>
        <v>0.21436675937720454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1230.8456014363001</v>
      </c>
      <c r="E84">
        <v>350.84619988031</v>
      </c>
      <c r="F84">
        <v>146.57891602143999</v>
      </c>
      <c r="G84">
        <v>121.94460988684</v>
      </c>
      <c r="I84" s="9">
        <f t="shared" si="8"/>
        <v>228.90158999347</v>
      </c>
      <c r="J84" s="9">
        <f t="shared" si="9"/>
        <v>1084.2666854148601</v>
      </c>
      <c r="K84" s="9">
        <f t="shared" si="10"/>
        <v>228.90158999347</v>
      </c>
      <c r="L84" s="10">
        <f t="shared" si="7"/>
        <v>0.21111189071154399</v>
      </c>
      <c r="M84" s="10">
        <f t="shared" si="11"/>
        <v>0.2127910601268444</v>
      </c>
      <c r="P84" s="8">
        <f t="shared" si="12"/>
        <v>-1.5286084834357143</v>
      </c>
      <c r="U84" s="8">
        <v>150.5</v>
      </c>
      <c r="V84" s="10">
        <f>L302</f>
        <v>0.20989545382658217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1269.4967085578</v>
      </c>
      <c r="E85">
        <v>359.48234590065999</v>
      </c>
      <c r="F85">
        <v>146.98868374032</v>
      </c>
      <c r="G85">
        <v>122.29303156640999</v>
      </c>
      <c r="I85" s="9">
        <f t="shared" si="8"/>
        <v>237.18931433425001</v>
      </c>
      <c r="J85" s="9">
        <f t="shared" si="9"/>
        <v>1122.50802481748</v>
      </c>
      <c r="K85" s="9">
        <f t="shared" si="10"/>
        <v>237.18931433425001</v>
      </c>
      <c r="L85" s="10">
        <f t="shared" si="7"/>
        <v>0.21130300103896099</v>
      </c>
      <c r="M85" s="10">
        <f t="shared" si="11"/>
        <v>0.21300264813005776</v>
      </c>
      <c r="P85" s="8">
        <f t="shared" si="12"/>
        <v>-1.4306938196701839</v>
      </c>
      <c r="U85" s="8">
        <v>151</v>
      </c>
      <c r="V85" s="10">
        <f t="shared" ref="V85:V103" si="13">L303</f>
        <v>0.2101500178984847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1267.3393177738001</v>
      </c>
      <c r="E86">
        <v>360.97785757032</v>
      </c>
      <c r="F86">
        <v>147.11018463370999</v>
      </c>
      <c r="G86">
        <v>122.11673615247</v>
      </c>
      <c r="I86" s="9">
        <f t="shared" si="8"/>
        <v>238.86112141785</v>
      </c>
      <c r="J86" s="9">
        <f t="shared" si="9"/>
        <v>1120.2291331400902</v>
      </c>
      <c r="K86" s="9">
        <f t="shared" si="10"/>
        <v>238.86112141785</v>
      </c>
      <c r="L86" s="10">
        <f t="shared" si="7"/>
        <v>0.21322523611602881</v>
      </c>
      <c r="M86" s="10">
        <f t="shared" si="11"/>
        <v>0.21494536088292193</v>
      </c>
      <c r="P86" s="8">
        <f t="shared" si="12"/>
        <v>-0.53168223536078774</v>
      </c>
      <c r="U86" s="8">
        <v>151.5</v>
      </c>
      <c r="V86" s="10">
        <f t="shared" si="13"/>
        <v>0.20914970676370712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1248.2280071813</v>
      </c>
      <c r="E87">
        <v>354.72770795931001</v>
      </c>
      <c r="F87">
        <v>145.85944014294</v>
      </c>
      <c r="G87">
        <v>122.0488385944</v>
      </c>
      <c r="I87" s="9">
        <f t="shared" si="8"/>
        <v>232.67886936491001</v>
      </c>
      <c r="J87" s="9">
        <f t="shared" si="9"/>
        <v>1102.36856703836</v>
      </c>
      <c r="K87" s="9">
        <f t="shared" si="10"/>
        <v>232.67886936491001</v>
      </c>
      <c r="L87" s="10">
        <f t="shared" si="7"/>
        <v>0.21107175614597629</v>
      </c>
      <c r="M87" s="10">
        <f t="shared" si="11"/>
        <v>0.21281235858866573</v>
      </c>
      <c r="P87" s="8">
        <f t="shared" si="12"/>
        <v>-1.5187523871718063</v>
      </c>
      <c r="U87" s="8">
        <v>152</v>
      </c>
      <c r="V87" s="10">
        <f t="shared" si="13"/>
        <v>0.20593279626870875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1266.2356083085999</v>
      </c>
      <c r="E88">
        <v>359.17388724035999</v>
      </c>
      <c r="F88">
        <v>146.29541393687001</v>
      </c>
      <c r="G88">
        <v>122.00119118523</v>
      </c>
      <c r="I88" s="9">
        <f t="shared" si="8"/>
        <v>237.17269605512999</v>
      </c>
      <c r="J88" s="9">
        <f t="shared" si="9"/>
        <v>1119.9401943717298</v>
      </c>
      <c r="K88" s="9">
        <f t="shared" si="10"/>
        <v>237.17269605512999</v>
      </c>
      <c r="L88" s="10">
        <f t="shared" si="7"/>
        <v>0.21177264397424403</v>
      </c>
      <c r="M88" s="10">
        <f t="shared" si="11"/>
        <v>0.21353372409272983</v>
      </c>
      <c r="P88" s="8">
        <f t="shared" si="12"/>
        <v>-1.1849326067031329</v>
      </c>
      <c r="U88" s="8">
        <v>152.5</v>
      </c>
      <c r="V88" s="10">
        <f t="shared" si="13"/>
        <v>0.21054600256719766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1247.8175355450001</v>
      </c>
      <c r="E89">
        <v>355.08827014218002</v>
      </c>
      <c r="F89">
        <v>146.69267421084001</v>
      </c>
      <c r="G89">
        <v>122.19892793328999</v>
      </c>
      <c r="I89" s="9">
        <f t="shared" si="8"/>
        <v>232.88934220889001</v>
      </c>
      <c r="J89" s="9">
        <f t="shared" si="9"/>
        <v>1101.12486133416</v>
      </c>
      <c r="K89" s="9">
        <f t="shared" si="10"/>
        <v>232.88934220889001</v>
      </c>
      <c r="L89" s="10">
        <f t="shared" si="7"/>
        <v>0.21150130233796868</v>
      </c>
      <c r="M89" s="10">
        <f t="shared" si="11"/>
        <v>0.21328286013225084</v>
      </c>
      <c r="P89" s="8">
        <f t="shared" si="12"/>
        <v>-1.3010226494661952</v>
      </c>
      <c r="U89" s="8">
        <v>153</v>
      </c>
      <c r="V89" s="10">
        <f t="shared" si="13"/>
        <v>0.20542550633768367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1284.7186018957</v>
      </c>
      <c r="E90">
        <v>361.80213270142002</v>
      </c>
      <c r="F90">
        <v>146.52412150089</v>
      </c>
      <c r="G90">
        <v>122.07504466944999</v>
      </c>
      <c r="I90" s="9">
        <f t="shared" si="8"/>
        <v>239.72708803197003</v>
      </c>
      <c r="J90" s="9">
        <f t="shared" si="9"/>
        <v>1138.1944803948099</v>
      </c>
      <c r="K90" s="9">
        <f t="shared" si="10"/>
        <v>239.72708803197003</v>
      </c>
      <c r="L90" s="10">
        <f t="shared" si="7"/>
        <v>0.21062049778067363</v>
      </c>
      <c r="M90" s="10">
        <f t="shared" si="11"/>
        <v>0.21242253325075211</v>
      </c>
      <c r="P90" s="8">
        <f t="shared" si="12"/>
        <v>-1.6991483279123958</v>
      </c>
      <c r="U90" s="8">
        <v>153.5</v>
      </c>
      <c r="V90" s="10">
        <f t="shared" si="13"/>
        <v>0.20717797113062328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1274.5222088835999</v>
      </c>
      <c r="E91">
        <v>357.22569027611002</v>
      </c>
      <c r="F91">
        <v>146.41989279333001</v>
      </c>
      <c r="G91">
        <v>121.88921977368</v>
      </c>
      <c r="I91" s="9">
        <f t="shared" si="8"/>
        <v>235.33647050243002</v>
      </c>
      <c r="J91" s="9">
        <f t="shared" si="9"/>
        <v>1128.1023160902698</v>
      </c>
      <c r="K91" s="9">
        <f t="shared" si="10"/>
        <v>235.33647050243002</v>
      </c>
      <c r="L91" s="10">
        <f t="shared" si="7"/>
        <v>0.208612700413602</v>
      </c>
      <c r="M91" s="10">
        <f t="shared" si="11"/>
        <v>0.21043521355947684</v>
      </c>
      <c r="P91" s="8">
        <f t="shared" si="12"/>
        <v>-2.6188022610780668</v>
      </c>
      <c r="U91" s="8">
        <v>154</v>
      </c>
      <c r="V91" s="10">
        <f t="shared" si="13"/>
        <v>0.20810432043751032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1311.5684273710001</v>
      </c>
      <c r="E92">
        <v>364.37935174069997</v>
      </c>
      <c r="F92">
        <v>146.56164383562</v>
      </c>
      <c r="G92">
        <v>121.53305539010999</v>
      </c>
      <c r="I92" s="9">
        <f t="shared" si="8"/>
        <v>242.84629635058997</v>
      </c>
      <c r="J92" s="9">
        <f t="shared" si="9"/>
        <v>1165.00678353538</v>
      </c>
      <c r="K92" s="9">
        <f t="shared" si="10"/>
        <v>242.84629635058997</v>
      </c>
      <c r="L92" s="10">
        <f t="shared" si="7"/>
        <v>0.20845054276305422</v>
      </c>
      <c r="M92" s="10">
        <f t="shared" si="11"/>
        <v>0.21029353358472541</v>
      </c>
      <c r="P92" s="8">
        <f t="shared" si="12"/>
        <v>-2.6843662197118929</v>
      </c>
      <c r="U92" s="8">
        <v>154.5</v>
      </c>
      <c r="V92" s="10">
        <f t="shared" si="13"/>
        <v>0.20732544234700415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1329.2893157262999</v>
      </c>
      <c r="E93">
        <v>368.75750300120001</v>
      </c>
      <c r="F93">
        <v>146.43418701607999</v>
      </c>
      <c r="G93">
        <v>121.78022632519</v>
      </c>
      <c r="I93" s="9">
        <f t="shared" si="8"/>
        <v>246.97727667601001</v>
      </c>
      <c r="J93" s="9">
        <f t="shared" si="9"/>
        <v>1182.85512871022</v>
      </c>
      <c r="K93" s="9">
        <f t="shared" si="10"/>
        <v>246.97727667601001</v>
      </c>
      <c r="L93" s="10">
        <f t="shared" si="7"/>
        <v>0.20879757011774799</v>
      </c>
      <c r="M93" s="10">
        <f t="shared" si="11"/>
        <v>0.21066103861521554</v>
      </c>
      <c r="P93" s="8">
        <f t="shared" si="12"/>
        <v>-2.5142992454690449</v>
      </c>
      <c r="U93" s="8">
        <v>155</v>
      </c>
      <c r="V93" s="10">
        <f t="shared" si="13"/>
        <v>0.21188371213784038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1305.9790293589001</v>
      </c>
      <c r="E94">
        <v>360.37926902337</v>
      </c>
      <c r="F94">
        <v>146.9511614056</v>
      </c>
      <c r="G94">
        <v>122.05777248362</v>
      </c>
      <c r="I94" s="9">
        <f t="shared" si="8"/>
        <v>238.32149653975</v>
      </c>
      <c r="J94" s="9">
        <f t="shared" si="9"/>
        <v>1159.0278679533001</v>
      </c>
      <c r="K94" s="9">
        <f t="shared" si="10"/>
        <v>238.32149653975</v>
      </c>
      <c r="L94" s="10">
        <f t="shared" si="7"/>
        <v>0.20562188634911455</v>
      </c>
      <c r="M94" s="10">
        <f t="shared" si="11"/>
        <v>0.20750583252237842</v>
      </c>
      <c r="P94" s="8">
        <f t="shared" si="12"/>
        <v>-3.9744053904264831</v>
      </c>
      <c r="U94" s="8">
        <v>155.5</v>
      </c>
      <c r="V94" s="10">
        <f t="shared" si="13"/>
        <v>0.20997418070135249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1290.7621330137999</v>
      </c>
      <c r="E95">
        <v>359.50928699820003</v>
      </c>
      <c r="F95">
        <v>146.90053603334999</v>
      </c>
      <c r="G95">
        <v>122.0851697439</v>
      </c>
      <c r="I95" s="9">
        <f t="shared" si="8"/>
        <v>237.42411725430003</v>
      </c>
      <c r="J95" s="9">
        <f t="shared" si="9"/>
        <v>1143.86159698045</v>
      </c>
      <c r="K95" s="9">
        <f t="shared" si="10"/>
        <v>237.42411725430003</v>
      </c>
      <c r="L95" s="10">
        <f t="shared" si="7"/>
        <v>0.207563675431581</v>
      </c>
      <c r="M95" s="10">
        <f t="shared" si="11"/>
        <v>0.20946809928064122</v>
      </c>
      <c r="P95" s="8">
        <f t="shared" si="12"/>
        <v>-3.0663449761513082</v>
      </c>
      <c r="U95" s="8">
        <v>156</v>
      </c>
      <c r="V95" s="10">
        <f t="shared" si="13"/>
        <v>0.21228095784137027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1257.8310529447001</v>
      </c>
      <c r="E96">
        <v>355.54015466983998</v>
      </c>
      <c r="F96">
        <v>147.00655151876001</v>
      </c>
      <c r="G96">
        <v>121.46515783204001</v>
      </c>
      <c r="I96" s="9">
        <f t="shared" si="8"/>
        <v>234.07499683779997</v>
      </c>
      <c r="J96" s="9">
        <f t="shared" si="9"/>
        <v>1110.8245014259401</v>
      </c>
      <c r="K96" s="9">
        <f t="shared" si="10"/>
        <v>234.07499683779997</v>
      </c>
      <c r="L96" s="10">
        <f t="shared" si="7"/>
        <v>0.21072185258546533</v>
      </c>
      <c r="M96" s="10">
        <f t="shared" si="11"/>
        <v>0.21264675411032191</v>
      </c>
      <c r="P96" s="8">
        <f t="shared" si="12"/>
        <v>-1.5953876716342748</v>
      </c>
      <c r="U96" s="8">
        <v>156.5</v>
      </c>
      <c r="V96" s="10">
        <f t="shared" si="13"/>
        <v>0.21159073820896879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1301.7537180249999</v>
      </c>
      <c r="E97">
        <v>363.19571683522003</v>
      </c>
      <c r="F97">
        <v>145.8618225134</v>
      </c>
      <c r="G97">
        <v>121.88088147707001</v>
      </c>
      <c r="I97" s="9">
        <f t="shared" si="8"/>
        <v>241.31483535815002</v>
      </c>
      <c r="J97" s="9">
        <f t="shared" si="9"/>
        <v>1155.8918955115998</v>
      </c>
      <c r="K97" s="9">
        <f t="shared" si="10"/>
        <v>241.31483535815002</v>
      </c>
      <c r="L97" s="10">
        <f t="shared" si="7"/>
        <v>0.20876938085230162</v>
      </c>
      <c r="M97" s="10">
        <f t="shared" si="11"/>
        <v>0.21071476005295453</v>
      </c>
      <c r="P97" s="8">
        <f t="shared" si="12"/>
        <v>-2.4894390623143794</v>
      </c>
      <c r="U97" s="8">
        <v>157</v>
      </c>
      <c r="V97" s="10">
        <f t="shared" si="13"/>
        <v>0.2123986679922264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1327.3142857143</v>
      </c>
      <c r="E98">
        <v>366.95</v>
      </c>
      <c r="F98">
        <v>146.65753424658001</v>
      </c>
      <c r="G98">
        <v>121.63132817153</v>
      </c>
      <c r="I98" s="9">
        <f t="shared" si="8"/>
        <v>245.31867182846997</v>
      </c>
      <c r="J98" s="9">
        <f t="shared" si="9"/>
        <v>1180.6567514677199</v>
      </c>
      <c r="K98" s="9">
        <f t="shared" si="10"/>
        <v>245.31867182846997</v>
      </c>
      <c r="L98" s="10">
        <f t="shared" si="7"/>
        <v>0.20778153474623753</v>
      </c>
      <c r="M98" s="10">
        <f t="shared" si="11"/>
        <v>0.2097473916226868</v>
      </c>
      <c r="P98" s="8">
        <f t="shared" si="12"/>
        <v>-2.9370993887438592</v>
      </c>
      <c r="U98" s="8">
        <v>157.5</v>
      </c>
      <c r="V98" s="10">
        <f t="shared" si="13"/>
        <v>0.21264510867385197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1314.3970238095001</v>
      </c>
      <c r="E99">
        <v>364.88869047618999</v>
      </c>
      <c r="F99">
        <v>146.50982727813999</v>
      </c>
      <c r="G99">
        <v>121.53722453842001</v>
      </c>
      <c r="I99" s="9">
        <f t="shared" si="8"/>
        <v>243.35146593777</v>
      </c>
      <c r="J99" s="9">
        <f t="shared" si="9"/>
        <v>1167.8871965313601</v>
      </c>
      <c r="K99" s="9">
        <f t="shared" si="10"/>
        <v>243.35146593777</v>
      </c>
      <c r="L99" s="10">
        <f t="shared" si="7"/>
        <v>0.20836898174800353</v>
      </c>
      <c r="M99" s="10">
        <f t="shared" si="11"/>
        <v>0.21035531630024915</v>
      </c>
      <c r="P99" s="8">
        <f t="shared" si="12"/>
        <v>-2.655775592052688</v>
      </c>
      <c r="U99" s="8">
        <v>158</v>
      </c>
      <c r="V99" s="10">
        <f t="shared" si="13"/>
        <v>0.21209194876924067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1336.5456182472999</v>
      </c>
      <c r="E100">
        <v>366.44657863145</v>
      </c>
      <c r="F100">
        <v>146.10839785587001</v>
      </c>
      <c r="G100">
        <v>121.54675402025001</v>
      </c>
      <c r="I100" s="9">
        <f t="shared" si="8"/>
        <v>244.89982461119999</v>
      </c>
      <c r="J100" s="9">
        <f t="shared" si="9"/>
        <v>1190.4372203914299</v>
      </c>
      <c r="K100" s="9">
        <f t="shared" si="10"/>
        <v>244.89982461119999</v>
      </c>
      <c r="L100" s="10">
        <f t="shared" si="7"/>
        <v>0.20572258697579535</v>
      </c>
      <c r="M100" s="10">
        <f t="shared" si="11"/>
        <v>0.20772939920383732</v>
      </c>
      <c r="P100" s="8">
        <f t="shared" si="12"/>
        <v>-3.8709474622274551</v>
      </c>
      <c r="U100" s="8">
        <v>158.5</v>
      </c>
      <c r="V100" s="10">
        <f t="shared" si="13"/>
        <v>0.20912798730273499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1356.1302521007999</v>
      </c>
      <c r="E101">
        <v>368.16746698679998</v>
      </c>
      <c r="F101">
        <v>146.33531864205</v>
      </c>
      <c r="G101">
        <v>121.70101250745</v>
      </c>
      <c r="I101" s="9">
        <f t="shared" si="8"/>
        <v>246.46645447934998</v>
      </c>
      <c r="J101" s="9">
        <f t="shared" si="9"/>
        <v>1209.7949334587499</v>
      </c>
      <c r="K101" s="9">
        <f t="shared" si="10"/>
        <v>246.46645447934998</v>
      </c>
      <c r="L101" s="10">
        <f t="shared" si="7"/>
        <v>0.20372581142715926</v>
      </c>
      <c r="M101" s="10">
        <f t="shared" si="11"/>
        <v>0.20575310133099756</v>
      </c>
      <c r="P101" s="8">
        <f t="shared" si="12"/>
        <v>-4.7855009283070506</v>
      </c>
      <c r="U101" s="8">
        <v>159</v>
      </c>
      <c r="V101" s="10">
        <f t="shared" si="13"/>
        <v>0.20970964861492825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1374.0168067227</v>
      </c>
      <c r="E102">
        <v>372.34633853540998</v>
      </c>
      <c r="F102">
        <v>146.62001191185001</v>
      </c>
      <c r="G102">
        <v>121.61643835616</v>
      </c>
      <c r="I102" s="9">
        <f t="shared" si="8"/>
        <v>250.72990017924997</v>
      </c>
      <c r="J102" s="9">
        <f t="shared" si="9"/>
        <v>1227.39679481085</v>
      </c>
      <c r="K102" s="9">
        <f t="shared" si="10"/>
        <v>250.72990017924997</v>
      </c>
      <c r="L102" s="10">
        <f t="shared" si="7"/>
        <v>0.20427778631920668</v>
      </c>
      <c r="M102" s="10">
        <f t="shared" si="11"/>
        <v>0.20632555389884133</v>
      </c>
      <c r="P102" s="8">
        <f t="shared" si="12"/>
        <v>-4.5205922385378257</v>
      </c>
      <c r="U102" s="8">
        <v>159.5</v>
      </c>
      <c r="V102" s="10">
        <f t="shared" si="13"/>
        <v>0.21022213030038694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1295.4616306953999</v>
      </c>
      <c r="E103">
        <v>362.44304556355002</v>
      </c>
      <c r="F103">
        <v>146.37045860631</v>
      </c>
      <c r="G103">
        <v>121.70637284097999</v>
      </c>
      <c r="I103" s="9">
        <f t="shared" si="8"/>
        <v>240.73667272257001</v>
      </c>
      <c r="J103" s="9">
        <f t="shared" si="9"/>
        <v>1149.0911720890899</v>
      </c>
      <c r="K103" s="9">
        <f t="shared" si="10"/>
        <v>240.73667272257001</v>
      </c>
      <c r="L103" s="10">
        <f t="shared" si="7"/>
        <v>0.20950180331200519</v>
      </c>
      <c r="M103" s="10">
        <f t="shared" si="11"/>
        <v>0.21157004856743619</v>
      </c>
      <c r="P103" s="8">
        <f t="shared" si="12"/>
        <v>-2.093644943337106</v>
      </c>
      <c r="U103" s="8">
        <v>160</v>
      </c>
      <c r="V103" s="10">
        <f t="shared" si="13"/>
        <v>0.20989016661645399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1296.3313397129</v>
      </c>
      <c r="E104">
        <v>362.36961722488002</v>
      </c>
      <c r="F104">
        <v>146.25253126861</v>
      </c>
      <c r="G104">
        <v>121.52650387135</v>
      </c>
      <c r="I104" s="9">
        <f t="shared" si="8"/>
        <v>240.84311335353001</v>
      </c>
      <c r="J104" s="9">
        <f t="shared" si="9"/>
        <v>1150.07880844429</v>
      </c>
      <c r="K104" s="9">
        <f t="shared" si="10"/>
        <v>240.84311335353001</v>
      </c>
      <c r="L104" s="10">
        <f t="shared" si="7"/>
        <v>0.20941444324090988</v>
      </c>
      <c r="M104" s="10">
        <f t="shared" si="11"/>
        <v>0.21150316617213721</v>
      </c>
      <c r="P104" s="8">
        <f t="shared" si="12"/>
        <v>-2.1245955036149926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1271.5974880383001</v>
      </c>
      <c r="E105">
        <v>358.40490430621998</v>
      </c>
      <c r="F105">
        <v>146.51220964859999</v>
      </c>
      <c r="G105">
        <v>121.69982132222</v>
      </c>
      <c r="I105" s="9">
        <f t="shared" si="8"/>
        <v>236.70508298399997</v>
      </c>
      <c r="J105" s="9">
        <f t="shared" si="9"/>
        <v>1125.0852783897001</v>
      </c>
      <c r="K105" s="9">
        <f t="shared" si="10"/>
        <v>236.70508298399997</v>
      </c>
      <c r="L105" s="10">
        <f t="shared" si="7"/>
        <v>0.21038857012047005</v>
      </c>
      <c r="M105" s="10">
        <f t="shared" si="11"/>
        <v>0.21249777072749373</v>
      </c>
      <c r="P105" s="8">
        <f t="shared" si="12"/>
        <v>-1.6643313622723617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1265.5983363042001</v>
      </c>
      <c r="E106">
        <v>357.39096850862001</v>
      </c>
      <c r="F106">
        <v>146.47826086956999</v>
      </c>
      <c r="G106">
        <v>121.86956521739</v>
      </c>
      <c r="I106" s="9">
        <f t="shared" si="8"/>
        <v>235.52140329123</v>
      </c>
      <c r="J106" s="9">
        <f t="shared" si="9"/>
        <v>1119.1200754346301</v>
      </c>
      <c r="K106" s="9">
        <f t="shared" si="10"/>
        <v>235.52140329123</v>
      </c>
      <c r="L106" s="10">
        <f t="shared" si="7"/>
        <v>0.2104523084350543</v>
      </c>
      <c r="M106" s="10">
        <f t="shared" si="11"/>
        <v>0.21258198671787434</v>
      </c>
      <c r="P106" s="8">
        <f t="shared" si="12"/>
        <v>-1.6253594911994844</v>
      </c>
      <c r="X106" s="8">
        <v>-13</v>
      </c>
    </row>
    <row r="107" spans="1:25" x14ac:dyDescent="0.2">
      <c r="A107" s="8">
        <v>52.5</v>
      </c>
      <c r="B107" s="8">
        <v>105</v>
      </c>
      <c r="D107">
        <v>1260.3060011883999</v>
      </c>
      <c r="E107">
        <v>358.17231134878</v>
      </c>
      <c r="F107">
        <v>146.76712328766999</v>
      </c>
      <c r="G107">
        <v>121.51995235259</v>
      </c>
      <c r="I107" s="9">
        <f t="shared" si="8"/>
        <v>236.65235899619</v>
      </c>
      <c r="J107" s="9">
        <f t="shared" si="9"/>
        <v>1113.5388779007299</v>
      </c>
      <c r="K107" s="9">
        <f t="shared" si="10"/>
        <v>236.65235899619</v>
      </c>
      <c r="L107" s="10">
        <f t="shared" si="7"/>
        <v>0.21252276296121128</v>
      </c>
      <c r="M107" s="10">
        <f t="shared" si="11"/>
        <v>0.21467291891982768</v>
      </c>
      <c r="P107" s="8">
        <f t="shared" si="12"/>
        <v>-0.65775773494899326</v>
      </c>
      <c r="X107" s="8">
        <v>-13</v>
      </c>
    </row>
    <row r="108" spans="1:25" x14ac:dyDescent="0.2">
      <c r="A108" s="8">
        <v>53</v>
      </c>
      <c r="B108" s="8">
        <v>106</v>
      </c>
      <c r="D108">
        <v>1279.486036839</v>
      </c>
      <c r="E108">
        <v>365.42780748663</v>
      </c>
      <c r="F108">
        <v>146.85586658725001</v>
      </c>
      <c r="G108">
        <v>121.79690291839999</v>
      </c>
      <c r="I108" s="9">
        <f t="shared" si="8"/>
        <v>243.63090456822999</v>
      </c>
      <c r="J108" s="9">
        <f t="shared" si="9"/>
        <v>1132.6301702517501</v>
      </c>
      <c r="K108" s="9">
        <f t="shared" si="10"/>
        <v>243.63090456822999</v>
      </c>
      <c r="L108" s="10">
        <f t="shared" si="7"/>
        <v>0.21510190260434089</v>
      </c>
      <c r="M108" s="10">
        <f t="shared" si="11"/>
        <v>0.21727253623875362</v>
      </c>
      <c r="P108" s="8">
        <f t="shared" si="12"/>
        <v>0.54524362541174454</v>
      </c>
      <c r="X108" s="8">
        <v>-13</v>
      </c>
    </row>
    <row r="109" spans="1:25" x14ac:dyDescent="0.2">
      <c r="A109" s="8">
        <v>53.5</v>
      </c>
      <c r="B109" s="8">
        <v>107</v>
      </c>
      <c r="D109">
        <v>1261.1913250149</v>
      </c>
      <c r="E109">
        <v>360.49851455734</v>
      </c>
      <c r="F109">
        <v>146.50327575937999</v>
      </c>
      <c r="G109">
        <v>121.79749851102</v>
      </c>
      <c r="I109" s="9">
        <f t="shared" si="8"/>
        <v>238.70101604632001</v>
      </c>
      <c r="J109" s="9">
        <f t="shared" si="9"/>
        <v>1114.6880492555201</v>
      </c>
      <c r="K109" s="9">
        <f t="shared" si="10"/>
        <v>238.70101604632001</v>
      </c>
      <c r="L109" s="10">
        <f t="shared" si="7"/>
        <v>0.21414154050161754</v>
      </c>
      <c r="M109" s="10">
        <f t="shared" si="11"/>
        <v>0.21633265181182662</v>
      </c>
      <c r="P109" s="8">
        <f t="shared" si="12"/>
        <v>0.11030182226888738</v>
      </c>
      <c r="X109" s="8">
        <v>-13</v>
      </c>
    </row>
    <row r="110" spans="1:25" x14ac:dyDescent="0.2">
      <c r="A110" s="8">
        <v>54</v>
      </c>
      <c r="B110" s="8">
        <v>108</v>
      </c>
      <c r="D110">
        <v>1291.1598336304</v>
      </c>
      <c r="E110">
        <v>369.87344028520999</v>
      </c>
      <c r="F110">
        <v>146.45503275759</v>
      </c>
      <c r="G110">
        <v>121.61405598571</v>
      </c>
      <c r="I110" s="9">
        <f t="shared" si="8"/>
        <v>248.2593842995</v>
      </c>
      <c r="J110" s="9">
        <f t="shared" si="9"/>
        <v>1144.70480087281</v>
      </c>
      <c r="K110" s="9">
        <f t="shared" si="10"/>
        <v>248.2593842995</v>
      </c>
      <c r="L110" s="10">
        <f t="shared" si="7"/>
        <v>0.21687633712220666</v>
      </c>
      <c r="M110" s="10">
        <f t="shared" si="11"/>
        <v>0.21908792610821209</v>
      </c>
      <c r="P110" s="8">
        <f t="shared" si="12"/>
        <v>1.3853351522084503</v>
      </c>
      <c r="X110" s="8">
        <v>-13</v>
      </c>
    </row>
    <row r="111" spans="1:25" x14ac:dyDescent="0.2">
      <c r="A111" s="8">
        <v>54.5</v>
      </c>
      <c r="B111" s="8">
        <v>109</v>
      </c>
      <c r="D111">
        <v>1300.5864527629001</v>
      </c>
      <c r="E111">
        <v>369.89958407606002</v>
      </c>
      <c r="F111">
        <v>147.15068493151</v>
      </c>
      <c r="G111">
        <v>121.63192376415</v>
      </c>
      <c r="I111" s="9">
        <f t="shared" si="8"/>
        <v>248.26766031191002</v>
      </c>
      <c r="J111" s="9">
        <f t="shared" si="9"/>
        <v>1153.43576783139</v>
      </c>
      <c r="K111" s="9">
        <f t="shared" si="10"/>
        <v>248.26766031191002</v>
      </c>
      <c r="L111" s="10">
        <f t="shared" si="7"/>
        <v>0.21524186021965114</v>
      </c>
      <c r="M111" s="10">
        <f t="shared" si="11"/>
        <v>0.21747392688145292</v>
      </c>
      <c r="P111" s="8">
        <f t="shared" si="12"/>
        <v>0.63843934901589661</v>
      </c>
      <c r="X111" s="8">
        <v>-13</v>
      </c>
    </row>
    <row r="112" spans="1:25" x14ac:dyDescent="0.2">
      <c r="A112" s="8">
        <v>55</v>
      </c>
      <c r="B112" s="8">
        <v>110</v>
      </c>
      <c r="D112">
        <v>1323.578134284</v>
      </c>
      <c r="E112">
        <v>377.60843731431999</v>
      </c>
      <c r="F112">
        <v>146.72424061941999</v>
      </c>
      <c r="G112">
        <v>121.91185229302999</v>
      </c>
      <c r="I112" s="9">
        <f t="shared" si="8"/>
        <v>255.69658502128999</v>
      </c>
      <c r="J112" s="9">
        <f t="shared" si="9"/>
        <v>1176.85389366458</v>
      </c>
      <c r="K112" s="9">
        <f t="shared" si="10"/>
        <v>255.69658502128999</v>
      </c>
      <c r="L112" s="10">
        <f t="shared" si="7"/>
        <v>0.21727130818684884</v>
      </c>
      <c r="M112" s="10">
        <f t="shared" si="11"/>
        <v>0.21952385252444695</v>
      </c>
      <c r="P112" s="8">
        <f t="shared" si="12"/>
        <v>1.5870648713981892</v>
      </c>
      <c r="X112" s="8">
        <v>-13</v>
      </c>
    </row>
    <row r="113" spans="1:24" x14ac:dyDescent="0.2">
      <c r="A113" s="8">
        <v>55.5</v>
      </c>
      <c r="B113" s="8">
        <v>111</v>
      </c>
      <c r="D113">
        <v>1316.5128358208999</v>
      </c>
      <c r="E113">
        <v>373.08119402985</v>
      </c>
      <c r="F113">
        <v>146.877903514</v>
      </c>
      <c r="G113">
        <v>121.50506253723</v>
      </c>
      <c r="I113" s="9">
        <f t="shared" si="8"/>
        <v>251.57613149261999</v>
      </c>
      <c r="J113" s="9">
        <f t="shared" si="9"/>
        <v>1169.6349323068998</v>
      </c>
      <c r="K113" s="9">
        <f t="shared" si="10"/>
        <v>251.57613149261999</v>
      </c>
      <c r="L113" s="10">
        <f t="shared" si="7"/>
        <v>0.21508944760775073</v>
      </c>
      <c r="M113" s="10">
        <f t="shared" si="11"/>
        <v>0.21736246962114519</v>
      </c>
      <c r="P113" s="8">
        <f t="shared" si="12"/>
        <v>0.58686128219963274</v>
      </c>
      <c r="X113" s="8">
        <v>-13</v>
      </c>
    </row>
    <row r="114" spans="1:24" x14ac:dyDescent="0.2">
      <c r="A114" s="8">
        <v>56</v>
      </c>
      <c r="B114" s="8">
        <v>112</v>
      </c>
      <c r="D114">
        <v>1343.9492537312999</v>
      </c>
      <c r="E114">
        <v>379.53134328357999</v>
      </c>
      <c r="F114">
        <v>146.85288862418</v>
      </c>
      <c r="G114">
        <v>121.60035735557</v>
      </c>
      <c r="I114" s="9">
        <f t="shared" si="8"/>
        <v>257.93098592800999</v>
      </c>
      <c r="J114" s="9">
        <f t="shared" si="9"/>
        <v>1197.0963651071199</v>
      </c>
      <c r="K114" s="9">
        <f t="shared" si="10"/>
        <v>257.93098592800999</v>
      </c>
      <c r="L114" s="10">
        <f t="shared" si="7"/>
        <v>0.2154638452226271</v>
      </c>
      <c r="M114" s="10">
        <f t="shared" si="11"/>
        <v>0.21775734491181792</v>
      </c>
      <c r="P114" s="8">
        <f t="shared" si="12"/>
        <v>0.76959414383805103</v>
      </c>
      <c r="X114" s="8">
        <v>-13</v>
      </c>
    </row>
    <row r="115" spans="1:24" x14ac:dyDescent="0.2">
      <c r="A115" s="8">
        <v>56.5</v>
      </c>
      <c r="B115" s="8">
        <v>113</v>
      </c>
      <c r="D115">
        <v>1319.4440454818</v>
      </c>
      <c r="E115">
        <v>374.13285457810002</v>
      </c>
      <c r="F115">
        <v>146.41512805241001</v>
      </c>
      <c r="G115">
        <v>121.73019654556001</v>
      </c>
      <c r="I115" s="9">
        <f t="shared" si="8"/>
        <v>252.40265803254002</v>
      </c>
      <c r="J115" s="9">
        <f t="shared" si="9"/>
        <v>1173.02891742939</v>
      </c>
      <c r="K115" s="9">
        <f t="shared" si="10"/>
        <v>252.40265803254002</v>
      </c>
      <c r="L115" s="10">
        <f t="shared" si="7"/>
        <v>0.21517172704119059</v>
      </c>
      <c r="M115" s="10">
        <f t="shared" si="11"/>
        <v>0.21748570440617773</v>
      </c>
      <c r="P115" s="8">
        <f t="shared" si="12"/>
        <v>0.64388952745657657</v>
      </c>
      <c r="X115" s="8">
        <v>-13</v>
      </c>
    </row>
    <row r="116" spans="1:24" x14ac:dyDescent="0.2">
      <c r="A116" s="8">
        <v>57</v>
      </c>
      <c r="B116" s="8">
        <v>114</v>
      </c>
      <c r="D116">
        <v>1265.8097793679001</v>
      </c>
      <c r="E116">
        <v>364.64460345856003</v>
      </c>
      <c r="F116">
        <v>146.29184038118001</v>
      </c>
      <c r="G116">
        <v>121.8534842168</v>
      </c>
      <c r="I116" s="9">
        <f t="shared" si="8"/>
        <v>242.79111924176004</v>
      </c>
      <c r="J116" s="9">
        <f t="shared" si="9"/>
        <v>1119.5179389867201</v>
      </c>
      <c r="K116" s="9">
        <f t="shared" si="10"/>
        <v>242.79111924176004</v>
      </c>
      <c r="L116" s="10">
        <f t="shared" si="7"/>
        <v>0.21687112889098606</v>
      </c>
      <c r="M116" s="10">
        <f t="shared" si="11"/>
        <v>0.21920558393176956</v>
      </c>
      <c r="P116" s="8">
        <f t="shared" si="12"/>
        <v>1.4397825975175138</v>
      </c>
      <c r="X116" s="8">
        <v>-13</v>
      </c>
    </row>
    <row r="117" spans="1:24" x14ac:dyDescent="0.2">
      <c r="A117" s="8">
        <v>57.5</v>
      </c>
      <c r="B117" s="8">
        <v>115</v>
      </c>
      <c r="D117">
        <v>1239.1520572451</v>
      </c>
      <c r="E117">
        <v>359.93679189028001</v>
      </c>
      <c r="F117">
        <v>147.49315068492999</v>
      </c>
      <c r="G117">
        <v>121.66110780226001</v>
      </c>
      <c r="I117" s="9">
        <f t="shared" si="8"/>
        <v>238.27568408802</v>
      </c>
      <c r="J117" s="9">
        <f t="shared" si="9"/>
        <v>1091.65890656017</v>
      </c>
      <c r="K117" s="9">
        <f t="shared" si="10"/>
        <v>238.27568408802</v>
      </c>
      <c r="L117" s="10">
        <f t="shared" si="7"/>
        <v>0.21826935378453466</v>
      </c>
      <c r="M117" s="10">
        <f t="shared" si="11"/>
        <v>0.22062428650111451</v>
      </c>
      <c r="P117" s="8">
        <f t="shared" si="12"/>
        <v>2.0963027354793566</v>
      </c>
      <c r="X117" s="8">
        <v>-13</v>
      </c>
    </row>
    <row r="118" spans="1:24" x14ac:dyDescent="0.2">
      <c r="A118" s="8">
        <v>58</v>
      </c>
      <c r="B118" s="8">
        <v>116</v>
      </c>
      <c r="D118">
        <v>1256.5716845878001</v>
      </c>
      <c r="E118">
        <v>367.66547192354</v>
      </c>
      <c r="F118">
        <v>146.58070279929001</v>
      </c>
      <c r="G118">
        <v>121.61167361525</v>
      </c>
      <c r="I118" s="9">
        <f t="shared" si="8"/>
        <v>246.05379830829</v>
      </c>
      <c r="J118" s="9">
        <f t="shared" si="9"/>
        <v>1109.99098178851</v>
      </c>
      <c r="K118" s="9">
        <f t="shared" si="10"/>
        <v>246.05379830829</v>
      </c>
      <c r="L118" s="10">
        <f t="shared" si="7"/>
        <v>0.22167188954258674</v>
      </c>
      <c r="M118" s="10">
        <f t="shared" si="11"/>
        <v>0.22404729993496295</v>
      </c>
      <c r="P118" s="8">
        <f t="shared" si="12"/>
        <v>3.6803396579422736</v>
      </c>
      <c r="X118" s="8">
        <v>-13</v>
      </c>
    </row>
    <row r="119" spans="1:24" x14ac:dyDescent="0.2">
      <c r="A119" s="8">
        <v>58.5</v>
      </c>
      <c r="B119" s="8">
        <v>117</v>
      </c>
      <c r="D119">
        <v>1286.2407407406999</v>
      </c>
      <c r="E119">
        <v>375.74133811231002</v>
      </c>
      <c r="F119">
        <v>146.43597379393</v>
      </c>
      <c r="G119">
        <v>121.85407980941</v>
      </c>
      <c r="I119" s="9">
        <f t="shared" si="8"/>
        <v>253.88725830290002</v>
      </c>
      <c r="J119" s="9">
        <f t="shared" si="9"/>
        <v>1139.8047669467699</v>
      </c>
      <c r="K119" s="9">
        <f t="shared" si="10"/>
        <v>253.88725830290002</v>
      </c>
      <c r="L119" s="10">
        <f t="shared" si="7"/>
        <v>0.22274626819029336</v>
      </c>
      <c r="M119" s="10">
        <f t="shared" si="11"/>
        <v>0.2251421562584659</v>
      </c>
      <c r="P119" s="8">
        <f t="shared" si="12"/>
        <v>4.1869964019886572</v>
      </c>
      <c r="X119" s="8">
        <v>-13</v>
      </c>
    </row>
    <row r="120" spans="1:24" x14ac:dyDescent="0.2">
      <c r="A120" s="8">
        <v>59</v>
      </c>
      <c r="B120" s="8">
        <v>118</v>
      </c>
      <c r="D120">
        <v>1273.1176821982999</v>
      </c>
      <c r="E120">
        <v>371.60812425328999</v>
      </c>
      <c r="F120">
        <v>146.72185824895999</v>
      </c>
      <c r="G120">
        <v>121.81536628946</v>
      </c>
      <c r="I120" s="9">
        <f t="shared" si="8"/>
        <v>249.79275796382998</v>
      </c>
      <c r="J120" s="9">
        <f t="shared" si="9"/>
        <v>1126.39582394934</v>
      </c>
      <c r="K120" s="9">
        <f t="shared" si="10"/>
        <v>249.79275796382998</v>
      </c>
      <c r="L120" s="10">
        <f t="shared" si="7"/>
        <v>0.22176285871516557</v>
      </c>
      <c r="M120" s="10">
        <f t="shared" si="11"/>
        <v>0.22417922445913446</v>
      </c>
      <c r="P120" s="8">
        <f t="shared" si="12"/>
        <v>3.7413891750722983</v>
      </c>
      <c r="X120" s="8">
        <v>-13</v>
      </c>
    </row>
    <row r="121" spans="1:24" x14ac:dyDescent="0.2">
      <c r="A121" s="8">
        <v>59.5</v>
      </c>
      <c r="B121" s="8">
        <v>119</v>
      </c>
      <c r="D121">
        <v>1292.4044205496</v>
      </c>
      <c r="E121">
        <v>378.50896057348001</v>
      </c>
      <c r="F121">
        <v>146.50625372245</v>
      </c>
      <c r="G121">
        <v>122.3293627159</v>
      </c>
      <c r="I121" s="9">
        <f t="shared" si="8"/>
        <v>256.17959785758001</v>
      </c>
      <c r="J121" s="9">
        <f t="shared" si="9"/>
        <v>1145.8981668271499</v>
      </c>
      <c r="K121" s="9">
        <f t="shared" si="10"/>
        <v>256.17959785758001</v>
      </c>
      <c r="L121" s="10">
        <f t="shared" si="7"/>
        <v>0.22356227217546704</v>
      </c>
      <c r="M121" s="10">
        <f t="shared" si="11"/>
        <v>0.22599911559523228</v>
      </c>
      <c r="P121" s="8">
        <f t="shared" si="12"/>
        <v>4.5835637122609754</v>
      </c>
      <c r="X121" s="8">
        <v>-13</v>
      </c>
    </row>
    <row r="122" spans="1:24" x14ac:dyDescent="0.2">
      <c r="A122" s="8">
        <v>60</v>
      </c>
      <c r="B122" s="8">
        <v>120</v>
      </c>
      <c r="D122">
        <v>1295.8375149343001</v>
      </c>
      <c r="E122">
        <v>378.50059737157</v>
      </c>
      <c r="F122">
        <v>147.03037522335001</v>
      </c>
      <c r="G122">
        <v>121.40381179273</v>
      </c>
      <c r="I122" s="9">
        <f t="shared" si="8"/>
        <v>257.09678557884001</v>
      </c>
      <c r="J122" s="9">
        <f t="shared" si="9"/>
        <v>1148.8071397109502</v>
      </c>
      <c r="K122" s="9">
        <f t="shared" si="10"/>
        <v>257.09678557884001</v>
      </c>
      <c r="L122" s="10">
        <f t="shared" si="7"/>
        <v>0.22379455758216107</v>
      </c>
      <c r="M122" s="10">
        <f t="shared" si="11"/>
        <v>0.22625187867772265</v>
      </c>
      <c r="P122" s="8">
        <f t="shared" si="12"/>
        <v>4.7005325945157352</v>
      </c>
      <c r="X122" s="8">
        <v>-13</v>
      </c>
    </row>
    <row r="123" spans="1:24" x14ac:dyDescent="0.2">
      <c r="A123" s="8">
        <v>60.5</v>
      </c>
      <c r="B123" s="8">
        <v>121</v>
      </c>
      <c r="D123">
        <v>1279.9068100357999</v>
      </c>
      <c r="E123">
        <v>373.59020310633002</v>
      </c>
      <c r="F123">
        <v>147.07385348422</v>
      </c>
      <c r="G123">
        <v>121.91125670042</v>
      </c>
      <c r="I123" s="9">
        <f t="shared" si="8"/>
        <v>251.67894640591004</v>
      </c>
      <c r="J123" s="9">
        <f t="shared" si="9"/>
        <v>1132.8329565515799</v>
      </c>
      <c r="K123" s="9">
        <f t="shared" si="10"/>
        <v>251.67894640591004</v>
      </c>
      <c r="L123" s="10">
        <f t="shared" si="7"/>
        <v>0.2221677476368959</v>
      </c>
      <c r="M123" s="10">
        <f t="shared" si="11"/>
        <v>0.22464554640825382</v>
      </c>
      <c r="P123" s="8">
        <f t="shared" si="12"/>
        <v>3.9571847597041296</v>
      </c>
      <c r="X123" s="8">
        <v>-13</v>
      </c>
    </row>
    <row r="124" spans="1:24" x14ac:dyDescent="0.2">
      <c r="A124" s="8">
        <v>61</v>
      </c>
      <c r="B124" s="8">
        <v>122</v>
      </c>
      <c r="D124">
        <v>1297.5250896057</v>
      </c>
      <c r="E124">
        <v>378.14396654719002</v>
      </c>
      <c r="F124">
        <v>146.94937462775999</v>
      </c>
      <c r="G124">
        <v>121.52412150089</v>
      </c>
      <c r="I124" s="9">
        <f t="shared" si="8"/>
        <v>256.61984504630004</v>
      </c>
      <c r="J124" s="9">
        <f t="shared" si="9"/>
        <v>1150.5757149779402</v>
      </c>
      <c r="K124" s="9">
        <f t="shared" si="10"/>
        <v>256.61984504630004</v>
      </c>
      <c r="L124" s="10">
        <f t="shared" si="7"/>
        <v>0.22303603466132621</v>
      </c>
      <c r="M124" s="10">
        <f t="shared" si="11"/>
        <v>0.22553431110848049</v>
      </c>
      <c r="P124" s="8">
        <f t="shared" si="12"/>
        <v>4.3684703499444009</v>
      </c>
      <c r="X124" s="8">
        <v>-13</v>
      </c>
    </row>
    <row r="125" spans="1:24" x14ac:dyDescent="0.2">
      <c r="A125" s="8">
        <v>61.5</v>
      </c>
      <c r="B125" s="8">
        <v>123</v>
      </c>
      <c r="D125">
        <v>1287.9976047903999</v>
      </c>
      <c r="E125">
        <v>369.15329341316999</v>
      </c>
      <c r="F125">
        <v>146.69446098867999</v>
      </c>
      <c r="G125">
        <v>121.77605717689001</v>
      </c>
      <c r="I125" s="9">
        <f t="shared" si="8"/>
        <v>247.37723623628</v>
      </c>
      <c r="J125" s="9">
        <f t="shared" si="9"/>
        <v>1141.3031438017199</v>
      </c>
      <c r="K125" s="9">
        <f t="shared" si="10"/>
        <v>247.37723623628</v>
      </c>
      <c r="L125" s="10">
        <f t="shared" si="7"/>
        <v>0.21674980707777422</v>
      </c>
      <c r="M125" s="10">
        <f t="shared" si="11"/>
        <v>0.21926856120072485</v>
      </c>
      <c r="P125" s="8">
        <f t="shared" si="12"/>
        <v>1.4689260178484436</v>
      </c>
      <c r="X125" s="8">
        <v>-13</v>
      </c>
    </row>
    <row r="126" spans="1:24" x14ac:dyDescent="0.2">
      <c r="A126" s="8">
        <v>62</v>
      </c>
      <c r="B126" s="8">
        <v>124</v>
      </c>
      <c r="D126">
        <v>1307.5616766467001</v>
      </c>
      <c r="E126">
        <v>375.11556886227999</v>
      </c>
      <c r="F126">
        <v>145.91899940440999</v>
      </c>
      <c r="G126">
        <v>121.65872543181</v>
      </c>
      <c r="I126" s="9">
        <f t="shared" si="8"/>
        <v>253.45684343046997</v>
      </c>
      <c r="J126" s="9">
        <f t="shared" si="9"/>
        <v>1161.6426772422901</v>
      </c>
      <c r="K126" s="9">
        <f t="shared" si="10"/>
        <v>253.45684343046997</v>
      </c>
      <c r="L126" s="10">
        <f t="shared" si="7"/>
        <v>0.21818830213105636</v>
      </c>
      <c r="M126" s="10">
        <f t="shared" si="11"/>
        <v>0.22072753392980332</v>
      </c>
      <c r="P126" s="8">
        <f t="shared" si="12"/>
        <v>2.144081612878781</v>
      </c>
      <c r="X126" s="8">
        <v>-13</v>
      </c>
    </row>
    <row r="127" spans="1:24" x14ac:dyDescent="0.2">
      <c r="A127" s="8">
        <v>62.5</v>
      </c>
      <c r="B127" s="8">
        <v>125</v>
      </c>
      <c r="D127">
        <v>1323.8431137724999</v>
      </c>
      <c r="E127">
        <v>375.67065868264001</v>
      </c>
      <c r="F127">
        <v>147.20488385944</v>
      </c>
      <c r="G127">
        <v>121.75878499107</v>
      </c>
      <c r="I127" s="9">
        <f t="shared" si="8"/>
        <v>253.91187369157001</v>
      </c>
      <c r="J127" s="9">
        <f t="shared" si="9"/>
        <v>1176.6382299130598</v>
      </c>
      <c r="K127" s="9">
        <f t="shared" si="10"/>
        <v>253.91187369157001</v>
      </c>
      <c r="L127" s="10">
        <f t="shared" si="7"/>
        <v>0.2157943429309884</v>
      </c>
      <c r="M127" s="10">
        <f t="shared" si="11"/>
        <v>0.21835405240553171</v>
      </c>
      <c r="P127" s="8">
        <f t="shared" si="12"/>
        <v>1.045727065960498</v>
      </c>
      <c r="X127" s="8">
        <v>-13</v>
      </c>
    </row>
    <row r="128" spans="1:24" x14ac:dyDescent="0.2">
      <c r="A128" s="8">
        <v>63</v>
      </c>
      <c r="B128" s="8">
        <v>126</v>
      </c>
      <c r="D128">
        <v>1332.8964071856001</v>
      </c>
      <c r="E128">
        <v>376.84670658683001</v>
      </c>
      <c r="F128">
        <v>146.93865396069</v>
      </c>
      <c r="G128">
        <v>121.79988088147999</v>
      </c>
      <c r="I128" s="9">
        <f t="shared" si="8"/>
        <v>255.04682570535002</v>
      </c>
      <c r="J128" s="9">
        <f t="shared" si="9"/>
        <v>1185.95775322491</v>
      </c>
      <c r="K128" s="9">
        <f t="shared" si="10"/>
        <v>255.04682570535002</v>
      </c>
      <c r="L128" s="10">
        <f t="shared" si="7"/>
        <v>0.21505557429159272</v>
      </c>
      <c r="M128" s="10">
        <f t="shared" si="11"/>
        <v>0.21763576144193239</v>
      </c>
      <c r="P128" s="8">
        <f t="shared" si="12"/>
        <v>0.71333006273472166</v>
      </c>
      <c r="X128" s="8">
        <v>-13</v>
      </c>
    </row>
    <row r="129" spans="1:24" x14ac:dyDescent="0.2">
      <c r="A129" s="8">
        <v>63.5</v>
      </c>
      <c r="B129" s="8">
        <v>127</v>
      </c>
      <c r="D129">
        <v>1340.9868263472999</v>
      </c>
      <c r="E129">
        <v>379.42694610778</v>
      </c>
      <c r="F129">
        <v>146.78141751042</v>
      </c>
      <c r="G129">
        <v>121.65098272781</v>
      </c>
      <c r="I129" s="9">
        <f t="shared" si="8"/>
        <v>257.77596337996999</v>
      </c>
      <c r="J129" s="9">
        <f t="shared" si="9"/>
        <v>1194.20540883688</v>
      </c>
      <c r="K129" s="9">
        <f t="shared" si="10"/>
        <v>257.77596337996999</v>
      </c>
      <c r="L129" s="10">
        <f t="shared" si="7"/>
        <v>0.21585563209853154</v>
      </c>
      <c r="M129" s="10">
        <f t="shared" si="11"/>
        <v>0.21845629692466753</v>
      </c>
      <c r="P129" s="8">
        <f t="shared" si="12"/>
        <v>1.0930418359900491</v>
      </c>
      <c r="X129" s="8">
        <v>-13</v>
      </c>
    </row>
    <row r="130" spans="1:24" x14ac:dyDescent="0.2">
      <c r="A130" s="8">
        <v>64</v>
      </c>
      <c r="B130" s="8">
        <v>128</v>
      </c>
      <c r="D130">
        <v>1323.1796407186</v>
      </c>
      <c r="E130">
        <v>375.35269461078002</v>
      </c>
      <c r="F130">
        <v>146.65038713519999</v>
      </c>
      <c r="G130">
        <v>121.74449076831</v>
      </c>
      <c r="I130" s="9">
        <f t="shared" si="8"/>
        <v>253.60820384247</v>
      </c>
      <c r="J130" s="9">
        <f t="shared" si="9"/>
        <v>1176.5292535834001</v>
      </c>
      <c r="K130" s="9">
        <f t="shared" si="10"/>
        <v>253.60820384247</v>
      </c>
      <c r="L130" s="10">
        <f t="shared" ref="L130:L193" si="14">K130/J130</f>
        <v>0.21555622443729794</v>
      </c>
      <c r="M130" s="10">
        <f t="shared" si="11"/>
        <v>0.21817736693923029</v>
      </c>
      <c r="P130" s="8">
        <f t="shared" si="12"/>
        <v>0.96396393306815253</v>
      </c>
      <c r="X130" s="8">
        <v>-13</v>
      </c>
    </row>
    <row r="131" spans="1:24" x14ac:dyDescent="0.2">
      <c r="A131" s="8">
        <v>64.5</v>
      </c>
      <c r="B131" s="8">
        <v>129</v>
      </c>
      <c r="D131">
        <v>1318.9592814370999</v>
      </c>
      <c r="E131">
        <v>376.75329341317001</v>
      </c>
      <c r="F131">
        <v>147.29898749256</v>
      </c>
      <c r="G131">
        <v>121.89338892198001</v>
      </c>
      <c r="I131" s="9">
        <f t="shared" ref="I131:I194" si="15">E131-G131</f>
        <v>254.85990449119001</v>
      </c>
      <c r="J131" s="9">
        <f t="shared" ref="J131:J194" si="16">D131-F131</f>
        <v>1171.6602939445399</v>
      </c>
      <c r="K131" s="9">
        <f t="shared" ref="K131:K194" si="17">I131*1</f>
        <v>254.85990449119001</v>
      </c>
      <c r="L131" s="10">
        <f t="shared" si="14"/>
        <v>0.21752030499657241</v>
      </c>
      <c r="M131" s="10">
        <f t="shared" ref="M131:M181" si="18">L131+ABS($N$2)*A131</f>
        <v>0.22016192517430111</v>
      </c>
      <c r="P131" s="8">
        <f t="shared" ref="P131:P194" si="19">(M131-$O$2)/$O$2*100</f>
        <v>1.8823399721582805</v>
      </c>
      <c r="X131" s="8">
        <v>-13</v>
      </c>
    </row>
    <row r="132" spans="1:24" x14ac:dyDescent="0.2">
      <c r="A132" s="8">
        <v>65</v>
      </c>
      <c r="B132" s="8">
        <v>130</v>
      </c>
      <c r="D132">
        <v>1291.8041916167999</v>
      </c>
      <c r="E132">
        <v>372.41976047904001</v>
      </c>
      <c r="F132">
        <v>146.35139964263999</v>
      </c>
      <c r="G132">
        <v>121.74746873139</v>
      </c>
      <c r="I132" s="9">
        <f t="shared" si="15"/>
        <v>250.67229174765001</v>
      </c>
      <c r="J132" s="9">
        <f t="shared" si="16"/>
        <v>1145.4527919741599</v>
      </c>
      <c r="K132" s="9">
        <f t="shared" si="17"/>
        <v>250.67229174765001</v>
      </c>
      <c r="L132" s="10">
        <f t="shared" si="14"/>
        <v>0.21884122462665828</v>
      </c>
      <c r="M132" s="10">
        <f t="shared" si="18"/>
        <v>0.22150332248018334</v>
      </c>
      <c r="P132" s="8">
        <f t="shared" si="19"/>
        <v>2.5030862535483704</v>
      </c>
      <c r="X132" s="8">
        <v>-13</v>
      </c>
    </row>
    <row r="133" spans="1:24" x14ac:dyDescent="0.2">
      <c r="A133" s="8">
        <v>65.5</v>
      </c>
      <c r="B133" s="8">
        <v>131</v>
      </c>
      <c r="D133">
        <v>1306.9089820359</v>
      </c>
      <c r="E133">
        <v>374.27485029939999</v>
      </c>
      <c r="F133">
        <v>146.71649791543001</v>
      </c>
      <c r="G133">
        <v>121.83799880882</v>
      </c>
      <c r="I133" s="9">
        <f t="shared" si="15"/>
        <v>252.43685149057998</v>
      </c>
      <c r="J133" s="9">
        <f t="shared" si="16"/>
        <v>1160.19248412047</v>
      </c>
      <c r="K133" s="9">
        <f t="shared" si="17"/>
        <v>252.43685149057998</v>
      </c>
      <c r="L133" s="10">
        <f t="shared" si="14"/>
        <v>0.21758187106508431</v>
      </c>
      <c r="M133" s="10">
        <f t="shared" si="18"/>
        <v>0.22026444659440569</v>
      </c>
      <c r="P133" s="8">
        <f t="shared" si="19"/>
        <v>1.9297828811410869</v>
      </c>
      <c r="X133" s="8">
        <v>-13</v>
      </c>
    </row>
    <row r="134" spans="1:24" x14ac:dyDescent="0.2">
      <c r="A134" s="8">
        <v>66</v>
      </c>
      <c r="B134" s="8">
        <v>132</v>
      </c>
      <c r="D134">
        <v>1308.3874251497</v>
      </c>
      <c r="E134">
        <v>373.24311377245999</v>
      </c>
      <c r="F134">
        <v>146.5324597975</v>
      </c>
      <c r="G134">
        <v>122.03752233471999</v>
      </c>
      <c r="I134" s="9">
        <f t="shared" si="15"/>
        <v>251.20559143774</v>
      </c>
      <c r="J134" s="9">
        <f t="shared" si="16"/>
        <v>1161.8549653522</v>
      </c>
      <c r="K134" s="9">
        <f t="shared" si="17"/>
        <v>251.20559143774</v>
      </c>
      <c r="L134" s="10">
        <f t="shared" si="14"/>
        <v>0.21621079990960021</v>
      </c>
      <c r="M134" s="10">
        <f t="shared" si="18"/>
        <v>0.21891385311471795</v>
      </c>
      <c r="P134" s="8">
        <f t="shared" si="19"/>
        <v>1.3047809696943706</v>
      </c>
      <c r="X134" s="8">
        <v>-13</v>
      </c>
    </row>
    <row r="135" spans="1:24" x14ac:dyDescent="0.2">
      <c r="A135" s="8">
        <v>66.5</v>
      </c>
      <c r="B135" s="8">
        <v>133</v>
      </c>
      <c r="D135">
        <v>1292.4688622755</v>
      </c>
      <c r="E135">
        <v>371.36886227545</v>
      </c>
      <c r="F135">
        <v>147.05479452054999</v>
      </c>
      <c r="G135">
        <v>121.54139368672</v>
      </c>
      <c r="I135" s="9">
        <f t="shared" si="15"/>
        <v>249.82746858873</v>
      </c>
      <c r="J135" s="9">
        <f t="shared" si="16"/>
        <v>1145.4140677549499</v>
      </c>
      <c r="K135" s="9">
        <f t="shared" si="17"/>
        <v>249.82746858873</v>
      </c>
      <c r="L135" s="10">
        <f t="shared" si="14"/>
        <v>0.2181110531306816</v>
      </c>
      <c r="M135" s="10">
        <f t="shared" si="18"/>
        <v>0.2208345840115957</v>
      </c>
      <c r="P135" s="8">
        <f t="shared" si="19"/>
        <v>2.1936202096119977</v>
      </c>
      <c r="X135" s="8">
        <v>-13</v>
      </c>
    </row>
    <row r="136" spans="1:24" x14ac:dyDescent="0.2">
      <c r="A136" s="8">
        <v>67</v>
      </c>
      <c r="B136" s="8">
        <v>134</v>
      </c>
      <c r="D136">
        <v>1265.7748502994</v>
      </c>
      <c r="E136">
        <v>366.43113772455001</v>
      </c>
      <c r="F136">
        <v>146.95175699820999</v>
      </c>
      <c r="G136">
        <v>121.79392495533</v>
      </c>
      <c r="I136" s="9">
        <f t="shared" si="15"/>
        <v>244.63721276922001</v>
      </c>
      <c r="J136" s="9">
        <f t="shared" si="16"/>
        <v>1118.8230933011901</v>
      </c>
      <c r="K136" s="9">
        <f t="shared" si="17"/>
        <v>244.63721276922001</v>
      </c>
      <c r="L136" s="10">
        <f t="shared" si="14"/>
        <v>0.21865584848395961</v>
      </c>
      <c r="M136" s="10">
        <f t="shared" si="18"/>
        <v>0.22139985704067006</v>
      </c>
      <c r="P136" s="8">
        <f t="shared" si="19"/>
        <v>2.4552064892543597</v>
      </c>
      <c r="X136" s="8">
        <v>-13</v>
      </c>
    </row>
    <row r="137" spans="1:24" x14ac:dyDescent="0.2">
      <c r="A137" s="8">
        <v>67.5</v>
      </c>
      <c r="B137" s="8">
        <v>135</v>
      </c>
      <c r="D137">
        <v>1229.5658682635001</v>
      </c>
      <c r="E137">
        <v>362.80538922156001</v>
      </c>
      <c r="F137">
        <v>146.58129839189999</v>
      </c>
      <c r="G137">
        <v>121.58368076236</v>
      </c>
      <c r="I137" s="9">
        <f t="shared" si="15"/>
        <v>241.22170845919999</v>
      </c>
      <c r="J137" s="9">
        <f t="shared" si="16"/>
        <v>1082.9845698716001</v>
      </c>
      <c r="K137" s="9">
        <f t="shared" si="17"/>
        <v>241.22170845919999</v>
      </c>
      <c r="L137" s="10">
        <f t="shared" si="14"/>
        <v>0.22273789966167248</v>
      </c>
      <c r="M137" s="10">
        <f t="shared" si="18"/>
        <v>0.22550238589417926</v>
      </c>
      <c r="P137" s="8">
        <f t="shared" si="19"/>
        <v>4.3536966076883452</v>
      </c>
      <c r="X137" s="8">
        <v>-13</v>
      </c>
    </row>
    <row r="138" spans="1:24" x14ac:dyDescent="0.2">
      <c r="A138" s="8">
        <v>68</v>
      </c>
      <c r="B138" s="8">
        <v>136</v>
      </c>
      <c r="D138">
        <v>1239.6652694611</v>
      </c>
      <c r="E138">
        <v>367.7</v>
      </c>
      <c r="F138">
        <v>146.51459201905999</v>
      </c>
      <c r="G138">
        <v>121.3698630137</v>
      </c>
      <c r="I138" s="9">
        <f t="shared" si="15"/>
        <v>246.33013698629998</v>
      </c>
      <c r="J138" s="9">
        <f t="shared" si="16"/>
        <v>1093.15067744204</v>
      </c>
      <c r="K138" s="9">
        <f t="shared" si="17"/>
        <v>246.33013698629998</v>
      </c>
      <c r="L138" s="10">
        <f t="shared" si="14"/>
        <v>0.22533960054135416</v>
      </c>
      <c r="M138" s="10">
        <f t="shared" si="18"/>
        <v>0.22812456444965729</v>
      </c>
      <c r="P138" s="8">
        <f t="shared" si="19"/>
        <v>5.5671384271374222</v>
      </c>
      <c r="X138" s="8">
        <v>-13</v>
      </c>
    </row>
    <row r="139" spans="1:24" x14ac:dyDescent="0.2">
      <c r="A139" s="8">
        <v>68.5</v>
      </c>
      <c r="B139" s="8">
        <v>137</v>
      </c>
      <c r="D139">
        <v>1287.1640718563001</v>
      </c>
      <c r="E139">
        <v>378.11437125749001</v>
      </c>
      <c r="F139">
        <v>146.75521143538001</v>
      </c>
      <c r="G139">
        <v>121.54258487195</v>
      </c>
      <c r="I139" s="9">
        <f t="shared" si="15"/>
        <v>256.57178638554001</v>
      </c>
      <c r="J139" s="9">
        <f t="shared" si="16"/>
        <v>1140.4088604209201</v>
      </c>
      <c r="K139" s="9">
        <f t="shared" si="17"/>
        <v>256.57178638554001</v>
      </c>
      <c r="L139" s="10">
        <f t="shared" si="14"/>
        <v>0.22498228073292981</v>
      </c>
      <c r="M139" s="10">
        <f t="shared" si="18"/>
        <v>0.22778772231702929</v>
      </c>
      <c r="P139" s="8">
        <f t="shared" si="19"/>
        <v>5.411261044405677</v>
      </c>
      <c r="X139" s="8">
        <v>-13</v>
      </c>
    </row>
    <row r="140" spans="1:24" x14ac:dyDescent="0.2">
      <c r="A140" s="8">
        <v>69</v>
      </c>
      <c r="B140" s="8">
        <v>138</v>
      </c>
      <c r="D140">
        <v>1286.8982035928</v>
      </c>
      <c r="E140">
        <v>379.40838323353</v>
      </c>
      <c r="F140">
        <v>146.21679571172999</v>
      </c>
      <c r="G140">
        <v>121.57474687314</v>
      </c>
      <c r="I140" s="9">
        <f t="shared" si="15"/>
        <v>257.83363636039002</v>
      </c>
      <c r="J140" s="9">
        <f t="shared" si="16"/>
        <v>1140.6814078810701</v>
      </c>
      <c r="K140" s="9">
        <f t="shared" si="17"/>
        <v>257.83363636039002</v>
      </c>
      <c r="L140" s="10">
        <f t="shared" si="14"/>
        <v>0.22603474956196737</v>
      </c>
      <c r="M140" s="10">
        <f t="shared" si="18"/>
        <v>0.22886066882186318</v>
      </c>
      <c r="P140" s="8">
        <f t="shared" si="19"/>
        <v>5.9077787801171606</v>
      </c>
      <c r="X140" s="8">
        <v>-13</v>
      </c>
    </row>
    <row r="141" spans="1:24" x14ac:dyDescent="0.2">
      <c r="A141" s="8">
        <v>69.5</v>
      </c>
      <c r="B141" s="8">
        <v>139</v>
      </c>
      <c r="D141">
        <v>1277.7670658683001</v>
      </c>
      <c r="E141">
        <v>382.38443113773002</v>
      </c>
      <c r="F141">
        <v>146.30732578915999</v>
      </c>
      <c r="G141">
        <v>121.89874925551</v>
      </c>
      <c r="I141" s="9">
        <f t="shared" si="15"/>
        <v>260.48568188222004</v>
      </c>
      <c r="J141" s="9">
        <f t="shared" si="16"/>
        <v>1131.4597400791401</v>
      </c>
      <c r="K141" s="9">
        <f t="shared" si="17"/>
        <v>260.48568188222004</v>
      </c>
      <c r="L141" s="10">
        <f t="shared" si="14"/>
        <v>0.23022090195096143</v>
      </c>
      <c r="M141" s="10">
        <f t="shared" si="18"/>
        <v>0.23306729888665359</v>
      </c>
      <c r="P141" s="8">
        <f t="shared" si="19"/>
        <v>7.8544428731876277</v>
      </c>
      <c r="X141" s="8">
        <v>-13</v>
      </c>
    </row>
    <row r="142" spans="1:24" x14ac:dyDescent="0.2">
      <c r="A142" s="8">
        <v>70</v>
      </c>
      <c r="B142" s="8">
        <v>140</v>
      </c>
      <c r="D142">
        <v>1271.1035928143999</v>
      </c>
      <c r="E142">
        <v>385.42874251497</v>
      </c>
      <c r="F142">
        <v>146.57534246575</v>
      </c>
      <c r="G142">
        <v>121.56045265039</v>
      </c>
      <c r="I142" s="9">
        <f t="shared" si="15"/>
        <v>263.86828986457999</v>
      </c>
      <c r="J142" s="9">
        <f t="shared" si="16"/>
        <v>1124.5282503486499</v>
      </c>
      <c r="K142" s="9">
        <f t="shared" si="17"/>
        <v>263.86828986457999</v>
      </c>
      <c r="L142" s="10">
        <f t="shared" si="14"/>
        <v>0.23464798664041567</v>
      </c>
      <c r="M142" s="10">
        <f t="shared" si="18"/>
        <v>0.23751486125190419</v>
      </c>
      <c r="P142" s="8">
        <f t="shared" si="19"/>
        <v>9.9126010246713534</v>
      </c>
      <c r="X142" s="8">
        <v>-13</v>
      </c>
    </row>
    <row r="143" spans="1:24" x14ac:dyDescent="0.2">
      <c r="A143" s="8">
        <v>70.5</v>
      </c>
      <c r="B143" s="8">
        <v>141</v>
      </c>
      <c r="D143">
        <v>1257.6083832335</v>
      </c>
      <c r="E143">
        <v>382.74311377245999</v>
      </c>
      <c r="F143">
        <v>146.63907087551999</v>
      </c>
      <c r="G143">
        <v>121.67182846932999</v>
      </c>
      <c r="I143" s="9">
        <f t="shared" si="15"/>
        <v>261.07128530313003</v>
      </c>
      <c r="J143" s="9">
        <f t="shared" si="16"/>
        <v>1110.96931235798</v>
      </c>
      <c r="K143" s="9">
        <f t="shared" si="17"/>
        <v>261.07128530313003</v>
      </c>
      <c r="L143" s="10">
        <f t="shared" si="14"/>
        <v>0.2349941464620823</v>
      </c>
      <c r="M143" s="10">
        <f t="shared" si="18"/>
        <v>0.23788149874936718</v>
      </c>
      <c r="P143" s="8">
        <f t="shared" si="19"/>
        <v>10.082266538513007</v>
      </c>
      <c r="X143" s="8">
        <v>-13</v>
      </c>
    </row>
    <row r="144" spans="1:24" x14ac:dyDescent="0.2">
      <c r="A144" s="8">
        <v>71</v>
      </c>
      <c r="B144" s="8">
        <v>142</v>
      </c>
      <c r="D144">
        <v>1269.1083832335</v>
      </c>
      <c r="E144">
        <v>391.35808383234001</v>
      </c>
      <c r="F144">
        <v>146.13400833829999</v>
      </c>
      <c r="G144">
        <v>121.7438951757</v>
      </c>
      <c r="I144" s="9">
        <f t="shared" si="15"/>
        <v>269.61418865664001</v>
      </c>
      <c r="J144" s="9">
        <f t="shared" si="16"/>
        <v>1122.9743748952001</v>
      </c>
      <c r="K144" s="9">
        <f t="shared" si="17"/>
        <v>269.61418865664001</v>
      </c>
      <c r="L144" s="10">
        <f t="shared" si="14"/>
        <v>0.24008935082049521</v>
      </c>
      <c r="M144" s="10">
        <f t="shared" si="18"/>
        <v>0.24299718078357641</v>
      </c>
      <c r="P144" s="8">
        <f t="shared" si="19"/>
        <v>12.449604377633634</v>
      </c>
    </row>
    <row r="145" spans="1:16" x14ac:dyDescent="0.2">
      <c r="A145" s="8">
        <v>71.5</v>
      </c>
      <c r="B145" s="8">
        <v>143</v>
      </c>
      <c r="D145">
        <v>1286.7413173652999</v>
      </c>
      <c r="E145">
        <v>398.08203592813999</v>
      </c>
      <c r="F145">
        <v>146.40559857058</v>
      </c>
      <c r="G145">
        <v>121.78082191781</v>
      </c>
      <c r="I145" s="9">
        <f t="shared" si="15"/>
        <v>276.30121401033</v>
      </c>
      <c r="J145" s="9">
        <f t="shared" si="16"/>
        <v>1140.3357187947199</v>
      </c>
      <c r="K145" s="9">
        <f t="shared" si="17"/>
        <v>276.30121401033</v>
      </c>
      <c r="L145" s="10">
        <f t="shared" si="14"/>
        <v>0.24229813155582561</v>
      </c>
      <c r="M145" s="10">
        <f t="shared" si="18"/>
        <v>0.24522643919470316</v>
      </c>
      <c r="P145" s="8">
        <f t="shared" si="19"/>
        <v>13.481218100798516</v>
      </c>
    </row>
    <row r="146" spans="1:16" x14ac:dyDescent="0.2">
      <c r="A146" s="8">
        <v>72</v>
      </c>
      <c r="B146" s="8">
        <v>144</v>
      </c>
      <c r="D146">
        <v>1255.0443113772999</v>
      </c>
      <c r="E146">
        <v>392.16407185628998</v>
      </c>
      <c r="F146">
        <v>146.05360333531999</v>
      </c>
      <c r="G146">
        <v>121.52054794521</v>
      </c>
      <c r="I146" s="9">
        <f t="shared" si="15"/>
        <v>270.64352391107997</v>
      </c>
      <c r="J146" s="9">
        <f t="shared" si="16"/>
        <v>1108.9907080419798</v>
      </c>
      <c r="K146" s="9">
        <f t="shared" si="17"/>
        <v>270.64352391107997</v>
      </c>
      <c r="L146" s="10">
        <f t="shared" si="14"/>
        <v>0.24404489771508078</v>
      </c>
      <c r="M146" s="10">
        <f t="shared" si="18"/>
        <v>0.24699368302975469</v>
      </c>
      <c r="P146" s="8">
        <f t="shared" si="19"/>
        <v>14.2990295233407</v>
      </c>
    </row>
    <row r="147" spans="1:16" x14ac:dyDescent="0.2">
      <c r="A147" s="8">
        <v>72.5</v>
      </c>
      <c r="B147" s="8">
        <v>145</v>
      </c>
      <c r="D147">
        <v>1250.6389221556999</v>
      </c>
      <c r="E147">
        <v>395.80958083832002</v>
      </c>
      <c r="F147">
        <v>146.46515783204001</v>
      </c>
      <c r="G147">
        <v>121.51161405598999</v>
      </c>
      <c r="I147" s="9">
        <f t="shared" si="15"/>
        <v>274.29796678233004</v>
      </c>
      <c r="J147" s="9">
        <f t="shared" si="16"/>
        <v>1104.17376432366</v>
      </c>
      <c r="K147" s="9">
        <f t="shared" si="17"/>
        <v>274.29796678233004</v>
      </c>
      <c r="L147" s="10">
        <f t="shared" si="14"/>
        <v>0.24841920324954098</v>
      </c>
      <c r="M147" s="10">
        <f t="shared" si="18"/>
        <v>0.25138846624001121</v>
      </c>
      <c r="P147" s="8">
        <f t="shared" si="19"/>
        <v>16.332763543320794</v>
      </c>
    </row>
    <row r="148" spans="1:16" x14ac:dyDescent="0.2">
      <c r="A148" s="8">
        <v>73</v>
      </c>
      <c r="B148" s="8">
        <v>146</v>
      </c>
      <c r="D148">
        <v>1291.5778443114</v>
      </c>
      <c r="E148">
        <v>406.34790419161999</v>
      </c>
      <c r="F148">
        <v>146.29541393687001</v>
      </c>
      <c r="G148">
        <v>121.4717093508</v>
      </c>
      <c r="I148" s="9">
        <f t="shared" si="15"/>
        <v>284.87619484082001</v>
      </c>
      <c r="J148" s="9">
        <f t="shared" si="16"/>
        <v>1145.2824303745299</v>
      </c>
      <c r="K148" s="9">
        <f t="shared" si="17"/>
        <v>284.87619484082001</v>
      </c>
      <c r="L148" s="10">
        <f t="shared" si="14"/>
        <v>0.2487388152349983</v>
      </c>
      <c r="M148" s="10">
        <f t="shared" si="18"/>
        <v>0.25172855590126492</v>
      </c>
      <c r="P148" s="8">
        <f t="shared" si="19"/>
        <v>16.490143755459812</v>
      </c>
    </row>
    <row r="149" spans="1:16" x14ac:dyDescent="0.2">
      <c r="A149" s="8">
        <v>73.5</v>
      </c>
      <c r="B149" s="8">
        <v>147</v>
      </c>
      <c r="D149">
        <v>1250.1760479042</v>
      </c>
      <c r="E149">
        <v>400.96526946108003</v>
      </c>
      <c r="F149">
        <v>146.06253722453999</v>
      </c>
      <c r="G149">
        <v>121.64800476473999</v>
      </c>
      <c r="I149" s="9">
        <f t="shared" si="15"/>
        <v>279.31726469634003</v>
      </c>
      <c r="J149" s="9">
        <f t="shared" si="16"/>
        <v>1104.1135106796601</v>
      </c>
      <c r="K149" s="9">
        <f t="shared" si="17"/>
        <v>279.31726469634003</v>
      </c>
      <c r="L149" s="10">
        <f t="shared" si="14"/>
        <v>0.25297875806664161</v>
      </c>
      <c r="M149" s="10">
        <f t="shared" si="18"/>
        <v>0.25598897640870455</v>
      </c>
      <c r="P149" s="8">
        <f t="shared" si="19"/>
        <v>18.461699964462234</v>
      </c>
    </row>
    <row r="150" spans="1:16" x14ac:dyDescent="0.2">
      <c r="A150" s="8">
        <v>74</v>
      </c>
      <c r="B150" s="8">
        <v>148</v>
      </c>
      <c r="D150">
        <v>1237.6568862275001</v>
      </c>
      <c r="E150">
        <v>400.71077844310997</v>
      </c>
      <c r="F150">
        <v>145.90708755211</v>
      </c>
      <c r="G150">
        <v>121.24240619416</v>
      </c>
      <c r="I150" s="9">
        <f t="shared" si="15"/>
        <v>279.46837224895</v>
      </c>
      <c r="J150" s="9">
        <f t="shared" si="16"/>
        <v>1091.7497986753901</v>
      </c>
      <c r="K150" s="9">
        <f t="shared" si="17"/>
        <v>279.46837224895</v>
      </c>
      <c r="L150" s="10">
        <f t="shared" si="14"/>
        <v>0.25598206895758202</v>
      </c>
      <c r="M150" s="10">
        <f t="shared" si="18"/>
        <v>0.25901276497544129</v>
      </c>
      <c r="P150" s="8">
        <f t="shared" si="19"/>
        <v>19.860991211194836</v>
      </c>
    </row>
    <row r="151" spans="1:16" x14ac:dyDescent="0.2">
      <c r="A151" s="8">
        <v>74.5</v>
      </c>
      <c r="B151" s="8">
        <v>149</v>
      </c>
      <c r="D151">
        <v>1223.2155688623</v>
      </c>
      <c r="E151">
        <v>400.94610778443001</v>
      </c>
      <c r="F151">
        <v>146.84991066110999</v>
      </c>
      <c r="G151">
        <v>121.58963668851</v>
      </c>
      <c r="I151" s="9">
        <f t="shared" si="15"/>
        <v>279.35647109592003</v>
      </c>
      <c r="J151" s="9">
        <f t="shared" si="16"/>
        <v>1076.3656582011899</v>
      </c>
      <c r="K151" s="9">
        <f t="shared" si="17"/>
        <v>279.35647109592003</v>
      </c>
      <c r="L151" s="10">
        <f t="shared" si="14"/>
        <v>0.2595367744849621</v>
      </c>
      <c r="M151" s="10">
        <f t="shared" si="18"/>
        <v>0.26258794817861775</v>
      </c>
      <c r="P151" s="8">
        <f t="shared" si="19"/>
        <v>21.51544635951533</v>
      </c>
    </row>
    <row r="152" spans="1:16" x14ac:dyDescent="0.2">
      <c r="A152" s="8">
        <v>75</v>
      </c>
      <c r="B152" s="8">
        <v>150</v>
      </c>
      <c r="D152">
        <v>1186.0862275449001</v>
      </c>
      <c r="E152">
        <v>395.33233532934003</v>
      </c>
      <c r="F152">
        <v>146.41512805241001</v>
      </c>
      <c r="G152">
        <v>121.32459797499</v>
      </c>
      <c r="I152" s="9">
        <f t="shared" si="15"/>
        <v>274.00773735435001</v>
      </c>
      <c r="J152" s="9">
        <f t="shared" si="16"/>
        <v>1039.6710994924902</v>
      </c>
      <c r="K152" s="9">
        <f t="shared" si="17"/>
        <v>274.00773735435001</v>
      </c>
      <c r="L152" s="10">
        <f t="shared" si="14"/>
        <v>0.26355232677729085</v>
      </c>
      <c r="M152" s="10">
        <f t="shared" si="18"/>
        <v>0.26662397814674282</v>
      </c>
      <c r="P152" s="8">
        <f t="shared" si="19"/>
        <v>23.383163391081041</v>
      </c>
    </row>
    <row r="153" spans="1:16" x14ac:dyDescent="0.2">
      <c r="A153" s="8">
        <v>75.5</v>
      </c>
      <c r="B153" s="8">
        <v>151</v>
      </c>
      <c r="D153">
        <v>1239.1787842670001</v>
      </c>
      <c r="E153">
        <v>410.85399284863001</v>
      </c>
      <c r="F153">
        <v>146.92912447885999</v>
      </c>
      <c r="G153">
        <v>122.05539011316</v>
      </c>
      <c r="I153" s="9">
        <f t="shared" si="15"/>
        <v>288.79860273547001</v>
      </c>
      <c r="J153" s="9">
        <f t="shared" si="16"/>
        <v>1092.24965978814</v>
      </c>
      <c r="K153" s="9">
        <f t="shared" si="17"/>
        <v>288.79860273547001</v>
      </c>
      <c r="L153" s="10">
        <f t="shared" si="14"/>
        <v>0.26440713452956105</v>
      </c>
      <c r="M153" s="10">
        <f t="shared" si="18"/>
        <v>0.26749926357480935</v>
      </c>
      <c r="P153" s="8">
        <f t="shared" si="19"/>
        <v>23.788211300633748</v>
      </c>
    </row>
    <row r="154" spans="1:16" x14ac:dyDescent="0.2">
      <c r="A154" s="8">
        <v>76</v>
      </c>
      <c r="B154" s="8">
        <v>152</v>
      </c>
      <c r="D154">
        <v>1264.1227651966999</v>
      </c>
      <c r="E154">
        <v>420.94457687724002</v>
      </c>
      <c r="F154">
        <v>146.23525908279001</v>
      </c>
      <c r="G154">
        <v>121.54794520548</v>
      </c>
      <c r="I154" s="9">
        <f t="shared" si="15"/>
        <v>299.39663167176002</v>
      </c>
      <c r="J154" s="9">
        <f t="shared" si="16"/>
        <v>1117.8875061139099</v>
      </c>
      <c r="K154" s="9">
        <f t="shared" si="17"/>
        <v>299.39663167176002</v>
      </c>
      <c r="L154" s="10">
        <f t="shared" si="14"/>
        <v>0.26782357798464584</v>
      </c>
      <c r="M154" s="10">
        <f t="shared" si="18"/>
        <v>0.27093618470569053</v>
      </c>
      <c r="P154" s="8">
        <f t="shared" si="19"/>
        <v>25.37868416208202</v>
      </c>
    </row>
    <row r="155" spans="1:16" x14ac:dyDescent="0.2">
      <c r="A155" s="8">
        <v>76.5</v>
      </c>
      <c r="B155" s="8">
        <v>153</v>
      </c>
      <c r="D155">
        <v>1278.373659118</v>
      </c>
      <c r="E155">
        <v>425.32777115613999</v>
      </c>
      <c r="F155">
        <v>146.45860631328</v>
      </c>
      <c r="G155">
        <v>121.39726027397001</v>
      </c>
      <c r="I155" s="9">
        <f t="shared" si="15"/>
        <v>303.93051088216998</v>
      </c>
      <c r="J155" s="9">
        <f t="shared" si="16"/>
        <v>1131.9150528047201</v>
      </c>
      <c r="K155" s="9">
        <f t="shared" si="17"/>
        <v>303.93051088216998</v>
      </c>
      <c r="L155" s="10">
        <f t="shared" si="14"/>
        <v>0.26851000004733094</v>
      </c>
      <c r="M155" s="10">
        <f t="shared" si="18"/>
        <v>0.27164308444417196</v>
      </c>
      <c r="P155" s="8">
        <f t="shared" si="19"/>
        <v>25.705809751237258</v>
      </c>
    </row>
    <row r="156" spans="1:16" x14ac:dyDescent="0.2">
      <c r="A156" s="8">
        <v>77</v>
      </c>
      <c r="B156" s="8">
        <v>154</v>
      </c>
      <c r="D156">
        <v>1256.926102503</v>
      </c>
      <c r="E156">
        <v>421.89749702026</v>
      </c>
      <c r="F156">
        <v>146.06313281715001</v>
      </c>
      <c r="G156">
        <v>121.49434187016</v>
      </c>
      <c r="I156" s="9">
        <f t="shared" si="15"/>
        <v>300.40315515010002</v>
      </c>
      <c r="J156" s="9">
        <f t="shared" si="16"/>
        <v>1110.86296968585</v>
      </c>
      <c r="K156" s="9">
        <f t="shared" si="17"/>
        <v>300.40315515010002</v>
      </c>
      <c r="L156" s="10">
        <f t="shared" si="14"/>
        <v>0.27042323252079731</v>
      </c>
      <c r="M156" s="10">
        <f t="shared" si="18"/>
        <v>0.27357679459343465</v>
      </c>
      <c r="P156" s="8">
        <f t="shared" si="19"/>
        <v>26.600655282220064</v>
      </c>
    </row>
    <row r="157" spans="1:16" x14ac:dyDescent="0.2">
      <c r="A157" s="8">
        <v>77.5</v>
      </c>
      <c r="B157" s="8">
        <v>155</v>
      </c>
      <c r="D157">
        <v>1231.6835518473999</v>
      </c>
      <c r="E157">
        <v>417.07330154945998</v>
      </c>
      <c r="F157">
        <v>146.26265634306</v>
      </c>
      <c r="G157">
        <v>121.41036331150001</v>
      </c>
      <c r="I157" s="9">
        <f t="shared" si="15"/>
        <v>295.66293823795996</v>
      </c>
      <c r="J157" s="9">
        <f t="shared" si="16"/>
        <v>1085.42089550434</v>
      </c>
      <c r="K157" s="9">
        <f t="shared" si="17"/>
        <v>295.66293823795996</v>
      </c>
      <c r="L157" s="10">
        <f t="shared" si="14"/>
        <v>0.27239473596146352</v>
      </c>
      <c r="M157" s="10">
        <f t="shared" si="18"/>
        <v>0.27556877570989724</v>
      </c>
      <c r="P157" s="8">
        <f t="shared" si="19"/>
        <v>27.522466340898298</v>
      </c>
    </row>
    <row r="158" spans="1:16" x14ac:dyDescent="0.2">
      <c r="A158" s="8">
        <v>78</v>
      </c>
      <c r="B158" s="8">
        <v>156</v>
      </c>
      <c r="D158">
        <v>1227.7133492252999</v>
      </c>
      <c r="E158">
        <v>419.17640047676002</v>
      </c>
      <c r="F158">
        <v>146.57534246575</v>
      </c>
      <c r="G158">
        <v>121.21262656343001</v>
      </c>
      <c r="I158" s="9">
        <f t="shared" si="15"/>
        <v>297.96377391332999</v>
      </c>
      <c r="J158" s="9">
        <f t="shared" si="16"/>
        <v>1081.1380067595499</v>
      </c>
      <c r="K158" s="9">
        <f t="shared" si="17"/>
        <v>297.96377391332999</v>
      </c>
      <c r="L158" s="10">
        <f t="shared" si="14"/>
        <v>0.27560197870242714</v>
      </c>
      <c r="M158" s="10">
        <f t="shared" si="18"/>
        <v>0.27879649612665719</v>
      </c>
      <c r="P158" s="8">
        <f t="shared" si="19"/>
        <v>29.016129282731072</v>
      </c>
    </row>
    <row r="159" spans="1:16" x14ac:dyDescent="0.2">
      <c r="A159" s="8">
        <v>78.5</v>
      </c>
      <c r="B159" s="8">
        <v>157</v>
      </c>
      <c r="D159">
        <v>1242.6424314660001</v>
      </c>
      <c r="E159">
        <v>425.89868891537998</v>
      </c>
      <c r="F159">
        <v>145.93508040500001</v>
      </c>
      <c r="G159">
        <v>121.70160810006</v>
      </c>
      <c r="I159" s="9">
        <f t="shared" si="15"/>
        <v>304.19708081531996</v>
      </c>
      <c r="J159" s="9">
        <f t="shared" si="16"/>
        <v>1096.7073510610001</v>
      </c>
      <c r="K159" s="9">
        <f t="shared" si="17"/>
        <v>304.19708081531996</v>
      </c>
      <c r="L159" s="10">
        <f t="shared" si="14"/>
        <v>0.277373066316212</v>
      </c>
      <c r="M159" s="10">
        <f t="shared" si="18"/>
        <v>0.28058806141623843</v>
      </c>
      <c r="P159" s="8">
        <f t="shared" si="19"/>
        <v>29.845195724491735</v>
      </c>
    </row>
    <row r="160" spans="1:16" x14ac:dyDescent="0.2">
      <c r="A160" s="8">
        <v>79</v>
      </c>
      <c r="B160" s="8">
        <v>158</v>
      </c>
      <c r="D160">
        <v>1226.3289630513</v>
      </c>
      <c r="E160">
        <v>421.19368295589999</v>
      </c>
      <c r="F160">
        <v>145.82430017868001</v>
      </c>
      <c r="G160">
        <v>121.71590232281</v>
      </c>
      <c r="I160" s="9">
        <f t="shared" si="15"/>
        <v>299.47778063308999</v>
      </c>
      <c r="J160" s="9">
        <f t="shared" si="16"/>
        <v>1080.50466287262</v>
      </c>
      <c r="K160" s="9">
        <f t="shared" si="17"/>
        <v>299.47778063308999</v>
      </c>
      <c r="L160" s="10">
        <f t="shared" si="14"/>
        <v>0.27716472767169836</v>
      </c>
      <c r="M160" s="10">
        <f t="shared" si="18"/>
        <v>0.28040020044752112</v>
      </c>
      <c r="P160" s="8">
        <f t="shared" si="19"/>
        <v>29.758261005569725</v>
      </c>
    </row>
    <row r="161" spans="1:16" x14ac:dyDescent="0.2">
      <c r="A161" s="8">
        <v>79.5</v>
      </c>
      <c r="B161" s="8">
        <v>159</v>
      </c>
      <c r="D161">
        <v>1246.5494636471999</v>
      </c>
      <c r="E161">
        <v>426.14421930869997</v>
      </c>
      <c r="F161">
        <v>146.6015485408</v>
      </c>
      <c r="G161">
        <v>121.31030375223</v>
      </c>
      <c r="I161" s="9">
        <f t="shared" si="15"/>
        <v>304.83391555646995</v>
      </c>
      <c r="J161" s="9">
        <f t="shared" si="16"/>
        <v>1099.9479151063999</v>
      </c>
      <c r="K161" s="9">
        <f t="shared" si="17"/>
        <v>304.83391555646995</v>
      </c>
      <c r="L161" s="10">
        <f t="shared" si="14"/>
        <v>0.27713486372396351</v>
      </c>
      <c r="M161" s="10">
        <f t="shared" si="18"/>
        <v>0.28039081417558259</v>
      </c>
      <c r="P161" s="8">
        <f t="shared" si="19"/>
        <v>29.753917405521918</v>
      </c>
    </row>
    <row r="162" spans="1:16" x14ac:dyDescent="0.2">
      <c r="A162" s="8">
        <v>80</v>
      </c>
      <c r="B162" s="4">
        <v>160</v>
      </c>
      <c r="C162" s="4" t="s">
        <v>6</v>
      </c>
      <c r="D162">
        <v>1218.9159713945</v>
      </c>
      <c r="E162">
        <v>424.37723480334</v>
      </c>
      <c r="F162">
        <v>146.27099463966999</v>
      </c>
      <c r="G162">
        <v>121.49910661107999</v>
      </c>
      <c r="H162" s="4"/>
      <c r="I162" s="5">
        <f t="shared" si="15"/>
        <v>302.87812819226002</v>
      </c>
      <c r="J162" s="5">
        <f t="shared" si="16"/>
        <v>1072.6449767548302</v>
      </c>
      <c r="K162" s="9">
        <f t="shared" si="17"/>
        <v>302.87812819226002</v>
      </c>
      <c r="L162" s="6">
        <f t="shared" si="14"/>
        <v>0.28236567993688333</v>
      </c>
      <c r="M162" s="6">
        <f t="shared" si="18"/>
        <v>0.28564210806429879</v>
      </c>
      <c r="N162" s="4"/>
      <c r="O162" s="4"/>
      <c r="P162" s="4">
        <f t="shared" si="19"/>
        <v>32.184011114233506</v>
      </c>
    </row>
    <row r="163" spans="1:16" x14ac:dyDescent="0.2">
      <c r="A163" s="8">
        <v>80.5</v>
      </c>
      <c r="B163" s="8">
        <v>161</v>
      </c>
      <c r="D163">
        <v>1234.1769964242999</v>
      </c>
      <c r="E163">
        <v>433.24135876042999</v>
      </c>
      <c r="F163">
        <v>146.24478856461999</v>
      </c>
      <c r="G163">
        <v>121.21798689696</v>
      </c>
      <c r="I163" s="9">
        <f t="shared" si="15"/>
        <v>312.02337186347</v>
      </c>
      <c r="J163" s="9">
        <f t="shared" si="16"/>
        <v>1087.9322078596799</v>
      </c>
      <c r="K163" s="9">
        <f t="shared" si="17"/>
        <v>312.02337186347</v>
      </c>
      <c r="L163" s="10">
        <f t="shared" si="14"/>
        <v>0.28680405783492935</v>
      </c>
      <c r="M163" s="10">
        <f t="shared" si="18"/>
        <v>0.29010096363814114</v>
      </c>
      <c r="P163" s="8">
        <f t="shared" si="19"/>
        <v>34.247395321567765</v>
      </c>
    </row>
    <row r="164" spans="1:16" x14ac:dyDescent="0.2">
      <c r="A164" s="8">
        <v>81</v>
      </c>
      <c r="B164" s="8">
        <v>162</v>
      </c>
      <c r="D164">
        <v>1237.9487485100999</v>
      </c>
      <c r="E164">
        <v>435.43265792609998</v>
      </c>
      <c r="F164">
        <v>146.16855270995001</v>
      </c>
      <c r="G164">
        <v>121.33055390113</v>
      </c>
      <c r="I164" s="9">
        <f t="shared" si="15"/>
        <v>314.10210402497</v>
      </c>
      <c r="J164" s="9">
        <f t="shared" si="16"/>
        <v>1091.7801958001498</v>
      </c>
      <c r="K164" s="9">
        <f t="shared" si="17"/>
        <v>314.10210402497</v>
      </c>
      <c r="L164" s="10">
        <f t="shared" si="14"/>
        <v>0.28769719878896421</v>
      </c>
      <c r="M164" s="10">
        <f t="shared" si="18"/>
        <v>0.29101458226797233</v>
      </c>
      <c r="P164" s="8">
        <f t="shared" si="19"/>
        <v>34.67018233969393</v>
      </c>
    </row>
    <row r="165" spans="1:16" x14ac:dyDescent="0.2">
      <c r="A165" s="8">
        <v>81.5</v>
      </c>
      <c r="B165" s="8">
        <v>163</v>
      </c>
      <c r="D165">
        <v>1252.3992848629</v>
      </c>
      <c r="E165">
        <v>441.56019070321997</v>
      </c>
      <c r="F165">
        <v>146.32698034544001</v>
      </c>
      <c r="G165">
        <v>121.06670637284</v>
      </c>
      <c r="I165" s="9">
        <f t="shared" si="15"/>
        <v>320.49348433037994</v>
      </c>
      <c r="J165" s="9">
        <f t="shared" si="16"/>
        <v>1106.07230451746</v>
      </c>
      <c r="K165" s="9">
        <f t="shared" si="17"/>
        <v>320.49348433037994</v>
      </c>
      <c r="L165" s="10">
        <f t="shared" si="14"/>
        <v>0.2897581677268376</v>
      </c>
      <c r="M165" s="10">
        <f t="shared" si="18"/>
        <v>0.2930960288816421</v>
      </c>
      <c r="P165" s="8">
        <f t="shared" si="19"/>
        <v>35.633394536171195</v>
      </c>
    </row>
    <row r="166" spans="1:16" x14ac:dyDescent="0.2">
      <c r="A166" s="8">
        <v>82</v>
      </c>
      <c r="B166" s="8">
        <v>164</v>
      </c>
      <c r="D166">
        <v>1260.8510131109001</v>
      </c>
      <c r="E166">
        <v>447.73182359952</v>
      </c>
      <c r="F166">
        <v>146.20190589636999</v>
      </c>
      <c r="G166">
        <v>121.48421679571</v>
      </c>
      <c r="I166" s="9">
        <f t="shared" si="15"/>
        <v>326.24760680381002</v>
      </c>
      <c r="J166" s="9">
        <f t="shared" si="16"/>
        <v>1114.6491072145302</v>
      </c>
      <c r="K166" s="9">
        <f t="shared" si="17"/>
        <v>326.24760680381002</v>
      </c>
      <c r="L166" s="10">
        <f t="shared" si="14"/>
        <v>0.29269086091056185</v>
      </c>
      <c r="M166" s="10">
        <f t="shared" si="18"/>
        <v>0.29604919974116267</v>
      </c>
      <c r="P166" s="8">
        <f t="shared" si="19"/>
        <v>37.000006666162989</v>
      </c>
    </row>
    <row r="167" spans="1:16" x14ac:dyDescent="0.2">
      <c r="A167" s="8">
        <v>82.5</v>
      </c>
      <c r="B167" s="8">
        <v>165</v>
      </c>
      <c r="D167">
        <v>1263.9743742551</v>
      </c>
      <c r="E167">
        <v>448.72467222884001</v>
      </c>
      <c r="F167">
        <v>146.09827278142001</v>
      </c>
      <c r="G167">
        <v>121.28290649196001</v>
      </c>
      <c r="I167" s="9">
        <f t="shared" si="15"/>
        <v>327.44176573688003</v>
      </c>
      <c r="J167" s="9">
        <f t="shared" si="16"/>
        <v>1117.8761014736799</v>
      </c>
      <c r="K167" s="9">
        <f t="shared" si="17"/>
        <v>327.44176573688003</v>
      </c>
      <c r="L167" s="10">
        <f t="shared" si="14"/>
        <v>0.29291418369640276</v>
      </c>
      <c r="M167" s="10">
        <f t="shared" si="18"/>
        <v>0.29629300020279992</v>
      </c>
      <c r="P167" s="8">
        <f t="shared" si="19"/>
        <v>37.112827997545466</v>
      </c>
    </row>
    <row r="168" spans="1:16" x14ac:dyDescent="0.2">
      <c r="A168" s="8">
        <v>83</v>
      </c>
      <c r="B168" s="8">
        <v>166</v>
      </c>
      <c r="D168">
        <v>1264.5405244338999</v>
      </c>
      <c r="E168">
        <v>448.65256257448999</v>
      </c>
      <c r="F168">
        <v>146.21381774866001</v>
      </c>
      <c r="G168">
        <v>121.48421679571</v>
      </c>
      <c r="I168" s="9">
        <f t="shared" si="15"/>
        <v>327.16834577878001</v>
      </c>
      <c r="J168" s="9">
        <f t="shared" si="16"/>
        <v>1118.32670668524</v>
      </c>
      <c r="K168" s="9">
        <f t="shared" si="17"/>
        <v>327.16834577878001</v>
      </c>
      <c r="L168" s="10">
        <f t="shared" si="14"/>
        <v>0.29255167011840272</v>
      </c>
      <c r="M168" s="10">
        <f t="shared" si="18"/>
        <v>0.29595096430059625</v>
      </c>
      <c r="P168" s="8">
        <f t="shared" si="19"/>
        <v>36.954547141110325</v>
      </c>
    </row>
    <row r="169" spans="1:16" x14ac:dyDescent="0.2">
      <c r="A169" s="8">
        <v>83.5</v>
      </c>
      <c r="B169" s="8">
        <v>167</v>
      </c>
      <c r="D169">
        <v>1301.2097735399</v>
      </c>
      <c r="E169">
        <v>457.60309892728998</v>
      </c>
      <c r="F169">
        <v>146.25491363907</v>
      </c>
      <c r="G169">
        <v>121.59499702204</v>
      </c>
      <c r="I169" s="9">
        <f t="shared" si="15"/>
        <v>336.00810190524999</v>
      </c>
      <c r="J169" s="9">
        <f t="shared" si="16"/>
        <v>1154.9548599008299</v>
      </c>
      <c r="K169" s="9">
        <f t="shared" si="17"/>
        <v>336.00810190524999</v>
      </c>
      <c r="L169" s="10">
        <f t="shared" si="14"/>
        <v>0.29092747567130139</v>
      </c>
      <c r="M169" s="10">
        <f t="shared" si="18"/>
        <v>0.29434724752929126</v>
      </c>
      <c r="P169" s="8">
        <f t="shared" si="19"/>
        <v>36.212409656693836</v>
      </c>
    </row>
    <row r="170" spans="1:16" x14ac:dyDescent="0.2">
      <c r="A170" s="8">
        <v>84</v>
      </c>
      <c r="B170" s="8">
        <v>168</v>
      </c>
      <c r="D170">
        <v>1308.3957091776001</v>
      </c>
      <c r="E170">
        <v>462.10607866508002</v>
      </c>
      <c r="F170">
        <v>146.17629541394001</v>
      </c>
      <c r="G170">
        <v>121.57832042883</v>
      </c>
      <c r="I170" s="9">
        <f t="shared" si="15"/>
        <v>340.52775823625001</v>
      </c>
      <c r="J170" s="9">
        <f t="shared" si="16"/>
        <v>1162.2194137636602</v>
      </c>
      <c r="K170" s="9">
        <f t="shared" si="17"/>
        <v>340.52775823625001</v>
      </c>
      <c r="L170" s="10">
        <f t="shared" si="14"/>
        <v>0.29299782313350431</v>
      </c>
      <c r="M170" s="10">
        <f t="shared" si="18"/>
        <v>0.29643807266729055</v>
      </c>
      <c r="P170" s="8">
        <f t="shared" si="19"/>
        <v>37.179961867928064</v>
      </c>
    </row>
    <row r="171" spans="1:16" x14ac:dyDescent="0.2">
      <c r="A171" s="8">
        <v>84.5</v>
      </c>
      <c r="B171" s="8">
        <v>169</v>
      </c>
      <c r="D171">
        <v>1320.3039332538999</v>
      </c>
      <c r="E171">
        <v>465.50655542312001</v>
      </c>
      <c r="F171">
        <v>146.47051816557999</v>
      </c>
      <c r="G171">
        <v>121.6748064324</v>
      </c>
      <c r="I171" s="9">
        <f t="shared" si="15"/>
        <v>343.83174899072003</v>
      </c>
      <c r="J171" s="9">
        <f t="shared" si="16"/>
        <v>1173.83341508832</v>
      </c>
      <c r="K171" s="9">
        <f t="shared" si="17"/>
        <v>343.83174899072003</v>
      </c>
      <c r="L171" s="10">
        <f t="shared" si="14"/>
        <v>0.29291358089755004</v>
      </c>
      <c r="M171" s="10">
        <f t="shared" si="18"/>
        <v>0.29637430810713261</v>
      </c>
      <c r="P171" s="8">
        <f t="shared" si="19"/>
        <v>37.150454119978264</v>
      </c>
    </row>
    <row r="172" spans="1:16" x14ac:dyDescent="0.2">
      <c r="A172" s="8">
        <v>85</v>
      </c>
      <c r="B172" s="8">
        <v>170</v>
      </c>
      <c r="D172">
        <v>1309.4350417163</v>
      </c>
      <c r="E172">
        <v>468.27532777115999</v>
      </c>
      <c r="F172">
        <v>146.4472900536</v>
      </c>
      <c r="G172">
        <v>121.53126861227</v>
      </c>
      <c r="I172" s="9">
        <f t="shared" si="15"/>
        <v>346.74405915888997</v>
      </c>
      <c r="J172" s="9">
        <f t="shared" si="16"/>
        <v>1162.9877516627</v>
      </c>
      <c r="K172" s="9">
        <f t="shared" si="17"/>
        <v>346.74405915888997</v>
      </c>
      <c r="L172" s="10">
        <f t="shared" si="14"/>
        <v>0.29814936456824848</v>
      </c>
      <c r="M172" s="10">
        <f t="shared" si="18"/>
        <v>0.30163056945362737</v>
      </c>
      <c r="P172" s="8">
        <f t="shared" si="19"/>
        <v>39.582846574132738</v>
      </c>
    </row>
    <row r="173" spans="1:16" x14ac:dyDescent="0.2">
      <c r="A173" s="8">
        <v>85.5</v>
      </c>
      <c r="B173" s="8">
        <v>171</v>
      </c>
      <c r="D173">
        <v>1296.2538736591</v>
      </c>
      <c r="E173">
        <v>466.10190703218001</v>
      </c>
      <c r="F173">
        <v>146.17927337700999</v>
      </c>
      <c r="G173">
        <v>121.43776057177</v>
      </c>
      <c r="I173" s="9">
        <f t="shared" si="15"/>
        <v>344.66414646041</v>
      </c>
      <c r="J173" s="9">
        <f t="shared" si="16"/>
        <v>1150.0746002820899</v>
      </c>
      <c r="K173" s="9">
        <f t="shared" si="17"/>
        <v>344.66414646041</v>
      </c>
      <c r="L173" s="10">
        <f t="shared" si="14"/>
        <v>0.29968851270680258</v>
      </c>
      <c r="M173" s="10">
        <f t="shared" si="18"/>
        <v>0.30319019526797786</v>
      </c>
      <c r="P173" s="8">
        <f t="shared" si="19"/>
        <v>40.304580485758066</v>
      </c>
    </row>
    <row r="174" spans="1:16" x14ac:dyDescent="0.2">
      <c r="A174" s="8">
        <v>86</v>
      </c>
      <c r="B174" s="8">
        <v>172</v>
      </c>
      <c r="D174">
        <v>1307.4773539928999</v>
      </c>
      <c r="E174">
        <v>470.39213349225003</v>
      </c>
      <c r="F174">
        <v>146.24597974984999</v>
      </c>
      <c r="G174">
        <v>121.36152471709001</v>
      </c>
      <c r="I174" s="9">
        <f t="shared" si="15"/>
        <v>349.03060877516003</v>
      </c>
      <c r="J174" s="9">
        <f t="shared" si="16"/>
        <v>1161.2313742430499</v>
      </c>
      <c r="K174" s="9">
        <f t="shared" si="17"/>
        <v>349.03060877516003</v>
      </c>
      <c r="L174" s="10">
        <f t="shared" si="14"/>
        <v>0.30056939255768567</v>
      </c>
      <c r="M174" s="10">
        <f t="shared" si="18"/>
        <v>0.30409155279465727</v>
      </c>
      <c r="P174" s="8">
        <f t="shared" si="19"/>
        <v>40.721693544234967</v>
      </c>
    </row>
    <row r="175" spans="1:16" x14ac:dyDescent="0.2">
      <c r="A175" s="8">
        <v>86.5</v>
      </c>
      <c r="B175" s="8">
        <v>173</v>
      </c>
      <c r="D175">
        <v>1302.4541120381</v>
      </c>
      <c r="E175">
        <v>470.1978545888</v>
      </c>
      <c r="F175">
        <v>146.78796902918</v>
      </c>
      <c r="G175">
        <v>121.63549731982999</v>
      </c>
      <c r="I175" s="9">
        <f t="shared" si="15"/>
        <v>348.56235726897</v>
      </c>
      <c r="J175" s="9">
        <f t="shared" si="16"/>
        <v>1155.66614300892</v>
      </c>
      <c r="K175" s="9">
        <f t="shared" si="17"/>
        <v>348.56235726897</v>
      </c>
      <c r="L175" s="10">
        <f t="shared" si="14"/>
        <v>0.30161163704376137</v>
      </c>
      <c r="M175" s="10">
        <f t="shared" si="18"/>
        <v>0.3051542749565293</v>
      </c>
      <c r="P175" s="8">
        <f t="shared" si="19"/>
        <v>41.213479853362102</v>
      </c>
    </row>
    <row r="176" spans="1:16" x14ac:dyDescent="0.2">
      <c r="A176" s="8">
        <v>87</v>
      </c>
      <c r="B176" s="8">
        <v>174</v>
      </c>
      <c r="D176">
        <v>1253.5333730632001</v>
      </c>
      <c r="E176">
        <v>456.84922526818002</v>
      </c>
      <c r="F176">
        <v>146.52948183442999</v>
      </c>
      <c r="G176">
        <v>121.62656343061001</v>
      </c>
      <c r="I176" s="9">
        <f t="shared" si="15"/>
        <v>335.22266183757</v>
      </c>
      <c r="J176" s="9">
        <f t="shared" si="16"/>
        <v>1107.00389122877</v>
      </c>
      <c r="K176" s="9">
        <f t="shared" si="17"/>
        <v>335.22266183757</v>
      </c>
      <c r="L176" s="10">
        <f t="shared" si="14"/>
        <v>0.30281976828958945</v>
      </c>
      <c r="M176" s="10">
        <f t="shared" si="18"/>
        <v>0.30638288387815377</v>
      </c>
      <c r="P176" s="8">
        <f t="shared" si="19"/>
        <v>41.782032075762373</v>
      </c>
    </row>
    <row r="177" spans="1:16" x14ac:dyDescent="0.2">
      <c r="A177" s="8">
        <v>87.5</v>
      </c>
      <c r="B177" s="8">
        <v>175</v>
      </c>
      <c r="D177">
        <v>1191.5315852204999</v>
      </c>
      <c r="E177">
        <v>449.41716328963003</v>
      </c>
      <c r="F177">
        <v>146.49791542585001</v>
      </c>
      <c r="G177">
        <v>122.08397855867</v>
      </c>
      <c r="I177" s="9">
        <f t="shared" si="15"/>
        <v>327.33318473096006</v>
      </c>
      <c r="J177" s="9">
        <f t="shared" si="16"/>
        <v>1045.03366979465</v>
      </c>
      <c r="K177" s="9">
        <f t="shared" si="17"/>
        <v>327.33318473096006</v>
      </c>
      <c r="L177" s="10">
        <f t="shared" si="14"/>
        <v>0.31322740519478315</v>
      </c>
      <c r="M177" s="10">
        <f t="shared" si="18"/>
        <v>0.31681099845914379</v>
      </c>
      <c r="P177" s="8">
        <f t="shared" si="19"/>
        <v>46.607756206617047</v>
      </c>
    </row>
    <row r="178" spans="1:16" x14ac:dyDescent="0.2">
      <c r="A178" s="8">
        <v>88</v>
      </c>
      <c r="B178" s="8">
        <v>176</v>
      </c>
      <c r="D178">
        <v>1162.6477949939999</v>
      </c>
      <c r="E178">
        <v>443.24374255065999</v>
      </c>
      <c r="F178">
        <v>146.62060750447</v>
      </c>
      <c r="G178">
        <v>121.42763549732</v>
      </c>
      <c r="I178" s="9">
        <f t="shared" si="15"/>
        <v>321.81610705333998</v>
      </c>
      <c r="J178" s="9">
        <f t="shared" si="16"/>
        <v>1016.02718748953</v>
      </c>
      <c r="K178" s="9">
        <f t="shared" si="17"/>
        <v>321.81610705333998</v>
      </c>
      <c r="L178" s="10">
        <f t="shared" si="14"/>
        <v>0.3167396611192122</v>
      </c>
      <c r="M178" s="10">
        <f t="shared" si="18"/>
        <v>0.32034373205936917</v>
      </c>
      <c r="P178" s="8">
        <f t="shared" si="19"/>
        <v>48.24256733667179</v>
      </c>
    </row>
    <row r="179" spans="1:16" x14ac:dyDescent="0.2">
      <c r="A179" s="8">
        <v>88.5</v>
      </c>
      <c r="B179" s="8">
        <v>177</v>
      </c>
      <c r="D179">
        <v>1190.5840286055</v>
      </c>
      <c r="E179">
        <v>442.60488676995999</v>
      </c>
      <c r="F179">
        <v>146.47111375819</v>
      </c>
      <c r="G179">
        <v>121.748064324</v>
      </c>
      <c r="I179" s="9">
        <f t="shared" si="15"/>
        <v>320.85682244596001</v>
      </c>
      <c r="J179" s="9">
        <f t="shared" si="16"/>
        <v>1044.1129148473099</v>
      </c>
      <c r="K179" s="9">
        <f t="shared" si="17"/>
        <v>320.85682244596001</v>
      </c>
      <c r="L179" s="10">
        <f t="shared" si="14"/>
        <v>0.30730088468724842</v>
      </c>
      <c r="M179" s="10">
        <f t="shared" si="18"/>
        <v>0.31092543330320177</v>
      </c>
      <c r="P179" s="8">
        <f t="shared" si="19"/>
        <v>43.88414652855284</v>
      </c>
    </row>
    <row r="180" spans="1:16" x14ac:dyDescent="0.2">
      <c r="A180" s="8">
        <v>89</v>
      </c>
      <c r="B180" s="8">
        <v>178</v>
      </c>
      <c r="D180">
        <v>1183.952920143</v>
      </c>
      <c r="E180">
        <v>438.38557806913002</v>
      </c>
      <c r="F180">
        <v>146.60273972602999</v>
      </c>
      <c r="G180">
        <v>121.73793924955</v>
      </c>
      <c r="I180" s="9">
        <f t="shared" si="15"/>
        <v>316.64763881958004</v>
      </c>
      <c r="J180" s="9">
        <f t="shared" si="16"/>
        <v>1037.35018041697</v>
      </c>
      <c r="K180" s="9">
        <f t="shared" si="17"/>
        <v>316.64763881958004</v>
      </c>
      <c r="L180" s="10">
        <f t="shared" si="14"/>
        <v>0.30524662240122363</v>
      </c>
      <c r="M180" s="10">
        <f t="shared" si="18"/>
        <v>0.30889164869297331</v>
      </c>
      <c r="P180" s="8">
        <f t="shared" si="19"/>
        <v>42.942990445704297</v>
      </c>
    </row>
    <row r="181" spans="1:16" x14ac:dyDescent="0.2">
      <c r="A181" s="8">
        <v>89.5</v>
      </c>
      <c r="B181" s="8">
        <v>179</v>
      </c>
      <c r="D181">
        <v>1266.7342073898001</v>
      </c>
      <c r="E181">
        <v>457.75327771155997</v>
      </c>
      <c r="F181">
        <v>146.20309708159999</v>
      </c>
      <c r="G181">
        <v>121.45324597974999</v>
      </c>
      <c r="I181" s="9">
        <f t="shared" si="15"/>
        <v>336.30003173181001</v>
      </c>
      <c r="J181" s="9">
        <f t="shared" si="16"/>
        <v>1120.5311103082001</v>
      </c>
      <c r="K181" s="9">
        <f t="shared" si="17"/>
        <v>336.30003173181001</v>
      </c>
      <c r="L181" s="10">
        <f t="shared" si="14"/>
        <v>0.30012556424186321</v>
      </c>
      <c r="M181" s="10">
        <f t="shared" si="18"/>
        <v>0.30379106820940921</v>
      </c>
      <c r="P181" s="8">
        <f t="shared" si="19"/>
        <v>40.582641014391768</v>
      </c>
    </row>
    <row r="182" spans="1:16" x14ac:dyDescent="0.2">
      <c r="A182" s="8">
        <v>90</v>
      </c>
      <c r="B182" s="8">
        <v>180</v>
      </c>
      <c r="D182">
        <v>1212.0959475566001</v>
      </c>
      <c r="E182">
        <v>443.04946364720001</v>
      </c>
      <c r="F182">
        <v>146.45384157236001</v>
      </c>
      <c r="G182">
        <v>121.33234067898</v>
      </c>
      <c r="I182" s="9">
        <f t="shared" si="15"/>
        <v>321.71712296822</v>
      </c>
      <c r="J182" s="9">
        <f t="shared" si="16"/>
        <v>1065.6421059842401</v>
      </c>
      <c r="K182" s="9">
        <f t="shared" si="17"/>
        <v>321.71712296822</v>
      </c>
      <c r="L182" s="10">
        <f t="shared" si="14"/>
        <v>0.30189978526709782</v>
      </c>
      <c r="M182" s="10">
        <f>L182+ABS($N$2)*A182</f>
        <v>0.3055857669104402</v>
      </c>
      <c r="P182" s="8">
        <f t="shared" si="19"/>
        <v>41.413157476587813</v>
      </c>
    </row>
    <row r="183" spans="1:16" x14ac:dyDescent="0.2">
      <c r="A183" s="8">
        <v>90.5</v>
      </c>
      <c r="B183" s="8">
        <v>181</v>
      </c>
      <c r="D183">
        <v>1230.1710369488001</v>
      </c>
      <c r="E183">
        <v>450.17520858165</v>
      </c>
      <c r="F183">
        <v>146.49136390709</v>
      </c>
      <c r="G183">
        <v>121.7438951757</v>
      </c>
      <c r="I183" s="9">
        <f t="shared" si="15"/>
        <v>328.43131340594999</v>
      </c>
      <c r="J183" s="9">
        <f t="shared" si="16"/>
        <v>1083.67967304171</v>
      </c>
      <c r="K183" s="9">
        <f t="shared" si="17"/>
        <v>328.43131340594999</v>
      </c>
      <c r="L183" s="10">
        <f t="shared" si="14"/>
        <v>0.30307047513782143</v>
      </c>
      <c r="M183" s="10">
        <f t="shared" ref="M183:M241" si="20">L183+ABS($N$2)*A183</f>
        <v>0.30677693445696014</v>
      </c>
      <c r="P183" s="8">
        <f t="shared" si="19"/>
        <v>41.964383292960314</v>
      </c>
    </row>
    <row r="184" spans="1:16" x14ac:dyDescent="0.2">
      <c r="A184" s="8">
        <v>91</v>
      </c>
      <c r="B184" s="8">
        <v>182</v>
      </c>
      <c r="D184">
        <v>1230.5959475566001</v>
      </c>
      <c r="E184">
        <v>448.40405244339001</v>
      </c>
      <c r="F184">
        <v>146.69446098867999</v>
      </c>
      <c r="G184">
        <v>121.45145920191</v>
      </c>
      <c r="I184" s="9">
        <f t="shared" si="15"/>
        <v>326.95259324148003</v>
      </c>
      <c r="J184" s="9">
        <f t="shared" si="16"/>
        <v>1083.9014865679201</v>
      </c>
      <c r="K184" s="9">
        <f t="shared" si="17"/>
        <v>326.95259324148003</v>
      </c>
      <c r="L184" s="10">
        <f t="shared" si="14"/>
        <v>0.30164419672192444</v>
      </c>
      <c r="M184" s="10">
        <f t="shared" si="20"/>
        <v>0.30537113371685953</v>
      </c>
      <c r="P184" s="8">
        <f t="shared" si="19"/>
        <v>41.313833617658148</v>
      </c>
    </row>
    <row r="185" spans="1:16" x14ac:dyDescent="0.2">
      <c r="A185" s="8">
        <v>91.5</v>
      </c>
      <c r="B185" s="8">
        <v>183</v>
      </c>
      <c r="D185">
        <v>1222.2747318236</v>
      </c>
      <c r="E185">
        <v>446.34862932061998</v>
      </c>
      <c r="F185">
        <v>146.21620011912</v>
      </c>
      <c r="G185">
        <v>121.63787969029001</v>
      </c>
      <c r="I185" s="9">
        <f t="shared" si="15"/>
        <v>324.71074963032999</v>
      </c>
      <c r="J185" s="9">
        <f t="shared" si="16"/>
        <v>1076.0585317044799</v>
      </c>
      <c r="K185" s="9">
        <f t="shared" si="17"/>
        <v>324.71074963032999</v>
      </c>
      <c r="L185" s="10">
        <f t="shared" si="14"/>
        <v>0.30175937466523051</v>
      </c>
      <c r="M185" s="10">
        <f t="shared" si="20"/>
        <v>0.30550678933596193</v>
      </c>
      <c r="P185" s="8">
        <f t="shared" si="19"/>
        <v>41.376609739794532</v>
      </c>
    </row>
    <row r="186" spans="1:16" x14ac:dyDescent="0.2">
      <c r="A186" s="8">
        <v>92</v>
      </c>
      <c r="B186" s="8">
        <v>184</v>
      </c>
      <c r="D186">
        <v>1241.6215733015999</v>
      </c>
      <c r="E186">
        <v>454.41477949940003</v>
      </c>
      <c r="F186">
        <v>146.11971411555001</v>
      </c>
      <c r="G186">
        <v>121.44371649791999</v>
      </c>
      <c r="I186" s="9">
        <f t="shared" si="15"/>
        <v>332.97106300148005</v>
      </c>
      <c r="J186" s="9">
        <f t="shared" si="16"/>
        <v>1095.5018591860498</v>
      </c>
      <c r="K186" s="9">
        <f t="shared" si="17"/>
        <v>332.97106300148005</v>
      </c>
      <c r="L186" s="10">
        <f t="shared" si="14"/>
        <v>0.30394385934577528</v>
      </c>
      <c r="M186" s="10">
        <f t="shared" si="20"/>
        <v>0.30771175169230303</v>
      </c>
      <c r="P186" s="8">
        <f t="shared" si="19"/>
        <v>42.39698019775043</v>
      </c>
    </row>
    <row r="187" spans="1:16" x14ac:dyDescent="0.2">
      <c r="A187" s="8">
        <v>92.5</v>
      </c>
      <c r="B187" s="8">
        <v>185</v>
      </c>
      <c r="D187">
        <v>1243.4606674613001</v>
      </c>
      <c r="E187">
        <v>457.37127532776998</v>
      </c>
      <c r="F187">
        <v>146.40917212626999</v>
      </c>
      <c r="G187">
        <v>121.53067301966</v>
      </c>
      <c r="I187" s="9">
        <f t="shared" si="15"/>
        <v>335.84060230810996</v>
      </c>
      <c r="J187" s="9">
        <f t="shared" si="16"/>
        <v>1097.05149533503</v>
      </c>
      <c r="K187" s="9">
        <f t="shared" si="17"/>
        <v>335.84060230810996</v>
      </c>
      <c r="L187" s="10">
        <f t="shared" si="14"/>
        <v>0.30613020786735917</v>
      </c>
      <c r="M187" s="10">
        <f t="shared" si="20"/>
        <v>0.3099185778896833</v>
      </c>
      <c r="P187" s="8">
        <f t="shared" si="19"/>
        <v>43.418213168542088</v>
      </c>
    </row>
    <row r="188" spans="1:16" x14ac:dyDescent="0.2">
      <c r="A188" s="8">
        <v>93</v>
      </c>
      <c r="B188" s="8">
        <v>186</v>
      </c>
      <c r="D188">
        <v>1203.23659118</v>
      </c>
      <c r="E188">
        <v>444.03873659118</v>
      </c>
      <c r="F188">
        <v>145.80702799285001</v>
      </c>
      <c r="G188">
        <v>121.29898749256</v>
      </c>
      <c r="I188" s="9">
        <f t="shared" si="15"/>
        <v>322.73974909862</v>
      </c>
      <c r="J188" s="9">
        <f t="shared" si="16"/>
        <v>1057.4295631871501</v>
      </c>
      <c r="K188" s="9">
        <f t="shared" si="17"/>
        <v>322.73974909862</v>
      </c>
      <c r="L188" s="10">
        <f t="shared" si="14"/>
        <v>0.30521158130463544</v>
      </c>
      <c r="M188" s="10">
        <f t="shared" si="20"/>
        <v>0.30902042900275589</v>
      </c>
      <c r="P188" s="8">
        <f t="shared" si="19"/>
        <v>43.002584943220619</v>
      </c>
    </row>
    <row r="189" spans="1:16" x14ac:dyDescent="0.2">
      <c r="A189" s="8">
        <v>93.5</v>
      </c>
      <c r="B189" s="8">
        <v>187</v>
      </c>
      <c r="D189">
        <v>1233.8569725863999</v>
      </c>
      <c r="E189">
        <v>448.13766388558003</v>
      </c>
      <c r="F189">
        <v>146.22394282311001</v>
      </c>
      <c r="G189">
        <v>121.18582489577</v>
      </c>
      <c r="I189" s="9">
        <f t="shared" si="15"/>
        <v>326.95183898981003</v>
      </c>
      <c r="J189" s="9">
        <f t="shared" si="16"/>
        <v>1087.6330297632899</v>
      </c>
      <c r="K189" s="9">
        <f t="shared" si="17"/>
        <v>326.95183898981003</v>
      </c>
      <c r="L189" s="10">
        <f t="shared" si="14"/>
        <v>0.30060859687294261</v>
      </c>
      <c r="M189" s="10">
        <f t="shared" si="20"/>
        <v>0.30443792224685939</v>
      </c>
      <c r="P189" s="8">
        <f t="shared" si="19"/>
        <v>40.881979798351296</v>
      </c>
    </row>
    <row r="190" spans="1:16" x14ac:dyDescent="0.2">
      <c r="A190" s="8">
        <v>94</v>
      </c>
      <c r="B190" s="8">
        <v>188</v>
      </c>
      <c r="D190">
        <v>1194.4213349224999</v>
      </c>
      <c r="E190">
        <v>436.80750893920998</v>
      </c>
      <c r="F190">
        <v>146.39011316259999</v>
      </c>
      <c r="G190">
        <v>121.6057176891</v>
      </c>
      <c r="I190" s="9">
        <f t="shared" si="15"/>
        <v>315.20179125010998</v>
      </c>
      <c r="J190" s="9">
        <f t="shared" si="16"/>
        <v>1048.0312217598998</v>
      </c>
      <c r="K190" s="9">
        <f t="shared" si="17"/>
        <v>315.20179125010998</v>
      </c>
      <c r="L190" s="10">
        <f t="shared" si="14"/>
        <v>0.30075610793427449</v>
      </c>
      <c r="M190" s="10">
        <f t="shared" si="20"/>
        <v>0.30460591098398765</v>
      </c>
      <c r="P190" s="8">
        <f t="shared" si="19"/>
        <v>40.959718424655748</v>
      </c>
    </row>
    <row r="191" spans="1:16" x14ac:dyDescent="0.2">
      <c r="A191" s="8">
        <v>94.5</v>
      </c>
      <c r="B191" s="8">
        <v>189</v>
      </c>
      <c r="D191">
        <v>1220.7783075089001</v>
      </c>
      <c r="E191">
        <v>442.00655542312001</v>
      </c>
      <c r="F191">
        <v>146.81774865992</v>
      </c>
      <c r="G191">
        <v>121.50268016677001</v>
      </c>
      <c r="I191" s="9">
        <f t="shared" si="15"/>
        <v>320.50387525635</v>
      </c>
      <c r="J191" s="9">
        <f t="shared" si="16"/>
        <v>1073.9605588489801</v>
      </c>
      <c r="K191" s="9">
        <f t="shared" si="17"/>
        <v>320.50387525635</v>
      </c>
      <c r="L191" s="10">
        <f t="shared" si="14"/>
        <v>0.29843169994981084</v>
      </c>
      <c r="M191" s="10">
        <f t="shared" si="20"/>
        <v>0.30230198067532033</v>
      </c>
      <c r="P191" s="8">
        <f t="shared" si="19"/>
        <v>39.893549463814907</v>
      </c>
    </row>
    <row r="192" spans="1:16" x14ac:dyDescent="0.2">
      <c r="A192" s="8">
        <v>95</v>
      </c>
      <c r="B192" s="8">
        <v>190</v>
      </c>
      <c r="D192">
        <v>1196.1209773539999</v>
      </c>
      <c r="E192">
        <v>432.35280095351999</v>
      </c>
      <c r="F192">
        <v>146.37105419893001</v>
      </c>
      <c r="G192">
        <v>121.50029779630999</v>
      </c>
      <c r="I192" s="9">
        <f t="shared" si="15"/>
        <v>310.85250315720998</v>
      </c>
      <c r="J192" s="9">
        <f t="shared" si="16"/>
        <v>1049.7499231550698</v>
      </c>
      <c r="K192" s="9">
        <f t="shared" si="17"/>
        <v>310.85250315720998</v>
      </c>
      <c r="L192" s="10">
        <f t="shared" si="14"/>
        <v>0.29612052956663149</v>
      </c>
      <c r="M192" s="10">
        <f t="shared" si="20"/>
        <v>0.3000112879679373</v>
      </c>
      <c r="P192" s="8">
        <f t="shared" si="19"/>
        <v>38.833506347819373</v>
      </c>
    </row>
    <row r="193" spans="1:16" x14ac:dyDescent="0.2">
      <c r="A193" s="8">
        <v>95.5</v>
      </c>
      <c r="B193" s="8">
        <v>191</v>
      </c>
      <c r="D193">
        <v>1240.7395709177999</v>
      </c>
      <c r="E193">
        <v>445.87663885578002</v>
      </c>
      <c r="F193">
        <v>145.92495533055001</v>
      </c>
      <c r="G193">
        <v>121.45324597974999</v>
      </c>
      <c r="I193" s="9">
        <f t="shared" si="15"/>
        <v>324.42339287602999</v>
      </c>
      <c r="J193" s="9">
        <f t="shared" si="16"/>
        <v>1094.81461558725</v>
      </c>
      <c r="K193" s="9">
        <f t="shared" si="17"/>
        <v>324.42339287602999</v>
      </c>
      <c r="L193" s="10">
        <f t="shared" si="14"/>
        <v>0.29632723956832802</v>
      </c>
      <c r="M193" s="10">
        <f t="shared" si="20"/>
        <v>0.30023847564543021</v>
      </c>
      <c r="P193" s="8">
        <f t="shared" si="19"/>
        <v>38.9386399315555</v>
      </c>
    </row>
    <row r="194" spans="1:16" x14ac:dyDescent="0.2">
      <c r="A194" s="8">
        <v>96</v>
      </c>
      <c r="B194" s="8">
        <v>192</v>
      </c>
      <c r="D194">
        <v>1153.9827175209</v>
      </c>
      <c r="E194">
        <v>424.48688915374998</v>
      </c>
      <c r="F194">
        <v>146.90649195949999</v>
      </c>
      <c r="G194">
        <v>121.65515187612</v>
      </c>
      <c r="I194" s="9">
        <f t="shared" si="15"/>
        <v>302.83173727763</v>
      </c>
      <c r="J194" s="9">
        <f t="shared" si="16"/>
        <v>1007.0762255614</v>
      </c>
      <c r="K194" s="9">
        <f t="shared" si="17"/>
        <v>302.83173727763</v>
      </c>
      <c r="L194" s="10">
        <f t="shared" ref="L194:L257" si="21">K194/J194</f>
        <v>0.30070388873375981</v>
      </c>
      <c r="M194" s="10">
        <f t="shared" si="20"/>
        <v>0.30463560248665833</v>
      </c>
      <c r="P194" s="8">
        <f t="shared" si="19"/>
        <v>40.973458492412618</v>
      </c>
    </row>
    <row r="195" spans="1:16" x14ac:dyDescent="0.2">
      <c r="A195" s="8">
        <v>96.5</v>
      </c>
      <c r="B195" s="8">
        <v>193</v>
      </c>
      <c r="D195">
        <v>1221.0352238805999</v>
      </c>
      <c r="E195">
        <v>433.48358208955</v>
      </c>
      <c r="F195">
        <v>146.42465753425</v>
      </c>
      <c r="G195">
        <v>121.6057176891</v>
      </c>
      <c r="I195" s="9">
        <f t="shared" ref="I195:I241" si="22">E195-G195</f>
        <v>311.87786440044999</v>
      </c>
      <c r="J195" s="9">
        <f t="shared" ref="J195:J241" si="23">D195-F195</f>
        <v>1074.61056634635</v>
      </c>
      <c r="K195" s="9">
        <f t="shared" ref="K195:K258" si="24">I195*1</f>
        <v>311.87786440044999</v>
      </c>
      <c r="L195" s="10">
        <f t="shared" si="21"/>
        <v>0.29022408132541189</v>
      </c>
      <c r="M195" s="10">
        <f t="shared" si="20"/>
        <v>0.29417627275410679</v>
      </c>
      <c r="P195" s="8">
        <f t="shared" ref="P195:P241" si="25">(M195-$O$2)/$O$2*100</f>
        <v>36.133289208604474</v>
      </c>
    </row>
    <row r="196" spans="1:16" x14ac:dyDescent="0.2">
      <c r="A196" s="8">
        <v>97</v>
      </c>
      <c r="B196" s="8">
        <v>194</v>
      </c>
      <c r="D196">
        <v>1226.391641791</v>
      </c>
      <c r="E196">
        <v>432.2823880597</v>
      </c>
      <c r="F196">
        <v>146.42525312686001</v>
      </c>
      <c r="G196">
        <v>121.30136986301</v>
      </c>
      <c r="I196" s="9">
        <f t="shared" si="22"/>
        <v>310.98101819669</v>
      </c>
      <c r="J196" s="9">
        <f t="shared" si="23"/>
        <v>1079.9663886641399</v>
      </c>
      <c r="K196" s="9">
        <f t="shared" si="24"/>
        <v>310.98101819669</v>
      </c>
      <c r="L196" s="10">
        <f t="shared" si="21"/>
        <v>0.28795434882131538</v>
      </c>
      <c r="M196" s="10">
        <f t="shared" si="20"/>
        <v>0.29192701792580661</v>
      </c>
      <c r="P196" s="8">
        <f t="shared" si="25"/>
        <v>35.092421924583981</v>
      </c>
    </row>
    <row r="197" spans="1:16" x14ac:dyDescent="0.2">
      <c r="A197" s="8">
        <v>97.5</v>
      </c>
      <c r="B197" s="8">
        <v>195</v>
      </c>
      <c r="D197">
        <v>1232.3904477612</v>
      </c>
      <c r="E197">
        <v>433.84537313432998</v>
      </c>
      <c r="F197">
        <v>146.86718284693001</v>
      </c>
      <c r="G197">
        <v>121.86480047646999</v>
      </c>
      <c r="I197" s="9">
        <f t="shared" si="22"/>
        <v>311.98057265785997</v>
      </c>
      <c r="J197" s="9">
        <f t="shared" si="23"/>
        <v>1085.5232649142699</v>
      </c>
      <c r="K197" s="9">
        <f t="shared" si="24"/>
        <v>311.98057265785997</v>
      </c>
      <c r="L197" s="10">
        <f t="shared" si="21"/>
        <v>0.28740109285681581</v>
      </c>
      <c r="M197" s="10">
        <f t="shared" si="20"/>
        <v>0.29139423963710337</v>
      </c>
      <c r="P197" s="8">
        <f t="shared" si="25"/>
        <v>34.845872941618495</v>
      </c>
    </row>
    <row r="198" spans="1:16" x14ac:dyDescent="0.2">
      <c r="A198" s="8">
        <v>98</v>
      </c>
      <c r="B198" s="8">
        <v>196</v>
      </c>
      <c r="D198">
        <v>1270.1152238806001</v>
      </c>
      <c r="E198">
        <v>445.53134328357999</v>
      </c>
      <c r="F198">
        <v>146.64324002382</v>
      </c>
      <c r="G198">
        <v>121.51518761167</v>
      </c>
      <c r="I198" s="9">
        <f t="shared" si="22"/>
        <v>324.01615567190998</v>
      </c>
      <c r="J198" s="9">
        <f t="shared" si="23"/>
        <v>1123.4719838567801</v>
      </c>
      <c r="K198" s="9">
        <f t="shared" si="24"/>
        <v>324.01615567190998</v>
      </c>
      <c r="L198" s="10">
        <f t="shared" si="21"/>
        <v>0.28840608428844938</v>
      </c>
      <c r="M198" s="10">
        <f t="shared" si="20"/>
        <v>0.29241970874453332</v>
      </c>
      <c r="P198" s="8">
        <f t="shared" si="25"/>
        <v>35.320419992165085</v>
      </c>
    </row>
    <row r="199" spans="1:16" x14ac:dyDescent="0.2">
      <c r="A199" s="8">
        <v>98.5</v>
      </c>
      <c r="B199" s="8">
        <v>197</v>
      </c>
      <c r="D199">
        <v>1251.0364179104999</v>
      </c>
      <c r="E199">
        <v>441.48119402984997</v>
      </c>
      <c r="F199">
        <v>146.32340678976001</v>
      </c>
      <c r="G199">
        <v>121.71649791543</v>
      </c>
      <c r="I199" s="9">
        <f t="shared" si="22"/>
        <v>319.76469611441996</v>
      </c>
      <c r="J199" s="9">
        <f t="shared" si="23"/>
        <v>1104.71301112074</v>
      </c>
      <c r="K199" s="9">
        <f t="shared" si="24"/>
        <v>319.76469611441996</v>
      </c>
      <c r="L199" s="10">
        <f t="shared" si="21"/>
        <v>0.28945499228801169</v>
      </c>
      <c r="M199" s="10">
        <f t="shared" si="20"/>
        <v>0.29348909441989196</v>
      </c>
      <c r="P199" s="8">
        <f t="shared" si="25"/>
        <v>35.81528991507291</v>
      </c>
    </row>
    <row r="200" spans="1:16" x14ac:dyDescent="0.2">
      <c r="A200" s="8">
        <v>99</v>
      </c>
      <c r="B200" s="8">
        <v>198</v>
      </c>
      <c r="D200">
        <v>1216.6668656715999</v>
      </c>
      <c r="E200">
        <v>433.37134328358002</v>
      </c>
      <c r="F200">
        <v>146.24836212030999</v>
      </c>
      <c r="G200">
        <v>121.60810005956</v>
      </c>
      <c r="I200" s="9">
        <f t="shared" si="22"/>
        <v>311.76324322402002</v>
      </c>
      <c r="J200" s="9">
        <f t="shared" si="23"/>
        <v>1070.4185035512899</v>
      </c>
      <c r="K200" s="9">
        <f t="shared" si="24"/>
        <v>311.76324322402002</v>
      </c>
      <c r="L200" s="10">
        <f t="shared" si="21"/>
        <v>0.29125360052137933</v>
      </c>
      <c r="M200" s="10">
        <f t="shared" si="20"/>
        <v>0.29530818032905592</v>
      </c>
      <c r="P200" s="8">
        <f t="shared" si="25"/>
        <v>36.657091824686837</v>
      </c>
    </row>
    <row r="201" spans="1:16" x14ac:dyDescent="0.2">
      <c r="A201" s="8">
        <v>99.5</v>
      </c>
      <c r="B201" s="8">
        <v>199</v>
      </c>
      <c r="D201">
        <v>1192.0931343284001</v>
      </c>
      <c r="E201">
        <v>428.31940298507999</v>
      </c>
      <c r="F201">
        <v>146.84633710541999</v>
      </c>
      <c r="G201">
        <v>121.7683144729</v>
      </c>
      <c r="I201" s="9">
        <f t="shared" si="22"/>
        <v>306.55108851218</v>
      </c>
      <c r="J201" s="9">
        <f t="shared" si="23"/>
        <v>1045.2467972229801</v>
      </c>
      <c r="K201" s="9">
        <f t="shared" si="24"/>
        <v>306.55108851218</v>
      </c>
      <c r="L201" s="10">
        <f t="shared" si="21"/>
        <v>0.29328105986703557</v>
      </c>
      <c r="M201" s="10">
        <f t="shared" si="20"/>
        <v>0.29735611735050854</v>
      </c>
      <c r="P201" s="8">
        <f t="shared" si="25"/>
        <v>37.604797090690575</v>
      </c>
    </row>
    <row r="202" spans="1:16" x14ac:dyDescent="0.2">
      <c r="A202" s="8">
        <v>100</v>
      </c>
      <c r="B202" s="8">
        <v>200</v>
      </c>
      <c r="D202">
        <v>1251.6686567163999</v>
      </c>
      <c r="E202">
        <v>444.35701492536998</v>
      </c>
      <c r="F202">
        <v>146.03454437164999</v>
      </c>
      <c r="G202">
        <v>121.70935080405</v>
      </c>
      <c r="I202" s="9">
        <f t="shared" si="22"/>
        <v>322.64766412131996</v>
      </c>
      <c r="J202" s="9">
        <f t="shared" si="23"/>
        <v>1105.6341123447501</v>
      </c>
      <c r="K202" s="9">
        <f t="shared" si="24"/>
        <v>322.64766412131996</v>
      </c>
      <c r="L202" s="10">
        <f t="shared" si="21"/>
        <v>0.29182137247653456</v>
      </c>
      <c r="M202" s="10">
        <f t="shared" si="20"/>
        <v>0.29591690763580386</v>
      </c>
      <c r="P202" s="8">
        <f t="shared" si="25"/>
        <v>36.938787046816323</v>
      </c>
    </row>
    <row r="203" spans="1:16" x14ac:dyDescent="0.2">
      <c r="A203" s="8">
        <v>100.5</v>
      </c>
      <c r="B203" s="8">
        <v>201</v>
      </c>
      <c r="D203">
        <v>1267.7605970149</v>
      </c>
      <c r="E203">
        <v>449.27283582090001</v>
      </c>
      <c r="F203">
        <v>146.22870756403</v>
      </c>
      <c r="G203">
        <v>121.24300178678</v>
      </c>
      <c r="I203" s="9">
        <f t="shared" si="22"/>
        <v>328.02983403412003</v>
      </c>
      <c r="J203" s="9">
        <f t="shared" si="23"/>
        <v>1121.53188945087</v>
      </c>
      <c r="K203" s="9">
        <f t="shared" si="24"/>
        <v>328.02983403412003</v>
      </c>
      <c r="L203" s="10">
        <f t="shared" si="21"/>
        <v>0.29248373329333649</v>
      </c>
      <c r="M203" s="10">
        <f t="shared" si="20"/>
        <v>0.29659974612840212</v>
      </c>
      <c r="P203" s="8">
        <f t="shared" si="25"/>
        <v>37.254778031151581</v>
      </c>
    </row>
    <row r="204" spans="1:16" x14ac:dyDescent="0.2">
      <c r="A204" s="8">
        <v>101</v>
      </c>
      <c r="B204" s="8">
        <v>202</v>
      </c>
      <c r="D204">
        <v>1242.8083582090001</v>
      </c>
      <c r="E204">
        <v>442.25970149253999</v>
      </c>
      <c r="F204">
        <v>146.07683144729</v>
      </c>
      <c r="G204">
        <v>121.48123883264</v>
      </c>
      <c r="I204" s="9">
        <f t="shared" si="22"/>
        <v>320.77846265990001</v>
      </c>
      <c r="J204" s="9">
        <f t="shared" si="23"/>
        <v>1096.73152676171</v>
      </c>
      <c r="K204" s="9">
        <f t="shared" si="24"/>
        <v>320.77846265990001</v>
      </c>
      <c r="L204" s="10">
        <f t="shared" si="21"/>
        <v>0.29248585896591672</v>
      </c>
      <c r="M204" s="10">
        <f t="shared" si="20"/>
        <v>0.29662234947677873</v>
      </c>
      <c r="P204" s="8">
        <f t="shared" si="25"/>
        <v>37.265237977947521</v>
      </c>
    </row>
    <row r="205" spans="1:16" x14ac:dyDescent="0.2">
      <c r="A205" s="8">
        <v>101.5</v>
      </c>
      <c r="B205" s="8">
        <v>203</v>
      </c>
      <c r="D205">
        <v>1252.8298507463001</v>
      </c>
      <c r="E205">
        <v>445.31223880597003</v>
      </c>
      <c r="F205">
        <v>146.67123287671001</v>
      </c>
      <c r="G205">
        <v>121.49315068493</v>
      </c>
      <c r="I205" s="9">
        <f t="shared" si="22"/>
        <v>323.81908812104001</v>
      </c>
      <c r="J205" s="9">
        <f t="shared" si="23"/>
        <v>1106.15861786959</v>
      </c>
      <c r="K205" s="9">
        <f t="shared" si="24"/>
        <v>323.81908812104001</v>
      </c>
      <c r="L205" s="10">
        <f t="shared" si="21"/>
        <v>0.29274200181588833</v>
      </c>
      <c r="M205" s="10">
        <f t="shared" si="20"/>
        <v>0.29689897000254667</v>
      </c>
      <c r="P205" s="8">
        <f t="shared" si="25"/>
        <v>37.393247153136436</v>
      </c>
    </row>
    <row r="206" spans="1:16" x14ac:dyDescent="0.2">
      <c r="A206" s="8">
        <v>102</v>
      </c>
      <c r="B206" s="8">
        <v>204</v>
      </c>
      <c r="D206">
        <v>1272.1182089552001</v>
      </c>
      <c r="E206">
        <v>450.72597014924997</v>
      </c>
      <c r="F206">
        <v>146.21739130435</v>
      </c>
      <c r="G206">
        <v>121.39070875521</v>
      </c>
      <c r="I206" s="9">
        <f t="shared" si="22"/>
        <v>329.33526139404</v>
      </c>
      <c r="J206" s="9">
        <f t="shared" si="23"/>
        <v>1125.9008176508501</v>
      </c>
      <c r="K206" s="9">
        <f t="shared" si="24"/>
        <v>329.33526139404</v>
      </c>
      <c r="L206" s="10">
        <f t="shared" si="21"/>
        <v>0.29250823538896231</v>
      </c>
      <c r="M206" s="10">
        <f t="shared" si="20"/>
        <v>0.29668568125141698</v>
      </c>
      <c r="P206" s="8">
        <f t="shared" si="25"/>
        <v>37.294545449662373</v>
      </c>
    </row>
    <row r="207" spans="1:16" x14ac:dyDescent="0.2">
      <c r="A207" s="8">
        <v>102.5</v>
      </c>
      <c r="B207" s="8">
        <v>205</v>
      </c>
      <c r="D207">
        <v>1275.4477611939999</v>
      </c>
      <c r="E207">
        <v>447.52059701492999</v>
      </c>
      <c r="F207">
        <v>146.41989279333001</v>
      </c>
      <c r="G207">
        <v>121.76712328767</v>
      </c>
      <c r="I207" s="9">
        <f t="shared" si="22"/>
        <v>325.75347372725997</v>
      </c>
      <c r="J207" s="9">
        <f t="shared" si="23"/>
        <v>1129.0278684006698</v>
      </c>
      <c r="K207" s="9">
        <f t="shared" si="24"/>
        <v>325.75347372725997</v>
      </c>
      <c r="L207" s="10">
        <f t="shared" si="21"/>
        <v>0.28852562708545693</v>
      </c>
      <c r="M207" s="10">
        <f t="shared" si="20"/>
        <v>0.29272355062370797</v>
      </c>
      <c r="P207" s="8">
        <f t="shared" si="25"/>
        <v>35.461026146509639</v>
      </c>
    </row>
    <row r="208" spans="1:16" x14ac:dyDescent="0.2">
      <c r="A208" s="8">
        <v>103</v>
      </c>
      <c r="B208" s="8">
        <v>206</v>
      </c>
      <c r="D208">
        <v>1306.3767164179001</v>
      </c>
      <c r="E208">
        <v>456.66328358209</v>
      </c>
      <c r="F208">
        <v>146.37284097676999</v>
      </c>
      <c r="G208">
        <v>121.16438356163999</v>
      </c>
      <c r="I208" s="9">
        <f t="shared" si="22"/>
        <v>335.49890002045004</v>
      </c>
      <c r="J208" s="9">
        <f t="shared" si="23"/>
        <v>1160.00387544113</v>
      </c>
      <c r="K208" s="9">
        <f t="shared" si="24"/>
        <v>335.49890002045004</v>
      </c>
      <c r="L208" s="10">
        <f t="shared" si="21"/>
        <v>0.28922222341099113</v>
      </c>
      <c r="M208" s="10">
        <f t="shared" si="20"/>
        <v>0.2934406246250385</v>
      </c>
      <c r="P208" s="8">
        <f t="shared" si="25"/>
        <v>35.792859987129056</v>
      </c>
    </row>
    <row r="209" spans="1:16" x14ac:dyDescent="0.2">
      <c r="A209" s="8">
        <v>103.5</v>
      </c>
      <c r="B209" s="8">
        <v>207</v>
      </c>
      <c r="D209">
        <v>1275.9420895522001</v>
      </c>
      <c r="E209">
        <v>447.18149253731002</v>
      </c>
      <c r="F209">
        <v>146.38415723644999</v>
      </c>
      <c r="G209">
        <v>121.35973793925</v>
      </c>
      <c r="I209" s="9">
        <f t="shared" si="22"/>
        <v>325.82175459806001</v>
      </c>
      <c r="J209" s="9">
        <f t="shared" si="23"/>
        <v>1129.5579323157501</v>
      </c>
      <c r="K209" s="9">
        <f t="shared" si="24"/>
        <v>325.82175459806001</v>
      </c>
      <c r="L209" s="10">
        <f t="shared" si="21"/>
        <v>0.28845068081641489</v>
      </c>
      <c r="M209" s="10">
        <f t="shared" si="20"/>
        <v>0.29268955970625865</v>
      </c>
      <c r="P209" s="8">
        <f t="shared" si="25"/>
        <v>35.44529647751807</v>
      </c>
    </row>
    <row r="210" spans="1:16" x14ac:dyDescent="0.2">
      <c r="A210" s="8">
        <v>104</v>
      </c>
      <c r="B210" s="8">
        <v>208</v>
      </c>
      <c r="D210">
        <v>1298.0907462687001</v>
      </c>
      <c r="E210">
        <v>456.99880597014999</v>
      </c>
      <c r="F210">
        <v>146.69922572959999</v>
      </c>
      <c r="G210">
        <v>121.22156045265</v>
      </c>
      <c r="I210" s="9">
        <f t="shared" si="22"/>
        <v>335.77724551749998</v>
      </c>
      <c r="J210" s="9">
        <f t="shared" si="23"/>
        <v>1151.3915205391002</v>
      </c>
      <c r="K210" s="9">
        <f t="shared" si="24"/>
        <v>335.77724551749998</v>
      </c>
      <c r="L210" s="10">
        <f t="shared" si="21"/>
        <v>0.29162733920455108</v>
      </c>
      <c r="M210" s="10">
        <f t="shared" si="20"/>
        <v>0.29588669577019117</v>
      </c>
      <c r="P210" s="8">
        <f t="shared" si="25"/>
        <v>36.92480617541402</v>
      </c>
    </row>
    <row r="211" spans="1:16" x14ac:dyDescent="0.2">
      <c r="A211" s="8">
        <v>104.5</v>
      </c>
      <c r="B211" s="8">
        <v>209</v>
      </c>
      <c r="D211">
        <v>1304.4943283581999</v>
      </c>
      <c r="E211">
        <v>458.86447761194</v>
      </c>
      <c r="F211">
        <v>146.28231089934999</v>
      </c>
      <c r="G211">
        <v>121.58665872543</v>
      </c>
      <c r="I211" s="9">
        <f t="shared" si="22"/>
        <v>337.27781888650998</v>
      </c>
      <c r="J211" s="9">
        <f t="shared" si="23"/>
        <v>1158.2120174588499</v>
      </c>
      <c r="K211" s="9">
        <f t="shared" si="24"/>
        <v>337.27781888650998</v>
      </c>
      <c r="L211" s="10">
        <f t="shared" si="21"/>
        <v>0.2912055943146809</v>
      </c>
      <c r="M211" s="10">
        <f t="shared" si="20"/>
        <v>0.29548542855611731</v>
      </c>
      <c r="P211" s="8">
        <f t="shared" si="25"/>
        <v>36.739115381278808</v>
      </c>
    </row>
    <row r="212" spans="1:16" x14ac:dyDescent="0.2">
      <c r="A212" s="8">
        <v>105</v>
      </c>
      <c r="B212" s="8">
        <v>210</v>
      </c>
      <c r="D212">
        <v>1310.4011940298999</v>
      </c>
      <c r="E212">
        <v>459.17850746268999</v>
      </c>
      <c r="F212">
        <v>145.64979154259001</v>
      </c>
      <c r="G212">
        <v>121.42525312686</v>
      </c>
      <c r="I212" s="9">
        <f t="shared" si="22"/>
        <v>337.75325433582998</v>
      </c>
      <c r="J212" s="9">
        <f t="shared" si="23"/>
        <v>1164.7514024873099</v>
      </c>
      <c r="K212" s="9">
        <f t="shared" si="24"/>
        <v>337.75325433582998</v>
      </c>
      <c r="L212" s="10">
        <f t="shared" si="21"/>
        <v>0.28997883463764262</v>
      </c>
      <c r="M212" s="10">
        <f t="shared" si="20"/>
        <v>0.29427914655487541</v>
      </c>
      <c r="P212" s="8">
        <f t="shared" si="25"/>
        <v>36.180895185595453</v>
      </c>
    </row>
    <row r="213" spans="1:16" x14ac:dyDescent="0.2">
      <c r="A213" s="8">
        <v>105.5</v>
      </c>
      <c r="B213" s="8">
        <v>211</v>
      </c>
      <c r="D213">
        <v>1316.648358209</v>
      </c>
      <c r="E213">
        <v>459.27701492537</v>
      </c>
      <c r="F213">
        <v>146.29720071470999</v>
      </c>
      <c r="G213">
        <v>121.44014294223</v>
      </c>
      <c r="I213" s="9">
        <f t="shared" si="22"/>
        <v>337.83687198313999</v>
      </c>
      <c r="J213" s="9">
        <f t="shared" si="23"/>
        <v>1170.35115749429</v>
      </c>
      <c r="K213" s="9">
        <f t="shared" si="24"/>
        <v>337.83687198313999</v>
      </c>
      <c r="L213" s="10">
        <f t="shared" si="21"/>
        <v>0.28866282552874584</v>
      </c>
      <c r="M213" s="10">
        <f t="shared" si="20"/>
        <v>0.29298361512177495</v>
      </c>
      <c r="P213" s="8">
        <f t="shared" si="25"/>
        <v>35.581373838717418</v>
      </c>
    </row>
    <row r="214" spans="1:16" x14ac:dyDescent="0.2">
      <c r="A214" s="8">
        <v>106</v>
      </c>
      <c r="B214" s="8">
        <v>212</v>
      </c>
      <c r="D214">
        <v>1306.9791044776</v>
      </c>
      <c r="E214">
        <v>456.98268656715999</v>
      </c>
      <c r="F214">
        <v>146.57772483621</v>
      </c>
      <c r="G214">
        <v>121.19416319238</v>
      </c>
      <c r="I214" s="9">
        <f t="shared" si="22"/>
        <v>335.78852337477997</v>
      </c>
      <c r="J214" s="9">
        <f t="shared" si="23"/>
        <v>1160.4013796413901</v>
      </c>
      <c r="K214" s="9">
        <f t="shared" si="24"/>
        <v>335.78852337477997</v>
      </c>
      <c r="L214" s="10">
        <f t="shared" si="21"/>
        <v>0.28937273711149147</v>
      </c>
      <c r="M214" s="10">
        <f t="shared" si="20"/>
        <v>0.29371400438031692</v>
      </c>
      <c r="P214" s="8">
        <f t="shared" si="25"/>
        <v>35.919369460312168</v>
      </c>
    </row>
    <row r="215" spans="1:16" x14ac:dyDescent="0.2">
      <c r="A215" s="8">
        <v>106.5</v>
      </c>
      <c r="B215" s="8">
        <v>213</v>
      </c>
      <c r="D215">
        <v>1322.5259701493001</v>
      </c>
      <c r="E215">
        <v>457.58626865671999</v>
      </c>
      <c r="F215">
        <v>146.45801072066999</v>
      </c>
      <c r="G215">
        <v>121.26146515783</v>
      </c>
      <c r="I215" s="9">
        <f t="shared" si="22"/>
        <v>336.32480349888999</v>
      </c>
      <c r="J215" s="9">
        <f t="shared" si="23"/>
        <v>1176.06795942863</v>
      </c>
      <c r="K215" s="9">
        <f t="shared" si="24"/>
        <v>336.32480349888999</v>
      </c>
      <c r="L215" s="10">
        <f t="shared" si="21"/>
        <v>0.28597395312281693</v>
      </c>
      <c r="M215" s="10">
        <f t="shared" si="20"/>
        <v>0.29033569806743875</v>
      </c>
      <c r="P215" s="8">
        <f t="shared" si="25"/>
        <v>34.356021247281014</v>
      </c>
    </row>
    <row r="216" spans="1:16" x14ac:dyDescent="0.2">
      <c r="A216" s="8">
        <v>107</v>
      </c>
      <c r="B216" s="8">
        <v>214</v>
      </c>
      <c r="D216">
        <v>1315.4388059702001</v>
      </c>
      <c r="E216">
        <v>455.10507462687002</v>
      </c>
      <c r="F216">
        <v>145.63251935676001</v>
      </c>
      <c r="G216">
        <v>121.12924359738</v>
      </c>
      <c r="I216" s="9">
        <f t="shared" si="22"/>
        <v>333.97583102949</v>
      </c>
      <c r="J216" s="9">
        <f t="shared" si="23"/>
        <v>1169.8062866134401</v>
      </c>
      <c r="K216" s="9">
        <f t="shared" si="24"/>
        <v>333.97583102949</v>
      </c>
      <c r="L216" s="10">
        <f t="shared" si="21"/>
        <v>0.28549669706113623</v>
      </c>
      <c r="M216" s="10">
        <f t="shared" si="20"/>
        <v>0.28987891968155438</v>
      </c>
      <c r="P216" s="8">
        <f t="shared" si="25"/>
        <v>34.144642050965565</v>
      </c>
    </row>
    <row r="217" spans="1:16" x14ac:dyDescent="0.2">
      <c r="A217" s="8">
        <v>107.5</v>
      </c>
      <c r="B217" s="8">
        <v>215</v>
      </c>
      <c r="D217">
        <v>1296.3755223881001</v>
      </c>
      <c r="E217">
        <v>453.12955223880999</v>
      </c>
      <c r="F217">
        <v>145.58665872543</v>
      </c>
      <c r="G217">
        <v>121.45324597974999</v>
      </c>
      <c r="I217" s="9">
        <f t="shared" si="22"/>
        <v>331.67630625905997</v>
      </c>
      <c r="J217" s="9">
        <f t="shared" si="23"/>
        <v>1150.7888636626701</v>
      </c>
      <c r="K217" s="9">
        <f t="shared" si="24"/>
        <v>331.67630625905997</v>
      </c>
      <c r="L217" s="10">
        <f t="shared" si="21"/>
        <v>0.28821647196290912</v>
      </c>
      <c r="M217" s="10">
        <f t="shared" si="20"/>
        <v>0.29261917225912359</v>
      </c>
      <c r="P217" s="8">
        <f t="shared" si="25"/>
        <v>35.412723916149396</v>
      </c>
    </row>
    <row r="218" spans="1:16" x14ac:dyDescent="0.2">
      <c r="A218" s="8">
        <v>108</v>
      </c>
      <c r="B218" s="8">
        <v>216</v>
      </c>
      <c r="D218">
        <v>1302.4985074627</v>
      </c>
      <c r="E218">
        <v>452.49731343283997</v>
      </c>
      <c r="F218">
        <v>145.85527099463999</v>
      </c>
      <c r="G218">
        <v>120.99285288862001</v>
      </c>
      <c r="I218" s="9">
        <f t="shared" si="22"/>
        <v>331.50446054421997</v>
      </c>
      <c r="J218" s="9">
        <f t="shared" si="23"/>
        <v>1156.64323646806</v>
      </c>
      <c r="K218" s="9">
        <f t="shared" si="24"/>
        <v>331.50446054421997</v>
      </c>
      <c r="L218" s="10">
        <f t="shared" si="21"/>
        <v>0.28660908575102734</v>
      </c>
      <c r="M218" s="10">
        <f t="shared" si="20"/>
        <v>0.2910322637230382</v>
      </c>
      <c r="P218" s="8">
        <f t="shared" si="25"/>
        <v>34.678364626503047</v>
      </c>
    </row>
    <row r="219" spans="1:16" x14ac:dyDescent="0.2">
      <c r="A219" s="8">
        <v>108.5</v>
      </c>
      <c r="B219" s="8">
        <v>217</v>
      </c>
      <c r="D219">
        <v>1304.6053731343</v>
      </c>
      <c r="E219">
        <v>449.41492537313002</v>
      </c>
      <c r="F219">
        <v>145.92078618225</v>
      </c>
      <c r="G219">
        <v>121.08576533650999</v>
      </c>
      <c r="I219" s="9">
        <f t="shared" si="22"/>
        <v>328.32916003662001</v>
      </c>
      <c r="J219" s="9">
        <f t="shared" si="23"/>
        <v>1158.68458695205</v>
      </c>
      <c r="K219" s="9">
        <f t="shared" si="24"/>
        <v>328.32916003662001</v>
      </c>
      <c r="L219" s="10">
        <f t="shared" si="21"/>
        <v>0.28336370720205956</v>
      </c>
      <c r="M219" s="10">
        <f t="shared" si="20"/>
        <v>0.28780736284986674</v>
      </c>
      <c r="P219" s="8">
        <f t="shared" si="25"/>
        <v>33.186006459318392</v>
      </c>
    </row>
    <row r="220" spans="1:16" x14ac:dyDescent="0.2">
      <c r="A220" s="8">
        <v>109</v>
      </c>
      <c r="B220" s="8">
        <v>218</v>
      </c>
      <c r="D220">
        <v>1280.5534328358001</v>
      </c>
      <c r="E220">
        <v>443.59582089551998</v>
      </c>
      <c r="F220">
        <v>146.49255509232</v>
      </c>
      <c r="G220">
        <v>120.96605122097</v>
      </c>
      <c r="I220" s="9">
        <f t="shared" si="22"/>
        <v>322.62976967454995</v>
      </c>
      <c r="J220" s="9">
        <f t="shared" si="23"/>
        <v>1134.06087774348</v>
      </c>
      <c r="K220" s="9">
        <f t="shared" si="24"/>
        <v>322.62976967454995</v>
      </c>
      <c r="L220" s="10">
        <f t="shared" si="21"/>
        <v>0.2844906971101136</v>
      </c>
      <c r="M220" s="10">
        <f t="shared" si="20"/>
        <v>0.28895483043371717</v>
      </c>
      <c r="P220" s="8">
        <f t="shared" si="25"/>
        <v>33.717009639783527</v>
      </c>
    </row>
    <row r="221" spans="1:16" x14ac:dyDescent="0.2">
      <c r="A221" s="8">
        <v>109.5</v>
      </c>
      <c r="B221" s="8">
        <v>219</v>
      </c>
      <c r="D221">
        <v>1243.3247761194</v>
      </c>
      <c r="E221">
        <v>433.04776119402999</v>
      </c>
      <c r="F221">
        <v>146.16140559857001</v>
      </c>
      <c r="G221">
        <v>121.35318642049</v>
      </c>
      <c r="I221" s="9">
        <f t="shared" si="22"/>
        <v>311.69457477354001</v>
      </c>
      <c r="J221" s="9">
        <f t="shared" si="23"/>
        <v>1097.1633705208301</v>
      </c>
      <c r="K221" s="9">
        <f t="shared" si="24"/>
        <v>311.69457477354001</v>
      </c>
      <c r="L221" s="10">
        <f t="shared" si="21"/>
        <v>0.28409130595161658</v>
      </c>
      <c r="M221" s="10">
        <f t="shared" si="20"/>
        <v>0.28857591695101648</v>
      </c>
      <c r="P221" s="8">
        <f t="shared" si="25"/>
        <v>33.541663279444499</v>
      </c>
    </row>
    <row r="222" spans="1:16" x14ac:dyDescent="0.2">
      <c r="A222" s="8">
        <v>110</v>
      </c>
      <c r="B222" s="8">
        <v>220</v>
      </c>
      <c r="D222">
        <v>1207.0101492537001</v>
      </c>
      <c r="E222">
        <v>425.34626865671999</v>
      </c>
      <c r="F222">
        <v>145.73674806432001</v>
      </c>
      <c r="G222">
        <v>121.43716497915</v>
      </c>
      <c r="I222" s="9">
        <f t="shared" si="22"/>
        <v>303.90910367756999</v>
      </c>
      <c r="J222" s="9">
        <f t="shared" si="23"/>
        <v>1061.2734011893801</v>
      </c>
      <c r="K222" s="9">
        <f t="shared" si="24"/>
        <v>303.90910367756999</v>
      </c>
      <c r="L222" s="10">
        <f t="shared" si="21"/>
        <v>0.28636268782104207</v>
      </c>
      <c r="M222" s="10">
        <f t="shared" si="20"/>
        <v>0.2908677764962383</v>
      </c>
      <c r="P222" s="8">
        <f t="shared" si="25"/>
        <v>34.60224636241793</v>
      </c>
    </row>
    <row r="223" spans="1:16" x14ac:dyDescent="0.2">
      <c r="A223" s="8">
        <v>110.5</v>
      </c>
      <c r="B223" s="8">
        <v>221</v>
      </c>
      <c r="D223">
        <v>1232.127761194</v>
      </c>
      <c r="E223">
        <v>427.17671641790997</v>
      </c>
      <c r="F223">
        <v>145.91363907088001</v>
      </c>
      <c r="G223">
        <v>121.0202501489</v>
      </c>
      <c r="I223" s="9">
        <f t="shared" si="22"/>
        <v>306.15646626900997</v>
      </c>
      <c r="J223" s="9">
        <f t="shared" si="23"/>
        <v>1086.21412212312</v>
      </c>
      <c r="K223" s="9">
        <f t="shared" si="24"/>
        <v>306.15646626900997</v>
      </c>
      <c r="L223" s="10">
        <f t="shared" si="21"/>
        <v>0.28185645908432388</v>
      </c>
      <c r="M223" s="10">
        <f t="shared" si="20"/>
        <v>0.28638202543531649</v>
      </c>
      <c r="P223" s="8">
        <f t="shared" si="25"/>
        <v>32.526415974136732</v>
      </c>
    </row>
    <row r="224" spans="1:16" x14ac:dyDescent="0.2">
      <c r="A224" s="8">
        <v>111</v>
      </c>
      <c r="B224" s="8">
        <v>222</v>
      </c>
      <c r="D224">
        <v>1263.6519402985</v>
      </c>
      <c r="E224">
        <v>432.38268656716002</v>
      </c>
      <c r="F224">
        <v>146.21620011912</v>
      </c>
      <c r="G224">
        <v>121.07504466944999</v>
      </c>
      <c r="I224" s="9">
        <f t="shared" si="22"/>
        <v>311.30764189771003</v>
      </c>
      <c r="J224" s="9">
        <f t="shared" si="23"/>
        <v>1117.43574017938</v>
      </c>
      <c r="K224" s="9">
        <f t="shared" si="24"/>
        <v>311.30764189771003</v>
      </c>
      <c r="L224" s="10">
        <f t="shared" si="21"/>
        <v>0.27859109092728351</v>
      </c>
      <c r="M224" s="10">
        <f t="shared" si="20"/>
        <v>0.28313713495407244</v>
      </c>
      <c r="P224" s="8">
        <f t="shared" si="25"/>
        <v>31.024807397082395</v>
      </c>
    </row>
    <row r="225" spans="1:16" x14ac:dyDescent="0.2">
      <c r="A225" s="8">
        <v>111.5</v>
      </c>
      <c r="B225" s="8">
        <v>223</v>
      </c>
      <c r="D225">
        <v>1235.5880597015</v>
      </c>
      <c r="E225">
        <v>423.41492537313002</v>
      </c>
      <c r="F225">
        <v>146.61346039309001</v>
      </c>
      <c r="G225">
        <v>121.40500297796</v>
      </c>
      <c r="I225" s="9">
        <f t="shared" si="22"/>
        <v>302.00992239517001</v>
      </c>
      <c r="J225" s="9">
        <f t="shared" si="23"/>
        <v>1088.97459930841</v>
      </c>
      <c r="K225" s="9">
        <f t="shared" si="24"/>
        <v>302.00992239517001</v>
      </c>
      <c r="L225" s="10">
        <f t="shared" si="21"/>
        <v>0.27733422119025697</v>
      </c>
      <c r="M225" s="10">
        <f t="shared" si="20"/>
        <v>0.28190074289284223</v>
      </c>
      <c r="P225" s="8">
        <f t="shared" si="25"/>
        <v>30.452653441663415</v>
      </c>
    </row>
    <row r="226" spans="1:16" x14ac:dyDescent="0.2">
      <c r="A226" s="8">
        <v>112</v>
      </c>
      <c r="B226" s="8">
        <v>224</v>
      </c>
      <c r="D226">
        <v>1220.5999999999999</v>
      </c>
      <c r="E226">
        <v>418.76358208955003</v>
      </c>
      <c r="F226">
        <v>146.04586063132999</v>
      </c>
      <c r="G226">
        <v>121.36271590232001</v>
      </c>
      <c r="I226" s="9">
        <f t="shared" si="22"/>
        <v>297.40086618723001</v>
      </c>
      <c r="J226" s="9">
        <f t="shared" si="23"/>
        <v>1074.5541393686699</v>
      </c>
      <c r="K226" s="9">
        <f t="shared" si="24"/>
        <v>297.40086618723001</v>
      </c>
      <c r="L226" s="10">
        <f t="shared" si="21"/>
        <v>0.27676675868743217</v>
      </c>
      <c r="M226" s="10">
        <f t="shared" si="20"/>
        <v>0.28135375806581381</v>
      </c>
      <c r="P226" s="8">
        <f t="shared" si="25"/>
        <v>30.199530227634451</v>
      </c>
    </row>
    <row r="227" spans="1:16" x14ac:dyDescent="0.2">
      <c r="A227" s="8">
        <v>112.5</v>
      </c>
      <c r="B227" s="8">
        <v>225</v>
      </c>
      <c r="D227">
        <v>1268.2268656716001</v>
      </c>
      <c r="E227">
        <v>427.29194029850999</v>
      </c>
      <c r="F227">
        <v>146.51518761167</v>
      </c>
      <c r="G227">
        <v>121.26086956522001</v>
      </c>
      <c r="I227" s="9">
        <f t="shared" si="22"/>
        <v>306.03107073328999</v>
      </c>
      <c r="J227" s="9">
        <f t="shared" si="23"/>
        <v>1121.7116780599301</v>
      </c>
      <c r="K227" s="9">
        <f t="shared" si="24"/>
        <v>306.03107073328999</v>
      </c>
      <c r="L227" s="10">
        <f t="shared" si="21"/>
        <v>0.27282507325107797</v>
      </c>
      <c r="M227" s="10">
        <f t="shared" si="20"/>
        <v>0.27743255030525593</v>
      </c>
      <c r="P227" s="8">
        <f t="shared" si="25"/>
        <v>28.384948429049896</v>
      </c>
    </row>
    <row r="228" spans="1:16" x14ac:dyDescent="0.2">
      <c r="A228" s="8">
        <v>113</v>
      </c>
      <c r="B228" s="8">
        <v>226</v>
      </c>
      <c r="D228">
        <v>1237.2543283581999</v>
      </c>
      <c r="E228">
        <v>419.99283582089998</v>
      </c>
      <c r="F228">
        <v>146.01786777844001</v>
      </c>
      <c r="G228">
        <v>121.18165574747</v>
      </c>
      <c r="I228" s="9">
        <f t="shared" si="22"/>
        <v>298.81118007342997</v>
      </c>
      <c r="J228" s="9">
        <f t="shared" si="23"/>
        <v>1091.23646057976</v>
      </c>
      <c r="K228" s="9">
        <f t="shared" si="24"/>
        <v>298.81118007342997</v>
      </c>
      <c r="L228" s="10">
        <f t="shared" si="21"/>
        <v>0.27382807564427913</v>
      </c>
      <c r="M228" s="10">
        <f t="shared" si="20"/>
        <v>0.27845603037425343</v>
      </c>
      <c r="P228" s="8">
        <f t="shared" si="25"/>
        <v>28.858575030297029</v>
      </c>
    </row>
    <row r="229" spans="1:16" x14ac:dyDescent="0.2">
      <c r="A229" s="8">
        <v>113.5</v>
      </c>
      <c r="B229" s="8">
        <v>227</v>
      </c>
      <c r="D229">
        <v>1116.5217910448</v>
      </c>
      <c r="E229">
        <v>396.22268656716</v>
      </c>
      <c r="F229">
        <v>146.00833829660999</v>
      </c>
      <c r="G229">
        <v>121.27159023228</v>
      </c>
      <c r="I229" s="9">
        <f t="shared" si="22"/>
        <v>274.95109633487999</v>
      </c>
      <c r="J229" s="9">
        <f t="shared" si="23"/>
        <v>970.51345274819005</v>
      </c>
      <c r="K229" s="9">
        <f t="shared" si="24"/>
        <v>274.95109633487999</v>
      </c>
      <c r="L229" s="10">
        <f t="shared" si="21"/>
        <v>0.28330477599903908</v>
      </c>
      <c r="M229" s="10">
        <f t="shared" si="20"/>
        <v>0.28795320840480976</v>
      </c>
      <c r="P229" s="8">
        <f t="shared" si="25"/>
        <v>33.253498085767283</v>
      </c>
    </row>
    <row r="230" spans="1:16" x14ac:dyDescent="0.2">
      <c r="A230" s="8">
        <v>114</v>
      </c>
      <c r="B230" s="8">
        <v>228</v>
      </c>
      <c r="D230">
        <v>1234.0137313432999</v>
      </c>
      <c r="E230">
        <v>415.88059701493</v>
      </c>
      <c r="F230">
        <v>145.70577724835999</v>
      </c>
      <c r="G230">
        <v>121.09886837403</v>
      </c>
      <c r="I230" s="9">
        <f t="shared" si="22"/>
        <v>294.78172864089998</v>
      </c>
      <c r="J230" s="9">
        <f t="shared" si="23"/>
        <v>1088.30795409494</v>
      </c>
      <c r="K230" s="9">
        <f t="shared" si="24"/>
        <v>294.78172864089998</v>
      </c>
      <c r="L230" s="10">
        <f t="shared" si="21"/>
        <v>0.27086242228749191</v>
      </c>
      <c r="M230" s="10">
        <f t="shared" si="20"/>
        <v>0.27553133236905891</v>
      </c>
      <c r="P230" s="8">
        <f t="shared" si="25"/>
        <v>27.505139025205711</v>
      </c>
    </row>
    <row r="231" spans="1:16" x14ac:dyDescent="0.2">
      <c r="A231" s="8">
        <v>114.5</v>
      </c>
      <c r="B231" s="8">
        <v>229</v>
      </c>
      <c r="D231">
        <v>1249.7253731343001</v>
      </c>
      <c r="E231">
        <v>419.02149253731</v>
      </c>
      <c r="F231">
        <v>146.07087552114001</v>
      </c>
      <c r="G231">
        <v>121.04943418702</v>
      </c>
      <c r="I231" s="9">
        <f t="shared" si="22"/>
        <v>297.97205835029001</v>
      </c>
      <c r="J231" s="9">
        <f t="shared" si="23"/>
        <v>1103.6544976131599</v>
      </c>
      <c r="K231" s="9">
        <f t="shared" si="24"/>
        <v>297.97205835029001</v>
      </c>
      <c r="L231" s="10">
        <f t="shared" si="21"/>
        <v>0.26998672047701988</v>
      </c>
      <c r="M231" s="10">
        <f t="shared" si="20"/>
        <v>0.27467610823438321</v>
      </c>
      <c r="P231" s="8">
        <f t="shared" si="25"/>
        <v>27.109374698688111</v>
      </c>
    </row>
    <row r="232" spans="1:16" x14ac:dyDescent="0.2">
      <c r="A232" s="8">
        <v>115</v>
      </c>
      <c r="B232" s="8">
        <v>230</v>
      </c>
      <c r="D232">
        <v>1286.3994029851001</v>
      </c>
      <c r="E232">
        <v>427.86268656715998</v>
      </c>
      <c r="F232">
        <v>145.84395473495999</v>
      </c>
      <c r="G232">
        <v>120.8290649196</v>
      </c>
      <c r="I232" s="9">
        <f t="shared" si="22"/>
        <v>307.03362164755998</v>
      </c>
      <c r="J232" s="9">
        <f t="shared" si="23"/>
        <v>1140.5554482501402</v>
      </c>
      <c r="K232" s="9">
        <f t="shared" si="24"/>
        <v>307.03362164755998</v>
      </c>
      <c r="L232" s="10">
        <f t="shared" si="21"/>
        <v>0.26919657621084203</v>
      </c>
      <c r="M232" s="10">
        <f t="shared" si="20"/>
        <v>0.27390644164400174</v>
      </c>
      <c r="P232" s="8">
        <f t="shared" si="25"/>
        <v>26.753203061996729</v>
      </c>
    </row>
    <row r="233" spans="1:16" x14ac:dyDescent="0.2">
      <c r="A233" s="8">
        <v>115.5</v>
      </c>
      <c r="B233" s="8">
        <v>231</v>
      </c>
      <c r="D233">
        <v>1236.6011940298999</v>
      </c>
      <c r="E233">
        <v>420.55164179104997</v>
      </c>
      <c r="F233">
        <v>146.02084574150999</v>
      </c>
      <c r="G233">
        <v>121.19833234068</v>
      </c>
      <c r="I233" s="9">
        <f t="shared" si="22"/>
        <v>299.35330945036998</v>
      </c>
      <c r="J233" s="9">
        <f t="shared" si="23"/>
        <v>1090.58034828839</v>
      </c>
      <c r="K233" s="9">
        <f t="shared" si="24"/>
        <v>299.35330945036998</v>
      </c>
      <c r="L233" s="10">
        <f t="shared" si="21"/>
        <v>0.27448991715299992</v>
      </c>
      <c r="M233" s="10">
        <f t="shared" si="20"/>
        <v>0.27922026026195595</v>
      </c>
      <c r="P233" s="8">
        <f t="shared" si="25"/>
        <v>29.212230773333207</v>
      </c>
    </row>
    <row r="234" spans="1:16" x14ac:dyDescent="0.2">
      <c r="A234" s="8">
        <v>116</v>
      </c>
      <c r="B234" s="8">
        <v>232</v>
      </c>
      <c r="D234">
        <v>1246.0459701493</v>
      </c>
      <c r="E234">
        <v>425.42447761194001</v>
      </c>
      <c r="F234">
        <v>145.59142346634999</v>
      </c>
      <c r="G234">
        <v>121.21977367481</v>
      </c>
      <c r="I234" s="9">
        <f t="shared" si="22"/>
        <v>304.20470393713003</v>
      </c>
      <c r="J234" s="9">
        <f t="shared" si="23"/>
        <v>1100.45454668295</v>
      </c>
      <c r="K234" s="9">
        <f t="shared" si="24"/>
        <v>304.20470393713003</v>
      </c>
      <c r="L234" s="10">
        <f t="shared" si="21"/>
        <v>0.27643550099736552</v>
      </c>
      <c r="M234" s="10">
        <f t="shared" si="20"/>
        <v>0.28118632178211794</v>
      </c>
      <c r="P234" s="8">
        <f t="shared" si="25"/>
        <v>30.122047255201</v>
      </c>
    </row>
    <row r="235" spans="1:16" x14ac:dyDescent="0.2">
      <c r="A235" s="8">
        <v>116.5</v>
      </c>
      <c r="B235" s="8">
        <v>233</v>
      </c>
      <c r="D235">
        <v>1316.2614925373</v>
      </c>
      <c r="E235">
        <v>438.92656716418003</v>
      </c>
      <c r="F235">
        <v>146.36807623586</v>
      </c>
      <c r="G235">
        <v>120.88326384753</v>
      </c>
      <c r="I235" s="9">
        <f t="shared" si="22"/>
        <v>318.04330331665005</v>
      </c>
      <c r="J235" s="9">
        <f t="shared" si="23"/>
        <v>1169.8934163014401</v>
      </c>
      <c r="K235" s="9">
        <f t="shared" si="24"/>
        <v>318.04330331665005</v>
      </c>
      <c r="L235" s="10">
        <f t="shared" si="21"/>
        <v>0.27185664855019714</v>
      </c>
      <c r="M235" s="10">
        <f t="shared" si="20"/>
        <v>0.27662794701074589</v>
      </c>
      <c r="P235" s="8">
        <f t="shared" si="25"/>
        <v>28.012609450231956</v>
      </c>
    </row>
    <row r="236" spans="1:16" x14ac:dyDescent="0.2">
      <c r="A236" s="8">
        <v>117</v>
      </c>
      <c r="B236" s="8">
        <v>234</v>
      </c>
      <c r="D236">
        <v>1305.6991044776</v>
      </c>
      <c r="E236">
        <v>437.66149253730998</v>
      </c>
      <c r="F236">
        <v>145.53305539011001</v>
      </c>
      <c r="G236">
        <v>121.02322811197</v>
      </c>
      <c r="I236" s="9">
        <f t="shared" si="22"/>
        <v>316.63826442533997</v>
      </c>
      <c r="J236" s="9">
        <f t="shared" si="23"/>
        <v>1160.1660490874901</v>
      </c>
      <c r="K236" s="9">
        <f t="shared" si="24"/>
        <v>316.63826442533997</v>
      </c>
      <c r="L236" s="10">
        <f t="shared" si="21"/>
        <v>0.27292495300512082</v>
      </c>
      <c r="M236" s="10">
        <f t="shared" si="20"/>
        <v>0.27771672914146589</v>
      </c>
      <c r="P236" s="8">
        <f t="shared" si="25"/>
        <v>28.516455295101839</v>
      </c>
    </row>
    <row r="237" spans="1:16" x14ac:dyDescent="0.2">
      <c r="A237" s="8">
        <v>117.5</v>
      </c>
      <c r="B237" s="8">
        <v>235</v>
      </c>
      <c r="D237">
        <v>1296.6095522388</v>
      </c>
      <c r="E237">
        <v>435.21134328357999</v>
      </c>
      <c r="F237">
        <v>146.06849315068999</v>
      </c>
      <c r="G237">
        <v>121.01310303752</v>
      </c>
      <c r="I237" s="9">
        <f t="shared" si="22"/>
        <v>314.19824024605998</v>
      </c>
      <c r="J237" s="9">
        <f t="shared" si="23"/>
        <v>1150.5410590881099</v>
      </c>
      <c r="K237" s="9">
        <f t="shared" si="24"/>
        <v>314.19824024605998</v>
      </c>
      <c r="L237" s="10">
        <f t="shared" si="21"/>
        <v>0.27308737725108712</v>
      </c>
      <c r="M237" s="10">
        <f t="shared" si="20"/>
        <v>0.27789963106322857</v>
      </c>
      <c r="P237" s="8">
        <f t="shared" si="25"/>
        <v>28.601095160781764</v>
      </c>
    </row>
    <row r="238" spans="1:16" x14ac:dyDescent="0.2">
      <c r="A238" s="8">
        <v>118</v>
      </c>
      <c r="B238" s="8">
        <v>236</v>
      </c>
      <c r="D238">
        <v>1297.9671641791001</v>
      </c>
      <c r="E238">
        <v>436.69432835820999</v>
      </c>
      <c r="F238">
        <v>146.03573555688001</v>
      </c>
      <c r="G238">
        <v>120.99344848123999</v>
      </c>
      <c r="I238" s="9">
        <f t="shared" si="22"/>
        <v>315.70087987697002</v>
      </c>
      <c r="J238" s="9">
        <f t="shared" si="23"/>
        <v>1151.9314286222202</v>
      </c>
      <c r="K238" s="9">
        <f t="shared" si="24"/>
        <v>315.70087987697002</v>
      </c>
      <c r="L238" s="10">
        <f t="shared" si="21"/>
        <v>0.27406221588603358</v>
      </c>
      <c r="M238" s="10">
        <f t="shared" si="20"/>
        <v>0.27889494737397136</v>
      </c>
      <c r="P238" s="8">
        <f t="shared" si="25"/>
        <v>29.061688674717693</v>
      </c>
    </row>
    <row r="239" spans="1:16" x14ac:dyDescent="0.2">
      <c r="A239" s="8">
        <v>118.5</v>
      </c>
      <c r="B239" s="8">
        <v>237</v>
      </c>
      <c r="D239">
        <v>1266.4674626865999</v>
      </c>
      <c r="E239">
        <v>432.06985074626999</v>
      </c>
      <c r="F239">
        <v>145.56819535438001</v>
      </c>
      <c r="G239">
        <v>121.44550327576</v>
      </c>
      <c r="I239" s="9">
        <f t="shared" si="22"/>
        <v>310.62434747050997</v>
      </c>
      <c r="J239" s="9">
        <f t="shared" si="23"/>
        <v>1120.89926733222</v>
      </c>
      <c r="K239" s="9">
        <f t="shared" si="24"/>
        <v>310.62434747050997</v>
      </c>
      <c r="L239" s="10">
        <f t="shared" si="21"/>
        <v>0.27712066242117095</v>
      </c>
      <c r="M239" s="10">
        <f t="shared" si="20"/>
        <v>0.28197387158490506</v>
      </c>
      <c r="P239" s="8">
        <f t="shared" si="25"/>
        <v>30.486494544118187</v>
      </c>
    </row>
    <row r="240" spans="1:16" x14ac:dyDescent="0.2">
      <c r="A240" s="8">
        <v>119</v>
      </c>
      <c r="B240" s="8">
        <v>238</v>
      </c>
      <c r="D240">
        <v>1260.8865671642</v>
      </c>
      <c r="E240">
        <v>429.01611940299</v>
      </c>
      <c r="F240">
        <v>145.54973198331999</v>
      </c>
      <c r="G240">
        <v>120.79511614056</v>
      </c>
      <c r="I240" s="9">
        <f t="shared" si="22"/>
        <v>308.22100326243003</v>
      </c>
      <c r="J240" s="9">
        <f t="shared" si="23"/>
        <v>1115.3368351808799</v>
      </c>
      <c r="K240" s="9">
        <f t="shared" si="24"/>
        <v>308.22100326243003</v>
      </c>
      <c r="L240" s="10">
        <f t="shared" si="21"/>
        <v>0.27634790992305408</v>
      </c>
      <c r="M240" s="10">
        <f t="shared" si="20"/>
        <v>0.28122159676258457</v>
      </c>
      <c r="P240" s="8">
        <f t="shared" si="25"/>
        <v>30.138371138404541</v>
      </c>
    </row>
    <row r="241" spans="1:16" x14ac:dyDescent="0.2">
      <c r="A241" s="8">
        <v>119.5</v>
      </c>
      <c r="B241" s="8">
        <v>239</v>
      </c>
      <c r="D241">
        <v>1271.7432835821</v>
      </c>
      <c r="E241">
        <v>430.93671641791002</v>
      </c>
      <c r="F241">
        <v>145.65336509827</v>
      </c>
      <c r="G241">
        <v>120.68195354378</v>
      </c>
      <c r="I241" s="9">
        <f t="shared" si="22"/>
        <v>310.25476287413005</v>
      </c>
      <c r="J241" s="9">
        <f t="shared" si="23"/>
        <v>1126.0899184838299</v>
      </c>
      <c r="K241" s="9">
        <f t="shared" si="24"/>
        <v>310.25476287413005</v>
      </c>
      <c r="L241" s="10">
        <f t="shared" si="21"/>
        <v>0.27551508789978135</v>
      </c>
      <c r="M241" s="10">
        <f t="shared" si="20"/>
        <v>0.28040925241510817</v>
      </c>
      <c r="P241" s="8">
        <f t="shared" si="25"/>
        <v>29.762449902620798</v>
      </c>
    </row>
    <row r="242" spans="1:16" x14ac:dyDescent="0.2">
      <c r="A242" s="8">
        <v>120</v>
      </c>
      <c r="B242" s="8">
        <v>240</v>
      </c>
      <c r="D242">
        <v>1232.4644776119001</v>
      </c>
      <c r="E242">
        <v>421.66388059702001</v>
      </c>
      <c r="F242">
        <v>145.23585467539999</v>
      </c>
      <c r="G242">
        <v>120.89696247767</v>
      </c>
      <c r="I242" s="9">
        <f>E242-G242</f>
        <v>300.76691811935001</v>
      </c>
      <c r="J242" s="9">
        <f>D242-F242</f>
        <v>1087.2286229365</v>
      </c>
      <c r="K242" s="9">
        <f t="shared" si="24"/>
        <v>300.76691811935001</v>
      </c>
      <c r="L242" s="10">
        <f t="shared" si="21"/>
        <v>0.27663631344344808</v>
      </c>
      <c r="M242" s="10">
        <f>L242+ABS($N$2)*A242</f>
        <v>0.28155095563457122</v>
      </c>
      <c r="O242" s="11"/>
      <c r="P242" s="8">
        <f>(M242-$O$2)/$O$2*100</f>
        <v>30.290785560389743</v>
      </c>
    </row>
    <row r="243" spans="1:16" x14ac:dyDescent="0.2">
      <c r="A243" s="8">
        <v>120.5</v>
      </c>
      <c r="B243" s="8">
        <v>241</v>
      </c>
      <c r="D243">
        <v>1177.7092537312999</v>
      </c>
      <c r="E243">
        <v>404.80238805969998</v>
      </c>
      <c r="F243">
        <v>145.90530077426999</v>
      </c>
      <c r="G243">
        <v>121.22156045265</v>
      </c>
      <c r="I243" s="9">
        <f t="shared" ref="I243:I274" si="26">E243-G243</f>
        <v>283.58082760704997</v>
      </c>
      <c r="J243" s="9">
        <f t="shared" ref="J243:J274" si="27">D243-F243</f>
        <v>1031.8039529570299</v>
      </c>
      <c r="K243" s="9">
        <f t="shared" si="24"/>
        <v>283.58082760704997</v>
      </c>
      <c r="L243" s="10">
        <f t="shared" si="21"/>
        <v>0.27483983444174676</v>
      </c>
      <c r="M243" s="10">
        <f t="shared" ref="M243:M274" si="28">L243+ABS($N$2)*A243</f>
        <v>0.27977495430866628</v>
      </c>
      <c r="P243" s="8">
        <f t="shared" ref="P243:P274" si="29">(M243-$O$2)/$O$2*100</f>
        <v>29.46892151312726</v>
      </c>
    </row>
    <row r="244" spans="1:16" x14ac:dyDescent="0.2">
      <c r="A244" s="8">
        <v>121</v>
      </c>
      <c r="B244" s="8">
        <v>242</v>
      </c>
      <c r="D244">
        <v>1130.5301492537001</v>
      </c>
      <c r="E244">
        <v>392.45432835820998</v>
      </c>
      <c r="F244">
        <v>145.42882668255001</v>
      </c>
      <c r="G244">
        <v>121.16438356163999</v>
      </c>
      <c r="I244" s="9">
        <f t="shared" si="26"/>
        <v>271.28994479657001</v>
      </c>
      <c r="J244" s="9">
        <f t="shared" si="27"/>
        <v>985.10132257115004</v>
      </c>
      <c r="K244" s="9">
        <f t="shared" si="24"/>
        <v>271.28994479657001</v>
      </c>
      <c r="L244" s="10">
        <f t="shared" si="21"/>
        <v>0.27539293530587639</v>
      </c>
      <c r="M244" s="10">
        <f t="shared" si="28"/>
        <v>0.28034853284859224</v>
      </c>
      <c r="N244" s="1"/>
      <c r="P244" s="8">
        <f t="shared" si="29"/>
        <v>29.734351258798341</v>
      </c>
    </row>
    <row r="245" spans="1:16" x14ac:dyDescent="0.2">
      <c r="A245" s="8">
        <v>121.5</v>
      </c>
      <c r="B245" s="8">
        <v>243</v>
      </c>
      <c r="D245">
        <v>1127.3420895521999</v>
      </c>
      <c r="E245">
        <v>392.28119402984998</v>
      </c>
      <c r="F245">
        <v>145.97141155450001</v>
      </c>
      <c r="G245">
        <v>120.98570577725</v>
      </c>
      <c r="I245" s="9">
        <f t="shared" si="26"/>
        <v>271.29548825259997</v>
      </c>
      <c r="J245" s="9">
        <f t="shared" si="27"/>
        <v>981.37067799769989</v>
      </c>
      <c r="K245" s="9">
        <f t="shared" si="24"/>
        <v>271.29548825259997</v>
      </c>
      <c r="L245" s="10">
        <f t="shared" si="21"/>
        <v>0.2764454801177948</v>
      </c>
      <c r="M245" s="10">
        <f t="shared" si="28"/>
        <v>0.28142155533630703</v>
      </c>
      <c r="P245" s="8">
        <f t="shared" si="29"/>
        <v>30.230904156419395</v>
      </c>
    </row>
    <row r="246" spans="1:16" x14ac:dyDescent="0.2">
      <c r="A246" s="8">
        <v>122</v>
      </c>
      <c r="B246" s="8">
        <v>244</v>
      </c>
      <c r="D246">
        <v>1168.68</v>
      </c>
      <c r="E246">
        <v>400.65791044776</v>
      </c>
      <c r="F246">
        <v>145.80941036331001</v>
      </c>
      <c r="G246">
        <v>120.65336509827</v>
      </c>
      <c r="I246" s="9">
        <f t="shared" si="26"/>
        <v>280.00454534949</v>
      </c>
      <c r="J246" s="9">
        <f t="shared" si="27"/>
        <v>1022.8705896366901</v>
      </c>
      <c r="K246" s="9">
        <f t="shared" si="24"/>
        <v>280.00454534949</v>
      </c>
      <c r="L246" s="10">
        <f t="shared" si="21"/>
        <v>0.27374386182023658</v>
      </c>
      <c r="M246" s="10">
        <f t="shared" si="28"/>
        <v>0.27874041471454514</v>
      </c>
      <c r="P246" s="8">
        <f t="shared" si="29"/>
        <v>28.99017699561151</v>
      </c>
    </row>
    <row r="247" spans="1:16" x14ac:dyDescent="0.2">
      <c r="A247" s="8">
        <v>122.5</v>
      </c>
      <c r="B247" s="8">
        <v>245</v>
      </c>
      <c r="D247">
        <v>1190.2131343284</v>
      </c>
      <c r="E247">
        <v>401.79343283582</v>
      </c>
      <c r="F247">
        <v>145.96486003574</v>
      </c>
      <c r="G247">
        <v>120.77129243597</v>
      </c>
      <c r="I247" s="9">
        <f t="shared" si="26"/>
        <v>281.02214039985</v>
      </c>
      <c r="J247" s="9">
        <f t="shared" si="27"/>
        <v>1044.24827429266</v>
      </c>
      <c r="K247" s="9">
        <f t="shared" si="24"/>
        <v>281.02214039985</v>
      </c>
      <c r="L247" s="10">
        <f t="shared" si="21"/>
        <v>0.26911429716290919</v>
      </c>
      <c r="M247" s="10">
        <f t="shared" si="28"/>
        <v>0.27413132773301407</v>
      </c>
      <c r="P247" s="8">
        <f t="shared" si="29"/>
        <v>26.85727156047858</v>
      </c>
    </row>
    <row r="248" spans="1:16" x14ac:dyDescent="0.2">
      <c r="A248" s="8">
        <v>123</v>
      </c>
      <c r="B248" s="8">
        <v>246</v>
      </c>
      <c r="D248">
        <v>1265.696119403</v>
      </c>
      <c r="E248">
        <v>413.69910447760998</v>
      </c>
      <c r="F248">
        <v>145.41870160810001</v>
      </c>
      <c r="G248">
        <v>120.55211435378</v>
      </c>
      <c r="I248" s="9">
        <f t="shared" si="26"/>
        <v>293.14699012382999</v>
      </c>
      <c r="J248" s="9">
        <f t="shared" si="27"/>
        <v>1120.2774177949</v>
      </c>
      <c r="K248" s="9">
        <f t="shared" si="24"/>
        <v>293.14699012382999</v>
      </c>
      <c r="L248" s="10">
        <f t="shared" si="21"/>
        <v>0.2616735689458477</v>
      </c>
      <c r="M248" s="10">
        <f t="shared" si="28"/>
        <v>0.26671107719174897</v>
      </c>
      <c r="P248" s="8">
        <f t="shared" si="29"/>
        <v>23.423469427229396</v>
      </c>
    </row>
    <row r="249" spans="1:16" x14ac:dyDescent="0.2">
      <c r="A249" s="8">
        <v>123.5</v>
      </c>
      <c r="B249" s="8">
        <v>247</v>
      </c>
      <c r="D249">
        <v>1259.6949253731</v>
      </c>
      <c r="E249">
        <v>411.93731343284003</v>
      </c>
      <c r="F249">
        <v>145.36509827277999</v>
      </c>
      <c r="G249">
        <v>121.11256700417</v>
      </c>
      <c r="I249" s="9">
        <f t="shared" si="26"/>
        <v>290.82474642867004</v>
      </c>
      <c r="J249" s="9">
        <f t="shared" si="27"/>
        <v>1114.32982710032</v>
      </c>
      <c r="K249" s="9">
        <f t="shared" si="24"/>
        <v>290.82474642867004</v>
      </c>
      <c r="L249" s="10">
        <f t="shared" si="21"/>
        <v>0.26098623527420656</v>
      </c>
      <c r="M249" s="10">
        <f t="shared" si="28"/>
        <v>0.26604422119590415</v>
      </c>
      <c r="P249" s="8">
        <f t="shared" si="29"/>
        <v>23.114874518153517</v>
      </c>
    </row>
    <row r="250" spans="1:16" x14ac:dyDescent="0.2">
      <c r="A250" s="8">
        <v>124</v>
      </c>
      <c r="B250" s="8">
        <v>248</v>
      </c>
      <c r="D250">
        <v>1275.8053731343</v>
      </c>
      <c r="E250">
        <v>415.30865671641999</v>
      </c>
      <c r="F250">
        <v>145.79571173317001</v>
      </c>
      <c r="G250">
        <v>120.66408576534</v>
      </c>
      <c r="I250" s="9">
        <f t="shared" si="26"/>
        <v>294.64457095107997</v>
      </c>
      <c r="J250" s="9">
        <f t="shared" si="27"/>
        <v>1130.00966140113</v>
      </c>
      <c r="K250" s="9">
        <f t="shared" si="24"/>
        <v>294.64457095107997</v>
      </c>
      <c r="L250" s="10">
        <f t="shared" si="21"/>
        <v>0.26074517857284696</v>
      </c>
      <c r="M250" s="10">
        <f t="shared" si="28"/>
        <v>0.26582364217034088</v>
      </c>
      <c r="P250" s="8">
        <f t="shared" si="29"/>
        <v>23.012799160412285</v>
      </c>
    </row>
    <row r="251" spans="1:16" x14ac:dyDescent="0.2">
      <c r="A251" s="8">
        <v>124.5</v>
      </c>
      <c r="B251" s="8">
        <v>249</v>
      </c>
      <c r="D251">
        <v>1219.0585074626999</v>
      </c>
      <c r="E251">
        <v>399.53611940298998</v>
      </c>
      <c r="F251">
        <v>145.07325789160001</v>
      </c>
      <c r="G251">
        <v>120.91185229302999</v>
      </c>
      <c r="I251" s="9">
        <f t="shared" si="26"/>
        <v>278.62426710995999</v>
      </c>
      <c r="J251" s="9">
        <f t="shared" si="27"/>
        <v>1073.9852495711</v>
      </c>
      <c r="K251" s="9">
        <f t="shared" si="24"/>
        <v>278.62426710995999</v>
      </c>
      <c r="L251" s="10">
        <f t="shared" si="21"/>
        <v>0.25943025495110816</v>
      </c>
      <c r="M251" s="10">
        <f t="shared" si="28"/>
        <v>0.26452919622439847</v>
      </c>
      <c r="P251" s="8">
        <f t="shared" si="29"/>
        <v>22.413780134594461</v>
      </c>
    </row>
    <row r="252" spans="1:16" x14ac:dyDescent="0.2">
      <c r="A252" s="8">
        <v>125</v>
      </c>
      <c r="B252" s="8">
        <v>250</v>
      </c>
      <c r="D252">
        <v>1137.2244776119001</v>
      </c>
      <c r="E252">
        <v>380.63940298507998</v>
      </c>
      <c r="F252">
        <v>145.43656938653999</v>
      </c>
      <c r="G252">
        <v>120.85407980941</v>
      </c>
      <c r="I252" s="9">
        <f t="shared" si="26"/>
        <v>259.78532317566999</v>
      </c>
      <c r="J252" s="9">
        <f t="shared" si="27"/>
        <v>991.78790822536007</v>
      </c>
      <c r="K252" s="9">
        <f t="shared" si="24"/>
        <v>259.78532317566999</v>
      </c>
      <c r="L252" s="10">
        <f t="shared" si="21"/>
        <v>0.26193636867433956</v>
      </c>
      <c r="M252" s="10">
        <f t="shared" si="28"/>
        <v>0.26705578762342619</v>
      </c>
      <c r="P252" s="8">
        <f t="shared" si="29"/>
        <v>23.582987951444167</v>
      </c>
    </row>
    <row r="253" spans="1:16" x14ac:dyDescent="0.2">
      <c r="A253" s="8">
        <v>125.5</v>
      </c>
      <c r="B253" s="8">
        <v>251</v>
      </c>
      <c r="D253">
        <v>1170.7455303933</v>
      </c>
      <c r="E253">
        <v>387.24076281287</v>
      </c>
      <c r="F253">
        <v>145.47826086956999</v>
      </c>
      <c r="G253">
        <v>120.92852888624</v>
      </c>
      <c r="I253" s="9">
        <f t="shared" si="26"/>
        <v>266.31223392663003</v>
      </c>
      <c r="J253" s="9">
        <f t="shared" si="27"/>
        <v>1025.26726952373</v>
      </c>
      <c r="K253" s="9">
        <f t="shared" si="24"/>
        <v>266.31223392663003</v>
      </c>
      <c r="L253" s="10">
        <f t="shared" si="21"/>
        <v>0.25974908381727696</v>
      </c>
      <c r="M253" s="10">
        <f t="shared" si="28"/>
        <v>0.26488898044215992</v>
      </c>
      <c r="P253" s="8">
        <f t="shared" si="29"/>
        <v>22.580274218262964</v>
      </c>
    </row>
    <row r="254" spans="1:16" x14ac:dyDescent="0.2">
      <c r="A254" s="8">
        <v>126</v>
      </c>
      <c r="B254" s="8">
        <v>252</v>
      </c>
      <c r="D254">
        <v>1170.6007151371</v>
      </c>
      <c r="E254">
        <v>389.17699642432001</v>
      </c>
      <c r="F254">
        <v>145.63549731982999</v>
      </c>
      <c r="G254">
        <v>120.63609291245</v>
      </c>
      <c r="I254" s="9">
        <f t="shared" si="26"/>
        <v>268.54090351187</v>
      </c>
      <c r="J254" s="9">
        <f t="shared" si="27"/>
        <v>1024.9652178172701</v>
      </c>
      <c r="K254" s="9">
        <f t="shared" si="24"/>
        <v>268.54090351187</v>
      </c>
      <c r="L254" s="10">
        <f t="shared" si="21"/>
        <v>0.26200001604322271</v>
      </c>
      <c r="M254" s="10">
        <f t="shared" si="28"/>
        <v>0.26716039034390204</v>
      </c>
      <c r="P254" s="8">
        <f t="shared" si="29"/>
        <v>23.631394004948181</v>
      </c>
    </row>
    <row r="255" spans="1:16" x14ac:dyDescent="0.2">
      <c r="A255" s="8">
        <v>126.5</v>
      </c>
      <c r="B255" s="8">
        <v>253</v>
      </c>
      <c r="D255">
        <v>1171.4088200238</v>
      </c>
      <c r="E255">
        <v>389.30333730631997</v>
      </c>
      <c r="F255">
        <v>145.73913043478001</v>
      </c>
      <c r="G255">
        <v>120.77546158428</v>
      </c>
      <c r="I255" s="9">
        <f t="shared" si="26"/>
        <v>268.52787572203999</v>
      </c>
      <c r="J255" s="9">
        <f t="shared" si="27"/>
        <v>1025.66968958902</v>
      </c>
      <c r="K255" s="9">
        <f t="shared" si="24"/>
        <v>268.52787572203999</v>
      </c>
      <c r="L255" s="10">
        <f t="shared" si="21"/>
        <v>0.26180736200719512</v>
      </c>
      <c r="M255" s="10">
        <f t="shared" si="28"/>
        <v>0.26698821398367079</v>
      </c>
      <c r="P255" s="8">
        <f t="shared" si="29"/>
        <v>23.551717510230205</v>
      </c>
    </row>
    <row r="256" spans="1:16" x14ac:dyDescent="0.2">
      <c r="A256" s="8">
        <v>127</v>
      </c>
      <c r="B256" s="8">
        <v>254</v>
      </c>
      <c r="D256">
        <v>1156.9570917758999</v>
      </c>
      <c r="E256">
        <v>383.02622169249003</v>
      </c>
      <c r="F256">
        <v>145.29243597378999</v>
      </c>
      <c r="G256">
        <v>120.38117927338</v>
      </c>
      <c r="I256" s="9">
        <f t="shared" si="26"/>
        <v>262.64504241911004</v>
      </c>
      <c r="J256" s="9">
        <f t="shared" si="27"/>
        <v>1011.6646558021099</v>
      </c>
      <c r="K256" s="9">
        <f t="shared" si="24"/>
        <v>262.64504241911004</v>
      </c>
      <c r="L256" s="10">
        <f t="shared" si="21"/>
        <v>0.25961670293884975</v>
      </c>
      <c r="M256" s="10">
        <f t="shared" si="28"/>
        <v>0.26481803259112174</v>
      </c>
      <c r="P256" s="8">
        <f t="shared" si="29"/>
        <v>22.547442323855961</v>
      </c>
    </row>
    <row r="257" spans="1:16" x14ac:dyDescent="0.2">
      <c r="A257" s="8">
        <v>127.5</v>
      </c>
      <c r="B257" s="8">
        <v>255</v>
      </c>
      <c r="D257">
        <v>1148.4040524433999</v>
      </c>
      <c r="E257">
        <v>380.45351609058002</v>
      </c>
      <c r="F257">
        <v>145.04943418702001</v>
      </c>
      <c r="G257">
        <v>120.64860035736</v>
      </c>
      <c r="I257" s="9">
        <f t="shared" si="26"/>
        <v>259.80491573322001</v>
      </c>
      <c r="J257" s="9">
        <f t="shared" si="27"/>
        <v>1003.3546182563799</v>
      </c>
      <c r="K257" s="9">
        <f t="shared" si="24"/>
        <v>259.80491573322001</v>
      </c>
      <c r="L257" s="10">
        <f t="shared" si="21"/>
        <v>0.25893628334985541</v>
      </c>
      <c r="M257" s="10">
        <f t="shared" si="28"/>
        <v>0.26415809067792378</v>
      </c>
      <c r="P257" s="8">
        <f t="shared" si="29"/>
        <v>22.24204698218151</v>
      </c>
    </row>
    <row r="258" spans="1:16" x14ac:dyDescent="0.2">
      <c r="A258" s="8">
        <v>128</v>
      </c>
      <c r="B258" s="8">
        <v>256</v>
      </c>
      <c r="D258">
        <v>1154.8325387366001</v>
      </c>
      <c r="E258">
        <v>380.97199046484002</v>
      </c>
      <c r="F258">
        <v>145.50744490768</v>
      </c>
      <c r="G258">
        <v>120.93627159023001</v>
      </c>
      <c r="I258" s="9">
        <f t="shared" si="26"/>
        <v>260.03571887460998</v>
      </c>
      <c r="J258" s="9">
        <f t="shared" si="27"/>
        <v>1009.3250938289201</v>
      </c>
      <c r="K258" s="9">
        <f t="shared" si="24"/>
        <v>260.03571887460998</v>
      </c>
      <c r="L258" s="10">
        <f t="shared" ref="L258:L319" si="30">K258/J258</f>
        <v>0.25763326450960689</v>
      </c>
      <c r="M258" s="10">
        <f t="shared" si="28"/>
        <v>0.26287554951347158</v>
      </c>
      <c r="P258" s="8">
        <f t="shared" si="29"/>
        <v>21.648537024265046</v>
      </c>
    </row>
    <row r="259" spans="1:16" x14ac:dyDescent="0.2">
      <c r="A259" s="8">
        <v>128.5</v>
      </c>
      <c r="B259" s="8">
        <v>257</v>
      </c>
      <c r="D259">
        <v>1152.3909415971</v>
      </c>
      <c r="E259">
        <v>378.07270560191</v>
      </c>
      <c r="F259">
        <v>145.36331149494001</v>
      </c>
      <c r="G259">
        <v>120.63847528290999</v>
      </c>
      <c r="I259" s="9">
        <f t="shared" si="26"/>
        <v>257.43423031899999</v>
      </c>
      <c r="J259" s="9">
        <f t="shared" si="27"/>
        <v>1007.0276301021599</v>
      </c>
      <c r="K259" s="9">
        <f t="shared" ref="K259:K319" si="31">I259*1</f>
        <v>257.43423031899999</v>
      </c>
      <c r="L259" s="10">
        <f t="shared" si="30"/>
        <v>0.2556377031014373</v>
      </c>
      <c r="M259" s="10">
        <f t="shared" si="28"/>
        <v>0.26090046578109838</v>
      </c>
      <c r="P259" s="8">
        <f t="shared" si="29"/>
        <v>20.734545414971947</v>
      </c>
    </row>
    <row r="260" spans="1:16" x14ac:dyDescent="0.2">
      <c r="A260" s="8">
        <v>129</v>
      </c>
      <c r="B260" s="8">
        <v>258</v>
      </c>
      <c r="D260">
        <v>1176.0297973777999</v>
      </c>
      <c r="E260">
        <v>381.57866507747002</v>
      </c>
      <c r="F260">
        <v>144.64383561643999</v>
      </c>
      <c r="G260">
        <v>120.51161405598999</v>
      </c>
      <c r="I260" s="9">
        <f t="shared" si="26"/>
        <v>261.06705102148004</v>
      </c>
      <c r="J260" s="9">
        <f t="shared" si="27"/>
        <v>1031.38596176136</v>
      </c>
      <c r="K260" s="9">
        <f t="shared" si="31"/>
        <v>261.06705102148004</v>
      </c>
      <c r="L260" s="10">
        <f t="shared" si="30"/>
        <v>0.25312255615312051</v>
      </c>
      <c r="M260" s="10">
        <f t="shared" si="28"/>
        <v>0.25840579650857792</v>
      </c>
      <c r="P260" s="8">
        <f t="shared" si="29"/>
        <v>19.580109911467851</v>
      </c>
    </row>
    <row r="261" spans="1:16" x14ac:dyDescent="0.2">
      <c r="A261" s="8">
        <v>129.5</v>
      </c>
      <c r="B261" s="8">
        <v>259</v>
      </c>
      <c r="D261">
        <v>1158.0482717520999</v>
      </c>
      <c r="E261">
        <v>375.31525625745002</v>
      </c>
      <c r="F261">
        <v>145.7033948779</v>
      </c>
      <c r="G261">
        <v>120.93627159023001</v>
      </c>
      <c r="I261" s="9">
        <f t="shared" si="26"/>
        <v>254.37898466722001</v>
      </c>
      <c r="J261" s="9">
        <f t="shared" si="27"/>
        <v>1012.3448768741999</v>
      </c>
      <c r="K261" s="9">
        <f t="shared" si="31"/>
        <v>254.37898466722001</v>
      </c>
      <c r="L261" s="10">
        <f t="shared" si="30"/>
        <v>0.25127700102820855</v>
      </c>
      <c r="M261" s="10">
        <f t="shared" si="28"/>
        <v>0.25658071905946228</v>
      </c>
      <c r="P261" s="8">
        <f t="shared" si="29"/>
        <v>18.735535351179511</v>
      </c>
    </row>
    <row r="262" spans="1:16" x14ac:dyDescent="0.2">
      <c r="A262" s="8">
        <v>130</v>
      </c>
      <c r="B262" s="8">
        <v>260</v>
      </c>
      <c r="D262">
        <v>1127.4404052443001</v>
      </c>
      <c r="E262">
        <v>366.59892729440003</v>
      </c>
      <c r="F262">
        <v>145.56343061346001</v>
      </c>
      <c r="G262">
        <v>120.62894580107</v>
      </c>
      <c r="I262" s="9">
        <f t="shared" si="26"/>
        <v>245.96998149333001</v>
      </c>
      <c r="J262" s="9">
        <f t="shared" si="27"/>
        <v>981.8769746308401</v>
      </c>
      <c r="K262" s="9">
        <f t="shared" si="31"/>
        <v>245.96998149333001</v>
      </c>
      <c r="L262" s="10">
        <f t="shared" si="30"/>
        <v>0.25050998022008636</v>
      </c>
      <c r="M262" s="10">
        <f t="shared" si="28"/>
        <v>0.25583417592713648</v>
      </c>
      <c r="P262" s="8">
        <f t="shared" si="29"/>
        <v>18.390064347729293</v>
      </c>
    </row>
    <row r="263" spans="1:16" x14ac:dyDescent="0.2">
      <c r="A263" s="8">
        <v>130.5</v>
      </c>
      <c r="B263" s="8">
        <v>261</v>
      </c>
      <c r="D263">
        <v>1141.5441001192</v>
      </c>
      <c r="E263">
        <v>367.99940405244001</v>
      </c>
      <c r="F263">
        <v>144.99702203692999</v>
      </c>
      <c r="G263">
        <v>120.77069684336</v>
      </c>
      <c r="I263" s="9">
        <f t="shared" si="26"/>
        <v>247.22870720908003</v>
      </c>
      <c r="J263" s="9">
        <f t="shared" si="27"/>
        <v>996.54707808226999</v>
      </c>
      <c r="K263" s="9">
        <f t="shared" si="31"/>
        <v>247.22870720908003</v>
      </c>
      <c r="L263" s="10">
        <f t="shared" si="30"/>
        <v>0.24808532647031659</v>
      </c>
      <c r="M263" s="10">
        <f t="shared" si="28"/>
        <v>0.25342999985316306</v>
      </c>
      <c r="P263" s="8">
        <f t="shared" si="29"/>
        <v>17.27750556206475</v>
      </c>
    </row>
    <row r="264" spans="1:16" x14ac:dyDescent="0.2">
      <c r="A264" s="8">
        <v>131</v>
      </c>
      <c r="B264" s="8">
        <v>262</v>
      </c>
      <c r="D264">
        <v>1101.2073897497</v>
      </c>
      <c r="E264">
        <v>358.19427890345997</v>
      </c>
      <c r="F264">
        <v>145.10005955925999</v>
      </c>
      <c r="G264">
        <v>120.71113758189</v>
      </c>
      <c r="I264" s="9">
        <f t="shared" si="26"/>
        <v>237.48314132156997</v>
      </c>
      <c r="J264" s="9">
        <f t="shared" si="27"/>
        <v>956.10733019044005</v>
      </c>
      <c r="K264" s="9">
        <f t="shared" si="31"/>
        <v>237.48314132156997</v>
      </c>
      <c r="L264" s="10">
        <f t="shared" si="30"/>
        <v>0.24838544149041034</v>
      </c>
      <c r="M264" s="10">
        <f t="shared" si="28"/>
        <v>0.25375059254905313</v>
      </c>
      <c r="P264" s="8">
        <f t="shared" si="29"/>
        <v>17.425863340138342</v>
      </c>
    </row>
    <row r="265" spans="1:16" x14ac:dyDescent="0.2">
      <c r="A265" s="8">
        <v>131.5</v>
      </c>
      <c r="B265" s="8">
        <v>263</v>
      </c>
      <c r="D265">
        <v>1118.3064997019001</v>
      </c>
      <c r="E265">
        <v>360.38223017293001</v>
      </c>
      <c r="F265">
        <v>145.7438951757</v>
      </c>
      <c r="G265">
        <v>120.62715902323001</v>
      </c>
      <c r="I265" s="9">
        <f t="shared" si="26"/>
        <v>239.7550711497</v>
      </c>
      <c r="J265" s="9">
        <f t="shared" si="27"/>
        <v>972.56260452620006</v>
      </c>
      <c r="K265" s="9">
        <f t="shared" si="31"/>
        <v>239.7550711497</v>
      </c>
      <c r="L265" s="10">
        <f t="shared" si="30"/>
        <v>0.24651890791801587</v>
      </c>
      <c r="M265" s="10">
        <f t="shared" si="28"/>
        <v>0.25190453665245499</v>
      </c>
      <c r="P265" s="8">
        <f t="shared" si="29"/>
        <v>16.571580773723113</v>
      </c>
    </row>
    <row r="266" spans="1:16" x14ac:dyDescent="0.2">
      <c r="A266" s="8">
        <v>132</v>
      </c>
      <c r="B266" s="8">
        <v>264</v>
      </c>
      <c r="D266">
        <v>1144.1103160406001</v>
      </c>
      <c r="E266">
        <v>367.63744782348999</v>
      </c>
      <c r="F266">
        <v>145.25134008338</v>
      </c>
      <c r="G266">
        <v>120.70458606312999</v>
      </c>
      <c r="I266" s="9">
        <f t="shared" si="26"/>
        <v>246.93286176036</v>
      </c>
      <c r="J266" s="9">
        <f t="shared" si="27"/>
        <v>998.85897595722008</v>
      </c>
      <c r="K266" s="9">
        <f t="shared" si="31"/>
        <v>246.93286176036</v>
      </c>
      <c r="L266" s="10">
        <f t="shared" si="30"/>
        <v>0.247214939950578</v>
      </c>
      <c r="M266" s="10">
        <f t="shared" si="28"/>
        <v>0.25262104636081351</v>
      </c>
      <c r="P266" s="8">
        <f t="shared" si="29"/>
        <v>16.903153481595016</v>
      </c>
    </row>
    <row r="267" spans="1:16" x14ac:dyDescent="0.2">
      <c r="A267" s="8">
        <v>132.5</v>
      </c>
      <c r="B267" s="8">
        <v>265</v>
      </c>
      <c r="D267">
        <v>1153.7280858675999</v>
      </c>
      <c r="E267">
        <v>367.961836613</v>
      </c>
      <c r="F267">
        <v>145.31566408577001</v>
      </c>
      <c r="G267">
        <v>120.67301965455999</v>
      </c>
      <c r="I267" s="9">
        <f t="shared" si="26"/>
        <v>247.28881695844001</v>
      </c>
      <c r="J267" s="9">
        <f t="shared" si="27"/>
        <v>1008.4124217818299</v>
      </c>
      <c r="K267" s="9">
        <f t="shared" si="31"/>
        <v>247.28881695844001</v>
      </c>
      <c r="L267" s="10">
        <f t="shared" si="30"/>
        <v>0.24522587347891769</v>
      </c>
      <c r="M267" s="10">
        <f t="shared" si="28"/>
        <v>0.25065245756494953</v>
      </c>
      <c r="P267" s="8">
        <f t="shared" si="29"/>
        <v>15.992167475241692</v>
      </c>
    </row>
    <row r="268" spans="1:16" x14ac:dyDescent="0.2">
      <c r="A268" s="8">
        <v>133</v>
      </c>
      <c r="B268" s="8">
        <v>266</v>
      </c>
      <c r="D268">
        <v>1153.5158020274</v>
      </c>
      <c r="E268">
        <v>365.84436493739003</v>
      </c>
      <c r="F268">
        <v>144.80166765932</v>
      </c>
      <c r="G268">
        <v>120.64443120905</v>
      </c>
      <c r="I268" s="9">
        <f t="shared" si="26"/>
        <v>245.19993372834003</v>
      </c>
      <c r="J268" s="9">
        <f t="shared" si="27"/>
        <v>1008.7141343680801</v>
      </c>
      <c r="K268" s="9">
        <f t="shared" si="31"/>
        <v>245.19993372834003</v>
      </c>
      <c r="L268" s="10">
        <f t="shared" si="30"/>
        <v>0.24308168724328244</v>
      </c>
      <c r="M268" s="10">
        <f t="shared" si="28"/>
        <v>0.24852874900511063</v>
      </c>
      <c r="P268" s="8">
        <f t="shared" si="29"/>
        <v>15.00939810072795</v>
      </c>
    </row>
    <row r="269" spans="1:16" x14ac:dyDescent="0.2">
      <c r="A269" s="8">
        <v>133.5</v>
      </c>
      <c r="B269" s="8">
        <v>267</v>
      </c>
      <c r="D269">
        <v>1177.5068574836</v>
      </c>
      <c r="E269">
        <v>362.00715563505997</v>
      </c>
      <c r="F269">
        <v>145.01905896367001</v>
      </c>
      <c r="G269">
        <v>120.47766527695001</v>
      </c>
      <c r="I269" s="9">
        <f t="shared" si="26"/>
        <v>241.52949035810997</v>
      </c>
      <c r="J269" s="9">
        <f t="shared" si="27"/>
        <v>1032.48779851993</v>
      </c>
      <c r="K269" s="9">
        <f t="shared" si="31"/>
        <v>241.52949035810997</v>
      </c>
      <c r="L269" s="10">
        <f t="shared" si="30"/>
        <v>0.23392963161825467</v>
      </c>
      <c r="M269" s="10">
        <f t="shared" si="28"/>
        <v>0.23939717105587918</v>
      </c>
      <c r="P269" s="8">
        <f t="shared" si="29"/>
        <v>10.78366048342963</v>
      </c>
    </row>
    <row r="270" spans="1:16" x14ac:dyDescent="0.2">
      <c r="A270" s="8">
        <v>134</v>
      </c>
      <c r="B270" s="8">
        <v>268</v>
      </c>
      <c r="D270">
        <v>1134.5146094216</v>
      </c>
      <c r="E270">
        <v>349.60286225403001</v>
      </c>
      <c r="F270">
        <v>144.97081596187999</v>
      </c>
      <c r="G270">
        <v>120.34603930911</v>
      </c>
      <c r="I270" s="9">
        <f t="shared" si="26"/>
        <v>229.25682294492003</v>
      </c>
      <c r="J270" s="9">
        <f t="shared" si="27"/>
        <v>989.54379345971995</v>
      </c>
      <c r="K270" s="9">
        <f t="shared" si="31"/>
        <v>229.25682294492003</v>
      </c>
      <c r="L270" s="10">
        <f t="shared" si="30"/>
        <v>0.23167930965781161</v>
      </c>
      <c r="M270" s="10">
        <f t="shared" si="28"/>
        <v>0.23716732677123248</v>
      </c>
      <c r="P270" s="8">
        <f t="shared" si="29"/>
        <v>9.7517756408825331</v>
      </c>
    </row>
    <row r="271" spans="1:16" x14ac:dyDescent="0.2">
      <c r="A271" s="8">
        <v>134.5</v>
      </c>
      <c r="B271" s="8">
        <v>269</v>
      </c>
      <c r="D271">
        <v>1121.7763864043</v>
      </c>
      <c r="E271">
        <v>346.59332140727997</v>
      </c>
      <c r="F271">
        <v>144.9797498511</v>
      </c>
      <c r="G271">
        <v>120.4592019059</v>
      </c>
      <c r="I271" s="9">
        <f t="shared" si="26"/>
        <v>226.13411950137998</v>
      </c>
      <c r="J271" s="9">
        <f t="shared" si="27"/>
        <v>976.79663655319996</v>
      </c>
      <c r="K271" s="9">
        <f t="shared" si="31"/>
        <v>226.13411950137998</v>
      </c>
      <c r="L271" s="10">
        <f t="shared" si="30"/>
        <v>0.23150583349604303</v>
      </c>
      <c r="M271" s="10">
        <f t="shared" si="28"/>
        <v>0.23701432828526026</v>
      </c>
      <c r="P271" s="8">
        <f t="shared" si="29"/>
        <v>9.6809739173297125</v>
      </c>
    </row>
    <row r="272" spans="1:16" x14ac:dyDescent="0.2">
      <c r="A272" s="8">
        <v>135</v>
      </c>
      <c r="B272" s="8">
        <v>270</v>
      </c>
      <c r="D272">
        <v>1184.4013118664</v>
      </c>
      <c r="E272">
        <v>359.50805008945002</v>
      </c>
      <c r="F272">
        <v>144.56283502085</v>
      </c>
      <c r="G272">
        <v>120.5324597975</v>
      </c>
      <c r="I272" s="9">
        <f t="shared" si="26"/>
        <v>238.97559029195003</v>
      </c>
      <c r="J272" s="9">
        <f t="shared" si="27"/>
        <v>1039.8384768455498</v>
      </c>
      <c r="K272" s="9">
        <f t="shared" si="31"/>
        <v>238.97559029195003</v>
      </c>
      <c r="L272" s="10">
        <f t="shared" si="30"/>
        <v>0.22981991493227438</v>
      </c>
      <c r="M272" s="10">
        <f t="shared" si="28"/>
        <v>0.23534888739728793</v>
      </c>
      <c r="P272" s="8">
        <f t="shared" si="29"/>
        <v>8.9102729225160306</v>
      </c>
    </row>
    <row r="273" spans="1:16" x14ac:dyDescent="0.2">
      <c r="A273" s="8">
        <v>135.5</v>
      </c>
      <c r="B273" s="8">
        <v>271</v>
      </c>
      <c r="D273">
        <v>1167.6929039951999</v>
      </c>
      <c r="E273">
        <v>355.08706022659999</v>
      </c>
      <c r="F273">
        <v>144.89219773675001</v>
      </c>
      <c r="G273">
        <v>120.62954139369</v>
      </c>
      <c r="I273" s="9">
        <f t="shared" si="26"/>
        <v>234.45751883290998</v>
      </c>
      <c r="J273" s="9">
        <f t="shared" si="27"/>
        <v>1022.80070625845</v>
      </c>
      <c r="K273" s="9">
        <f t="shared" si="31"/>
        <v>234.45751883290998</v>
      </c>
      <c r="L273" s="10">
        <f t="shared" si="30"/>
        <v>0.22923089258570112</v>
      </c>
      <c r="M273" s="10">
        <f t="shared" si="28"/>
        <v>0.23478034272651102</v>
      </c>
      <c r="P273" s="8">
        <f t="shared" si="29"/>
        <v>8.6471726548762309</v>
      </c>
    </row>
    <row r="274" spans="1:16" x14ac:dyDescent="0.2">
      <c r="A274" s="8">
        <v>136</v>
      </c>
      <c r="B274" s="8">
        <v>272</v>
      </c>
      <c r="D274">
        <v>1150.7662492546001</v>
      </c>
      <c r="E274">
        <v>348.95766249255001</v>
      </c>
      <c r="F274">
        <v>144.94460988684</v>
      </c>
      <c r="G274">
        <v>120.14532459797999</v>
      </c>
      <c r="I274" s="9">
        <f t="shared" si="26"/>
        <v>228.81233789457002</v>
      </c>
      <c r="J274" s="9">
        <f t="shared" si="27"/>
        <v>1005.8216393677601</v>
      </c>
      <c r="K274" s="9">
        <f t="shared" si="31"/>
        <v>228.81233789457002</v>
      </c>
      <c r="L274" s="10">
        <f t="shared" si="30"/>
        <v>0.22748798488606489</v>
      </c>
      <c r="M274" s="10">
        <f t="shared" si="28"/>
        <v>0.23305791270267115</v>
      </c>
      <c r="P274" s="8">
        <f t="shared" si="29"/>
        <v>7.8500993138424642</v>
      </c>
    </row>
    <row r="275" spans="1:16" x14ac:dyDescent="0.2">
      <c r="A275" s="8">
        <v>136.5</v>
      </c>
      <c r="B275" s="8">
        <v>273</v>
      </c>
      <c r="D275">
        <v>1152.0250447226999</v>
      </c>
      <c r="E275">
        <v>345.69350029815001</v>
      </c>
      <c r="F275">
        <v>145.45860631328</v>
      </c>
      <c r="G275">
        <v>120.33710541988999</v>
      </c>
      <c r="I275" s="9">
        <f>E275-G275</f>
        <v>225.35639487826001</v>
      </c>
      <c r="J275" s="9">
        <f>D275-F275</f>
        <v>1006.5664384094199</v>
      </c>
      <c r="K275" s="9">
        <f t="shared" si="31"/>
        <v>225.35639487826001</v>
      </c>
      <c r="L275" s="10">
        <f t="shared" si="30"/>
        <v>0.22388625954424732</v>
      </c>
      <c r="M275" s="10">
        <f>L275+ABS($N$2)*A275</f>
        <v>0.22947666503664993</v>
      </c>
      <c r="O275" s="11"/>
      <c r="P275" s="8">
        <f>(M275-$O$2)/$O$2*100</f>
        <v>6.1928377689808363</v>
      </c>
    </row>
    <row r="276" spans="1:16" x14ac:dyDescent="0.2">
      <c r="A276" s="8">
        <v>137</v>
      </c>
      <c r="B276" s="8">
        <v>274</v>
      </c>
      <c r="D276">
        <v>1144.7233154442999</v>
      </c>
      <c r="E276">
        <v>344.41383422779001</v>
      </c>
      <c r="F276">
        <v>145.25789160214001</v>
      </c>
      <c r="G276">
        <v>120.28171530673001</v>
      </c>
      <c r="I276" s="9">
        <f t="shared" ref="I276:I291" si="32">E276-G276</f>
        <v>224.13211892106</v>
      </c>
      <c r="J276" s="9">
        <f t="shared" ref="J276:J291" si="33">D276-F276</f>
        <v>999.46542384215991</v>
      </c>
      <c r="K276" s="9">
        <f t="shared" si="31"/>
        <v>224.13211892106</v>
      </c>
      <c r="L276" s="10">
        <f t="shared" si="30"/>
        <v>0.22425199869290921</v>
      </c>
      <c r="M276" s="10">
        <f t="shared" ref="M276:M291" si="34">L276+ABS($N$2)*A276</f>
        <v>0.22986288186110815</v>
      </c>
      <c r="P276" s="8">
        <f t="shared" ref="P276:P291" si="35">(M276-$O$2)/$O$2*100</f>
        <v>6.3715638306341731</v>
      </c>
    </row>
    <row r="277" spans="1:16" x14ac:dyDescent="0.2">
      <c r="A277" s="8">
        <v>137.5</v>
      </c>
      <c r="B277" s="8">
        <v>275</v>
      </c>
      <c r="D277">
        <v>1099.3512224210001</v>
      </c>
      <c r="E277">
        <v>336.77340488968002</v>
      </c>
      <c r="F277">
        <v>145.24181060154999</v>
      </c>
      <c r="G277">
        <v>120.13281715306999</v>
      </c>
      <c r="I277" s="9">
        <f t="shared" si="32"/>
        <v>216.64058773661003</v>
      </c>
      <c r="J277" s="9">
        <f t="shared" si="33"/>
        <v>954.10941181945009</v>
      </c>
      <c r="K277" s="9">
        <f t="shared" si="31"/>
        <v>216.64058773661003</v>
      </c>
      <c r="L277" s="10">
        <f t="shared" si="30"/>
        <v>0.22706052896332374</v>
      </c>
      <c r="M277" s="10">
        <f t="shared" si="34"/>
        <v>0.23269188980731903</v>
      </c>
      <c r="N277" s="1"/>
      <c r="P277" s="8">
        <f t="shared" si="35"/>
        <v>7.6807182138528312</v>
      </c>
    </row>
    <row r="278" spans="1:16" x14ac:dyDescent="0.2">
      <c r="A278" s="8">
        <v>138</v>
      </c>
      <c r="B278" s="8">
        <v>276</v>
      </c>
      <c r="D278">
        <v>1100.0137149672</v>
      </c>
      <c r="E278">
        <v>336.16457960643999</v>
      </c>
      <c r="F278">
        <v>144.96664681358001</v>
      </c>
      <c r="G278">
        <v>120.44133412746</v>
      </c>
      <c r="I278" s="9">
        <f t="shared" si="32"/>
        <v>215.72324547898</v>
      </c>
      <c r="J278" s="9">
        <f t="shared" si="33"/>
        <v>955.04706815361999</v>
      </c>
      <c r="K278" s="9">
        <f t="shared" si="31"/>
        <v>215.72324547898</v>
      </c>
      <c r="L278" s="10">
        <f t="shared" si="30"/>
        <v>0.22587708257775707</v>
      </c>
      <c r="M278" s="10">
        <f t="shared" si="34"/>
        <v>0.23152892109754872</v>
      </c>
      <c r="P278" s="8">
        <f t="shared" si="35"/>
        <v>7.1425417177488999</v>
      </c>
    </row>
    <row r="279" spans="1:16" x14ac:dyDescent="0.2">
      <c r="A279" s="8">
        <v>138.5</v>
      </c>
      <c r="B279" s="8">
        <v>277</v>
      </c>
      <c r="D279">
        <v>1111.4663088848999</v>
      </c>
      <c r="E279">
        <v>335.48121645795999</v>
      </c>
      <c r="F279">
        <v>144.88683740322</v>
      </c>
      <c r="G279">
        <v>120.44788564622</v>
      </c>
      <c r="I279" s="9">
        <f t="shared" si="32"/>
        <v>215.03333081173997</v>
      </c>
      <c r="J279" s="9">
        <f t="shared" si="33"/>
        <v>966.57947148168</v>
      </c>
      <c r="K279" s="9">
        <f t="shared" si="31"/>
        <v>215.03333081173997</v>
      </c>
      <c r="L279" s="10">
        <f t="shared" si="30"/>
        <v>0.22246834032396021</v>
      </c>
      <c r="M279" s="10">
        <f t="shared" si="34"/>
        <v>0.22814065651954821</v>
      </c>
      <c r="P279" s="8">
        <f t="shared" si="35"/>
        <v>5.574585208565157</v>
      </c>
    </row>
    <row r="280" spans="1:16" x14ac:dyDescent="0.2">
      <c r="A280" s="8">
        <v>139</v>
      </c>
      <c r="B280" s="8">
        <v>278</v>
      </c>
      <c r="D280">
        <v>1097.8217054264001</v>
      </c>
      <c r="E280">
        <v>329.95945140130999</v>
      </c>
      <c r="F280">
        <v>145.11673615247</v>
      </c>
      <c r="G280">
        <v>120.15485407980999</v>
      </c>
      <c r="I280" s="9">
        <f t="shared" si="32"/>
        <v>209.80459732150001</v>
      </c>
      <c r="J280" s="9">
        <f t="shared" si="33"/>
        <v>952.70496927393003</v>
      </c>
      <c r="K280" s="9">
        <f t="shared" si="31"/>
        <v>209.80459732150001</v>
      </c>
      <c r="L280" s="10">
        <f t="shared" si="30"/>
        <v>0.22021990446989592</v>
      </c>
      <c r="M280" s="10">
        <f t="shared" si="34"/>
        <v>0.22591269834128025</v>
      </c>
      <c r="P280" s="8">
        <f t="shared" si="35"/>
        <v>4.5435731823833372</v>
      </c>
    </row>
    <row r="281" spans="1:16" x14ac:dyDescent="0.2">
      <c r="A281" s="8">
        <v>139.5</v>
      </c>
      <c r="B281" s="8">
        <v>279</v>
      </c>
      <c r="D281">
        <v>1099.2236135957</v>
      </c>
      <c r="E281">
        <v>328.12403100774998</v>
      </c>
      <c r="F281">
        <v>145.14651578319999</v>
      </c>
      <c r="G281">
        <v>120.68969624777</v>
      </c>
      <c r="I281" s="9">
        <f t="shared" si="32"/>
        <v>207.43433475997998</v>
      </c>
      <c r="J281" s="9">
        <f t="shared" si="33"/>
        <v>954.07709781250003</v>
      </c>
      <c r="K281" s="9">
        <f t="shared" si="31"/>
        <v>207.43433475997998</v>
      </c>
      <c r="L281" s="10">
        <f t="shared" si="30"/>
        <v>0.2174188388292557</v>
      </c>
      <c r="M281" s="10">
        <f t="shared" si="34"/>
        <v>0.22313211037643638</v>
      </c>
      <c r="P281" s="8">
        <f t="shared" si="35"/>
        <v>3.2568256753726059</v>
      </c>
    </row>
    <row r="282" spans="1:16" x14ac:dyDescent="0.2">
      <c r="A282" s="8">
        <v>140</v>
      </c>
      <c r="B282" s="8">
        <v>280</v>
      </c>
      <c r="D282">
        <v>1087.5146094216</v>
      </c>
      <c r="E282">
        <v>325.86881335718999</v>
      </c>
      <c r="F282">
        <v>145.12983918999001</v>
      </c>
      <c r="G282">
        <v>120.37939249553</v>
      </c>
      <c r="I282" s="9">
        <f t="shared" si="32"/>
        <v>205.48942086165999</v>
      </c>
      <c r="J282" s="9">
        <f t="shared" si="33"/>
        <v>942.38477023160999</v>
      </c>
      <c r="K282" s="9">
        <f t="shared" si="31"/>
        <v>205.48942086165999</v>
      </c>
      <c r="L282" s="10">
        <f t="shared" si="30"/>
        <v>0.21805256977057985</v>
      </c>
      <c r="M282" s="10">
        <f t="shared" si="34"/>
        <v>0.22378631899355689</v>
      </c>
      <c r="P282" s="8">
        <f t="shared" si="35"/>
        <v>3.5595678715512555</v>
      </c>
    </row>
    <row r="283" spans="1:16" x14ac:dyDescent="0.2">
      <c r="A283" s="8">
        <v>140.5</v>
      </c>
      <c r="B283" s="8">
        <v>281</v>
      </c>
      <c r="D283">
        <v>1097.7763864043</v>
      </c>
      <c r="E283">
        <v>329.24925462135002</v>
      </c>
      <c r="F283">
        <v>145.02501488982</v>
      </c>
      <c r="G283">
        <v>120.35675997618</v>
      </c>
      <c r="I283" s="9">
        <f t="shared" si="32"/>
        <v>208.89249464517002</v>
      </c>
      <c r="J283" s="9">
        <f t="shared" si="33"/>
        <v>952.75137151447996</v>
      </c>
      <c r="K283" s="9">
        <f t="shared" si="31"/>
        <v>208.89249464517002</v>
      </c>
      <c r="L283" s="10">
        <f t="shared" si="30"/>
        <v>0.21925184354562249</v>
      </c>
      <c r="M283" s="10">
        <f t="shared" si="34"/>
        <v>0.22500607044439586</v>
      </c>
      <c r="P283" s="8">
        <f t="shared" si="35"/>
        <v>4.1240212024236316</v>
      </c>
    </row>
    <row r="284" spans="1:16" x14ac:dyDescent="0.2">
      <c r="A284" s="8">
        <v>141</v>
      </c>
      <c r="B284" s="8">
        <v>282</v>
      </c>
      <c r="D284">
        <v>1111.0345855695</v>
      </c>
      <c r="E284">
        <v>333.10196779964002</v>
      </c>
      <c r="F284">
        <v>144.72840976772</v>
      </c>
      <c r="G284">
        <v>120.40917212626999</v>
      </c>
      <c r="I284" s="9">
        <f t="shared" si="32"/>
        <v>212.69279567337003</v>
      </c>
      <c r="J284" s="9">
        <f t="shared" si="33"/>
        <v>966.30617580178</v>
      </c>
      <c r="K284" s="9">
        <f t="shared" si="31"/>
        <v>212.69279567337003</v>
      </c>
      <c r="L284" s="10">
        <f t="shared" si="30"/>
        <v>0.22010911344625417</v>
      </c>
      <c r="M284" s="10">
        <f t="shared" si="34"/>
        <v>0.22588381802082388</v>
      </c>
      <c r="P284" s="8">
        <f t="shared" si="35"/>
        <v>4.5302084980724109</v>
      </c>
    </row>
    <row r="285" spans="1:16" x14ac:dyDescent="0.2">
      <c r="A285" s="8">
        <v>141.5</v>
      </c>
      <c r="B285" s="8">
        <v>283</v>
      </c>
      <c r="D285">
        <v>1087.4130952380999</v>
      </c>
      <c r="E285">
        <v>326.00595238095002</v>
      </c>
      <c r="F285">
        <v>145.30970815961999</v>
      </c>
      <c r="G285">
        <v>120.04943418702</v>
      </c>
      <c r="I285" s="9">
        <f t="shared" si="32"/>
        <v>205.95651819393004</v>
      </c>
      <c r="J285" s="9">
        <f t="shared" si="33"/>
        <v>942.10338707847995</v>
      </c>
      <c r="K285" s="9">
        <f t="shared" si="31"/>
        <v>205.95651819393004</v>
      </c>
      <c r="L285" s="10">
        <f t="shared" si="30"/>
        <v>0.21861349934492197</v>
      </c>
      <c r="M285" s="10">
        <f t="shared" si="34"/>
        <v>0.22440868159528804</v>
      </c>
      <c r="P285" s="8">
        <f t="shared" si="35"/>
        <v>3.8475729756369441</v>
      </c>
    </row>
    <row r="286" spans="1:16" x14ac:dyDescent="0.2">
      <c r="A286" s="8">
        <v>142</v>
      </c>
      <c r="B286" s="8">
        <v>284</v>
      </c>
      <c r="D286">
        <v>1078.2452380952</v>
      </c>
      <c r="E286">
        <v>324.26190476190999</v>
      </c>
      <c r="F286">
        <v>144.50327575937999</v>
      </c>
      <c r="G286">
        <v>120.22870756403</v>
      </c>
      <c r="I286" s="9">
        <f t="shared" si="32"/>
        <v>204.03319719787999</v>
      </c>
      <c r="J286" s="9">
        <f t="shared" si="33"/>
        <v>933.74196233581995</v>
      </c>
      <c r="K286" s="9">
        <f t="shared" si="31"/>
        <v>204.03319719787999</v>
      </c>
      <c r="L286" s="10">
        <f t="shared" si="30"/>
        <v>0.21851132906941106</v>
      </c>
      <c r="M286" s="10">
        <f t="shared" si="34"/>
        <v>0.22432698899557349</v>
      </c>
      <c r="P286" s="8">
        <f t="shared" si="35"/>
        <v>3.8097688312067119</v>
      </c>
    </row>
    <row r="287" spans="1:16" x14ac:dyDescent="0.2">
      <c r="A287" s="8">
        <v>142.5</v>
      </c>
      <c r="B287" s="8">
        <v>285</v>
      </c>
      <c r="D287">
        <v>1055.7041666667001</v>
      </c>
      <c r="E287">
        <v>318.03154761905</v>
      </c>
      <c r="F287">
        <v>145.36390708754999</v>
      </c>
      <c r="G287">
        <v>120.29124478857</v>
      </c>
      <c r="I287" s="9">
        <f t="shared" si="32"/>
        <v>197.74030283048</v>
      </c>
      <c r="J287" s="9">
        <f t="shared" si="33"/>
        <v>910.34025957915014</v>
      </c>
      <c r="K287" s="9">
        <f t="shared" si="31"/>
        <v>197.74030283048</v>
      </c>
      <c r="L287" s="10">
        <f t="shared" si="30"/>
        <v>0.21721581655840999</v>
      </c>
      <c r="M287" s="10">
        <f t="shared" si="34"/>
        <v>0.22305195416036874</v>
      </c>
      <c r="P287" s="8">
        <f t="shared" si="35"/>
        <v>3.2197325092866942</v>
      </c>
    </row>
    <row r="288" spans="1:16" x14ac:dyDescent="0.2">
      <c r="A288" s="8">
        <v>143</v>
      </c>
      <c r="B288" s="8">
        <v>286</v>
      </c>
      <c r="D288">
        <v>1081.0119047619</v>
      </c>
      <c r="E288">
        <v>319.28690476191002</v>
      </c>
      <c r="F288">
        <v>144.52054794521001</v>
      </c>
      <c r="G288">
        <v>120.31209053008</v>
      </c>
      <c r="I288" s="9">
        <f t="shared" si="32"/>
        <v>198.97481423183001</v>
      </c>
      <c r="J288" s="9">
        <f t="shared" si="33"/>
        <v>936.49135681669009</v>
      </c>
      <c r="K288" s="9">
        <f t="shared" si="31"/>
        <v>198.97481423183001</v>
      </c>
      <c r="L288" s="10">
        <f t="shared" si="30"/>
        <v>0.21246839363065001</v>
      </c>
      <c r="M288" s="10">
        <f t="shared" si="34"/>
        <v>0.21832500890840512</v>
      </c>
      <c r="P288" s="8">
        <f t="shared" si="35"/>
        <v>1.0322868698598795</v>
      </c>
    </row>
    <row r="289" spans="1:16" x14ac:dyDescent="0.2">
      <c r="A289" s="8">
        <v>143.5</v>
      </c>
      <c r="B289" s="8">
        <v>287</v>
      </c>
      <c r="D289">
        <v>1141.6786570743</v>
      </c>
      <c r="E289">
        <v>326.04496402877999</v>
      </c>
      <c r="F289">
        <v>144.5324597975</v>
      </c>
      <c r="G289">
        <v>120.26682549136</v>
      </c>
      <c r="I289" s="9">
        <f t="shared" si="32"/>
        <v>205.77813853741998</v>
      </c>
      <c r="J289" s="9">
        <f t="shared" si="33"/>
        <v>997.14619727679997</v>
      </c>
      <c r="K289" s="9">
        <f t="shared" si="31"/>
        <v>205.77813853741998</v>
      </c>
      <c r="L289" s="10">
        <f t="shared" si="30"/>
        <v>0.20636706944217287</v>
      </c>
      <c r="M289" s="10">
        <f t="shared" si="34"/>
        <v>0.21224416239572433</v>
      </c>
      <c r="P289" s="8">
        <f t="shared" si="35"/>
        <v>-1.7816913928800451</v>
      </c>
    </row>
    <row r="290" spans="1:16" x14ac:dyDescent="0.2">
      <c r="A290" s="8">
        <v>144</v>
      </c>
      <c r="B290" s="8">
        <v>288</v>
      </c>
      <c r="D290">
        <v>1171.8057553957001</v>
      </c>
      <c r="E290">
        <v>329.01199040767</v>
      </c>
      <c r="F290">
        <v>144.03871351994999</v>
      </c>
      <c r="G290">
        <v>120.23347230493999</v>
      </c>
      <c r="I290" s="9">
        <f t="shared" si="32"/>
        <v>208.77851810273</v>
      </c>
      <c r="J290" s="9">
        <f t="shared" si="33"/>
        <v>1027.76704187575</v>
      </c>
      <c r="K290" s="9">
        <f t="shared" si="31"/>
        <v>208.77851810273</v>
      </c>
      <c r="L290" s="10">
        <f t="shared" si="30"/>
        <v>0.20313797737831127</v>
      </c>
      <c r="M290" s="10">
        <f t="shared" si="34"/>
        <v>0.20903554800765906</v>
      </c>
      <c r="P290" s="8">
        <f t="shared" si="35"/>
        <v>-3.2665128108687309</v>
      </c>
    </row>
    <row r="291" spans="1:16" x14ac:dyDescent="0.2">
      <c r="A291" s="8">
        <v>144.5</v>
      </c>
      <c r="B291" s="8">
        <v>289</v>
      </c>
      <c r="D291">
        <v>1144.4682254197</v>
      </c>
      <c r="E291">
        <v>326.2242206235</v>
      </c>
      <c r="F291">
        <v>145.09053007743</v>
      </c>
      <c r="G291">
        <v>120.50268016677001</v>
      </c>
      <c r="I291" s="9">
        <f t="shared" si="32"/>
        <v>205.72154045673</v>
      </c>
      <c r="J291" s="9">
        <f t="shared" si="33"/>
        <v>999.37769534227004</v>
      </c>
      <c r="K291" s="9">
        <f t="shared" si="31"/>
        <v>205.72154045673</v>
      </c>
      <c r="L291" s="10">
        <f t="shared" si="30"/>
        <v>0.20584964164751929</v>
      </c>
      <c r="M291" s="10">
        <f t="shared" si="34"/>
        <v>0.21176768995266343</v>
      </c>
      <c r="P291" s="8">
        <f t="shared" si="35"/>
        <v>-2.0021842296539929</v>
      </c>
    </row>
    <row r="292" spans="1:16" x14ac:dyDescent="0.2">
      <c r="A292" s="8">
        <v>145</v>
      </c>
      <c r="B292" s="8">
        <v>290</v>
      </c>
      <c r="D292">
        <v>1126.8305489259999</v>
      </c>
      <c r="E292">
        <v>323.34964200476998</v>
      </c>
      <c r="F292">
        <v>144.24478856461999</v>
      </c>
      <c r="G292">
        <v>120.15247170935</v>
      </c>
      <c r="I292" s="9">
        <f>E292-G292</f>
        <v>203.19717029541999</v>
      </c>
      <c r="J292" s="9">
        <f>D292-F292</f>
        <v>982.58576036137993</v>
      </c>
      <c r="K292" s="9">
        <f t="shared" si="31"/>
        <v>203.19717029541999</v>
      </c>
      <c r="L292" s="10">
        <f t="shared" si="30"/>
        <v>0.20679840731732893</v>
      </c>
      <c r="M292" s="10">
        <f>L292+ABS($N$2)*A292</f>
        <v>0.21273693329826943</v>
      </c>
      <c r="O292" s="11"/>
      <c r="P292" s="8">
        <f>(M292-$O$2)/$O$2*100</f>
        <v>-1.5536562656356765</v>
      </c>
    </row>
    <row r="293" spans="1:16" x14ac:dyDescent="0.2">
      <c r="A293" s="8">
        <v>145.5</v>
      </c>
      <c r="B293" s="8">
        <v>291</v>
      </c>
      <c r="D293">
        <v>1082.1390214797</v>
      </c>
      <c r="E293">
        <v>316.20346062053</v>
      </c>
      <c r="F293">
        <v>144.84216795712001</v>
      </c>
      <c r="G293">
        <v>120.32757593805999</v>
      </c>
      <c r="I293" s="9">
        <f t="shared" ref="I293:I301" si="36">E293-G293</f>
        <v>195.87588468247</v>
      </c>
      <c r="J293" s="9">
        <f t="shared" ref="J293:J301" si="37">D293-F293</f>
        <v>937.29685352258002</v>
      </c>
      <c r="K293" s="9">
        <f t="shared" si="31"/>
        <v>195.87588468247</v>
      </c>
      <c r="L293" s="10">
        <f t="shared" si="30"/>
        <v>0.20897956068701476</v>
      </c>
      <c r="M293" s="10">
        <f t="shared" ref="M293:M301" si="38">L293+ABS($N$2)*A293</f>
        <v>0.21493856434375161</v>
      </c>
      <c r="P293" s="8">
        <f t="shared" ref="P293:P301" si="39">(M293-$O$2)/$O$2*100</f>
        <v>-0.53482740823224006</v>
      </c>
    </row>
    <row r="294" spans="1:16" x14ac:dyDescent="0.2">
      <c r="A294" s="8">
        <v>146</v>
      </c>
      <c r="B294" s="8">
        <v>292</v>
      </c>
      <c r="D294">
        <v>1119.4751942618</v>
      </c>
      <c r="E294">
        <v>323.96413628213003</v>
      </c>
      <c r="F294">
        <v>144.47528290649001</v>
      </c>
      <c r="G294">
        <v>119.81000595593</v>
      </c>
      <c r="I294" s="9">
        <f t="shared" si="36"/>
        <v>204.15413032620003</v>
      </c>
      <c r="J294" s="9">
        <f t="shared" si="37"/>
        <v>974.99991135530991</v>
      </c>
      <c r="K294" s="9">
        <f t="shared" si="31"/>
        <v>204.15413032620003</v>
      </c>
      <c r="L294" s="10">
        <f t="shared" si="30"/>
        <v>0.20938887065375547</v>
      </c>
      <c r="M294" s="10">
        <f t="shared" si="38"/>
        <v>0.21536835198628865</v>
      </c>
      <c r="N294" s="1"/>
      <c r="P294" s="8">
        <f t="shared" si="39"/>
        <v>-0.33593847374402458</v>
      </c>
    </row>
    <row r="295" spans="1:16" x14ac:dyDescent="0.2">
      <c r="A295" s="8">
        <v>146.5</v>
      </c>
      <c r="B295" s="8">
        <v>293</v>
      </c>
      <c r="D295">
        <v>1130.4315600717</v>
      </c>
      <c r="E295">
        <v>326.31320980275001</v>
      </c>
      <c r="F295">
        <v>144.43418701607999</v>
      </c>
      <c r="G295">
        <v>120.35735556879</v>
      </c>
      <c r="I295" s="9">
        <f t="shared" si="36"/>
        <v>205.95585423396</v>
      </c>
      <c r="J295" s="9">
        <f t="shared" si="37"/>
        <v>985.99737305562007</v>
      </c>
      <c r="K295" s="9">
        <f t="shared" si="31"/>
        <v>205.95585423396</v>
      </c>
      <c r="L295" s="10">
        <f t="shared" si="30"/>
        <v>0.20888073321706713</v>
      </c>
      <c r="M295" s="10">
        <f t="shared" si="38"/>
        <v>0.21488069222539666</v>
      </c>
      <c r="P295" s="8">
        <f t="shared" si="39"/>
        <v>-0.5616083642603098</v>
      </c>
    </row>
    <row r="296" spans="1:16" x14ac:dyDescent="0.2">
      <c r="A296" s="8">
        <v>147</v>
      </c>
      <c r="B296" s="8">
        <v>294</v>
      </c>
      <c r="D296">
        <v>1102.8051558753</v>
      </c>
      <c r="E296">
        <v>318.89388489209</v>
      </c>
      <c r="F296">
        <v>144.35378201309999</v>
      </c>
      <c r="G296">
        <v>120.24657534247</v>
      </c>
      <c r="I296" s="9">
        <f t="shared" si="36"/>
        <v>198.64730954961999</v>
      </c>
      <c r="J296" s="9">
        <f t="shared" si="37"/>
        <v>958.45137386219994</v>
      </c>
      <c r="K296" s="9">
        <f t="shared" si="31"/>
        <v>198.64730954961999</v>
      </c>
      <c r="L296" s="10">
        <f t="shared" si="30"/>
        <v>0.20725862048603025</v>
      </c>
      <c r="M296" s="10">
        <f t="shared" si="38"/>
        <v>0.21327905717015613</v>
      </c>
      <c r="P296" s="8">
        <f t="shared" si="39"/>
        <v>-1.3027825117890171</v>
      </c>
    </row>
    <row r="297" spans="1:16" x14ac:dyDescent="0.2">
      <c r="A297" s="8">
        <v>147.5</v>
      </c>
      <c r="B297" s="8">
        <v>295</v>
      </c>
      <c r="D297">
        <v>1075.5257793764999</v>
      </c>
      <c r="E297">
        <v>314.72122302157999</v>
      </c>
      <c r="F297">
        <v>144.44669446098999</v>
      </c>
      <c r="G297">
        <v>120.14889815366</v>
      </c>
      <c r="I297" s="9">
        <f t="shared" si="36"/>
        <v>194.57232486791997</v>
      </c>
      <c r="J297" s="9">
        <f t="shared" si="37"/>
        <v>931.07908491550995</v>
      </c>
      <c r="K297" s="9">
        <f t="shared" si="31"/>
        <v>194.57232486791997</v>
      </c>
      <c r="L297" s="10">
        <f t="shared" si="30"/>
        <v>0.20897507850858479</v>
      </c>
      <c r="M297" s="10">
        <f t="shared" si="38"/>
        <v>0.21501599286850703</v>
      </c>
      <c r="P297" s="8">
        <f t="shared" si="39"/>
        <v>-0.49899651114851673</v>
      </c>
    </row>
    <row r="298" spans="1:16" x14ac:dyDescent="0.2">
      <c r="A298" s="8">
        <v>148</v>
      </c>
      <c r="B298" s="8">
        <v>296</v>
      </c>
      <c r="D298">
        <v>1083.9178657074001</v>
      </c>
      <c r="E298">
        <v>318.66127098320999</v>
      </c>
      <c r="F298">
        <v>144.83502084573999</v>
      </c>
      <c r="G298">
        <v>120.12864800477</v>
      </c>
      <c r="I298" s="9">
        <f t="shared" si="36"/>
        <v>198.53262297843997</v>
      </c>
      <c r="J298" s="9">
        <f t="shared" si="37"/>
        <v>939.08284486166008</v>
      </c>
      <c r="K298" s="9">
        <f t="shared" si="31"/>
        <v>198.53262297843997</v>
      </c>
      <c r="L298" s="10">
        <f t="shared" si="30"/>
        <v>0.21141119131793595</v>
      </c>
      <c r="M298" s="10">
        <f t="shared" si="38"/>
        <v>0.21747258335365452</v>
      </c>
      <c r="P298" s="8">
        <f t="shared" si="39"/>
        <v>0.63781761682577987</v>
      </c>
    </row>
    <row r="299" spans="1:16" x14ac:dyDescent="0.2">
      <c r="A299" s="8">
        <v>148.5</v>
      </c>
      <c r="B299" s="8">
        <v>297</v>
      </c>
      <c r="D299">
        <v>1071.8075539567999</v>
      </c>
      <c r="E299">
        <v>317.39568345324</v>
      </c>
      <c r="F299">
        <v>144.80405002978</v>
      </c>
      <c r="G299">
        <v>119.85110184634</v>
      </c>
      <c r="I299" s="9">
        <f t="shared" si="36"/>
        <v>197.54458160690001</v>
      </c>
      <c r="J299" s="9">
        <f t="shared" si="37"/>
        <v>927.00350392701989</v>
      </c>
      <c r="K299" s="9">
        <f t="shared" si="31"/>
        <v>197.54458160690001</v>
      </c>
      <c r="L299" s="10">
        <f t="shared" si="30"/>
        <v>0.21310014554427412</v>
      </c>
      <c r="M299" s="10">
        <f t="shared" si="38"/>
        <v>0.21918201525578904</v>
      </c>
      <c r="P299" s="8">
        <f t="shared" si="39"/>
        <v>1.4288759348098714</v>
      </c>
    </row>
    <row r="300" spans="1:16" x14ac:dyDescent="0.2">
      <c r="A300" s="8">
        <v>149</v>
      </c>
      <c r="B300" s="8">
        <v>298</v>
      </c>
      <c r="D300">
        <v>1092.8507194245001</v>
      </c>
      <c r="E300">
        <v>320.20383693046</v>
      </c>
      <c r="F300">
        <v>144.87016081000999</v>
      </c>
      <c r="G300">
        <v>120.12805241215</v>
      </c>
      <c r="I300" s="9">
        <f t="shared" si="36"/>
        <v>200.07578451831</v>
      </c>
      <c r="J300" s="9">
        <f t="shared" si="37"/>
        <v>947.98055861449006</v>
      </c>
      <c r="K300" s="9">
        <f t="shared" si="31"/>
        <v>200.07578451831</v>
      </c>
      <c r="L300" s="10">
        <f t="shared" si="30"/>
        <v>0.21105473387632381</v>
      </c>
      <c r="M300" s="10">
        <f t="shared" si="38"/>
        <v>0.21715708126363509</v>
      </c>
      <c r="P300" s="8">
        <f t="shared" si="39"/>
        <v>0.49181557232222683</v>
      </c>
    </row>
    <row r="301" spans="1:16" x14ac:dyDescent="0.2">
      <c r="A301" s="8">
        <v>149.5</v>
      </c>
      <c r="B301" s="8">
        <v>299</v>
      </c>
      <c r="D301">
        <v>1102.5845323741</v>
      </c>
      <c r="E301">
        <v>321.19904076738999</v>
      </c>
      <c r="F301">
        <v>144.68493150685001</v>
      </c>
      <c r="G301">
        <v>120.14294222752</v>
      </c>
      <c r="I301" s="9">
        <f t="shared" si="36"/>
        <v>201.05609853986999</v>
      </c>
      <c r="J301" s="9">
        <f t="shared" si="37"/>
        <v>957.89960086725</v>
      </c>
      <c r="K301" s="9">
        <f t="shared" si="31"/>
        <v>201.05609853986999</v>
      </c>
      <c r="L301" s="10">
        <f t="shared" si="30"/>
        <v>0.20989266344598179</v>
      </c>
      <c r="M301" s="10">
        <f t="shared" si="38"/>
        <v>0.21601548850908939</v>
      </c>
      <c r="P301" s="8">
        <f t="shared" si="39"/>
        <v>-3.6468966597466596E-2</v>
      </c>
    </row>
    <row r="302" spans="1:16" x14ac:dyDescent="0.2">
      <c r="A302" s="8">
        <v>150</v>
      </c>
      <c r="B302" s="8">
        <v>300</v>
      </c>
      <c r="D302">
        <v>1113.729616307</v>
      </c>
      <c r="E302">
        <v>323.62290167866001</v>
      </c>
      <c r="F302">
        <v>144.54734961286999</v>
      </c>
      <c r="G302">
        <v>120.19594997022</v>
      </c>
      <c r="I302" s="9">
        <f>E302-G302</f>
        <v>203.42695170844001</v>
      </c>
      <c r="J302" s="9">
        <f>D302-F302</f>
        <v>969.18226669413002</v>
      </c>
      <c r="K302" s="9">
        <f t="shared" si="31"/>
        <v>203.42695170844001</v>
      </c>
      <c r="L302" s="10">
        <f t="shared" si="30"/>
        <v>0.20989545382658217</v>
      </c>
      <c r="M302" s="10">
        <f>L302+ABS($N$2)*A302</f>
        <v>0.21603875656548613</v>
      </c>
      <c r="O302" s="11"/>
      <c r="P302" s="8">
        <f>(M302-$O$2)/$O$2*100</f>
        <v>-2.5701418891716118E-2</v>
      </c>
    </row>
    <row r="303" spans="1:16" x14ac:dyDescent="0.2">
      <c r="A303" s="8">
        <v>150.5</v>
      </c>
      <c r="B303" s="8">
        <v>301</v>
      </c>
      <c r="D303">
        <v>1139.3435251799001</v>
      </c>
      <c r="E303">
        <v>329.37470023981001</v>
      </c>
      <c r="F303">
        <v>144.63132817152999</v>
      </c>
      <c r="G303">
        <v>120.33591423466</v>
      </c>
      <c r="I303" s="9">
        <f t="shared" ref="I303:I309" si="40">E303-G303</f>
        <v>209.03878600515003</v>
      </c>
      <c r="J303" s="9">
        <f t="shared" ref="J303:J309" si="41">D303-F303</f>
        <v>994.71219700837014</v>
      </c>
      <c r="K303" s="9">
        <f t="shared" si="31"/>
        <v>209.03878600515003</v>
      </c>
      <c r="L303" s="10">
        <f t="shared" si="30"/>
        <v>0.2101500178984847</v>
      </c>
      <c r="M303" s="10">
        <f t="shared" ref="M303:M309" si="42">L303+ABS($N$2)*A303</f>
        <v>0.21631379831318501</v>
      </c>
      <c r="P303" s="8">
        <f t="shared" ref="P303:P309" si="43">(M303-$O$2)/$O$2*100</f>
        <v>0.10157715947013705</v>
      </c>
    </row>
    <row r="304" spans="1:16" x14ac:dyDescent="0.2">
      <c r="A304" s="8">
        <v>151</v>
      </c>
      <c r="B304" s="8">
        <v>302</v>
      </c>
      <c r="D304">
        <v>1087.4871794871999</v>
      </c>
      <c r="E304">
        <v>317.39534883721001</v>
      </c>
      <c r="F304">
        <v>144.46813579511999</v>
      </c>
      <c r="G304">
        <v>120.16319237642</v>
      </c>
      <c r="I304" s="9">
        <f t="shared" si="40"/>
        <v>197.23215646079001</v>
      </c>
      <c r="J304" s="9">
        <f t="shared" si="41"/>
        <v>943.01904369207989</v>
      </c>
      <c r="K304" s="9">
        <f t="shared" si="31"/>
        <v>197.23215646079001</v>
      </c>
      <c r="L304" s="10">
        <f t="shared" si="30"/>
        <v>0.20914970676370712</v>
      </c>
      <c r="M304" s="10">
        <f t="shared" si="42"/>
        <v>0.21533396485420378</v>
      </c>
      <c r="N304" s="1"/>
      <c r="P304" s="8">
        <f t="shared" si="43"/>
        <v>-0.35185149539372323</v>
      </c>
    </row>
    <row r="305" spans="1:16" x14ac:dyDescent="0.2">
      <c r="A305" s="8">
        <v>151.5</v>
      </c>
      <c r="B305" s="8">
        <v>303</v>
      </c>
      <c r="D305">
        <v>1134.1377459749999</v>
      </c>
      <c r="E305">
        <v>323.75193798449999</v>
      </c>
      <c r="F305">
        <v>144.34901727219</v>
      </c>
      <c r="G305">
        <v>119.92197736748</v>
      </c>
      <c r="I305" s="9">
        <f t="shared" si="40"/>
        <v>203.82996061701999</v>
      </c>
      <c r="J305" s="9">
        <f t="shared" si="41"/>
        <v>989.78872870280998</v>
      </c>
      <c r="K305" s="9">
        <f t="shared" si="31"/>
        <v>203.82996061701999</v>
      </c>
      <c r="L305" s="10">
        <f t="shared" si="30"/>
        <v>0.20593279626870875</v>
      </c>
      <c r="M305" s="10">
        <f t="shared" si="42"/>
        <v>0.21213753203500174</v>
      </c>
      <c r="P305" s="8">
        <f t="shared" si="43"/>
        <v>-1.8310357590954647</v>
      </c>
    </row>
    <row r="306" spans="1:16" x14ac:dyDescent="0.2">
      <c r="A306" s="8">
        <v>152</v>
      </c>
      <c r="B306" s="8">
        <v>304</v>
      </c>
      <c r="D306">
        <v>1079.3541295305999</v>
      </c>
      <c r="E306">
        <v>316.87700534759</v>
      </c>
      <c r="F306">
        <v>144.66051220964999</v>
      </c>
      <c r="G306">
        <v>120.08100059559</v>
      </c>
      <c r="I306" s="9">
        <f t="shared" si="40"/>
        <v>196.79600475199999</v>
      </c>
      <c r="J306" s="9">
        <f t="shared" si="41"/>
        <v>934.6936173209499</v>
      </c>
      <c r="K306" s="9">
        <f t="shared" si="31"/>
        <v>196.79600475199999</v>
      </c>
      <c r="L306" s="10">
        <f t="shared" si="30"/>
        <v>0.21054600256719766</v>
      </c>
      <c r="M306" s="10">
        <f t="shared" si="42"/>
        <v>0.216771216009287</v>
      </c>
      <c r="P306" s="8">
        <f t="shared" si="43"/>
        <v>0.31325220358437184</v>
      </c>
    </row>
    <row r="307" spans="1:16" x14ac:dyDescent="0.2">
      <c r="A307" s="8">
        <v>152.5</v>
      </c>
      <c r="B307" s="8">
        <v>305</v>
      </c>
      <c r="D307">
        <v>1150.8478906713999</v>
      </c>
      <c r="E307">
        <v>326.66607248960003</v>
      </c>
      <c r="F307">
        <v>144.54794520548</v>
      </c>
      <c r="G307">
        <v>119.94639666467999</v>
      </c>
      <c r="I307" s="9">
        <f t="shared" si="40"/>
        <v>206.71967582492005</v>
      </c>
      <c r="J307" s="9">
        <f t="shared" si="41"/>
        <v>1006.2999454659199</v>
      </c>
      <c r="K307" s="9">
        <f t="shared" si="31"/>
        <v>206.71967582492005</v>
      </c>
      <c r="L307" s="10">
        <f t="shared" si="30"/>
        <v>0.20542550633768367</v>
      </c>
      <c r="M307" s="10">
        <f t="shared" si="42"/>
        <v>0.21167119745556937</v>
      </c>
      <c r="P307" s="8">
        <f t="shared" si="43"/>
        <v>-2.0468371885428511</v>
      </c>
    </row>
    <row r="308" spans="1:16" x14ac:dyDescent="0.2">
      <c r="A308" s="8">
        <v>153</v>
      </c>
      <c r="B308" s="8">
        <v>306</v>
      </c>
      <c r="D308">
        <v>1159.4163679809001</v>
      </c>
      <c r="E308">
        <v>330.23835125447999</v>
      </c>
      <c r="F308">
        <v>144.20190589636999</v>
      </c>
      <c r="G308">
        <v>119.90827873734</v>
      </c>
      <c r="I308" s="9">
        <f t="shared" si="40"/>
        <v>210.33007251714</v>
      </c>
      <c r="J308" s="9">
        <f t="shared" si="41"/>
        <v>1015.2144620845301</v>
      </c>
      <c r="K308" s="9">
        <f t="shared" si="31"/>
        <v>210.33007251714</v>
      </c>
      <c r="L308" s="10">
        <f t="shared" si="30"/>
        <v>0.20717797113062328</v>
      </c>
      <c r="M308" s="10">
        <f t="shared" si="42"/>
        <v>0.2134441399243053</v>
      </c>
      <c r="P308" s="8">
        <f t="shared" si="43"/>
        <v>-1.2263886609065335</v>
      </c>
    </row>
    <row r="309" spans="1:16" x14ac:dyDescent="0.2">
      <c r="A309" s="8">
        <v>153.5</v>
      </c>
      <c r="B309" s="8">
        <v>307</v>
      </c>
      <c r="D309">
        <v>1160.9402628435</v>
      </c>
      <c r="E309">
        <v>331.47371565114003</v>
      </c>
      <c r="F309">
        <v>144.10541989279</v>
      </c>
      <c r="G309">
        <v>119.86599166169999</v>
      </c>
      <c r="I309" s="9">
        <f t="shared" si="40"/>
        <v>211.60772398944005</v>
      </c>
      <c r="J309" s="9">
        <f t="shared" si="41"/>
        <v>1016.83484295071</v>
      </c>
      <c r="K309" s="9">
        <f t="shared" si="31"/>
        <v>211.60772398944005</v>
      </c>
      <c r="L309" s="10">
        <f t="shared" si="30"/>
        <v>0.20810432043751032</v>
      </c>
      <c r="M309" s="10">
        <f t="shared" si="42"/>
        <v>0.21439096690698869</v>
      </c>
      <c r="P309" s="8">
        <f t="shared" si="43"/>
        <v>-0.7882341141192486</v>
      </c>
    </row>
    <row r="310" spans="1:16" x14ac:dyDescent="0.2">
      <c r="A310" s="8">
        <v>154</v>
      </c>
      <c r="B310" s="8">
        <v>308</v>
      </c>
      <c r="D310">
        <v>1167.1332138590001</v>
      </c>
      <c r="E310">
        <v>332.14097968937</v>
      </c>
      <c r="F310">
        <v>144.37164979153999</v>
      </c>
      <c r="G310">
        <v>120.09648600357001</v>
      </c>
      <c r="I310" s="9">
        <f>E310-G310</f>
        <v>212.04449368579998</v>
      </c>
      <c r="J310" s="9">
        <f>D310-F310</f>
        <v>1022.7615640674601</v>
      </c>
      <c r="K310" s="9">
        <f t="shared" si="31"/>
        <v>212.04449368579998</v>
      </c>
      <c r="L310" s="10">
        <f t="shared" si="30"/>
        <v>0.20732544234700415</v>
      </c>
      <c r="M310" s="10">
        <f>L310+ABS($N$2)*A310</f>
        <v>0.21363256649227888</v>
      </c>
      <c r="O310" s="11"/>
      <c r="P310" s="8">
        <f>(M310-$O$2)/$O$2*100</f>
        <v>-1.1391922047396805</v>
      </c>
    </row>
    <row r="311" spans="1:16" x14ac:dyDescent="0.2">
      <c r="A311" s="8">
        <v>154.5</v>
      </c>
      <c r="B311" s="8">
        <v>309</v>
      </c>
      <c r="D311">
        <v>1132.2722388059999</v>
      </c>
      <c r="E311">
        <v>329.58626865671999</v>
      </c>
      <c r="F311">
        <v>144.12150089338999</v>
      </c>
      <c r="G311">
        <v>120.21322215604999</v>
      </c>
      <c r="I311" s="9">
        <f t="shared" ref="I311:I319" si="44">E311-G311</f>
        <v>209.37304650067</v>
      </c>
      <c r="J311" s="9">
        <f t="shared" ref="J311:J319" si="45">D311-F311</f>
        <v>988.15073791260988</v>
      </c>
      <c r="K311" s="9">
        <f t="shared" si="31"/>
        <v>209.37304650067</v>
      </c>
      <c r="L311" s="10">
        <f t="shared" si="30"/>
        <v>0.21188371213784038</v>
      </c>
      <c r="M311" s="10">
        <f t="shared" ref="M311:M319" si="46">L311+ABS($N$2)*A311</f>
        <v>0.21821131395891147</v>
      </c>
      <c r="P311" s="8">
        <f t="shared" ref="P311:P319" si="47">(M311-$O$2)/$O$2*100</f>
        <v>0.9796732878871629</v>
      </c>
    </row>
    <row r="312" spans="1:16" x14ac:dyDescent="0.2">
      <c r="A312" s="8">
        <v>155</v>
      </c>
      <c r="B312" s="8">
        <v>310</v>
      </c>
      <c r="D312">
        <v>1136.6388059702001</v>
      </c>
      <c r="E312">
        <v>327.91582089552003</v>
      </c>
      <c r="F312">
        <v>144.41929720072</v>
      </c>
      <c r="G312">
        <v>119.57534246575</v>
      </c>
      <c r="I312" s="9">
        <f t="shared" si="44"/>
        <v>208.34047842977003</v>
      </c>
      <c r="J312" s="9">
        <f t="shared" si="45"/>
        <v>992.21950876948017</v>
      </c>
      <c r="K312" s="9">
        <f t="shared" si="31"/>
        <v>208.34047842977003</v>
      </c>
      <c r="L312" s="10">
        <f t="shared" si="30"/>
        <v>0.20997418070135249</v>
      </c>
      <c r="M312" s="10">
        <f t="shared" si="46"/>
        <v>0.2163222601982199</v>
      </c>
      <c r="N312" s="1"/>
      <c r="P312" s="8">
        <f t="shared" si="47"/>
        <v>0.10549298936328431</v>
      </c>
    </row>
    <row r="313" spans="1:16" x14ac:dyDescent="0.2">
      <c r="A313" s="8">
        <v>155.5</v>
      </c>
      <c r="B313" s="8">
        <v>311</v>
      </c>
      <c r="D313">
        <v>1110.0124629080001</v>
      </c>
      <c r="E313">
        <v>324.94836795252002</v>
      </c>
      <c r="F313">
        <v>144.503871352</v>
      </c>
      <c r="G313">
        <v>119.98927933294</v>
      </c>
      <c r="I313" s="9">
        <f t="shared" si="44"/>
        <v>204.95908861958003</v>
      </c>
      <c r="J313" s="9">
        <f t="shared" si="45"/>
        <v>965.50859155600006</v>
      </c>
      <c r="K313" s="9">
        <f t="shared" si="31"/>
        <v>204.95908861958003</v>
      </c>
      <c r="L313" s="10">
        <f t="shared" si="30"/>
        <v>0.21228095784137027</v>
      </c>
      <c r="M313" s="10">
        <f t="shared" si="46"/>
        <v>0.21864951501403404</v>
      </c>
      <c r="P313" s="8">
        <f t="shared" si="47"/>
        <v>1.1824556211121799</v>
      </c>
    </row>
    <row r="314" spans="1:16" x14ac:dyDescent="0.2">
      <c r="A314" s="8">
        <v>156</v>
      </c>
      <c r="B314" s="8">
        <v>312</v>
      </c>
      <c r="D314">
        <v>1104.5050445104</v>
      </c>
      <c r="E314">
        <v>323.12344213649999</v>
      </c>
      <c r="F314">
        <v>144.67718880286</v>
      </c>
      <c r="G314">
        <v>120.03275759381</v>
      </c>
      <c r="I314" s="9">
        <f t="shared" si="44"/>
        <v>203.09068454268998</v>
      </c>
      <c r="J314" s="9">
        <f t="shared" si="45"/>
        <v>959.82785570754004</v>
      </c>
      <c r="K314" s="9">
        <f t="shared" si="31"/>
        <v>203.09068454268998</v>
      </c>
      <c r="L314" s="10">
        <f t="shared" si="30"/>
        <v>0.21159073820896879</v>
      </c>
      <c r="M314" s="10">
        <f t="shared" si="46"/>
        <v>0.21797977305742891</v>
      </c>
      <c r="P314" s="8">
        <f t="shared" si="47"/>
        <v>0.87252520211515716</v>
      </c>
    </row>
    <row r="315" spans="1:16" x14ac:dyDescent="0.2">
      <c r="A315" s="8">
        <v>156.5</v>
      </c>
      <c r="B315" s="8">
        <v>313</v>
      </c>
      <c r="D315">
        <v>1088.6053412463</v>
      </c>
      <c r="E315">
        <v>320.74480712166002</v>
      </c>
      <c r="F315">
        <v>144.16021441333999</v>
      </c>
      <c r="G315">
        <v>120.14592019059</v>
      </c>
      <c r="I315" s="9">
        <f t="shared" si="44"/>
        <v>200.59888693107001</v>
      </c>
      <c r="J315" s="9">
        <f t="shared" si="45"/>
        <v>944.44512683296</v>
      </c>
      <c r="K315" s="9">
        <f t="shared" si="31"/>
        <v>200.59888693107001</v>
      </c>
      <c r="L315" s="10">
        <f t="shared" si="30"/>
        <v>0.2123986679922264</v>
      </c>
      <c r="M315" s="10">
        <f t="shared" si="46"/>
        <v>0.21880818051648285</v>
      </c>
      <c r="P315" s="8">
        <f t="shared" si="47"/>
        <v>1.2558798185502462</v>
      </c>
    </row>
    <row r="316" spans="1:16" x14ac:dyDescent="0.2">
      <c r="A316" s="8">
        <v>157</v>
      </c>
      <c r="B316" s="8">
        <v>314</v>
      </c>
      <c r="D316">
        <v>1072.696735905</v>
      </c>
      <c r="E316">
        <v>317.29851632048002</v>
      </c>
      <c r="F316">
        <v>144.22811197140999</v>
      </c>
      <c r="G316">
        <v>119.86420488386</v>
      </c>
      <c r="I316" s="9">
        <f t="shared" si="44"/>
        <v>197.43431143662002</v>
      </c>
      <c r="J316" s="9">
        <f t="shared" si="45"/>
        <v>928.46862393358992</v>
      </c>
      <c r="K316" s="9">
        <f t="shared" si="31"/>
        <v>197.43431143662002</v>
      </c>
      <c r="L316" s="10">
        <f t="shared" si="30"/>
        <v>0.21264510867385197</v>
      </c>
      <c r="M316" s="10">
        <f t="shared" si="46"/>
        <v>0.21907509887390478</v>
      </c>
      <c r="P316" s="8">
        <f t="shared" si="47"/>
        <v>1.3793992091721332</v>
      </c>
    </row>
    <row r="317" spans="1:16" x14ac:dyDescent="0.2">
      <c r="A317" s="8">
        <v>157.5</v>
      </c>
      <c r="B317" s="8">
        <v>315</v>
      </c>
      <c r="D317">
        <v>1069.7056379822</v>
      </c>
      <c r="E317">
        <v>316.28902077151002</v>
      </c>
      <c r="F317">
        <v>144.21262656343001</v>
      </c>
      <c r="G317">
        <v>119.99940440739</v>
      </c>
      <c r="I317" s="9">
        <f t="shared" si="44"/>
        <v>196.28961636412004</v>
      </c>
      <c r="J317" s="9">
        <f t="shared" si="45"/>
        <v>925.49301141876992</v>
      </c>
      <c r="K317" s="9">
        <f t="shared" si="31"/>
        <v>196.28961636412004</v>
      </c>
      <c r="L317" s="10">
        <f t="shared" si="30"/>
        <v>0.21209194876924067</v>
      </c>
      <c r="M317" s="10">
        <f t="shared" si="46"/>
        <v>0.21854241664508983</v>
      </c>
      <c r="P317" s="8">
        <f t="shared" si="47"/>
        <v>1.1328946789710763</v>
      </c>
    </row>
    <row r="318" spans="1:16" x14ac:dyDescent="0.2">
      <c r="A318" s="8">
        <v>158</v>
      </c>
      <c r="B318" s="8">
        <v>316</v>
      </c>
      <c r="D318">
        <v>1100.1293413174001</v>
      </c>
      <c r="E318">
        <v>319.90239520957999</v>
      </c>
      <c r="F318">
        <v>144.57712924360001</v>
      </c>
      <c r="G318">
        <v>120.06968433591</v>
      </c>
      <c r="I318" s="9">
        <f t="shared" si="44"/>
        <v>199.83271087367001</v>
      </c>
      <c r="J318" s="9">
        <f t="shared" si="45"/>
        <v>955.55221207380009</v>
      </c>
      <c r="K318" s="9">
        <f t="shared" si="31"/>
        <v>199.83271087367001</v>
      </c>
      <c r="L318" s="10">
        <f t="shared" si="30"/>
        <v>0.20912798730273499</v>
      </c>
      <c r="M318" s="10">
        <f t="shared" si="46"/>
        <v>0.2155989328543805</v>
      </c>
      <c r="P318" s="8">
        <f t="shared" si="47"/>
        <v>-0.22923465392862596</v>
      </c>
    </row>
    <row r="319" spans="1:16" x14ac:dyDescent="0.2">
      <c r="A319" s="8">
        <v>158.5</v>
      </c>
      <c r="B319" s="8">
        <v>317</v>
      </c>
      <c r="D319">
        <v>1103.6958083832001</v>
      </c>
      <c r="E319">
        <v>321.04311377246</v>
      </c>
      <c r="F319">
        <v>144.33770101251</v>
      </c>
      <c r="G319">
        <v>119.85646217986999</v>
      </c>
      <c r="I319" s="9">
        <f t="shared" si="44"/>
        <v>201.18665159259001</v>
      </c>
      <c r="J319" s="9">
        <f t="shared" si="45"/>
        <v>959.35810737069005</v>
      </c>
      <c r="K319" s="9">
        <f t="shared" si="31"/>
        <v>201.18665159259001</v>
      </c>
      <c r="L319" s="10">
        <f t="shared" si="30"/>
        <v>0.20970964861492825</v>
      </c>
      <c r="M319" s="10">
        <f t="shared" si="46"/>
        <v>0.21620107184237009</v>
      </c>
      <c r="P319" s="8">
        <f t="shared" si="47"/>
        <v>4.9411751603472567E-2</v>
      </c>
    </row>
    <row r="320" spans="1:16" x14ac:dyDescent="0.2">
      <c r="A320" s="8">
        <v>159</v>
      </c>
      <c r="B320" s="8">
        <v>318</v>
      </c>
      <c r="D320">
        <v>1095.5497005988</v>
      </c>
      <c r="E320">
        <v>320.17005988023999</v>
      </c>
      <c r="F320">
        <v>144.20190589636999</v>
      </c>
      <c r="G320">
        <v>120.17569982131999</v>
      </c>
      <c r="I320" s="9">
        <f t="shared" ref="I320:I322" si="48">E320-G320</f>
        <v>199.99436005891999</v>
      </c>
      <c r="J320" s="9">
        <f t="shared" ref="J320:J322" si="49">D320-F320</f>
        <v>951.34779470242995</v>
      </c>
      <c r="K320" s="9">
        <f t="shared" ref="K320:K322" si="50">I320*1</f>
        <v>199.99436005891999</v>
      </c>
      <c r="L320" s="10">
        <f t="shared" ref="L320:L322" si="51">K320/J320</f>
        <v>0.21022213030038694</v>
      </c>
      <c r="M320" s="10">
        <f t="shared" ref="M320:M322" si="52">L320+ABS($N$2)*A320</f>
        <v>0.21673403120362514</v>
      </c>
      <c r="P320" s="8">
        <f t="shared" ref="P320:P322" si="53">(M320-$O$2)/$O$2*100</f>
        <v>0.29604452787368046</v>
      </c>
    </row>
    <row r="321" spans="1:16" x14ac:dyDescent="0.2">
      <c r="A321" s="8">
        <v>159.5</v>
      </c>
      <c r="B321" s="8">
        <v>319</v>
      </c>
      <c r="D321">
        <v>1121.4706586826001</v>
      </c>
      <c r="E321">
        <v>325.12634730539003</v>
      </c>
      <c r="F321">
        <v>143.96307325788999</v>
      </c>
      <c r="G321">
        <v>119.95711733175</v>
      </c>
      <c r="I321" s="9">
        <f t="shared" si="48"/>
        <v>205.16922997364003</v>
      </c>
      <c r="J321" s="9">
        <f t="shared" si="49"/>
        <v>977.5075854247101</v>
      </c>
      <c r="K321" s="9">
        <f t="shared" si="50"/>
        <v>205.16922997364003</v>
      </c>
      <c r="L321" s="10">
        <f t="shared" si="51"/>
        <v>0.20989016661645399</v>
      </c>
      <c r="M321" s="10">
        <f t="shared" si="52"/>
        <v>0.21642254519548854</v>
      </c>
      <c r="P321" s="8">
        <f t="shared" si="53"/>
        <v>0.15190096920694282</v>
      </c>
    </row>
    <row r="322" spans="1:16" x14ac:dyDescent="0.2">
      <c r="A322" s="8">
        <v>160</v>
      </c>
      <c r="B322" s="8">
        <v>320</v>
      </c>
      <c r="D322">
        <v>1084.0238948625999</v>
      </c>
      <c r="E322">
        <v>314.04181600956002</v>
      </c>
      <c r="F322">
        <v>143.9511614056</v>
      </c>
      <c r="G322">
        <v>119.80285884455</v>
      </c>
      <c r="I322" s="9">
        <f t="shared" si="48"/>
        <v>194.23895716501002</v>
      </c>
      <c r="J322" s="9">
        <f t="shared" si="49"/>
        <v>940.07273345699991</v>
      </c>
      <c r="K322" s="9">
        <f t="shared" si="50"/>
        <v>194.23895716501002</v>
      </c>
      <c r="L322" s="10">
        <f t="shared" si="51"/>
        <v>0.20662120094763364</v>
      </c>
      <c r="M322" s="10">
        <f t="shared" si="52"/>
        <v>0.21317405720246452</v>
      </c>
      <c r="P322" s="8">
        <f t="shared" si="53"/>
        <v>-1.3513723957889572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7E92-00D6-964E-851B-5E0899FC5561}">
  <dimension ref="A1:Y798"/>
  <sheetViews>
    <sheetView topLeftCell="B1" zoomScale="75" zoomScaleNormal="70" workbookViewId="0">
      <selection activeCell="I38" sqref="I38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412.81161872531999</v>
      </c>
      <c r="E2">
        <v>228.18274111675001</v>
      </c>
      <c r="F2">
        <v>133.64525139665</v>
      </c>
      <c r="G2">
        <v>115.20446927374</v>
      </c>
      <c r="H2" s="4"/>
      <c r="I2" s="5">
        <f>E2-G2</f>
        <v>112.97827184301001</v>
      </c>
      <c r="J2" s="5">
        <f>D2-F2</f>
        <v>279.16636732866999</v>
      </c>
      <c r="K2" s="9">
        <f>I2*1</f>
        <v>112.97827184301001</v>
      </c>
      <c r="L2" s="6">
        <f t="shared" ref="L2:L65" si="0">K2/J2</f>
        <v>0.40469872113927563</v>
      </c>
      <c r="M2" s="6">
        <f>L2+ABS($N$2)*A2</f>
        <v>0.40469872113927563</v>
      </c>
      <c r="N2" s="4">
        <f>LINEST(V64:V103,U64:U103)</f>
        <v>-9.3301186532046936E-5</v>
      </c>
      <c r="O2" s="7">
        <f>AVERAGE(M62:M81)</f>
        <v>0.33435918240418244</v>
      </c>
      <c r="P2" s="4">
        <f>(M2-$O$2)/$O$2*100</f>
        <v>21.037118893915959</v>
      </c>
    </row>
    <row r="3" spans="1:16" x14ac:dyDescent="0.2">
      <c r="A3" s="8">
        <v>0.5</v>
      </c>
      <c r="B3" s="8">
        <v>1</v>
      </c>
      <c r="D3">
        <v>413.93513818386998</v>
      </c>
      <c r="E3">
        <v>226.850535815</v>
      </c>
      <c r="F3">
        <v>132.97374301676001</v>
      </c>
      <c r="G3">
        <v>114.98268156425</v>
      </c>
      <c r="I3" s="9">
        <f t="shared" ref="I3:I66" si="1">E3-G3</f>
        <v>111.86785425075</v>
      </c>
      <c r="J3" s="9">
        <f t="shared" ref="J3:J66" si="2">D3-F3</f>
        <v>280.96139516710997</v>
      </c>
      <c r="K3" s="9">
        <f t="shared" ref="K3:K66" si="3">I3*1</f>
        <v>111.86785425075</v>
      </c>
      <c r="L3" s="10">
        <f t="shared" si="0"/>
        <v>0.39816094372756561</v>
      </c>
      <c r="M3" s="10">
        <f t="shared" ref="M3:M66" si="4">L3+ABS($N$2)*A3</f>
        <v>0.39820759432083164</v>
      </c>
      <c r="P3" s="8">
        <f t="shared" ref="P3:P66" si="5">(M3-$O$2)/$O$2*100</f>
        <v>19.095755485927558</v>
      </c>
    </row>
    <row r="4" spans="1:16" ht="16" x14ac:dyDescent="0.2">
      <c r="A4" s="8">
        <v>1</v>
      </c>
      <c r="B4" s="8">
        <v>2</v>
      </c>
      <c r="D4">
        <v>410.49576988156002</v>
      </c>
      <c r="E4">
        <v>225.87253243091001</v>
      </c>
      <c r="F4">
        <v>133.38156424581001</v>
      </c>
      <c r="G4">
        <v>115.22737430168</v>
      </c>
      <c r="I4" s="9">
        <f t="shared" si="1"/>
        <v>110.64515812923001</v>
      </c>
      <c r="J4" s="9">
        <f t="shared" si="2"/>
        <v>277.11420563575001</v>
      </c>
      <c r="K4" s="9">
        <f t="shared" si="3"/>
        <v>110.64515812923001</v>
      </c>
      <c r="L4" s="10">
        <f t="shared" si="0"/>
        <v>0.39927638453391462</v>
      </c>
      <c r="M4" s="10">
        <f t="shared" si="4"/>
        <v>0.39936968572044668</v>
      </c>
      <c r="N4" s="1" t="s">
        <v>7</v>
      </c>
      <c r="P4" s="8">
        <f t="shared" si="5"/>
        <v>19.443313280290827</v>
      </c>
    </row>
    <row r="5" spans="1:16" x14ac:dyDescent="0.2">
      <c r="A5" s="8">
        <v>1.5</v>
      </c>
      <c r="B5" s="8">
        <v>3</v>
      </c>
      <c r="D5">
        <v>410.40778341793998</v>
      </c>
      <c r="E5">
        <v>224.06373378455001</v>
      </c>
      <c r="F5">
        <v>133.21731843575</v>
      </c>
      <c r="G5">
        <v>115.14301675978</v>
      </c>
      <c r="I5" s="9">
        <f t="shared" si="1"/>
        <v>108.92071702477001</v>
      </c>
      <c r="J5" s="9">
        <f t="shared" si="2"/>
        <v>277.19046498218995</v>
      </c>
      <c r="K5" s="9">
        <f t="shared" si="3"/>
        <v>108.92071702477001</v>
      </c>
      <c r="L5" s="10">
        <f t="shared" si="0"/>
        <v>0.39294539598167055</v>
      </c>
      <c r="M5" s="10">
        <f t="shared" si="4"/>
        <v>0.39308534776146864</v>
      </c>
      <c r="N5" s="8">
        <f>RSQ(V64:V83,U64:U83)</f>
        <v>3.3262275940571188E-3</v>
      </c>
      <c r="P5" s="8">
        <f t="shared" si="5"/>
        <v>17.563796195163683</v>
      </c>
    </row>
    <row r="6" spans="1:16" x14ac:dyDescent="0.2">
      <c r="A6" s="8">
        <v>2</v>
      </c>
      <c r="B6" s="8">
        <v>4</v>
      </c>
      <c r="D6">
        <v>410.56683587139997</v>
      </c>
      <c r="E6">
        <v>223.66328257191</v>
      </c>
      <c r="F6">
        <v>132.88491620112001</v>
      </c>
      <c r="G6">
        <v>115.07094972067</v>
      </c>
      <c r="I6" s="9">
        <f t="shared" si="1"/>
        <v>108.59233285124</v>
      </c>
      <c r="J6" s="9">
        <f t="shared" si="2"/>
        <v>277.68191967027997</v>
      </c>
      <c r="K6" s="9">
        <f t="shared" si="3"/>
        <v>108.59233285124</v>
      </c>
      <c r="L6" s="10">
        <f t="shared" si="0"/>
        <v>0.39106735137881049</v>
      </c>
      <c r="M6" s="10">
        <f t="shared" si="4"/>
        <v>0.39125395375187461</v>
      </c>
      <c r="P6" s="8">
        <f t="shared" si="5"/>
        <v>17.016063665006879</v>
      </c>
    </row>
    <row r="7" spans="1:16" x14ac:dyDescent="0.2">
      <c r="A7" s="8">
        <v>2.5</v>
      </c>
      <c r="B7" s="8">
        <v>5</v>
      </c>
      <c r="D7">
        <v>410.79921037789001</v>
      </c>
      <c r="E7">
        <v>223.33333333332999</v>
      </c>
      <c r="F7">
        <v>133.39832402235001</v>
      </c>
      <c r="G7">
        <v>115.10782122905</v>
      </c>
      <c r="I7" s="9">
        <f t="shared" si="1"/>
        <v>108.22551210427999</v>
      </c>
      <c r="J7" s="9">
        <f t="shared" si="2"/>
        <v>277.40088635554002</v>
      </c>
      <c r="K7" s="9">
        <f t="shared" si="3"/>
        <v>108.22551210427999</v>
      </c>
      <c r="L7" s="10">
        <f t="shared" si="0"/>
        <v>0.39014119070106063</v>
      </c>
      <c r="M7" s="10">
        <f t="shared" si="4"/>
        <v>0.39037444366739077</v>
      </c>
      <c r="P7" s="8">
        <f t="shared" si="5"/>
        <v>16.753020168441363</v>
      </c>
    </row>
    <row r="8" spans="1:16" x14ac:dyDescent="0.2">
      <c r="A8" s="8">
        <v>3</v>
      </c>
      <c r="B8" s="8">
        <v>6</v>
      </c>
      <c r="D8">
        <v>411.81218274112001</v>
      </c>
      <c r="E8">
        <v>223.18894529047</v>
      </c>
      <c r="F8">
        <v>133.31173184357999</v>
      </c>
      <c r="G8">
        <v>115.04301675978</v>
      </c>
      <c r="I8" s="9">
        <f t="shared" si="1"/>
        <v>108.14592853069</v>
      </c>
      <c r="J8" s="9">
        <f t="shared" si="2"/>
        <v>278.50045089754002</v>
      </c>
      <c r="K8" s="9">
        <f t="shared" si="3"/>
        <v>108.14592853069</v>
      </c>
      <c r="L8" s="10">
        <f t="shared" si="0"/>
        <v>0.38831509314315887</v>
      </c>
      <c r="M8" s="10">
        <f t="shared" si="4"/>
        <v>0.38859499670275499</v>
      </c>
      <c r="P8" s="8">
        <f t="shared" si="5"/>
        <v>16.220823938075917</v>
      </c>
    </row>
    <row r="9" spans="1:16" x14ac:dyDescent="0.2">
      <c r="A9" s="8">
        <v>3.5</v>
      </c>
      <c r="B9" s="8">
        <v>7</v>
      </c>
      <c r="D9">
        <v>412.00169204738</v>
      </c>
      <c r="E9">
        <v>220.4404963339</v>
      </c>
      <c r="F9">
        <v>132.94469273742999</v>
      </c>
      <c r="G9">
        <v>115.21340782123001</v>
      </c>
      <c r="I9" s="9">
        <f t="shared" si="1"/>
        <v>105.22708851266999</v>
      </c>
      <c r="J9" s="9">
        <f t="shared" si="2"/>
        <v>279.05699930995002</v>
      </c>
      <c r="K9" s="9">
        <f t="shared" si="3"/>
        <v>105.22708851266999</v>
      </c>
      <c r="L9" s="10">
        <f t="shared" si="0"/>
        <v>0.37708098622458752</v>
      </c>
      <c r="M9" s="10">
        <f t="shared" si="4"/>
        <v>0.37740754037744967</v>
      </c>
      <c r="P9" s="8">
        <f t="shared" si="5"/>
        <v>12.874884327605876</v>
      </c>
    </row>
    <row r="10" spans="1:16" x14ac:dyDescent="0.2">
      <c r="A10" s="8">
        <v>4</v>
      </c>
      <c r="B10" s="8">
        <v>8</v>
      </c>
      <c r="D10">
        <v>425.09757473208998</v>
      </c>
      <c r="E10">
        <v>224.01297236323001</v>
      </c>
      <c r="F10">
        <v>133.70279329608999</v>
      </c>
      <c r="G10">
        <v>115.38938547486001</v>
      </c>
      <c r="I10" s="9">
        <f t="shared" si="1"/>
        <v>108.62358688837</v>
      </c>
      <c r="J10" s="9">
        <f t="shared" si="2"/>
        <v>291.39478143600002</v>
      </c>
      <c r="K10" s="9">
        <f t="shared" si="3"/>
        <v>108.62358688837</v>
      </c>
      <c r="L10" s="10">
        <f t="shared" si="0"/>
        <v>0.3727712155758951</v>
      </c>
      <c r="M10" s="10">
        <f t="shared" si="4"/>
        <v>0.37314442032202327</v>
      </c>
      <c r="P10" s="8">
        <f t="shared" si="5"/>
        <v>11.599872220932813</v>
      </c>
    </row>
    <row r="11" spans="1:16" x14ac:dyDescent="0.2">
      <c r="A11" s="8">
        <v>4.5</v>
      </c>
      <c r="B11" s="8">
        <v>9</v>
      </c>
      <c r="D11">
        <v>429.55230596176</v>
      </c>
      <c r="E11">
        <v>223.65466816648001</v>
      </c>
      <c r="F11">
        <v>133.21564245810001</v>
      </c>
      <c r="G11">
        <v>115.34581005587</v>
      </c>
      <c r="I11" s="9">
        <f t="shared" si="1"/>
        <v>108.30885811061</v>
      </c>
      <c r="J11" s="9">
        <f t="shared" si="2"/>
        <v>296.33666350366002</v>
      </c>
      <c r="K11" s="9">
        <f t="shared" si="3"/>
        <v>108.30885811061</v>
      </c>
      <c r="L11" s="10">
        <f t="shared" si="0"/>
        <v>0.36549260165802028</v>
      </c>
      <c r="M11" s="10">
        <f t="shared" si="4"/>
        <v>0.36591245699741448</v>
      </c>
      <c r="P11" s="8">
        <f t="shared" si="5"/>
        <v>9.4369397503459567</v>
      </c>
    </row>
    <row r="12" spans="1:16" x14ac:dyDescent="0.2">
      <c r="A12" s="8">
        <v>5</v>
      </c>
      <c r="B12" s="8">
        <v>10</v>
      </c>
      <c r="D12">
        <v>444.17379077614999</v>
      </c>
      <c r="E12">
        <v>226.69853768279</v>
      </c>
      <c r="F12">
        <v>133.50279329609</v>
      </c>
      <c r="G12">
        <v>114.97597765363</v>
      </c>
      <c r="I12" s="9">
        <f t="shared" si="1"/>
        <v>111.72256002916001</v>
      </c>
      <c r="J12" s="9">
        <f t="shared" si="2"/>
        <v>310.67099748006001</v>
      </c>
      <c r="K12" s="9">
        <f t="shared" si="3"/>
        <v>111.72256002916001</v>
      </c>
      <c r="L12" s="10">
        <f t="shared" si="0"/>
        <v>0.3596169611433741</v>
      </c>
      <c r="M12" s="10">
        <f t="shared" si="4"/>
        <v>0.36008346707603434</v>
      </c>
      <c r="P12" s="8">
        <f t="shared" si="5"/>
        <v>7.6936079598243792</v>
      </c>
    </row>
    <row r="13" spans="1:16" x14ac:dyDescent="0.2">
      <c r="A13" s="8">
        <v>5.5</v>
      </c>
      <c r="B13" s="8">
        <v>11</v>
      </c>
      <c r="D13">
        <v>443.55174353206002</v>
      </c>
      <c r="E13">
        <v>223.65466816648001</v>
      </c>
      <c r="F13">
        <v>133.92346368714999</v>
      </c>
      <c r="G13">
        <v>115.14972067039</v>
      </c>
      <c r="I13" s="9">
        <f t="shared" si="1"/>
        <v>108.50494749609001</v>
      </c>
      <c r="J13" s="9">
        <f t="shared" si="2"/>
        <v>309.62827984491003</v>
      </c>
      <c r="K13" s="9">
        <f t="shared" si="3"/>
        <v>108.50494749609001</v>
      </c>
      <c r="L13" s="10">
        <f t="shared" si="0"/>
        <v>0.35043616671719763</v>
      </c>
      <c r="M13" s="10">
        <f t="shared" si="4"/>
        <v>0.35094932324312389</v>
      </c>
      <c r="P13" s="8">
        <f t="shared" si="5"/>
        <v>4.9617721635910792</v>
      </c>
    </row>
    <row r="14" spans="1:16" x14ac:dyDescent="0.2">
      <c r="A14" s="8">
        <v>6</v>
      </c>
      <c r="B14" s="8">
        <v>12</v>
      </c>
      <c r="D14">
        <v>442.68222722159999</v>
      </c>
      <c r="E14">
        <v>223.74690663666999</v>
      </c>
      <c r="F14">
        <v>133.4469273743</v>
      </c>
      <c r="G14">
        <v>115.43519553073</v>
      </c>
      <c r="I14" s="9">
        <f t="shared" si="1"/>
        <v>108.31171110593999</v>
      </c>
      <c r="J14" s="9">
        <f t="shared" si="2"/>
        <v>309.23529984729998</v>
      </c>
      <c r="K14" s="9">
        <f t="shared" si="3"/>
        <v>108.31171110593999</v>
      </c>
      <c r="L14" s="10">
        <f t="shared" si="0"/>
        <v>0.35025662063620866</v>
      </c>
      <c r="M14" s="10">
        <f t="shared" si="4"/>
        <v>0.35081642775540095</v>
      </c>
      <c r="P14" s="8">
        <f t="shared" si="5"/>
        <v>4.9220258384662943</v>
      </c>
    </row>
    <row r="15" spans="1:16" x14ac:dyDescent="0.2">
      <c r="A15" s="8">
        <v>6.5</v>
      </c>
      <c r="B15" s="8">
        <v>13</v>
      </c>
      <c r="D15">
        <v>442.79124579124999</v>
      </c>
      <c r="E15">
        <v>222.25308641974999</v>
      </c>
      <c r="F15">
        <v>133.38100558658999</v>
      </c>
      <c r="G15">
        <v>115.24804469274</v>
      </c>
      <c r="I15" s="9">
        <f t="shared" si="1"/>
        <v>107.00504172701</v>
      </c>
      <c r="J15" s="9">
        <f t="shared" si="2"/>
        <v>309.41024020466</v>
      </c>
      <c r="K15" s="9">
        <f t="shared" si="3"/>
        <v>107.00504172701</v>
      </c>
      <c r="L15" s="10">
        <f t="shared" si="0"/>
        <v>0.34583548901365158</v>
      </c>
      <c r="M15" s="10">
        <f t="shared" si="4"/>
        <v>0.3464419467261099</v>
      </c>
      <c r="P15" s="8">
        <f t="shared" si="5"/>
        <v>3.613707939781202</v>
      </c>
    </row>
    <row r="16" spans="1:16" x14ac:dyDescent="0.2">
      <c r="A16" s="8">
        <v>7</v>
      </c>
      <c r="B16" s="8">
        <v>14</v>
      </c>
      <c r="D16">
        <v>441.06509539843</v>
      </c>
      <c r="E16">
        <v>220.83052749718999</v>
      </c>
      <c r="F16">
        <v>133.30782122905001</v>
      </c>
      <c r="G16">
        <v>115.37318435754</v>
      </c>
      <c r="I16" s="9">
        <f t="shared" si="1"/>
        <v>105.45734313964999</v>
      </c>
      <c r="J16" s="9">
        <f t="shared" si="2"/>
        <v>307.75727416938003</v>
      </c>
      <c r="K16" s="9">
        <f t="shared" si="3"/>
        <v>105.45734313964999</v>
      </c>
      <c r="L16" s="10">
        <f t="shared" si="0"/>
        <v>0.3426640147638218</v>
      </c>
      <c r="M16" s="10">
        <f t="shared" si="4"/>
        <v>0.34331712306954615</v>
      </c>
      <c r="P16" s="8">
        <f t="shared" si="5"/>
        <v>2.6791370289137459</v>
      </c>
    </row>
    <row r="17" spans="1:16" x14ac:dyDescent="0.2">
      <c r="A17" s="8">
        <v>7.5</v>
      </c>
      <c r="B17" s="8">
        <v>15</v>
      </c>
      <c r="D17">
        <v>444.59429210968</v>
      </c>
      <c r="E17">
        <v>221.32120872972001</v>
      </c>
      <c r="F17">
        <v>133.52737430168</v>
      </c>
      <c r="G17">
        <v>115.20446927374</v>
      </c>
      <c r="I17" s="9">
        <f t="shared" si="1"/>
        <v>106.11673945598001</v>
      </c>
      <c r="J17" s="9">
        <f t="shared" si="2"/>
        <v>311.06691780799997</v>
      </c>
      <c r="K17" s="9">
        <f t="shared" si="3"/>
        <v>106.11673945598001</v>
      </c>
      <c r="L17" s="10">
        <f t="shared" si="0"/>
        <v>0.34113797829661369</v>
      </c>
      <c r="M17" s="10">
        <f t="shared" si="4"/>
        <v>0.34183773719560406</v>
      </c>
      <c r="P17" s="8">
        <f t="shared" si="5"/>
        <v>2.2366829400788943</v>
      </c>
    </row>
    <row r="18" spans="1:16" x14ac:dyDescent="0.2">
      <c r="A18" s="8">
        <v>8</v>
      </c>
      <c r="B18" s="8">
        <v>16</v>
      </c>
      <c r="D18">
        <v>442.30442081701</v>
      </c>
      <c r="E18">
        <v>219.90934527140999</v>
      </c>
      <c r="F18">
        <v>134.03575418994001</v>
      </c>
      <c r="G18">
        <v>115.45363128491999</v>
      </c>
      <c r="I18" s="9">
        <f t="shared" si="1"/>
        <v>104.45571398649</v>
      </c>
      <c r="J18" s="9">
        <f t="shared" si="2"/>
        <v>308.26866662706999</v>
      </c>
      <c r="K18" s="9">
        <f t="shared" si="3"/>
        <v>104.45571398649</v>
      </c>
      <c r="L18" s="10">
        <f t="shared" si="0"/>
        <v>0.33884635480276032</v>
      </c>
      <c r="M18" s="10">
        <f t="shared" si="4"/>
        <v>0.33959276429501667</v>
      </c>
      <c r="P18" s="8">
        <f t="shared" si="5"/>
        <v>1.5652574136599398</v>
      </c>
    </row>
    <row r="19" spans="1:16" x14ac:dyDescent="0.2">
      <c r="A19" s="8">
        <v>8.5</v>
      </c>
      <c r="B19" s="8">
        <v>17</v>
      </c>
      <c r="D19">
        <v>443.01627384961</v>
      </c>
      <c r="E19">
        <v>219.54882154882</v>
      </c>
      <c r="F19">
        <v>134.30782122905001</v>
      </c>
      <c r="G19">
        <v>115.28994413408</v>
      </c>
      <c r="I19" s="9">
        <f t="shared" si="1"/>
        <v>104.25887741474</v>
      </c>
      <c r="J19" s="9">
        <f t="shared" si="2"/>
        <v>308.70845262056002</v>
      </c>
      <c r="K19" s="9">
        <f t="shared" si="3"/>
        <v>104.25887741474</v>
      </c>
      <c r="L19" s="10">
        <f t="shared" si="0"/>
        <v>0.33772602120126188</v>
      </c>
      <c r="M19" s="10">
        <f t="shared" si="4"/>
        <v>0.33851908128678426</v>
      </c>
      <c r="P19" s="8">
        <f t="shared" si="5"/>
        <v>1.2441407628438395</v>
      </c>
    </row>
    <row r="20" spans="1:16" x14ac:dyDescent="0.2">
      <c r="A20" s="8">
        <v>9</v>
      </c>
      <c r="B20" s="8">
        <v>18</v>
      </c>
      <c r="D20">
        <v>442.21156004489001</v>
      </c>
      <c r="E20">
        <v>218.07912457913</v>
      </c>
      <c r="F20">
        <v>134.42793296088999</v>
      </c>
      <c r="G20">
        <v>115.19888268155999</v>
      </c>
      <c r="I20" s="9">
        <f t="shared" si="1"/>
        <v>102.88024189757</v>
      </c>
      <c r="J20" s="9">
        <f t="shared" si="2"/>
        <v>307.78362708400005</v>
      </c>
      <c r="K20" s="9">
        <f t="shared" si="3"/>
        <v>102.88024189757</v>
      </c>
      <c r="L20" s="10">
        <f t="shared" si="0"/>
        <v>0.33426158133321371</v>
      </c>
      <c r="M20" s="10">
        <f t="shared" si="4"/>
        <v>0.33510129201200212</v>
      </c>
      <c r="P20" s="8">
        <f t="shared" si="5"/>
        <v>0.22194982129205951</v>
      </c>
    </row>
    <row r="21" spans="1:16" x14ac:dyDescent="0.2">
      <c r="A21" s="8">
        <v>9.5</v>
      </c>
      <c r="B21" s="8">
        <v>19</v>
      </c>
      <c r="D21">
        <v>443.82603815937</v>
      </c>
      <c r="E21">
        <v>218.88720538721</v>
      </c>
      <c r="F21">
        <v>134.22234636872</v>
      </c>
      <c r="G21">
        <v>115.23296089386</v>
      </c>
      <c r="I21" s="9">
        <f t="shared" si="1"/>
        <v>103.65424449335001</v>
      </c>
      <c r="J21" s="9">
        <f t="shared" si="2"/>
        <v>309.60369179065003</v>
      </c>
      <c r="K21" s="9">
        <f t="shared" si="3"/>
        <v>103.65424449335001</v>
      </c>
      <c r="L21" s="10">
        <f t="shared" si="0"/>
        <v>0.33479653906530177</v>
      </c>
      <c r="M21" s="10">
        <f t="shared" si="4"/>
        <v>0.3356829003373562</v>
      </c>
      <c r="P21" s="8">
        <f t="shared" si="5"/>
        <v>0.39589698827939368</v>
      </c>
    </row>
    <row r="22" spans="1:16" x14ac:dyDescent="0.2">
      <c r="A22" s="8">
        <v>10</v>
      </c>
      <c r="B22" s="8">
        <v>20</v>
      </c>
      <c r="D22">
        <v>441.45903479237001</v>
      </c>
      <c r="E22">
        <v>217.33557800225</v>
      </c>
      <c r="F22">
        <v>133.81396648045001</v>
      </c>
      <c r="G22">
        <v>115.53798882682</v>
      </c>
      <c r="I22" s="9">
        <f t="shared" si="1"/>
        <v>101.79758917543001</v>
      </c>
      <c r="J22" s="9">
        <f t="shared" si="2"/>
        <v>307.64506831192</v>
      </c>
      <c r="K22" s="9">
        <f t="shared" si="3"/>
        <v>101.79758917543001</v>
      </c>
      <c r="L22" s="10">
        <f t="shared" si="0"/>
        <v>0.33089296615090824</v>
      </c>
      <c r="M22" s="10">
        <f t="shared" si="4"/>
        <v>0.33182597801622871</v>
      </c>
      <c r="P22" s="8">
        <f t="shared" si="5"/>
        <v>-0.7576296752907864</v>
      </c>
    </row>
    <row r="23" spans="1:16" x14ac:dyDescent="0.2">
      <c r="A23" s="8">
        <v>10.5</v>
      </c>
      <c r="B23" s="8">
        <v>21</v>
      </c>
      <c r="D23">
        <v>441.79740406321002</v>
      </c>
      <c r="E23">
        <v>217.34988713318</v>
      </c>
      <c r="F23">
        <v>134.19385474859999</v>
      </c>
      <c r="G23">
        <v>115.20055865921999</v>
      </c>
      <c r="I23" s="9">
        <f t="shared" si="1"/>
        <v>102.14932847396001</v>
      </c>
      <c r="J23" s="9">
        <f t="shared" si="2"/>
        <v>307.60354931461006</v>
      </c>
      <c r="K23" s="9">
        <f t="shared" si="3"/>
        <v>102.14932847396001</v>
      </c>
      <c r="L23" s="10">
        <f t="shared" si="0"/>
        <v>0.33208111122763395</v>
      </c>
      <c r="M23" s="10">
        <f t="shared" si="4"/>
        <v>0.33306077368622045</v>
      </c>
      <c r="P23" s="8">
        <f t="shared" si="5"/>
        <v>-0.38832751911459235</v>
      </c>
    </row>
    <row r="24" spans="1:16" x14ac:dyDescent="0.2">
      <c r="A24" s="8">
        <v>11</v>
      </c>
      <c r="B24" s="8">
        <v>22</v>
      </c>
      <c r="D24">
        <v>437.20259593679998</v>
      </c>
      <c r="E24">
        <v>216.03893905192001</v>
      </c>
      <c r="F24">
        <v>133.72290502793001</v>
      </c>
      <c r="G24">
        <v>115.34804469274</v>
      </c>
      <c r="I24" s="9">
        <f t="shared" si="1"/>
        <v>100.69089435918001</v>
      </c>
      <c r="J24" s="9">
        <f t="shared" si="2"/>
        <v>303.47969090887</v>
      </c>
      <c r="K24" s="9">
        <f t="shared" si="3"/>
        <v>100.69089435918001</v>
      </c>
      <c r="L24" s="10">
        <f t="shared" si="0"/>
        <v>0.33178791654106382</v>
      </c>
      <c r="M24" s="10">
        <f t="shared" si="4"/>
        <v>0.33281422959291634</v>
      </c>
      <c r="P24" s="8">
        <f t="shared" si="5"/>
        <v>-0.46206382015808301</v>
      </c>
    </row>
    <row r="25" spans="1:16" x14ac:dyDescent="0.2">
      <c r="A25" s="8">
        <v>11.5</v>
      </c>
      <c r="B25" s="8">
        <v>23</v>
      </c>
      <c r="D25">
        <v>442.91760722347999</v>
      </c>
      <c r="E25">
        <v>217.61455981941</v>
      </c>
      <c r="F25">
        <v>133.90391061452999</v>
      </c>
      <c r="G25">
        <v>115.21340782123001</v>
      </c>
      <c r="I25" s="9">
        <f t="shared" si="1"/>
        <v>102.40115199818</v>
      </c>
      <c r="J25" s="9">
        <f t="shared" si="2"/>
        <v>309.01369660895</v>
      </c>
      <c r="K25" s="9">
        <f t="shared" si="3"/>
        <v>102.40115199818</v>
      </c>
      <c r="L25" s="10">
        <f t="shared" si="0"/>
        <v>0.33138062526647932</v>
      </c>
      <c r="M25" s="10">
        <f t="shared" si="4"/>
        <v>0.33245358891159787</v>
      </c>
      <c r="P25" s="8">
        <f t="shared" si="5"/>
        <v>-0.56992407951310109</v>
      </c>
    </row>
    <row r="26" spans="1:16" x14ac:dyDescent="0.2">
      <c r="A26" s="8">
        <v>12</v>
      </c>
      <c r="B26" s="8">
        <v>24</v>
      </c>
      <c r="D26">
        <v>434.89503386004998</v>
      </c>
      <c r="E26">
        <v>215.72460496613999</v>
      </c>
      <c r="F26">
        <v>133.48882681564001</v>
      </c>
      <c r="G26">
        <v>115.28547486034</v>
      </c>
      <c r="I26" s="9">
        <f t="shared" si="1"/>
        <v>100.43913010579999</v>
      </c>
      <c r="J26" s="9">
        <f t="shared" si="2"/>
        <v>301.40620704440994</v>
      </c>
      <c r="K26" s="9">
        <f t="shared" si="3"/>
        <v>100.43913010579999</v>
      </c>
      <c r="L26" s="10">
        <f t="shared" si="0"/>
        <v>0.33323510849596089</v>
      </c>
      <c r="M26" s="10">
        <f t="shared" si="4"/>
        <v>0.33435472273434547</v>
      </c>
      <c r="P26" s="8">
        <f t="shared" si="5"/>
        <v>-1.3337961305291467E-3</v>
      </c>
    </row>
    <row r="27" spans="1:16" x14ac:dyDescent="0.2">
      <c r="A27" s="8">
        <v>12.5</v>
      </c>
      <c r="B27" s="8">
        <v>25</v>
      </c>
      <c r="D27">
        <v>440.52934537246</v>
      </c>
      <c r="E27">
        <v>215.97121896163</v>
      </c>
      <c r="F27">
        <v>133.92569832402</v>
      </c>
      <c r="G27">
        <v>115.1251396648</v>
      </c>
      <c r="I27" s="9">
        <f t="shared" si="1"/>
        <v>100.84607929683</v>
      </c>
      <c r="J27" s="9">
        <f t="shared" si="2"/>
        <v>306.60364704844</v>
      </c>
      <c r="K27" s="9">
        <f t="shared" si="3"/>
        <v>100.84607929683</v>
      </c>
      <c r="L27" s="10">
        <f t="shared" si="0"/>
        <v>0.32891350206573838</v>
      </c>
      <c r="M27" s="10">
        <f t="shared" si="4"/>
        <v>0.33007976689738899</v>
      </c>
      <c r="P27" s="8">
        <f t="shared" si="5"/>
        <v>-1.279885743236558</v>
      </c>
    </row>
    <row r="28" spans="1:16" x14ac:dyDescent="0.2">
      <c r="A28" s="8">
        <v>13</v>
      </c>
      <c r="B28" s="8">
        <v>26</v>
      </c>
      <c r="D28">
        <v>442.02878103837998</v>
      </c>
      <c r="E28">
        <v>216.75959367946001</v>
      </c>
      <c r="F28">
        <v>133.54972067039</v>
      </c>
      <c r="G28">
        <v>115.25418994413</v>
      </c>
      <c r="I28" s="9">
        <f t="shared" si="1"/>
        <v>101.50540373533001</v>
      </c>
      <c r="J28" s="9">
        <f t="shared" si="2"/>
        <v>308.47906036798997</v>
      </c>
      <c r="K28" s="9">
        <f t="shared" si="3"/>
        <v>101.50540373533001</v>
      </c>
      <c r="L28" s="10">
        <f t="shared" si="0"/>
        <v>0.32905119593609522</v>
      </c>
      <c r="M28" s="10">
        <f t="shared" si="4"/>
        <v>0.3302641113610118</v>
      </c>
      <c r="P28" s="8">
        <f t="shared" si="5"/>
        <v>-1.2247520805994814</v>
      </c>
    </row>
    <row r="29" spans="1:16" x14ac:dyDescent="0.2">
      <c r="A29" s="8">
        <v>13.5</v>
      </c>
      <c r="B29" s="8">
        <v>27</v>
      </c>
      <c r="D29">
        <v>446.78216704289002</v>
      </c>
      <c r="E29">
        <v>217.55925507901</v>
      </c>
      <c r="F29">
        <v>134.13463687151</v>
      </c>
      <c r="G29">
        <v>115.00167597765</v>
      </c>
      <c r="I29" s="9">
        <f t="shared" si="1"/>
        <v>102.55757910136001</v>
      </c>
      <c r="J29" s="9">
        <f t="shared" si="2"/>
        <v>312.64753017138003</v>
      </c>
      <c r="K29" s="9">
        <f t="shared" si="3"/>
        <v>102.55757910136001</v>
      </c>
      <c r="L29" s="10">
        <f t="shared" si="0"/>
        <v>0.32802939158080768</v>
      </c>
      <c r="M29" s="10">
        <f t="shared" si="4"/>
        <v>0.3292889575989903</v>
      </c>
      <c r="P29" s="8">
        <f t="shared" si="5"/>
        <v>-1.5164006469734461</v>
      </c>
    </row>
    <row r="30" spans="1:16" x14ac:dyDescent="0.2">
      <c r="A30" s="8">
        <v>14</v>
      </c>
      <c r="B30" s="8">
        <v>28</v>
      </c>
      <c r="D30">
        <v>440.68115124154002</v>
      </c>
      <c r="E30">
        <v>217.48476297968</v>
      </c>
      <c r="F30">
        <v>133.78882681563999</v>
      </c>
      <c r="G30">
        <v>115.19106145251</v>
      </c>
      <c r="I30" s="9">
        <f t="shared" si="1"/>
        <v>102.29370152717</v>
      </c>
      <c r="J30" s="9">
        <f t="shared" si="2"/>
        <v>306.89232442590003</v>
      </c>
      <c r="K30" s="9">
        <f t="shared" si="3"/>
        <v>102.29370152717</v>
      </c>
      <c r="L30" s="10">
        <f t="shared" si="0"/>
        <v>0.33332114681763275</v>
      </c>
      <c r="M30" s="10">
        <f t="shared" si="4"/>
        <v>0.33462736342908139</v>
      </c>
      <c r="P30" s="8">
        <f t="shared" si="5"/>
        <v>8.020746520870653E-2</v>
      </c>
    </row>
    <row r="31" spans="1:16" x14ac:dyDescent="0.2">
      <c r="A31" s="8">
        <v>14.5</v>
      </c>
      <c r="B31" s="8">
        <v>29</v>
      </c>
      <c r="D31">
        <v>437.36230248306998</v>
      </c>
      <c r="E31">
        <v>216.06038374718</v>
      </c>
      <c r="F31">
        <v>133.82625698324</v>
      </c>
      <c r="G31">
        <v>115.41229050279</v>
      </c>
      <c r="I31" s="9">
        <f t="shared" si="1"/>
        <v>100.64809324439</v>
      </c>
      <c r="J31" s="9">
        <f t="shared" si="2"/>
        <v>303.53604549982998</v>
      </c>
      <c r="K31" s="9">
        <f t="shared" si="3"/>
        <v>100.64809324439</v>
      </c>
      <c r="L31" s="10">
        <f t="shared" si="0"/>
        <v>0.33158530835655359</v>
      </c>
      <c r="M31" s="10">
        <f t="shared" si="4"/>
        <v>0.33293817556126826</v>
      </c>
      <c r="P31" s="8">
        <f t="shared" si="5"/>
        <v>-0.42499411342513504</v>
      </c>
    </row>
    <row r="32" spans="1:16" x14ac:dyDescent="0.2">
      <c r="A32" s="8">
        <v>15</v>
      </c>
      <c r="B32" s="8">
        <v>30</v>
      </c>
      <c r="D32">
        <v>435.04232505643</v>
      </c>
      <c r="E32">
        <v>215.84537246049999</v>
      </c>
      <c r="F32">
        <v>133.99162011172999</v>
      </c>
      <c r="G32">
        <v>115.13351955307</v>
      </c>
      <c r="I32" s="9">
        <f t="shared" si="1"/>
        <v>100.71185290742999</v>
      </c>
      <c r="J32" s="9">
        <f t="shared" si="2"/>
        <v>301.05070494469999</v>
      </c>
      <c r="K32" s="9">
        <f t="shared" si="3"/>
        <v>100.71185290742999</v>
      </c>
      <c r="L32" s="10">
        <f t="shared" si="0"/>
        <v>0.3345345194455856</v>
      </c>
      <c r="M32" s="10">
        <f t="shared" si="4"/>
        <v>0.3359340372435663</v>
      </c>
      <c r="P32" s="8">
        <f t="shared" si="5"/>
        <v>0.47100690582504401</v>
      </c>
    </row>
    <row r="33" spans="1:16" x14ac:dyDescent="0.2">
      <c r="A33" s="8">
        <v>15.5</v>
      </c>
      <c r="B33" s="8">
        <v>31</v>
      </c>
      <c r="D33">
        <v>433.7618510158</v>
      </c>
      <c r="E33">
        <v>215.39108352145001</v>
      </c>
      <c r="F33">
        <v>134.03296089386001</v>
      </c>
      <c r="G33">
        <v>114.97150837989</v>
      </c>
      <c r="I33" s="9">
        <f t="shared" si="1"/>
        <v>100.41957514156002</v>
      </c>
      <c r="J33" s="9">
        <f t="shared" si="2"/>
        <v>299.72889012194003</v>
      </c>
      <c r="K33" s="9">
        <f t="shared" si="3"/>
        <v>100.41957514156002</v>
      </c>
      <c r="L33" s="10">
        <f t="shared" si="0"/>
        <v>0.33503468784976276</v>
      </c>
      <c r="M33" s="10">
        <f t="shared" si="4"/>
        <v>0.33648085624100948</v>
      </c>
      <c r="P33" s="8">
        <f t="shared" si="5"/>
        <v>0.63454929563211637</v>
      </c>
    </row>
    <row r="34" spans="1:16" x14ac:dyDescent="0.2">
      <c r="A34" s="8">
        <v>16</v>
      </c>
      <c r="B34" s="8">
        <v>32</v>
      </c>
      <c r="D34">
        <v>435.86659192824999</v>
      </c>
      <c r="E34">
        <v>213.56726457399</v>
      </c>
      <c r="F34">
        <v>134.08379888267999</v>
      </c>
      <c r="G34">
        <v>115.33463687151</v>
      </c>
      <c r="I34" s="9">
        <f t="shared" si="1"/>
        <v>98.232627702480002</v>
      </c>
      <c r="J34" s="9">
        <f t="shared" si="2"/>
        <v>301.78279304556997</v>
      </c>
      <c r="K34" s="9">
        <f t="shared" si="3"/>
        <v>98.232627702480002</v>
      </c>
      <c r="L34" s="10">
        <f t="shared" si="0"/>
        <v>0.32550771603352024</v>
      </c>
      <c r="M34" s="10">
        <f t="shared" si="4"/>
        <v>0.327000535018033</v>
      </c>
      <c r="P34" s="8">
        <f t="shared" si="5"/>
        <v>-2.200821085049224</v>
      </c>
    </row>
    <row r="35" spans="1:16" x14ac:dyDescent="0.2">
      <c r="A35" s="8">
        <v>16.5</v>
      </c>
      <c r="B35" s="8">
        <v>33</v>
      </c>
      <c r="D35">
        <v>435.98430493273997</v>
      </c>
      <c r="E35">
        <v>213.77914798206001</v>
      </c>
      <c r="F35">
        <v>133.9469273743</v>
      </c>
      <c r="G35">
        <v>115.2592178771</v>
      </c>
      <c r="I35" s="9">
        <f t="shared" si="1"/>
        <v>98.519930104960011</v>
      </c>
      <c r="J35" s="9">
        <f t="shared" si="2"/>
        <v>302.03737755843997</v>
      </c>
      <c r="K35" s="9">
        <f t="shared" si="3"/>
        <v>98.519930104960011</v>
      </c>
      <c r="L35" s="10">
        <f t="shared" si="0"/>
        <v>0.3261845633191468</v>
      </c>
      <c r="M35" s="10">
        <f t="shared" si="4"/>
        <v>0.32772403289692559</v>
      </c>
      <c r="P35" s="8">
        <f t="shared" si="5"/>
        <v>-1.984437651613858</v>
      </c>
    </row>
    <row r="36" spans="1:16" x14ac:dyDescent="0.2">
      <c r="A36" s="8">
        <v>17</v>
      </c>
      <c r="B36" s="8">
        <v>34</v>
      </c>
      <c r="D36">
        <v>433.1350896861</v>
      </c>
      <c r="E36">
        <v>212.81334080718</v>
      </c>
      <c r="F36">
        <v>133.75642458101001</v>
      </c>
      <c r="G36">
        <v>115.33519553073</v>
      </c>
      <c r="I36" s="9">
        <f t="shared" si="1"/>
        <v>97.478145276449993</v>
      </c>
      <c r="J36" s="9">
        <f t="shared" si="2"/>
        <v>299.37866510509002</v>
      </c>
      <c r="K36" s="9">
        <f t="shared" si="3"/>
        <v>97.478145276449993</v>
      </c>
      <c r="L36" s="10">
        <f t="shared" si="0"/>
        <v>0.32560150952050149</v>
      </c>
      <c r="M36" s="10">
        <f t="shared" si="4"/>
        <v>0.3271876296915463</v>
      </c>
      <c r="P36" s="8">
        <f t="shared" si="5"/>
        <v>-2.1448648908247945</v>
      </c>
    </row>
    <row r="37" spans="1:16" x14ac:dyDescent="0.2">
      <c r="A37" s="8">
        <v>17.5</v>
      </c>
      <c r="B37" s="8">
        <v>35</v>
      </c>
      <c r="D37">
        <v>435.10313901345</v>
      </c>
      <c r="E37">
        <v>213.51289237668001</v>
      </c>
      <c r="F37">
        <v>134.34413407821</v>
      </c>
      <c r="G37">
        <v>115.38491620112001</v>
      </c>
      <c r="I37" s="9">
        <f t="shared" si="1"/>
        <v>98.127976175560008</v>
      </c>
      <c r="J37" s="9">
        <f t="shared" si="2"/>
        <v>300.75900493524</v>
      </c>
      <c r="K37" s="9">
        <f t="shared" si="3"/>
        <v>98.127976175560008</v>
      </c>
      <c r="L37" s="10">
        <f t="shared" si="0"/>
        <v>0.32626779103983639</v>
      </c>
      <c r="M37" s="10">
        <f t="shared" si="4"/>
        <v>0.32790056180414723</v>
      </c>
      <c r="P37" s="8">
        <f t="shared" si="5"/>
        <v>-1.9316414622128901</v>
      </c>
    </row>
    <row r="38" spans="1:16" x14ac:dyDescent="0.2">
      <c r="A38" s="8">
        <v>18</v>
      </c>
      <c r="B38" s="8">
        <v>36</v>
      </c>
      <c r="D38">
        <v>437.57791479820997</v>
      </c>
      <c r="E38">
        <v>214.43049327354001</v>
      </c>
      <c r="F38">
        <v>133.92458100559</v>
      </c>
      <c r="G38">
        <v>115.19832402234999</v>
      </c>
      <c r="I38" s="9">
        <f t="shared" si="1"/>
        <v>99.232169251190015</v>
      </c>
      <c r="J38" s="9">
        <f t="shared" si="2"/>
        <v>303.65333379261995</v>
      </c>
      <c r="K38" s="9">
        <f t="shared" si="3"/>
        <v>99.232169251190015</v>
      </c>
      <c r="L38" s="10">
        <f t="shared" si="0"/>
        <v>0.3267942690165247</v>
      </c>
      <c r="M38" s="10">
        <f t="shared" si="4"/>
        <v>0.32847369037410157</v>
      </c>
      <c r="P38" s="8">
        <f t="shared" si="5"/>
        <v>-1.7602304168115628</v>
      </c>
    </row>
    <row r="39" spans="1:16" x14ac:dyDescent="0.2">
      <c r="A39" s="8">
        <v>18.5</v>
      </c>
      <c r="B39" s="8">
        <v>37</v>
      </c>
      <c r="D39">
        <v>439.20403587444002</v>
      </c>
      <c r="E39">
        <v>215.63845291480001</v>
      </c>
      <c r="F39">
        <v>133.94134078211999</v>
      </c>
      <c r="G39">
        <v>115.71787709497001</v>
      </c>
      <c r="I39" s="9">
        <f t="shared" si="1"/>
        <v>99.920575819830006</v>
      </c>
      <c r="J39" s="9">
        <f t="shared" si="2"/>
        <v>305.26269509232003</v>
      </c>
      <c r="K39" s="9">
        <f t="shared" si="3"/>
        <v>99.920575819830006</v>
      </c>
      <c r="L39" s="10">
        <f t="shared" si="0"/>
        <v>0.32732652048954497</v>
      </c>
      <c r="M39" s="10">
        <f t="shared" si="4"/>
        <v>0.32905259244038781</v>
      </c>
      <c r="P39" s="8">
        <f t="shared" si="5"/>
        <v>-1.5870926366185085</v>
      </c>
    </row>
    <row r="40" spans="1:16" x14ac:dyDescent="0.2">
      <c r="A40" s="8">
        <v>19</v>
      </c>
      <c r="B40" s="8">
        <v>38</v>
      </c>
      <c r="D40">
        <v>440.03811659193002</v>
      </c>
      <c r="E40">
        <v>216.04372197308999</v>
      </c>
      <c r="F40">
        <v>134.32346368715</v>
      </c>
      <c r="G40">
        <v>115.38715083799001</v>
      </c>
      <c r="I40" s="9">
        <f t="shared" si="1"/>
        <v>100.65657113509998</v>
      </c>
      <c r="J40" s="9">
        <f t="shared" si="2"/>
        <v>305.71465290478</v>
      </c>
      <c r="K40" s="9">
        <f t="shared" si="3"/>
        <v>100.65657113509998</v>
      </c>
      <c r="L40" s="10">
        <f t="shared" si="0"/>
        <v>0.32925007087066638</v>
      </c>
      <c r="M40" s="10">
        <f t="shared" si="4"/>
        <v>0.33102279341477525</v>
      </c>
      <c r="P40" s="8">
        <f t="shared" si="5"/>
        <v>-0.99784577932544216</v>
      </c>
    </row>
    <row r="41" spans="1:16" x14ac:dyDescent="0.2">
      <c r="A41" s="8">
        <v>19.5</v>
      </c>
      <c r="B41" s="8">
        <v>39</v>
      </c>
      <c r="D41">
        <v>442.72309417039997</v>
      </c>
      <c r="E41">
        <v>215.82174887892</v>
      </c>
      <c r="F41">
        <v>133.89329608938999</v>
      </c>
      <c r="G41">
        <v>115.45418994412999</v>
      </c>
      <c r="I41" s="9">
        <f t="shared" si="1"/>
        <v>100.36755893479001</v>
      </c>
      <c r="J41" s="9">
        <f t="shared" si="2"/>
        <v>308.82979808100998</v>
      </c>
      <c r="K41" s="9">
        <f t="shared" si="3"/>
        <v>100.36755893479001</v>
      </c>
      <c r="L41" s="10">
        <f t="shared" si="0"/>
        <v>0.32499311775757572</v>
      </c>
      <c r="M41" s="10">
        <f t="shared" si="4"/>
        <v>0.32681249089495062</v>
      </c>
      <c r="P41" s="8">
        <f t="shared" si="5"/>
        <v>-2.257061240241093</v>
      </c>
    </row>
    <row r="42" spans="1:16" x14ac:dyDescent="0.2">
      <c r="A42" s="8">
        <v>20</v>
      </c>
      <c r="B42" s="8">
        <v>40</v>
      </c>
      <c r="D42">
        <v>434.14301675977998</v>
      </c>
      <c r="E42">
        <v>216.28100558659</v>
      </c>
      <c r="F42">
        <v>134.16145251397</v>
      </c>
      <c r="G42">
        <v>115.30893854749</v>
      </c>
      <c r="I42" s="9">
        <f t="shared" si="1"/>
        <v>100.9720670391</v>
      </c>
      <c r="J42" s="9">
        <f t="shared" si="2"/>
        <v>299.98156424580998</v>
      </c>
      <c r="K42" s="9">
        <f t="shared" si="3"/>
        <v>100.9720670391</v>
      </c>
      <c r="L42" s="10">
        <f t="shared" si="0"/>
        <v>0.33659424135931826</v>
      </c>
      <c r="M42" s="10">
        <f t="shared" si="4"/>
        <v>0.33846026508995919</v>
      </c>
      <c r="P42" s="8">
        <f t="shared" si="5"/>
        <v>1.226550040076138</v>
      </c>
    </row>
    <row r="43" spans="1:16" x14ac:dyDescent="0.2">
      <c r="A43" s="8">
        <v>20.5</v>
      </c>
      <c r="B43" s="8">
        <v>41</v>
      </c>
      <c r="D43">
        <v>434.89162011172999</v>
      </c>
      <c r="E43">
        <v>215.65418994413</v>
      </c>
      <c r="F43">
        <v>134.20949720670001</v>
      </c>
      <c r="G43">
        <v>115.47709497207001</v>
      </c>
      <c r="I43" s="9">
        <f t="shared" si="1"/>
        <v>100.17709497205999</v>
      </c>
      <c r="J43" s="9">
        <f t="shared" si="2"/>
        <v>300.68212290502998</v>
      </c>
      <c r="K43" s="9">
        <f t="shared" si="3"/>
        <v>100.17709497205999</v>
      </c>
      <c r="L43" s="10">
        <f t="shared" si="0"/>
        <v>0.33316611577769384</v>
      </c>
      <c r="M43" s="10">
        <f t="shared" si="4"/>
        <v>0.3350787901016008</v>
      </c>
      <c r="P43" s="8">
        <f t="shared" si="5"/>
        <v>0.21521995963863644</v>
      </c>
    </row>
    <row r="44" spans="1:16" x14ac:dyDescent="0.2">
      <c r="A44" s="8">
        <v>21</v>
      </c>
      <c r="B44" s="8">
        <v>42</v>
      </c>
      <c r="D44">
        <v>432.09462486002002</v>
      </c>
      <c r="E44">
        <v>214.20380739082</v>
      </c>
      <c r="F44">
        <v>134.30279329608999</v>
      </c>
      <c r="G44">
        <v>115.40055865922</v>
      </c>
      <c r="I44" s="9">
        <f t="shared" si="1"/>
        <v>98.803248731600007</v>
      </c>
      <c r="J44" s="9">
        <f t="shared" si="2"/>
        <v>297.79183156393003</v>
      </c>
      <c r="K44" s="9">
        <f t="shared" si="3"/>
        <v>98.803248731600007</v>
      </c>
      <c r="L44" s="10">
        <f t="shared" si="0"/>
        <v>0.3317862958587865</v>
      </c>
      <c r="M44" s="10">
        <f t="shared" si="4"/>
        <v>0.33374562077595948</v>
      </c>
      <c r="P44" s="8">
        <f t="shared" si="5"/>
        <v>-0.18350374702174871</v>
      </c>
    </row>
    <row r="45" spans="1:16" x14ac:dyDescent="0.2">
      <c r="A45" s="8">
        <v>21.5</v>
      </c>
      <c r="B45" s="8">
        <v>43</v>
      </c>
      <c r="D45">
        <v>425.71948488241998</v>
      </c>
      <c r="E45">
        <v>212.45184770437001</v>
      </c>
      <c r="F45">
        <v>133.71452513967</v>
      </c>
      <c r="G45">
        <v>115.19664804468999</v>
      </c>
      <c r="I45" s="9">
        <f t="shared" si="1"/>
        <v>97.255199659680017</v>
      </c>
      <c r="J45" s="9">
        <f t="shared" si="2"/>
        <v>292.00495974274997</v>
      </c>
      <c r="K45" s="9">
        <f t="shared" si="3"/>
        <v>97.255199659680017</v>
      </c>
      <c r="L45" s="10">
        <f t="shared" si="0"/>
        <v>0.3330600950934523</v>
      </c>
      <c r="M45" s="10">
        <f t="shared" si="4"/>
        <v>0.33506607060389132</v>
      </c>
      <c r="P45" s="8">
        <f t="shared" si="5"/>
        <v>0.21141581775205193</v>
      </c>
    </row>
    <row r="46" spans="1:16" x14ac:dyDescent="0.2">
      <c r="A46" s="8">
        <v>22</v>
      </c>
      <c r="B46" s="8">
        <v>44</v>
      </c>
      <c r="D46">
        <v>428.20212765957001</v>
      </c>
      <c r="E46">
        <v>213.48208286674</v>
      </c>
      <c r="F46">
        <v>133.84469273742999</v>
      </c>
      <c r="G46">
        <v>115.10111731844</v>
      </c>
      <c r="I46" s="9">
        <f t="shared" si="1"/>
        <v>98.380965548299997</v>
      </c>
      <c r="J46" s="9">
        <f t="shared" si="2"/>
        <v>294.35743492213999</v>
      </c>
      <c r="K46" s="9">
        <f t="shared" si="3"/>
        <v>98.380965548299997</v>
      </c>
      <c r="L46" s="10">
        <f t="shared" si="0"/>
        <v>0.33422279812406502</v>
      </c>
      <c r="M46" s="10">
        <f t="shared" si="4"/>
        <v>0.33627542422777007</v>
      </c>
      <c r="P46" s="8">
        <f t="shared" si="5"/>
        <v>0.57310877775482261</v>
      </c>
    </row>
    <row r="47" spans="1:16" x14ac:dyDescent="0.2">
      <c r="A47" s="8">
        <v>22.5</v>
      </c>
      <c r="B47" s="8">
        <v>45</v>
      </c>
      <c r="D47">
        <v>434.16965285553999</v>
      </c>
      <c r="E47">
        <v>215.02519596865</v>
      </c>
      <c r="F47">
        <v>133.89106145251</v>
      </c>
      <c r="G47">
        <v>115.32681564246001</v>
      </c>
      <c r="I47" s="9">
        <f t="shared" si="1"/>
        <v>99.698380326189991</v>
      </c>
      <c r="J47" s="9">
        <f t="shared" si="2"/>
        <v>300.27859140302996</v>
      </c>
      <c r="K47" s="9">
        <f t="shared" si="3"/>
        <v>99.698380326189991</v>
      </c>
      <c r="L47" s="10">
        <f t="shared" si="0"/>
        <v>0.33201960839218186</v>
      </c>
      <c r="M47" s="10">
        <f t="shared" si="4"/>
        <v>0.33411888508915294</v>
      </c>
      <c r="P47" s="8">
        <f t="shared" si="5"/>
        <v>-7.1868017292560843E-2</v>
      </c>
    </row>
    <row r="48" spans="1:16" x14ac:dyDescent="0.2">
      <c r="A48" s="8">
        <v>23</v>
      </c>
      <c r="B48" s="8">
        <v>46</v>
      </c>
      <c r="D48">
        <v>432.64781634937998</v>
      </c>
      <c r="E48">
        <v>215.24132138857999</v>
      </c>
      <c r="F48">
        <v>133.92737430168</v>
      </c>
      <c r="G48">
        <v>115.34134078212</v>
      </c>
      <c r="I48" s="9">
        <f t="shared" si="1"/>
        <v>99.899980606459991</v>
      </c>
      <c r="J48" s="9">
        <f t="shared" si="2"/>
        <v>298.72044204769998</v>
      </c>
      <c r="K48" s="9">
        <f t="shared" si="3"/>
        <v>99.899980606459991</v>
      </c>
      <c r="L48" s="10">
        <f t="shared" si="0"/>
        <v>0.33442632824742496</v>
      </c>
      <c r="M48" s="10">
        <f t="shared" si="4"/>
        <v>0.33657225553766207</v>
      </c>
      <c r="P48" s="8">
        <f t="shared" si="5"/>
        <v>0.66188495783686996</v>
      </c>
    </row>
    <row r="49" spans="1:25" x14ac:dyDescent="0.2">
      <c r="A49" s="8">
        <v>23.5</v>
      </c>
      <c r="B49" s="8">
        <v>47</v>
      </c>
      <c r="D49">
        <v>429.28443449048001</v>
      </c>
      <c r="E49">
        <v>214.26315789474</v>
      </c>
      <c r="F49">
        <v>134.06815642458</v>
      </c>
      <c r="G49">
        <v>115.13687150838</v>
      </c>
      <c r="I49" s="9">
        <f t="shared" si="1"/>
        <v>99.126286386360007</v>
      </c>
      <c r="J49" s="9">
        <f t="shared" si="2"/>
        <v>295.21627806590004</v>
      </c>
      <c r="K49" s="9">
        <f t="shared" si="3"/>
        <v>99.126286386360007</v>
      </c>
      <c r="L49" s="10">
        <f t="shared" si="0"/>
        <v>0.3357751375899144</v>
      </c>
      <c r="M49" s="10">
        <f t="shared" si="4"/>
        <v>0.33796771547341747</v>
      </c>
      <c r="P49" s="8">
        <f t="shared" si="5"/>
        <v>1.0792385132922533</v>
      </c>
    </row>
    <row r="50" spans="1:25" x14ac:dyDescent="0.2">
      <c r="A50" s="8">
        <v>24</v>
      </c>
      <c r="B50" s="8">
        <v>48</v>
      </c>
      <c r="D50">
        <v>435.95798319327997</v>
      </c>
      <c r="E50">
        <v>216.35350140055999</v>
      </c>
      <c r="F50">
        <v>134.14469273743001</v>
      </c>
      <c r="G50">
        <v>115.20670391062001</v>
      </c>
      <c r="I50" s="9">
        <f t="shared" si="1"/>
        <v>101.14679748993998</v>
      </c>
      <c r="J50" s="9">
        <f t="shared" si="2"/>
        <v>301.81329045584994</v>
      </c>
      <c r="K50" s="9">
        <f t="shared" si="3"/>
        <v>101.14679748993998</v>
      </c>
      <c r="L50" s="10">
        <f t="shared" si="0"/>
        <v>0.33513036267279955</v>
      </c>
      <c r="M50" s="10">
        <f t="shared" si="4"/>
        <v>0.33736959114956866</v>
      </c>
      <c r="P50" s="8">
        <f t="shared" si="5"/>
        <v>0.90035174860164402</v>
      </c>
    </row>
    <row r="51" spans="1:25" x14ac:dyDescent="0.2">
      <c r="A51" s="8">
        <v>24.5</v>
      </c>
      <c r="B51" s="8">
        <v>49</v>
      </c>
      <c r="D51">
        <v>436.29803921568998</v>
      </c>
      <c r="E51">
        <v>217.69635854341999</v>
      </c>
      <c r="F51">
        <v>134</v>
      </c>
      <c r="G51">
        <v>115.23016759777001</v>
      </c>
      <c r="I51" s="9">
        <f t="shared" si="1"/>
        <v>102.46619094564998</v>
      </c>
      <c r="J51" s="9">
        <f t="shared" si="2"/>
        <v>302.29803921568998</v>
      </c>
      <c r="K51" s="9">
        <f t="shared" si="3"/>
        <v>102.46619094564998</v>
      </c>
      <c r="L51" s="10">
        <f t="shared" si="0"/>
        <v>0.33895751097657711</v>
      </c>
      <c r="M51" s="10">
        <f t="shared" si="4"/>
        <v>0.34124339004661225</v>
      </c>
      <c r="P51" s="8">
        <f t="shared" si="5"/>
        <v>2.0589258512146946</v>
      </c>
    </row>
    <row r="52" spans="1:25" x14ac:dyDescent="0.2">
      <c r="A52" s="8">
        <v>25</v>
      </c>
      <c r="B52" s="8">
        <v>50</v>
      </c>
      <c r="D52">
        <v>435.41904761904999</v>
      </c>
      <c r="E52">
        <v>214.81904761905</v>
      </c>
      <c r="F52">
        <v>134.02346368715001</v>
      </c>
      <c r="G52">
        <v>115.57821229050001</v>
      </c>
      <c r="I52" s="9">
        <f t="shared" si="1"/>
        <v>99.240835328549991</v>
      </c>
      <c r="J52" s="9">
        <f t="shared" si="2"/>
        <v>301.39558393189998</v>
      </c>
      <c r="K52" s="9">
        <f t="shared" si="3"/>
        <v>99.240835328549991</v>
      </c>
      <c r="L52" s="10">
        <f t="shared" si="0"/>
        <v>0.32927103321783691</v>
      </c>
      <c r="M52" s="10">
        <f t="shared" si="4"/>
        <v>0.33160356288113807</v>
      </c>
      <c r="P52" s="8">
        <f t="shared" si="5"/>
        <v>-0.82414949792325576</v>
      </c>
    </row>
    <row r="53" spans="1:25" x14ac:dyDescent="0.2">
      <c r="A53" s="8">
        <v>25.5</v>
      </c>
      <c r="B53" s="8">
        <v>51</v>
      </c>
      <c r="D53">
        <v>433.53221288514999</v>
      </c>
      <c r="E53">
        <v>214.28179271709001</v>
      </c>
      <c r="F53">
        <v>134.16648044693</v>
      </c>
      <c r="G53">
        <v>115.26368715084</v>
      </c>
      <c r="I53" s="9">
        <f t="shared" si="1"/>
        <v>99.018105566250014</v>
      </c>
      <c r="J53" s="9">
        <f t="shared" si="2"/>
        <v>299.36573243821999</v>
      </c>
      <c r="K53" s="9">
        <f t="shared" si="3"/>
        <v>99.018105566250014</v>
      </c>
      <c r="L53" s="10">
        <f t="shared" si="0"/>
        <v>0.33075965228145926</v>
      </c>
      <c r="M53" s="10">
        <f t="shared" si="4"/>
        <v>0.33313883253802645</v>
      </c>
      <c r="P53" s="8">
        <f t="shared" si="5"/>
        <v>-0.36498171139825247</v>
      </c>
      <c r="S53" s="11"/>
      <c r="U53" s="12"/>
    </row>
    <row r="54" spans="1:25" x14ac:dyDescent="0.2">
      <c r="A54" s="8">
        <v>26</v>
      </c>
      <c r="B54" s="8">
        <v>52</v>
      </c>
      <c r="D54">
        <v>431.95798319327997</v>
      </c>
      <c r="E54">
        <v>214.62633053221001</v>
      </c>
      <c r="F54">
        <v>134.44525139665001</v>
      </c>
      <c r="G54">
        <v>115.10111731844</v>
      </c>
      <c r="I54" s="9">
        <f t="shared" si="1"/>
        <v>99.525213213770002</v>
      </c>
      <c r="J54" s="9">
        <f t="shared" si="2"/>
        <v>297.51273179662996</v>
      </c>
      <c r="K54" s="9">
        <f t="shared" si="3"/>
        <v>99.525213213770002</v>
      </c>
      <c r="L54" s="10">
        <f t="shared" si="0"/>
        <v>0.33452421552769784</v>
      </c>
      <c r="M54" s="10">
        <f t="shared" si="4"/>
        <v>0.33695004637753107</v>
      </c>
      <c r="P54" s="8">
        <f t="shared" si="5"/>
        <v>0.77487447921101693</v>
      </c>
      <c r="S54" s="11"/>
    </row>
    <row r="55" spans="1:25" x14ac:dyDescent="0.2">
      <c r="A55" s="8">
        <v>26.5</v>
      </c>
      <c r="B55" s="8">
        <v>53</v>
      </c>
      <c r="D55">
        <v>435.97086834734</v>
      </c>
      <c r="E55">
        <v>215.22184873949999</v>
      </c>
      <c r="F55">
        <v>134.41787709497001</v>
      </c>
      <c r="G55">
        <v>115.03184357542</v>
      </c>
      <c r="I55" s="9">
        <f t="shared" si="1"/>
        <v>100.19000516407999</v>
      </c>
      <c r="J55" s="9">
        <f t="shared" si="2"/>
        <v>301.55299125237002</v>
      </c>
      <c r="K55" s="9">
        <f t="shared" si="3"/>
        <v>100.19000516407999</v>
      </c>
      <c r="L55" s="10">
        <f t="shared" si="0"/>
        <v>0.33224676282594351</v>
      </c>
      <c r="M55" s="10">
        <f t="shared" si="4"/>
        <v>0.33471924426904276</v>
      </c>
      <c r="P55" s="8">
        <f t="shared" si="5"/>
        <v>0.10768714717846886</v>
      </c>
      <c r="S55" s="11"/>
    </row>
    <row r="56" spans="1:25" x14ac:dyDescent="0.2">
      <c r="A56" s="8">
        <v>27</v>
      </c>
      <c r="B56" s="8">
        <v>54</v>
      </c>
      <c r="D56">
        <v>427.12129681386</v>
      </c>
      <c r="E56">
        <v>212.9111235327</v>
      </c>
      <c r="F56">
        <v>134.18715083799</v>
      </c>
      <c r="G56">
        <v>115.27039106145</v>
      </c>
      <c r="I56" s="9">
        <f t="shared" si="1"/>
        <v>97.640732471250004</v>
      </c>
      <c r="J56" s="9">
        <f t="shared" si="2"/>
        <v>292.93414597587002</v>
      </c>
      <c r="K56" s="9">
        <f t="shared" si="3"/>
        <v>97.640732471250004</v>
      </c>
      <c r="L56" s="10">
        <f t="shared" si="0"/>
        <v>0.33331973691893535</v>
      </c>
      <c r="M56" s="10">
        <f t="shared" si="4"/>
        <v>0.33583886895530063</v>
      </c>
      <c r="P56" s="8">
        <f t="shared" si="5"/>
        <v>0.44254401523494025</v>
      </c>
      <c r="S56" s="11"/>
    </row>
    <row r="57" spans="1:25" x14ac:dyDescent="0.2">
      <c r="A57" s="8">
        <v>27.5</v>
      </c>
      <c r="B57" s="8">
        <v>55</v>
      </c>
      <c r="D57">
        <v>424.68347338936002</v>
      </c>
      <c r="E57">
        <v>212.62352941176999</v>
      </c>
      <c r="F57">
        <v>134.56201117318</v>
      </c>
      <c r="G57">
        <v>115.54748603352</v>
      </c>
      <c r="I57" s="9">
        <f t="shared" si="1"/>
        <v>97.076043378249992</v>
      </c>
      <c r="J57" s="9">
        <f t="shared" si="2"/>
        <v>290.12146221618002</v>
      </c>
      <c r="K57" s="9">
        <f t="shared" si="3"/>
        <v>97.076043378249992</v>
      </c>
      <c r="L57" s="10">
        <f t="shared" si="0"/>
        <v>0.33460483287484299</v>
      </c>
      <c r="M57" s="10">
        <f t="shared" si="4"/>
        <v>0.3371706155044743</v>
      </c>
      <c r="P57" s="8">
        <f t="shared" si="5"/>
        <v>0.84084219852330055</v>
      </c>
      <c r="S57" s="11"/>
    </row>
    <row r="58" spans="1:25" x14ac:dyDescent="0.2">
      <c r="A58" s="8">
        <v>28</v>
      </c>
      <c r="B58" s="8">
        <v>56</v>
      </c>
      <c r="D58">
        <v>429.51820728291</v>
      </c>
      <c r="E58">
        <v>213.30084033612999</v>
      </c>
      <c r="F58">
        <v>134.43575418994001</v>
      </c>
      <c r="G58">
        <v>115.62960893855001</v>
      </c>
      <c r="I58" s="9">
        <f t="shared" si="1"/>
        <v>97.671231397579987</v>
      </c>
      <c r="J58" s="9">
        <f t="shared" si="2"/>
        <v>295.08245309297001</v>
      </c>
      <c r="K58" s="9">
        <f t="shared" si="3"/>
        <v>97.671231397579987</v>
      </c>
      <c r="L58" s="10">
        <f t="shared" si="0"/>
        <v>0.33099640583104156</v>
      </c>
      <c r="M58" s="10">
        <f t="shared" si="4"/>
        <v>0.3336088390539389</v>
      </c>
      <c r="P58" s="8">
        <f t="shared" si="5"/>
        <v>-0.22441236542339299</v>
      </c>
      <c r="S58" s="11"/>
    </row>
    <row r="59" spans="1:25" x14ac:dyDescent="0.2">
      <c r="A59" s="8">
        <v>28.5</v>
      </c>
      <c r="B59" s="8">
        <v>57</v>
      </c>
      <c r="D59">
        <v>433.82501402130998</v>
      </c>
      <c r="E59">
        <v>213.85698261357001</v>
      </c>
      <c r="F59">
        <v>134.12234636872</v>
      </c>
      <c r="G59">
        <v>115.73407821229</v>
      </c>
      <c r="I59" s="9">
        <f t="shared" si="1"/>
        <v>98.12290440128001</v>
      </c>
      <c r="J59" s="9">
        <f t="shared" si="2"/>
        <v>299.70266765258998</v>
      </c>
      <c r="K59" s="9">
        <f t="shared" si="3"/>
        <v>98.12290440128001</v>
      </c>
      <c r="L59" s="10">
        <f t="shared" si="0"/>
        <v>0.32740083753616217</v>
      </c>
      <c r="M59" s="10">
        <f t="shared" si="4"/>
        <v>0.33005992135232554</v>
      </c>
      <c r="P59" s="8">
        <f t="shared" si="5"/>
        <v>-1.2858211402909352</v>
      </c>
      <c r="R59" s="1"/>
      <c r="S59" s="11"/>
    </row>
    <row r="60" spans="1:25" x14ac:dyDescent="0.2">
      <c r="A60" s="8">
        <v>29</v>
      </c>
      <c r="B60" s="8">
        <v>58</v>
      </c>
      <c r="D60">
        <v>434.08468872687001</v>
      </c>
      <c r="E60">
        <v>214.06786315199</v>
      </c>
      <c r="F60">
        <v>134.13519553072999</v>
      </c>
      <c r="G60">
        <v>115.47318435754001</v>
      </c>
      <c r="I60" s="9">
        <f t="shared" si="1"/>
        <v>98.59467879444999</v>
      </c>
      <c r="J60" s="9">
        <f t="shared" si="2"/>
        <v>299.94949319614</v>
      </c>
      <c r="K60" s="9">
        <f t="shared" si="3"/>
        <v>98.59467879444999</v>
      </c>
      <c r="L60" s="10">
        <f t="shared" si="0"/>
        <v>0.32870426865491631</v>
      </c>
      <c r="M60" s="10">
        <f t="shared" si="4"/>
        <v>0.33141000306434565</v>
      </c>
      <c r="P60" s="8">
        <f t="shared" si="5"/>
        <v>-0.88203928440994517</v>
      </c>
      <c r="S60" s="11"/>
    </row>
    <row r="61" spans="1:25" x14ac:dyDescent="0.2">
      <c r="A61" s="8">
        <v>29.5</v>
      </c>
      <c r="B61" s="8">
        <v>59</v>
      </c>
      <c r="C61" s="2"/>
      <c r="D61">
        <v>433.16377864728997</v>
      </c>
      <c r="E61">
        <v>215.86081609838001</v>
      </c>
      <c r="F61">
        <v>134.42960893854999</v>
      </c>
      <c r="G61">
        <v>115.6312849162</v>
      </c>
      <c r="I61" s="9">
        <f t="shared" si="1"/>
        <v>100.22953118218001</v>
      </c>
      <c r="J61" s="9">
        <f t="shared" si="2"/>
        <v>298.73416970873996</v>
      </c>
      <c r="K61" s="9">
        <f t="shared" si="3"/>
        <v>100.22953118218001</v>
      </c>
      <c r="L61" s="10">
        <f t="shared" si="0"/>
        <v>0.33551411704895318</v>
      </c>
      <c r="M61" s="10">
        <f t="shared" si="4"/>
        <v>0.33826650205164854</v>
      </c>
      <c r="P61" s="8">
        <f t="shared" si="5"/>
        <v>1.1685994741854666</v>
      </c>
      <c r="S61" s="11"/>
    </row>
    <row r="62" spans="1:25" x14ac:dyDescent="0.2">
      <c r="A62" s="8">
        <v>30</v>
      </c>
      <c r="B62" s="8">
        <v>60</v>
      </c>
      <c r="D62">
        <v>427.20372460496998</v>
      </c>
      <c r="E62">
        <v>214.42550790068</v>
      </c>
      <c r="F62">
        <v>134.45083798882999</v>
      </c>
      <c r="G62">
        <v>115.66759776536</v>
      </c>
      <c r="I62" s="9">
        <f t="shared" si="1"/>
        <v>98.757910135320003</v>
      </c>
      <c r="J62" s="9">
        <f t="shared" si="2"/>
        <v>292.75288661614002</v>
      </c>
      <c r="K62" s="9">
        <f t="shared" si="3"/>
        <v>98.757910135320003</v>
      </c>
      <c r="L62" s="10">
        <f t="shared" si="0"/>
        <v>0.33734222496262584</v>
      </c>
      <c r="M62" s="10">
        <f t="shared" si="4"/>
        <v>0.34014126055858723</v>
      </c>
      <c r="P62" s="8">
        <f t="shared" si="5"/>
        <v>1.7293014394966599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432.96613995485001</v>
      </c>
      <c r="E63">
        <v>214.93735891648001</v>
      </c>
      <c r="F63">
        <v>134.75195530726</v>
      </c>
      <c r="G63">
        <v>115.20558659218</v>
      </c>
      <c r="I63" s="9">
        <f t="shared" si="1"/>
        <v>99.73177232430001</v>
      </c>
      <c r="J63" s="9">
        <f t="shared" si="2"/>
        <v>298.21418464759</v>
      </c>
      <c r="K63" s="9">
        <f t="shared" si="3"/>
        <v>99.73177232430001</v>
      </c>
      <c r="L63" s="10">
        <f t="shared" si="0"/>
        <v>0.33443000855964139</v>
      </c>
      <c r="M63" s="10">
        <f t="shared" si="4"/>
        <v>0.33727569474886882</v>
      </c>
      <c r="P63" s="8">
        <f t="shared" si="5"/>
        <v>0.872269253595917</v>
      </c>
    </row>
    <row r="64" spans="1:25" x14ac:dyDescent="0.2">
      <c r="A64" s="8">
        <v>31</v>
      </c>
      <c r="B64" s="8">
        <v>62</v>
      </c>
      <c r="D64">
        <v>437.35383747178003</v>
      </c>
      <c r="E64">
        <v>215.16365688488</v>
      </c>
      <c r="F64">
        <v>134.52122905028</v>
      </c>
      <c r="G64">
        <v>115.53016759777</v>
      </c>
      <c r="I64" s="9">
        <f t="shared" si="1"/>
        <v>99.633489287109995</v>
      </c>
      <c r="J64" s="9">
        <f t="shared" si="2"/>
        <v>302.83260842150003</v>
      </c>
      <c r="K64" s="9">
        <f t="shared" si="3"/>
        <v>99.633489287109995</v>
      </c>
      <c r="L64" s="10">
        <f t="shared" si="0"/>
        <v>0.32900515504735312</v>
      </c>
      <c r="M64" s="10">
        <f t="shared" si="4"/>
        <v>0.33189749182984657</v>
      </c>
      <c r="P64" s="8">
        <f t="shared" si="5"/>
        <v>-0.73624135477162234</v>
      </c>
      <c r="U64" s="8">
        <v>30.5</v>
      </c>
      <c r="V64" s="10">
        <f>L62</f>
        <v>0.33734222496262584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438.63804713805001</v>
      </c>
      <c r="E65">
        <v>215.28226711560001</v>
      </c>
      <c r="F65">
        <v>134.44189944134001</v>
      </c>
      <c r="G65">
        <v>115.91787709497</v>
      </c>
      <c r="I65" s="9">
        <f t="shared" si="1"/>
        <v>99.364390020630012</v>
      </c>
      <c r="J65" s="9">
        <f t="shared" si="2"/>
        <v>304.19614769671</v>
      </c>
      <c r="K65" s="9">
        <f t="shared" si="3"/>
        <v>99.364390020630012</v>
      </c>
      <c r="L65" s="10">
        <f t="shared" si="0"/>
        <v>0.32664578684835421</v>
      </c>
      <c r="M65" s="10">
        <f t="shared" si="4"/>
        <v>0.3295847742241137</v>
      </c>
      <c r="P65" s="8">
        <f t="shared" si="5"/>
        <v>-1.4279279383741617</v>
      </c>
      <c r="U65" s="8">
        <v>31</v>
      </c>
      <c r="V65" s="10">
        <f t="shared" ref="V65:V83" si="6">L63</f>
        <v>0.33443000855964139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438.30898876405001</v>
      </c>
      <c r="E66">
        <v>214.56685393257999</v>
      </c>
      <c r="F66">
        <v>134.64804469274</v>
      </c>
      <c r="G66">
        <v>115.67150837989</v>
      </c>
      <c r="I66" s="9">
        <f t="shared" si="1"/>
        <v>98.895345552689989</v>
      </c>
      <c r="J66" s="9">
        <f t="shared" si="2"/>
        <v>303.66094407131004</v>
      </c>
      <c r="K66" s="9">
        <f t="shared" si="3"/>
        <v>98.895345552689989</v>
      </c>
      <c r="L66" s="10">
        <f t="shared" ref="L66:L129" si="7">K66/J66</f>
        <v>0.32567686916453092</v>
      </c>
      <c r="M66" s="10">
        <f t="shared" si="4"/>
        <v>0.32866250713355644</v>
      </c>
      <c r="P66" s="8">
        <f t="shared" si="5"/>
        <v>-1.7037591818667956</v>
      </c>
      <c r="U66" s="8">
        <v>31.5</v>
      </c>
      <c r="V66" s="10">
        <f t="shared" si="6"/>
        <v>0.32900515504735312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436.57415730336999</v>
      </c>
      <c r="E67">
        <v>213.26179775281</v>
      </c>
      <c r="F67">
        <v>134.63854748603001</v>
      </c>
      <c r="G67">
        <v>115.67486033519999</v>
      </c>
      <c r="I67" s="9">
        <f t="shared" ref="I67:I130" si="8">E67-G67</f>
        <v>97.586937417610002</v>
      </c>
      <c r="J67" s="9">
        <f t="shared" ref="J67:J130" si="9">D67-F67</f>
        <v>301.93560981733998</v>
      </c>
      <c r="K67" s="9">
        <f t="shared" ref="K67:K130" si="10">I67*1</f>
        <v>97.586937417610002</v>
      </c>
      <c r="L67" s="10">
        <f t="shared" si="7"/>
        <v>0.32320446560326732</v>
      </c>
      <c r="M67" s="10">
        <f t="shared" ref="M67:M130" si="11">L67+ABS($N$2)*A67</f>
        <v>0.32623675416555886</v>
      </c>
      <c r="P67" s="8">
        <f t="shared" ref="P67:P130" si="12">(M67-$O$2)/$O$2*100</f>
        <v>-2.4292523328415636</v>
      </c>
      <c r="U67" s="8">
        <v>32</v>
      </c>
      <c r="V67" s="10">
        <f t="shared" si="6"/>
        <v>0.32664578684835421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439.53595505618</v>
      </c>
      <c r="E68">
        <v>215.22696629213999</v>
      </c>
      <c r="F68">
        <v>134.75027932961001</v>
      </c>
      <c r="G68">
        <v>115.96871508380001</v>
      </c>
      <c r="I68" s="9">
        <f t="shared" si="8"/>
        <v>99.258251208339985</v>
      </c>
      <c r="J68" s="9">
        <f t="shared" si="9"/>
        <v>304.78567572656999</v>
      </c>
      <c r="K68" s="9">
        <f t="shared" si="10"/>
        <v>99.258251208339985</v>
      </c>
      <c r="L68" s="10">
        <f t="shared" si="7"/>
        <v>0.32566573534573445</v>
      </c>
      <c r="M68" s="10">
        <f t="shared" si="11"/>
        <v>0.32874467450129202</v>
      </c>
      <c r="P68" s="8">
        <f t="shared" si="12"/>
        <v>-1.6791846009790308</v>
      </c>
      <c r="U68" s="8">
        <v>32.5</v>
      </c>
      <c r="V68" s="10">
        <f t="shared" si="6"/>
        <v>0.32567686916453092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438.76685393257998</v>
      </c>
      <c r="E69">
        <v>215.92865168539001</v>
      </c>
      <c r="F69">
        <v>134.84636871507999</v>
      </c>
      <c r="G69">
        <v>115.94748603351999</v>
      </c>
      <c r="I69" s="9">
        <f t="shared" si="8"/>
        <v>99.981165651870015</v>
      </c>
      <c r="J69" s="9">
        <f t="shared" si="9"/>
        <v>303.92048521749996</v>
      </c>
      <c r="K69" s="9">
        <f t="shared" si="10"/>
        <v>99.981165651870015</v>
      </c>
      <c r="L69" s="10">
        <f t="shared" si="7"/>
        <v>0.32897145969057906</v>
      </c>
      <c r="M69" s="10">
        <f t="shared" si="11"/>
        <v>0.33209704943940266</v>
      </c>
      <c r="P69" s="8">
        <f t="shared" si="12"/>
        <v>-0.67655775101317728</v>
      </c>
      <c r="U69" s="8">
        <v>33</v>
      </c>
      <c r="V69" s="10">
        <f t="shared" si="6"/>
        <v>0.32320446560326732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438.02202145680002</v>
      </c>
      <c r="E70">
        <v>215.09316770186001</v>
      </c>
      <c r="F70">
        <v>134.95195530725999</v>
      </c>
      <c r="G70">
        <v>115.68882681564</v>
      </c>
      <c r="I70" s="9">
        <f t="shared" si="8"/>
        <v>99.404340886220012</v>
      </c>
      <c r="J70" s="9">
        <f t="shared" si="9"/>
        <v>303.07006614954003</v>
      </c>
      <c r="K70" s="9">
        <f t="shared" si="10"/>
        <v>99.404340886220012</v>
      </c>
      <c r="L70" s="10">
        <f t="shared" si="7"/>
        <v>0.32799128646763875</v>
      </c>
      <c r="M70" s="10">
        <f t="shared" si="11"/>
        <v>0.33116352680972833</v>
      </c>
      <c r="P70" s="8">
        <f t="shared" si="12"/>
        <v>-0.95575529628826561</v>
      </c>
      <c r="U70" s="8">
        <v>33.5</v>
      </c>
      <c r="V70" s="10">
        <f t="shared" si="6"/>
        <v>0.32566573534573445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431.98764738911001</v>
      </c>
      <c r="E71">
        <v>214.78326782706</v>
      </c>
      <c r="F71">
        <v>134.83631284916001</v>
      </c>
      <c r="G71">
        <v>115.58994413408</v>
      </c>
      <c r="I71" s="9">
        <f t="shared" si="8"/>
        <v>99.193323692980002</v>
      </c>
      <c r="J71" s="9">
        <f t="shared" si="9"/>
        <v>297.15133453994997</v>
      </c>
      <c r="K71" s="9">
        <f t="shared" si="10"/>
        <v>99.193323692980002</v>
      </c>
      <c r="L71" s="10">
        <f t="shared" si="7"/>
        <v>0.33381416188674101</v>
      </c>
      <c r="M71" s="10">
        <f t="shared" si="11"/>
        <v>0.33703305282209661</v>
      </c>
      <c r="P71" s="8">
        <f t="shared" si="12"/>
        <v>0.79970001083503173</v>
      </c>
      <c r="U71" s="8">
        <v>34</v>
      </c>
      <c r="V71" s="10">
        <f t="shared" si="6"/>
        <v>0.32897145969057906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428.19198193110998</v>
      </c>
      <c r="E72">
        <v>215.1259175607</v>
      </c>
      <c r="F72">
        <v>135.06983240224</v>
      </c>
      <c r="G72">
        <v>115.79106145250999</v>
      </c>
      <c r="I72" s="9">
        <f t="shared" si="8"/>
        <v>99.33485610819001</v>
      </c>
      <c r="J72" s="9">
        <f t="shared" si="9"/>
        <v>293.12214952886995</v>
      </c>
      <c r="K72" s="9">
        <f t="shared" si="10"/>
        <v>99.33485610819001</v>
      </c>
      <c r="L72" s="10">
        <f t="shared" si="7"/>
        <v>0.3388855337880442</v>
      </c>
      <c r="M72" s="10">
        <f t="shared" si="11"/>
        <v>0.34215107531666583</v>
      </c>
      <c r="P72" s="8">
        <f t="shared" si="12"/>
        <v>2.3303959701230328</v>
      </c>
      <c r="U72" s="8">
        <v>34.5</v>
      </c>
      <c r="V72" s="10">
        <f t="shared" si="6"/>
        <v>0.32799128646763875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428.75607001693999</v>
      </c>
      <c r="E73">
        <v>214.08582721625999</v>
      </c>
      <c r="F73">
        <v>135.13854748603001</v>
      </c>
      <c r="G73">
        <v>116.20055865921999</v>
      </c>
      <c r="I73" s="9">
        <f t="shared" si="8"/>
        <v>97.885268557039993</v>
      </c>
      <c r="J73" s="9">
        <f t="shared" si="9"/>
        <v>293.61752253090998</v>
      </c>
      <c r="K73" s="9">
        <f t="shared" si="10"/>
        <v>97.885268557039993</v>
      </c>
      <c r="L73" s="10">
        <f t="shared" si="7"/>
        <v>0.33337679479512439</v>
      </c>
      <c r="M73" s="10">
        <f t="shared" si="11"/>
        <v>0.33668898691701205</v>
      </c>
      <c r="P73" s="8">
        <f t="shared" si="12"/>
        <v>0.69679692840415919</v>
      </c>
      <c r="U73" s="8">
        <v>35</v>
      </c>
      <c r="V73" s="10">
        <f t="shared" si="6"/>
        <v>0.33381416188674101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429.46527385657998</v>
      </c>
      <c r="E74">
        <v>214.30434782609001</v>
      </c>
      <c r="F74">
        <v>134.96927374302001</v>
      </c>
      <c r="G74">
        <v>115.93016759776999</v>
      </c>
      <c r="I74" s="9">
        <f t="shared" si="8"/>
        <v>98.374180228320014</v>
      </c>
      <c r="J74" s="9">
        <f t="shared" si="9"/>
        <v>294.49600011355994</v>
      </c>
      <c r="K74" s="9">
        <f t="shared" si="10"/>
        <v>98.374180228320014</v>
      </c>
      <c r="L74" s="10">
        <f t="shared" si="7"/>
        <v>0.3340425003748308</v>
      </c>
      <c r="M74" s="10">
        <f t="shared" si="11"/>
        <v>0.33740134308998448</v>
      </c>
      <c r="P74" s="8">
        <f t="shared" si="12"/>
        <v>0.90984810524048831</v>
      </c>
      <c r="U74" s="8">
        <v>35.5</v>
      </c>
      <c r="V74" s="10">
        <f t="shared" si="6"/>
        <v>0.3388855337880442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429.52456239412999</v>
      </c>
      <c r="E75">
        <v>216.02766798419</v>
      </c>
      <c r="F75">
        <v>135.26480446926999</v>
      </c>
      <c r="G75">
        <v>115.7251396648</v>
      </c>
      <c r="I75" s="9">
        <f t="shared" si="8"/>
        <v>100.30252831939001</v>
      </c>
      <c r="J75" s="9">
        <f t="shared" si="9"/>
        <v>294.25975792485997</v>
      </c>
      <c r="K75" s="9">
        <f t="shared" si="10"/>
        <v>100.30252831939001</v>
      </c>
      <c r="L75" s="10">
        <f t="shared" si="7"/>
        <v>0.34086389870884937</v>
      </c>
      <c r="M75" s="10">
        <f t="shared" si="11"/>
        <v>0.34426939201726908</v>
      </c>
      <c r="P75" s="8">
        <f t="shared" si="12"/>
        <v>2.9639412149019164</v>
      </c>
      <c r="U75" s="8">
        <v>36</v>
      </c>
      <c r="V75" s="10">
        <f t="shared" si="6"/>
        <v>0.33337679479512439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430.14285714286001</v>
      </c>
      <c r="E76">
        <v>214.48051948052</v>
      </c>
      <c r="F76">
        <v>134.9094972067</v>
      </c>
      <c r="G76">
        <v>115.66033519553</v>
      </c>
      <c r="I76" s="9">
        <f t="shared" si="8"/>
        <v>98.820184284990006</v>
      </c>
      <c r="J76" s="9">
        <f t="shared" si="9"/>
        <v>295.23335993616001</v>
      </c>
      <c r="K76" s="9">
        <f t="shared" si="10"/>
        <v>98.820184284990006</v>
      </c>
      <c r="L76" s="10">
        <f t="shared" si="7"/>
        <v>0.33471889594847432</v>
      </c>
      <c r="M76" s="10">
        <f t="shared" si="11"/>
        <v>0.33817103985016006</v>
      </c>
      <c r="P76" s="8">
        <f t="shared" si="12"/>
        <v>1.1400486801555043</v>
      </c>
      <c r="U76" s="8">
        <v>36.5</v>
      </c>
      <c r="V76" s="10">
        <f t="shared" si="6"/>
        <v>0.3340425003748308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428.17108977979001</v>
      </c>
      <c r="E77">
        <v>213.68887634104999</v>
      </c>
      <c r="F77">
        <v>135.4156424581</v>
      </c>
      <c r="G77">
        <v>115.92737430168</v>
      </c>
      <c r="I77" s="9">
        <f t="shared" si="8"/>
        <v>97.761502039369987</v>
      </c>
      <c r="J77" s="9">
        <f t="shared" si="9"/>
        <v>292.75544732168999</v>
      </c>
      <c r="K77" s="9">
        <f t="shared" si="10"/>
        <v>97.761502039369987</v>
      </c>
      <c r="L77" s="10">
        <f t="shared" si="7"/>
        <v>0.3339357232589637</v>
      </c>
      <c r="M77" s="10">
        <f t="shared" si="11"/>
        <v>0.33743451775391547</v>
      </c>
      <c r="P77" s="8">
        <f t="shared" si="12"/>
        <v>0.91976996941435396</v>
      </c>
      <c r="U77" s="8">
        <v>37</v>
      </c>
      <c r="V77" s="10">
        <f t="shared" si="6"/>
        <v>0.34086389870884937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424.97571993224</v>
      </c>
      <c r="E78">
        <v>212.70976849237999</v>
      </c>
      <c r="F78">
        <v>135.08770949721</v>
      </c>
      <c r="G78">
        <v>115.75586592179</v>
      </c>
      <c r="I78" s="9">
        <f t="shared" si="8"/>
        <v>96.953902570589989</v>
      </c>
      <c r="J78" s="9">
        <f t="shared" si="9"/>
        <v>289.88801043502997</v>
      </c>
      <c r="K78" s="9">
        <f t="shared" si="10"/>
        <v>96.953902570589989</v>
      </c>
      <c r="L78" s="10">
        <f t="shared" si="7"/>
        <v>0.33445295797191793</v>
      </c>
      <c r="M78" s="10">
        <f t="shared" si="11"/>
        <v>0.33799840306013573</v>
      </c>
      <c r="P78" s="8">
        <f t="shared" si="12"/>
        <v>1.0884165434864899</v>
      </c>
      <c r="U78" s="8">
        <v>37.5</v>
      </c>
      <c r="V78" s="10">
        <f t="shared" si="6"/>
        <v>0.33471889594847432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430.76233183856999</v>
      </c>
      <c r="E79">
        <v>212.11939461883</v>
      </c>
      <c r="F79">
        <v>135.52346368715001</v>
      </c>
      <c r="G79">
        <v>115.59385474859999</v>
      </c>
      <c r="I79" s="9">
        <f t="shared" si="8"/>
        <v>96.525539870230006</v>
      </c>
      <c r="J79" s="9">
        <f t="shared" si="9"/>
        <v>295.23886815141998</v>
      </c>
      <c r="K79" s="9">
        <f t="shared" si="10"/>
        <v>96.525539870230006</v>
      </c>
      <c r="L79" s="10">
        <f t="shared" si="7"/>
        <v>0.32694048881370419</v>
      </c>
      <c r="M79" s="10">
        <f t="shared" si="11"/>
        <v>0.33053258449518802</v>
      </c>
      <c r="P79" s="8">
        <f t="shared" si="12"/>
        <v>-1.1444572514741729</v>
      </c>
      <c r="U79" s="8">
        <v>38</v>
      </c>
      <c r="V79" s="10">
        <f t="shared" si="6"/>
        <v>0.3339357232589637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433.86827354259998</v>
      </c>
      <c r="E80">
        <v>213.20291479821</v>
      </c>
      <c r="F80">
        <v>135.23631284915999</v>
      </c>
      <c r="G80">
        <v>115.7312849162</v>
      </c>
      <c r="I80" s="9">
        <f t="shared" si="8"/>
        <v>97.471629882010006</v>
      </c>
      <c r="J80" s="9">
        <f t="shared" si="9"/>
        <v>298.63196069343996</v>
      </c>
      <c r="K80" s="9">
        <f t="shared" si="10"/>
        <v>97.471629882010006</v>
      </c>
      <c r="L80" s="10">
        <f t="shared" si="7"/>
        <v>0.32639383157675245</v>
      </c>
      <c r="M80" s="10">
        <f t="shared" si="11"/>
        <v>0.33003257785150225</v>
      </c>
      <c r="P80" s="8">
        <f t="shared" si="12"/>
        <v>-1.2939990227186506</v>
      </c>
      <c r="U80" s="8">
        <v>38.5</v>
      </c>
      <c r="V80" s="10">
        <f t="shared" si="6"/>
        <v>0.33445295797191793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435.63228699552002</v>
      </c>
      <c r="E81">
        <v>213.79764573991</v>
      </c>
      <c r="F81">
        <v>134.95586592179001</v>
      </c>
      <c r="G81">
        <v>115.78268156425</v>
      </c>
      <c r="I81" s="9">
        <f t="shared" si="8"/>
        <v>98.014964175659998</v>
      </c>
      <c r="J81" s="9">
        <f t="shared" si="9"/>
        <v>300.67642107373001</v>
      </c>
      <c r="K81" s="9">
        <f t="shared" si="10"/>
        <v>98.014964175659998</v>
      </c>
      <c r="L81" s="10">
        <f t="shared" si="7"/>
        <v>0.32598154463074902</v>
      </c>
      <c r="M81" s="10">
        <f t="shared" si="11"/>
        <v>0.32966694149876485</v>
      </c>
      <c r="P81" s="8">
        <f t="shared" si="12"/>
        <v>-1.4033533853260476</v>
      </c>
      <c r="U81" s="8">
        <v>39</v>
      </c>
      <c r="V81" s="10">
        <f t="shared" si="6"/>
        <v>0.32694048881370419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433.48150224214999</v>
      </c>
      <c r="E82">
        <v>213.71244394619001</v>
      </c>
      <c r="F82">
        <v>135.32067039105999</v>
      </c>
      <c r="G82">
        <v>115.96256983240001</v>
      </c>
      <c r="H82" s="13"/>
      <c r="I82" s="14">
        <f t="shared" si="8"/>
        <v>97.74987411379</v>
      </c>
      <c r="J82" s="14">
        <f t="shared" si="9"/>
        <v>298.16083185108999</v>
      </c>
      <c r="K82" s="9">
        <f t="shared" si="10"/>
        <v>97.74987411379</v>
      </c>
      <c r="L82" s="15">
        <f t="shared" si="7"/>
        <v>0.32784277366991338</v>
      </c>
      <c r="M82" s="15">
        <f t="shared" si="11"/>
        <v>0.33157482113119524</v>
      </c>
      <c r="N82" s="13"/>
      <c r="O82" s="13"/>
      <c r="P82" s="13">
        <f t="shared" si="12"/>
        <v>-0.83274556809431066</v>
      </c>
      <c r="U82" s="8">
        <v>39.5</v>
      </c>
      <c r="V82" s="10">
        <f t="shared" si="6"/>
        <v>0.32639383157675245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436.85424873381999</v>
      </c>
      <c r="E83">
        <v>215.15362971299999</v>
      </c>
      <c r="F83">
        <v>135.5592178771</v>
      </c>
      <c r="G83">
        <v>116.00446927374</v>
      </c>
      <c r="I83" s="9">
        <f t="shared" si="8"/>
        <v>99.149160439259987</v>
      </c>
      <c r="J83" s="9">
        <f t="shared" si="9"/>
        <v>301.29503085672002</v>
      </c>
      <c r="K83" s="9">
        <f t="shared" si="10"/>
        <v>99.149160439259987</v>
      </c>
      <c r="L83" s="10">
        <f t="shared" si="7"/>
        <v>0.32907665339628545</v>
      </c>
      <c r="M83" s="10">
        <f t="shared" si="11"/>
        <v>0.33285535145083334</v>
      </c>
      <c r="P83" s="8">
        <f t="shared" si="12"/>
        <v>-0.44976511263603763</v>
      </c>
      <c r="U83" s="8">
        <v>40</v>
      </c>
      <c r="V83" s="10">
        <f t="shared" si="6"/>
        <v>0.32598154463074902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431.06077658976</v>
      </c>
      <c r="E84">
        <v>214.27293190770999</v>
      </c>
      <c r="F84">
        <v>135.28491620112001</v>
      </c>
      <c r="G84">
        <v>116.23575418994</v>
      </c>
      <c r="I84" s="9">
        <f t="shared" si="8"/>
        <v>98.037177717769993</v>
      </c>
      <c r="J84" s="9">
        <f t="shared" si="9"/>
        <v>295.77586038864001</v>
      </c>
      <c r="K84" s="9">
        <f t="shared" si="10"/>
        <v>98.037177717769993</v>
      </c>
      <c r="L84" s="10">
        <f t="shared" si="7"/>
        <v>0.33145767064611792</v>
      </c>
      <c r="M84" s="10">
        <f t="shared" si="11"/>
        <v>0.33528301929393184</v>
      </c>
      <c r="P84" s="8">
        <f t="shared" si="12"/>
        <v>0.27630073835766156</v>
      </c>
      <c r="U84" s="8">
        <v>150.5</v>
      </c>
      <c r="V84" s="10">
        <f>L302</f>
        <v>0.31856476405290568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420.83865546218999</v>
      </c>
      <c r="E85">
        <v>212.71988795518001</v>
      </c>
      <c r="F85">
        <v>135.67988826816</v>
      </c>
      <c r="G85">
        <v>116.05642458101001</v>
      </c>
      <c r="I85" s="9">
        <f t="shared" si="8"/>
        <v>96.663463374170007</v>
      </c>
      <c r="J85" s="9">
        <f t="shared" si="9"/>
        <v>285.15876719403002</v>
      </c>
      <c r="K85" s="9">
        <f t="shared" si="10"/>
        <v>96.663463374170007</v>
      </c>
      <c r="L85" s="10">
        <f t="shared" si="7"/>
        <v>0.3389812079963071</v>
      </c>
      <c r="M85" s="10">
        <f t="shared" si="11"/>
        <v>0.34285320723738705</v>
      </c>
      <c r="P85" s="8">
        <f t="shared" si="12"/>
        <v>2.5403892820077534</v>
      </c>
      <c r="U85" s="8">
        <v>151</v>
      </c>
      <c r="V85" s="10">
        <f t="shared" ref="V85:V103" si="13">L303</f>
        <v>0.31968769642675898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430.38711484594</v>
      </c>
      <c r="E86">
        <v>215.03641456583</v>
      </c>
      <c r="F86">
        <v>135.74134078212001</v>
      </c>
      <c r="G86">
        <v>115.75027932961</v>
      </c>
      <c r="I86" s="9">
        <f t="shared" si="8"/>
        <v>99.286135236220005</v>
      </c>
      <c r="J86" s="9">
        <f t="shared" si="9"/>
        <v>294.64577406382</v>
      </c>
      <c r="K86" s="9">
        <f t="shared" si="10"/>
        <v>99.286135236220005</v>
      </c>
      <c r="L86" s="10">
        <f t="shared" si="7"/>
        <v>0.33696778971862912</v>
      </c>
      <c r="M86" s="10">
        <f t="shared" si="11"/>
        <v>0.3408864395529751</v>
      </c>
      <c r="P86" s="8">
        <f t="shared" si="12"/>
        <v>1.9521692515991167</v>
      </c>
      <c r="U86" s="8">
        <v>151.5</v>
      </c>
      <c r="V86" s="10">
        <f t="shared" si="13"/>
        <v>0.3203992304972752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426.28418683173999</v>
      </c>
      <c r="E87">
        <v>213.62521102983001</v>
      </c>
      <c r="F87">
        <v>136.01117318435999</v>
      </c>
      <c r="G87">
        <v>116.51620111731999</v>
      </c>
      <c r="I87" s="9">
        <f t="shared" si="8"/>
        <v>97.109009912510018</v>
      </c>
      <c r="J87" s="9">
        <f t="shared" si="9"/>
        <v>290.27301364738003</v>
      </c>
      <c r="K87" s="9">
        <f t="shared" si="10"/>
        <v>97.109009912510018</v>
      </c>
      <c r="L87" s="10">
        <f t="shared" si="7"/>
        <v>0.334543706603318</v>
      </c>
      <c r="M87" s="10">
        <f t="shared" si="11"/>
        <v>0.33850900703093001</v>
      </c>
      <c r="P87" s="8">
        <f t="shared" si="12"/>
        <v>1.2411277587499141</v>
      </c>
      <c r="U87" s="8">
        <v>152</v>
      </c>
      <c r="V87" s="10">
        <f t="shared" si="13"/>
        <v>0.32095788225734412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431.10730337079002</v>
      </c>
      <c r="E88">
        <v>214.93089887639999</v>
      </c>
      <c r="F88">
        <v>135.69664804468999</v>
      </c>
      <c r="G88">
        <v>116.07597765363001</v>
      </c>
      <c r="I88" s="9">
        <f t="shared" si="8"/>
        <v>98.854921222769988</v>
      </c>
      <c r="J88" s="9">
        <f t="shared" si="9"/>
        <v>295.41065532610003</v>
      </c>
      <c r="K88" s="9">
        <f t="shared" si="10"/>
        <v>98.854921222769988</v>
      </c>
      <c r="L88" s="10">
        <f t="shared" si="7"/>
        <v>0.3346355977364639</v>
      </c>
      <c r="M88" s="10">
        <f t="shared" si="11"/>
        <v>0.33864754875734193</v>
      </c>
      <c r="P88" s="8">
        <f t="shared" si="12"/>
        <v>1.2825627585054913</v>
      </c>
      <c r="U88" s="8">
        <v>152.5</v>
      </c>
      <c r="V88" s="10">
        <f t="shared" si="13"/>
        <v>0.31742565338649698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428.81685393257999</v>
      </c>
      <c r="E89">
        <v>214.70505617978</v>
      </c>
      <c r="F89">
        <v>135.98826815643</v>
      </c>
      <c r="G89">
        <v>116.09217877095</v>
      </c>
      <c r="I89" s="9">
        <f t="shared" si="8"/>
        <v>98.612877408830002</v>
      </c>
      <c r="J89" s="9">
        <f t="shared" si="9"/>
        <v>292.82858577615002</v>
      </c>
      <c r="K89" s="9">
        <f t="shared" si="10"/>
        <v>98.612877408830002</v>
      </c>
      <c r="L89" s="10">
        <f t="shared" si="7"/>
        <v>0.33675973657917968</v>
      </c>
      <c r="M89" s="10">
        <f t="shared" si="11"/>
        <v>0.34081833819332374</v>
      </c>
      <c r="P89" s="8">
        <f t="shared" si="12"/>
        <v>1.9318015263398089</v>
      </c>
      <c r="U89" s="8">
        <v>153</v>
      </c>
      <c r="V89" s="10">
        <f t="shared" si="13"/>
        <v>0.32026051986062359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444.48761261261001</v>
      </c>
      <c r="E90">
        <v>216.18862612613</v>
      </c>
      <c r="F90">
        <v>135.52122905028</v>
      </c>
      <c r="G90">
        <v>115.9312849162</v>
      </c>
      <c r="I90" s="9">
        <f t="shared" si="8"/>
        <v>100.25734120993</v>
      </c>
      <c r="J90" s="9">
        <f t="shared" si="9"/>
        <v>308.96638356233001</v>
      </c>
      <c r="K90" s="9">
        <f t="shared" si="10"/>
        <v>100.25734120993</v>
      </c>
      <c r="L90" s="10">
        <f t="shared" si="7"/>
        <v>0.32449271682562958</v>
      </c>
      <c r="M90" s="10">
        <f t="shared" si="11"/>
        <v>0.32859796903303962</v>
      </c>
      <c r="P90" s="8">
        <f t="shared" si="12"/>
        <v>-1.7230612091216668</v>
      </c>
      <c r="U90" s="8">
        <v>153.5</v>
      </c>
      <c r="V90" s="10">
        <f t="shared" si="13"/>
        <v>0.31916212230796526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452.84234234233998</v>
      </c>
      <c r="E91">
        <v>217.87105855856001</v>
      </c>
      <c r="F91">
        <v>136.15810055866001</v>
      </c>
      <c r="G91">
        <v>116.30391061453</v>
      </c>
      <c r="I91" s="9">
        <f t="shared" si="8"/>
        <v>101.56714794403001</v>
      </c>
      <c r="J91" s="9">
        <f t="shared" si="9"/>
        <v>316.68424178367997</v>
      </c>
      <c r="K91" s="9">
        <f t="shared" si="10"/>
        <v>101.56714794403001</v>
      </c>
      <c r="L91" s="10">
        <f t="shared" si="7"/>
        <v>0.32072056181882358</v>
      </c>
      <c r="M91" s="10">
        <f t="shared" si="11"/>
        <v>0.32487246461949965</v>
      </c>
      <c r="P91" s="8">
        <f t="shared" si="12"/>
        <v>-2.8372834615963964</v>
      </c>
      <c r="U91" s="8">
        <v>154</v>
      </c>
      <c r="V91" s="10">
        <f t="shared" si="13"/>
        <v>0.3190630311144379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437.16788321168002</v>
      </c>
      <c r="E92">
        <v>214.50533408198001</v>
      </c>
      <c r="F92">
        <v>135.99944134078001</v>
      </c>
      <c r="G92">
        <v>116.10837988826999</v>
      </c>
      <c r="I92" s="9">
        <f t="shared" si="8"/>
        <v>98.396954193710016</v>
      </c>
      <c r="J92" s="9">
        <f t="shared" si="9"/>
        <v>301.16844187089998</v>
      </c>
      <c r="K92" s="9">
        <f t="shared" si="10"/>
        <v>98.396954193710016</v>
      </c>
      <c r="L92" s="10">
        <f t="shared" si="7"/>
        <v>0.32671734655349194</v>
      </c>
      <c r="M92" s="10">
        <f t="shared" si="11"/>
        <v>0.33091589994743403</v>
      </c>
      <c r="P92" s="8">
        <f t="shared" si="12"/>
        <v>-1.0298154314141359</v>
      </c>
      <c r="U92" s="8">
        <v>154.5</v>
      </c>
      <c r="V92" s="10">
        <f t="shared" si="13"/>
        <v>0.31790746647452661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431.09264458169997</v>
      </c>
      <c r="E93">
        <v>213.00617630545</v>
      </c>
      <c r="F93">
        <v>136.04804469274001</v>
      </c>
      <c r="G93">
        <v>116.31284916201</v>
      </c>
      <c r="I93" s="9">
        <f t="shared" si="8"/>
        <v>96.693327143440001</v>
      </c>
      <c r="J93" s="9">
        <f t="shared" si="9"/>
        <v>295.04459988895997</v>
      </c>
      <c r="K93" s="9">
        <f t="shared" si="10"/>
        <v>96.693327143440001</v>
      </c>
      <c r="L93" s="10">
        <f t="shared" si="7"/>
        <v>0.32772444294805103</v>
      </c>
      <c r="M93" s="10">
        <f t="shared" si="11"/>
        <v>0.33196964693525916</v>
      </c>
      <c r="P93" s="8">
        <f t="shared" si="12"/>
        <v>-0.71466123697920525</v>
      </c>
      <c r="U93" s="8">
        <v>155</v>
      </c>
      <c r="V93" s="10">
        <f t="shared" si="13"/>
        <v>0.31923592324964428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440.87844682048001</v>
      </c>
      <c r="E94">
        <v>213.78840742825</v>
      </c>
      <c r="F94">
        <v>135.90726256983001</v>
      </c>
      <c r="G94">
        <v>116.52625698324</v>
      </c>
      <c r="I94" s="9">
        <f t="shared" si="8"/>
        <v>97.262150445009993</v>
      </c>
      <c r="J94" s="9">
        <f t="shared" si="9"/>
        <v>304.97118425065003</v>
      </c>
      <c r="K94" s="9">
        <f t="shared" si="10"/>
        <v>97.262150445009993</v>
      </c>
      <c r="L94" s="10">
        <f t="shared" si="7"/>
        <v>0.31892242765163042</v>
      </c>
      <c r="M94" s="10">
        <f t="shared" si="11"/>
        <v>0.32321428223210458</v>
      </c>
      <c r="P94" s="8">
        <f t="shared" si="12"/>
        <v>-3.3332119345254312</v>
      </c>
      <c r="U94" s="8">
        <v>155.5</v>
      </c>
      <c r="V94" s="10">
        <f t="shared" si="13"/>
        <v>0.31749861641674559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447.66891133557999</v>
      </c>
      <c r="E95">
        <v>216.84062850730001</v>
      </c>
      <c r="F95">
        <v>136.24413407821001</v>
      </c>
      <c r="G95">
        <v>116.38156424581</v>
      </c>
      <c r="I95" s="9">
        <f t="shared" si="8"/>
        <v>100.45906426149001</v>
      </c>
      <c r="J95" s="9">
        <f t="shared" si="9"/>
        <v>311.42477725737001</v>
      </c>
      <c r="K95" s="9">
        <f t="shared" si="10"/>
        <v>100.45906426149001</v>
      </c>
      <c r="L95" s="10">
        <f t="shared" si="7"/>
        <v>0.32257890700349728</v>
      </c>
      <c r="M95" s="10">
        <f t="shared" si="11"/>
        <v>0.32691741217723747</v>
      </c>
      <c r="P95" s="8">
        <f t="shared" si="12"/>
        <v>-2.2256814284074795</v>
      </c>
      <c r="U95" s="8">
        <v>156</v>
      </c>
      <c r="V95" s="10">
        <f t="shared" si="13"/>
        <v>0.32001674635846106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441.09090909090997</v>
      </c>
      <c r="E96">
        <v>213.04433221100001</v>
      </c>
      <c r="F96">
        <v>135.74525139664999</v>
      </c>
      <c r="G96">
        <v>116.44860335196</v>
      </c>
      <c r="I96" s="9">
        <f t="shared" si="8"/>
        <v>96.595728859040008</v>
      </c>
      <c r="J96" s="9">
        <f t="shared" si="9"/>
        <v>305.34565769426001</v>
      </c>
      <c r="K96" s="9">
        <f t="shared" si="10"/>
        <v>96.595728859040008</v>
      </c>
      <c r="L96" s="10">
        <f t="shared" si="7"/>
        <v>0.31634878841395048</v>
      </c>
      <c r="M96" s="10">
        <f t="shared" si="11"/>
        <v>0.32073394418095669</v>
      </c>
      <c r="P96" s="8">
        <f t="shared" si="12"/>
        <v>-4.0750303686157476</v>
      </c>
      <c r="U96" s="8">
        <v>156.5</v>
      </c>
      <c r="V96" s="10">
        <f t="shared" si="13"/>
        <v>0.31790968871967434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436.73681257014999</v>
      </c>
      <c r="E97">
        <v>213.07239057238999</v>
      </c>
      <c r="F97">
        <v>135.99776536312999</v>
      </c>
      <c r="G97">
        <v>116.75474860335</v>
      </c>
      <c r="I97" s="9">
        <f t="shared" si="8"/>
        <v>96.317641969039997</v>
      </c>
      <c r="J97" s="9">
        <f t="shared" si="9"/>
        <v>300.73904720702001</v>
      </c>
      <c r="K97" s="9">
        <f t="shared" si="10"/>
        <v>96.317641969039997</v>
      </c>
      <c r="L97" s="10">
        <f t="shared" si="7"/>
        <v>0.32026982483168454</v>
      </c>
      <c r="M97" s="10">
        <f t="shared" si="11"/>
        <v>0.32470163119195677</v>
      </c>
      <c r="P97" s="8">
        <f t="shared" si="12"/>
        <v>-2.8883762493925942</v>
      </c>
      <c r="U97" s="8">
        <v>157</v>
      </c>
      <c r="V97" s="10">
        <f t="shared" si="13"/>
        <v>0.32108400442691926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453.39943661972001</v>
      </c>
      <c r="E98">
        <v>216.11661971831001</v>
      </c>
      <c r="F98">
        <v>136.02178770949999</v>
      </c>
      <c r="G98">
        <v>116.46703910615</v>
      </c>
      <c r="I98" s="9">
        <f t="shared" si="8"/>
        <v>99.649580612160008</v>
      </c>
      <c r="J98" s="9">
        <f t="shared" si="9"/>
        <v>317.37764891022005</v>
      </c>
      <c r="K98" s="9">
        <f t="shared" si="10"/>
        <v>99.649580612160008</v>
      </c>
      <c r="L98" s="10">
        <f t="shared" si="7"/>
        <v>0.31397794064681894</v>
      </c>
      <c r="M98" s="10">
        <f t="shared" si="11"/>
        <v>0.31845639760035721</v>
      </c>
      <c r="P98" s="8">
        <f t="shared" si="12"/>
        <v>-4.7561980171974199</v>
      </c>
      <c r="U98" s="8">
        <v>157.5</v>
      </c>
      <c r="V98" s="10">
        <f t="shared" si="13"/>
        <v>0.31832928688854467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451.10985915493001</v>
      </c>
      <c r="E99">
        <v>215.29183098592</v>
      </c>
      <c r="F99">
        <v>136.06983240224</v>
      </c>
      <c r="G99">
        <v>116.45698324022</v>
      </c>
      <c r="I99" s="9">
        <f t="shared" si="8"/>
        <v>98.834847745700003</v>
      </c>
      <c r="J99" s="9">
        <f t="shared" si="9"/>
        <v>315.04002675268998</v>
      </c>
      <c r="K99" s="9">
        <f t="shared" si="10"/>
        <v>98.834847745700003</v>
      </c>
      <c r="L99" s="10">
        <f t="shared" si="7"/>
        <v>0.31372155711276167</v>
      </c>
      <c r="M99" s="10">
        <f t="shared" si="11"/>
        <v>0.31824666465956597</v>
      </c>
      <c r="P99" s="8">
        <f t="shared" si="12"/>
        <v>-4.8189248546310965</v>
      </c>
      <c r="U99" s="8">
        <v>158</v>
      </c>
      <c r="V99" s="10">
        <f t="shared" si="13"/>
        <v>0.32282943896689686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451.29633802817</v>
      </c>
      <c r="E100">
        <v>215.09183098592001</v>
      </c>
      <c r="F100">
        <v>136.11731843575001</v>
      </c>
      <c r="G100">
        <v>116.30279329609</v>
      </c>
      <c r="I100" s="9">
        <f t="shared" si="8"/>
        <v>98.78903768983001</v>
      </c>
      <c r="J100" s="9">
        <f t="shared" si="9"/>
        <v>315.17901959241999</v>
      </c>
      <c r="K100" s="9">
        <f t="shared" si="10"/>
        <v>98.78903768983001</v>
      </c>
      <c r="L100" s="10">
        <f t="shared" si="7"/>
        <v>0.31343786086263298</v>
      </c>
      <c r="M100" s="10">
        <f t="shared" si="11"/>
        <v>0.3180096190027033</v>
      </c>
      <c r="P100" s="8">
        <f t="shared" si="12"/>
        <v>-4.8898203674021863</v>
      </c>
      <c r="U100" s="8">
        <v>158.5</v>
      </c>
      <c r="V100" s="10">
        <f t="shared" si="13"/>
        <v>0.32352097956952008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449.98320268756999</v>
      </c>
      <c r="E101">
        <v>214.44960806271001</v>
      </c>
      <c r="F101">
        <v>136.06480446927</v>
      </c>
      <c r="G101">
        <v>116.55139664805</v>
      </c>
      <c r="I101" s="9">
        <f t="shared" si="8"/>
        <v>97.898211414660011</v>
      </c>
      <c r="J101" s="9">
        <f t="shared" si="9"/>
        <v>313.91839821830001</v>
      </c>
      <c r="K101" s="9">
        <f t="shared" si="10"/>
        <v>97.898211414660011</v>
      </c>
      <c r="L101" s="10">
        <f t="shared" si="7"/>
        <v>0.31185878868616435</v>
      </c>
      <c r="M101" s="10">
        <f t="shared" si="11"/>
        <v>0.31647719741950064</v>
      </c>
      <c r="P101" s="8">
        <f t="shared" si="12"/>
        <v>-5.3481363532781847</v>
      </c>
      <c r="U101" s="8">
        <v>159</v>
      </c>
      <c r="V101" s="10">
        <f t="shared" si="13"/>
        <v>0.32229523553058054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441.40705487122</v>
      </c>
      <c r="E102">
        <v>212.73572228443999</v>
      </c>
      <c r="F102">
        <v>136.58379888267999</v>
      </c>
      <c r="G102">
        <v>116.48156424581001</v>
      </c>
      <c r="I102" s="9">
        <f t="shared" si="8"/>
        <v>96.254158038629981</v>
      </c>
      <c r="J102" s="9">
        <f t="shared" si="9"/>
        <v>304.82325598854004</v>
      </c>
      <c r="K102" s="9">
        <f t="shared" si="10"/>
        <v>96.254158038629981</v>
      </c>
      <c r="L102" s="10">
        <f t="shared" si="7"/>
        <v>0.31577038873388552</v>
      </c>
      <c r="M102" s="10">
        <f t="shared" si="11"/>
        <v>0.32043544806048785</v>
      </c>
      <c r="P102" s="8">
        <f t="shared" si="12"/>
        <v>-4.1643044595267629</v>
      </c>
      <c r="U102" s="8">
        <v>159.5</v>
      </c>
      <c r="V102" s="10">
        <f t="shared" si="13"/>
        <v>0.32041133460828575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430.44276094276</v>
      </c>
      <c r="E103">
        <v>209.58136924804001</v>
      </c>
      <c r="F103">
        <v>136.58882681564</v>
      </c>
      <c r="G103">
        <v>116.58156424581</v>
      </c>
      <c r="I103" s="9">
        <f t="shared" si="8"/>
        <v>92.999805002230005</v>
      </c>
      <c r="J103" s="9">
        <f t="shared" si="9"/>
        <v>293.85393412712</v>
      </c>
      <c r="K103" s="9">
        <f t="shared" si="10"/>
        <v>92.999805002230005</v>
      </c>
      <c r="L103" s="10">
        <f t="shared" si="7"/>
        <v>0.31648310334344093</v>
      </c>
      <c r="M103" s="10">
        <f t="shared" si="11"/>
        <v>0.32119481326330929</v>
      </c>
      <c r="P103" s="8">
        <f t="shared" si="12"/>
        <v>-3.9371938423272343</v>
      </c>
      <c r="U103" s="8">
        <v>160</v>
      </c>
      <c r="V103" s="10">
        <f t="shared" si="13"/>
        <v>0.3203875772883657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433.33838383838003</v>
      </c>
      <c r="E104">
        <v>209.03591470257999</v>
      </c>
      <c r="F104">
        <v>135.96089385475</v>
      </c>
      <c r="G104">
        <v>116.42458100559</v>
      </c>
      <c r="I104" s="9">
        <f t="shared" si="8"/>
        <v>92.611333696989988</v>
      </c>
      <c r="J104" s="9">
        <f t="shared" si="9"/>
        <v>297.37748998363003</v>
      </c>
      <c r="K104" s="9">
        <f t="shared" si="10"/>
        <v>92.611333696989988</v>
      </c>
      <c r="L104" s="10">
        <f t="shared" si="7"/>
        <v>0.31142684573095308</v>
      </c>
      <c r="M104" s="10">
        <f t="shared" si="11"/>
        <v>0.31618520624408747</v>
      </c>
      <c r="P104" s="8">
        <f t="shared" si="12"/>
        <v>-5.4354649480287867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431.07939189189</v>
      </c>
      <c r="E105">
        <v>210.18186936936999</v>
      </c>
      <c r="F105">
        <v>136.64301675978001</v>
      </c>
      <c r="G105">
        <v>116.58826815643</v>
      </c>
      <c r="I105" s="9">
        <f t="shared" si="8"/>
        <v>93.593601212939987</v>
      </c>
      <c r="J105" s="9">
        <f t="shared" si="9"/>
        <v>294.43637513211002</v>
      </c>
      <c r="K105" s="9">
        <f t="shared" si="10"/>
        <v>93.593601212939987</v>
      </c>
      <c r="L105" s="10">
        <f t="shared" si="7"/>
        <v>0.31787377212121187</v>
      </c>
      <c r="M105" s="10">
        <f t="shared" si="11"/>
        <v>0.32267878322761229</v>
      </c>
      <c r="P105" s="8">
        <f t="shared" si="12"/>
        <v>-3.49336874572524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421.91216216215997</v>
      </c>
      <c r="E106">
        <v>207.98141891892001</v>
      </c>
      <c r="F106">
        <v>136.69776536313</v>
      </c>
      <c r="G106">
        <v>116.12067039106</v>
      </c>
      <c r="I106" s="9">
        <f t="shared" si="8"/>
        <v>91.860748527860011</v>
      </c>
      <c r="J106" s="9">
        <f t="shared" si="9"/>
        <v>285.21439679902994</v>
      </c>
      <c r="K106" s="9">
        <f t="shared" si="10"/>
        <v>91.860748527860011</v>
      </c>
      <c r="L106" s="10">
        <f t="shared" si="7"/>
        <v>0.32207612784914103</v>
      </c>
      <c r="M106" s="10">
        <f t="shared" si="11"/>
        <v>0.32692778954880747</v>
      </c>
      <c r="P106" s="8">
        <f t="shared" si="12"/>
        <v>-2.2225777685960799</v>
      </c>
      <c r="X106" s="8">
        <v>-13</v>
      </c>
    </row>
    <row r="107" spans="1:25" x14ac:dyDescent="0.2">
      <c r="A107" s="8">
        <v>52.5</v>
      </c>
      <c r="B107" s="8">
        <v>105</v>
      </c>
      <c r="D107">
        <v>433.25070264192999</v>
      </c>
      <c r="E107">
        <v>207.81843732434001</v>
      </c>
      <c r="F107">
        <v>136.50167597765</v>
      </c>
      <c r="G107">
        <v>116.66480446927</v>
      </c>
      <c r="I107" s="9">
        <f t="shared" si="8"/>
        <v>91.153632855070015</v>
      </c>
      <c r="J107" s="9">
        <f t="shared" si="9"/>
        <v>296.74902666428</v>
      </c>
      <c r="K107" s="9">
        <f t="shared" si="10"/>
        <v>91.153632855070015</v>
      </c>
      <c r="L107" s="10">
        <f t="shared" si="7"/>
        <v>0.30717415952367899</v>
      </c>
      <c r="M107" s="10">
        <f t="shared" si="11"/>
        <v>0.31207247181661146</v>
      </c>
      <c r="P107" s="8">
        <f t="shared" si="12"/>
        <v>-6.6654997859847018</v>
      </c>
      <c r="X107" s="8">
        <v>-13</v>
      </c>
    </row>
    <row r="108" spans="1:25" x14ac:dyDescent="0.2">
      <c r="A108" s="8">
        <v>53</v>
      </c>
      <c r="B108" s="8">
        <v>106</v>
      </c>
      <c r="D108">
        <v>435.20981387478997</v>
      </c>
      <c r="E108">
        <v>212.51099830794999</v>
      </c>
      <c r="F108">
        <v>136.74581005587001</v>
      </c>
      <c r="G108">
        <v>116.43687150837999</v>
      </c>
      <c r="I108" s="9">
        <f t="shared" si="8"/>
        <v>96.074126799569996</v>
      </c>
      <c r="J108" s="9">
        <f t="shared" si="9"/>
        <v>298.46400381891999</v>
      </c>
      <c r="K108" s="9">
        <f t="shared" si="10"/>
        <v>96.074126799569996</v>
      </c>
      <c r="L108" s="10">
        <f t="shared" si="7"/>
        <v>0.32189518859989152</v>
      </c>
      <c r="M108" s="10">
        <f t="shared" si="11"/>
        <v>0.32684015148609002</v>
      </c>
      <c r="P108" s="8">
        <f t="shared" si="12"/>
        <v>-2.2487885225784554</v>
      </c>
      <c r="X108" s="8">
        <v>-13</v>
      </c>
    </row>
    <row r="109" spans="1:25" x14ac:dyDescent="0.2">
      <c r="A109" s="8">
        <v>53.5</v>
      </c>
      <c r="B109" s="8">
        <v>107</v>
      </c>
      <c r="D109">
        <v>445.67794698251998</v>
      </c>
      <c r="E109">
        <v>213.83417935701999</v>
      </c>
      <c r="F109">
        <v>136.74413407821001</v>
      </c>
      <c r="G109">
        <v>116.91787709497</v>
      </c>
      <c r="I109" s="9">
        <f t="shared" si="8"/>
        <v>96.916302262049996</v>
      </c>
      <c r="J109" s="9">
        <f t="shared" si="9"/>
        <v>308.93381290431</v>
      </c>
      <c r="K109" s="9">
        <f t="shared" si="10"/>
        <v>96.916302262049996</v>
      </c>
      <c r="L109" s="10">
        <f t="shared" si="7"/>
        <v>0.31371218757484831</v>
      </c>
      <c r="M109" s="10">
        <f t="shared" si="11"/>
        <v>0.31870380105431284</v>
      </c>
      <c r="P109" s="8">
        <f t="shared" si="12"/>
        <v>-4.6822046989410779</v>
      </c>
      <c r="X109" s="8">
        <v>-13</v>
      </c>
    </row>
    <row r="110" spans="1:25" x14ac:dyDescent="0.2">
      <c r="A110" s="8">
        <v>54</v>
      </c>
      <c r="B110" s="8">
        <v>108</v>
      </c>
      <c r="D110">
        <v>444.65397536393999</v>
      </c>
      <c r="E110">
        <v>213.88185890258001</v>
      </c>
      <c r="F110">
        <v>137.06201117318</v>
      </c>
      <c r="G110">
        <v>116.54078212291</v>
      </c>
      <c r="I110" s="9">
        <f t="shared" si="8"/>
        <v>97.341076779670004</v>
      </c>
      <c r="J110" s="9">
        <f t="shared" si="9"/>
        <v>307.59196419076</v>
      </c>
      <c r="K110" s="9">
        <f t="shared" si="10"/>
        <v>97.341076779670004</v>
      </c>
      <c r="L110" s="10">
        <f t="shared" si="7"/>
        <v>0.31646170287888853</v>
      </c>
      <c r="M110" s="10">
        <f t="shared" si="11"/>
        <v>0.32149996695161909</v>
      </c>
      <c r="P110" s="8">
        <f t="shared" si="12"/>
        <v>-3.8459286088990332</v>
      </c>
      <c r="X110" s="8">
        <v>-13</v>
      </c>
    </row>
    <row r="111" spans="1:25" x14ac:dyDescent="0.2">
      <c r="A111" s="8">
        <v>54.5</v>
      </c>
      <c r="B111" s="8">
        <v>109</v>
      </c>
      <c r="D111">
        <v>445.80851063829999</v>
      </c>
      <c r="E111">
        <v>214.51791713326</v>
      </c>
      <c r="F111">
        <v>137.31396648045001</v>
      </c>
      <c r="G111">
        <v>116.95195530725999</v>
      </c>
      <c r="I111" s="9">
        <f t="shared" si="8"/>
        <v>97.565961826000006</v>
      </c>
      <c r="J111" s="9">
        <f t="shared" si="9"/>
        <v>308.49454415784999</v>
      </c>
      <c r="K111" s="9">
        <f t="shared" si="10"/>
        <v>97.565961826000006</v>
      </c>
      <c r="L111" s="10">
        <f t="shared" si="7"/>
        <v>0.31626478870912417</v>
      </c>
      <c r="M111" s="10">
        <f t="shared" si="11"/>
        <v>0.3213497033751207</v>
      </c>
      <c r="P111" s="8">
        <f t="shared" si="12"/>
        <v>-3.8908693745205816</v>
      </c>
      <c r="X111" s="8">
        <v>-13</v>
      </c>
    </row>
    <row r="112" spans="1:25" x14ac:dyDescent="0.2">
      <c r="A112" s="8">
        <v>55</v>
      </c>
      <c r="B112" s="8">
        <v>110</v>
      </c>
      <c r="D112">
        <v>447.67413213885999</v>
      </c>
      <c r="E112">
        <v>214.52687569989001</v>
      </c>
      <c r="F112">
        <v>136.92905027933</v>
      </c>
      <c r="G112">
        <v>116.75027932961</v>
      </c>
      <c r="I112" s="9">
        <f t="shared" si="8"/>
        <v>97.776596370280018</v>
      </c>
      <c r="J112" s="9">
        <f t="shared" si="9"/>
        <v>310.74508185952999</v>
      </c>
      <c r="K112" s="9">
        <f t="shared" si="10"/>
        <v>97.776596370280018</v>
      </c>
      <c r="L112" s="10">
        <f t="shared" si="7"/>
        <v>0.31465211222386846</v>
      </c>
      <c r="M112" s="10">
        <f t="shared" si="11"/>
        <v>0.31978367748313102</v>
      </c>
      <c r="P112" s="8">
        <f t="shared" si="12"/>
        <v>-4.3592357225685978</v>
      </c>
      <c r="X112" s="8">
        <v>-13</v>
      </c>
    </row>
    <row r="113" spans="1:24" x14ac:dyDescent="0.2">
      <c r="A113" s="8">
        <v>55.5</v>
      </c>
      <c r="B113" s="8">
        <v>111</v>
      </c>
      <c r="D113">
        <v>443.92320627803002</v>
      </c>
      <c r="E113">
        <v>214.20403587444</v>
      </c>
      <c r="F113">
        <v>137.69385474859999</v>
      </c>
      <c r="G113">
        <v>116.89273743017</v>
      </c>
      <c r="I113" s="9">
        <f t="shared" si="8"/>
        <v>97.311298444269994</v>
      </c>
      <c r="J113" s="9">
        <f t="shared" si="9"/>
        <v>306.22935152943001</v>
      </c>
      <c r="K113" s="9">
        <f t="shared" si="10"/>
        <v>97.311298444269994</v>
      </c>
      <c r="L113" s="10">
        <f t="shared" si="7"/>
        <v>0.31777260395928425</v>
      </c>
      <c r="M113" s="10">
        <f t="shared" si="11"/>
        <v>0.32295081981181284</v>
      </c>
      <c r="P113" s="8">
        <f t="shared" si="12"/>
        <v>-3.412008161504255</v>
      </c>
      <c r="X113" s="8">
        <v>-13</v>
      </c>
    </row>
    <row r="114" spans="1:24" x14ac:dyDescent="0.2">
      <c r="A114" s="8">
        <v>56</v>
      </c>
      <c r="B114" s="8">
        <v>112</v>
      </c>
      <c r="D114">
        <v>451.56868287167998</v>
      </c>
      <c r="E114">
        <v>214.46184284907</v>
      </c>
      <c r="F114">
        <v>137.22122905027999</v>
      </c>
      <c r="G114">
        <v>116.96033519553001</v>
      </c>
      <c r="I114" s="9">
        <f t="shared" si="8"/>
        <v>97.501507653539988</v>
      </c>
      <c r="J114" s="9">
        <f t="shared" si="9"/>
        <v>314.34745382139999</v>
      </c>
      <c r="K114" s="9">
        <f t="shared" si="10"/>
        <v>97.501507653539988</v>
      </c>
      <c r="L114" s="10">
        <f t="shared" si="7"/>
        <v>0.31017113855465345</v>
      </c>
      <c r="M114" s="10">
        <f t="shared" si="11"/>
        <v>0.31539600500044807</v>
      </c>
      <c r="P114" s="8">
        <f t="shared" si="12"/>
        <v>-5.6714989154421289</v>
      </c>
      <c r="X114" s="8">
        <v>-13</v>
      </c>
    </row>
    <row r="115" spans="1:24" x14ac:dyDescent="0.2">
      <c r="A115" s="8">
        <v>56.5</v>
      </c>
      <c r="B115" s="8">
        <v>113</v>
      </c>
      <c r="D115">
        <v>453.63312605992002</v>
      </c>
      <c r="E115">
        <v>216.05483323912</v>
      </c>
      <c r="F115">
        <v>136.88435754189999</v>
      </c>
      <c r="G115">
        <v>116.66815642458</v>
      </c>
      <c r="I115" s="9">
        <f t="shared" si="8"/>
        <v>99.386676814539996</v>
      </c>
      <c r="J115" s="9">
        <f t="shared" si="9"/>
        <v>316.74876851802003</v>
      </c>
      <c r="K115" s="9">
        <f t="shared" si="10"/>
        <v>99.386676814539996</v>
      </c>
      <c r="L115" s="10">
        <f t="shared" si="7"/>
        <v>0.31377131244911477</v>
      </c>
      <c r="M115" s="10">
        <f t="shared" si="11"/>
        <v>0.31904282948817542</v>
      </c>
      <c r="P115" s="8">
        <f t="shared" si="12"/>
        <v>-4.580808221229649</v>
      </c>
      <c r="X115" s="8">
        <v>-13</v>
      </c>
    </row>
    <row r="116" spans="1:24" x14ac:dyDescent="0.2">
      <c r="A116" s="8">
        <v>57</v>
      </c>
      <c r="B116" s="8">
        <v>114</v>
      </c>
      <c r="D116">
        <v>446.17580553984999</v>
      </c>
      <c r="E116">
        <v>215.24646693047001</v>
      </c>
      <c r="F116">
        <v>137.17653631285</v>
      </c>
      <c r="G116">
        <v>116.85083798882999</v>
      </c>
      <c r="I116" s="9">
        <f t="shared" si="8"/>
        <v>98.395628941640012</v>
      </c>
      <c r="J116" s="9">
        <f t="shared" si="9"/>
        <v>308.99926922700001</v>
      </c>
      <c r="K116" s="9">
        <f t="shared" si="10"/>
        <v>98.395628941640012</v>
      </c>
      <c r="L116" s="10">
        <f t="shared" si="7"/>
        <v>0.31843320920398577</v>
      </c>
      <c r="M116" s="10">
        <f t="shared" si="11"/>
        <v>0.32375137683631244</v>
      </c>
      <c r="P116" s="8">
        <f t="shared" si="12"/>
        <v>-3.1725779120511777</v>
      </c>
      <c r="X116" s="8">
        <v>-13</v>
      </c>
    </row>
    <row r="117" spans="1:24" x14ac:dyDescent="0.2">
      <c r="A117" s="8">
        <v>57.5</v>
      </c>
      <c r="B117" s="8">
        <v>115</v>
      </c>
      <c r="D117">
        <v>447.91237987564</v>
      </c>
      <c r="E117">
        <v>214.89824759750999</v>
      </c>
      <c r="F117">
        <v>137.33575418993999</v>
      </c>
      <c r="G117">
        <v>117.03519553072999</v>
      </c>
      <c r="I117" s="9">
        <f t="shared" si="8"/>
        <v>97.86305206678</v>
      </c>
      <c r="J117" s="9">
        <f t="shared" si="9"/>
        <v>310.57662568570004</v>
      </c>
      <c r="K117" s="9">
        <f t="shared" si="10"/>
        <v>97.86305206678</v>
      </c>
      <c r="L117" s="10">
        <f t="shared" si="7"/>
        <v>0.31510115048328291</v>
      </c>
      <c r="M117" s="10">
        <f t="shared" si="11"/>
        <v>0.32046596870887561</v>
      </c>
      <c r="P117" s="8">
        <f t="shared" si="12"/>
        <v>-4.1551763571763773</v>
      </c>
      <c r="X117" s="8">
        <v>-13</v>
      </c>
    </row>
    <row r="118" spans="1:24" x14ac:dyDescent="0.2">
      <c r="A118" s="8">
        <v>58</v>
      </c>
      <c r="B118" s="8">
        <v>116</v>
      </c>
      <c r="D118">
        <v>446.27529677784003</v>
      </c>
      <c r="E118">
        <v>215.61899378179999</v>
      </c>
      <c r="F118">
        <v>137.18938547485999</v>
      </c>
      <c r="G118">
        <v>117.14748603352</v>
      </c>
      <c r="I118" s="9">
        <f t="shared" si="8"/>
        <v>98.47150774827999</v>
      </c>
      <c r="J118" s="9">
        <f t="shared" si="9"/>
        <v>309.08591130298004</v>
      </c>
      <c r="K118" s="9">
        <f t="shared" si="10"/>
        <v>98.47150774827999</v>
      </c>
      <c r="L118" s="10">
        <f t="shared" si="7"/>
        <v>0.31858944114652238</v>
      </c>
      <c r="M118" s="10">
        <f t="shared" si="11"/>
        <v>0.32400090996538111</v>
      </c>
      <c r="P118" s="8">
        <f t="shared" si="12"/>
        <v>-3.0979476514809661</v>
      </c>
      <c r="X118" s="8">
        <v>-13</v>
      </c>
    </row>
    <row r="119" spans="1:24" x14ac:dyDescent="0.2">
      <c r="A119" s="8">
        <v>58.5</v>
      </c>
      <c r="B119" s="8">
        <v>117</v>
      </c>
      <c r="D119">
        <v>443.99491237988002</v>
      </c>
      <c r="E119">
        <v>214.68343697003999</v>
      </c>
      <c r="F119">
        <v>137.23463687150999</v>
      </c>
      <c r="G119">
        <v>116.91843575419</v>
      </c>
      <c r="I119" s="9">
        <f t="shared" si="8"/>
        <v>97.765001215849992</v>
      </c>
      <c r="J119" s="9">
        <f t="shared" si="9"/>
        <v>306.76027550837</v>
      </c>
      <c r="K119" s="9">
        <f t="shared" si="10"/>
        <v>97.765001215849992</v>
      </c>
      <c r="L119" s="10">
        <f t="shared" si="7"/>
        <v>0.31870163453801714</v>
      </c>
      <c r="M119" s="10">
        <f t="shared" si="11"/>
        <v>0.3241597539501419</v>
      </c>
      <c r="P119" s="8">
        <f t="shared" si="12"/>
        <v>-3.0504406610586789</v>
      </c>
      <c r="X119" s="8">
        <v>-13</v>
      </c>
    </row>
    <row r="120" spans="1:24" x14ac:dyDescent="0.2">
      <c r="A120" s="8">
        <v>59</v>
      </c>
      <c r="B120" s="8">
        <v>118</v>
      </c>
      <c r="D120">
        <v>445.88355002827001</v>
      </c>
      <c r="E120">
        <v>215.28321085358999</v>
      </c>
      <c r="F120">
        <v>137.17653631285</v>
      </c>
      <c r="G120">
        <v>116.80167597765001</v>
      </c>
      <c r="I120" s="9">
        <f t="shared" si="8"/>
        <v>98.481534875939985</v>
      </c>
      <c r="J120" s="9">
        <f t="shared" si="9"/>
        <v>308.70701371541998</v>
      </c>
      <c r="K120" s="9">
        <f t="shared" si="10"/>
        <v>98.481534875939985</v>
      </c>
      <c r="L120" s="10">
        <f t="shared" si="7"/>
        <v>0.31901294917362877</v>
      </c>
      <c r="M120" s="10">
        <f t="shared" si="11"/>
        <v>0.32451771917901956</v>
      </c>
      <c r="P120" s="8">
        <f t="shared" si="12"/>
        <v>-2.9433805748652224</v>
      </c>
      <c r="X120" s="8">
        <v>-13</v>
      </c>
    </row>
    <row r="121" spans="1:24" x14ac:dyDescent="0.2">
      <c r="A121" s="8">
        <v>59.5</v>
      </c>
      <c r="B121" s="8">
        <v>119</v>
      </c>
      <c r="D121">
        <v>444.41047297297001</v>
      </c>
      <c r="E121">
        <v>215.46002252252001</v>
      </c>
      <c r="F121">
        <v>137.12625698324001</v>
      </c>
      <c r="G121">
        <v>117.18603351954999</v>
      </c>
      <c r="I121" s="9">
        <f t="shared" si="8"/>
        <v>98.273989002970012</v>
      </c>
      <c r="J121" s="9">
        <f t="shared" si="9"/>
        <v>307.28421598973</v>
      </c>
      <c r="K121" s="9">
        <f t="shared" si="10"/>
        <v>98.273989002970012</v>
      </c>
      <c r="L121" s="10">
        <f t="shared" si="7"/>
        <v>0.31981463377947961</v>
      </c>
      <c r="M121" s="10">
        <f t="shared" si="11"/>
        <v>0.32536605437813643</v>
      </c>
      <c r="P121" s="8">
        <f t="shared" si="12"/>
        <v>-2.6896608495635328</v>
      </c>
      <c r="X121" s="8">
        <v>-13</v>
      </c>
    </row>
    <row r="122" spans="1:24" x14ac:dyDescent="0.2">
      <c r="A122" s="8">
        <v>60</v>
      </c>
      <c r="B122" s="8">
        <v>120</v>
      </c>
      <c r="D122">
        <v>432.50957207207</v>
      </c>
      <c r="E122">
        <v>210.79954954954999</v>
      </c>
      <c r="F122">
        <v>137.64078212291</v>
      </c>
      <c r="G122">
        <v>116.65251396648</v>
      </c>
      <c r="I122" s="9">
        <f t="shared" si="8"/>
        <v>94.147035583069993</v>
      </c>
      <c r="J122" s="9">
        <f t="shared" si="9"/>
        <v>294.86878994916003</v>
      </c>
      <c r="K122" s="9">
        <f t="shared" si="10"/>
        <v>94.147035583069993</v>
      </c>
      <c r="L122" s="10">
        <f t="shared" si="7"/>
        <v>0.31928450481077503</v>
      </c>
      <c r="M122" s="10">
        <f t="shared" si="11"/>
        <v>0.32488257600269782</v>
      </c>
      <c r="P122" s="8">
        <f t="shared" si="12"/>
        <v>-2.8342593534724712</v>
      </c>
      <c r="X122" s="8">
        <v>-13</v>
      </c>
    </row>
    <row r="123" spans="1:24" x14ac:dyDescent="0.2">
      <c r="A123" s="8">
        <v>60.5</v>
      </c>
      <c r="B123" s="8">
        <v>121</v>
      </c>
      <c r="D123">
        <v>436.76487093153997</v>
      </c>
      <c r="E123">
        <v>215.56621773288001</v>
      </c>
      <c r="F123">
        <v>137.30000000000001</v>
      </c>
      <c r="G123">
        <v>117.28826815642999</v>
      </c>
      <c r="I123" s="9">
        <f t="shared" si="8"/>
        <v>98.277949576450013</v>
      </c>
      <c r="J123" s="9">
        <f t="shared" si="9"/>
        <v>299.46487093153996</v>
      </c>
      <c r="K123" s="9">
        <f t="shared" si="10"/>
        <v>98.277949576450013</v>
      </c>
      <c r="L123" s="10">
        <f t="shared" si="7"/>
        <v>0.32817855820864256</v>
      </c>
      <c r="M123" s="10">
        <f t="shared" si="11"/>
        <v>0.33382327999383138</v>
      </c>
      <c r="P123" s="8">
        <f t="shared" si="12"/>
        <v>-0.16027746164998397</v>
      </c>
      <c r="X123" s="8">
        <v>-13</v>
      </c>
    </row>
    <row r="124" spans="1:24" x14ac:dyDescent="0.2">
      <c r="A124" s="8">
        <v>61</v>
      </c>
      <c r="B124" s="8">
        <v>122</v>
      </c>
      <c r="D124">
        <v>443.69428891376998</v>
      </c>
      <c r="E124">
        <v>216.18309070549</v>
      </c>
      <c r="F124">
        <v>137.64245810055999</v>
      </c>
      <c r="G124">
        <v>117.48044692737</v>
      </c>
      <c r="I124" s="9">
        <f t="shared" si="8"/>
        <v>98.702643778120006</v>
      </c>
      <c r="J124" s="9">
        <f t="shared" si="9"/>
        <v>306.05183081321002</v>
      </c>
      <c r="K124" s="9">
        <f t="shared" si="10"/>
        <v>98.702643778120006</v>
      </c>
      <c r="L124" s="10">
        <f t="shared" si="7"/>
        <v>0.32250303327987717</v>
      </c>
      <c r="M124" s="10">
        <f t="shared" si="11"/>
        <v>0.32819440565833202</v>
      </c>
      <c r="P124" s="8">
        <f t="shared" si="12"/>
        <v>-1.8437587690946888</v>
      </c>
      <c r="X124" s="8">
        <v>-13</v>
      </c>
    </row>
    <row r="125" spans="1:24" x14ac:dyDescent="0.2">
      <c r="A125" s="8">
        <v>61.5</v>
      </c>
      <c r="B125" s="8">
        <v>123</v>
      </c>
      <c r="D125">
        <v>455.09331084879</v>
      </c>
      <c r="E125">
        <v>219.33164699269</v>
      </c>
      <c r="F125">
        <v>137.96089385475</v>
      </c>
      <c r="G125">
        <v>117.00726256983</v>
      </c>
      <c r="I125" s="9">
        <f t="shared" si="8"/>
        <v>102.32438442285999</v>
      </c>
      <c r="J125" s="9">
        <f t="shared" si="9"/>
        <v>317.13241699404</v>
      </c>
      <c r="K125" s="9">
        <f t="shared" si="10"/>
        <v>102.32438442285999</v>
      </c>
      <c r="L125" s="10">
        <f t="shared" si="7"/>
        <v>0.32265507699511847</v>
      </c>
      <c r="M125" s="10">
        <f t="shared" si="11"/>
        <v>0.32839309996683935</v>
      </c>
      <c r="P125" s="8">
        <f t="shared" si="12"/>
        <v>-1.7843333610413989</v>
      </c>
      <c r="X125" s="8">
        <v>-13</v>
      </c>
    </row>
    <row r="126" spans="1:24" x14ac:dyDescent="0.2">
      <c r="A126" s="8">
        <v>62</v>
      </c>
      <c r="B126" s="8">
        <v>124</v>
      </c>
      <c r="D126">
        <v>454.29173693086</v>
      </c>
      <c r="E126">
        <v>218.39685216414</v>
      </c>
      <c r="F126">
        <v>137.59162011173001</v>
      </c>
      <c r="G126">
        <v>116.83910614525</v>
      </c>
      <c r="I126" s="9">
        <f t="shared" si="8"/>
        <v>101.55774601889</v>
      </c>
      <c r="J126" s="9">
        <f t="shared" si="9"/>
        <v>316.70011681913002</v>
      </c>
      <c r="K126" s="9">
        <f t="shared" si="10"/>
        <v>101.55774601889</v>
      </c>
      <c r="L126" s="10">
        <f t="shared" si="7"/>
        <v>0.32067479809895505</v>
      </c>
      <c r="M126" s="10">
        <f t="shared" si="11"/>
        <v>0.32645947166394196</v>
      </c>
      <c r="P126" s="8">
        <f t="shared" si="12"/>
        <v>-2.362642079526053</v>
      </c>
      <c r="X126" s="8">
        <v>-13</v>
      </c>
    </row>
    <row r="127" spans="1:24" x14ac:dyDescent="0.2">
      <c r="A127" s="8">
        <v>62.5</v>
      </c>
      <c r="B127" s="8">
        <v>125</v>
      </c>
      <c r="D127">
        <v>456.44688026981999</v>
      </c>
      <c r="E127">
        <v>219.47048903878999</v>
      </c>
      <c r="F127">
        <v>137.87597765363</v>
      </c>
      <c r="G127">
        <v>117.20893854749001</v>
      </c>
      <c r="I127" s="9">
        <f t="shared" si="8"/>
        <v>102.26155049129999</v>
      </c>
      <c r="J127" s="9">
        <f t="shared" si="9"/>
        <v>318.57090261618998</v>
      </c>
      <c r="K127" s="9">
        <f t="shared" si="10"/>
        <v>102.26155049129999</v>
      </c>
      <c r="L127" s="10">
        <f t="shared" si="7"/>
        <v>0.32100091267438619</v>
      </c>
      <c r="M127" s="10">
        <f t="shared" si="11"/>
        <v>0.32683223683263912</v>
      </c>
      <c r="P127" s="8">
        <f t="shared" si="12"/>
        <v>-2.2511556337174388</v>
      </c>
      <c r="X127" s="8">
        <v>-13</v>
      </c>
    </row>
    <row r="128" spans="1:24" x14ac:dyDescent="0.2">
      <c r="A128" s="8">
        <v>63</v>
      </c>
      <c r="B128" s="8">
        <v>126</v>
      </c>
      <c r="D128">
        <v>448.11959573272998</v>
      </c>
      <c r="E128">
        <v>217.39584503088</v>
      </c>
      <c r="F128">
        <v>138.03519553072999</v>
      </c>
      <c r="G128">
        <v>117.11229050279</v>
      </c>
      <c r="I128" s="9">
        <f t="shared" si="8"/>
        <v>100.28355452808999</v>
      </c>
      <c r="J128" s="9">
        <f t="shared" si="9"/>
        <v>310.08440020199998</v>
      </c>
      <c r="K128" s="9">
        <f t="shared" si="10"/>
        <v>100.28355452808999</v>
      </c>
      <c r="L128" s="10">
        <f t="shared" si="7"/>
        <v>0.32340728673471392</v>
      </c>
      <c r="M128" s="10">
        <f t="shared" si="11"/>
        <v>0.32928526148623288</v>
      </c>
      <c r="P128" s="8">
        <f t="shared" si="12"/>
        <v>-1.5175060787820884</v>
      </c>
      <c r="X128" s="8">
        <v>-13</v>
      </c>
    </row>
    <row r="129" spans="1:24" x14ac:dyDescent="0.2">
      <c r="A129" s="8">
        <v>63.5</v>
      </c>
      <c r="B129" s="8">
        <v>127</v>
      </c>
      <c r="D129">
        <v>439.30151600225003</v>
      </c>
      <c r="E129">
        <v>215.69623806850001</v>
      </c>
      <c r="F129">
        <v>138.09273743016999</v>
      </c>
      <c r="G129">
        <v>117.07932960894</v>
      </c>
      <c r="I129" s="9">
        <f t="shared" si="8"/>
        <v>98.616908459560008</v>
      </c>
      <c r="J129" s="9">
        <f t="shared" si="9"/>
        <v>301.20877857208006</v>
      </c>
      <c r="K129" s="9">
        <f t="shared" si="10"/>
        <v>98.616908459560008</v>
      </c>
      <c r="L129" s="10">
        <f t="shared" si="7"/>
        <v>0.32740383240842602</v>
      </c>
      <c r="M129" s="10">
        <f t="shared" si="11"/>
        <v>0.33332845775321102</v>
      </c>
      <c r="P129" s="8">
        <f t="shared" si="12"/>
        <v>-0.30826868386269063</v>
      </c>
      <c r="X129" s="8">
        <v>-13</v>
      </c>
    </row>
    <row r="130" spans="1:24" x14ac:dyDescent="0.2">
      <c r="A130" s="8">
        <v>64</v>
      </c>
      <c r="B130" s="8">
        <v>128</v>
      </c>
      <c r="D130">
        <v>447.93370786516999</v>
      </c>
      <c r="E130">
        <v>217.03426966292</v>
      </c>
      <c r="F130">
        <v>138.15698324022</v>
      </c>
      <c r="G130">
        <v>116.83910614525</v>
      </c>
      <c r="I130" s="9">
        <f t="shared" si="8"/>
        <v>100.19516351767</v>
      </c>
      <c r="J130" s="9">
        <f t="shared" si="9"/>
        <v>309.77672462495002</v>
      </c>
      <c r="K130" s="9">
        <f t="shared" si="10"/>
        <v>100.19516351767</v>
      </c>
      <c r="L130" s="10">
        <f t="shared" ref="L130:L193" si="14">K130/J130</f>
        <v>0.32344316261648565</v>
      </c>
      <c r="M130" s="10">
        <f t="shared" si="11"/>
        <v>0.32941443855453667</v>
      </c>
      <c r="P130" s="8">
        <f t="shared" si="12"/>
        <v>-1.4788718569327135</v>
      </c>
      <c r="X130" s="8">
        <v>-13</v>
      </c>
    </row>
    <row r="131" spans="1:24" x14ac:dyDescent="0.2">
      <c r="A131" s="8">
        <v>64.5</v>
      </c>
      <c r="B131" s="8">
        <v>129</v>
      </c>
      <c r="D131">
        <v>443.29652466367997</v>
      </c>
      <c r="E131">
        <v>216.64966367713001</v>
      </c>
      <c r="F131">
        <v>138.18212290503001</v>
      </c>
      <c r="G131">
        <v>117.05474860335001</v>
      </c>
      <c r="I131" s="9">
        <f t="shared" ref="I131:I194" si="15">E131-G131</f>
        <v>99.594915073780001</v>
      </c>
      <c r="J131" s="9">
        <f t="shared" ref="J131:J194" si="16">D131-F131</f>
        <v>305.11440175864993</v>
      </c>
      <c r="K131" s="9">
        <f t="shared" ref="K131:K194" si="17">I131*1</f>
        <v>99.594915073780001</v>
      </c>
      <c r="L131" s="10">
        <f t="shared" si="14"/>
        <v>0.32641826967106286</v>
      </c>
      <c r="M131" s="10">
        <f t="shared" ref="M131:M181" si="18">L131+ABS($N$2)*A131</f>
        <v>0.33243619620237991</v>
      </c>
      <c r="P131" s="8">
        <f t="shared" ref="P131:P194" si="19">(M131-$O$2)/$O$2*100</f>
        <v>-0.57512588348118898</v>
      </c>
      <c r="X131" s="8">
        <v>-13</v>
      </c>
    </row>
    <row r="132" spans="1:24" x14ac:dyDescent="0.2">
      <c r="A132" s="8">
        <v>65</v>
      </c>
      <c r="B132" s="8">
        <v>130</v>
      </c>
      <c r="D132">
        <v>439.88901345291998</v>
      </c>
      <c r="E132">
        <v>214.88957399103001</v>
      </c>
      <c r="F132">
        <v>137.53519553072999</v>
      </c>
      <c r="G132">
        <v>117.2592178771</v>
      </c>
      <c r="I132" s="9">
        <f t="shared" si="15"/>
        <v>97.630356113930006</v>
      </c>
      <c r="J132" s="9">
        <f t="shared" si="16"/>
        <v>302.35381792218999</v>
      </c>
      <c r="K132" s="9">
        <f t="shared" si="17"/>
        <v>97.630356113930006</v>
      </c>
      <c r="L132" s="10">
        <f t="shared" si="14"/>
        <v>0.32290101968897555</v>
      </c>
      <c r="M132" s="10">
        <f t="shared" si="18"/>
        <v>0.32896559681355858</v>
      </c>
      <c r="P132" s="8">
        <f t="shared" si="19"/>
        <v>-1.6131112511526449</v>
      </c>
      <c r="X132" s="8">
        <v>-13</v>
      </c>
    </row>
    <row r="133" spans="1:24" x14ac:dyDescent="0.2">
      <c r="A133" s="8">
        <v>65.5</v>
      </c>
      <c r="B133" s="8">
        <v>131</v>
      </c>
      <c r="D133">
        <v>440.24254361282999</v>
      </c>
      <c r="E133">
        <v>217.1530669668</v>
      </c>
      <c r="F133">
        <v>137.86983240224001</v>
      </c>
      <c r="G133">
        <v>117.38100558659001</v>
      </c>
      <c r="I133" s="9">
        <f t="shared" si="15"/>
        <v>99.77206138020999</v>
      </c>
      <c r="J133" s="9">
        <f t="shared" si="16"/>
        <v>302.37271121058996</v>
      </c>
      <c r="K133" s="9">
        <f t="shared" si="17"/>
        <v>99.77206138020999</v>
      </c>
      <c r="L133" s="10">
        <f t="shared" si="14"/>
        <v>0.32996384158067399</v>
      </c>
      <c r="M133" s="10">
        <f t="shared" si="18"/>
        <v>0.33607506929852304</v>
      </c>
      <c r="P133" s="8">
        <f t="shared" si="19"/>
        <v>0.5131867119672493</v>
      </c>
      <c r="X133" s="8">
        <v>-13</v>
      </c>
    </row>
    <row r="134" spans="1:24" x14ac:dyDescent="0.2">
      <c r="A134" s="8">
        <v>66</v>
      </c>
      <c r="B134" s="8">
        <v>132</v>
      </c>
      <c r="D134">
        <v>431.47045582442001</v>
      </c>
      <c r="E134">
        <v>216.13731007315999</v>
      </c>
      <c r="F134">
        <v>138.10726256983</v>
      </c>
      <c r="G134">
        <v>117.22122905028</v>
      </c>
      <c r="I134" s="9">
        <f t="shared" si="15"/>
        <v>98.916081022879993</v>
      </c>
      <c r="J134" s="9">
        <f t="shared" si="16"/>
        <v>293.36319325458999</v>
      </c>
      <c r="K134" s="9">
        <f t="shared" si="17"/>
        <v>98.916081022879993</v>
      </c>
      <c r="L134" s="10">
        <f t="shared" si="14"/>
        <v>0.33717958931895536</v>
      </c>
      <c r="M134" s="10">
        <f t="shared" si="18"/>
        <v>0.34333746763007045</v>
      </c>
      <c r="P134" s="8">
        <f t="shared" si="19"/>
        <v>2.6852216712968304</v>
      </c>
      <c r="X134" s="8">
        <v>-13</v>
      </c>
    </row>
    <row r="135" spans="1:24" x14ac:dyDescent="0.2">
      <c r="A135" s="8">
        <v>66.5</v>
      </c>
      <c r="B135" s="8">
        <v>133</v>
      </c>
      <c r="D135">
        <v>451.59742441208999</v>
      </c>
      <c r="E135">
        <v>220.35834266517</v>
      </c>
      <c r="F135">
        <v>138.01955307263</v>
      </c>
      <c r="G135">
        <v>117.35865921788</v>
      </c>
      <c r="I135" s="9">
        <f t="shared" si="15"/>
        <v>102.99968344729</v>
      </c>
      <c r="J135" s="9">
        <f t="shared" si="16"/>
        <v>313.57787133945999</v>
      </c>
      <c r="K135" s="9">
        <f t="shared" si="17"/>
        <v>102.99968344729</v>
      </c>
      <c r="L135" s="10">
        <f t="shared" si="14"/>
        <v>0.32846604579373817</v>
      </c>
      <c r="M135" s="10">
        <f t="shared" si="18"/>
        <v>0.33467057469811928</v>
      </c>
      <c r="P135" s="8">
        <f t="shared" si="19"/>
        <v>9.3131072907225054E-2</v>
      </c>
      <c r="X135" s="8">
        <v>-13</v>
      </c>
    </row>
    <row r="136" spans="1:24" x14ac:dyDescent="0.2">
      <c r="A136" s="8">
        <v>67</v>
      </c>
      <c r="B136" s="8">
        <v>134</v>
      </c>
      <c r="D136">
        <v>450.47984322508</v>
      </c>
      <c r="E136">
        <v>219.97088465845999</v>
      </c>
      <c r="F136">
        <v>138.29944134077999</v>
      </c>
      <c r="G136">
        <v>116.8905027933</v>
      </c>
      <c r="I136" s="9">
        <f t="shared" si="15"/>
        <v>103.08038186515999</v>
      </c>
      <c r="J136" s="9">
        <f t="shared" si="16"/>
        <v>312.18040188430001</v>
      </c>
      <c r="K136" s="9">
        <f t="shared" si="17"/>
        <v>103.08038186515999</v>
      </c>
      <c r="L136" s="10">
        <f t="shared" si="14"/>
        <v>0.33019491692295128</v>
      </c>
      <c r="M136" s="10">
        <f t="shared" si="18"/>
        <v>0.33644609642059842</v>
      </c>
      <c r="P136" s="8">
        <f t="shared" si="19"/>
        <v>0.62415334354217222</v>
      </c>
      <c r="X136" s="8">
        <v>-13</v>
      </c>
    </row>
    <row r="137" spans="1:24" x14ac:dyDescent="0.2">
      <c r="A137" s="8">
        <v>67.5</v>
      </c>
      <c r="B137" s="8">
        <v>135</v>
      </c>
      <c r="D137">
        <v>454.33652762119999</v>
      </c>
      <c r="E137">
        <v>217.79481397971</v>
      </c>
      <c r="F137">
        <v>137.94581005587</v>
      </c>
      <c r="G137">
        <v>117.42402234636999</v>
      </c>
      <c r="I137" s="9">
        <f t="shared" si="15"/>
        <v>100.37079163334</v>
      </c>
      <c r="J137" s="9">
        <f t="shared" si="16"/>
        <v>316.39071756532996</v>
      </c>
      <c r="K137" s="9">
        <f t="shared" si="17"/>
        <v>100.37079163334</v>
      </c>
      <c r="L137" s="10">
        <f t="shared" si="14"/>
        <v>0.3172368405928816</v>
      </c>
      <c r="M137" s="10">
        <f t="shared" si="18"/>
        <v>0.32353467068379477</v>
      </c>
      <c r="P137" s="8">
        <f t="shared" si="19"/>
        <v>-3.2373902946391078</v>
      </c>
      <c r="X137" s="8">
        <v>-13</v>
      </c>
    </row>
    <row r="138" spans="1:24" x14ac:dyDescent="0.2">
      <c r="A138" s="8">
        <v>68</v>
      </c>
      <c r="B138" s="8">
        <v>136</v>
      </c>
      <c r="D138">
        <v>451.65783540023</v>
      </c>
      <c r="E138">
        <v>215.74464487034999</v>
      </c>
      <c r="F138">
        <v>137.9592178771</v>
      </c>
      <c r="G138">
        <v>117.35586592179</v>
      </c>
      <c r="I138" s="9">
        <f t="shared" si="15"/>
        <v>98.388778948559988</v>
      </c>
      <c r="J138" s="9">
        <f t="shared" si="16"/>
        <v>313.69861752313</v>
      </c>
      <c r="K138" s="9">
        <f t="shared" si="17"/>
        <v>98.388778948559988</v>
      </c>
      <c r="L138" s="10">
        <f t="shared" si="14"/>
        <v>0.31364109834276038</v>
      </c>
      <c r="M138" s="10">
        <f t="shared" si="18"/>
        <v>0.31998557902693958</v>
      </c>
      <c r="P138" s="8">
        <f t="shared" si="19"/>
        <v>-4.2988510959653139</v>
      </c>
      <c r="X138" s="8">
        <v>-13</v>
      </c>
    </row>
    <row r="139" spans="1:24" x14ac:dyDescent="0.2">
      <c r="A139" s="8">
        <v>68.5</v>
      </c>
      <c r="B139" s="8">
        <v>137</v>
      </c>
      <c r="D139">
        <v>453.54904171364001</v>
      </c>
      <c r="E139">
        <v>216.06144306652001</v>
      </c>
      <c r="F139">
        <v>138.02849162011</v>
      </c>
      <c r="G139">
        <v>117.39720670391</v>
      </c>
      <c r="I139" s="9">
        <f t="shared" si="15"/>
        <v>98.664236362610012</v>
      </c>
      <c r="J139" s="9">
        <f t="shared" si="16"/>
        <v>315.52055009353001</v>
      </c>
      <c r="K139" s="9">
        <f t="shared" si="17"/>
        <v>98.664236362610012</v>
      </c>
      <c r="L139" s="10">
        <f t="shared" si="14"/>
        <v>0.31270304369513457</v>
      </c>
      <c r="M139" s="10">
        <f t="shared" si="18"/>
        <v>0.3190941749725798</v>
      </c>
      <c r="P139" s="8">
        <f t="shared" si="19"/>
        <v>-4.5654518359091707</v>
      </c>
      <c r="X139" s="8">
        <v>-13</v>
      </c>
    </row>
    <row r="140" spans="1:24" x14ac:dyDescent="0.2">
      <c r="A140" s="8">
        <v>69</v>
      </c>
      <c r="B140" s="8">
        <v>138</v>
      </c>
      <c r="D140">
        <v>454.29143179255999</v>
      </c>
      <c r="E140">
        <v>215.86133032695</v>
      </c>
      <c r="F140">
        <v>138.19776536313</v>
      </c>
      <c r="G140">
        <v>117.40335195531</v>
      </c>
      <c r="I140" s="9">
        <f t="shared" si="15"/>
        <v>98.457978371639996</v>
      </c>
      <c r="J140" s="9">
        <f t="shared" si="16"/>
        <v>316.09366642942996</v>
      </c>
      <c r="K140" s="9">
        <f t="shared" si="17"/>
        <v>98.457978371639996</v>
      </c>
      <c r="L140" s="10">
        <f t="shared" si="14"/>
        <v>0.3114835532258961</v>
      </c>
      <c r="M140" s="10">
        <f t="shared" si="18"/>
        <v>0.31792133509660736</v>
      </c>
      <c r="P140" s="8">
        <f t="shared" si="19"/>
        <v>-4.9162242799435267</v>
      </c>
      <c r="X140" s="8">
        <v>-13</v>
      </c>
    </row>
    <row r="141" spans="1:24" x14ac:dyDescent="0.2">
      <c r="A141" s="8">
        <v>69.5</v>
      </c>
      <c r="B141" s="8">
        <v>139</v>
      </c>
      <c r="D141">
        <v>451.32</v>
      </c>
      <c r="E141">
        <v>217.46816901408999</v>
      </c>
      <c r="F141">
        <v>138.63184357541999</v>
      </c>
      <c r="G141">
        <v>117.12346368714999</v>
      </c>
      <c r="I141" s="9">
        <f t="shared" si="15"/>
        <v>100.34470532694</v>
      </c>
      <c r="J141" s="9">
        <f t="shared" si="16"/>
        <v>312.68815642458003</v>
      </c>
      <c r="K141" s="9">
        <f t="shared" si="17"/>
        <v>100.34470532694</v>
      </c>
      <c r="L141" s="10">
        <f t="shared" si="14"/>
        <v>0.32090983705403953</v>
      </c>
      <c r="M141" s="10">
        <f t="shared" si="18"/>
        <v>0.32739426951801681</v>
      </c>
      <c r="P141" s="8">
        <f t="shared" si="19"/>
        <v>-2.0830631406875062</v>
      </c>
      <c r="X141" s="8">
        <v>-13</v>
      </c>
    </row>
    <row r="142" spans="1:24" x14ac:dyDescent="0.2">
      <c r="A142" s="8">
        <v>70</v>
      </c>
      <c r="B142" s="8">
        <v>140</v>
      </c>
      <c r="D142">
        <v>438.47731092436999</v>
      </c>
      <c r="E142">
        <v>214.29467787114999</v>
      </c>
      <c r="F142">
        <v>138.89385474860001</v>
      </c>
      <c r="G142">
        <v>117.46033519553001</v>
      </c>
      <c r="I142" s="9">
        <f t="shared" si="15"/>
        <v>96.834342675619979</v>
      </c>
      <c r="J142" s="9">
        <f t="shared" si="16"/>
        <v>299.58345617576998</v>
      </c>
      <c r="K142" s="9">
        <f t="shared" si="17"/>
        <v>96.834342675619979</v>
      </c>
      <c r="L142" s="10">
        <f t="shared" si="14"/>
        <v>0.32322994037029151</v>
      </c>
      <c r="M142" s="10">
        <f t="shared" si="18"/>
        <v>0.32976102342753477</v>
      </c>
      <c r="P142" s="8">
        <f t="shared" si="19"/>
        <v>-1.3752154026651768</v>
      </c>
      <c r="X142" s="8">
        <v>-13</v>
      </c>
    </row>
    <row r="143" spans="1:24" x14ac:dyDescent="0.2">
      <c r="A143" s="8">
        <v>70.5</v>
      </c>
      <c r="B143" s="8">
        <v>141</v>
      </c>
      <c r="D143">
        <v>436.69915966386998</v>
      </c>
      <c r="E143">
        <v>213.50756302521</v>
      </c>
      <c r="F143">
        <v>138.28826815643001</v>
      </c>
      <c r="G143">
        <v>117.33798882681999</v>
      </c>
      <c r="I143" s="9">
        <f t="shared" si="15"/>
        <v>96.169574198390009</v>
      </c>
      <c r="J143" s="9">
        <f t="shared" si="16"/>
        <v>298.41089150743994</v>
      </c>
      <c r="K143" s="9">
        <f t="shared" si="17"/>
        <v>96.169574198390009</v>
      </c>
      <c r="L143" s="10">
        <f t="shared" si="14"/>
        <v>0.32227233299891911</v>
      </c>
      <c r="M143" s="10">
        <f t="shared" si="18"/>
        <v>0.3288500666494284</v>
      </c>
      <c r="P143" s="8">
        <f t="shared" si="19"/>
        <v>-1.6476639627903138</v>
      </c>
      <c r="X143" s="8">
        <v>-13</v>
      </c>
    </row>
    <row r="144" spans="1:24" x14ac:dyDescent="0.2">
      <c r="A144" s="8">
        <v>71</v>
      </c>
      <c r="B144" s="8">
        <v>142</v>
      </c>
      <c r="D144">
        <v>440.45877734155999</v>
      </c>
      <c r="E144">
        <v>211.47728547392001</v>
      </c>
      <c r="F144">
        <v>138.08770949721</v>
      </c>
      <c r="G144">
        <v>117.50335195530999</v>
      </c>
      <c r="I144" s="9">
        <f t="shared" si="15"/>
        <v>93.973933518610011</v>
      </c>
      <c r="J144" s="9">
        <f t="shared" si="16"/>
        <v>302.37106784435002</v>
      </c>
      <c r="K144" s="9">
        <f t="shared" si="17"/>
        <v>93.973933518610011</v>
      </c>
      <c r="L144" s="10">
        <f t="shared" si="14"/>
        <v>0.31079009704388938</v>
      </c>
      <c r="M144" s="10">
        <f t="shared" si="18"/>
        <v>0.3174144812876647</v>
      </c>
      <c r="P144" s="8">
        <f t="shared" si="19"/>
        <v>-5.0678138984185379</v>
      </c>
    </row>
    <row r="145" spans="1:16" x14ac:dyDescent="0.2">
      <c r="A145" s="8">
        <v>71.5</v>
      </c>
      <c r="B145" s="8">
        <v>143</v>
      </c>
      <c r="D145">
        <v>445.32585530006003</v>
      </c>
      <c r="E145">
        <v>214.22770611329</v>
      </c>
      <c r="F145">
        <v>138.40726256983001</v>
      </c>
      <c r="G145">
        <v>117.75027932961</v>
      </c>
      <c r="I145" s="9">
        <f t="shared" si="15"/>
        <v>96.477426783680002</v>
      </c>
      <c r="J145" s="9">
        <f t="shared" si="16"/>
        <v>306.91859273022999</v>
      </c>
      <c r="K145" s="9">
        <f t="shared" si="17"/>
        <v>96.477426783680002</v>
      </c>
      <c r="L145" s="10">
        <f t="shared" si="14"/>
        <v>0.31434207333434527</v>
      </c>
      <c r="M145" s="10">
        <f t="shared" si="18"/>
        <v>0.32101310817138662</v>
      </c>
      <c r="P145" s="8">
        <f t="shared" si="19"/>
        <v>-3.991538122815101</v>
      </c>
    </row>
    <row r="146" spans="1:16" x14ac:dyDescent="0.2">
      <c r="A146" s="8">
        <v>72</v>
      </c>
      <c r="B146" s="8">
        <v>144</v>
      </c>
      <c r="D146">
        <v>440.25855300056003</v>
      </c>
      <c r="E146">
        <v>213.22321929333</v>
      </c>
      <c r="F146">
        <v>138.13798882681999</v>
      </c>
      <c r="G146">
        <v>117.49720670391</v>
      </c>
      <c r="I146" s="9">
        <f t="shared" si="15"/>
        <v>95.726012589420009</v>
      </c>
      <c r="J146" s="9">
        <f t="shared" si="16"/>
        <v>302.12056417374004</v>
      </c>
      <c r="K146" s="9">
        <f t="shared" si="17"/>
        <v>95.726012589420009</v>
      </c>
      <c r="L146" s="10">
        <f t="shared" si="14"/>
        <v>0.31684706021656633</v>
      </c>
      <c r="M146" s="10">
        <f t="shared" si="18"/>
        <v>0.32356474564687371</v>
      </c>
      <c r="P146" s="8">
        <f t="shared" si="19"/>
        <v>-3.2283954876585761</v>
      </c>
    </row>
    <row r="147" spans="1:16" x14ac:dyDescent="0.2">
      <c r="A147" s="8">
        <v>72.5</v>
      </c>
      <c r="B147" s="8">
        <v>145</v>
      </c>
      <c r="D147">
        <v>440.59450364553999</v>
      </c>
      <c r="E147">
        <v>211.02523836231001</v>
      </c>
      <c r="F147">
        <v>138.10893854749</v>
      </c>
      <c r="G147">
        <v>117.50167597765</v>
      </c>
      <c r="I147" s="9">
        <f t="shared" si="15"/>
        <v>93.523562384660011</v>
      </c>
      <c r="J147" s="9">
        <f t="shared" si="16"/>
        <v>302.48556509804996</v>
      </c>
      <c r="K147" s="9">
        <f t="shared" si="17"/>
        <v>93.523562384660011</v>
      </c>
      <c r="L147" s="10">
        <f t="shared" si="14"/>
        <v>0.30918355510400825</v>
      </c>
      <c r="M147" s="10">
        <f t="shared" si="18"/>
        <v>0.31594789112758165</v>
      </c>
      <c r="P147" s="8">
        <f t="shared" si="19"/>
        <v>-5.5064410506736809</v>
      </c>
    </row>
    <row r="148" spans="1:16" x14ac:dyDescent="0.2">
      <c r="A148" s="8">
        <v>73</v>
      </c>
      <c r="B148" s="8">
        <v>146</v>
      </c>
      <c r="D148">
        <v>453.32433951657998</v>
      </c>
      <c r="E148">
        <v>218.90893760540001</v>
      </c>
      <c r="F148">
        <v>138.38379888268</v>
      </c>
      <c r="G148">
        <v>117.28547486034</v>
      </c>
      <c r="I148" s="9">
        <f t="shared" si="15"/>
        <v>101.62346274506001</v>
      </c>
      <c r="J148" s="9">
        <f t="shared" si="16"/>
        <v>314.94054063390001</v>
      </c>
      <c r="K148" s="9">
        <f t="shared" si="17"/>
        <v>101.62346274506001</v>
      </c>
      <c r="L148" s="10">
        <f t="shared" si="14"/>
        <v>0.32267507555717112</v>
      </c>
      <c r="M148" s="10">
        <f t="shared" si="18"/>
        <v>0.32948606217401055</v>
      </c>
      <c r="P148" s="8">
        <f t="shared" si="19"/>
        <v>-1.4574506957255118</v>
      </c>
    </row>
    <row r="149" spans="1:16" x14ac:dyDescent="0.2">
      <c r="A149" s="8">
        <v>73.5</v>
      </c>
      <c r="B149" s="8">
        <v>147</v>
      </c>
      <c r="D149">
        <v>453.57953906688999</v>
      </c>
      <c r="E149">
        <v>218.25407532322001</v>
      </c>
      <c r="F149">
        <v>138.64860335195999</v>
      </c>
      <c r="G149">
        <v>117.60837988826999</v>
      </c>
      <c r="I149" s="9">
        <f t="shared" si="15"/>
        <v>100.64569543495001</v>
      </c>
      <c r="J149" s="9">
        <f t="shared" si="16"/>
        <v>314.93093571493</v>
      </c>
      <c r="K149" s="9">
        <f t="shared" si="17"/>
        <v>100.64569543495001</v>
      </c>
      <c r="L149" s="10">
        <f t="shared" si="14"/>
        <v>0.31958021274243043</v>
      </c>
      <c r="M149" s="10">
        <f t="shared" si="18"/>
        <v>0.32643784995253589</v>
      </c>
      <c r="P149" s="8">
        <f t="shared" si="19"/>
        <v>-2.3691086916437771</v>
      </c>
    </row>
    <row r="150" spans="1:16" x14ac:dyDescent="0.2">
      <c r="A150" s="8">
        <v>74</v>
      </c>
      <c r="B150" s="8">
        <v>148</v>
      </c>
      <c r="D150">
        <v>450.57995495495999</v>
      </c>
      <c r="E150">
        <v>215.50844594595</v>
      </c>
      <c r="F150">
        <v>138.43687150837999</v>
      </c>
      <c r="G150">
        <v>117.24581005587</v>
      </c>
      <c r="I150" s="9">
        <f t="shared" si="15"/>
        <v>98.262635890080006</v>
      </c>
      <c r="J150" s="9">
        <f t="shared" si="16"/>
        <v>312.14308344658002</v>
      </c>
      <c r="K150" s="9">
        <f t="shared" si="17"/>
        <v>98.262635890080006</v>
      </c>
      <c r="L150" s="10">
        <f t="shared" si="14"/>
        <v>0.31479997828270512</v>
      </c>
      <c r="M150" s="10">
        <f t="shared" si="18"/>
        <v>0.32170426608607661</v>
      </c>
      <c r="P150" s="8">
        <f t="shared" si="19"/>
        <v>-3.7848269119190001</v>
      </c>
    </row>
    <row r="151" spans="1:16" x14ac:dyDescent="0.2">
      <c r="A151" s="8">
        <v>74.5</v>
      </c>
      <c r="B151" s="8">
        <v>149</v>
      </c>
      <c r="D151">
        <v>445.47522522523002</v>
      </c>
      <c r="E151">
        <v>213.65371621622</v>
      </c>
      <c r="F151">
        <v>138.28379888268</v>
      </c>
      <c r="G151">
        <v>117.39944134078</v>
      </c>
      <c r="I151" s="9">
        <f t="shared" si="15"/>
        <v>96.254274875440004</v>
      </c>
      <c r="J151" s="9">
        <f t="shared" si="16"/>
        <v>307.19142634255002</v>
      </c>
      <c r="K151" s="9">
        <f t="shared" si="17"/>
        <v>96.254274875440004</v>
      </c>
      <c r="L151" s="10">
        <f t="shared" si="14"/>
        <v>0.31333646261372733</v>
      </c>
      <c r="M151" s="10">
        <f t="shared" si="18"/>
        <v>0.32028740101036485</v>
      </c>
      <c r="P151" s="8">
        <f t="shared" si="19"/>
        <v>-4.2085823073963748</v>
      </c>
    </row>
    <row r="152" spans="1:16" x14ac:dyDescent="0.2">
      <c r="A152" s="8">
        <v>75</v>
      </c>
      <c r="B152" s="8">
        <v>150</v>
      </c>
      <c r="D152">
        <v>442.32306830906998</v>
      </c>
      <c r="E152">
        <v>216.73236282195001</v>
      </c>
      <c r="F152">
        <v>138.33351955307</v>
      </c>
      <c r="G152">
        <v>117.41620111732</v>
      </c>
      <c r="I152" s="9">
        <f t="shared" si="15"/>
        <v>99.316161704630005</v>
      </c>
      <c r="J152" s="9">
        <f t="shared" si="16"/>
        <v>303.98954875599998</v>
      </c>
      <c r="K152" s="9">
        <f t="shared" si="17"/>
        <v>99.316161704630005</v>
      </c>
      <c r="L152" s="10">
        <f t="shared" si="14"/>
        <v>0.3267091323075289</v>
      </c>
      <c r="M152" s="10">
        <f t="shared" si="18"/>
        <v>0.33370672129743245</v>
      </c>
      <c r="P152" s="8">
        <f t="shared" si="19"/>
        <v>-0.19513778627478462</v>
      </c>
    </row>
    <row r="153" spans="1:16" x14ac:dyDescent="0.2">
      <c r="A153" s="8">
        <v>75.5</v>
      </c>
      <c r="B153" s="8">
        <v>151</v>
      </c>
      <c r="D153">
        <v>438.66591549295998</v>
      </c>
      <c r="E153">
        <v>215.35267605633999</v>
      </c>
      <c r="F153">
        <v>138.12234636872</v>
      </c>
      <c r="G153">
        <v>117.56592178771</v>
      </c>
      <c r="I153" s="9">
        <f t="shared" si="15"/>
        <v>97.786754268629991</v>
      </c>
      <c r="J153" s="9">
        <f t="shared" si="16"/>
        <v>300.54356912423998</v>
      </c>
      <c r="K153" s="9">
        <f t="shared" si="17"/>
        <v>97.786754268629991</v>
      </c>
      <c r="L153" s="10">
        <f t="shared" si="14"/>
        <v>0.32536631728162679</v>
      </c>
      <c r="M153" s="10">
        <f t="shared" si="18"/>
        <v>0.33241055686479631</v>
      </c>
      <c r="P153" s="8">
        <f t="shared" si="19"/>
        <v>-0.58279408550251122</v>
      </c>
    </row>
    <row r="154" spans="1:16" x14ac:dyDescent="0.2">
      <c r="A154" s="8">
        <v>76</v>
      </c>
      <c r="B154" s="8">
        <v>152</v>
      </c>
      <c r="D154">
        <v>436.76507042254002</v>
      </c>
      <c r="E154">
        <v>215.99267605634</v>
      </c>
      <c r="F154">
        <v>138.51005586592001</v>
      </c>
      <c r="G154">
        <v>117.10446927373999</v>
      </c>
      <c r="I154" s="9">
        <f t="shared" si="15"/>
        <v>98.888206782600008</v>
      </c>
      <c r="J154" s="9">
        <f t="shared" si="16"/>
        <v>298.25501455662004</v>
      </c>
      <c r="K154" s="9">
        <f t="shared" si="17"/>
        <v>98.888206782600008</v>
      </c>
      <c r="L154" s="10">
        <f t="shared" si="14"/>
        <v>0.33155588994741714</v>
      </c>
      <c r="M154" s="10">
        <f t="shared" si="18"/>
        <v>0.33864678012385269</v>
      </c>
      <c r="P154" s="8">
        <f t="shared" si="19"/>
        <v>1.2823328759331873</v>
      </c>
    </row>
    <row r="155" spans="1:16" x14ac:dyDescent="0.2">
      <c r="A155" s="8">
        <v>76.5</v>
      </c>
      <c r="B155" s="8">
        <v>153</v>
      </c>
      <c r="D155">
        <v>435.02591549296</v>
      </c>
      <c r="E155">
        <v>215.01126760563</v>
      </c>
      <c r="F155">
        <v>138.33072625698</v>
      </c>
      <c r="G155">
        <v>117.44245810056</v>
      </c>
      <c r="I155" s="9">
        <f t="shared" si="15"/>
        <v>97.568809505069993</v>
      </c>
      <c r="J155" s="9">
        <f t="shared" si="16"/>
        <v>296.69518923598002</v>
      </c>
      <c r="K155" s="9">
        <f t="shared" si="17"/>
        <v>97.568809505069993</v>
      </c>
      <c r="L155" s="10">
        <f t="shared" si="14"/>
        <v>0.32885201056451069</v>
      </c>
      <c r="M155" s="10">
        <f t="shared" si="18"/>
        <v>0.33598955133421227</v>
      </c>
      <c r="P155" s="8">
        <f t="shared" si="19"/>
        <v>0.48761003610153281</v>
      </c>
    </row>
    <row r="156" spans="1:16" x14ac:dyDescent="0.2">
      <c r="A156" s="8">
        <v>77</v>
      </c>
      <c r="B156" s="8">
        <v>154</v>
      </c>
      <c r="D156">
        <v>433.90366197182999</v>
      </c>
      <c r="E156">
        <v>214.05239436619999</v>
      </c>
      <c r="F156">
        <v>138.10335195530999</v>
      </c>
      <c r="G156">
        <v>117.34692737429999</v>
      </c>
      <c r="I156" s="9">
        <f t="shared" si="15"/>
        <v>96.705466991899996</v>
      </c>
      <c r="J156" s="9">
        <f t="shared" si="16"/>
        <v>295.80031001652003</v>
      </c>
      <c r="K156" s="9">
        <f t="shared" si="17"/>
        <v>96.705466991899996</v>
      </c>
      <c r="L156" s="10">
        <f t="shared" si="14"/>
        <v>0.32692821378888726</v>
      </c>
      <c r="M156" s="10">
        <f t="shared" si="18"/>
        <v>0.33411240515185486</v>
      </c>
      <c r="P156" s="8">
        <f t="shared" si="19"/>
        <v>-7.3806034143625826E-2</v>
      </c>
    </row>
    <row r="157" spans="1:16" x14ac:dyDescent="0.2">
      <c r="A157" s="8">
        <v>77.5</v>
      </c>
      <c r="B157" s="8">
        <v>155</v>
      </c>
      <c r="D157">
        <v>433.83267605634001</v>
      </c>
      <c r="E157">
        <v>214.77352112675999</v>
      </c>
      <c r="F157">
        <v>138.36759776535999</v>
      </c>
      <c r="G157">
        <v>117.26927374301999</v>
      </c>
      <c r="I157" s="9">
        <f t="shared" si="15"/>
        <v>97.504247383739994</v>
      </c>
      <c r="J157" s="9">
        <f t="shared" si="16"/>
        <v>295.46507829098005</v>
      </c>
      <c r="K157" s="9">
        <f t="shared" si="17"/>
        <v>97.504247383739994</v>
      </c>
      <c r="L157" s="10">
        <f t="shared" si="14"/>
        <v>0.33000261129917974</v>
      </c>
      <c r="M157" s="10">
        <f t="shared" si="18"/>
        <v>0.33723345325541337</v>
      </c>
      <c r="P157" s="8">
        <f t="shared" si="19"/>
        <v>0.85963568596014639</v>
      </c>
    </row>
    <row r="158" spans="1:16" x14ac:dyDescent="0.2">
      <c r="A158" s="8">
        <v>78</v>
      </c>
      <c r="B158" s="8">
        <v>156</v>
      </c>
      <c r="D158">
        <v>433.64630044843</v>
      </c>
      <c r="E158">
        <v>215.51401345292001</v>
      </c>
      <c r="F158">
        <v>138.17374301676</v>
      </c>
      <c r="G158">
        <v>117.51340782123</v>
      </c>
      <c r="I158" s="9">
        <f t="shared" si="15"/>
        <v>98.000605631690007</v>
      </c>
      <c r="J158" s="9">
        <f t="shared" si="16"/>
        <v>295.47255743167</v>
      </c>
      <c r="K158" s="9">
        <f t="shared" si="17"/>
        <v>98.000605631690007</v>
      </c>
      <c r="L158" s="10">
        <f t="shared" si="14"/>
        <v>0.3316741374682598</v>
      </c>
      <c r="M158" s="10">
        <f t="shared" si="18"/>
        <v>0.33895163001775946</v>
      </c>
      <c r="P158" s="8">
        <f t="shared" si="19"/>
        <v>1.3735072506624169</v>
      </c>
    </row>
    <row r="159" spans="1:16" x14ac:dyDescent="0.2">
      <c r="A159" s="8">
        <v>78.5</v>
      </c>
      <c r="B159" s="8">
        <v>157</v>
      </c>
      <c r="D159">
        <v>430.02354260089999</v>
      </c>
      <c r="E159">
        <v>214.55156950673</v>
      </c>
      <c r="F159">
        <v>138.04860335196</v>
      </c>
      <c r="G159">
        <v>117.58826815643</v>
      </c>
      <c r="I159" s="9">
        <f t="shared" si="15"/>
        <v>96.9633013503</v>
      </c>
      <c r="J159" s="9">
        <f t="shared" si="16"/>
        <v>291.97493924894002</v>
      </c>
      <c r="K159" s="9">
        <f t="shared" si="17"/>
        <v>96.9633013503</v>
      </c>
      <c r="L159" s="10">
        <f t="shared" si="14"/>
        <v>0.33209460236458294</v>
      </c>
      <c r="M159" s="10">
        <f t="shared" si="18"/>
        <v>0.33941874550734863</v>
      </c>
      <c r="P159" s="8">
        <f t="shared" si="19"/>
        <v>1.5132119497319652</v>
      </c>
    </row>
    <row r="160" spans="1:16" x14ac:dyDescent="0.2">
      <c r="A160" s="8">
        <v>79</v>
      </c>
      <c r="B160" s="8">
        <v>158</v>
      </c>
      <c r="D160">
        <v>429.34753363228998</v>
      </c>
      <c r="E160">
        <v>215.36995515695</v>
      </c>
      <c r="F160">
        <v>138.69497206704</v>
      </c>
      <c r="G160">
        <v>117.18268156425</v>
      </c>
      <c r="I160" s="9">
        <f t="shared" si="15"/>
        <v>98.187273592699995</v>
      </c>
      <c r="J160" s="9">
        <f t="shared" si="16"/>
        <v>290.65256156524998</v>
      </c>
      <c r="K160" s="9">
        <f t="shared" si="17"/>
        <v>98.187273592699995</v>
      </c>
      <c r="L160" s="10">
        <f t="shared" si="14"/>
        <v>0.33781664632141034</v>
      </c>
      <c r="M160" s="10">
        <f t="shared" si="18"/>
        <v>0.34518744005744206</v>
      </c>
      <c r="P160" s="8">
        <f t="shared" si="19"/>
        <v>3.2385106266261081</v>
      </c>
    </row>
    <row r="161" spans="1:16" x14ac:dyDescent="0.2">
      <c r="A161" s="8">
        <v>79.5</v>
      </c>
      <c r="B161" s="8">
        <v>159</v>
      </c>
      <c r="D161">
        <v>435.79540358743998</v>
      </c>
      <c r="E161">
        <v>216.00896860987001</v>
      </c>
      <c r="F161">
        <v>138.51173184358001</v>
      </c>
      <c r="G161">
        <v>117.37597765363</v>
      </c>
      <c r="I161" s="9">
        <f t="shared" si="15"/>
        <v>98.632990956240008</v>
      </c>
      <c r="J161" s="9">
        <f t="shared" si="16"/>
        <v>297.28367174385994</v>
      </c>
      <c r="K161" s="9">
        <f t="shared" si="17"/>
        <v>98.632990956240008</v>
      </c>
      <c r="L161" s="10">
        <f t="shared" si="14"/>
        <v>0.33178072101189043</v>
      </c>
      <c r="M161" s="10">
        <f t="shared" si="18"/>
        <v>0.33919816534118818</v>
      </c>
      <c r="P161" s="8">
        <f t="shared" si="19"/>
        <v>1.4472409288153627</v>
      </c>
    </row>
    <row r="162" spans="1:16" x14ac:dyDescent="0.2">
      <c r="A162" s="8">
        <v>80</v>
      </c>
      <c r="B162" s="4">
        <v>160</v>
      </c>
      <c r="C162" s="4" t="s">
        <v>6</v>
      </c>
      <c r="D162">
        <v>437.02186098655</v>
      </c>
      <c r="E162">
        <v>215.37163677129999</v>
      </c>
      <c r="F162">
        <v>138.16256983240001</v>
      </c>
      <c r="G162">
        <v>117.63854748603001</v>
      </c>
      <c r="H162" s="4"/>
      <c r="I162" s="5">
        <f t="shared" si="15"/>
        <v>97.733089285269983</v>
      </c>
      <c r="J162" s="5">
        <f t="shared" si="16"/>
        <v>298.85929115415001</v>
      </c>
      <c r="K162" s="9">
        <f t="shared" si="17"/>
        <v>97.733089285269983</v>
      </c>
      <c r="L162" s="6">
        <f t="shared" si="14"/>
        <v>0.32702041454973463</v>
      </c>
      <c r="M162" s="6">
        <f t="shared" si="18"/>
        <v>0.33448450947229841</v>
      </c>
      <c r="N162" s="4"/>
      <c r="O162" s="4"/>
      <c r="P162" s="4">
        <f t="shared" si="19"/>
        <v>3.7482765454446822E-2</v>
      </c>
    </row>
    <row r="163" spans="1:16" x14ac:dyDescent="0.2">
      <c r="A163" s="8">
        <v>80.5</v>
      </c>
      <c r="B163" s="8">
        <v>161</v>
      </c>
      <c r="D163">
        <v>433.75952914798</v>
      </c>
      <c r="E163">
        <v>214.83968609866</v>
      </c>
      <c r="F163">
        <v>138.17430167597999</v>
      </c>
      <c r="G163">
        <v>117.53240223464</v>
      </c>
      <c r="I163" s="9">
        <f t="shared" si="15"/>
        <v>97.307283864019993</v>
      </c>
      <c r="J163" s="9">
        <f t="shared" si="16"/>
        <v>295.58522747200004</v>
      </c>
      <c r="K163" s="9">
        <f t="shared" si="17"/>
        <v>97.307283864019993</v>
      </c>
      <c r="L163" s="10">
        <f t="shared" si="14"/>
        <v>0.32920212114875613</v>
      </c>
      <c r="M163" s="10">
        <f t="shared" si="18"/>
        <v>0.33671286666458589</v>
      </c>
      <c r="P163" s="8">
        <f t="shared" si="19"/>
        <v>0.703938873004614</v>
      </c>
    </row>
    <row r="164" spans="1:16" x14ac:dyDescent="0.2">
      <c r="A164" s="8">
        <v>81</v>
      </c>
      <c r="B164" s="8">
        <v>162</v>
      </c>
      <c r="D164">
        <v>428.42769058296</v>
      </c>
      <c r="E164">
        <v>214.19955156950999</v>
      </c>
      <c r="F164">
        <v>138.48491620112</v>
      </c>
      <c r="G164">
        <v>117.55139664805</v>
      </c>
      <c r="I164" s="9">
        <f t="shared" si="15"/>
        <v>96.648154921459991</v>
      </c>
      <c r="J164" s="9">
        <f t="shared" si="16"/>
        <v>289.94277438183997</v>
      </c>
      <c r="K164" s="9">
        <f t="shared" si="17"/>
        <v>96.648154921459991</v>
      </c>
      <c r="L164" s="10">
        <f t="shared" si="14"/>
        <v>0.3333352766852512</v>
      </c>
      <c r="M164" s="10">
        <f t="shared" si="18"/>
        <v>0.34089267279434698</v>
      </c>
      <c r="P164" s="8">
        <f t="shared" si="19"/>
        <v>1.954033486739025</v>
      </c>
    </row>
    <row r="165" spans="1:16" x14ac:dyDescent="0.2">
      <c r="A165" s="8">
        <v>81.5</v>
      </c>
      <c r="B165" s="8">
        <v>163</v>
      </c>
      <c r="D165">
        <v>427.95347533632003</v>
      </c>
      <c r="E165">
        <v>212.01569506727</v>
      </c>
      <c r="F165">
        <v>138.50726256983</v>
      </c>
      <c r="G165">
        <v>117.40837988827001</v>
      </c>
      <c r="I165" s="9">
        <f t="shared" si="15"/>
        <v>94.607315178999997</v>
      </c>
      <c r="J165" s="9">
        <f t="shared" si="16"/>
        <v>289.44621276649002</v>
      </c>
      <c r="K165" s="9">
        <f t="shared" si="17"/>
        <v>94.607315178999997</v>
      </c>
      <c r="L165" s="10">
        <f t="shared" si="14"/>
        <v>0.32685628972220893</v>
      </c>
      <c r="M165" s="10">
        <f t="shared" si="18"/>
        <v>0.33446033642457074</v>
      </c>
      <c r="P165" s="8">
        <f t="shared" si="19"/>
        <v>3.0253100770541014E-2</v>
      </c>
    </row>
    <row r="166" spans="1:16" x14ac:dyDescent="0.2">
      <c r="A166" s="8">
        <v>82</v>
      </c>
      <c r="B166" s="8">
        <v>164</v>
      </c>
      <c r="D166">
        <v>426.05156950673</v>
      </c>
      <c r="E166">
        <v>211.04652466368</v>
      </c>
      <c r="F166">
        <v>138.27932960894</v>
      </c>
      <c r="G166">
        <v>117.06033519553</v>
      </c>
      <c r="I166" s="9">
        <f t="shared" si="15"/>
        <v>93.986189468150002</v>
      </c>
      <c r="J166" s="9">
        <f t="shared" si="16"/>
        <v>287.77223989778997</v>
      </c>
      <c r="K166" s="9">
        <f t="shared" si="17"/>
        <v>93.986189468150002</v>
      </c>
      <c r="L166" s="10">
        <f t="shared" si="14"/>
        <v>0.32659922132006797</v>
      </c>
      <c r="M166" s="10">
        <f t="shared" si="18"/>
        <v>0.33424991861569581</v>
      </c>
      <c r="P166" s="8">
        <f t="shared" si="19"/>
        <v>-3.2678566714089641E-2</v>
      </c>
    </row>
    <row r="167" spans="1:16" x14ac:dyDescent="0.2">
      <c r="A167" s="8">
        <v>82.5</v>
      </c>
      <c r="B167" s="8">
        <v>165</v>
      </c>
      <c r="D167">
        <v>424.73150224214999</v>
      </c>
      <c r="E167">
        <v>210.25616591927999</v>
      </c>
      <c r="F167">
        <v>138.45642458101</v>
      </c>
      <c r="G167">
        <v>117.48770949721001</v>
      </c>
      <c r="I167" s="9">
        <f t="shared" si="15"/>
        <v>92.768456422069988</v>
      </c>
      <c r="J167" s="9">
        <f t="shared" si="16"/>
        <v>286.27507766114002</v>
      </c>
      <c r="K167" s="9">
        <f t="shared" si="17"/>
        <v>92.768456422069988</v>
      </c>
      <c r="L167" s="10">
        <f t="shared" si="14"/>
        <v>0.3240535542946521</v>
      </c>
      <c r="M167" s="10">
        <f t="shared" si="18"/>
        <v>0.33175090218354597</v>
      </c>
      <c r="P167" s="8">
        <f t="shared" si="19"/>
        <v>-0.78008332293488858</v>
      </c>
    </row>
    <row r="168" spans="1:16" x14ac:dyDescent="0.2">
      <c r="A168" s="8">
        <v>83</v>
      </c>
      <c r="B168" s="8">
        <v>166</v>
      </c>
      <c r="D168">
        <v>426.26793721973002</v>
      </c>
      <c r="E168">
        <v>210.25448430493</v>
      </c>
      <c r="F168">
        <v>138.20893854748999</v>
      </c>
      <c r="G168">
        <v>117.30670391062</v>
      </c>
      <c r="I168" s="9">
        <f t="shared" si="15"/>
        <v>92.947780394310001</v>
      </c>
      <c r="J168" s="9">
        <f t="shared" si="16"/>
        <v>288.05899867224002</v>
      </c>
      <c r="K168" s="9">
        <f t="shared" si="17"/>
        <v>92.947780394310001</v>
      </c>
      <c r="L168" s="10">
        <f t="shared" si="14"/>
        <v>0.32266924769834415</v>
      </c>
      <c r="M168" s="10">
        <f t="shared" si="18"/>
        <v>0.33041324618050405</v>
      </c>
      <c r="P168" s="8">
        <f t="shared" si="19"/>
        <v>-1.1801489031362797</v>
      </c>
    </row>
    <row r="169" spans="1:16" x14ac:dyDescent="0.2">
      <c r="A169" s="8">
        <v>83.5</v>
      </c>
      <c r="B169" s="8">
        <v>167</v>
      </c>
      <c r="D169">
        <v>425.33127802691001</v>
      </c>
      <c r="E169">
        <v>209.85089686098999</v>
      </c>
      <c r="F169">
        <v>138.36424581006</v>
      </c>
      <c r="G169">
        <v>117.50391061453</v>
      </c>
      <c r="I169" s="9">
        <f t="shared" si="15"/>
        <v>92.346986246459991</v>
      </c>
      <c r="J169" s="9">
        <f t="shared" si="16"/>
        <v>286.96703221685004</v>
      </c>
      <c r="K169" s="9">
        <f t="shared" si="17"/>
        <v>92.346986246459991</v>
      </c>
      <c r="L169" s="10">
        <f t="shared" si="14"/>
        <v>0.32180346826975198</v>
      </c>
      <c r="M169" s="10">
        <f t="shared" si="18"/>
        <v>0.32959411734517791</v>
      </c>
      <c r="P169" s="8">
        <f t="shared" si="19"/>
        <v>-1.4251336017577638</v>
      </c>
    </row>
    <row r="170" spans="1:16" x14ac:dyDescent="0.2">
      <c r="A170" s="8">
        <v>84</v>
      </c>
      <c r="B170" s="8">
        <v>168</v>
      </c>
      <c r="D170">
        <v>426.77970852018001</v>
      </c>
      <c r="E170">
        <v>210.05213004484</v>
      </c>
      <c r="F170">
        <v>138.30446927374001</v>
      </c>
      <c r="G170">
        <v>117.65363128492</v>
      </c>
      <c r="I170" s="9">
        <f t="shared" si="15"/>
        <v>92.398498759920002</v>
      </c>
      <c r="J170" s="9">
        <f t="shared" si="16"/>
        <v>288.47523924643997</v>
      </c>
      <c r="K170" s="9">
        <f t="shared" si="17"/>
        <v>92.398498759920002</v>
      </c>
      <c r="L170" s="10">
        <f t="shared" si="14"/>
        <v>0.32029958273467407</v>
      </c>
      <c r="M170" s="10">
        <f t="shared" si="18"/>
        <v>0.32813688240336603</v>
      </c>
      <c r="P170" s="8">
        <f t="shared" si="19"/>
        <v>-1.8609627993690723</v>
      </c>
    </row>
    <row r="171" spans="1:16" x14ac:dyDescent="0.2">
      <c r="A171" s="8">
        <v>84.5</v>
      </c>
      <c r="B171" s="8">
        <v>169</v>
      </c>
      <c r="D171">
        <v>430.35257847534001</v>
      </c>
      <c r="E171">
        <v>211.13452914798</v>
      </c>
      <c r="F171">
        <v>138.60782122904999</v>
      </c>
      <c r="G171">
        <v>117.25474860335</v>
      </c>
      <c r="I171" s="9">
        <f t="shared" si="15"/>
        <v>93.879780544630009</v>
      </c>
      <c r="J171" s="9">
        <f t="shared" si="16"/>
        <v>291.74475724629002</v>
      </c>
      <c r="K171" s="9">
        <f t="shared" si="17"/>
        <v>93.879780544630009</v>
      </c>
      <c r="L171" s="10">
        <f t="shared" si="14"/>
        <v>0.32178737822313974</v>
      </c>
      <c r="M171" s="10">
        <f t="shared" si="18"/>
        <v>0.32967132848509773</v>
      </c>
      <c r="P171" s="8">
        <f t="shared" si="19"/>
        <v>-1.4020413273465635</v>
      </c>
    </row>
    <row r="172" spans="1:16" x14ac:dyDescent="0.2">
      <c r="A172" s="8">
        <v>85</v>
      </c>
      <c r="B172" s="8">
        <v>170</v>
      </c>
      <c r="D172">
        <v>427.90526905830001</v>
      </c>
      <c r="E172">
        <v>211.15751121075999</v>
      </c>
      <c r="F172">
        <v>138.4938547486</v>
      </c>
      <c r="G172">
        <v>117.25363128492</v>
      </c>
      <c r="I172" s="9">
        <f t="shared" si="15"/>
        <v>93.903879925839988</v>
      </c>
      <c r="J172" s="9">
        <f t="shared" si="16"/>
        <v>289.41141430970004</v>
      </c>
      <c r="K172" s="9">
        <f t="shared" si="17"/>
        <v>93.903879925839988</v>
      </c>
      <c r="L172" s="10">
        <f t="shared" si="14"/>
        <v>0.32446501859582205</v>
      </c>
      <c r="M172" s="10">
        <f t="shared" si="18"/>
        <v>0.33239561945104606</v>
      </c>
      <c r="P172" s="8">
        <f t="shared" si="19"/>
        <v>-0.58726156076155522</v>
      </c>
    </row>
    <row r="173" spans="1:16" x14ac:dyDescent="0.2">
      <c r="A173" s="8">
        <v>85.5</v>
      </c>
      <c r="B173" s="8">
        <v>171</v>
      </c>
      <c r="D173">
        <v>427.71468609866002</v>
      </c>
      <c r="E173">
        <v>210.17825112108</v>
      </c>
      <c r="F173">
        <v>138.66983240223999</v>
      </c>
      <c r="G173">
        <v>117.68882681564</v>
      </c>
      <c r="I173" s="9">
        <f t="shared" si="15"/>
        <v>92.489424305439996</v>
      </c>
      <c r="J173" s="9">
        <f t="shared" si="16"/>
        <v>289.04485369642003</v>
      </c>
      <c r="K173" s="9">
        <f t="shared" si="17"/>
        <v>92.489424305439996</v>
      </c>
      <c r="L173" s="10">
        <f t="shared" si="14"/>
        <v>0.31998294770741847</v>
      </c>
      <c r="M173" s="10">
        <f t="shared" si="18"/>
        <v>0.32796019915590846</v>
      </c>
      <c r="P173" s="8">
        <f t="shared" si="19"/>
        <v>-1.913805148781204</v>
      </c>
    </row>
    <row r="174" spans="1:16" x14ac:dyDescent="0.2">
      <c r="A174" s="8">
        <v>86</v>
      </c>
      <c r="B174" s="8">
        <v>172</v>
      </c>
      <c r="D174">
        <v>431.54428251120999</v>
      </c>
      <c r="E174">
        <v>211.01569506727</v>
      </c>
      <c r="F174">
        <v>138.47988826816001</v>
      </c>
      <c r="G174">
        <v>117.46033519553001</v>
      </c>
      <c r="I174" s="9">
        <f t="shared" si="15"/>
        <v>93.555359871739995</v>
      </c>
      <c r="J174" s="9">
        <f t="shared" si="16"/>
        <v>293.06439424304995</v>
      </c>
      <c r="K174" s="9">
        <f t="shared" si="17"/>
        <v>93.555359871739995</v>
      </c>
      <c r="L174" s="10">
        <f t="shared" si="14"/>
        <v>0.3192314102618376</v>
      </c>
      <c r="M174" s="10">
        <f t="shared" si="18"/>
        <v>0.32725531230359362</v>
      </c>
      <c r="P174" s="8">
        <f t="shared" si="19"/>
        <v>-2.1246224044182154</v>
      </c>
    </row>
    <row r="175" spans="1:16" x14ac:dyDescent="0.2">
      <c r="A175" s="8">
        <v>86.5</v>
      </c>
      <c r="B175" s="8">
        <v>173</v>
      </c>
      <c r="D175">
        <v>429.68778026906</v>
      </c>
      <c r="E175">
        <v>210.76289237668001</v>
      </c>
      <c r="F175">
        <v>138.26592178771</v>
      </c>
      <c r="G175">
        <v>117.66536312849</v>
      </c>
      <c r="I175" s="9">
        <f t="shared" si="15"/>
        <v>93.097529248190014</v>
      </c>
      <c r="J175" s="9">
        <f t="shared" si="16"/>
        <v>291.42185848135</v>
      </c>
      <c r="K175" s="9">
        <f t="shared" si="17"/>
        <v>93.097529248190014</v>
      </c>
      <c r="L175" s="10">
        <f t="shared" si="14"/>
        <v>0.31945966487667549</v>
      </c>
      <c r="M175" s="10">
        <f t="shared" si="18"/>
        <v>0.32753021751169753</v>
      </c>
      <c r="P175" s="8">
        <f t="shared" si="19"/>
        <v>-2.0424038733980017</v>
      </c>
    </row>
    <row r="176" spans="1:16" x14ac:dyDescent="0.2">
      <c r="A176" s="8">
        <v>87</v>
      </c>
      <c r="B176" s="8">
        <v>174</v>
      </c>
      <c r="D176">
        <v>429.65470852018001</v>
      </c>
      <c r="E176">
        <v>210.83744394619001</v>
      </c>
      <c r="F176">
        <v>138.39217877095001</v>
      </c>
      <c r="G176">
        <v>117.32346368715</v>
      </c>
      <c r="I176" s="9">
        <f t="shared" si="15"/>
        <v>93.513980259040011</v>
      </c>
      <c r="J176" s="9">
        <f t="shared" si="16"/>
        <v>291.26252974923</v>
      </c>
      <c r="K176" s="9">
        <f t="shared" si="17"/>
        <v>93.513980259040011</v>
      </c>
      <c r="L176" s="10">
        <f t="shared" si="14"/>
        <v>0.32106423143256119</v>
      </c>
      <c r="M176" s="10">
        <f t="shared" si="18"/>
        <v>0.32918143466084926</v>
      </c>
      <c r="P176" s="8">
        <f t="shared" si="19"/>
        <v>-1.5485585609173373</v>
      </c>
    </row>
    <row r="177" spans="1:16" x14ac:dyDescent="0.2">
      <c r="A177" s="8">
        <v>87.5</v>
      </c>
      <c r="B177" s="8">
        <v>175</v>
      </c>
      <c r="D177">
        <v>427.61827354259998</v>
      </c>
      <c r="E177">
        <v>210</v>
      </c>
      <c r="F177">
        <v>138.96759776536001</v>
      </c>
      <c r="G177">
        <v>117.29608938548</v>
      </c>
      <c r="I177" s="9">
        <f t="shared" si="15"/>
        <v>92.703910614519998</v>
      </c>
      <c r="J177" s="9">
        <f t="shared" si="16"/>
        <v>288.65067577723994</v>
      </c>
      <c r="K177" s="9">
        <f t="shared" si="17"/>
        <v>92.703910614519998</v>
      </c>
      <c r="L177" s="10">
        <f t="shared" si="14"/>
        <v>0.32116297793136739</v>
      </c>
      <c r="M177" s="10">
        <f t="shared" si="18"/>
        <v>0.32932683175292149</v>
      </c>
      <c r="P177" s="8">
        <f t="shared" si="19"/>
        <v>-1.5050732613581137</v>
      </c>
    </row>
    <row r="178" spans="1:16" x14ac:dyDescent="0.2">
      <c r="A178" s="8">
        <v>88</v>
      </c>
      <c r="B178" s="8">
        <v>176</v>
      </c>
      <c r="D178">
        <v>428.60369955157</v>
      </c>
      <c r="E178">
        <v>208.64573991031</v>
      </c>
      <c r="F178">
        <v>138.48715083798999</v>
      </c>
      <c r="G178">
        <v>117.56815642458</v>
      </c>
      <c r="I178" s="9">
        <f t="shared" si="15"/>
        <v>91.077583485730003</v>
      </c>
      <c r="J178" s="9">
        <f t="shared" si="16"/>
        <v>290.11654871358002</v>
      </c>
      <c r="K178" s="9">
        <f t="shared" si="17"/>
        <v>91.077583485730003</v>
      </c>
      <c r="L178" s="10">
        <f t="shared" si="14"/>
        <v>0.31393446492308547</v>
      </c>
      <c r="M178" s="10">
        <f t="shared" si="18"/>
        <v>0.3221449693379056</v>
      </c>
      <c r="P178" s="8">
        <f t="shared" si="19"/>
        <v>-3.6530215735220861</v>
      </c>
    </row>
    <row r="179" spans="1:16" x14ac:dyDescent="0.2">
      <c r="A179" s="8">
        <v>88.5</v>
      </c>
      <c r="B179" s="8">
        <v>177</v>
      </c>
      <c r="D179">
        <v>428.62668161434999</v>
      </c>
      <c r="E179">
        <v>209.39237668160999</v>
      </c>
      <c r="F179">
        <v>138.73575418994</v>
      </c>
      <c r="G179">
        <v>117.73854748603</v>
      </c>
      <c r="I179" s="9">
        <f t="shared" si="15"/>
        <v>91.653829195579988</v>
      </c>
      <c r="J179" s="9">
        <f t="shared" si="16"/>
        <v>289.89092742440999</v>
      </c>
      <c r="K179" s="9">
        <f t="shared" si="17"/>
        <v>91.653829195579988</v>
      </c>
      <c r="L179" s="10">
        <f t="shared" si="14"/>
        <v>0.31616660103817501</v>
      </c>
      <c r="M179" s="10">
        <f t="shared" si="18"/>
        <v>0.32442375604626117</v>
      </c>
      <c r="P179" s="8">
        <f t="shared" si="19"/>
        <v>-2.971483028066225</v>
      </c>
    </row>
    <row r="180" spans="1:16" x14ac:dyDescent="0.2">
      <c r="A180" s="8">
        <v>89</v>
      </c>
      <c r="B180" s="8">
        <v>178</v>
      </c>
      <c r="D180">
        <v>428.47197309416998</v>
      </c>
      <c r="E180">
        <v>209.14405829596001</v>
      </c>
      <c r="F180">
        <v>138.69832402234999</v>
      </c>
      <c r="G180">
        <v>117.60614525139999</v>
      </c>
      <c r="I180" s="9">
        <f t="shared" si="15"/>
        <v>91.537913044560014</v>
      </c>
      <c r="J180" s="9">
        <f t="shared" si="16"/>
        <v>289.77364907181999</v>
      </c>
      <c r="K180" s="9">
        <f t="shared" si="17"/>
        <v>91.537913044560014</v>
      </c>
      <c r="L180" s="10">
        <f t="shared" si="14"/>
        <v>0.31589453816027446</v>
      </c>
      <c r="M180" s="10">
        <f t="shared" si="18"/>
        <v>0.32419834376162665</v>
      </c>
      <c r="P180" s="8">
        <f t="shared" si="19"/>
        <v>-3.038899236891031</v>
      </c>
    </row>
    <row r="181" spans="1:16" x14ac:dyDescent="0.2">
      <c r="A181" s="8">
        <v>89.5</v>
      </c>
      <c r="B181" s="8">
        <v>179</v>
      </c>
      <c r="D181">
        <v>429.37836322869998</v>
      </c>
      <c r="E181">
        <v>210.56334080718</v>
      </c>
      <c r="F181">
        <v>138.74916201117</v>
      </c>
      <c r="G181">
        <v>117.2938547486</v>
      </c>
      <c r="I181" s="9">
        <f t="shared" si="15"/>
        <v>93.26948605858</v>
      </c>
      <c r="J181" s="9">
        <f t="shared" si="16"/>
        <v>290.62920121752995</v>
      </c>
      <c r="K181" s="9">
        <f t="shared" si="17"/>
        <v>93.26948605858</v>
      </c>
      <c r="L181" s="10">
        <f t="shared" si="14"/>
        <v>0.32092262466347871</v>
      </c>
      <c r="M181" s="10">
        <f t="shared" si="18"/>
        <v>0.32927308085809692</v>
      </c>
      <c r="P181" s="8">
        <f t="shared" si="19"/>
        <v>-1.5211490557891429</v>
      </c>
    </row>
    <row r="182" spans="1:16" x14ac:dyDescent="0.2">
      <c r="A182" s="8">
        <v>90</v>
      </c>
      <c r="B182" s="8">
        <v>180</v>
      </c>
      <c r="D182">
        <v>429.74775784753001</v>
      </c>
      <c r="E182">
        <v>210.12892376682001</v>
      </c>
      <c r="F182">
        <v>138.69888268156001</v>
      </c>
      <c r="G182">
        <v>117.32569832402</v>
      </c>
      <c r="I182" s="9">
        <f t="shared" si="15"/>
        <v>92.803225442800013</v>
      </c>
      <c r="J182" s="9">
        <f t="shared" si="16"/>
        <v>291.04887516597</v>
      </c>
      <c r="K182" s="9">
        <f t="shared" si="17"/>
        <v>92.803225442800013</v>
      </c>
      <c r="L182" s="10">
        <f t="shared" si="14"/>
        <v>0.31885787357837808</v>
      </c>
      <c r="M182" s="10">
        <f>L182+ABS($N$2)*A182</f>
        <v>0.32725498036626233</v>
      </c>
      <c r="P182" s="8">
        <f t="shared" si="19"/>
        <v>-2.1247216800920286</v>
      </c>
    </row>
    <row r="183" spans="1:16" x14ac:dyDescent="0.2">
      <c r="A183" s="8">
        <v>90.5</v>
      </c>
      <c r="B183" s="8">
        <v>181</v>
      </c>
      <c r="D183">
        <v>430.18609865471001</v>
      </c>
      <c r="E183">
        <v>210.29876681613999</v>
      </c>
      <c r="F183">
        <v>138.94860335196</v>
      </c>
      <c r="G183">
        <v>117.97206703911</v>
      </c>
      <c r="I183" s="9">
        <f t="shared" si="15"/>
        <v>92.326699777029987</v>
      </c>
      <c r="J183" s="9">
        <f t="shared" si="16"/>
        <v>291.23749530275001</v>
      </c>
      <c r="K183" s="9">
        <f t="shared" si="17"/>
        <v>92.326699777029987</v>
      </c>
      <c r="L183" s="10">
        <f t="shared" si="14"/>
        <v>0.31701515521225604</v>
      </c>
      <c r="M183" s="10">
        <f t="shared" ref="M183:M241" si="20">L183+ABS($N$2)*A183</f>
        <v>0.32545891259340631</v>
      </c>
      <c r="P183" s="8">
        <f t="shared" si="19"/>
        <v>-2.6618888546082284</v>
      </c>
    </row>
    <row r="184" spans="1:16" x14ac:dyDescent="0.2">
      <c r="A184" s="8">
        <v>91</v>
      </c>
      <c r="B184" s="8">
        <v>182</v>
      </c>
      <c r="D184">
        <v>431.46804932735</v>
      </c>
      <c r="E184">
        <v>209.17937219730999</v>
      </c>
      <c r="F184">
        <v>138.90279329609001</v>
      </c>
      <c r="G184">
        <v>117.57877094972</v>
      </c>
      <c r="I184" s="9">
        <f t="shared" si="15"/>
        <v>91.600601247589992</v>
      </c>
      <c r="J184" s="9">
        <f t="shared" si="16"/>
        <v>292.56525603125999</v>
      </c>
      <c r="K184" s="9">
        <f t="shared" si="17"/>
        <v>91.600601247589992</v>
      </c>
      <c r="L184" s="10">
        <f t="shared" si="14"/>
        <v>0.31309459807422468</v>
      </c>
      <c r="M184" s="10">
        <f t="shared" si="20"/>
        <v>0.32158500604864093</v>
      </c>
      <c r="P184" s="8">
        <f t="shared" si="19"/>
        <v>-3.8204951524554636</v>
      </c>
    </row>
    <row r="185" spans="1:16" x14ac:dyDescent="0.2">
      <c r="A185" s="8">
        <v>91.5</v>
      </c>
      <c r="B185" s="8">
        <v>183</v>
      </c>
      <c r="D185">
        <v>429.39686098655</v>
      </c>
      <c r="E185">
        <v>209.98542600896999</v>
      </c>
      <c r="F185">
        <v>138.35418994413001</v>
      </c>
      <c r="G185">
        <v>117.64804469274</v>
      </c>
      <c r="I185" s="9">
        <f t="shared" si="15"/>
        <v>92.337381316229994</v>
      </c>
      <c r="J185" s="9">
        <f t="shared" si="16"/>
        <v>291.04267104242001</v>
      </c>
      <c r="K185" s="9">
        <f t="shared" si="17"/>
        <v>92.337381316229994</v>
      </c>
      <c r="L185" s="10">
        <f t="shared" si="14"/>
        <v>0.31726406641853439</v>
      </c>
      <c r="M185" s="10">
        <f t="shared" si="20"/>
        <v>0.32580112498621666</v>
      </c>
      <c r="P185" s="8">
        <f t="shared" si="19"/>
        <v>-2.5595401198285526</v>
      </c>
    </row>
    <row r="186" spans="1:16" x14ac:dyDescent="0.2">
      <c r="A186" s="8">
        <v>92</v>
      </c>
      <c r="B186" s="8">
        <v>184</v>
      </c>
      <c r="D186">
        <v>429.62668161434999</v>
      </c>
      <c r="E186">
        <v>209.9119955157</v>
      </c>
      <c r="F186">
        <v>139.01675977654</v>
      </c>
      <c r="G186">
        <v>117.77541899441</v>
      </c>
      <c r="I186" s="9">
        <f t="shared" si="15"/>
        <v>92.136576521289996</v>
      </c>
      <c r="J186" s="9">
        <f t="shared" si="16"/>
        <v>290.60992183781002</v>
      </c>
      <c r="K186" s="9">
        <f t="shared" si="17"/>
        <v>92.136576521289996</v>
      </c>
      <c r="L186" s="10">
        <f t="shared" si="14"/>
        <v>0.31704552941145486</v>
      </c>
      <c r="M186" s="10">
        <f t="shared" si="20"/>
        <v>0.32562923857240317</v>
      </c>
      <c r="P186" s="8">
        <f t="shared" si="19"/>
        <v>-2.6109478343042127</v>
      </c>
    </row>
    <row r="187" spans="1:16" x14ac:dyDescent="0.2">
      <c r="A187" s="8">
        <v>92.5</v>
      </c>
      <c r="B187" s="8">
        <v>185</v>
      </c>
      <c r="D187">
        <v>426.84865470851997</v>
      </c>
      <c r="E187">
        <v>211.10930493274</v>
      </c>
      <c r="F187">
        <v>138.96312849162001</v>
      </c>
      <c r="G187">
        <v>117.50055865922</v>
      </c>
      <c r="I187" s="9">
        <f t="shared" si="15"/>
        <v>93.608746273519998</v>
      </c>
      <c r="J187" s="9">
        <f t="shared" si="16"/>
        <v>287.88552621689996</v>
      </c>
      <c r="K187" s="9">
        <f t="shared" si="17"/>
        <v>93.608746273519998</v>
      </c>
      <c r="L187" s="10">
        <f t="shared" si="14"/>
        <v>0.325159612932374</v>
      </c>
      <c r="M187" s="10">
        <f t="shared" si="20"/>
        <v>0.33378997268658833</v>
      </c>
      <c r="P187" s="8">
        <f t="shared" si="19"/>
        <v>-0.17023899672838477</v>
      </c>
    </row>
    <row r="188" spans="1:16" x14ac:dyDescent="0.2">
      <c r="A188" s="8">
        <v>93</v>
      </c>
      <c r="B188" s="8">
        <v>186</v>
      </c>
      <c r="D188">
        <v>429.73430493273997</v>
      </c>
      <c r="E188">
        <v>211.03195067265</v>
      </c>
      <c r="F188">
        <v>139.1905027933</v>
      </c>
      <c r="G188">
        <v>117.7</v>
      </c>
      <c r="I188" s="9">
        <f t="shared" si="15"/>
        <v>93.331950672649995</v>
      </c>
      <c r="J188" s="9">
        <f t="shared" si="16"/>
        <v>290.54380213944</v>
      </c>
      <c r="K188" s="9">
        <f t="shared" si="17"/>
        <v>93.331950672649995</v>
      </c>
      <c r="L188" s="10">
        <f t="shared" si="14"/>
        <v>0.32123194501274344</v>
      </c>
      <c r="M188" s="10">
        <f t="shared" si="20"/>
        <v>0.3299089553602238</v>
      </c>
      <c r="P188" s="8">
        <f t="shared" si="19"/>
        <v>-1.3309719840680458</v>
      </c>
    </row>
    <row r="189" spans="1:16" x14ac:dyDescent="0.2">
      <c r="A189" s="8">
        <v>93.5</v>
      </c>
      <c r="B189" s="8">
        <v>187</v>
      </c>
      <c r="D189">
        <v>429.90695067265</v>
      </c>
      <c r="E189">
        <v>211.75280269058001</v>
      </c>
      <c r="F189">
        <v>138.65810055866001</v>
      </c>
      <c r="G189">
        <v>117.46815642458</v>
      </c>
      <c r="I189" s="9">
        <f t="shared" si="15"/>
        <v>94.28464626600001</v>
      </c>
      <c r="J189" s="9">
        <f t="shared" si="16"/>
        <v>291.24885011398999</v>
      </c>
      <c r="K189" s="9">
        <f t="shared" si="17"/>
        <v>94.28464626600001</v>
      </c>
      <c r="L189" s="10">
        <f t="shared" si="14"/>
        <v>0.32372538545336249</v>
      </c>
      <c r="M189" s="10">
        <f t="shared" si="20"/>
        <v>0.33244904639410888</v>
      </c>
      <c r="P189" s="8">
        <f t="shared" si="19"/>
        <v>-0.57128265368364717</v>
      </c>
    </row>
    <row r="190" spans="1:16" x14ac:dyDescent="0.2">
      <c r="A190" s="8">
        <v>94</v>
      </c>
      <c r="B190" s="8">
        <v>188</v>
      </c>
      <c r="D190">
        <v>429.15807174887999</v>
      </c>
      <c r="E190">
        <v>212.23038116591999</v>
      </c>
      <c r="F190">
        <v>138.39273743017</v>
      </c>
      <c r="G190">
        <v>117.74078212291001</v>
      </c>
      <c r="I190" s="9">
        <f t="shared" si="15"/>
        <v>94.489599043009989</v>
      </c>
      <c r="J190" s="9">
        <f t="shared" si="16"/>
        <v>290.76533431870996</v>
      </c>
      <c r="K190" s="9">
        <f t="shared" si="17"/>
        <v>94.489599043009989</v>
      </c>
      <c r="L190" s="10">
        <f t="shared" si="14"/>
        <v>0.32496858425165381</v>
      </c>
      <c r="M190" s="10">
        <f t="shared" si="20"/>
        <v>0.33373889578566623</v>
      </c>
      <c r="P190" s="8">
        <f t="shared" si="19"/>
        <v>-0.18551505421687173</v>
      </c>
    </row>
    <row r="191" spans="1:16" x14ac:dyDescent="0.2">
      <c r="A191" s="8">
        <v>94.5</v>
      </c>
      <c r="B191" s="8">
        <v>189</v>
      </c>
      <c r="D191">
        <v>429.03026905830001</v>
      </c>
      <c r="E191">
        <v>211.71300448431001</v>
      </c>
      <c r="F191">
        <v>138.97597765363</v>
      </c>
      <c r="G191">
        <v>117.36312849162</v>
      </c>
      <c r="I191" s="9">
        <f t="shared" si="15"/>
        <v>94.349875992690002</v>
      </c>
      <c r="J191" s="9">
        <f t="shared" si="16"/>
        <v>290.05429140467004</v>
      </c>
      <c r="K191" s="9">
        <f t="shared" si="17"/>
        <v>94.349875992690002</v>
      </c>
      <c r="L191" s="10">
        <f t="shared" si="14"/>
        <v>0.32528350308410886</v>
      </c>
      <c r="M191" s="10">
        <f t="shared" si="20"/>
        <v>0.33410046521138731</v>
      </c>
      <c r="P191" s="8">
        <f t="shared" si="19"/>
        <v>-7.7377026386668296E-2</v>
      </c>
    </row>
    <row r="192" spans="1:16" x14ac:dyDescent="0.2">
      <c r="A192" s="8">
        <v>95</v>
      </c>
      <c r="B192" s="8">
        <v>190</v>
      </c>
      <c r="D192">
        <v>423.78363228699999</v>
      </c>
      <c r="E192">
        <v>210.77522421525001</v>
      </c>
      <c r="F192">
        <v>138.82849162010999</v>
      </c>
      <c r="G192">
        <v>116.94134078211999</v>
      </c>
      <c r="I192" s="9">
        <f t="shared" si="15"/>
        <v>93.833883433130012</v>
      </c>
      <c r="J192" s="9">
        <f t="shared" si="16"/>
        <v>284.95514066688997</v>
      </c>
      <c r="K192" s="9">
        <f t="shared" si="17"/>
        <v>93.833883433130012</v>
      </c>
      <c r="L192" s="10">
        <f t="shared" si="14"/>
        <v>0.32929352744269663</v>
      </c>
      <c r="M192" s="10">
        <f t="shared" si="20"/>
        <v>0.33815714016324111</v>
      </c>
      <c r="P192" s="8">
        <f t="shared" si="19"/>
        <v>1.1358915677893942</v>
      </c>
    </row>
    <row r="193" spans="1:16" x14ac:dyDescent="0.2">
      <c r="A193" s="8">
        <v>95.5</v>
      </c>
      <c r="B193" s="8">
        <v>191</v>
      </c>
      <c r="D193">
        <v>428.19058295963998</v>
      </c>
      <c r="E193">
        <v>211.80717488789</v>
      </c>
      <c r="F193">
        <v>139.05530726257001</v>
      </c>
      <c r="G193">
        <v>117.33519553073</v>
      </c>
      <c r="I193" s="9">
        <f t="shared" si="15"/>
        <v>94.471979357159995</v>
      </c>
      <c r="J193" s="9">
        <f t="shared" si="16"/>
        <v>289.13527569706997</v>
      </c>
      <c r="K193" s="9">
        <f t="shared" si="17"/>
        <v>94.471979357159995</v>
      </c>
      <c r="L193" s="10">
        <f t="shared" si="14"/>
        <v>0.32673972115439581</v>
      </c>
      <c r="M193" s="10">
        <f t="shared" si="20"/>
        <v>0.33564998446820632</v>
      </c>
      <c r="P193" s="8">
        <f t="shared" si="19"/>
        <v>0.386052524336993</v>
      </c>
    </row>
    <row r="194" spans="1:16" x14ac:dyDescent="0.2">
      <c r="A194" s="8">
        <v>96</v>
      </c>
      <c r="B194" s="8">
        <v>192</v>
      </c>
      <c r="D194">
        <v>431.78475336322998</v>
      </c>
      <c r="E194">
        <v>213.00784753363001</v>
      </c>
      <c r="F194">
        <v>139.02793296089001</v>
      </c>
      <c r="G194">
        <v>117.55865921788001</v>
      </c>
      <c r="I194" s="9">
        <f t="shared" si="15"/>
        <v>95.449188315750007</v>
      </c>
      <c r="J194" s="9">
        <f t="shared" si="16"/>
        <v>292.75682040233994</v>
      </c>
      <c r="K194" s="9">
        <f t="shared" si="17"/>
        <v>95.449188315750007</v>
      </c>
      <c r="L194" s="10">
        <f t="shared" ref="L194:L257" si="21">K194/J194</f>
        <v>0.32603574592924189</v>
      </c>
      <c r="M194" s="10">
        <f t="shared" si="20"/>
        <v>0.33499265983631837</v>
      </c>
      <c r="P194" s="8">
        <f t="shared" si="19"/>
        <v>0.18946015706252292</v>
      </c>
    </row>
    <row r="195" spans="1:16" x14ac:dyDescent="0.2">
      <c r="A195" s="8">
        <v>96.5</v>
      </c>
      <c r="B195" s="8">
        <v>193</v>
      </c>
      <c r="D195">
        <v>432.67600896861001</v>
      </c>
      <c r="E195">
        <v>214.04988789238001</v>
      </c>
      <c r="F195">
        <v>139.39385474860001</v>
      </c>
      <c r="G195">
        <v>117.54525139665</v>
      </c>
      <c r="I195" s="9">
        <f t="shared" ref="I195:I241" si="22">E195-G195</f>
        <v>96.504636495730011</v>
      </c>
      <c r="J195" s="9">
        <f t="shared" ref="J195:J241" si="23">D195-F195</f>
        <v>293.28215422001</v>
      </c>
      <c r="K195" s="9">
        <f t="shared" ref="K195:K258" si="24">I195*1</f>
        <v>96.504636495730011</v>
      </c>
      <c r="L195" s="10">
        <f t="shared" si="21"/>
        <v>0.32905048980012475</v>
      </c>
      <c r="M195" s="10">
        <f t="shared" si="20"/>
        <v>0.33805405430046725</v>
      </c>
      <c r="P195" s="8">
        <f t="shared" ref="P195:P241" si="25">(M195-$O$2)/$O$2*100</f>
        <v>1.105060692431755</v>
      </c>
    </row>
    <row r="196" spans="1:16" x14ac:dyDescent="0.2">
      <c r="A196" s="8">
        <v>97</v>
      </c>
      <c r="B196" s="8">
        <v>194</v>
      </c>
      <c r="D196">
        <v>432.97926008969</v>
      </c>
      <c r="E196">
        <v>215.33183856502001</v>
      </c>
      <c r="F196">
        <v>139.06815642458</v>
      </c>
      <c r="G196">
        <v>117.81340782123</v>
      </c>
      <c r="I196" s="9">
        <f t="shared" si="22"/>
        <v>97.518430743790006</v>
      </c>
      <c r="J196" s="9">
        <f t="shared" si="23"/>
        <v>293.91110366510998</v>
      </c>
      <c r="K196" s="9">
        <f t="shared" si="24"/>
        <v>97.518430743790006</v>
      </c>
      <c r="L196" s="10">
        <f t="shared" si="21"/>
        <v>0.3317956672195177</v>
      </c>
      <c r="M196" s="10">
        <f t="shared" si="20"/>
        <v>0.34084588231312624</v>
      </c>
      <c r="P196" s="8">
        <f t="shared" si="25"/>
        <v>1.9400394098052598</v>
      </c>
    </row>
    <row r="197" spans="1:16" x14ac:dyDescent="0.2">
      <c r="A197" s="8">
        <v>97.5</v>
      </c>
      <c r="B197" s="8">
        <v>195</v>
      </c>
      <c r="D197">
        <v>432.44674887892</v>
      </c>
      <c r="E197">
        <v>214.66255605380999</v>
      </c>
      <c r="F197">
        <v>139.10279329609</v>
      </c>
      <c r="G197">
        <v>117.58770949721</v>
      </c>
      <c r="I197" s="9">
        <f t="shared" si="22"/>
        <v>97.074846556599994</v>
      </c>
      <c r="J197" s="9">
        <f t="shared" si="23"/>
        <v>293.34395558283001</v>
      </c>
      <c r="K197" s="9">
        <f t="shared" si="24"/>
        <v>97.074846556599994</v>
      </c>
      <c r="L197" s="10">
        <f t="shared" si="21"/>
        <v>0.33092499337075815</v>
      </c>
      <c r="M197" s="10">
        <f t="shared" si="20"/>
        <v>0.34002185905763271</v>
      </c>
      <c r="P197" s="8">
        <f t="shared" si="25"/>
        <v>1.6935908901120216</v>
      </c>
    </row>
    <row r="198" spans="1:16" x14ac:dyDescent="0.2">
      <c r="A198" s="8">
        <v>98</v>
      </c>
      <c r="B198" s="8">
        <v>196</v>
      </c>
      <c r="D198">
        <v>431.05549327353998</v>
      </c>
      <c r="E198">
        <v>214.07623318386001</v>
      </c>
      <c r="F198">
        <v>138.96033519553001</v>
      </c>
      <c r="G198">
        <v>117.59106145251</v>
      </c>
      <c r="I198" s="9">
        <f t="shared" si="22"/>
        <v>96.485171731350007</v>
      </c>
      <c r="J198" s="9">
        <f t="shared" si="23"/>
        <v>292.09515807800994</v>
      </c>
      <c r="K198" s="9">
        <f t="shared" si="24"/>
        <v>96.485171731350007</v>
      </c>
      <c r="L198" s="10">
        <f t="shared" si="21"/>
        <v>0.33032102403279717</v>
      </c>
      <c r="M198" s="10">
        <f t="shared" si="20"/>
        <v>0.33946454031293777</v>
      </c>
      <c r="P198" s="8">
        <f t="shared" si="25"/>
        <v>1.5269082404274548</v>
      </c>
    </row>
    <row r="199" spans="1:16" x14ac:dyDescent="0.2">
      <c r="A199" s="8">
        <v>98.5</v>
      </c>
      <c r="B199" s="8">
        <v>197</v>
      </c>
      <c r="D199">
        <v>428.625</v>
      </c>
      <c r="E199">
        <v>213.72365470852</v>
      </c>
      <c r="F199">
        <v>138.93519553073</v>
      </c>
      <c r="G199">
        <v>117.70949720669999</v>
      </c>
      <c r="I199" s="9">
        <f t="shared" si="22"/>
        <v>96.014157501820009</v>
      </c>
      <c r="J199" s="9">
        <f t="shared" si="23"/>
        <v>289.68980446927003</v>
      </c>
      <c r="K199" s="9">
        <f t="shared" si="24"/>
        <v>96.014157501820009</v>
      </c>
      <c r="L199" s="10">
        <f t="shared" si="21"/>
        <v>0.33143782080188838</v>
      </c>
      <c r="M199" s="10">
        <f t="shared" si="20"/>
        <v>0.34062798767529501</v>
      </c>
      <c r="P199" s="8">
        <f t="shared" si="25"/>
        <v>1.8748715755425742</v>
      </c>
    </row>
    <row r="200" spans="1:16" x14ac:dyDescent="0.2">
      <c r="A200" s="8">
        <v>99</v>
      </c>
      <c r="B200" s="8">
        <v>198</v>
      </c>
      <c r="D200">
        <v>429.12724215246999</v>
      </c>
      <c r="E200">
        <v>213.3480941704</v>
      </c>
      <c r="F200">
        <v>138.62402234637</v>
      </c>
      <c r="G200">
        <v>117.81508379888</v>
      </c>
      <c r="I200" s="9">
        <f t="shared" si="22"/>
        <v>95.533010371520007</v>
      </c>
      <c r="J200" s="9">
        <f t="shared" si="23"/>
        <v>290.50321980609999</v>
      </c>
      <c r="K200" s="9">
        <f t="shared" si="24"/>
        <v>95.533010371520007</v>
      </c>
      <c r="L200" s="10">
        <f t="shared" si="21"/>
        <v>0.32885353365544351</v>
      </c>
      <c r="M200" s="10">
        <f t="shared" si="20"/>
        <v>0.33809035112211616</v>
      </c>
      <c r="P200" s="8">
        <f t="shared" si="25"/>
        <v>1.1159163301887076</v>
      </c>
    </row>
    <row r="201" spans="1:16" x14ac:dyDescent="0.2">
      <c r="A201" s="8">
        <v>99.5</v>
      </c>
      <c r="B201" s="8">
        <v>199</v>
      </c>
      <c r="D201">
        <v>427.91984304932998</v>
      </c>
      <c r="E201">
        <v>212.94002242152999</v>
      </c>
      <c r="F201">
        <v>139.07877094972</v>
      </c>
      <c r="G201">
        <v>117.6217877095</v>
      </c>
      <c r="I201" s="9">
        <f t="shared" si="22"/>
        <v>95.318234712029991</v>
      </c>
      <c r="J201" s="9">
        <f t="shared" si="23"/>
        <v>288.84107209960996</v>
      </c>
      <c r="K201" s="9">
        <f t="shared" si="24"/>
        <v>95.318234712029991</v>
      </c>
      <c r="L201" s="10">
        <f t="shared" si="21"/>
        <v>0.33000235741805606</v>
      </c>
      <c r="M201" s="10">
        <f t="shared" si="20"/>
        <v>0.33928582547799474</v>
      </c>
      <c r="P201" s="8">
        <f t="shared" si="25"/>
        <v>1.4734582847067852</v>
      </c>
    </row>
    <row r="202" spans="1:16" x14ac:dyDescent="0.2">
      <c r="A202" s="8">
        <v>100</v>
      </c>
      <c r="B202" s="8">
        <v>200</v>
      </c>
      <c r="D202">
        <v>428.04428251120999</v>
      </c>
      <c r="E202">
        <v>213.72869955157</v>
      </c>
      <c r="F202">
        <v>138.71731843575</v>
      </c>
      <c r="G202">
        <v>117.72122905028</v>
      </c>
      <c r="I202" s="9">
        <f t="shared" si="22"/>
        <v>96.007470501290001</v>
      </c>
      <c r="J202" s="9">
        <f t="shared" si="23"/>
        <v>289.32696407545995</v>
      </c>
      <c r="K202" s="9">
        <f t="shared" si="24"/>
        <v>96.007470501290001</v>
      </c>
      <c r="L202" s="10">
        <f t="shared" si="21"/>
        <v>0.33183035949684281</v>
      </c>
      <c r="M202" s="10">
        <f t="shared" si="20"/>
        <v>0.34116047815004752</v>
      </c>
      <c r="P202" s="8">
        <f t="shared" si="25"/>
        <v>2.0341285969659677</v>
      </c>
    </row>
    <row r="203" spans="1:16" x14ac:dyDescent="0.2">
      <c r="A203" s="8">
        <v>100.5</v>
      </c>
      <c r="B203" s="8">
        <v>201</v>
      </c>
      <c r="D203">
        <v>430.87163677130002</v>
      </c>
      <c r="E203">
        <v>214.51737668160999</v>
      </c>
      <c r="F203">
        <v>139.10837988827001</v>
      </c>
      <c r="G203">
        <v>117.46815642458</v>
      </c>
      <c r="I203" s="9">
        <f t="shared" si="22"/>
        <v>97.049220257029987</v>
      </c>
      <c r="J203" s="9">
        <f t="shared" si="23"/>
        <v>291.76325688303001</v>
      </c>
      <c r="K203" s="9">
        <f t="shared" si="24"/>
        <v>97.049220257029987</v>
      </c>
      <c r="L203" s="10">
        <f t="shared" si="21"/>
        <v>0.33263002783087836</v>
      </c>
      <c r="M203" s="10">
        <f t="shared" si="20"/>
        <v>0.3420067970773491</v>
      </c>
      <c r="P203" s="8">
        <f t="shared" si="25"/>
        <v>2.2872452965631473</v>
      </c>
    </row>
    <row r="204" spans="1:16" x14ac:dyDescent="0.2">
      <c r="A204" s="8">
        <v>101</v>
      </c>
      <c r="B204" s="8">
        <v>202</v>
      </c>
      <c r="D204">
        <v>432.71692825112001</v>
      </c>
      <c r="E204">
        <v>216.47197309417001</v>
      </c>
      <c r="F204">
        <v>139.28100558659</v>
      </c>
      <c r="G204">
        <v>117.57150837989001</v>
      </c>
      <c r="I204" s="9">
        <f t="shared" si="22"/>
        <v>98.900464714280005</v>
      </c>
      <c r="J204" s="9">
        <f t="shared" si="23"/>
        <v>293.43592266453004</v>
      </c>
      <c r="K204" s="9">
        <f t="shared" si="24"/>
        <v>98.900464714280005</v>
      </c>
      <c r="L204" s="10">
        <f t="shared" si="21"/>
        <v>0.33704279904184647</v>
      </c>
      <c r="M204" s="10">
        <f t="shared" si="20"/>
        <v>0.34646621888158324</v>
      </c>
      <c r="P204" s="8">
        <f t="shared" si="25"/>
        <v>3.6209672455669208</v>
      </c>
    </row>
    <row r="205" spans="1:16" x14ac:dyDescent="0.2">
      <c r="A205" s="8">
        <v>101.5</v>
      </c>
      <c r="B205" s="8">
        <v>203</v>
      </c>
      <c r="D205">
        <v>429.75757575758001</v>
      </c>
      <c r="E205">
        <v>219.86812570146</v>
      </c>
      <c r="F205">
        <v>138.72067039106</v>
      </c>
      <c r="G205">
        <v>117.57430167598</v>
      </c>
      <c r="I205" s="9">
        <f t="shared" si="22"/>
        <v>102.29382402548001</v>
      </c>
      <c r="J205" s="9">
        <f t="shared" si="23"/>
        <v>291.03690536652005</v>
      </c>
      <c r="K205" s="9">
        <f t="shared" si="24"/>
        <v>102.29382402548001</v>
      </c>
      <c r="L205" s="10">
        <f t="shared" si="21"/>
        <v>0.35148059280198612</v>
      </c>
      <c r="M205" s="10">
        <f t="shared" si="20"/>
        <v>0.36095066323498887</v>
      </c>
      <c r="P205" s="8">
        <f t="shared" si="25"/>
        <v>7.9529686128559556</v>
      </c>
    </row>
    <row r="206" spans="1:16" x14ac:dyDescent="0.2">
      <c r="A206" s="8">
        <v>102</v>
      </c>
      <c r="B206" s="8">
        <v>204</v>
      </c>
      <c r="D206">
        <v>432.48877665544001</v>
      </c>
      <c r="E206">
        <v>221.81088664422001</v>
      </c>
      <c r="F206">
        <v>138.88435754189999</v>
      </c>
      <c r="G206">
        <v>117.44469273743</v>
      </c>
      <c r="I206" s="9">
        <f t="shared" si="22"/>
        <v>104.36619390679</v>
      </c>
      <c r="J206" s="9">
        <f t="shared" si="23"/>
        <v>293.60441911354002</v>
      </c>
      <c r="K206" s="9">
        <f t="shared" si="24"/>
        <v>104.36619390679</v>
      </c>
      <c r="L206" s="10">
        <f t="shared" si="21"/>
        <v>0.35546533741520581</v>
      </c>
      <c r="M206" s="10">
        <f t="shared" si="20"/>
        <v>0.36498205844147458</v>
      </c>
      <c r="P206" s="8">
        <f t="shared" si="25"/>
        <v>9.1586765516953488</v>
      </c>
    </row>
    <row r="207" spans="1:16" x14ac:dyDescent="0.2">
      <c r="A207" s="8">
        <v>102.5</v>
      </c>
      <c r="B207" s="8">
        <v>205</v>
      </c>
      <c r="D207">
        <v>432.35858585859</v>
      </c>
      <c r="E207">
        <v>224.74915824915999</v>
      </c>
      <c r="F207">
        <v>139.29385474860001</v>
      </c>
      <c r="G207">
        <v>117.34748603352</v>
      </c>
      <c r="I207" s="9">
        <f t="shared" si="22"/>
        <v>107.40167221563999</v>
      </c>
      <c r="J207" s="9">
        <f t="shared" si="23"/>
        <v>293.06473110999002</v>
      </c>
      <c r="K207" s="9">
        <f t="shared" si="24"/>
        <v>107.40167221563999</v>
      </c>
      <c r="L207" s="10">
        <f t="shared" si="21"/>
        <v>0.36647764406468653</v>
      </c>
      <c r="M207" s="10">
        <f t="shared" si="20"/>
        <v>0.37604101568422132</v>
      </c>
      <c r="P207" s="8">
        <f t="shared" si="25"/>
        <v>12.466184712000148</v>
      </c>
    </row>
    <row r="208" spans="1:16" x14ac:dyDescent="0.2">
      <c r="A208" s="8">
        <v>103</v>
      </c>
      <c r="B208" s="8">
        <v>206</v>
      </c>
      <c r="D208">
        <v>429.93827160493998</v>
      </c>
      <c r="E208">
        <v>223.17059483726001</v>
      </c>
      <c r="F208">
        <v>138.86983240224001</v>
      </c>
      <c r="G208">
        <v>117.33854748603</v>
      </c>
      <c r="I208" s="9">
        <f t="shared" si="22"/>
        <v>105.83204735123002</v>
      </c>
      <c r="J208" s="9">
        <f t="shared" si="23"/>
        <v>291.06843920270001</v>
      </c>
      <c r="K208" s="9">
        <f t="shared" si="24"/>
        <v>105.83204735123002</v>
      </c>
      <c r="L208" s="10">
        <f t="shared" si="21"/>
        <v>0.36359849814403478</v>
      </c>
      <c r="M208" s="10">
        <f t="shared" si="20"/>
        <v>0.3732085203568356</v>
      </c>
      <c r="P208" s="8">
        <f t="shared" si="25"/>
        <v>11.619043231685808</v>
      </c>
    </row>
    <row r="209" spans="1:16" x14ac:dyDescent="0.2">
      <c r="A209" s="8">
        <v>103.5</v>
      </c>
      <c r="B209" s="8">
        <v>207</v>
      </c>
      <c r="D209">
        <v>427.32940516273999</v>
      </c>
      <c r="E209">
        <v>223.53815937149</v>
      </c>
      <c r="F209">
        <v>138.72905027933001</v>
      </c>
      <c r="G209">
        <v>117.66424581006</v>
      </c>
      <c r="I209" s="9">
        <f t="shared" si="22"/>
        <v>105.87391356143</v>
      </c>
      <c r="J209" s="9">
        <f t="shared" si="23"/>
        <v>288.60035488340998</v>
      </c>
      <c r="K209" s="9">
        <f t="shared" si="24"/>
        <v>105.87391356143</v>
      </c>
      <c r="L209" s="10">
        <f t="shared" si="21"/>
        <v>0.36685302623484783</v>
      </c>
      <c r="M209" s="10">
        <f t="shared" si="20"/>
        <v>0.37650969904091469</v>
      </c>
      <c r="P209" s="8">
        <f t="shared" si="25"/>
        <v>12.606358328086698</v>
      </c>
    </row>
    <row r="210" spans="1:16" x14ac:dyDescent="0.2">
      <c r="A210" s="8">
        <v>104</v>
      </c>
      <c r="B210" s="8">
        <v>208</v>
      </c>
      <c r="D210">
        <v>427.62626262625997</v>
      </c>
      <c r="E210">
        <v>223.84960718293999</v>
      </c>
      <c r="F210">
        <v>138.66480446927</v>
      </c>
      <c r="G210">
        <v>117.66592178771</v>
      </c>
      <c r="I210" s="9">
        <f t="shared" si="22"/>
        <v>106.18368539522999</v>
      </c>
      <c r="J210" s="9">
        <f t="shared" si="23"/>
        <v>288.96145815698998</v>
      </c>
      <c r="K210" s="9">
        <f t="shared" si="24"/>
        <v>106.18368539522999</v>
      </c>
      <c r="L210" s="10">
        <f t="shared" si="21"/>
        <v>0.36746660289048449</v>
      </c>
      <c r="M210" s="10">
        <f t="shared" si="20"/>
        <v>0.37716992628981738</v>
      </c>
      <c r="P210" s="8">
        <f t="shared" si="25"/>
        <v>12.803818808805481</v>
      </c>
    </row>
    <row r="211" spans="1:16" x14ac:dyDescent="0.2">
      <c r="A211" s="8">
        <v>104.5</v>
      </c>
      <c r="B211" s="8">
        <v>209</v>
      </c>
      <c r="D211">
        <v>428.93714927048001</v>
      </c>
      <c r="E211">
        <v>225.43153759820001</v>
      </c>
      <c r="F211">
        <v>139.14469273743001</v>
      </c>
      <c r="G211">
        <v>117.90614525140001</v>
      </c>
      <c r="I211" s="9">
        <f t="shared" si="22"/>
        <v>107.5253923468</v>
      </c>
      <c r="J211" s="9">
        <f t="shared" si="23"/>
        <v>289.79245653304997</v>
      </c>
      <c r="K211" s="9">
        <f t="shared" si="24"/>
        <v>107.5253923468</v>
      </c>
      <c r="L211" s="10">
        <f t="shared" si="21"/>
        <v>0.37104275809379822</v>
      </c>
      <c r="M211" s="10">
        <f t="shared" si="20"/>
        <v>0.38079273208639713</v>
      </c>
      <c r="P211" s="8">
        <f t="shared" si="25"/>
        <v>13.887326003233422</v>
      </c>
    </row>
    <row r="212" spans="1:16" x14ac:dyDescent="0.2">
      <c r="A212" s="8">
        <v>105</v>
      </c>
      <c r="B212" s="8">
        <v>210</v>
      </c>
      <c r="D212">
        <v>428.21885521886003</v>
      </c>
      <c r="E212">
        <v>226.13973063973</v>
      </c>
      <c r="F212">
        <v>138.61620111732</v>
      </c>
      <c r="G212">
        <v>117.47597765363</v>
      </c>
      <c r="I212" s="9">
        <f t="shared" si="22"/>
        <v>108.66375298610001</v>
      </c>
      <c r="J212" s="9">
        <f t="shared" si="23"/>
        <v>289.60265410154</v>
      </c>
      <c r="K212" s="9">
        <f t="shared" si="24"/>
        <v>108.66375298610001</v>
      </c>
      <c r="L212" s="10">
        <f t="shared" si="21"/>
        <v>0.37521670277234581</v>
      </c>
      <c r="M212" s="10">
        <f t="shared" si="20"/>
        <v>0.38501332735821076</v>
      </c>
      <c r="P212" s="8">
        <f t="shared" si="25"/>
        <v>15.149619815972695</v>
      </c>
    </row>
    <row r="213" spans="1:16" x14ac:dyDescent="0.2">
      <c r="A213" s="8">
        <v>105.5</v>
      </c>
      <c r="B213" s="8">
        <v>211</v>
      </c>
      <c r="D213">
        <v>427.69865319864999</v>
      </c>
      <c r="E213">
        <v>225.04601571268</v>
      </c>
      <c r="F213">
        <v>138.90502793296</v>
      </c>
      <c r="G213">
        <v>117.55139664805</v>
      </c>
      <c r="I213" s="9">
        <f t="shared" si="22"/>
        <v>107.49461906463</v>
      </c>
      <c r="J213" s="9">
        <f t="shared" si="23"/>
        <v>288.79362526569003</v>
      </c>
      <c r="K213" s="9">
        <f t="shared" si="24"/>
        <v>107.49461906463</v>
      </c>
      <c r="L213" s="10">
        <f t="shared" si="21"/>
        <v>0.37221950091777473</v>
      </c>
      <c r="M213" s="10">
        <f t="shared" si="20"/>
        <v>0.3820627760969057</v>
      </c>
      <c r="P213" s="8">
        <f t="shared" si="25"/>
        <v>14.267170217881997</v>
      </c>
    </row>
    <row r="214" spans="1:16" x14ac:dyDescent="0.2">
      <c r="A214" s="8">
        <v>106</v>
      </c>
      <c r="B214" s="8">
        <v>212</v>
      </c>
      <c r="D214">
        <v>427.11896745230001</v>
      </c>
      <c r="E214">
        <v>225.59539842872999</v>
      </c>
      <c r="F214">
        <v>138.74469273743</v>
      </c>
      <c r="G214">
        <v>117.57597765363001</v>
      </c>
      <c r="I214" s="9">
        <f t="shared" si="22"/>
        <v>108.01942077509999</v>
      </c>
      <c r="J214" s="9">
        <f t="shared" si="23"/>
        <v>288.37427471487001</v>
      </c>
      <c r="K214" s="9">
        <f t="shared" si="24"/>
        <v>108.01942077509999</v>
      </c>
      <c r="L214" s="10">
        <f t="shared" si="21"/>
        <v>0.37458064136235508</v>
      </c>
      <c r="M214" s="10">
        <f t="shared" si="20"/>
        <v>0.38447056713475208</v>
      </c>
      <c r="P214" s="8">
        <f t="shared" si="25"/>
        <v>14.987291322537583</v>
      </c>
    </row>
    <row r="215" spans="1:16" x14ac:dyDescent="0.2">
      <c r="A215" s="8">
        <v>106.5</v>
      </c>
      <c r="B215" s="8">
        <v>213</v>
      </c>
      <c r="D215">
        <v>426.92143658809999</v>
      </c>
      <c r="E215">
        <v>227.12457912458001</v>
      </c>
      <c r="F215">
        <v>139.37039106144999</v>
      </c>
      <c r="G215">
        <v>117.51843575418999</v>
      </c>
      <c r="I215" s="9">
        <f t="shared" si="22"/>
        <v>109.60614337039001</v>
      </c>
      <c r="J215" s="9">
        <f t="shared" si="23"/>
        <v>287.55104552665</v>
      </c>
      <c r="K215" s="9">
        <f t="shared" si="24"/>
        <v>109.60614337039001</v>
      </c>
      <c r="L215" s="10">
        <f t="shared" si="21"/>
        <v>0.38117108275383338</v>
      </c>
      <c r="M215" s="10">
        <f t="shared" si="20"/>
        <v>0.39110765911949635</v>
      </c>
      <c r="P215" s="8">
        <f t="shared" si="25"/>
        <v>16.972309929480211</v>
      </c>
    </row>
    <row r="216" spans="1:16" x14ac:dyDescent="0.2">
      <c r="A216" s="8">
        <v>107</v>
      </c>
      <c r="B216" s="8">
        <v>214</v>
      </c>
      <c r="D216">
        <v>426.36924803592001</v>
      </c>
      <c r="E216">
        <v>225.68855218855001</v>
      </c>
      <c r="F216">
        <v>138.90558659217999</v>
      </c>
      <c r="G216">
        <v>117.70055865921999</v>
      </c>
      <c r="I216" s="9">
        <f t="shared" si="22"/>
        <v>107.98799352933001</v>
      </c>
      <c r="J216" s="9">
        <f t="shared" si="23"/>
        <v>287.46366144374002</v>
      </c>
      <c r="K216" s="9">
        <f t="shared" si="24"/>
        <v>107.98799352933001</v>
      </c>
      <c r="L216" s="10">
        <f t="shared" si="21"/>
        <v>0.37565789354723195</v>
      </c>
      <c r="M216" s="10">
        <f t="shared" si="20"/>
        <v>0.38564112050616095</v>
      </c>
      <c r="P216" s="8">
        <f t="shared" si="25"/>
        <v>15.337379919773674</v>
      </c>
    </row>
    <row r="217" spans="1:16" x14ac:dyDescent="0.2">
      <c r="A217" s="8">
        <v>107.5</v>
      </c>
      <c r="B217" s="8">
        <v>215</v>
      </c>
      <c r="D217">
        <v>425.94276094276</v>
      </c>
      <c r="E217">
        <v>225.24466891134</v>
      </c>
      <c r="F217">
        <v>138.64469273743001</v>
      </c>
      <c r="G217">
        <v>117.3061452514</v>
      </c>
      <c r="I217" s="9">
        <f t="shared" si="22"/>
        <v>107.93852365994</v>
      </c>
      <c r="J217" s="9">
        <f t="shared" si="23"/>
        <v>287.29806820532997</v>
      </c>
      <c r="K217" s="9">
        <f t="shared" si="24"/>
        <v>107.93852365994</v>
      </c>
      <c r="L217" s="10">
        <f t="shared" si="21"/>
        <v>0.37570222568568429</v>
      </c>
      <c r="M217" s="10">
        <f t="shared" si="20"/>
        <v>0.38573210323787932</v>
      </c>
      <c r="P217" s="8">
        <f t="shared" si="25"/>
        <v>15.364590995917649</v>
      </c>
    </row>
    <row r="218" spans="1:16" x14ac:dyDescent="0.2">
      <c r="A218" s="8">
        <v>108</v>
      </c>
      <c r="B218" s="8">
        <v>216</v>
      </c>
      <c r="D218">
        <v>425.38215488216002</v>
      </c>
      <c r="E218">
        <v>225.74074074073999</v>
      </c>
      <c r="F218">
        <v>139.02458100558999</v>
      </c>
      <c r="G218">
        <v>117.21731843575</v>
      </c>
      <c r="I218" s="9">
        <f t="shared" si="22"/>
        <v>108.52342230498999</v>
      </c>
      <c r="J218" s="9">
        <f t="shared" si="23"/>
        <v>286.35757387657003</v>
      </c>
      <c r="K218" s="9">
        <f t="shared" si="24"/>
        <v>108.52342230498999</v>
      </c>
      <c r="L218" s="10">
        <f t="shared" si="21"/>
        <v>0.37897870426771851</v>
      </c>
      <c r="M218" s="10">
        <f t="shared" si="20"/>
        <v>0.38905523241317957</v>
      </c>
      <c r="P218" s="8">
        <f t="shared" si="25"/>
        <v>16.358471035761497</v>
      </c>
    </row>
    <row r="219" spans="1:16" x14ac:dyDescent="0.2">
      <c r="A219" s="8">
        <v>108.5</v>
      </c>
      <c r="B219" s="8">
        <v>217</v>
      </c>
      <c r="D219">
        <v>425.52637485971002</v>
      </c>
      <c r="E219">
        <v>225.51459034792001</v>
      </c>
      <c r="F219">
        <v>138.8156424581</v>
      </c>
      <c r="G219">
        <v>117.42458100559</v>
      </c>
      <c r="I219" s="9">
        <f t="shared" si="22"/>
        <v>108.09000934233001</v>
      </c>
      <c r="J219" s="9">
        <f t="shared" si="23"/>
        <v>286.71073240161002</v>
      </c>
      <c r="K219" s="9">
        <f t="shared" si="24"/>
        <v>108.09000934233001</v>
      </c>
      <c r="L219" s="10">
        <f t="shared" si="21"/>
        <v>0.37700022052513521</v>
      </c>
      <c r="M219" s="10">
        <f t="shared" si="20"/>
        <v>0.3871233992638623</v>
      </c>
      <c r="P219" s="8">
        <f t="shared" si="25"/>
        <v>15.780699211034987</v>
      </c>
    </row>
    <row r="220" spans="1:16" x14ac:dyDescent="0.2">
      <c r="A220" s="8">
        <v>109</v>
      </c>
      <c r="B220" s="8">
        <v>218</v>
      </c>
      <c r="D220">
        <v>420.27777777777999</v>
      </c>
      <c r="E220">
        <v>226.87542087541999</v>
      </c>
      <c r="F220">
        <v>138.82011173184</v>
      </c>
      <c r="G220">
        <v>117.48212290503</v>
      </c>
      <c r="I220" s="9">
        <f t="shared" si="22"/>
        <v>109.39329797038999</v>
      </c>
      <c r="J220" s="9">
        <f t="shared" si="23"/>
        <v>281.45766604593996</v>
      </c>
      <c r="K220" s="9">
        <f t="shared" si="24"/>
        <v>109.39329797038999</v>
      </c>
      <c r="L220" s="10">
        <f t="shared" si="21"/>
        <v>0.38866696902309511</v>
      </c>
      <c r="M220" s="10">
        <f t="shared" si="20"/>
        <v>0.39883679835508823</v>
      </c>
      <c r="P220" s="8">
        <f t="shared" si="25"/>
        <v>19.283937556996268</v>
      </c>
    </row>
    <row r="221" spans="1:16" x14ac:dyDescent="0.2">
      <c r="A221" s="8">
        <v>109.5</v>
      </c>
      <c r="B221" s="8">
        <v>219</v>
      </c>
      <c r="D221">
        <v>425.68237934905</v>
      </c>
      <c r="E221">
        <v>229.08024691358</v>
      </c>
      <c r="F221">
        <v>139.23687150838001</v>
      </c>
      <c r="G221">
        <v>117.41005586592</v>
      </c>
      <c r="I221" s="9">
        <f t="shared" si="22"/>
        <v>111.67019104766</v>
      </c>
      <c r="J221" s="9">
        <f t="shared" si="23"/>
        <v>286.44550784066996</v>
      </c>
      <c r="K221" s="9">
        <f t="shared" si="24"/>
        <v>111.67019104766</v>
      </c>
      <c r="L221" s="10">
        <f t="shared" si="21"/>
        <v>0.38984793962897296</v>
      </c>
      <c r="M221" s="10">
        <f t="shared" si="20"/>
        <v>0.40006441955423211</v>
      </c>
      <c r="P221" s="8">
        <f t="shared" si="25"/>
        <v>19.651093975527012</v>
      </c>
    </row>
    <row r="222" spans="1:16" x14ac:dyDescent="0.2">
      <c r="A222" s="8">
        <v>110</v>
      </c>
      <c r="B222" s="8">
        <v>220</v>
      </c>
      <c r="D222">
        <v>426.72272215972998</v>
      </c>
      <c r="E222">
        <v>230.35826771654001</v>
      </c>
      <c r="F222">
        <v>139.10335195530999</v>
      </c>
      <c r="G222">
        <v>117.63631284916001</v>
      </c>
      <c r="I222" s="9">
        <f t="shared" si="22"/>
        <v>112.72195486738001</v>
      </c>
      <c r="J222" s="9">
        <f t="shared" si="23"/>
        <v>287.61937020441997</v>
      </c>
      <c r="K222" s="9">
        <f t="shared" si="24"/>
        <v>112.72195486738001</v>
      </c>
      <c r="L222" s="10">
        <f t="shared" si="21"/>
        <v>0.39191364193331291</v>
      </c>
      <c r="M222" s="10">
        <f t="shared" si="20"/>
        <v>0.40217677245183808</v>
      </c>
      <c r="P222" s="8">
        <f t="shared" si="25"/>
        <v>20.282855568678805</v>
      </c>
    </row>
    <row r="223" spans="1:16" x14ac:dyDescent="0.2">
      <c r="A223" s="8">
        <v>110.5</v>
      </c>
      <c r="B223" s="8">
        <v>221</v>
      </c>
      <c r="D223">
        <v>424.5455568054</v>
      </c>
      <c r="E223">
        <v>231.70416197975001</v>
      </c>
      <c r="F223">
        <v>138.50670391061999</v>
      </c>
      <c r="G223">
        <v>117.48268156425</v>
      </c>
      <c r="I223" s="9">
        <f t="shared" si="22"/>
        <v>114.22148041550001</v>
      </c>
      <c r="J223" s="9">
        <f t="shared" si="23"/>
        <v>286.03885289478001</v>
      </c>
      <c r="K223" s="9">
        <f t="shared" si="24"/>
        <v>114.22148041550001</v>
      </c>
      <c r="L223" s="10">
        <f t="shared" si="21"/>
        <v>0.39932155810146752</v>
      </c>
      <c r="M223" s="10">
        <f t="shared" si="20"/>
        <v>0.40963133921325873</v>
      </c>
      <c r="P223" s="8">
        <f t="shared" si="25"/>
        <v>22.512364179095659</v>
      </c>
    </row>
    <row r="224" spans="1:16" x14ac:dyDescent="0.2">
      <c r="A224" s="8">
        <v>111</v>
      </c>
      <c r="B224" s="8">
        <v>222</v>
      </c>
      <c r="D224">
        <v>426.08492688413997</v>
      </c>
      <c r="E224">
        <v>235.52305961754999</v>
      </c>
      <c r="F224">
        <v>138.93854748602999</v>
      </c>
      <c r="G224">
        <v>117.26927374301999</v>
      </c>
      <c r="I224" s="9">
        <f t="shared" si="22"/>
        <v>118.25378587453</v>
      </c>
      <c r="J224" s="9">
        <f t="shared" si="23"/>
        <v>287.14637939810996</v>
      </c>
      <c r="K224" s="9">
        <f t="shared" si="24"/>
        <v>118.25378587453</v>
      </c>
      <c r="L224" s="10">
        <f t="shared" si="21"/>
        <v>0.41182405337097683</v>
      </c>
      <c r="M224" s="10">
        <f t="shared" si="20"/>
        <v>0.42218048507603406</v>
      </c>
      <c r="P224" s="8">
        <f t="shared" si="25"/>
        <v>26.265557308873561</v>
      </c>
    </row>
    <row r="225" spans="1:16" x14ac:dyDescent="0.2">
      <c r="A225" s="8">
        <v>111.5</v>
      </c>
      <c r="B225" s="8">
        <v>223</v>
      </c>
      <c r="D225">
        <v>426.24296962879998</v>
      </c>
      <c r="E225">
        <v>234.92294713160999</v>
      </c>
      <c r="F225">
        <v>138.54022346369001</v>
      </c>
      <c r="G225">
        <v>117.46927374302</v>
      </c>
      <c r="I225" s="9">
        <f t="shared" si="22"/>
        <v>117.45367338858999</v>
      </c>
      <c r="J225" s="9">
        <f t="shared" si="23"/>
        <v>287.70274616510994</v>
      </c>
      <c r="K225" s="9">
        <f t="shared" si="24"/>
        <v>117.45367338858999</v>
      </c>
      <c r="L225" s="10">
        <f t="shared" si="21"/>
        <v>0.40824661896409015</v>
      </c>
      <c r="M225" s="10">
        <f t="shared" si="20"/>
        <v>0.41864970126241335</v>
      </c>
      <c r="P225" s="8">
        <f t="shared" si="25"/>
        <v>25.209572009402226</v>
      </c>
    </row>
    <row r="226" spans="1:16" x14ac:dyDescent="0.2">
      <c r="A226" s="8">
        <v>112</v>
      </c>
      <c r="B226" s="8">
        <v>224</v>
      </c>
      <c r="D226">
        <v>423.08661417322998</v>
      </c>
      <c r="E226">
        <v>233.29640044993999</v>
      </c>
      <c r="F226">
        <v>138.38547486034</v>
      </c>
      <c r="G226">
        <v>117.68324022346</v>
      </c>
      <c r="I226" s="9">
        <f t="shared" si="22"/>
        <v>115.61316022647999</v>
      </c>
      <c r="J226" s="9">
        <f t="shared" si="23"/>
        <v>284.70113931288995</v>
      </c>
      <c r="K226" s="9">
        <f t="shared" si="24"/>
        <v>115.61316022647999</v>
      </c>
      <c r="L226" s="10">
        <f t="shared" si="21"/>
        <v>0.40608604695262474</v>
      </c>
      <c r="M226" s="10">
        <f t="shared" si="20"/>
        <v>0.41653577984421397</v>
      </c>
      <c r="P226" s="8">
        <f t="shared" si="25"/>
        <v>24.57734130378816</v>
      </c>
    </row>
    <row r="227" spans="1:16" x14ac:dyDescent="0.2">
      <c r="A227" s="8">
        <v>112.5</v>
      </c>
      <c r="B227" s="8">
        <v>225</v>
      </c>
      <c r="D227">
        <v>423.81496062991999</v>
      </c>
      <c r="E227">
        <v>233.22609673791001</v>
      </c>
      <c r="F227">
        <v>138.84189944133999</v>
      </c>
      <c r="G227">
        <v>117.43798882682</v>
      </c>
      <c r="I227" s="9">
        <f t="shared" si="22"/>
        <v>115.78810791109001</v>
      </c>
      <c r="J227" s="9">
        <f t="shared" si="23"/>
        <v>284.97306118858</v>
      </c>
      <c r="K227" s="9">
        <f t="shared" si="24"/>
        <v>115.78810791109001</v>
      </c>
      <c r="L227" s="10">
        <f t="shared" si="21"/>
        <v>0.40631246837211604</v>
      </c>
      <c r="M227" s="10">
        <f t="shared" si="20"/>
        <v>0.41680885185697131</v>
      </c>
      <c r="P227" s="8">
        <f t="shared" si="25"/>
        <v>24.659011563535131</v>
      </c>
    </row>
    <row r="228" spans="1:16" x14ac:dyDescent="0.2">
      <c r="A228" s="8">
        <v>113</v>
      </c>
      <c r="B228" s="8">
        <v>226</v>
      </c>
      <c r="D228">
        <v>424.44881889764002</v>
      </c>
      <c r="E228">
        <v>235.78515185602001</v>
      </c>
      <c r="F228">
        <v>139.21508379887999</v>
      </c>
      <c r="G228">
        <v>117.48268156425</v>
      </c>
      <c r="I228" s="9">
        <f t="shared" si="22"/>
        <v>118.30247029177001</v>
      </c>
      <c r="J228" s="9">
        <f t="shared" si="23"/>
        <v>285.23373509876001</v>
      </c>
      <c r="K228" s="9">
        <f t="shared" si="24"/>
        <v>118.30247029177001</v>
      </c>
      <c r="L228" s="10">
        <f t="shared" si="21"/>
        <v>0.41475623579661319</v>
      </c>
      <c r="M228" s="10">
        <f t="shared" si="20"/>
        <v>0.42529926987473449</v>
      </c>
      <c r="P228" s="8">
        <f t="shared" si="25"/>
        <v>27.198322120736972</v>
      </c>
    </row>
    <row r="229" spans="1:16" x14ac:dyDescent="0.2">
      <c r="A229" s="8">
        <v>113.5</v>
      </c>
      <c r="B229" s="8">
        <v>227</v>
      </c>
      <c r="D229">
        <v>425.34139482565001</v>
      </c>
      <c r="E229">
        <v>239.99268841394999</v>
      </c>
      <c r="F229">
        <v>138.82402234636999</v>
      </c>
      <c r="G229">
        <v>117.74301675978001</v>
      </c>
      <c r="I229" s="9">
        <f t="shared" si="22"/>
        <v>122.24967165416999</v>
      </c>
      <c r="J229" s="9">
        <f t="shared" si="23"/>
        <v>286.51737247928003</v>
      </c>
      <c r="K229" s="9">
        <f t="shared" si="24"/>
        <v>122.24967165416999</v>
      </c>
      <c r="L229" s="10">
        <f t="shared" si="21"/>
        <v>0.42667455238865376</v>
      </c>
      <c r="M229" s="10">
        <f t="shared" si="20"/>
        <v>0.43726423706004108</v>
      </c>
      <c r="P229" s="8">
        <f t="shared" si="25"/>
        <v>30.776799343726179</v>
      </c>
    </row>
    <row r="230" spans="1:16" x14ac:dyDescent="0.2">
      <c r="A230" s="8">
        <v>114</v>
      </c>
      <c r="B230" s="8">
        <v>228</v>
      </c>
      <c r="D230">
        <v>421.66816647919001</v>
      </c>
      <c r="E230">
        <v>239.07930258718</v>
      </c>
      <c r="F230">
        <v>139.20167597765001</v>
      </c>
      <c r="G230">
        <v>117.40502793296</v>
      </c>
      <c r="I230" s="9">
        <f t="shared" si="22"/>
        <v>121.67427465422</v>
      </c>
      <c r="J230" s="9">
        <f t="shared" si="23"/>
        <v>282.46649050153997</v>
      </c>
      <c r="K230" s="9">
        <f t="shared" si="24"/>
        <v>121.67427465422</v>
      </c>
      <c r="L230" s="10">
        <f t="shared" si="21"/>
        <v>0.43075649234774149</v>
      </c>
      <c r="M230" s="10">
        <f t="shared" si="20"/>
        <v>0.44139282761239484</v>
      </c>
      <c r="P230" s="8">
        <f t="shared" si="25"/>
        <v>32.011576424668739</v>
      </c>
    </row>
    <row r="231" spans="1:16" x14ac:dyDescent="0.2">
      <c r="A231" s="8">
        <v>114.5</v>
      </c>
      <c r="B231" s="8">
        <v>229</v>
      </c>
      <c r="D231">
        <v>425.09673790775997</v>
      </c>
      <c r="E231">
        <v>238.74746906637</v>
      </c>
      <c r="F231">
        <v>138.41284916200999</v>
      </c>
      <c r="G231">
        <v>117.54245810056</v>
      </c>
      <c r="I231" s="9">
        <f t="shared" si="22"/>
        <v>121.20501096581</v>
      </c>
      <c r="J231" s="9">
        <f t="shared" si="23"/>
        <v>286.68388874574998</v>
      </c>
      <c r="K231" s="9">
        <f t="shared" si="24"/>
        <v>121.20501096581</v>
      </c>
      <c r="L231" s="10">
        <f t="shared" si="21"/>
        <v>0.42278277825825966</v>
      </c>
      <c r="M231" s="10">
        <f t="shared" si="20"/>
        <v>0.43346576411617904</v>
      </c>
      <c r="P231" s="8">
        <f t="shared" si="25"/>
        <v>29.640753694688094</v>
      </c>
    </row>
    <row r="232" spans="1:16" x14ac:dyDescent="0.2">
      <c r="A232" s="8">
        <v>115</v>
      </c>
      <c r="B232" s="8">
        <v>230</v>
      </c>
      <c r="D232">
        <v>422.79865016872998</v>
      </c>
      <c r="E232">
        <v>235.61698537683</v>
      </c>
      <c r="F232">
        <v>138.84636871507999</v>
      </c>
      <c r="G232">
        <v>117.41061452514001</v>
      </c>
      <c r="I232" s="9">
        <f t="shared" si="22"/>
        <v>118.20637085169</v>
      </c>
      <c r="J232" s="9">
        <f t="shared" si="23"/>
        <v>283.95228145365002</v>
      </c>
      <c r="K232" s="9">
        <f t="shared" si="24"/>
        <v>118.20637085169</v>
      </c>
      <c r="L232" s="10">
        <f t="shared" si="21"/>
        <v>0.41628956191706107</v>
      </c>
      <c r="M232" s="10">
        <f t="shared" si="20"/>
        <v>0.42701919836824648</v>
      </c>
      <c r="P232" s="8">
        <f t="shared" si="25"/>
        <v>27.712717592440484</v>
      </c>
    </row>
    <row r="233" spans="1:16" x14ac:dyDescent="0.2">
      <c r="A233" s="8">
        <v>115.5</v>
      </c>
      <c r="B233" s="8">
        <v>231</v>
      </c>
      <c r="D233">
        <v>423.75984251968998</v>
      </c>
      <c r="E233">
        <v>234.64116985377001</v>
      </c>
      <c r="F233">
        <v>138.95530726256999</v>
      </c>
      <c r="G233">
        <v>117.18100558659</v>
      </c>
      <c r="I233" s="9">
        <f t="shared" si="22"/>
        <v>117.46016426718001</v>
      </c>
      <c r="J233" s="9">
        <f t="shared" si="23"/>
        <v>284.80453525711999</v>
      </c>
      <c r="K233" s="9">
        <f t="shared" si="24"/>
        <v>117.46016426718001</v>
      </c>
      <c r="L233" s="10">
        <f t="shared" si="21"/>
        <v>0.41242378447779143</v>
      </c>
      <c r="M233" s="10">
        <f t="shared" si="20"/>
        <v>0.42320007152224287</v>
      </c>
      <c r="P233" s="8">
        <f t="shared" si="25"/>
        <v>26.5704947832619</v>
      </c>
    </row>
    <row r="234" spans="1:16" x14ac:dyDescent="0.2">
      <c r="A234" s="8">
        <v>116</v>
      </c>
      <c r="B234" s="8">
        <v>232</v>
      </c>
      <c r="D234">
        <v>423.16591676041003</v>
      </c>
      <c r="E234">
        <v>233.08942632170999</v>
      </c>
      <c r="F234">
        <v>138.34860335196001</v>
      </c>
      <c r="G234">
        <v>116.93016759776999</v>
      </c>
      <c r="I234" s="9">
        <f t="shared" si="22"/>
        <v>116.15925872394</v>
      </c>
      <c r="J234" s="9">
        <f t="shared" si="23"/>
        <v>284.81731340844999</v>
      </c>
      <c r="K234" s="9">
        <f t="shared" si="24"/>
        <v>116.15925872394</v>
      </c>
      <c r="L234" s="10">
        <f t="shared" si="21"/>
        <v>0.40783777268960708</v>
      </c>
      <c r="M234" s="10">
        <f t="shared" si="20"/>
        <v>0.41866071032732455</v>
      </c>
      <c r="P234" s="8">
        <f t="shared" si="25"/>
        <v>25.21286459578554</v>
      </c>
    </row>
    <row r="235" spans="1:16" x14ac:dyDescent="0.2">
      <c r="A235" s="8">
        <v>116.5</v>
      </c>
      <c r="B235" s="8">
        <v>233</v>
      </c>
      <c r="D235">
        <v>418.86557930258999</v>
      </c>
      <c r="E235">
        <v>232.39482564679</v>
      </c>
      <c r="F235">
        <v>138.58770949721</v>
      </c>
      <c r="G235">
        <v>117.45977653631</v>
      </c>
      <c r="I235" s="9">
        <f t="shared" si="22"/>
        <v>114.93504911047999</v>
      </c>
      <c r="J235" s="9">
        <f t="shared" si="23"/>
        <v>280.27786980537996</v>
      </c>
      <c r="K235" s="9">
        <f t="shared" si="24"/>
        <v>114.93504911047999</v>
      </c>
      <c r="L235" s="10">
        <f t="shared" si="21"/>
        <v>0.41007536267593614</v>
      </c>
      <c r="M235" s="10">
        <f t="shared" si="20"/>
        <v>0.42094495090691963</v>
      </c>
      <c r="P235" s="8">
        <f t="shared" si="25"/>
        <v>25.896034282698409</v>
      </c>
    </row>
    <row r="236" spans="1:16" x14ac:dyDescent="0.2">
      <c r="A236" s="8">
        <v>117</v>
      </c>
      <c r="B236" s="8">
        <v>234</v>
      </c>
      <c r="D236">
        <v>418.34026996624999</v>
      </c>
      <c r="E236">
        <v>231.46681664792001</v>
      </c>
      <c r="F236">
        <v>138.53910614525</v>
      </c>
      <c r="G236">
        <v>117.03296089385999</v>
      </c>
      <c r="I236" s="9">
        <f t="shared" si="22"/>
        <v>114.43385575406002</v>
      </c>
      <c r="J236" s="9">
        <f t="shared" si="23"/>
        <v>279.80116382099999</v>
      </c>
      <c r="K236" s="9">
        <f t="shared" si="24"/>
        <v>114.43385575406002</v>
      </c>
      <c r="L236" s="10">
        <f t="shared" si="21"/>
        <v>0.4089827725922825</v>
      </c>
      <c r="M236" s="10">
        <f t="shared" si="20"/>
        <v>0.41989901141653196</v>
      </c>
      <c r="P236" s="8">
        <f t="shared" si="25"/>
        <v>25.583215151228195</v>
      </c>
    </row>
    <row r="237" spans="1:16" x14ac:dyDescent="0.2">
      <c r="A237" s="8">
        <v>117.5</v>
      </c>
      <c r="B237" s="8">
        <v>235</v>
      </c>
      <c r="D237">
        <v>417.83352080989999</v>
      </c>
      <c r="E237">
        <v>230.25534308211999</v>
      </c>
      <c r="F237">
        <v>138.64413407820999</v>
      </c>
      <c r="G237">
        <v>117.45251396648</v>
      </c>
      <c r="I237" s="9">
        <f t="shared" si="22"/>
        <v>112.80282911563999</v>
      </c>
      <c r="J237" s="9">
        <f t="shared" si="23"/>
        <v>279.18938673168998</v>
      </c>
      <c r="K237" s="9">
        <f t="shared" si="24"/>
        <v>112.80282911563999</v>
      </c>
      <c r="L237" s="10">
        <f t="shared" si="21"/>
        <v>0.40403695296643621</v>
      </c>
      <c r="M237" s="10">
        <f t="shared" si="20"/>
        <v>0.41499984238395171</v>
      </c>
      <c r="P237" s="8">
        <f t="shared" si="25"/>
        <v>24.117973790918253</v>
      </c>
    </row>
    <row r="238" spans="1:16" x14ac:dyDescent="0.2">
      <c r="A238" s="8">
        <v>118</v>
      </c>
      <c r="B238" s="8">
        <v>236</v>
      </c>
      <c r="D238">
        <v>418.02755905511998</v>
      </c>
      <c r="E238">
        <v>229.57649043870001</v>
      </c>
      <c r="F238">
        <v>138.65586592179</v>
      </c>
      <c r="G238">
        <v>117.19776536313</v>
      </c>
      <c r="I238" s="9">
        <f t="shared" si="22"/>
        <v>112.37872507557</v>
      </c>
      <c r="J238" s="9">
        <f t="shared" si="23"/>
        <v>279.37169313332998</v>
      </c>
      <c r="K238" s="9">
        <f t="shared" si="24"/>
        <v>112.37872507557</v>
      </c>
      <c r="L238" s="10">
        <f t="shared" si="21"/>
        <v>0.40225523142724884</v>
      </c>
      <c r="M238" s="10">
        <f t="shared" si="20"/>
        <v>0.41326477143803036</v>
      </c>
      <c r="P238" s="8">
        <f t="shared" si="25"/>
        <v>23.599049521082005</v>
      </c>
    </row>
    <row r="239" spans="1:16" x14ac:dyDescent="0.2">
      <c r="A239" s="8">
        <v>118.5</v>
      </c>
      <c r="B239" s="8">
        <v>237</v>
      </c>
      <c r="D239">
        <v>415.82508436444999</v>
      </c>
      <c r="E239">
        <v>229.21991001124999</v>
      </c>
      <c r="F239">
        <v>138.51508379888</v>
      </c>
      <c r="G239">
        <v>117.17150837989</v>
      </c>
      <c r="I239" s="9">
        <f t="shared" si="22"/>
        <v>112.04840163135999</v>
      </c>
      <c r="J239" s="9">
        <f t="shared" si="23"/>
        <v>277.31000056557002</v>
      </c>
      <c r="K239" s="9">
        <f t="shared" si="24"/>
        <v>112.04840163135999</v>
      </c>
      <c r="L239" s="10">
        <f t="shared" si="21"/>
        <v>0.40405467311975329</v>
      </c>
      <c r="M239" s="10">
        <f t="shared" si="20"/>
        <v>0.41511086372380085</v>
      </c>
      <c r="P239" s="8">
        <f t="shared" si="25"/>
        <v>24.151178005335467</v>
      </c>
    </row>
    <row r="240" spans="1:16" x14ac:dyDescent="0.2">
      <c r="A240" s="8">
        <v>119</v>
      </c>
      <c r="B240" s="8">
        <v>238</v>
      </c>
      <c r="D240">
        <v>415.70022497188</v>
      </c>
      <c r="E240">
        <v>226.86782902137</v>
      </c>
      <c r="F240">
        <v>138.69273743017001</v>
      </c>
      <c r="G240">
        <v>117.16312849162</v>
      </c>
      <c r="I240" s="9">
        <f t="shared" si="22"/>
        <v>109.70470052975</v>
      </c>
      <c r="J240" s="9">
        <f t="shared" si="23"/>
        <v>277.00748754171002</v>
      </c>
      <c r="K240" s="9">
        <f t="shared" si="24"/>
        <v>109.70470052975</v>
      </c>
      <c r="L240" s="10">
        <f t="shared" si="21"/>
        <v>0.39603514512665067</v>
      </c>
      <c r="M240" s="10">
        <f t="shared" si="20"/>
        <v>0.40713798632396425</v>
      </c>
      <c r="P240" s="8">
        <f t="shared" si="25"/>
        <v>21.766653272828265</v>
      </c>
    </row>
    <row r="241" spans="1:16" x14ac:dyDescent="0.2">
      <c r="A241" s="8">
        <v>119.5</v>
      </c>
      <c r="B241" s="8">
        <v>239</v>
      </c>
      <c r="D241">
        <v>414.98143982002</v>
      </c>
      <c r="E241">
        <v>227.79415073115999</v>
      </c>
      <c r="F241">
        <v>138.74357541898999</v>
      </c>
      <c r="G241">
        <v>117.55195530726</v>
      </c>
      <c r="I241" s="9">
        <f t="shared" si="22"/>
        <v>110.24219542389999</v>
      </c>
      <c r="J241" s="9">
        <f t="shared" si="23"/>
        <v>276.23786440103004</v>
      </c>
      <c r="K241" s="9">
        <f t="shared" si="24"/>
        <v>110.24219542389999</v>
      </c>
      <c r="L241" s="10">
        <f t="shared" si="21"/>
        <v>0.3990843024468767</v>
      </c>
      <c r="M241" s="10">
        <f t="shared" si="20"/>
        <v>0.41023379423745632</v>
      </c>
      <c r="P241" s="8">
        <f t="shared" si="25"/>
        <v>22.692546167777916</v>
      </c>
    </row>
    <row r="242" spans="1:16" x14ac:dyDescent="0.2">
      <c r="A242" s="8">
        <v>120</v>
      </c>
      <c r="B242" s="8">
        <v>240</v>
      </c>
      <c r="D242">
        <v>415.84476940383001</v>
      </c>
      <c r="E242">
        <v>226.37514060742001</v>
      </c>
      <c r="F242">
        <v>139.03743016760001</v>
      </c>
      <c r="G242">
        <v>117.01452513967</v>
      </c>
      <c r="I242" s="9">
        <f>E242-G242</f>
        <v>109.36061546775001</v>
      </c>
      <c r="J242" s="9">
        <f>D242-F242</f>
        <v>276.80733923623001</v>
      </c>
      <c r="K242" s="9">
        <f t="shared" si="24"/>
        <v>109.36061546775001</v>
      </c>
      <c r="L242" s="10">
        <f t="shared" si="21"/>
        <v>0.39507845337301778</v>
      </c>
      <c r="M242" s="10">
        <f>L242+ABS($N$2)*A242</f>
        <v>0.40627459575686342</v>
      </c>
      <c r="O242" s="11"/>
      <c r="P242" s="8">
        <f>(M242-$O$2)/$O$2*100</f>
        <v>21.508430794566209</v>
      </c>
    </row>
    <row r="243" spans="1:16" x14ac:dyDescent="0.2">
      <c r="A243" s="8">
        <v>120.5</v>
      </c>
      <c r="B243" s="8">
        <v>241</v>
      </c>
      <c r="D243">
        <v>417.22497187852002</v>
      </c>
      <c r="E243">
        <v>227.40776152980999</v>
      </c>
      <c r="F243">
        <v>138.45586592179001</v>
      </c>
      <c r="G243">
        <v>117.31508379888</v>
      </c>
      <c r="I243" s="9">
        <f t="shared" ref="I243:I274" si="26">E243-G243</f>
        <v>110.09267773092999</v>
      </c>
      <c r="J243" s="9">
        <f t="shared" ref="J243:J274" si="27">D243-F243</f>
        <v>278.76910595673002</v>
      </c>
      <c r="K243" s="9">
        <f t="shared" si="24"/>
        <v>110.09267773092999</v>
      </c>
      <c r="L243" s="10">
        <f t="shared" si="21"/>
        <v>0.394924241526313</v>
      </c>
      <c r="M243" s="10">
        <f t="shared" ref="M243:M274" si="28">L243+ABS($N$2)*A243</f>
        <v>0.40616703450342467</v>
      </c>
      <c r="P243" s="8">
        <f t="shared" ref="P243:P274" si="29">(M243-$O$2)/$O$2*100</f>
        <v>21.476261421299611</v>
      </c>
    </row>
    <row r="244" spans="1:16" x14ac:dyDescent="0.2">
      <c r="A244" s="8">
        <v>121</v>
      </c>
      <c r="B244" s="8">
        <v>242</v>
      </c>
      <c r="D244">
        <v>415.74859392576002</v>
      </c>
      <c r="E244">
        <v>228.27390326208999</v>
      </c>
      <c r="F244">
        <v>138.39944134077999</v>
      </c>
      <c r="G244">
        <v>117.42402234636999</v>
      </c>
      <c r="I244" s="9">
        <f t="shared" si="26"/>
        <v>110.84988091571999</v>
      </c>
      <c r="J244" s="9">
        <f t="shared" si="27"/>
        <v>277.34915258498006</v>
      </c>
      <c r="K244" s="9">
        <f t="shared" si="24"/>
        <v>110.84988091571999</v>
      </c>
      <c r="L244" s="10">
        <f t="shared" si="21"/>
        <v>0.39967629207648464</v>
      </c>
      <c r="M244" s="10">
        <f t="shared" si="28"/>
        <v>0.41096573564686234</v>
      </c>
      <c r="N244" s="1"/>
      <c r="P244" s="8">
        <f t="shared" si="29"/>
        <v>22.911454888675923</v>
      </c>
    </row>
    <row r="245" spans="1:16" x14ac:dyDescent="0.2">
      <c r="A245" s="8">
        <v>121.5</v>
      </c>
      <c r="B245" s="8">
        <v>243</v>
      </c>
      <c r="D245">
        <v>415.42575928009001</v>
      </c>
      <c r="E245">
        <v>226.15635545557001</v>
      </c>
      <c r="F245">
        <v>138.36424581006</v>
      </c>
      <c r="G245">
        <v>117.24636871508</v>
      </c>
      <c r="I245" s="9">
        <f t="shared" si="26"/>
        <v>108.90998674049001</v>
      </c>
      <c r="J245" s="9">
        <f t="shared" si="27"/>
        <v>277.06151347003004</v>
      </c>
      <c r="K245" s="9">
        <f t="shared" si="24"/>
        <v>108.90998674049001</v>
      </c>
      <c r="L245" s="10">
        <f t="shared" si="21"/>
        <v>0.39308955392778105</v>
      </c>
      <c r="M245" s="10">
        <f t="shared" si="28"/>
        <v>0.40442564809142478</v>
      </c>
      <c r="P245" s="8">
        <f t="shared" si="29"/>
        <v>20.955448324593672</v>
      </c>
    </row>
    <row r="246" spans="1:16" x14ac:dyDescent="0.2">
      <c r="A246" s="8">
        <v>122</v>
      </c>
      <c r="B246" s="8">
        <v>244</v>
      </c>
      <c r="D246">
        <v>416.06636670415998</v>
      </c>
      <c r="E246">
        <v>225.53430821147001</v>
      </c>
      <c r="F246">
        <v>139.23966480447001</v>
      </c>
      <c r="G246">
        <v>117.04301675978</v>
      </c>
      <c r="I246" s="9">
        <f t="shared" si="26"/>
        <v>108.49129145169</v>
      </c>
      <c r="J246" s="9">
        <f t="shared" si="27"/>
        <v>276.82670189968997</v>
      </c>
      <c r="K246" s="9">
        <f t="shared" si="24"/>
        <v>108.49129145169</v>
      </c>
      <c r="L246" s="10">
        <f t="shared" si="21"/>
        <v>0.39191050107226494</v>
      </c>
      <c r="M246" s="10">
        <f t="shared" si="28"/>
        <v>0.40329324582917464</v>
      </c>
      <c r="P246" s="8">
        <f t="shared" si="29"/>
        <v>20.616769944622856</v>
      </c>
    </row>
    <row r="247" spans="1:16" x14ac:dyDescent="0.2">
      <c r="A247" s="8">
        <v>122.5</v>
      </c>
      <c r="B247" s="8">
        <v>245</v>
      </c>
      <c r="D247">
        <v>414.97300337458</v>
      </c>
      <c r="E247">
        <v>225.70866141732</v>
      </c>
      <c r="F247">
        <v>138.86536312849</v>
      </c>
      <c r="G247">
        <v>117.32737430168</v>
      </c>
      <c r="I247" s="9">
        <f t="shared" si="26"/>
        <v>108.38128711564001</v>
      </c>
      <c r="J247" s="9">
        <f t="shared" si="27"/>
        <v>276.10764024609</v>
      </c>
      <c r="K247" s="9">
        <f t="shared" si="24"/>
        <v>108.38128711564001</v>
      </c>
      <c r="L247" s="10">
        <f t="shared" si="21"/>
        <v>0.39253273476620071</v>
      </c>
      <c r="M247" s="10">
        <f t="shared" si="28"/>
        <v>0.40396213011637644</v>
      </c>
      <c r="P247" s="8">
        <f t="shared" si="29"/>
        <v>20.816819568620691</v>
      </c>
    </row>
    <row r="248" spans="1:16" x14ac:dyDescent="0.2">
      <c r="A248" s="8">
        <v>123</v>
      </c>
      <c r="B248" s="8">
        <v>246</v>
      </c>
      <c r="D248">
        <v>414.24803149605998</v>
      </c>
      <c r="E248">
        <v>223.75815523060001</v>
      </c>
      <c r="F248">
        <v>138.31508379888001</v>
      </c>
      <c r="G248">
        <v>117.17988826816</v>
      </c>
      <c r="I248" s="9">
        <f t="shared" si="26"/>
        <v>106.57826696244001</v>
      </c>
      <c r="J248" s="9">
        <f t="shared" si="27"/>
        <v>275.93294769718</v>
      </c>
      <c r="K248" s="9">
        <f t="shared" si="24"/>
        <v>106.57826696244001</v>
      </c>
      <c r="L248" s="10">
        <f t="shared" si="21"/>
        <v>0.38624697721637546</v>
      </c>
      <c r="M248" s="10">
        <f t="shared" si="28"/>
        <v>0.39772302315981722</v>
      </c>
      <c r="P248" s="8">
        <f t="shared" si="29"/>
        <v>18.950830152180135</v>
      </c>
    </row>
    <row r="249" spans="1:16" x14ac:dyDescent="0.2">
      <c r="A249" s="8">
        <v>123.5</v>
      </c>
      <c r="B249" s="8">
        <v>247</v>
      </c>
      <c r="D249">
        <v>411.94375703037002</v>
      </c>
      <c r="E249">
        <v>223.67829021372</v>
      </c>
      <c r="F249">
        <v>138.49497206704001</v>
      </c>
      <c r="G249">
        <v>117.21005586592</v>
      </c>
      <c r="I249" s="9">
        <f t="shared" si="26"/>
        <v>106.46823434780001</v>
      </c>
      <c r="J249" s="9">
        <f t="shared" si="27"/>
        <v>273.44878496333001</v>
      </c>
      <c r="K249" s="9">
        <f t="shared" si="24"/>
        <v>106.46823434780001</v>
      </c>
      <c r="L249" s="10">
        <f t="shared" si="21"/>
        <v>0.38935347385828611</v>
      </c>
      <c r="M249" s="10">
        <f t="shared" si="28"/>
        <v>0.4008761703949939</v>
      </c>
      <c r="P249" s="8">
        <f t="shared" si="29"/>
        <v>19.893872066717737</v>
      </c>
    </row>
    <row r="250" spans="1:16" x14ac:dyDescent="0.2">
      <c r="A250" s="8">
        <v>124</v>
      </c>
      <c r="B250" s="8">
        <v>248</v>
      </c>
      <c r="D250">
        <v>410.44319460067999</v>
      </c>
      <c r="E250">
        <v>223.22159730033999</v>
      </c>
      <c r="F250">
        <v>138.72681564246</v>
      </c>
      <c r="G250">
        <v>117.34692737429999</v>
      </c>
      <c r="I250" s="9">
        <f t="shared" si="26"/>
        <v>105.87466992604</v>
      </c>
      <c r="J250" s="9">
        <f t="shared" si="27"/>
        <v>271.71637895821999</v>
      </c>
      <c r="K250" s="9">
        <f t="shared" si="24"/>
        <v>105.87466992604</v>
      </c>
      <c r="L250" s="10">
        <f t="shared" si="21"/>
        <v>0.38965140906106233</v>
      </c>
      <c r="M250" s="10">
        <f t="shared" si="28"/>
        <v>0.40122075619103614</v>
      </c>
      <c r="P250" s="8">
        <f t="shared" si="29"/>
        <v>19.996930637911902</v>
      </c>
    </row>
    <row r="251" spans="1:16" x14ac:dyDescent="0.2">
      <c r="A251" s="8">
        <v>124.5</v>
      </c>
      <c r="B251" s="8">
        <v>249</v>
      </c>
      <c r="D251">
        <v>411.48143982002</v>
      </c>
      <c r="E251">
        <v>225.83239595051</v>
      </c>
      <c r="F251">
        <v>138.50782122904999</v>
      </c>
      <c r="G251">
        <v>117.06424581006</v>
      </c>
      <c r="I251" s="9">
        <f t="shared" si="26"/>
        <v>108.76815014045</v>
      </c>
      <c r="J251" s="9">
        <f t="shared" si="27"/>
        <v>272.97361859096998</v>
      </c>
      <c r="K251" s="9">
        <f t="shared" si="24"/>
        <v>108.76815014045</v>
      </c>
      <c r="L251" s="10">
        <f t="shared" si="21"/>
        <v>0.39845663731860748</v>
      </c>
      <c r="M251" s="10">
        <f t="shared" si="28"/>
        <v>0.41007263504184732</v>
      </c>
      <c r="P251" s="8">
        <f t="shared" si="29"/>
        <v>22.644346745094143</v>
      </c>
    </row>
    <row r="252" spans="1:16" x14ac:dyDescent="0.2">
      <c r="A252" s="8">
        <v>125</v>
      </c>
      <c r="B252" s="8">
        <v>250</v>
      </c>
      <c r="D252">
        <v>414.74690663667002</v>
      </c>
      <c r="E252">
        <v>226</v>
      </c>
      <c r="F252">
        <v>138.22737430167999</v>
      </c>
      <c r="G252">
        <v>117.35139664805</v>
      </c>
      <c r="I252" s="9">
        <f t="shared" si="26"/>
        <v>108.64860335195</v>
      </c>
      <c r="J252" s="9">
        <f t="shared" si="27"/>
        <v>276.51953233499</v>
      </c>
      <c r="K252" s="9">
        <f t="shared" si="24"/>
        <v>108.64860335195</v>
      </c>
      <c r="L252" s="10">
        <f t="shared" si="21"/>
        <v>0.3929147515710662</v>
      </c>
      <c r="M252" s="10">
        <f t="shared" si="28"/>
        <v>0.40457739988757208</v>
      </c>
      <c r="P252" s="8">
        <f t="shared" si="29"/>
        <v>21.000834186305656</v>
      </c>
    </row>
    <row r="253" spans="1:16" x14ac:dyDescent="0.2">
      <c r="A253" s="8">
        <v>125.5</v>
      </c>
      <c r="B253" s="8">
        <v>251</v>
      </c>
      <c r="D253">
        <v>417.34926884139998</v>
      </c>
      <c r="E253">
        <v>226.32002249719</v>
      </c>
      <c r="F253">
        <v>138.93854748602999</v>
      </c>
      <c r="G253">
        <v>117.19497206704</v>
      </c>
      <c r="I253" s="9">
        <f t="shared" si="26"/>
        <v>109.12505043015</v>
      </c>
      <c r="J253" s="9">
        <f t="shared" si="27"/>
        <v>278.41072135537001</v>
      </c>
      <c r="K253" s="9">
        <f t="shared" si="24"/>
        <v>109.12505043015</v>
      </c>
      <c r="L253" s="10">
        <f t="shared" si="21"/>
        <v>0.39195706939338809</v>
      </c>
      <c r="M253" s="10">
        <f t="shared" si="28"/>
        <v>0.40366636830315999</v>
      </c>
      <c r="P253" s="8">
        <f t="shared" si="29"/>
        <v>20.728363253142888</v>
      </c>
    </row>
    <row r="254" spans="1:16" x14ac:dyDescent="0.2">
      <c r="A254" s="8">
        <v>126</v>
      </c>
      <c r="B254" s="8">
        <v>252</v>
      </c>
      <c r="D254">
        <v>414.92182227222003</v>
      </c>
      <c r="E254">
        <v>226.20191226097</v>
      </c>
      <c r="F254">
        <v>138.70614525139999</v>
      </c>
      <c r="G254">
        <v>116.99832402235</v>
      </c>
      <c r="I254" s="9">
        <f t="shared" si="26"/>
        <v>109.20358823862</v>
      </c>
      <c r="J254" s="9">
        <f t="shared" si="27"/>
        <v>276.21567702082007</v>
      </c>
      <c r="K254" s="9">
        <f t="shared" si="24"/>
        <v>109.20358823862</v>
      </c>
      <c r="L254" s="10">
        <f t="shared" si="21"/>
        <v>0.39535622820709287</v>
      </c>
      <c r="M254" s="10">
        <f t="shared" si="28"/>
        <v>0.40711217771013081</v>
      </c>
      <c r="P254" s="8">
        <f t="shared" si="29"/>
        <v>21.758934443739182</v>
      </c>
    </row>
    <row r="255" spans="1:16" x14ac:dyDescent="0.2">
      <c r="A255" s="8">
        <v>126.5</v>
      </c>
      <c r="B255" s="8">
        <v>253</v>
      </c>
      <c r="D255">
        <v>396.19797525309002</v>
      </c>
      <c r="E255">
        <v>222.41057367829001</v>
      </c>
      <c r="F255">
        <v>138.50558659218001</v>
      </c>
      <c r="G255">
        <v>117.44525139664999</v>
      </c>
      <c r="I255" s="9">
        <f t="shared" si="26"/>
        <v>104.96532228164001</v>
      </c>
      <c r="J255" s="9">
        <f t="shared" si="27"/>
        <v>257.69238866091001</v>
      </c>
      <c r="K255" s="9">
        <f t="shared" si="24"/>
        <v>104.96532228164001</v>
      </c>
      <c r="L255" s="10">
        <f t="shared" si="21"/>
        <v>0.40732798833170369</v>
      </c>
      <c r="M255" s="10">
        <f t="shared" si="28"/>
        <v>0.41913058842800766</v>
      </c>
      <c r="P255" s="8">
        <f t="shared" si="29"/>
        <v>25.353395535389016</v>
      </c>
    </row>
    <row r="256" spans="1:16" x14ac:dyDescent="0.2">
      <c r="A256" s="8">
        <v>127</v>
      </c>
      <c r="B256" s="8">
        <v>254</v>
      </c>
      <c r="D256">
        <v>388.69516310461</v>
      </c>
      <c r="E256">
        <v>219.78740157479999</v>
      </c>
      <c r="F256">
        <v>138.43854748602999</v>
      </c>
      <c r="G256">
        <v>117.42625698323999</v>
      </c>
      <c r="I256" s="9">
        <f t="shared" si="26"/>
        <v>102.36114459155999</v>
      </c>
      <c r="J256" s="9">
        <f t="shared" si="27"/>
        <v>250.25661561858001</v>
      </c>
      <c r="K256" s="9">
        <f t="shared" si="24"/>
        <v>102.36114459155999</v>
      </c>
      <c r="L256" s="10">
        <f t="shared" si="21"/>
        <v>0.40902472983000054</v>
      </c>
      <c r="M256" s="10">
        <f t="shared" si="28"/>
        <v>0.42087398051957048</v>
      </c>
      <c r="P256" s="8">
        <f t="shared" si="29"/>
        <v>25.874808489873207</v>
      </c>
    </row>
    <row r="257" spans="1:16" x14ac:dyDescent="0.2">
      <c r="A257" s="8">
        <v>127.5</v>
      </c>
      <c r="B257" s="8">
        <v>255</v>
      </c>
      <c r="D257">
        <v>425.17067711248001</v>
      </c>
      <c r="E257">
        <v>223.78231673195</v>
      </c>
      <c r="F257">
        <v>138.19162011173</v>
      </c>
      <c r="G257">
        <v>117.23910614525001</v>
      </c>
      <c r="I257" s="9">
        <f t="shared" si="26"/>
        <v>106.5432105867</v>
      </c>
      <c r="J257" s="9">
        <f t="shared" si="27"/>
        <v>286.97905700075</v>
      </c>
      <c r="K257" s="9">
        <f t="shared" si="24"/>
        <v>106.5432105867</v>
      </c>
      <c r="L257" s="10">
        <f t="shared" si="21"/>
        <v>0.3712577903774405</v>
      </c>
      <c r="M257" s="10">
        <f t="shared" si="28"/>
        <v>0.38315369166027646</v>
      </c>
      <c r="P257" s="8">
        <f t="shared" si="29"/>
        <v>14.59344077385316</v>
      </c>
    </row>
    <row r="258" spans="1:16" x14ac:dyDescent="0.2">
      <c r="A258" s="8">
        <v>128</v>
      </c>
      <c r="B258" s="8">
        <v>256</v>
      </c>
      <c r="D258">
        <v>419.61555679910998</v>
      </c>
      <c r="E258">
        <v>221.48349188584001</v>
      </c>
      <c r="F258">
        <v>138.31731843575</v>
      </c>
      <c r="G258">
        <v>117.03407821229</v>
      </c>
      <c r="I258" s="9">
        <f t="shared" si="26"/>
        <v>104.44941367355001</v>
      </c>
      <c r="J258" s="9">
        <f t="shared" si="27"/>
        <v>281.29823836335999</v>
      </c>
      <c r="K258" s="9">
        <f t="shared" si="24"/>
        <v>104.44941367355001</v>
      </c>
      <c r="L258" s="10">
        <f t="shared" ref="L258:L321" si="30">K258/J258</f>
        <v>0.37131200778666124</v>
      </c>
      <c r="M258" s="10">
        <f t="shared" si="28"/>
        <v>0.38325455966276323</v>
      </c>
      <c r="P258" s="8">
        <f t="shared" si="29"/>
        <v>14.623608332513127</v>
      </c>
    </row>
    <row r="259" spans="1:16" x14ac:dyDescent="0.2">
      <c r="A259" s="8">
        <v>128.5</v>
      </c>
      <c r="B259" s="8">
        <v>257</v>
      </c>
      <c r="D259">
        <v>420.60604364856999</v>
      </c>
      <c r="E259">
        <v>220.79966424175001</v>
      </c>
      <c r="F259">
        <v>138.76592178771</v>
      </c>
      <c r="G259">
        <v>117.08156424581</v>
      </c>
      <c r="I259" s="9">
        <f t="shared" si="26"/>
        <v>103.71809999594001</v>
      </c>
      <c r="J259" s="9">
        <f t="shared" si="27"/>
        <v>281.84012186085999</v>
      </c>
      <c r="K259" s="9">
        <f t="shared" ref="K259:K322" si="31">I259*1</f>
        <v>103.71809999594001</v>
      </c>
      <c r="L259" s="10">
        <f t="shared" si="30"/>
        <v>0.36800331801993752</v>
      </c>
      <c r="M259" s="10">
        <f t="shared" si="28"/>
        <v>0.37999252048930554</v>
      </c>
      <c r="P259" s="8">
        <f t="shared" si="29"/>
        <v>13.647999064060482</v>
      </c>
    </row>
    <row r="260" spans="1:16" x14ac:dyDescent="0.2">
      <c r="A260" s="8">
        <v>129</v>
      </c>
      <c r="B260" s="8">
        <v>258</v>
      </c>
      <c r="D260">
        <v>407.21040850588003</v>
      </c>
      <c r="E260">
        <v>217.40067151650999</v>
      </c>
      <c r="F260">
        <v>138.41173184357999</v>
      </c>
      <c r="G260">
        <v>116.96592178771</v>
      </c>
      <c r="I260" s="9">
        <f t="shared" si="26"/>
        <v>100.43474972879999</v>
      </c>
      <c r="J260" s="9">
        <f t="shared" si="27"/>
        <v>268.79867666230007</v>
      </c>
      <c r="K260" s="9">
        <f t="shared" si="31"/>
        <v>100.43474972879999</v>
      </c>
      <c r="L260" s="10">
        <f t="shared" si="30"/>
        <v>0.37364302152044898</v>
      </c>
      <c r="M260" s="10">
        <f t="shared" si="28"/>
        <v>0.38567887458308303</v>
      </c>
      <c r="P260" s="8">
        <f t="shared" si="29"/>
        <v>15.348671392808932</v>
      </c>
    </row>
    <row r="261" spans="1:16" x14ac:dyDescent="0.2">
      <c r="A261" s="8">
        <v>129.5</v>
      </c>
      <c r="B261" s="8">
        <v>259</v>
      </c>
      <c r="D261">
        <v>429.88563380282</v>
      </c>
      <c r="E261">
        <v>220.96450704225001</v>
      </c>
      <c r="F261">
        <v>138.37821229049999</v>
      </c>
      <c r="G261">
        <v>117.5905027933</v>
      </c>
      <c r="I261" s="9">
        <f t="shared" si="26"/>
        <v>103.37400424895</v>
      </c>
      <c r="J261" s="9">
        <f t="shared" si="27"/>
        <v>291.50742151231998</v>
      </c>
      <c r="K261" s="9">
        <f t="shared" si="31"/>
        <v>103.37400424895</v>
      </c>
      <c r="L261" s="10">
        <f t="shared" si="30"/>
        <v>0.35461877338372022</v>
      </c>
      <c r="M261" s="10">
        <f t="shared" si="28"/>
        <v>0.3667012770396203</v>
      </c>
      <c r="P261" s="8">
        <f t="shared" si="29"/>
        <v>9.6728597081990273</v>
      </c>
    </row>
    <row r="262" spans="1:16" x14ac:dyDescent="0.2">
      <c r="A262" s="8">
        <v>130</v>
      </c>
      <c r="B262" s="8">
        <v>260</v>
      </c>
      <c r="D262">
        <v>419.84913067862999</v>
      </c>
      <c r="E262">
        <v>220.44980370163</v>
      </c>
      <c r="F262">
        <v>138.30726256982999</v>
      </c>
      <c r="G262">
        <v>116.89664804469</v>
      </c>
      <c r="I262" s="9">
        <f t="shared" si="26"/>
        <v>103.55315565694001</v>
      </c>
      <c r="J262" s="9">
        <f t="shared" si="27"/>
        <v>281.54186810880003</v>
      </c>
      <c r="K262" s="9">
        <f t="shared" si="31"/>
        <v>103.55315565694001</v>
      </c>
      <c r="L262" s="10">
        <f t="shared" si="30"/>
        <v>0.36780730465609668</v>
      </c>
      <c r="M262" s="10">
        <f t="shared" si="28"/>
        <v>0.37993645890526279</v>
      </c>
      <c r="P262" s="8">
        <f t="shared" si="29"/>
        <v>13.631232189695123</v>
      </c>
    </row>
    <row r="263" spans="1:16" x14ac:dyDescent="0.2">
      <c r="A263" s="8">
        <v>130.5</v>
      </c>
      <c r="B263" s="8">
        <v>261</v>
      </c>
      <c r="D263">
        <v>411.25435148793002</v>
      </c>
      <c r="E263">
        <v>217.65918023582</v>
      </c>
      <c r="F263">
        <v>138.17932960894001</v>
      </c>
      <c r="G263">
        <v>117.33575418994</v>
      </c>
      <c r="I263" s="9">
        <f t="shared" si="26"/>
        <v>100.32342604588</v>
      </c>
      <c r="J263" s="9">
        <f t="shared" si="27"/>
        <v>273.07502187899001</v>
      </c>
      <c r="K263" s="9">
        <f t="shared" si="31"/>
        <v>100.32342604588</v>
      </c>
      <c r="L263" s="10">
        <f t="shared" si="30"/>
        <v>0.36738411794520387</v>
      </c>
      <c r="M263" s="10">
        <f t="shared" si="28"/>
        <v>0.37955992278763601</v>
      </c>
      <c r="P263" s="8">
        <f t="shared" si="29"/>
        <v>13.518617930107773</v>
      </c>
    </row>
    <row r="264" spans="1:16" x14ac:dyDescent="0.2">
      <c r="A264" s="8">
        <v>131</v>
      </c>
      <c r="B264" s="8">
        <v>262</v>
      </c>
      <c r="D264">
        <v>420.92969628795998</v>
      </c>
      <c r="E264">
        <v>216.50168728909</v>
      </c>
      <c r="F264">
        <v>138.12625698324001</v>
      </c>
      <c r="G264">
        <v>116.96312849162</v>
      </c>
      <c r="I264" s="9">
        <f t="shared" si="26"/>
        <v>99.538558797470003</v>
      </c>
      <c r="J264" s="9">
        <f t="shared" si="27"/>
        <v>282.80343930471997</v>
      </c>
      <c r="K264" s="9">
        <f t="shared" si="31"/>
        <v>99.538558797470003</v>
      </c>
      <c r="L264" s="10">
        <f t="shared" si="30"/>
        <v>0.35197082129619173</v>
      </c>
      <c r="M264" s="10">
        <f t="shared" si="28"/>
        <v>0.36419327673188989</v>
      </c>
      <c r="P264" s="8">
        <f t="shared" si="29"/>
        <v>8.9227680583460653</v>
      </c>
    </row>
    <row r="265" spans="1:16" x14ac:dyDescent="0.2">
      <c r="A265" s="8">
        <v>131.5</v>
      </c>
      <c r="B265" s="8">
        <v>263</v>
      </c>
      <c r="D265">
        <v>420.25760992108002</v>
      </c>
      <c r="E265">
        <v>215.82018038332001</v>
      </c>
      <c r="F265">
        <v>138.88324022346001</v>
      </c>
      <c r="G265">
        <v>116.89441340782</v>
      </c>
      <c r="I265" s="9">
        <f t="shared" si="26"/>
        <v>98.925766975500011</v>
      </c>
      <c r="J265" s="9">
        <f t="shared" si="27"/>
        <v>281.37436969762001</v>
      </c>
      <c r="K265" s="9">
        <f t="shared" si="31"/>
        <v>98.925766975500011</v>
      </c>
      <c r="L265" s="10">
        <f t="shared" si="30"/>
        <v>0.35158059023574517</v>
      </c>
      <c r="M265" s="10">
        <f t="shared" si="28"/>
        <v>0.36384969626470937</v>
      </c>
      <c r="P265" s="8">
        <f t="shared" si="29"/>
        <v>8.8200101604740713</v>
      </c>
    </row>
    <row r="266" spans="1:16" x14ac:dyDescent="0.2">
      <c r="A266" s="8">
        <v>132</v>
      </c>
      <c r="B266" s="8">
        <v>264</v>
      </c>
      <c r="D266">
        <v>419.25986471251002</v>
      </c>
      <c r="E266">
        <v>214.77282976325</v>
      </c>
      <c r="F266">
        <v>138.38826815643</v>
      </c>
      <c r="G266">
        <v>116.87988826816</v>
      </c>
      <c r="I266" s="9">
        <f t="shared" si="26"/>
        <v>97.89294149509</v>
      </c>
      <c r="J266" s="9">
        <f t="shared" si="27"/>
        <v>280.87159655608002</v>
      </c>
      <c r="K266" s="9">
        <f t="shared" si="31"/>
        <v>97.89294149509</v>
      </c>
      <c r="L266" s="10">
        <f t="shared" si="30"/>
        <v>0.34853271991689011</v>
      </c>
      <c r="M266" s="10">
        <f t="shared" si="28"/>
        <v>0.36084847653912033</v>
      </c>
      <c r="P266" s="8">
        <f t="shared" si="29"/>
        <v>7.9224066599483765</v>
      </c>
    </row>
    <row r="267" spans="1:16" x14ac:dyDescent="0.2">
      <c r="A267" s="8">
        <v>132.5</v>
      </c>
      <c r="B267" s="8">
        <v>265</v>
      </c>
      <c r="D267">
        <v>421.41431792559001</v>
      </c>
      <c r="E267">
        <v>215.44588500564001</v>
      </c>
      <c r="F267">
        <v>138.00055865921999</v>
      </c>
      <c r="G267">
        <v>116.91843575419</v>
      </c>
      <c r="I267" s="9">
        <f t="shared" si="26"/>
        <v>98.527449251450008</v>
      </c>
      <c r="J267" s="9">
        <f t="shared" si="27"/>
        <v>283.41375926636999</v>
      </c>
      <c r="K267" s="9">
        <f t="shared" si="31"/>
        <v>98.527449251450008</v>
      </c>
      <c r="L267" s="10">
        <f t="shared" si="30"/>
        <v>0.34764525726094953</v>
      </c>
      <c r="M267" s="10">
        <f t="shared" si="28"/>
        <v>0.36000766447644572</v>
      </c>
      <c r="P267" s="8">
        <f t="shared" si="29"/>
        <v>7.6709369510476604</v>
      </c>
    </row>
    <row r="268" spans="1:16" x14ac:dyDescent="0.2">
      <c r="A268" s="8">
        <v>133</v>
      </c>
      <c r="B268" s="8">
        <v>266</v>
      </c>
      <c r="D268">
        <v>417.24228827818001</v>
      </c>
      <c r="E268">
        <v>215.99102636007001</v>
      </c>
      <c r="F268">
        <v>138.18268156425</v>
      </c>
      <c r="G268">
        <v>117.01396648044999</v>
      </c>
      <c r="I268" s="9">
        <f t="shared" si="26"/>
        <v>98.977059879620015</v>
      </c>
      <c r="J268" s="9">
        <f t="shared" si="27"/>
        <v>279.05960671393001</v>
      </c>
      <c r="K268" s="9">
        <f t="shared" si="31"/>
        <v>98.977059879620015</v>
      </c>
      <c r="L268" s="10">
        <f t="shared" si="30"/>
        <v>0.35468071156956626</v>
      </c>
      <c r="M268" s="10">
        <f t="shared" si="28"/>
        <v>0.36708976937832849</v>
      </c>
      <c r="P268" s="8">
        <f t="shared" si="29"/>
        <v>9.7890498292283858</v>
      </c>
    </row>
    <row r="269" spans="1:16" x14ac:dyDescent="0.2">
      <c r="A269" s="8">
        <v>133.5</v>
      </c>
      <c r="B269" s="8">
        <v>267</v>
      </c>
      <c r="D269">
        <v>417.83948545861</v>
      </c>
      <c r="E269">
        <v>214.88031319910999</v>
      </c>
      <c r="F269">
        <v>138.58882681564</v>
      </c>
      <c r="G269">
        <v>116.95474860335</v>
      </c>
      <c r="I269" s="9">
        <f t="shared" si="26"/>
        <v>97.925564595759994</v>
      </c>
      <c r="J269" s="9">
        <f t="shared" si="27"/>
        <v>279.25065864297</v>
      </c>
      <c r="K269" s="9">
        <f t="shared" si="31"/>
        <v>97.925564595759994</v>
      </c>
      <c r="L269" s="10">
        <f t="shared" si="30"/>
        <v>0.3506726360884278</v>
      </c>
      <c r="M269" s="10">
        <f t="shared" si="28"/>
        <v>0.36312834449045606</v>
      </c>
      <c r="P269" s="8">
        <f t="shared" si="29"/>
        <v>8.6042685830881922</v>
      </c>
    </row>
    <row r="270" spans="1:16" x14ac:dyDescent="0.2">
      <c r="A270" s="8">
        <v>134</v>
      </c>
      <c r="B270" s="8">
        <v>268</v>
      </c>
      <c r="D270">
        <v>408.50950782998001</v>
      </c>
      <c r="E270">
        <v>210.32718120805001</v>
      </c>
      <c r="F270">
        <v>138.13184357541999</v>
      </c>
      <c r="G270">
        <v>117.11843575419</v>
      </c>
      <c r="I270" s="9">
        <f t="shared" si="26"/>
        <v>93.208745453860004</v>
      </c>
      <c r="J270" s="9">
        <f t="shared" si="27"/>
        <v>270.37766425456005</v>
      </c>
      <c r="K270" s="9">
        <f t="shared" si="31"/>
        <v>93.208745453860004</v>
      </c>
      <c r="L270" s="10">
        <f t="shared" si="30"/>
        <v>0.34473537490916467</v>
      </c>
      <c r="M270" s="10">
        <f t="shared" si="28"/>
        <v>0.35723773390445895</v>
      </c>
      <c r="P270" s="8">
        <f t="shared" si="29"/>
        <v>6.8425073107818219</v>
      </c>
    </row>
    <row r="271" spans="1:16" x14ac:dyDescent="0.2">
      <c r="A271" s="8">
        <v>134.5</v>
      </c>
      <c r="B271" s="8">
        <v>269</v>
      </c>
      <c r="D271">
        <v>420.94946659179999</v>
      </c>
      <c r="E271">
        <v>213.84727681077999</v>
      </c>
      <c r="F271">
        <v>138.73687150838001</v>
      </c>
      <c r="G271">
        <v>117.09720670391</v>
      </c>
      <c r="I271" s="9">
        <f t="shared" si="26"/>
        <v>96.750070106869984</v>
      </c>
      <c r="J271" s="9">
        <f t="shared" si="27"/>
        <v>282.21259508341996</v>
      </c>
      <c r="K271" s="9">
        <f t="shared" si="31"/>
        <v>96.750070106869984</v>
      </c>
      <c r="L271" s="10">
        <f t="shared" si="30"/>
        <v>0.34282690352027478</v>
      </c>
      <c r="M271" s="10">
        <f t="shared" si="28"/>
        <v>0.3553759131088351</v>
      </c>
      <c r="P271" s="8">
        <f t="shared" si="29"/>
        <v>6.2856747505881438</v>
      </c>
    </row>
    <row r="272" spans="1:16" x14ac:dyDescent="0.2">
      <c r="A272" s="8">
        <v>135</v>
      </c>
      <c r="B272" s="8">
        <v>270</v>
      </c>
      <c r="D272">
        <v>420.79842784952001</v>
      </c>
      <c r="E272">
        <v>213.40426726557999</v>
      </c>
      <c r="F272">
        <v>138.49162011172999</v>
      </c>
      <c r="G272">
        <v>116.81396648045001</v>
      </c>
      <c r="I272" s="9">
        <f t="shared" si="26"/>
        <v>96.590300785129983</v>
      </c>
      <c r="J272" s="9">
        <f t="shared" si="27"/>
        <v>282.30680773779</v>
      </c>
      <c r="K272" s="9">
        <f t="shared" si="31"/>
        <v>96.590300785129983</v>
      </c>
      <c r="L272" s="10">
        <f t="shared" si="30"/>
        <v>0.34214655168657582</v>
      </c>
      <c r="M272" s="10">
        <f t="shared" si="28"/>
        <v>0.35474221186840216</v>
      </c>
      <c r="P272" s="8">
        <f t="shared" si="29"/>
        <v>6.0961476570367239</v>
      </c>
    </row>
    <row r="273" spans="1:16" x14ac:dyDescent="0.2">
      <c r="A273" s="8">
        <v>135.5</v>
      </c>
      <c r="B273" s="8">
        <v>271</v>
      </c>
      <c r="D273">
        <v>412.32060640089998</v>
      </c>
      <c r="E273">
        <v>208.95002807412001</v>
      </c>
      <c r="F273">
        <v>138.55027932960999</v>
      </c>
      <c r="G273">
        <v>116.98659217877</v>
      </c>
      <c r="I273" s="9">
        <f t="shared" si="26"/>
        <v>91.963435895350017</v>
      </c>
      <c r="J273" s="9">
        <f t="shared" si="27"/>
        <v>273.77032707129001</v>
      </c>
      <c r="K273" s="9">
        <f t="shared" si="31"/>
        <v>91.963435895350017</v>
      </c>
      <c r="L273" s="10">
        <f t="shared" si="30"/>
        <v>0.33591454880865401</v>
      </c>
      <c r="M273" s="10">
        <f t="shared" si="28"/>
        <v>0.34855685958374638</v>
      </c>
      <c r="P273" s="8">
        <f t="shared" si="29"/>
        <v>4.2462351646743173</v>
      </c>
    </row>
    <row r="274" spans="1:16" x14ac:dyDescent="0.2">
      <c r="A274" s="8">
        <v>136</v>
      </c>
      <c r="B274" s="8">
        <v>272</v>
      </c>
      <c r="D274">
        <v>409.19651880966001</v>
      </c>
      <c r="E274">
        <v>209.10443571028</v>
      </c>
      <c r="F274">
        <v>138.26368715084001</v>
      </c>
      <c r="G274">
        <v>116.77765363128999</v>
      </c>
      <c r="I274" s="9">
        <f t="shared" si="26"/>
        <v>92.326782078990007</v>
      </c>
      <c r="J274" s="9">
        <f t="shared" si="27"/>
        <v>270.93283165881996</v>
      </c>
      <c r="K274" s="9">
        <f t="shared" si="31"/>
        <v>92.326782078990007</v>
      </c>
      <c r="L274" s="10">
        <f t="shared" si="30"/>
        <v>0.34077369477042629</v>
      </c>
      <c r="M274" s="10">
        <f t="shared" si="28"/>
        <v>0.35346265613878469</v>
      </c>
      <c r="P274" s="8">
        <f t="shared" si="29"/>
        <v>5.7134586815412929</v>
      </c>
    </row>
    <row r="275" spans="1:16" x14ac:dyDescent="0.2">
      <c r="A275" s="8">
        <v>136.5</v>
      </c>
      <c r="B275" s="8">
        <v>273</v>
      </c>
      <c r="D275">
        <v>409.71476698484003</v>
      </c>
      <c r="E275">
        <v>207.37057832677999</v>
      </c>
      <c r="F275">
        <v>137.84804469273999</v>
      </c>
      <c r="G275">
        <v>116.80335195531001</v>
      </c>
      <c r="I275" s="9">
        <f>E275-G275</f>
        <v>90.567226371469985</v>
      </c>
      <c r="J275" s="9">
        <f>D275-F275</f>
        <v>271.86672229210001</v>
      </c>
      <c r="K275" s="9">
        <f t="shared" si="31"/>
        <v>90.567226371469985</v>
      </c>
      <c r="L275" s="10">
        <f t="shared" si="30"/>
        <v>0.33313097538345432</v>
      </c>
      <c r="M275" s="10">
        <f>L275+ABS($N$2)*A275</f>
        <v>0.34586658734507875</v>
      </c>
      <c r="O275" s="11"/>
      <c r="P275" s="8">
        <f>(M275-$O$2)/$O$2*100</f>
        <v>3.4416297043656008</v>
      </c>
    </row>
    <row r="276" spans="1:16" x14ac:dyDescent="0.2">
      <c r="A276" s="8">
        <v>137</v>
      </c>
      <c r="B276" s="8">
        <v>274</v>
      </c>
      <c r="D276">
        <v>409.53790005615002</v>
      </c>
      <c r="E276">
        <v>207.42111173498</v>
      </c>
      <c r="F276">
        <v>138.00502793295999</v>
      </c>
      <c r="G276">
        <v>116.97262569832</v>
      </c>
      <c r="I276" s="9">
        <f t="shared" ref="I276:I291" si="32">E276-G276</f>
        <v>90.44848603666</v>
      </c>
      <c r="J276" s="9">
        <f t="shared" ref="J276:J291" si="33">D276-F276</f>
        <v>271.53287212319003</v>
      </c>
      <c r="K276" s="9">
        <f t="shared" si="31"/>
        <v>90.44848603666</v>
      </c>
      <c r="L276" s="10">
        <f t="shared" si="30"/>
        <v>0.33310326418093866</v>
      </c>
      <c r="M276" s="10">
        <f t="shared" ref="M276:M291" si="34">L276+ABS($N$2)*A276</f>
        <v>0.34588552673582912</v>
      </c>
      <c r="P276" s="8">
        <f t="shared" ref="P276:P291" si="35">(M276-$O$2)/$O$2*100</f>
        <v>3.4472940891790191</v>
      </c>
    </row>
    <row r="277" spans="1:16" x14ac:dyDescent="0.2">
      <c r="A277" s="8">
        <v>137.5</v>
      </c>
      <c r="B277" s="8">
        <v>275</v>
      </c>
      <c r="D277">
        <v>409.94272880403997</v>
      </c>
      <c r="E277">
        <v>208.56878158338</v>
      </c>
      <c r="F277">
        <v>138.34636871507999</v>
      </c>
      <c r="G277">
        <v>116.75754189944</v>
      </c>
      <c r="I277" s="9">
        <f t="shared" si="32"/>
        <v>91.811239683940002</v>
      </c>
      <c r="J277" s="9">
        <f t="shared" si="33"/>
        <v>271.59636008895995</v>
      </c>
      <c r="K277" s="9">
        <f t="shared" si="31"/>
        <v>91.811239683940002</v>
      </c>
      <c r="L277" s="10">
        <f t="shared" si="30"/>
        <v>0.33804296807905571</v>
      </c>
      <c r="M277" s="10">
        <f t="shared" si="34"/>
        <v>0.35087188122721213</v>
      </c>
      <c r="N277" s="1"/>
      <c r="P277" s="8">
        <f t="shared" si="35"/>
        <v>4.9386108388878327</v>
      </c>
    </row>
    <row r="278" spans="1:16" x14ac:dyDescent="0.2">
      <c r="A278" s="8">
        <v>138</v>
      </c>
      <c r="B278" s="8">
        <v>276</v>
      </c>
      <c r="D278">
        <v>410.54239191466002</v>
      </c>
      <c r="E278">
        <v>208.20774845592001</v>
      </c>
      <c r="F278">
        <v>137.97262569832</v>
      </c>
      <c r="G278">
        <v>117.0592178771</v>
      </c>
      <c r="I278" s="9">
        <f t="shared" si="32"/>
        <v>91.148530578820015</v>
      </c>
      <c r="J278" s="9">
        <f t="shared" si="33"/>
        <v>272.56976621633999</v>
      </c>
      <c r="K278" s="9">
        <f t="shared" si="31"/>
        <v>91.148530578820015</v>
      </c>
      <c r="L278" s="10">
        <f t="shared" si="30"/>
        <v>0.33440440531645382</v>
      </c>
      <c r="M278" s="10">
        <f t="shared" si="34"/>
        <v>0.34727996905787628</v>
      </c>
      <c r="P278" s="8">
        <f t="shared" si="35"/>
        <v>3.8643432971656337</v>
      </c>
    </row>
    <row r="279" spans="1:16" x14ac:dyDescent="0.2">
      <c r="A279" s="8">
        <v>138.5</v>
      </c>
      <c r="B279" s="8">
        <v>277</v>
      </c>
      <c r="D279">
        <v>406.02807411566999</v>
      </c>
      <c r="E279">
        <v>206.39696799551001</v>
      </c>
      <c r="F279">
        <v>137.96871508379999</v>
      </c>
      <c r="G279">
        <v>117.13351955307</v>
      </c>
      <c r="I279" s="9">
        <f t="shared" si="32"/>
        <v>89.263448442440009</v>
      </c>
      <c r="J279" s="9">
        <f t="shared" si="33"/>
        <v>268.05935903187003</v>
      </c>
      <c r="K279" s="9">
        <f t="shared" si="31"/>
        <v>89.263448442440009</v>
      </c>
      <c r="L279" s="10">
        <f t="shared" si="30"/>
        <v>0.33299881326593533</v>
      </c>
      <c r="M279" s="10">
        <f t="shared" si="34"/>
        <v>0.34592102760062382</v>
      </c>
      <c r="P279" s="8">
        <f t="shared" si="35"/>
        <v>3.4579116725034655</v>
      </c>
    </row>
    <row r="280" spans="1:16" x14ac:dyDescent="0.2">
      <c r="A280" s="8">
        <v>139</v>
      </c>
      <c r="B280" s="8">
        <v>278</v>
      </c>
      <c r="D280">
        <v>402.26336522229002</v>
      </c>
      <c r="E280">
        <v>205.16432189083</v>
      </c>
      <c r="F280">
        <v>138.12849162011</v>
      </c>
      <c r="G280">
        <v>116.58603351955</v>
      </c>
      <c r="I280" s="9">
        <f t="shared" si="32"/>
        <v>88.578288371279996</v>
      </c>
      <c r="J280" s="9">
        <f t="shared" si="33"/>
        <v>264.13487360218005</v>
      </c>
      <c r="K280" s="9">
        <f t="shared" si="31"/>
        <v>88.578288371279996</v>
      </c>
      <c r="L280" s="10">
        <f t="shared" si="30"/>
        <v>0.33535249307779746</v>
      </c>
      <c r="M280" s="10">
        <f t="shared" si="34"/>
        <v>0.34832135800575198</v>
      </c>
      <c r="P280" s="8">
        <f t="shared" si="35"/>
        <v>4.1758014543448914</v>
      </c>
    </row>
    <row r="281" spans="1:16" x14ac:dyDescent="0.2">
      <c r="A281" s="8">
        <v>139.5</v>
      </c>
      <c r="B281" s="8">
        <v>279</v>
      </c>
      <c r="D281">
        <v>399.79459763646997</v>
      </c>
      <c r="E281">
        <v>201.89532920652999</v>
      </c>
      <c r="F281">
        <v>138.21508379887999</v>
      </c>
      <c r="G281">
        <v>116.89217877095</v>
      </c>
      <c r="I281" s="9">
        <f t="shared" si="32"/>
        <v>85.003150435579997</v>
      </c>
      <c r="J281" s="9">
        <f t="shared" si="33"/>
        <v>261.57951383758996</v>
      </c>
      <c r="K281" s="9">
        <f t="shared" si="31"/>
        <v>85.003150435579997</v>
      </c>
      <c r="L281" s="10">
        <f t="shared" si="30"/>
        <v>0.32496103837992807</v>
      </c>
      <c r="M281" s="10">
        <f t="shared" si="34"/>
        <v>0.33797655390114861</v>
      </c>
      <c r="P281" s="8">
        <f t="shared" si="35"/>
        <v>1.0818819064443681</v>
      </c>
    </row>
    <row r="282" spans="1:16" x14ac:dyDescent="0.2">
      <c r="A282" s="8">
        <v>140</v>
      </c>
      <c r="B282" s="8">
        <v>280</v>
      </c>
      <c r="D282">
        <v>402.17501406866</v>
      </c>
      <c r="E282">
        <v>202.21947101857</v>
      </c>
      <c r="F282">
        <v>138.16480446927</v>
      </c>
      <c r="G282">
        <v>116.73016759777001</v>
      </c>
      <c r="I282" s="9">
        <f t="shared" si="32"/>
        <v>85.489303420799999</v>
      </c>
      <c r="J282" s="9">
        <f t="shared" si="33"/>
        <v>264.01020959939001</v>
      </c>
      <c r="K282" s="9">
        <f t="shared" si="31"/>
        <v>85.489303420799999</v>
      </c>
      <c r="L282" s="10">
        <f t="shared" si="30"/>
        <v>0.32381059638004817</v>
      </c>
      <c r="M282" s="10">
        <f t="shared" si="34"/>
        <v>0.33687276249453474</v>
      </c>
      <c r="P282" s="8">
        <f t="shared" si="35"/>
        <v>0.75176044883188309</v>
      </c>
    </row>
    <row r="283" spans="1:16" x14ac:dyDescent="0.2">
      <c r="A283" s="8">
        <v>140.5</v>
      </c>
      <c r="B283" s="8">
        <v>281</v>
      </c>
      <c r="D283">
        <v>400.17895329206999</v>
      </c>
      <c r="E283">
        <v>201.03939223410001</v>
      </c>
      <c r="F283">
        <v>138.00446927374</v>
      </c>
      <c r="G283">
        <v>116.81620111732001</v>
      </c>
      <c r="I283" s="9">
        <f t="shared" si="32"/>
        <v>84.223191116780001</v>
      </c>
      <c r="J283" s="9">
        <f t="shared" si="33"/>
        <v>262.17448401832996</v>
      </c>
      <c r="K283" s="9">
        <f t="shared" si="31"/>
        <v>84.223191116780001</v>
      </c>
      <c r="L283" s="10">
        <f t="shared" si="30"/>
        <v>0.3212486197203368</v>
      </c>
      <c r="M283" s="10">
        <f t="shared" si="34"/>
        <v>0.33435743642808941</v>
      </c>
      <c r="P283" s="8">
        <f t="shared" si="35"/>
        <v>-5.2218577653015917E-4</v>
      </c>
    </row>
    <row r="284" spans="1:16" x14ac:dyDescent="0.2">
      <c r="A284" s="8">
        <v>141</v>
      </c>
      <c r="B284" s="8">
        <v>282</v>
      </c>
      <c r="D284">
        <v>399.11620111731997</v>
      </c>
      <c r="E284">
        <v>201.97709497207001</v>
      </c>
      <c r="F284">
        <v>138.08044692736999</v>
      </c>
      <c r="G284">
        <v>116.88826815643</v>
      </c>
      <c r="I284" s="9">
        <f t="shared" si="32"/>
        <v>85.088826815640004</v>
      </c>
      <c r="J284" s="9">
        <f t="shared" si="33"/>
        <v>261.03575418995001</v>
      </c>
      <c r="K284" s="9">
        <f t="shared" si="31"/>
        <v>85.088826815640004</v>
      </c>
      <c r="L284" s="10">
        <f t="shared" si="30"/>
        <v>0.32596617685454204</v>
      </c>
      <c r="M284" s="10">
        <f t="shared" si="34"/>
        <v>0.33912164415556068</v>
      </c>
      <c r="P284" s="8">
        <f t="shared" si="35"/>
        <v>1.4243550056361964</v>
      </c>
    </row>
    <row r="285" spans="1:16" x14ac:dyDescent="0.2">
      <c r="A285" s="8">
        <v>141.5</v>
      </c>
      <c r="B285" s="8">
        <v>283</v>
      </c>
      <c r="D285">
        <v>398.77318435754</v>
      </c>
      <c r="E285">
        <v>200.90893854749001</v>
      </c>
      <c r="F285">
        <v>137.85698324021999</v>
      </c>
      <c r="G285">
        <v>116.92737430168</v>
      </c>
      <c r="I285" s="9">
        <f t="shared" si="32"/>
        <v>83.981564245810006</v>
      </c>
      <c r="J285" s="9">
        <f t="shared" si="33"/>
        <v>260.91620111732004</v>
      </c>
      <c r="K285" s="9">
        <f t="shared" si="31"/>
        <v>83.981564245810006</v>
      </c>
      <c r="L285" s="10">
        <f t="shared" si="30"/>
        <v>0.32187178828365659</v>
      </c>
      <c r="M285" s="10">
        <f t="shared" si="34"/>
        <v>0.33507390617794125</v>
      </c>
      <c r="P285" s="8">
        <f t="shared" si="35"/>
        <v>0.21375927785791449</v>
      </c>
    </row>
    <row r="286" spans="1:16" x14ac:dyDescent="0.2">
      <c r="A286" s="8">
        <v>142</v>
      </c>
      <c r="B286" s="8">
        <v>284</v>
      </c>
      <c r="D286">
        <v>397.69222096956003</v>
      </c>
      <c r="E286">
        <v>200.18940248026999</v>
      </c>
      <c r="F286">
        <v>137.9469273743</v>
      </c>
      <c r="G286">
        <v>116.93798882682</v>
      </c>
      <c r="I286" s="9">
        <f t="shared" si="32"/>
        <v>83.251413653449987</v>
      </c>
      <c r="J286" s="9">
        <f t="shared" si="33"/>
        <v>259.74529359526002</v>
      </c>
      <c r="K286" s="9">
        <f t="shared" si="31"/>
        <v>83.251413653449987</v>
      </c>
      <c r="L286" s="10">
        <f t="shared" si="30"/>
        <v>0.32051173093890162</v>
      </c>
      <c r="M286" s="10">
        <f t="shared" si="34"/>
        <v>0.33376049942645231</v>
      </c>
      <c r="P286" s="8">
        <f t="shared" si="35"/>
        <v>-0.17905384665237994</v>
      </c>
    </row>
    <row r="287" spans="1:16" x14ac:dyDescent="0.2">
      <c r="A287" s="8">
        <v>142.5</v>
      </c>
      <c r="B287" s="8">
        <v>285</v>
      </c>
      <c r="D287">
        <v>394.19954904170999</v>
      </c>
      <c r="E287">
        <v>198.17700112739999</v>
      </c>
      <c r="F287">
        <v>138.30670391062</v>
      </c>
      <c r="G287">
        <v>116.75586592179</v>
      </c>
      <c r="I287" s="9">
        <f t="shared" si="32"/>
        <v>81.421135205609986</v>
      </c>
      <c r="J287" s="9">
        <f t="shared" si="33"/>
        <v>255.89284513108998</v>
      </c>
      <c r="K287" s="9">
        <f t="shared" si="31"/>
        <v>81.421135205609986</v>
      </c>
      <c r="L287" s="10">
        <f t="shared" si="30"/>
        <v>0.31818449305958196</v>
      </c>
      <c r="M287" s="10">
        <f t="shared" si="34"/>
        <v>0.33147991214039862</v>
      </c>
      <c r="P287" s="8">
        <f t="shared" si="35"/>
        <v>-0.86113090810925519</v>
      </c>
    </row>
    <row r="288" spans="1:16" x14ac:dyDescent="0.2">
      <c r="A288" s="8">
        <v>143</v>
      </c>
      <c r="B288" s="8">
        <v>286</v>
      </c>
      <c r="D288">
        <v>398.66234498309001</v>
      </c>
      <c r="E288">
        <v>199.02198421646</v>
      </c>
      <c r="F288">
        <v>138.00558659218001</v>
      </c>
      <c r="G288">
        <v>116.86368715083999</v>
      </c>
      <c r="I288" s="9">
        <f t="shared" si="32"/>
        <v>82.158297065620005</v>
      </c>
      <c r="J288" s="9">
        <f t="shared" si="33"/>
        <v>260.65675839091</v>
      </c>
      <c r="K288" s="9">
        <f t="shared" si="31"/>
        <v>82.158297065620005</v>
      </c>
      <c r="L288" s="10">
        <f t="shared" si="30"/>
        <v>0.31519726391443204</v>
      </c>
      <c r="M288" s="10">
        <f t="shared" si="34"/>
        <v>0.32853933358851473</v>
      </c>
      <c r="P288" s="8">
        <f t="shared" si="35"/>
        <v>-1.7405978725694229</v>
      </c>
    </row>
    <row r="289" spans="1:16" x14ac:dyDescent="0.2">
      <c r="A289" s="8">
        <v>143.5</v>
      </c>
      <c r="B289" s="8">
        <v>287</v>
      </c>
      <c r="D289">
        <v>399.83887323943998</v>
      </c>
      <c r="E289">
        <v>199.97971830986</v>
      </c>
      <c r="F289">
        <v>137.84804469273999</v>
      </c>
      <c r="G289">
        <v>116.66983240224</v>
      </c>
      <c r="I289" s="9">
        <f t="shared" si="32"/>
        <v>83.30988590762</v>
      </c>
      <c r="J289" s="9">
        <f t="shared" si="33"/>
        <v>261.99082854669996</v>
      </c>
      <c r="K289" s="9">
        <f t="shared" si="31"/>
        <v>83.30988590762</v>
      </c>
      <c r="L289" s="10">
        <f t="shared" si="30"/>
        <v>0.31798779510623204</v>
      </c>
      <c r="M289" s="10">
        <f t="shared" si="34"/>
        <v>0.33137651537358076</v>
      </c>
      <c r="P289" s="8">
        <f t="shared" si="35"/>
        <v>-0.89205476851422427</v>
      </c>
    </row>
    <row r="290" spans="1:16" x14ac:dyDescent="0.2">
      <c r="A290" s="8">
        <v>144</v>
      </c>
      <c r="B290" s="8">
        <v>288</v>
      </c>
      <c r="D290">
        <v>387.15154929578</v>
      </c>
      <c r="E290">
        <v>196.65746478873001</v>
      </c>
      <c r="F290">
        <v>137.79776536313</v>
      </c>
      <c r="G290">
        <v>116.76201117318</v>
      </c>
      <c r="I290" s="9">
        <f t="shared" si="32"/>
        <v>79.895453615550011</v>
      </c>
      <c r="J290" s="9">
        <f t="shared" si="33"/>
        <v>249.35378393265</v>
      </c>
      <c r="K290" s="9">
        <f t="shared" si="31"/>
        <v>79.895453615550011</v>
      </c>
      <c r="L290" s="10">
        <f t="shared" si="30"/>
        <v>0.32041003090263764</v>
      </c>
      <c r="M290" s="10">
        <f t="shared" si="34"/>
        <v>0.33384540176325239</v>
      </c>
      <c r="P290" s="8">
        <f t="shared" si="35"/>
        <v>-0.15366129239692258</v>
      </c>
    </row>
    <row r="291" spans="1:16" x14ac:dyDescent="0.2">
      <c r="A291" s="8">
        <v>144.5</v>
      </c>
      <c r="B291" s="8">
        <v>289</v>
      </c>
      <c r="D291">
        <v>387.65690140844998</v>
      </c>
      <c r="E291">
        <v>196.35830985915999</v>
      </c>
      <c r="F291">
        <v>138.35251396647999</v>
      </c>
      <c r="G291">
        <v>116.95083798883</v>
      </c>
      <c r="I291" s="9">
        <f t="shared" si="32"/>
        <v>79.407471870329985</v>
      </c>
      <c r="J291" s="9">
        <f t="shared" si="33"/>
        <v>249.30438744196999</v>
      </c>
      <c r="K291" s="9">
        <f t="shared" si="31"/>
        <v>79.407471870329985</v>
      </c>
      <c r="L291" s="10">
        <f t="shared" si="30"/>
        <v>0.31851614279677881</v>
      </c>
      <c r="M291" s="10">
        <f t="shared" si="34"/>
        <v>0.33199816425065959</v>
      </c>
      <c r="P291" s="8">
        <f t="shared" si="35"/>
        <v>-0.70613229059424809</v>
      </c>
    </row>
    <row r="292" spans="1:16" x14ac:dyDescent="0.2">
      <c r="A292" s="8">
        <v>145</v>
      </c>
      <c r="B292" s="8">
        <v>290</v>
      </c>
      <c r="D292">
        <v>383.04845070422999</v>
      </c>
      <c r="E292">
        <v>195.38478873239001</v>
      </c>
      <c r="F292">
        <v>137.85865921787999</v>
      </c>
      <c r="G292">
        <v>116.65977653631001</v>
      </c>
      <c r="I292" s="9">
        <f>E292-G292</f>
        <v>78.725012196080002</v>
      </c>
      <c r="J292" s="9">
        <f>D292-F292</f>
        <v>245.18979148635</v>
      </c>
      <c r="K292" s="9">
        <f t="shared" si="31"/>
        <v>78.725012196080002</v>
      </c>
      <c r="L292" s="10">
        <f t="shared" si="30"/>
        <v>0.3210778545013882</v>
      </c>
      <c r="M292" s="10">
        <f>L292+ABS($N$2)*A292</f>
        <v>0.33460652654853501</v>
      </c>
      <c r="O292" s="11"/>
      <c r="P292" s="8">
        <f>(M292-$O$2)/$O$2*100</f>
        <v>7.3975579965849955E-2</v>
      </c>
    </row>
    <row r="293" spans="1:16" x14ac:dyDescent="0.2">
      <c r="A293" s="8">
        <v>145.5</v>
      </c>
      <c r="B293" s="8">
        <v>291</v>
      </c>
      <c r="D293">
        <v>388.91144952059</v>
      </c>
      <c r="E293">
        <v>196.81838691483</v>
      </c>
      <c r="F293">
        <v>137.78268156425</v>
      </c>
      <c r="G293">
        <v>116.83351955307</v>
      </c>
      <c r="I293" s="9">
        <f t="shared" ref="I293:I301" si="36">E293-G293</f>
        <v>79.984867361759996</v>
      </c>
      <c r="J293" s="9">
        <f t="shared" ref="J293:J301" si="37">D293-F293</f>
        <v>251.12876795634</v>
      </c>
      <c r="K293" s="9">
        <f t="shared" si="31"/>
        <v>79.984867361759996</v>
      </c>
      <c r="L293" s="10">
        <f t="shared" si="30"/>
        <v>0.31850141269225585</v>
      </c>
      <c r="M293" s="10">
        <f t="shared" ref="M293:M301" si="38">L293+ABS($N$2)*A293</f>
        <v>0.33207673533266868</v>
      </c>
      <c r="P293" s="8">
        <f t="shared" ref="P293:P301" si="39">(M293-$O$2)/$O$2*100</f>
        <v>-0.68263328528979239</v>
      </c>
    </row>
    <row r="294" spans="1:16" x14ac:dyDescent="0.2">
      <c r="A294" s="8">
        <v>146</v>
      </c>
      <c r="B294" s="8">
        <v>292</v>
      </c>
      <c r="D294">
        <v>389.61646926114003</v>
      </c>
      <c r="E294">
        <v>196.95431472081</v>
      </c>
      <c r="F294">
        <v>137.82737430168001</v>
      </c>
      <c r="G294">
        <v>116.65027932961</v>
      </c>
      <c r="I294" s="9">
        <f t="shared" si="36"/>
        <v>80.304035391200003</v>
      </c>
      <c r="J294" s="9">
        <f t="shared" si="37"/>
        <v>251.78909495946002</v>
      </c>
      <c r="K294" s="9">
        <f t="shared" si="31"/>
        <v>80.304035391200003</v>
      </c>
      <c r="L294" s="10">
        <f t="shared" si="30"/>
        <v>0.31893373064520358</v>
      </c>
      <c r="M294" s="10">
        <f t="shared" si="38"/>
        <v>0.33255570387888245</v>
      </c>
      <c r="N294" s="1"/>
      <c r="P294" s="8">
        <f t="shared" si="39"/>
        <v>-0.53938357915946256</v>
      </c>
    </row>
    <row r="295" spans="1:16" x14ac:dyDescent="0.2">
      <c r="A295" s="8">
        <v>146.5</v>
      </c>
      <c r="B295" s="8">
        <v>293</v>
      </c>
      <c r="D295">
        <v>390.53637901860998</v>
      </c>
      <c r="E295">
        <v>195.95882684714999</v>
      </c>
      <c r="F295">
        <v>137.85530726256999</v>
      </c>
      <c r="G295">
        <v>116.5156424581</v>
      </c>
      <c r="I295" s="9">
        <f t="shared" si="36"/>
        <v>79.443184389049989</v>
      </c>
      <c r="J295" s="9">
        <f t="shared" si="37"/>
        <v>252.68107175603998</v>
      </c>
      <c r="K295" s="9">
        <f t="shared" si="31"/>
        <v>79.443184389049989</v>
      </c>
      <c r="L295" s="10">
        <f t="shared" si="30"/>
        <v>0.31440101087489158</v>
      </c>
      <c r="M295" s="10">
        <f t="shared" si="38"/>
        <v>0.32806963470183648</v>
      </c>
      <c r="P295" s="8">
        <f t="shared" si="39"/>
        <v>-1.8810752129256585</v>
      </c>
    </row>
    <row r="296" spans="1:16" x14ac:dyDescent="0.2">
      <c r="A296" s="8">
        <v>147</v>
      </c>
      <c r="B296" s="8">
        <v>294</v>
      </c>
      <c r="D296">
        <v>396.86689227298001</v>
      </c>
      <c r="E296">
        <v>198.45064861815999</v>
      </c>
      <c r="F296">
        <v>138.26424581006</v>
      </c>
      <c r="G296">
        <v>116.76815642458</v>
      </c>
      <c r="I296" s="9">
        <f t="shared" si="36"/>
        <v>81.682492193579989</v>
      </c>
      <c r="J296" s="9">
        <f t="shared" si="37"/>
        <v>258.60264646292001</v>
      </c>
      <c r="K296" s="9">
        <f t="shared" si="31"/>
        <v>81.682492193579989</v>
      </c>
      <c r="L296" s="10">
        <f t="shared" si="30"/>
        <v>0.31586100649318805</v>
      </c>
      <c r="M296" s="10">
        <f t="shared" si="38"/>
        <v>0.32957628091339897</v>
      </c>
      <c r="P296" s="8">
        <f t="shared" si="39"/>
        <v>-1.4304681140779243</v>
      </c>
    </row>
    <row r="297" spans="1:16" x14ac:dyDescent="0.2">
      <c r="A297" s="8">
        <v>147.5</v>
      </c>
      <c r="B297" s="8">
        <v>295</v>
      </c>
      <c r="D297">
        <v>393.91118605958002</v>
      </c>
      <c r="E297">
        <v>198.03934794828999</v>
      </c>
      <c r="F297">
        <v>138.28938547486001</v>
      </c>
      <c r="G297">
        <v>116.75642458100999</v>
      </c>
      <c r="I297" s="9">
        <f t="shared" si="36"/>
        <v>81.282923367279992</v>
      </c>
      <c r="J297" s="9">
        <f t="shared" si="37"/>
        <v>255.62180058472001</v>
      </c>
      <c r="K297" s="9">
        <f t="shared" si="31"/>
        <v>81.282923367279992</v>
      </c>
      <c r="L297" s="10">
        <f t="shared" si="30"/>
        <v>0.31798118619519161</v>
      </c>
      <c r="M297" s="10">
        <f t="shared" si="38"/>
        <v>0.33174311120866851</v>
      </c>
      <c r="P297" s="8">
        <f t="shared" si="39"/>
        <v>-0.78241344433949422</v>
      </c>
    </row>
    <row r="298" spans="1:16" x14ac:dyDescent="0.2">
      <c r="A298" s="8">
        <v>148</v>
      </c>
      <c r="B298" s="8">
        <v>296</v>
      </c>
      <c r="D298">
        <v>402.70432827431</v>
      </c>
      <c r="E298">
        <v>200.63012928612</v>
      </c>
      <c r="F298">
        <v>138.17765363129001</v>
      </c>
      <c r="G298">
        <v>117.00111731844</v>
      </c>
      <c r="I298" s="9">
        <f t="shared" si="36"/>
        <v>83.62901196768</v>
      </c>
      <c r="J298" s="9">
        <f t="shared" si="37"/>
        <v>264.52667464301999</v>
      </c>
      <c r="K298" s="9">
        <f t="shared" si="31"/>
        <v>83.62901196768</v>
      </c>
      <c r="L298" s="10">
        <f t="shared" si="30"/>
        <v>0.31614585591618599</v>
      </c>
      <c r="M298" s="10">
        <f t="shared" si="38"/>
        <v>0.32995443152292891</v>
      </c>
      <c r="P298" s="8">
        <f t="shared" si="39"/>
        <v>-1.317370992948818</v>
      </c>
    </row>
    <row r="299" spans="1:16" x14ac:dyDescent="0.2">
      <c r="A299" s="8">
        <v>148.5</v>
      </c>
      <c r="B299" s="8">
        <v>297</v>
      </c>
      <c r="D299">
        <v>400.59474566797002</v>
      </c>
      <c r="E299">
        <v>200.08608160983999</v>
      </c>
      <c r="F299">
        <v>137.51396648044999</v>
      </c>
      <c r="G299">
        <v>116.54916201117</v>
      </c>
      <c r="I299" s="9">
        <f t="shared" si="36"/>
        <v>83.536919598669996</v>
      </c>
      <c r="J299" s="9">
        <f t="shared" si="37"/>
        <v>263.08077918752002</v>
      </c>
      <c r="K299" s="9">
        <f t="shared" si="31"/>
        <v>83.536919598669996</v>
      </c>
      <c r="L299" s="10">
        <f t="shared" si="30"/>
        <v>0.31753334415634421</v>
      </c>
      <c r="M299" s="10">
        <f t="shared" si="38"/>
        <v>0.33138857035635316</v>
      </c>
      <c r="P299" s="8">
        <f t="shared" si="39"/>
        <v>-0.88844936946828734</v>
      </c>
    </row>
    <row r="300" spans="1:16" x14ac:dyDescent="0.2">
      <c r="A300" s="8">
        <v>149</v>
      </c>
      <c r="B300" s="8">
        <v>298</v>
      </c>
      <c r="D300">
        <v>411.79988726043001</v>
      </c>
      <c r="E300">
        <v>201.83032694476</v>
      </c>
      <c r="F300">
        <v>137.74636871508</v>
      </c>
      <c r="G300">
        <v>116.53743016759999</v>
      </c>
      <c r="I300" s="9">
        <f t="shared" si="36"/>
        <v>85.29289677716001</v>
      </c>
      <c r="J300" s="9">
        <f t="shared" si="37"/>
        <v>274.05351854535002</v>
      </c>
      <c r="K300" s="9">
        <f t="shared" si="31"/>
        <v>85.29289677716001</v>
      </c>
      <c r="L300" s="10">
        <f t="shared" si="30"/>
        <v>0.31122715457143768</v>
      </c>
      <c r="M300" s="10">
        <f t="shared" si="38"/>
        <v>0.32512903136471266</v>
      </c>
      <c r="P300" s="8">
        <f t="shared" si="39"/>
        <v>-2.7605495901446857</v>
      </c>
    </row>
    <row r="301" spans="1:16" x14ac:dyDescent="0.2">
      <c r="A301" s="8">
        <v>149.5</v>
      </c>
      <c r="B301" s="8">
        <v>299</v>
      </c>
      <c r="D301">
        <v>413.97294250281999</v>
      </c>
      <c r="E301">
        <v>201.896843292</v>
      </c>
      <c r="F301">
        <v>137.58603351955</v>
      </c>
      <c r="G301">
        <v>116.38770949721</v>
      </c>
      <c r="I301" s="9">
        <f t="shared" si="36"/>
        <v>85.509133794790003</v>
      </c>
      <c r="J301" s="9">
        <f t="shared" si="37"/>
        <v>276.38690898327002</v>
      </c>
      <c r="K301" s="9">
        <f t="shared" si="31"/>
        <v>85.509133794790003</v>
      </c>
      <c r="L301" s="10">
        <f t="shared" si="30"/>
        <v>0.30938199681507333</v>
      </c>
      <c r="M301" s="10">
        <f t="shared" si="38"/>
        <v>0.32333052420161434</v>
      </c>
      <c r="P301" s="8">
        <f t="shared" si="39"/>
        <v>-3.2984463364419758</v>
      </c>
    </row>
    <row r="302" spans="1:16" x14ac:dyDescent="0.2">
      <c r="A302" s="8">
        <v>150</v>
      </c>
      <c r="B302" s="8">
        <v>300</v>
      </c>
      <c r="D302">
        <v>406.57078903190001</v>
      </c>
      <c r="E302">
        <v>202.15500839396</v>
      </c>
      <c r="F302">
        <v>137.92793296088999</v>
      </c>
      <c r="G302">
        <v>116.5748603352</v>
      </c>
      <c r="I302" s="9">
        <f>E302-G302</f>
        <v>85.580148058760003</v>
      </c>
      <c r="J302" s="9">
        <f>D302-F302</f>
        <v>268.64285607100999</v>
      </c>
      <c r="K302" s="9">
        <f t="shared" si="31"/>
        <v>85.580148058760003</v>
      </c>
      <c r="L302" s="10">
        <f t="shared" si="30"/>
        <v>0.31856476405290568</v>
      </c>
      <c r="M302" s="10">
        <f>L302+ABS($N$2)*A302</f>
        <v>0.33255994203271272</v>
      </c>
      <c r="O302" s="11"/>
      <c r="P302" s="8">
        <f>(M302-$O$2)/$O$2*100</f>
        <v>-0.53811603394063612</v>
      </c>
    </row>
    <row r="303" spans="1:16" x14ac:dyDescent="0.2">
      <c r="A303" s="8">
        <v>150.5</v>
      </c>
      <c r="B303" s="8">
        <v>301</v>
      </c>
      <c r="D303">
        <v>406.41913822048002</v>
      </c>
      <c r="E303">
        <v>202.35702294347999</v>
      </c>
      <c r="F303">
        <v>137.93072625697999</v>
      </c>
      <c r="G303">
        <v>116.52458100558999</v>
      </c>
      <c r="I303" s="9">
        <f t="shared" ref="I303:I309" si="40">E303-G303</f>
        <v>85.832441937889996</v>
      </c>
      <c r="J303" s="9">
        <f t="shared" ref="J303:J309" si="41">D303-F303</f>
        <v>268.48841196350003</v>
      </c>
      <c r="K303" s="9">
        <f t="shared" si="31"/>
        <v>85.832441937889996</v>
      </c>
      <c r="L303" s="10">
        <f t="shared" si="30"/>
        <v>0.31968769642675898</v>
      </c>
      <c r="M303" s="10">
        <f t="shared" ref="M303:M309" si="42">L303+ABS($N$2)*A303</f>
        <v>0.33372952499983205</v>
      </c>
      <c r="P303" s="8">
        <f t="shared" ref="P303:P309" si="43">(M303-$O$2)/$O$2*100</f>
        <v>-0.18831766480073672</v>
      </c>
    </row>
    <row r="304" spans="1:16" x14ac:dyDescent="0.2">
      <c r="A304" s="8">
        <v>151</v>
      </c>
      <c r="B304" s="8">
        <v>302</v>
      </c>
      <c r="D304">
        <v>403.64577504197001</v>
      </c>
      <c r="E304">
        <v>201.91550083940001</v>
      </c>
      <c r="F304">
        <v>137.48212290503</v>
      </c>
      <c r="G304">
        <v>116.63687150838</v>
      </c>
      <c r="I304" s="9">
        <f t="shared" si="40"/>
        <v>85.278629331020014</v>
      </c>
      <c r="J304" s="9">
        <f t="shared" si="41"/>
        <v>266.16365213694002</v>
      </c>
      <c r="K304" s="9">
        <f t="shared" si="31"/>
        <v>85.278629331020014</v>
      </c>
      <c r="L304" s="10">
        <f t="shared" si="30"/>
        <v>0.3203992304972752</v>
      </c>
      <c r="M304" s="10">
        <f t="shared" si="42"/>
        <v>0.3344877096636143</v>
      </c>
      <c r="N304" s="1"/>
      <c r="P304" s="8">
        <f t="shared" si="43"/>
        <v>3.8439877292344569E-2</v>
      </c>
    </row>
    <row r="305" spans="1:16" x14ac:dyDescent="0.2">
      <c r="A305" s="8">
        <v>151.5</v>
      </c>
      <c r="B305" s="8">
        <v>303</v>
      </c>
      <c r="D305">
        <v>404.06151241535002</v>
      </c>
      <c r="E305">
        <v>201.98645598194</v>
      </c>
      <c r="F305">
        <v>137.52737430168</v>
      </c>
      <c r="G305">
        <v>116.44022346369</v>
      </c>
      <c r="I305" s="9">
        <f t="shared" si="40"/>
        <v>85.546232518249994</v>
      </c>
      <c r="J305" s="9">
        <f t="shared" si="41"/>
        <v>266.53413811367</v>
      </c>
      <c r="K305" s="9">
        <f t="shared" si="31"/>
        <v>85.546232518249994</v>
      </c>
      <c r="L305" s="10">
        <f t="shared" si="30"/>
        <v>0.32095788225734412</v>
      </c>
      <c r="M305" s="10">
        <f t="shared" si="42"/>
        <v>0.33509301201694924</v>
      </c>
      <c r="P305" s="8">
        <f t="shared" si="43"/>
        <v>0.21947344394440102</v>
      </c>
    </row>
    <row r="306" spans="1:16" x14ac:dyDescent="0.2">
      <c r="A306" s="8">
        <v>152</v>
      </c>
      <c r="B306" s="8">
        <v>304</v>
      </c>
      <c r="D306">
        <v>405.09367945823999</v>
      </c>
      <c r="E306">
        <v>201.44808126410999</v>
      </c>
      <c r="F306">
        <v>137.8687150838</v>
      </c>
      <c r="G306">
        <v>116.62402234637</v>
      </c>
      <c r="I306" s="9">
        <f t="shared" si="40"/>
        <v>84.82405891773999</v>
      </c>
      <c r="J306" s="9">
        <f t="shared" si="41"/>
        <v>267.22496437443999</v>
      </c>
      <c r="K306" s="9">
        <f t="shared" si="31"/>
        <v>84.82405891773999</v>
      </c>
      <c r="L306" s="10">
        <f t="shared" si="30"/>
        <v>0.31742565338649698</v>
      </c>
      <c r="M306" s="10">
        <f t="shared" si="42"/>
        <v>0.33160743373936813</v>
      </c>
      <c r="P306" s="8">
        <f t="shared" si="43"/>
        <v>-0.82299180331405541</v>
      </c>
    </row>
    <row r="307" spans="1:16" x14ac:dyDescent="0.2">
      <c r="A307" s="8">
        <v>152.5</v>
      </c>
      <c r="B307" s="8">
        <v>305</v>
      </c>
      <c r="D307">
        <v>404.26354401805997</v>
      </c>
      <c r="E307">
        <v>201.44864559819001</v>
      </c>
      <c r="F307">
        <v>138.27709497206999</v>
      </c>
      <c r="G307">
        <v>116.26368715084</v>
      </c>
      <c r="I307" s="9">
        <f t="shared" si="40"/>
        <v>85.184958447350013</v>
      </c>
      <c r="J307" s="9">
        <f t="shared" si="41"/>
        <v>265.98644904598996</v>
      </c>
      <c r="K307" s="9">
        <f t="shared" si="31"/>
        <v>85.184958447350013</v>
      </c>
      <c r="L307" s="10">
        <f t="shared" si="30"/>
        <v>0.32026051986062359</v>
      </c>
      <c r="M307" s="10">
        <f t="shared" si="42"/>
        <v>0.33448895080676078</v>
      </c>
      <c r="P307" s="8">
        <f t="shared" si="43"/>
        <v>3.8811077849049934E-2</v>
      </c>
    </row>
    <row r="308" spans="1:16" x14ac:dyDescent="0.2">
      <c r="A308" s="8">
        <v>153</v>
      </c>
      <c r="B308" s="8">
        <v>306</v>
      </c>
      <c r="D308">
        <v>404.37866817155998</v>
      </c>
      <c r="E308">
        <v>201.68002257335999</v>
      </c>
      <c r="F308">
        <v>137.50279329609</v>
      </c>
      <c r="G308">
        <v>116.50335195530999</v>
      </c>
      <c r="I308" s="9">
        <f t="shared" si="40"/>
        <v>85.176670618049997</v>
      </c>
      <c r="J308" s="9">
        <f t="shared" si="41"/>
        <v>266.87587487547</v>
      </c>
      <c r="K308" s="9">
        <f t="shared" si="31"/>
        <v>85.176670618049997</v>
      </c>
      <c r="L308" s="10">
        <f t="shared" si="30"/>
        <v>0.31916212230796526</v>
      </c>
      <c r="M308" s="10">
        <f t="shared" si="42"/>
        <v>0.33343720384736841</v>
      </c>
      <c r="P308" s="8">
        <f t="shared" si="43"/>
        <v>-0.27574494894520846</v>
      </c>
    </row>
    <row r="309" spans="1:16" x14ac:dyDescent="0.2">
      <c r="A309" s="8">
        <v>153.5</v>
      </c>
      <c r="B309" s="8">
        <v>307</v>
      </c>
      <c r="D309">
        <v>403.65519187359001</v>
      </c>
      <c r="E309">
        <v>201.56264108351999</v>
      </c>
      <c r="F309">
        <v>137.72793296089</v>
      </c>
      <c r="G309">
        <v>116.71508379888</v>
      </c>
      <c r="I309" s="9">
        <f t="shared" si="40"/>
        <v>84.84755728463999</v>
      </c>
      <c r="J309" s="9">
        <f t="shared" si="41"/>
        <v>265.92725891270004</v>
      </c>
      <c r="K309" s="9">
        <f t="shared" si="31"/>
        <v>84.84755728463999</v>
      </c>
      <c r="L309" s="10">
        <f t="shared" si="30"/>
        <v>0.3190630311144379</v>
      </c>
      <c r="M309" s="10">
        <f t="shared" si="42"/>
        <v>0.33338476324710709</v>
      </c>
      <c r="P309" s="8">
        <f t="shared" si="43"/>
        <v>-0.29142886104364635</v>
      </c>
    </row>
    <row r="310" spans="1:16" x14ac:dyDescent="0.2">
      <c r="A310" s="8">
        <v>154</v>
      </c>
      <c r="B310" s="8">
        <v>308</v>
      </c>
      <c r="D310">
        <v>403.01410835214</v>
      </c>
      <c r="E310">
        <v>200.87528216704001</v>
      </c>
      <c r="F310">
        <v>137.54078212291</v>
      </c>
      <c r="G310">
        <v>116.47932960894001</v>
      </c>
      <c r="I310" s="9">
        <f>E310-G310</f>
        <v>84.395952558100007</v>
      </c>
      <c r="J310" s="9">
        <f>D310-F310</f>
        <v>265.47332622923</v>
      </c>
      <c r="K310" s="9">
        <f t="shared" si="31"/>
        <v>84.395952558100007</v>
      </c>
      <c r="L310" s="10">
        <f t="shared" si="30"/>
        <v>0.31790746647452661</v>
      </c>
      <c r="M310" s="10">
        <f>L310+ABS($N$2)*A310</f>
        <v>0.33227584920046183</v>
      </c>
      <c r="O310" s="11"/>
      <c r="P310" s="8">
        <f>(M310-$O$2)/$O$2*100</f>
        <v>-0.62308239562633783</v>
      </c>
    </row>
    <row r="311" spans="1:16" x14ac:dyDescent="0.2">
      <c r="A311" s="8">
        <v>154.5</v>
      </c>
      <c r="B311" s="8">
        <v>309</v>
      </c>
      <c r="D311">
        <v>401.04796839728999</v>
      </c>
      <c r="E311">
        <v>200.75169300226</v>
      </c>
      <c r="F311">
        <v>137.46201117318</v>
      </c>
      <c r="G311">
        <v>116.60558659218</v>
      </c>
      <c r="I311" s="9">
        <f t="shared" ref="I311:I322" si="44">E311-G311</f>
        <v>84.146106410079994</v>
      </c>
      <c r="J311" s="9">
        <f t="shared" ref="J311:J322" si="45">D311-F311</f>
        <v>263.58595722410996</v>
      </c>
      <c r="K311" s="9">
        <f t="shared" si="31"/>
        <v>84.146106410079994</v>
      </c>
      <c r="L311" s="10">
        <f t="shared" si="30"/>
        <v>0.31923592324964428</v>
      </c>
      <c r="M311" s="10">
        <f t="shared" ref="M311:M322" si="46">L311+ABS($N$2)*A311</f>
        <v>0.33365095656884552</v>
      </c>
      <c r="P311" s="8">
        <f t="shared" ref="P311:P322" si="47">(M311-$O$2)/$O$2*100</f>
        <v>-0.21181587723850662</v>
      </c>
    </row>
    <row r="312" spans="1:16" x14ac:dyDescent="0.2">
      <c r="A312" s="8">
        <v>155</v>
      </c>
      <c r="B312" s="8">
        <v>310</v>
      </c>
      <c r="D312">
        <v>401.78498871331999</v>
      </c>
      <c r="E312">
        <v>200.32787810383999</v>
      </c>
      <c r="F312">
        <v>137.55139664805</v>
      </c>
      <c r="G312">
        <v>116.43407821229</v>
      </c>
      <c r="I312" s="9">
        <f t="shared" si="44"/>
        <v>83.893799891549989</v>
      </c>
      <c r="J312" s="9">
        <f t="shared" si="45"/>
        <v>264.23359206526999</v>
      </c>
      <c r="K312" s="9">
        <f t="shared" si="31"/>
        <v>83.893799891549989</v>
      </c>
      <c r="L312" s="10">
        <f t="shared" si="30"/>
        <v>0.31749861641674559</v>
      </c>
      <c r="M312" s="10">
        <f t="shared" si="46"/>
        <v>0.33196030032921287</v>
      </c>
      <c r="N312" s="1"/>
      <c r="P312" s="8">
        <f t="shared" si="47"/>
        <v>-0.71745661588254017</v>
      </c>
    </row>
    <row r="313" spans="1:16" x14ac:dyDescent="0.2">
      <c r="A313" s="8">
        <v>155.5</v>
      </c>
      <c r="B313" s="8">
        <v>311</v>
      </c>
      <c r="D313">
        <v>401.63431151242003</v>
      </c>
      <c r="E313">
        <v>200.93848758465001</v>
      </c>
      <c r="F313">
        <v>137.45139664805001</v>
      </c>
      <c r="G313">
        <v>116.39553072626001</v>
      </c>
      <c r="I313" s="9">
        <f t="shared" si="44"/>
        <v>84.542956858389999</v>
      </c>
      <c r="J313" s="9">
        <f t="shared" si="45"/>
        <v>264.18291486436999</v>
      </c>
      <c r="K313" s="9">
        <f t="shared" si="31"/>
        <v>84.542956858389999</v>
      </c>
      <c r="L313" s="10">
        <f t="shared" si="30"/>
        <v>0.32001674635846106</v>
      </c>
      <c r="M313" s="10">
        <f t="shared" si="46"/>
        <v>0.33452508086419436</v>
      </c>
      <c r="P313" s="8">
        <f t="shared" si="47"/>
        <v>4.9616839836440489E-2</v>
      </c>
    </row>
    <row r="314" spans="1:16" x14ac:dyDescent="0.2">
      <c r="A314" s="8">
        <v>156</v>
      </c>
      <c r="B314" s="8">
        <v>312</v>
      </c>
      <c r="D314">
        <v>403.07505643341</v>
      </c>
      <c r="E314">
        <v>200.85440180587</v>
      </c>
      <c r="F314">
        <v>137.58491620112</v>
      </c>
      <c r="G314">
        <v>116.45251396648</v>
      </c>
      <c r="I314" s="9">
        <f t="shared" si="44"/>
        <v>84.40188783939</v>
      </c>
      <c r="J314" s="9">
        <f t="shared" si="45"/>
        <v>265.49014023229</v>
      </c>
      <c r="K314" s="9">
        <f t="shared" si="31"/>
        <v>84.40188783939</v>
      </c>
      <c r="L314" s="10">
        <f t="shared" si="30"/>
        <v>0.31790968871967434</v>
      </c>
      <c r="M314" s="10">
        <f t="shared" si="46"/>
        <v>0.33246467381867367</v>
      </c>
      <c r="P314" s="8">
        <f t="shared" si="47"/>
        <v>-0.56660881028792442</v>
      </c>
    </row>
    <row r="315" spans="1:16" x14ac:dyDescent="0.2">
      <c r="A315" s="8">
        <v>156.5</v>
      </c>
      <c r="B315" s="8">
        <v>313</v>
      </c>
      <c r="D315">
        <v>402.06884875846998</v>
      </c>
      <c r="E315">
        <v>201.05643340858001</v>
      </c>
      <c r="F315">
        <v>137.92346368714999</v>
      </c>
      <c r="G315">
        <v>116.24357541899001</v>
      </c>
      <c r="I315" s="9">
        <f t="shared" si="44"/>
        <v>84.81285798959</v>
      </c>
      <c r="J315" s="9">
        <f t="shared" si="45"/>
        <v>264.14538507131999</v>
      </c>
      <c r="K315" s="9">
        <f t="shared" si="31"/>
        <v>84.81285798959</v>
      </c>
      <c r="L315" s="10">
        <f t="shared" si="30"/>
        <v>0.32108400442691926</v>
      </c>
      <c r="M315" s="10">
        <f t="shared" si="46"/>
        <v>0.33568564011918461</v>
      </c>
      <c r="P315" s="8">
        <f t="shared" si="47"/>
        <v>0.39671640104643918</v>
      </c>
    </row>
    <row r="316" spans="1:16" x14ac:dyDescent="0.2">
      <c r="A316" s="8">
        <v>157</v>
      </c>
      <c r="B316" s="8">
        <v>314</v>
      </c>
      <c r="D316">
        <v>403.33465011287001</v>
      </c>
      <c r="E316">
        <v>201.12302483069999</v>
      </c>
      <c r="F316">
        <v>137.36815642458001</v>
      </c>
      <c r="G316">
        <v>116.45810055866001</v>
      </c>
      <c r="I316" s="9">
        <f t="shared" si="44"/>
        <v>84.664924272039983</v>
      </c>
      <c r="J316" s="9">
        <f t="shared" si="45"/>
        <v>265.96649368829003</v>
      </c>
      <c r="K316" s="9">
        <f t="shared" si="31"/>
        <v>84.664924272039983</v>
      </c>
      <c r="L316" s="10">
        <f t="shared" si="30"/>
        <v>0.31832928688854467</v>
      </c>
      <c r="M316" s="10">
        <f t="shared" si="46"/>
        <v>0.33297757317407606</v>
      </c>
      <c r="P316" s="8">
        <f t="shared" si="47"/>
        <v>-0.41321109238634801</v>
      </c>
    </row>
    <row r="317" spans="1:16" x14ac:dyDescent="0.2">
      <c r="A317" s="8">
        <v>157.5</v>
      </c>
      <c r="B317" s="8">
        <v>315</v>
      </c>
      <c r="D317">
        <v>401.95259593679998</v>
      </c>
      <c r="E317">
        <v>201.62866817156001</v>
      </c>
      <c r="F317">
        <v>137.61508379887999</v>
      </c>
      <c r="G317">
        <v>116.29273743017001</v>
      </c>
      <c r="I317" s="9">
        <f t="shared" si="44"/>
        <v>85.335930741390001</v>
      </c>
      <c r="J317" s="9">
        <f t="shared" si="45"/>
        <v>264.33751213791999</v>
      </c>
      <c r="K317" s="9">
        <f t="shared" si="31"/>
        <v>85.335930741390001</v>
      </c>
      <c r="L317" s="10">
        <f t="shared" si="30"/>
        <v>0.32282943896689686</v>
      </c>
      <c r="M317" s="10">
        <f t="shared" si="46"/>
        <v>0.33752437584569428</v>
      </c>
      <c r="P317" s="8">
        <f t="shared" si="47"/>
        <v>0.94664468873047602</v>
      </c>
    </row>
    <row r="318" spans="1:16" x14ac:dyDescent="0.2">
      <c r="A318" s="8">
        <v>158</v>
      </c>
      <c r="B318" s="8">
        <v>316</v>
      </c>
      <c r="D318">
        <v>402.70598194130997</v>
      </c>
      <c r="E318">
        <v>202.29853273137999</v>
      </c>
      <c r="F318">
        <v>137.53296089386001</v>
      </c>
      <c r="G318">
        <v>116.5094972067</v>
      </c>
      <c r="I318" s="9">
        <f t="shared" si="44"/>
        <v>85.789035524679988</v>
      </c>
      <c r="J318" s="9">
        <f t="shared" si="45"/>
        <v>265.17302104744999</v>
      </c>
      <c r="K318" s="9">
        <f t="shared" si="31"/>
        <v>85.789035524679988</v>
      </c>
      <c r="L318" s="10">
        <f t="shared" si="30"/>
        <v>0.32352097956952008</v>
      </c>
      <c r="M318" s="10">
        <f t="shared" si="46"/>
        <v>0.33826256704158353</v>
      </c>
      <c r="P318" s="8">
        <f t="shared" si="47"/>
        <v>1.1674225930731488</v>
      </c>
    </row>
    <row r="319" spans="1:16" x14ac:dyDescent="0.2">
      <c r="A319" s="8">
        <v>158.5</v>
      </c>
      <c r="B319" s="8">
        <v>317</v>
      </c>
      <c r="D319">
        <v>401.12189616252999</v>
      </c>
      <c r="E319">
        <v>201.44130925508</v>
      </c>
      <c r="F319">
        <v>137.46145251396999</v>
      </c>
      <c r="G319">
        <v>116.46480446927001</v>
      </c>
      <c r="I319" s="9">
        <f t="shared" si="44"/>
        <v>84.976504785809993</v>
      </c>
      <c r="J319" s="9">
        <f t="shared" si="45"/>
        <v>263.66044364855998</v>
      </c>
      <c r="K319" s="9">
        <f t="shared" si="31"/>
        <v>84.976504785809993</v>
      </c>
      <c r="L319" s="10">
        <f t="shared" si="30"/>
        <v>0.32229523553058054</v>
      </c>
      <c r="M319" s="10">
        <f t="shared" si="46"/>
        <v>0.33708347359590995</v>
      </c>
      <c r="P319" s="8">
        <f t="shared" si="47"/>
        <v>0.81477983411094579</v>
      </c>
    </row>
    <row r="320" spans="1:16" x14ac:dyDescent="0.2">
      <c r="A320" s="8">
        <v>159</v>
      </c>
      <c r="B320" s="8">
        <v>318</v>
      </c>
      <c r="D320">
        <v>402.14729119638997</v>
      </c>
      <c r="E320">
        <v>201.59819413093001</v>
      </c>
      <c r="F320">
        <v>137.25251396648</v>
      </c>
      <c r="G320">
        <v>116.72290502793</v>
      </c>
      <c r="I320" s="9">
        <f t="shared" si="44"/>
        <v>84.875289103000014</v>
      </c>
      <c r="J320" s="9">
        <f t="shared" si="45"/>
        <v>264.89477722991001</v>
      </c>
      <c r="K320" s="9">
        <f t="shared" si="31"/>
        <v>84.875289103000014</v>
      </c>
      <c r="L320" s="10">
        <f t="shared" si="30"/>
        <v>0.32041133460828575</v>
      </c>
      <c r="M320" s="10">
        <f t="shared" si="46"/>
        <v>0.33524622326688119</v>
      </c>
      <c r="P320" s="8">
        <f t="shared" si="47"/>
        <v>0.26529579846456031</v>
      </c>
    </row>
    <row r="321" spans="1:16" x14ac:dyDescent="0.2">
      <c r="A321" s="8">
        <v>159.5</v>
      </c>
      <c r="B321" s="8">
        <v>319</v>
      </c>
      <c r="D321">
        <v>401.19018058691</v>
      </c>
      <c r="E321">
        <v>201.11455981941</v>
      </c>
      <c r="F321">
        <v>137.28659217877001</v>
      </c>
      <c r="G321">
        <v>116.56312849162001</v>
      </c>
      <c r="I321" s="9">
        <f t="shared" si="44"/>
        <v>84.551431327789999</v>
      </c>
      <c r="J321" s="9">
        <f t="shared" si="45"/>
        <v>263.90358840813997</v>
      </c>
      <c r="K321" s="9">
        <f t="shared" si="31"/>
        <v>84.551431327789999</v>
      </c>
      <c r="L321" s="10">
        <f t="shared" si="30"/>
        <v>0.3203875772883657</v>
      </c>
      <c r="M321" s="10">
        <f t="shared" si="46"/>
        <v>0.33526911654022717</v>
      </c>
      <c r="P321" s="8">
        <f t="shared" si="47"/>
        <v>0.27214270877860297</v>
      </c>
    </row>
    <row r="322" spans="1:16" x14ac:dyDescent="0.2">
      <c r="A322" s="8">
        <v>160</v>
      </c>
      <c r="B322" s="8">
        <v>320</v>
      </c>
      <c r="D322">
        <v>404.98194130925998</v>
      </c>
      <c r="E322">
        <v>203.16760722347999</v>
      </c>
      <c r="F322">
        <v>137.66536312848999</v>
      </c>
      <c r="G322">
        <v>116.42569832402</v>
      </c>
      <c r="I322" s="9">
        <f t="shared" si="44"/>
        <v>86.741908899459986</v>
      </c>
      <c r="J322" s="9">
        <f t="shared" si="45"/>
        <v>267.31657818076997</v>
      </c>
      <c r="K322" s="9">
        <f t="shared" si="31"/>
        <v>86.741908899459986</v>
      </c>
      <c r="L322" s="10">
        <f t="shared" ref="L322" si="48">K322/J322</f>
        <v>0.3244913184576293</v>
      </c>
      <c r="M322" s="10">
        <f t="shared" si="46"/>
        <v>0.3394195083027568</v>
      </c>
      <c r="P322" s="8">
        <f t="shared" si="47"/>
        <v>1.5134400862535007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D92-AF21-394F-9A94-29296DDA33ED}">
  <dimension ref="A1:Y798"/>
  <sheetViews>
    <sheetView tabSelected="1" topLeftCell="B1" zoomScale="75" zoomScaleNormal="70" workbookViewId="0">
      <selection activeCell="E15" sqref="E15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1170.2568988174</v>
      </c>
      <c r="E2">
        <v>365.54139290406999</v>
      </c>
      <c r="F2">
        <v>133.18737800911001</v>
      </c>
      <c r="G2">
        <v>114.52049446975001</v>
      </c>
      <c r="H2" s="4"/>
      <c r="I2" s="5">
        <f>E2-G2</f>
        <v>251.02089843431997</v>
      </c>
      <c r="J2" s="5">
        <f>D2-F2</f>
        <v>1037.06952080829</v>
      </c>
      <c r="K2" s="9">
        <f>I2*1</f>
        <v>251.02089843431997</v>
      </c>
      <c r="L2" s="6">
        <f t="shared" ref="L2:L65" si="0">K2/J2</f>
        <v>0.24204828451488455</v>
      </c>
      <c r="M2" s="6">
        <f>L2+ABS($N$2)*A2</f>
        <v>0.24204828451488455</v>
      </c>
      <c r="N2" s="4">
        <f>LINEST(V64:V103,U64:U103)</f>
        <v>1.7998119061893775E-4</v>
      </c>
      <c r="O2" s="7">
        <f>AVERAGE(M62:M81)</f>
        <v>0.17649873837371194</v>
      </c>
      <c r="P2" s="4">
        <f>(M2-$O$2)/$O$2*100</f>
        <v>37.138818523665826</v>
      </c>
    </row>
    <row r="3" spans="1:16" x14ac:dyDescent="0.2">
      <c r="A3" s="8">
        <v>0.5</v>
      </c>
      <c r="B3" s="8">
        <v>1</v>
      </c>
      <c r="D3">
        <v>1180.8134034166001</v>
      </c>
      <c r="E3">
        <v>363.27660972404999</v>
      </c>
      <c r="F3">
        <v>132.97267404034</v>
      </c>
      <c r="G3">
        <v>114.51463890696</v>
      </c>
      <c r="I3" s="9">
        <f t="shared" ref="I3:I66" si="1">E3-G3</f>
        <v>248.76197081709</v>
      </c>
      <c r="J3" s="9">
        <f t="shared" ref="J3:J66" si="2">D3-F3</f>
        <v>1047.84072937626</v>
      </c>
      <c r="K3" s="9">
        <f t="shared" ref="K3:K66" si="3">I3*1</f>
        <v>248.76197081709</v>
      </c>
      <c r="L3" s="10">
        <f t="shared" si="0"/>
        <v>0.23740437248050913</v>
      </c>
      <c r="M3" s="10">
        <f t="shared" ref="M3:M66" si="4">L3+ABS($N$2)*A3</f>
        <v>0.23749436307581862</v>
      </c>
      <c r="P3" s="8">
        <f t="shared" ref="P3:P66" si="5">(M3-$O$2)/$O$2*100</f>
        <v>34.558674619507357</v>
      </c>
    </row>
    <row r="4" spans="1:16" ht="16" x14ac:dyDescent="0.2">
      <c r="A4" s="8">
        <v>1</v>
      </c>
      <c r="B4" s="8">
        <v>2</v>
      </c>
      <c r="D4">
        <v>1157.6327201050999</v>
      </c>
      <c r="E4">
        <v>355.32851511170003</v>
      </c>
      <c r="F4">
        <v>132.82758620690001</v>
      </c>
      <c r="G4">
        <v>114.57059206245999</v>
      </c>
      <c r="I4" s="9">
        <f t="shared" si="1"/>
        <v>240.75792304924005</v>
      </c>
      <c r="J4" s="9">
        <f t="shared" si="2"/>
        <v>1024.8051338982</v>
      </c>
      <c r="K4" s="9">
        <f t="shared" si="3"/>
        <v>240.75792304924005</v>
      </c>
      <c r="L4" s="10">
        <f t="shared" si="0"/>
        <v>0.23493044197918311</v>
      </c>
      <c r="M4" s="10">
        <f t="shared" si="4"/>
        <v>0.23511042316980205</v>
      </c>
      <c r="N4" s="1" t="s">
        <v>7</v>
      </c>
      <c r="P4" s="8">
        <f t="shared" si="5"/>
        <v>33.207990797071808</v>
      </c>
    </row>
    <row r="5" spans="1:16" x14ac:dyDescent="0.2">
      <c r="A5" s="8">
        <v>1.5</v>
      </c>
      <c r="B5" s="8">
        <v>3</v>
      </c>
      <c r="D5">
        <v>1148.6772068511</v>
      </c>
      <c r="E5">
        <v>354.62845849802</v>
      </c>
      <c r="F5">
        <v>133.09824333117001</v>
      </c>
      <c r="G5">
        <v>114.68314899153999</v>
      </c>
      <c r="I5" s="9">
        <f t="shared" si="1"/>
        <v>239.94530950647999</v>
      </c>
      <c r="J5" s="9">
        <f t="shared" si="2"/>
        <v>1015.57896351993</v>
      </c>
      <c r="K5" s="9">
        <f t="shared" si="3"/>
        <v>239.94530950647999</v>
      </c>
      <c r="L5" s="10">
        <f t="shared" si="0"/>
        <v>0.23626455265954438</v>
      </c>
      <c r="M5" s="10">
        <f t="shared" si="4"/>
        <v>0.23653452444547279</v>
      </c>
      <c r="N5" s="8">
        <f>RSQ(V64:V83,U64:U83)</f>
        <v>0.32158449678578871</v>
      </c>
      <c r="P5" s="8">
        <f t="shared" si="5"/>
        <v>34.014852811380038</v>
      </c>
    </row>
    <row r="6" spans="1:16" x14ac:dyDescent="0.2">
      <c r="A6" s="8">
        <v>2</v>
      </c>
      <c r="B6" s="8">
        <v>4</v>
      </c>
      <c r="D6">
        <v>1118.2516469038001</v>
      </c>
      <c r="E6">
        <v>344.68840579710002</v>
      </c>
      <c r="F6">
        <v>133.32010409889</v>
      </c>
      <c r="G6">
        <v>114.80416395576</v>
      </c>
      <c r="I6" s="9">
        <f t="shared" si="1"/>
        <v>229.88424184134001</v>
      </c>
      <c r="J6" s="9">
        <f t="shared" si="2"/>
        <v>984.93154280491012</v>
      </c>
      <c r="K6" s="9">
        <f t="shared" si="3"/>
        <v>229.88424184134001</v>
      </c>
      <c r="L6" s="10">
        <f t="shared" si="0"/>
        <v>0.23340123841162658</v>
      </c>
      <c r="M6" s="10">
        <f t="shared" si="4"/>
        <v>0.23376120079286444</v>
      </c>
      <c r="P6" s="8">
        <f t="shared" si="5"/>
        <v>32.443553391246951</v>
      </c>
    </row>
    <row r="7" spans="1:16" x14ac:dyDescent="0.2">
      <c r="A7" s="8">
        <v>2.5</v>
      </c>
      <c r="B7" s="8">
        <v>5</v>
      </c>
      <c r="D7">
        <v>1075.4598155468</v>
      </c>
      <c r="E7">
        <v>339.30961791830998</v>
      </c>
      <c r="F7">
        <v>132.99024072869</v>
      </c>
      <c r="G7">
        <v>114.44502277162999</v>
      </c>
      <c r="I7" s="9">
        <f t="shared" si="1"/>
        <v>224.86459514667999</v>
      </c>
      <c r="J7" s="9">
        <f t="shared" si="2"/>
        <v>942.46957481811</v>
      </c>
      <c r="K7" s="9">
        <f t="shared" si="3"/>
        <v>224.86459514667999</v>
      </c>
      <c r="L7" s="10">
        <f t="shared" si="0"/>
        <v>0.23859082686046101</v>
      </c>
      <c r="M7" s="10">
        <f t="shared" si="4"/>
        <v>0.23904077983700836</v>
      </c>
      <c r="P7" s="8">
        <f t="shared" si="5"/>
        <v>35.434837687548907</v>
      </c>
    </row>
    <row r="8" spans="1:16" x14ac:dyDescent="0.2">
      <c r="A8" s="8">
        <v>3</v>
      </c>
      <c r="B8" s="8">
        <v>6</v>
      </c>
      <c r="D8">
        <v>634.72793148879998</v>
      </c>
      <c r="E8">
        <v>251.41370223979001</v>
      </c>
      <c r="F8">
        <v>133.19973975277</v>
      </c>
      <c r="G8">
        <v>114.7865972674</v>
      </c>
      <c r="I8" s="9">
        <f t="shared" si="1"/>
        <v>136.62710497239001</v>
      </c>
      <c r="J8" s="9">
        <f t="shared" si="2"/>
        <v>501.52819173602995</v>
      </c>
      <c r="K8" s="9">
        <f t="shared" si="3"/>
        <v>136.62710497239001</v>
      </c>
      <c r="L8" s="10">
        <f t="shared" si="0"/>
        <v>0.2724215851146034</v>
      </c>
      <c r="M8" s="10">
        <f t="shared" si="4"/>
        <v>0.27296152868646023</v>
      </c>
      <c r="P8" s="8">
        <f t="shared" si="5"/>
        <v>54.653529652150553</v>
      </c>
    </row>
    <row r="9" spans="1:16" x14ac:dyDescent="0.2">
      <c r="A9" s="8">
        <v>3.5</v>
      </c>
      <c r="B9" s="8">
        <v>7</v>
      </c>
      <c r="D9">
        <v>1106.4418300653999</v>
      </c>
      <c r="E9">
        <v>344.56862745097999</v>
      </c>
      <c r="F9">
        <v>133.11971372804001</v>
      </c>
      <c r="G9">
        <v>114.63760572544</v>
      </c>
      <c r="I9" s="9">
        <f t="shared" si="1"/>
        <v>229.93102172554001</v>
      </c>
      <c r="J9" s="9">
        <f t="shared" si="2"/>
        <v>973.32211633735994</v>
      </c>
      <c r="K9" s="9">
        <f t="shared" si="3"/>
        <v>229.93102172554001</v>
      </c>
      <c r="L9" s="10">
        <f t="shared" si="0"/>
        <v>0.2362332241979431</v>
      </c>
      <c r="M9" s="10">
        <f t="shared" si="4"/>
        <v>0.23686315836510938</v>
      </c>
      <c r="P9" s="8">
        <f t="shared" si="5"/>
        <v>34.20104899763308</v>
      </c>
    </row>
    <row r="10" spans="1:16" x14ac:dyDescent="0.2">
      <c r="A10" s="8">
        <v>4</v>
      </c>
      <c r="B10" s="8">
        <v>8</v>
      </c>
      <c r="D10">
        <v>1109.7235294118</v>
      </c>
      <c r="E10">
        <v>340.32287581699001</v>
      </c>
      <c r="F10">
        <v>133.47755367599001</v>
      </c>
      <c r="G10">
        <v>114.68900455433</v>
      </c>
      <c r="I10" s="9">
        <f t="shared" si="1"/>
        <v>225.63387126266002</v>
      </c>
      <c r="J10" s="9">
        <f t="shared" si="2"/>
        <v>976.24597573580991</v>
      </c>
      <c r="K10" s="9">
        <f t="shared" si="3"/>
        <v>225.63387126266002</v>
      </c>
      <c r="L10" s="10">
        <f t="shared" si="0"/>
        <v>0.23112399627829114</v>
      </c>
      <c r="M10" s="10">
        <f t="shared" si="4"/>
        <v>0.2318439210407669</v>
      </c>
      <c r="P10" s="8">
        <f t="shared" si="5"/>
        <v>31.357268146511679</v>
      </c>
    </row>
    <row r="11" spans="1:16" x14ac:dyDescent="0.2">
      <c r="A11" s="8">
        <v>4.5</v>
      </c>
      <c r="B11" s="8">
        <v>9</v>
      </c>
      <c r="D11">
        <v>1146.3483660131001</v>
      </c>
      <c r="E11">
        <v>344.97647058823998</v>
      </c>
      <c r="F11">
        <v>132.93819128172001</v>
      </c>
      <c r="G11">
        <v>114.85100845804</v>
      </c>
      <c r="I11" s="9">
        <f t="shared" si="1"/>
        <v>230.12546213019999</v>
      </c>
      <c r="J11" s="9">
        <f t="shared" si="2"/>
        <v>1013.41017473138</v>
      </c>
      <c r="K11" s="9">
        <f t="shared" si="3"/>
        <v>230.12546213019999</v>
      </c>
      <c r="L11" s="10">
        <f t="shared" si="0"/>
        <v>0.22708027595163852</v>
      </c>
      <c r="M11" s="10">
        <f t="shared" si="4"/>
        <v>0.22789019130942373</v>
      </c>
      <c r="P11" s="8">
        <f t="shared" si="5"/>
        <v>29.117178632119973</v>
      </c>
    </row>
    <row r="12" spans="1:16" x14ac:dyDescent="0.2">
      <c r="A12" s="8">
        <v>5</v>
      </c>
      <c r="B12" s="8">
        <v>10</v>
      </c>
      <c r="D12">
        <v>1270.468627451</v>
      </c>
      <c r="E12">
        <v>362.7</v>
      </c>
      <c r="F12">
        <v>133.19973975277</v>
      </c>
      <c r="G12">
        <v>114.5126870527</v>
      </c>
      <c r="I12" s="9">
        <f t="shared" si="1"/>
        <v>248.18731294729997</v>
      </c>
      <c r="J12" s="9">
        <f t="shared" si="2"/>
        <v>1137.2688876982299</v>
      </c>
      <c r="K12" s="9">
        <f t="shared" si="3"/>
        <v>248.18731294729997</v>
      </c>
      <c r="L12" s="10">
        <f t="shared" si="0"/>
        <v>0.21823098796768944</v>
      </c>
      <c r="M12" s="10">
        <f t="shared" si="4"/>
        <v>0.21913089392078414</v>
      </c>
      <c r="P12" s="8">
        <f t="shared" si="5"/>
        <v>24.15436843339041</v>
      </c>
    </row>
    <row r="13" spans="1:16" x14ac:dyDescent="0.2">
      <c r="A13" s="8">
        <v>5.5</v>
      </c>
      <c r="B13" s="8">
        <v>11</v>
      </c>
      <c r="D13">
        <v>1374.5810457516</v>
      </c>
      <c r="E13">
        <v>379.10261437909003</v>
      </c>
      <c r="F13">
        <v>133.13207547170001</v>
      </c>
      <c r="G13">
        <v>114.86662329213</v>
      </c>
      <c r="I13" s="9">
        <f t="shared" si="1"/>
        <v>264.23599108696004</v>
      </c>
      <c r="J13" s="9">
        <f t="shared" si="2"/>
        <v>1241.4489702798999</v>
      </c>
      <c r="K13" s="9">
        <f t="shared" si="3"/>
        <v>264.23599108696004</v>
      </c>
      <c r="L13" s="10">
        <f t="shared" si="0"/>
        <v>0.21284482682150424</v>
      </c>
      <c r="M13" s="10">
        <f t="shared" si="4"/>
        <v>0.21383472336990839</v>
      </c>
      <c r="P13" s="8">
        <f t="shared" si="5"/>
        <v>21.153683782794303</v>
      </c>
    </row>
    <row r="14" spans="1:16" x14ac:dyDescent="0.2">
      <c r="A14" s="8">
        <v>6</v>
      </c>
      <c r="B14" s="8">
        <v>12</v>
      </c>
      <c r="D14">
        <v>1368.8394736841999</v>
      </c>
      <c r="E14">
        <v>370.79342105262998</v>
      </c>
      <c r="F14">
        <v>132.66493168509999</v>
      </c>
      <c r="G14">
        <v>114.62199089134999</v>
      </c>
      <c r="I14" s="9">
        <f t="shared" si="1"/>
        <v>256.17143016128</v>
      </c>
      <c r="J14" s="9">
        <f t="shared" si="2"/>
        <v>1236.1745419990998</v>
      </c>
      <c r="K14" s="9">
        <f t="shared" si="3"/>
        <v>256.17143016128</v>
      </c>
      <c r="L14" s="10">
        <f t="shared" si="0"/>
        <v>0.20722917473046176</v>
      </c>
      <c r="M14" s="10">
        <f t="shared" si="4"/>
        <v>0.20830906187417539</v>
      </c>
      <c r="P14" s="8">
        <f t="shared" si="5"/>
        <v>18.022975004563172</v>
      </c>
    </row>
    <row r="15" spans="1:16" x14ac:dyDescent="0.2">
      <c r="A15" s="8">
        <v>6.5</v>
      </c>
      <c r="B15" s="8">
        <v>13</v>
      </c>
      <c r="D15">
        <v>1389.1309210525999</v>
      </c>
      <c r="E15">
        <v>374.06315789474002</v>
      </c>
      <c r="F15">
        <v>133.29603122967001</v>
      </c>
      <c r="G15">
        <v>114.64801561483</v>
      </c>
      <c r="I15" s="9">
        <f t="shared" si="1"/>
        <v>259.41514227991001</v>
      </c>
      <c r="J15" s="9">
        <f t="shared" si="2"/>
        <v>1255.8348898229299</v>
      </c>
      <c r="K15" s="9">
        <f t="shared" si="3"/>
        <v>259.41514227991001</v>
      </c>
      <c r="L15" s="10">
        <f t="shared" si="0"/>
        <v>0.20656787319906919</v>
      </c>
      <c r="M15" s="10">
        <f t="shared" si="4"/>
        <v>0.2077377509380923</v>
      </c>
      <c r="P15" s="8">
        <f t="shared" si="5"/>
        <v>17.699283775182586</v>
      </c>
    </row>
    <row r="16" spans="1:16" x14ac:dyDescent="0.2">
      <c r="A16" s="8">
        <v>7</v>
      </c>
      <c r="B16" s="8">
        <v>14</v>
      </c>
      <c r="D16">
        <v>1344.1539473683999</v>
      </c>
      <c r="E16">
        <v>365.4</v>
      </c>
      <c r="F16">
        <v>133.2134027326</v>
      </c>
      <c r="G16">
        <v>114.57905009759</v>
      </c>
      <c r="I16" s="9">
        <f t="shared" si="1"/>
        <v>250.82094990240998</v>
      </c>
      <c r="J16" s="9">
        <f t="shared" si="2"/>
        <v>1210.9405446358001</v>
      </c>
      <c r="K16" s="9">
        <f t="shared" si="3"/>
        <v>250.82094990240998</v>
      </c>
      <c r="L16" s="10">
        <f t="shared" si="0"/>
        <v>0.20712903784871317</v>
      </c>
      <c r="M16" s="10">
        <f t="shared" si="4"/>
        <v>0.20838890618304573</v>
      </c>
      <c r="P16" s="8">
        <f t="shared" si="5"/>
        <v>18.06821289668979</v>
      </c>
    </row>
    <row r="17" spans="1:16" x14ac:dyDescent="0.2">
      <c r="A17" s="8">
        <v>7.5</v>
      </c>
      <c r="B17" s="8">
        <v>15</v>
      </c>
      <c r="D17">
        <v>1403.6296052631999</v>
      </c>
      <c r="E17">
        <v>369.87960526315999</v>
      </c>
      <c r="F17">
        <v>133.10149642159999</v>
      </c>
      <c r="G17">
        <v>114.38776837995999</v>
      </c>
      <c r="I17" s="9">
        <f t="shared" si="1"/>
        <v>255.49183688319999</v>
      </c>
      <c r="J17" s="9">
        <f t="shared" si="2"/>
        <v>1270.5281088416</v>
      </c>
      <c r="K17" s="9">
        <f t="shared" si="3"/>
        <v>255.49183688319999</v>
      </c>
      <c r="L17" s="10">
        <f t="shared" si="0"/>
        <v>0.20109105426730298</v>
      </c>
      <c r="M17" s="10">
        <f t="shared" si="4"/>
        <v>0.20244091319694502</v>
      </c>
      <c r="P17" s="8">
        <f t="shared" si="5"/>
        <v>14.698221110399141</v>
      </c>
    </row>
    <row r="18" spans="1:16" x14ac:dyDescent="0.2">
      <c r="A18" s="8">
        <v>8</v>
      </c>
      <c r="B18" s="8">
        <v>16</v>
      </c>
      <c r="D18">
        <v>1401.6828947368001</v>
      </c>
      <c r="E18">
        <v>369.92434210526</v>
      </c>
      <c r="F18">
        <v>132.98503578399999</v>
      </c>
      <c r="G18">
        <v>114.57839947951</v>
      </c>
      <c r="I18" s="9">
        <f t="shared" si="1"/>
        <v>255.34594262575001</v>
      </c>
      <c r="J18" s="9">
        <f t="shared" si="2"/>
        <v>1268.6978589528001</v>
      </c>
      <c r="K18" s="9">
        <f t="shared" si="3"/>
        <v>255.34594262575001</v>
      </c>
      <c r="L18" s="10">
        <f t="shared" si="0"/>
        <v>0.20126615712626481</v>
      </c>
      <c r="M18" s="10">
        <f t="shared" si="4"/>
        <v>0.2027060066512163</v>
      </c>
      <c r="P18" s="8">
        <f t="shared" si="5"/>
        <v>14.848416775656522</v>
      </c>
    </row>
    <row r="19" spans="1:16" x14ac:dyDescent="0.2">
      <c r="A19" s="8">
        <v>8.5</v>
      </c>
      <c r="B19" s="8">
        <v>17</v>
      </c>
      <c r="D19">
        <v>1402.9980263158</v>
      </c>
      <c r="E19">
        <v>367.6</v>
      </c>
      <c r="F19">
        <v>132.98633702017</v>
      </c>
      <c r="G19">
        <v>114.37931034483</v>
      </c>
      <c r="I19" s="9">
        <f t="shared" si="1"/>
        <v>253.22068965517002</v>
      </c>
      <c r="J19" s="9">
        <f t="shared" si="2"/>
        <v>1270.01168929563</v>
      </c>
      <c r="K19" s="9">
        <f t="shared" si="3"/>
        <v>253.22068965517002</v>
      </c>
      <c r="L19" s="10">
        <f t="shared" si="0"/>
        <v>0.19938453463811068</v>
      </c>
      <c r="M19" s="10">
        <f t="shared" si="4"/>
        <v>0.20091437475837165</v>
      </c>
      <c r="P19" s="8">
        <f t="shared" si="5"/>
        <v>13.833320628594489</v>
      </c>
    </row>
    <row r="20" spans="1:16" x14ac:dyDescent="0.2">
      <c r="A20" s="8">
        <v>9</v>
      </c>
      <c r="B20" s="8">
        <v>18</v>
      </c>
      <c r="D20">
        <v>1433.4130434783001</v>
      </c>
      <c r="E20">
        <v>368.38076416336997</v>
      </c>
      <c r="F20">
        <v>133.39882888744</v>
      </c>
      <c r="G20">
        <v>114.32726089785</v>
      </c>
      <c r="I20" s="9">
        <f t="shared" si="1"/>
        <v>254.05350326551996</v>
      </c>
      <c r="J20" s="9">
        <f t="shared" si="2"/>
        <v>1300.0142145908601</v>
      </c>
      <c r="K20" s="9">
        <f t="shared" si="3"/>
        <v>254.05350326551996</v>
      </c>
      <c r="L20" s="10">
        <f t="shared" si="0"/>
        <v>0.19542363492192705</v>
      </c>
      <c r="M20" s="10">
        <f t="shared" si="4"/>
        <v>0.1970434656374975</v>
      </c>
      <c r="P20" s="8">
        <f t="shared" si="5"/>
        <v>11.640155308240738</v>
      </c>
    </row>
    <row r="21" spans="1:16" x14ac:dyDescent="0.2">
      <c r="A21" s="8">
        <v>9.5</v>
      </c>
      <c r="B21" s="8">
        <v>19</v>
      </c>
      <c r="D21">
        <v>1407.1291172596</v>
      </c>
      <c r="E21">
        <v>362.90579710144999</v>
      </c>
      <c r="F21">
        <v>132.89459986988001</v>
      </c>
      <c r="G21">
        <v>114.59531554977001</v>
      </c>
      <c r="I21" s="9">
        <f t="shared" si="1"/>
        <v>248.31048155167997</v>
      </c>
      <c r="J21" s="9">
        <f t="shared" si="2"/>
        <v>1274.2345173897199</v>
      </c>
      <c r="K21" s="9">
        <f t="shared" si="3"/>
        <v>248.31048155167997</v>
      </c>
      <c r="L21" s="10">
        <f t="shared" si="0"/>
        <v>0.19487031481484748</v>
      </c>
      <c r="M21" s="10">
        <f t="shared" si="4"/>
        <v>0.19658013612572739</v>
      </c>
      <c r="P21" s="8">
        <f t="shared" si="5"/>
        <v>11.377643793405388</v>
      </c>
    </row>
    <row r="22" spans="1:16" x14ac:dyDescent="0.2">
      <c r="A22" s="8">
        <v>10</v>
      </c>
      <c r="B22" s="8">
        <v>20</v>
      </c>
      <c r="D22">
        <v>1423.0546772068999</v>
      </c>
      <c r="E22">
        <v>362.85177865613002</v>
      </c>
      <c r="F22">
        <v>132.75601821730999</v>
      </c>
      <c r="G22">
        <v>114.61743656474</v>
      </c>
      <c r="I22" s="9">
        <f t="shared" si="1"/>
        <v>248.23434209139003</v>
      </c>
      <c r="J22" s="9">
        <f t="shared" si="2"/>
        <v>1290.29865898959</v>
      </c>
      <c r="K22" s="9">
        <f t="shared" si="3"/>
        <v>248.23434209139003</v>
      </c>
      <c r="L22" s="10">
        <f t="shared" si="0"/>
        <v>0.1923851818041708</v>
      </c>
      <c r="M22" s="10">
        <f t="shared" si="4"/>
        <v>0.19418499371036019</v>
      </c>
      <c r="P22" s="8">
        <f t="shared" si="5"/>
        <v>10.020612894807227</v>
      </c>
    </row>
    <row r="23" spans="1:16" x14ac:dyDescent="0.2">
      <c r="A23" s="8">
        <v>10.5</v>
      </c>
      <c r="B23" s="8">
        <v>21</v>
      </c>
      <c r="D23">
        <v>1417.743083004</v>
      </c>
      <c r="E23">
        <v>360.78524374176999</v>
      </c>
      <c r="F23">
        <v>133.07156798958999</v>
      </c>
      <c r="G23">
        <v>114.28822381262</v>
      </c>
      <c r="I23" s="9">
        <f t="shared" si="1"/>
        <v>246.49701992914999</v>
      </c>
      <c r="J23" s="9">
        <f t="shared" si="2"/>
        <v>1284.67151501441</v>
      </c>
      <c r="K23" s="9">
        <f t="shared" si="3"/>
        <v>246.49701992914999</v>
      </c>
      <c r="L23" s="10">
        <f t="shared" si="0"/>
        <v>0.19187552385824094</v>
      </c>
      <c r="M23" s="10">
        <f t="shared" si="4"/>
        <v>0.19376532635973978</v>
      </c>
      <c r="P23" s="8">
        <f t="shared" si="5"/>
        <v>9.7828393251560843</v>
      </c>
    </row>
    <row r="24" spans="1:16" x14ac:dyDescent="0.2">
      <c r="A24" s="8">
        <v>11</v>
      </c>
      <c r="B24" s="8">
        <v>22</v>
      </c>
      <c r="D24">
        <v>1424.0487483531001</v>
      </c>
      <c r="E24">
        <v>360.91238471673</v>
      </c>
      <c r="F24">
        <v>133.18672739102001</v>
      </c>
      <c r="G24">
        <v>114.94599869875999</v>
      </c>
      <c r="I24" s="9">
        <f t="shared" si="1"/>
        <v>245.96638601797002</v>
      </c>
      <c r="J24" s="9">
        <f t="shared" si="2"/>
        <v>1290.8620209620801</v>
      </c>
      <c r="K24" s="9">
        <f t="shared" si="3"/>
        <v>245.96638601797002</v>
      </c>
      <c r="L24" s="10">
        <f t="shared" si="0"/>
        <v>0.19054428902838985</v>
      </c>
      <c r="M24" s="10">
        <f t="shared" si="4"/>
        <v>0.19252408212519817</v>
      </c>
      <c r="P24" s="8">
        <f t="shared" si="5"/>
        <v>9.0795797744201199</v>
      </c>
    </row>
    <row r="25" spans="1:16" x14ac:dyDescent="0.2">
      <c r="A25" s="8">
        <v>11.5</v>
      </c>
      <c r="B25" s="8">
        <v>23</v>
      </c>
      <c r="D25">
        <v>1422.3234519104001</v>
      </c>
      <c r="E25">
        <v>357.85836627140998</v>
      </c>
      <c r="F25">
        <v>132.98373454782001</v>
      </c>
      <c r="G25">
        <v>114.39817826936</v>
      </c>
      <c r="I25" s="9">
        <f t="shared" si="1"/>
        <v>243.46018800204996</v>
      </c>
      <c r="J25" s="9">
        <f t="shared" si="2"/>
        <v>1289.3397173625801</v>
      </c>
      <c r="K25" s="9">
        <f t="shared" si="3"/>
        <v>243.46018800204996</v>
      </c>
      <c r="L25" s="10">
        <f t="shared" si="0"/>
        <v>0.1888254776639178</v>
      </c>
      <c r="M25" s="10">
        <f t="shared" si="4"/>
        <v>0.19089526135603557</v>
      </c>
      <c r="P25" s="8">
        <f t="shared" si="5"/>
        <v>8.1567285494364086</v>
      </c>
    </row>
    <row r="26" spans="1:16" x14ac:dyDescent="0.2">
      <c r="A26" s="8">
        <v>12</v>
      </c>
      <c r="B26" s="8">
        <v>24</v>
      </c>
      <c r="D26">
        <v>1363.8695652173999</v>
      </c>
      <c r="E26">
        <v>347.71212121212</v>
      </c>
      <c r="F26">
        <v>132.86206896552</v>
      </c>
      <c r="G26">
        <v>114.11060507482</v>
      </c>
      <c r="I26" s="9">
        <f t="shared" si="1"/>
        <v>233.6015161373</v>
      </c>
      <c r="J26" s="9">
        <f t="shared" si="2"/>
        <v>1231.00749625188</v>
      </c>
      <c r="K26" s="9">
        <f t="shared" si="3"/>
        <v>233.6015161373</v>
      </c>
      <c r="L26" s="10">
        <f t="shared" si="0"/>
        <v>0.18976449521920874</v>
      </c>
      <c r="M26" s="10">
        <f t="shared" si="4"/>
        <v>0.19192426950663599</v>
      </c>
      <c r="P26" s="8">
        <f t="shared" si="5"/>
        <v>8.7397401675827275</v>
      </c>
    </row>
    <row r="27" spans="1:16" x14ac:dyDescent="0.2">
      <c r="A27" s="8">
        <v>12.5</v>
      </c>
      <c r="B27" s="8">
        <v>25</v>
      </c>
      <c r="D27">
        <v>1330.1165048544001</v>
      </c>
      <c r="E27">
        <v>340.69708737863999</v>
      </c>
      <c r="F27">
        <v>132.90240728692001</v>
      </c>
      <c r="G27">
        <v>114.51073519844</v>
      </c>
      <c r="I27" s="9">
        <f t="shared" si="1"/>
        <v>226.1863521802</v>
      </c>
      <c r="J27" s="9">
        <f t="shared" si="2"/>
        <v>1197.2140975674802</v>
      </c>
      <c r="K27" s="9">
        <f t="shared" si="3"/>
        <v>226.1863521802</v>
      </c>
      <c r="L27" s="10">
        <f t="shared" si="0"/>
        <v>0.18892723752565999</v>
      </c>
      <c r="M27" s="10">
        <f t="shared" si="4"/>
        <v>0.19117700240839672</v>
      </c>
      <c r="P27" s="8">
        <f t="shared" si="5"/>
        <v>8.316356349021353</v>
      </c>
    </row>
    <row r="28" spans="1:16" x14ac:dyDescent="0.2">
      <c r="A28" s="8">
        <v>13</v>
      </c>
      <c r="B28" s="8">
        <v>26</v>
      </c>
      <c r="D28">
        <v>1335.2873786407999</v>
      </c>
      <c r="E28">
        <v>342.57928802588998</v>
      </c>
      <c r="F28">
        <v>132.78789850358001</v>
      </c>
      <c r="G28">
        <v>114.71828236825</v>
      </c>
      <c r="I28" s="9">
        <f t="shared" si="1"/>
        <v>227.86100565763996</v>
      </c>
      <c r="J28" s="9">
        <f t="shared" si="2"/>
        <v>1202.49948013722</v>
      </c>
      <c r="K28" s="9">
        <f t="shared" si="3"/>
        <v>227.86100565763996</v>
      </c>
      <c r="L28" s="10">
        <f t="shared" si="0"/>
        <v>0.18948948371407048</v>
      </c>
      <c r="M28" s="10">
        <f t="shared" si="4"/>
        <v>0.19182923919211667</v>
      </c>
      <c r="P28" s="8">
        <f t="shared" si="5"/>
        <v>8.685898244748067</v>
      </c>
    </row>
    <row r="29" spans="1:16" x14ac:dyDescent="0.2">
      <c r="A29" s="8">
        <v>13.5</v>
      </c>
      <c r="B29" s="8">
        <v>27</v>
      </c>
      <c r="D29">
        <v>1306.7268608413999</v>
      </c>
      <c r="E29">
        <v>336.56699029126003</v>
      </c>
      <c r="F29">
        <v>132.84580351334</v>
      </c>
      <c r="G29">
        <v>114.40143135979</v>
      </c>
      <c r="I29" s="9">
        <f t="shared" si="1"/>
        <v>222.16555893147003</v>
      </c>
      <c r="J29" s="9">
        <f t="shared" si="2"/>
        <v>1173.8810573280598</v>
      </c>
      <c r="K29" s="9">
        <f t="shared" si="3"/>
        <v>222.16555893147003</v>
      </c>
      <c r="L29" s="10">
        <f t="shared" si="0"/>
        <v>0.18925729957441703</v>
      </c>
      <c r="M29" s="10">
        <f t="shared" si="4"/>
        <v>0.1916870456477727</v>
      </c>
      <c r="P29" s="8">
        <f t="shared" si="5"/>
        <v>8.6053347542358036</v>
      </c>
    </row>
    <row r="30" spans="1:16" x14ac:dyDescent="0.2">
      <c r="A30" s="8">
        <v>14</v>
      </c>
      <c r="B30" s="8">
        <v>28</v>
      </c>
      <c r="D30">
        <v>1350.7605177994001</v>
      </c>
      <c r="E30">
        <v>341.66472491909002</v>
      </c>
      <c r="F30">
        <v>133.07026675341999</v>
      </c>
      <c r="G30">
        <v>114.11906310995001</v>
      </c>
      <c r="I30" s="9">
        <f t="shared" si="1"/>
        <v>227.54566180914003</v>
      </c>
      <c r="J30" s="9">
        <f t="shared" si="2"/>
        <v>1217.6902510459802</v>
      </c>
      <c r="K30" s="9">
        <f t="shared" si="3"/>
        <v>227.54566180914003</v>
      </c>
      <c r="L30" s="10">
        <f t="shared" si="0"/>
        <v>0.18686662031964307</v>
      </c>
      <c r="M30" s="10">
        <f t="shared" si="4"/>
        <v>0.18938635698830819</v>
      </c>
      <c r="P30" s="8">
        <f t="shared" si="5"/>
        <v>7.3018191140315585</v>
      </c>
    </row>
    <row r="31" spans="1:16" x14ac:dyDescent="0.2">
      <c r="A31" s="8">
        <v>14.5</v>
      </c>
      <c r="B31" s="8">
        <v>29</v>
      </c>
      <c r="D31">
        <v>1316.0420711974</v>
      </c>
      <c r="E31">
        <v>334.12944983819</v>
      </c>
      <c r="F31">
        <v>132.51528952505001</v>
      </c>
      <c r="G31">
        <v>114.69486011711</v>
      </c>
      <c r="I31" s="9">
        <f t="shared" si="1"/>
        <v>219.43458972107999</v>
      </c>
      <c r="J31" s="9">
        <f t="shared" si="2"/>
        <v>1183.5267816723499</v>
      </c>
      <c r="K31" s="9">
        <f t="shared" si="3"/>
        <v>219.43458972107999</v>
      </c>
      <c r="L31" s="10">
        <f t="shared" si="0"/>
        <v>0.18540737152649303</v>
      </c>
      <c r="M31" s="10">
        <f t="shared" si="4"/>
        <v>0.18801709879046763</v>
      </c>
      <c r="P31" s="8">
        <f t="shared" si="5"/>
        <v>6.5260298871752482</v>
      </c>
    </row>
    <row r="32" spans="1:16" x14ac:dyDescent="0.2">
      <c r="A32" s="8">
        <v>15</v>
      </c>
      <c r="B32" s="8">
        <v>30</v>
      </c>
      <c r="D32">
        <v>1357.6261378413999</v>
      </c>
      <c r="E32">
        <v>340.72431729519002</v>
      </c>
      <c r="F32">
        <v>132.41834743006001</v>
      </c>
      <c r="G32">
        <v>114.76512687053</v>
      </c>
      <c r="I32" s="9">
        <f t="shared" si="1"/>
        <v>225.95919042466002</v>
      </c>
      <c r="J32" s="9">
        <f t="shared" si="2"/>
        <v>1225.2077904113398</v>
      </c>
      <c r="K32" s="9">
        <f t="shared" si="3"/>
        <v>225.95919042466002</v>
      </c>
      <c r="L32" s="10">
        <f t="shared" si="0"/>
        <v>0.18442519888711986</v>
      </c>
      <c r="M32" s="10">
        <f t="shared" si="4"/>
        <v>0.18712491674640394</v>
      </c>
      <c r="P32" s="8">
        <f t="shared" si="5"/>
        <v>6.0205406965530388</v>
      </c>
    </row>
    <row r="33" spans="1:16" x14ac:dyDescent="0.2">
      <c r="A33" s="8">
        <v>15.5</v>
      </c>
      <c r="B33" s="8">
        <v>31</v>
      </c>
      <c r="D33">
        <v>1341.5604681404</v>
      </c>
      <c r="E33">
        <v>338.77633289987</v>
      </c>
      <c r="F33">
        <v>133.31815224463</v>
      </c>
      <c r="G33">
        <v>114.29472999348999</v>
      </c>
      <c r="I33" s="9">
        <f t="shared" si="1"/>
        <v>224.48160290638</v>
      </c>
      <c r="J33" s="9">
        <f t="shared" si="2"/>
        <v>1208.2423158957699</v>
      </c>
      <c r="K33" s="9">
        <f t="shared" si="3"/>
        <v>224.48160290638</v>
      </c>
      <c r="L33" s="10">
        <f t="shared" si="0"/>
        <v>0.18579187299854932</v>
      </c>
      <c r="M33" s="10">
        <f t="shared" si="4"/>
        <v>0.18858158145314285</v>
      </c>
      <c r="P33" s="8">
        <f t="shared" si="5"/>
        <v>6.8458523787559029</v>
      </c>
    </row>
    <row r="34" spans="1:16" x14ac:dyDescent="0.2">
      <c r="A34" s="8">
        <v>16</v>
      </c>
      <c r="B34" s="8">
        <v>32</v>
      </c>
      <c r="D34">
        <v>1392.1736020805999</v>
      </c>
      <c r="E34">
        <v>348.26853055917002</v>
      </c>
      <c r="F34">
        <v>133.17696811971001</v>
      </c>
      <c r="G34">
        <v>114.4567338972</v>
      </c>
      <c r="I34" s="9">
        <f t="shared" si="1"/>
        <v>233.81179666197002</v>
      </c>
      <c r="J34" s="9">
        <f t="shared" si="2"/>
        <v>1258.99663396089</v>
      </c>
      <c r="K34" s="9">
        <f t="shared" si="3"/>
        <v>233.81179666197002</v>
      </c>
      <c r="L34" s="10">
        <f t="shared" si="0"/>
        <v>0.18571280522520703</v>
      </c>
      <c r="M34" s="10">
        <f t="shared" si="4"/>
        <v>0.18859250427511004</v>
      </c>
      <c r="P34" s="8">
        <f t="shared" si="5"/>
        <v>6.8520409906790407</v>
      </c>
    </row>
    <row r="35" spans="1:16" x14ac:dyDescent="0.2">
      <c r="A35" s="8">
        <v>16.5</v>
      </c>
      <c r="B35" s="8">
        <v>33</v>
      </c>
      <c r="D35">
        <v>1397.4843953186</v>
      </c>
      <c r="E35">
        <v>349.95318595578999</v>
      </c>
      <c r="F35">
        <v>133.18087182823999</v>
      </c>
      <c r="G35">
        <v>114.24072869226001</v>
      </c>
      <c r="I35" s="9">
        <f t="shared" si="1"/>
        <v>235.71245726352998</v>
      </c>
      <c r="J35" s="9">
        <f t="shared" si="2"/>
        <v>1264.30352349036</v>
      </c>
      <c r="K35" s="9">
        <f t="shared" si="3"/>
        <v>235.71245726352998</v>
      </c>
      <c r="L35" s="10">
        <f t="shared" si="0"/>
        <v>0.18643660551763638</v>
      </c>
      <c r="M35" s="10">
        <f t="shared" si="4"/>
        <v>0.18940629516284885</v>
      </c>
      <c r="P35" s="8">
        <f t="shared" si="5"/>
        <v>7.313115610949537</v>
      </c>
    </row>
    <row r="36" spans="1:16" x14ac:dyDescent="0.2">
      <c r="A36" s="8">
        <v>17</v>
      </c>
      <c r="B36" s="8">
        <v>34</v>
      </c>
      <c r="D36">
        <v>1387.6098829649</v>
      </c>
      <c r="E36">
        <v>344.18530559167999</v>
      </c>
      <c r="F36">
        <v>132.59661678595</v>
      </c>
      <c r="G36">
        <v>114.26219908914</v>
      </c>
      <c r="I36" s="9">
        <f t="shared" si="1"/>
        <v>229.92310650254001</v>
      </c>
      <c r="J36" s="9">
        <f t="shared" si="2"/>
        <v>1255.0132661789498</v>
      </c>
      <c r="K36" s="9">
        <f t="shared" si="3"/>
        <v>229.92310650254001</v>
      </c>
      <c r="L36" s="10">
        <f t="shared" si="0"/>
        <v>0.18320372596743192</v>
      </c>
      <c r="M36" s="10">
        <f t="shared" si="4"/>
        <v>0.18626340620795387</v>
      </c>
      <c r="P36" s="8">
        <f t="shared" si="5"/>
        <v>5.5324292537245121</v>
      </c>
    </row>
    <row r="37" spans="1:16" x14ac:dyDescent="0.2">
      <c r="A37" s="8">
        <v>17.5</v>
      </c>
      <c r="B37" s="8">
        <v>35</v>
      </c>
      <c r="D37">
        <v>1354.5923276983001</v>
      </c>
      <c r="E37">
        <v>337.54551365409998</v>
      </c>
      <c r="F37">
        <v>132.92127521144999</v>
      </c>
      <c r="G37">
        <v>114.30383864671001</v>
      </c>
      <c r="I37" s="9">
        <f t="shared" si="1"/>
        <v>223.24167500738997</v>
      </c>
      <c r="J37" s="9">
        <f t="shared" si="2"/>
        <v>1221.6710524868502</v>
      </c>
      <c r="K37" s="9">
        <f t="shared" si="3"/>
        <v>223.24167500738997</v>
      </c>
      <c r="L37" s="10">
        <f t="shared" si="0"/>
        <v>0.18273468504713786</v>
      </c>
      <c r="M37" s="10">
        <f t="shared" si="4"/>
        <v>0.18588435588296925</v>
      </c>
      <c r="P37" s="8">
        <f t="shared" si="5"/>
        <v>5.3176683276820675</v>
      </c>
    </row>
    <row r="38" spans="1:16" x14ac:dyDescent="0.2">
      <c r="A38" s="8">
        <v>18</v>
      </c>
      <c r="B38" s="8">
        <v>36</v>
      </c>
      <c r="D38">
        <v>1339.0403120936001</v>
      </c>
      <c r="E38">
        <v>331.76527958387999</v>
      </c>
      <c r="F38">
        <v>132.37345478204</v>
      </c>
      <c r="G38">
        <v>113.97137280416</v>
      </c>
      <c r="I38" s="9">
        <f t="shared" si="1"/>
        <v>217.79390677971998</v>
      </c>
      <c r="J38" s="9">
        <f t="shared" si="2"/>
        <v>1206.6668573115601</v>
      </c>
      <c r="K38" s="9">
        <f t="shared" si="3"/>
        <v>217.79390677971998</v>
      </c>
      <c r="L38" s="10">
        <f t="shared" si="0"/>
        <v>0.18049215942249569</v>
      </c>
      <c r="M38" s="10">
        <f t="shared" si="4"/>
        <v>0.18373182085363657</v>
      </c>
      <c r="P38" s="8">
        <f t="shared" si="5"/>
        <v>4.0980930212711018</v>
      </c>
    </row>
    <row r="39" spans="1:16" x14ac:dyDescent="0.2">
      <c r="A39" s="8">
        <v>18.5</v>
      </c>
      <c r="B39" s="8">
        <v>37</v>
      </c>
      <c r="D39">
        <v>1366.800390117</v>
      </c>
      <c r="E39">
        <v>336.80104031208998</v>
      </c>
      <c r="F39">
        <v>133.04359141184</v>
      </c>
      <c r="G39">
        <v>114.25764476252</v>
      </c>
      <c r="I39" s="9">
        <f t="shared" si="1"/>
        <v>222.54339554956999</v>
      </c>
      <c r="J39" s="9">
        <f t="shared" si="2"/>
        <v>1233.75679870516</v>
      </c>
      <c r="K39" s="9">
        <f t="shared" si="3"/>
        <v>222.54339554956999</v>
      </c>
      <c r="L39" s="10">
        <f t="shared" si="0"/>
        <v>0.1803786579195604</v>
      </c>
      <c r="M39" s="10">
        <f t="shared" si="4"/>
        <v>0.18370830994601076</v>
      </c>
      <c r="P39" s="8">
        <f t="shared" si="5"/>
        <v>4.084772298504217</v>
      </c>
    </row>
    <row r="40" spans="1:16" x14ac:dyDescent="0.2">
      <c r="A40" s="8">
        <v>19</v>
      </c>
      <c r="B40" s="8">
        <v>38</v>
      </c>
      <c r="D40">
        <v>1383.7126137841001</v>
      </c>
      <c r="E40">
        <v>341.39011703510999</v>
      </c>
      <c r="F40">
        <v>132.69225764475999</v>
      </c>
      <c r="G40">
        <v>114.29017566688</v>
      </c>
      <c r="I40" s="9">
        <f t="shared" si="1"/>
        <v>227.09994136822999</v>
      </c>
      <c r="J40" s="9">
        <f t="shared" si="2"/>
        <v>1251.02035613934</v>
      </c>
      <c r="K40" s="9">
        <f t="shared" si="3"/>
        <v>227.09994136822999</v>
      </c>
      <c r="L40" s="10">
        <f t="shared" si="0"/>
        <v>0.18153177144859772</v>
      </c>
      <c r="M40" s="10">
        <f t="shared" si="4"/>
        <v>0.18495141407035753</v>
      </c>
      <c r="P40" s="8">
        <f t="shared" si="5"/>
        <v>4.789085618701824</v>
      </c>
    </row>
    <row r="41" spans="1:16" x14ac:dyDescent="0.2">
      <c r="A41" s="8">
        <v>19.5</v>
      </c>
      <c r="B41" s="8">
        <v>39</v>
      </c>
      <c r="D41">
        <v>1391.5383615085</v>
      </c>
      <c r="E41">
        <v>339.62678803641001</v>
      </c>
      <c r="F41">
        <v>132.44176968119999</v>
      </c>
      <c r="G41">
        <v>114.46909564086</v>
      </c>
      <c r="I41" s="9">
        <f t="shared" si="1"/>
        <v>225.15769239554999</v>
      </c>
      <c r="J41" s="9">
        <f t="shared" si="2"/>
        <v>1259.0965918273</v>
      </c>
      <c r="K41" s="9">
        <f t="shared" si="3"/>
        <v>225.15769239554999</v>
      </c>
      <c r="L41" s="10">
        <f t="shared" si="0"/>
        <v>0.17882479696715201</v>
      </c>
      <c r="M41" s="10">
        <f t="shared" si="4"/>
        <v>0.1823344301842213</v>
      </c>
      <c r="P41" s="8">
        <f t="shared" si="5"/>
        <v>3.3063646031016263</v>
      </c>
    </row>
    <row r="42" spans="1:16" x14ac:dyDescent="0.2">
      <c r="A42" s="8">
        <v>20</v>
      </c>
      <c r="B42" s="8">
        <v>40</v>
      </c>
      <c r="D42">
        <v>1387.4174252276</v>
      </c>
      <c r="E42">
        <v>337.15279583875002</v>
      </c>
      <c r="F42">
        <v>132.85881587508001</v>
      </c>
      <c r="G42">
        <v>114.25113858165</v>
      </c>
      <c r="I42" s="9">
        <f t="shared" si="1"/>
        <v>222.90165725710003</v>
      </c>
      <c r="J42" s="9">
        <f t="shared" si="2"/>
        <v>1254.5586093525201</v>
      </c>
      <c r="K42" s="9">
        <f t="shared" si="3"/>
        <v>222.90165725710003</v>
      </c>
      <c r="L42" s="10">
        <f t="shared" si="0"/>
        <v>0.17767337101304495</v>
      </c>
      <c r="M42" s="10">
        <f t="shared" si="4"/>
        <v>0.18127299482542369</v>
      </c>
      <c r="P42" s="8">
        <f t="shared" si="5"/>
        <v>2.7049804977092364</v>
      </c>
    </row>
    <row r="43" spans="1:16" x14ac:dyDescent="0.2">
      <c r="A43" s="8">
        <v>20.5</v>
      </c>
      <c r="B43" s="8">
        <v>41</v>
      </c>
      <c r="D43">
        <v>1393.4765929779001</v>
      </c>
      <c r="E43">
        <v>339.80949284784998</v>
      </c>
      <c r="F43">
        <v>132.89915419649</v>
      </c>
      <c r="G43">
        <v>114.43786597267</v>
      </c>
      <c r="I43" s="9">
        <f t="shared" si="1"/>
        <v>225.37162687517997</v>
      </c>
      <c r="J43" s="9">
        <f t="shared" si="2"/>
        <v>1260.5774387814101</v>
      </c>
      <c r="K43" s="9">
        <f t="shared" si="3"/>
        <v>225.37162687517997</v>
      </c>
      <c r="L43" s="10">
        <f t="shared" si="0"/>
        <v>0.17878443635564736</v>
      </c>
      <c r="M43" s="10">
        <f t="shared" si="4"/>
        <v>0.18247405076333559</v>
      </c>
      <c r="P43" s="8">
        <f t="shared" si="5"/>
        <v>3.3854703125252614</v>
      </c>
    </row>
    <row r="44" spans="1:16" x14ac:dyDescent="0.2">
      <c r="A44" s="8">
        <v>21</v>
      </c>
      <c r="B44" s="8">
        <v>42</v>
      </c>
      <c r="D44">
        <v>1359.1222366710001</v>
      </c>
      <c r="E44">
        <v>336.37451235370997</v>
      </c>
      <c r="F44">
        <v>132.45087833442</v>
      </c>
      <c r="G44">
        <v>114.00715679896</v>
      </c>
      <c r="I44" s="9">
        <f t="shared" si="1"/>
        <v>222.36735555474996</v>
      </c>
      <c r="J44" s="9">
        <f t="shared" si="2"/>
        <v>1226.6713583365802</v>
      </c>
      <c r="K44" s="9">
        <f t="shared" si="3"/>
        <v>222.36735555474996</v>
      </c>
      <c r="L44" s="10">
        <f t="shared" si="0"/>
        <v>0.18127704217068358</v>
      </c>
      <c r="M44" s="10">
        <f t="shared" si="4"/>
        <v>0.18505664717368128</v>
      </c>
      <c r="P44" s="8">
        <f t="shared" si="5"/>
        <v>4.8487081997431289</v>
      </c>
    </row>
    <row r="45" spans="1:16" x14ac:dyDescent="0.2">
      <c r="A45" s="8">
        <v>21.5</v>
      </c>
      <c r="B45" s="8">
        <v>43</v>
      </c>
      <c r="D45">
        <v>1400.4525833877999</v>
      </c>
      <c r="E45">
        <v>340.83714846305003</v>
      </c>
      <c r="F45">
        <v>132.50357839948001</v>
      </c>
      <c r="G45">
        <v>114.18087182824</v>
      </c>
      <c r="I45" s="9">
        <f t="shared" si="1"/>
        <v>226.65627663481001</v>
      </c>
      <c r="J45" s="9">
        <f t="shared" si="2"/>
        <v>1267.94900498832</v>
      </c>
      <c r="K45" s="9">
        <f t="shared" si="3"/>
        <v>226.65627663481001</v>
      </c>
      <c r="L45" s="10">
        <f t="shared" si="0"/>
        <v>0.17875819590780617</v>
      </c>
      <c r="M45" s="10">
        <f t="shared" si="4"/>
        <v>0.18262779150611333</v>
      </c>
      <c r="P45" s="8">
        <f t="shared" si="5"/>
        <v>3.4725761718613302</v>
      </c>
    </row>
    <row r="46" spans="1:16" x14ac:dyDescent="0.2">
      <c r="A46" s="8">
        <v>22</v>
      </c>
      <c r="B46" s="8">
        <v>44</v>
      </c>
      <c r="D46">
        <v>1398.9228253761</v>
      </c>
      <c r="E46">
        <v>341.86527141923</v>
      </c>
      <c r="F46">
        <v>132.56929082629</v>
      </c>
      <c r="G46">
        <v>114.33767078725</v>
      </c>
      <c r="I46" s="9">
        <f t="shared" si="1"/>
        <v>227.52760063197999</v>
      </c>
      <c r="J46" s="9">
        <f t="shared" si="2"/>
        <v>1266.3535345498101</v>
      </c>
      <c r="K46" s="9">
        <f t="shared" si="3"/>
        <v>227.52760063197999</v>
      </c>
      <c r="L46" s="10">
        <f t="shared" si="0"/>
        <v>0.17967146963653105</v>
      </c>
      <c r="M46" s="10">
        <f t="shared" si="4"/>
        <v>0.18363105583014769</v>
      </c>
      <c r="P46" s="8">
        <f t="shared" si="5"/>
        <v>4.0410019483165049</v>
      </c>
    </row>
    <row r="47" spans="1:16" x14ac:dyDescent="0.2">
      <c r="A47" s="8">
        <v>22.5</v>
      </c>
      <c r="B47" s="8">
        <v>45</v>
      </c>
      <c r="D47">
        <v>1373.5735775016001</v>
      </c>
      <c r="E47">
        <v>335.18770438195003</v>
      </c>
      <c r="F47">
        <v>132.67794404685</v>
      </c>
      <c r="G47">
        <v>114.24788549122</v>
      </c>
      <c r="I47" s="9">
        <f t="shared" si="1"/>
        <v>220.93981889073001</v>
      </c>
      <c r="J47" s="9">
        <f t="shared" si="2"/>
        <v>1240.8956334547502</v>
      </c>
      <c r="K47" s="9">
        <f t="shared" si="3"/>
        <v>220.93981889073001</v>
      </c>
      <c r="L47" s="10">
        <f t="shared" si="0"/>
        <v>0.17804867140648753</v>
      </c>
      <c r="M47" s="10">
        <f t="shared" si="4"/>
        <v>0.18209824819541362</v>
      </c>
      <c r="P47" s="8">
        <f t="shared" si="5"/>
        <v>3.1725494886232477</v>
      </c>
    </row>
    <row r="48" spans="1:16" x14ac:dyDescent="0.2">
      <c r="A48" s="8">
        <v>23</v>
      </c>
      <c r="B48" s="8">
        <v>46</v>
      </c>
      <c r="D48">
        <v>1401.9555555556001</v>
      </c>
      <c r="E48">
        <v>343.6</v>
      </c>
      <c r="F48">
        <v>132.27716330513999</v>
      </c>
      <c r="G48">
        <v>113.99739752764999</v>
      </c>
      <c r="I48" s="9">
        <f t="shared" si="1"/>
        <v>229.60260247235004</v>
      </c>
      <c r="J48" s="9">
        <f t="shared" si="2"/>
        <v>1269.6783922504601</v>
      </c>
      <c r="K48" s="9">
        <f t="shared" si="3"/>
        <v>229.60260247235004</v>
      </c>
      <c r="L48" s="10">
        <f t="shared" si="0"/>
        <v>0.18083524447902713</v>
      </c>
      <c r="M48" s="10">
        <f t="shared" si="4"/>
        <v>0.1849748118632627</v>
      </c>
      <c r="P48" s="8">
        <f t="shared" si="5"/>
        <v>4.8023422533501829</v>
      </c>
    </row>
    <row r="49" spans="1:25" x14ac:dyDescent="0.2">
      <c r="A49" s="8">
        <v>23.5</v>
      </c>
      <c r="B49" s="8">
        <v>47</v>
      </c>
      <c r="D49">
        <v>1375.8052287582</v>
      </c>
      <c r="E49">
        <v>341.01830065360002</v>
      </c>
      <c r="F49">
        <v>132.31554977228001</v>
      </c>
      <c r="G49">
        <v>114.44242029928</v>
      </c>
      <c r="I49" s="9">
        <f t="shared" si="1"/>
        <v>226.57588035432002</v>
      </c>
      <c r="J49" s="9">
        <f t="shared" si="2"/>
        <v>1243.4896789859199</v>
      </c>
      <c r="K49" s="9">
        <f t="shared" si="3"/>
        <v>226.57588035432002</v>
      </c>
      <c r="L49" s="10">
        <f t="shared" si="0"/>
        <v>0.18220969919034249</v>
      </c>
      <c r="M49" s="10">
        <f t="shared" si="4"/>
        <v>0.18643925716988752</v>
      </c>
      <c r="P49" s="8">
        <f t="shared" si="5"/>
        <v>5.6320622389537371</v>
      </c>
    </row>
    <row r="50" spans="1:25" x14ac:dyDescent="0.2">
      <c r="A50" s="8">
        <v>24</v>
      </c>
      <c r="B50" s="8">
        <v>48</v>
      </c>
      <c r="D50">
        <v>1402.1245110821001</v>
      </c>
      <c r="E50">
        <v>342.40677966101998</v>
      </c>
      <c r="F50">
        <v>132.43591411841001</v>
      </c>
      <c r="G50">
        <v>114.03643461288</v>
      </c>
      <c r="I50" s="9">
        <f t="shared" si="1"/>
        <v>228.37034504814</v>
      </c>
      <c r="J50" s="9">
        <f t="shared" si="2"/>
        <v>1269.6885969636901</v>
      </c>
      <c r="K50" s="9">
        <f t="shared" si="3"/>
        <v>228.37034504814</v>
      </c>
      <c r="L50" s="10">
        <f t="shared" si="0"/>
        <v>0.17986327166697458</v>
      </c>
      <c r="M50" s="10">
        <f t="shared" si="4"/>
        <v>0.18418282024182908</v>
      </c>
      <c r="P50" s="8">
        <f t="shared" si="5"/>
        <v>4.3536185804609833</v>
      </c>
    </row>
    <row r="51" spans="1:25" x14ac:dyDescent="0.2">
      <c r="A51" s="8">
        <v>24.5</v>
      </c>
      <c r="B51" s="8">
        <v>49</v>
      </c>
      <c r="D51">
        <v>1430.5013037809999</v>
      </c>
      <c r="E51">
        <v>349.90482398956999</v>
      </c>
      <c r="F51">
        <v>132.15289525048999</v>
      </c>
      <c r="G51">
        <v>114.14248536109</v>
      </c>
      <c r="I51" s="9">
        <f t="shared" si="1"/>
        <v>235.76233862847999</v>
      </c>
      <c r="J51" s="9">
        <f t="shared" si="2"/>
        <v>1298.3484085305099</v>
      </c>
      <c r="K51" s="9">
        <f t="shared" si="3"/>
        <v>235.76233862847999</v>
      </c>
      <c r="L51" s="10">
        <f t="shared" si="0"/>
        <v>0.18158634237116625</v>
      </c>
      <c r="M51" s="10">
        <f t="shared" si="4"/>
        <v>0.18599588154133023</v>
      </c>
      <c r="P51" s="8">
        <f t="shared" si="5"/>
        <v>5.3808561211975299</v>
      </c>
    </row>
    <row r="52" spans="1:25" x14ac:dyDescent="0.2">
      <c r="A52" s="8">
        <v>25</v>
      </c>
      <c r="B52" s="8">
        <v>50</v>
      </c>
      <c r="D52">
        <v>1428.2066492828999</v>
      </c>
      <c r="E52">
        <v>344.96544980443002</v>
      </c>
      <c r="F52">
        <v>132.42810670137001</v>
      </c>
      <c r="G52">
        <v>114.15679895901</v>
      </c>
      <c r="I52" s="9">
        <f t="shared" si="1"/>
        <v>230.80865084542</v>
      </c>
      <c r="J52" s="9">
        <f t="shared" si="2"/>
        <v>1295.7785425815298</v>
      </c>
      <c r="K52" s="9">
        <f t="shared" si="3"/>
        <v>230.80865084542</v>
      </c>
      <c r="L52" s="10">
        <f t="shared" si="0"/>
        <v>0.17812353211652107</v>
      </c>
      <c r="M52" s="10">
        <f t="shared" si="4"/>
        <v>0.18262306188199451</v>
      </c>
      <c r="P52" s="8">
        <f t="shared" si="5"/>
        <v>3.4698964789851088</v>
      </c>
    </row>
    <row r="53" spans="1:25" x14ac:dyDescent="0.2">
      <c r="A53" s="8">
        <v>25.5</v>
      </c>
      <c r="B53" s="8">
        <v>51</v>
      </c>
      <c r="D53">
        <v>1411.4465449803999</v>
      </c>
      <c r="E53">
        <v>341.16101694915</v>
      </c>
      <c r="F53">
        <v>132.4821080026</v>
      </c>
      <c r="G53">
        <v>114.21925829538</v>
      </c>
      <c r="I53" s="9">
        <f t="shared" si="1"/>
        <v>226.94175865376999</v>
      </c>
      <c r="J53" s="9">
        <f t="shared" si="2"/>
        <v>1278.9644369778</v>
      </c>
      <c r="K53" s="9">
        <f t="shared" si="3"/>
        <v>226.94175865376999</v>
      </c>
      <c r="L53" s="10">
        <f t="shared" si="0"/>
        <v>0.1774418053327852</v>
      </c>
      <c r="M53" s="10">
        <f t="shared" si="4"/>
        <v>0.18203132569356811</v>
      </c>
      <c r="P53" s="8">
        <f t="shared" si="5"/>
        <v>3.1346327859532215</v>
      </c>
      <c r="S53" s="11"/>
      <c r="U53" s="12"/>
    </row>
    <row r="54" spans="1:25" x14ac:dyDescent="0.2">
      <c r="A54" s="8">
        <v>26</v>
      </c>
      <c r="B54" s="8">
        <v>52</v>
      </c>
      <c r="D54">
        <v>1370.0208604954</v>
      </c>
      <c r="E54">
        <v>334.41916558017999</v>
      </c>
      <c r="F54">
        <v>132.26024723487001</v>
      </c>
      <c r="G54">
        <v>114.24333116461</v>
      </c>
      <c r="I54" s="9">
        <f t="shared" si="1"/>
        <v>220.17583441556999</v>
      </c>
      <c r="J54" s="9">
        <f t="shared" si="2"/>
        <v>1237.7606132605301</v>
      </c>
      <c r="K54" s="9">
        <f t="shared" si="3"/>
        <v>220.17583441556999</v>
      </c>
      <c r="L54" s="10">
        <f t="shared" si="0"/>
        <v>0.17788240476935122</v>
      </c>
      <c r="M54" s="10">
        <f t="shared" si="4"/>
        <v>0.18256191572544359</v>
      </c>
      <c r="P54" s="8">
        <f t="shared" si="5"/>
        <v>3.4352525165894945</v>
      </c>
      <c r="S54" s="11"/>
    </row>
    <row r="55" spans="1:25" x14ac:dyDescent="0.2">
      <c r="A55" s="8">
        <v>26.5</v>
      </c>
      <c r="B55" s="8">
        <v>53</v>
      </c>
      <c r="D55">
        <v>1363.6779661016999</v>
      </c>
      <c r="E55">
        <v>335.08409387223003</v>
      </c>
      <c r="F55">
        <v>132.51333767079001</v>
      </c>
      <c r="G55">
        <v>114.06050748211</v>
      </c>
      <c r="I55" s="9">
        <f t="shared" si="1"/>
        <v>221.02358639012004</v>
      </c>
      <c r="J55" s="9">
        <f t="shared" si="2"/>
        <v>1231.1646284309099</v>
      </c>
      <c r="K55" s="9">
        <f t="shared" si="3"/>
        <v>221.02358639012004</v>
      </c>
      <c r="L55" s="10">
        <f t="shared" si="0"/>
        <v>0.17952398995722396</v>
      </c>
      <c r="M55" s="10">
        <f t="shared" si="4"/>
        <v>0.18429349150862581</v>
      </c>
      <c r="P55" s="8">
        <f t="shared" si="5"/>
        <v>4.4163222959755952</v>
      </c>
      <c r="S55" s="11"/>
    </row>
    <row r="56" spans="1:25" x14ac:dyDescent="0.2">
      <c r="A56" s="8">
        <v>27</v>
      </c>
      <c r="B56" s="8">
        <v>54</v>
      </c>
      <c r="D56">
        <v>1377.9602346806</v>
      </c>
      <c r="E56">
        <v>337.28552803129003</v>
      </c>
      <c r="F56">
        <v>132.73454782043001</v>
      </c>
      <c r="G56">
        <v>114.16785946649</v>
      </c>
      <c r="I56" s="9">
        <f t="shared" si="1"/>
        <v>223.11766856480003</v>
      </c>
      <c r="J56" s="9">
        <f t="shared" si="2"/>
        <v>1245.2256868601701</v>
      </c>
      <c r="K56" s="9">
        <f t="shared" si="3"/>
        <v>223.11766856480003</v>
      </c>
      <c r="L56" s="10">
        <f t="shared" si="0"/>
        <v>0.17917849825872934</v>
      </c>
      <c r="M56" s="10">
        <f t="shared" si="4"/>
        <v>0.18403799040544067</v>
      </c>
      <c r="P56" s="8">
        <f t="shared" si="5"/>
        <v>4.2715614293884592</v>
      </c>
      <c r="S56" s="11"/>
    </row>
    <row r="57" spans="1:25" x14ac:dyDescent="0.2">
      <c r="A57" s="8">
        <v>27.5</v>
      </c>
      <c r="B57" s="8">
        <v>55</v>
      </c>
      <c r="D57">
        <v>1395.7601043024999</v>
      </c>
      <c r="E57">
        <v>341.06518904823997</v>
      </c>
      <c r="F57">
        <v>132.35523747560001</v>
      </c>
      <c r="G57">
        <v>114.01040988939999</v>
      </c>
      <c r="I57" s="9">
        <f t="shared" si="1"/>
        <v>227.05477915883998</v>
      </c>
      <c r="J57" s="9">
        <f t="shared" si="2"/>
        <v>1263.4048668268999</v>
      </c>
      <c r="K57" s="9">
        <f t="shared" si="3"/>
        <v>227.05477915883998</v>
      </c>
      <c r="L57" s="10">
        <f t="shared" si="0"/>
        <v>0.17971656206224582</v>
      </c>
      <c r="M57" s="10">
        <f t="shared" si="4"/>
        <v>0.1846660448042666</v>
      </c>
      <c r="P57" s="8">
        <f t="shared" si="5"/>
        <v>4.6274021592502868</v>
      </c>
      <c r="S57" s="11"/>
    </row>
    <row r="58" spans="1:25" x14ac:dyDescent="0.2">
      <c r="A58" s="8">
        <v>28</v>
      </c>
      <c r="B58" s="8">
        <v>56</v>
      </c>
      <c r="D58">
        <v>1398.6408083442</v>
      </c>
      <c r="E58">
        <v>341.27379400260997</v>
      </c>
      <c r="F58">
        <v>132.58295380612</v>
      </c>
      <c r="G58">
        <v>114.18087182824</v>
      </c>
      <c r="I58" s="9">
        <f t="shared" si="1"/>
        <v>227.09292217436996</v>
      </c>
      <c r="J58" s="9">
        <f t="shared" si="2"/>
        <v>1266.0578545380799</v>
      </c>
      <c r="K58" s="9">
        <f t="shared" si="3"/>
        <v>227.09292217436996</v>
      </c>
      <c r="L58" s="10">
        <f t="shared" si="0"/>
        <v>0.17937009857833441</v>
      </c>
      <c r="M58" s="10">
        <f t="shared" si="4"/>
        <v>0.18440957191566468</v>
      </c>
      <c r="P58" s="8">
        <f t="shared" si="5"/>
        <v>4.4820907020891161</v>
      </c>
      <c r="S58" s="11"/>
    </row>
    <row r="59" spans="1:25" x14ac:dyDescent="0.2">
      <c r="A59" s="8">
        <v>28.5</v>
      </c>
      <c r="B59" s="8">
        <v>57</v>
      </c>
      <c r="D59">
        <v>1421.3407894736999</v>
      </c>
      <c r="E59">
        <v>342.06842105263001</v>
      </c>
      <c r="F59">
        <v>132.65256994143999</v>
      </c>
      <c r="G59">
        <v>114.06310995446</v>
      </c>
      <c r="I59" s="9">
        <f t="shared" si="1"/>
        <v>228.00531109817001</v>
      </c>
      <c r="J59" s="9">
        <f t="shared" si="2"/>
        <v>1288.6882195322601</v>
      </c>
      <c r="K59" s="9">
        <f t="shared" si="3"/>
        <v>228.00531109817001</v>
      </c>
      <c r="L59" s="10">
        <f t="shared" si="0"/>
        <v>0.17692821866636324</v>
      </c>
      <c r="M59" s="10">
        <f t="shared" si="4"/>
        <v>0.18205768259900296</v>
      </c>
      <c r="P59" s="8">
        <f t="shared" si="5"/>
        <v>3.1495659835940097</v>
      </c>
      <c r="R59" s="1"/>
      <c r="S59" s="11"/>
    </row>
    <row r="60" spans="1:25" x14ac:dyDescent="0.2">
      <c r="A60" s="8">
        <v>29</v>
      </c>
      <c r="B60" s="8">
        <v>58</v>
      </c>
      <c r="D60">
        <v>1416.3309210525999</v>
      </c>
      <c r="E60">
        <v>340.19671052631998</v>
      </c>
      <c r="F60">
        <v>132.56018217306001</v>
      </c>
      <c r="G60">
        <v>114.34612882238</v>
      </c>
      <c r="I60" s="9">
        <f t="shared" si="1"/>
        <v>225.85058170393998</v>
      </c>
      <c r="J60" s="9">
        <f t="shared" si="2"/>
        <v>1283.77073887954</v>
      </c>
      <c r="K60" s="9">
        <f t="shared" si="3"/>
        <v>225.85058170393998</v>
      </c>
      <c r="L60" s="10">
        <f t="shared" si="0"/>
        <v>0.17592750392570849</v>
      </c>
      <c r="M60" s="10">
        <f t="shared" si="4"/>
        <v>0.18114695845365769</v>
      </c>
      <c r="P60" s="8">
        <f t="shared" si="5"/>
        <v>2.6335712780585339</v>
      </c>
      <c r="S60" s="11"/>
    </row>
    <row r="61" spans="1:25" x14ac:dyDescent="0.2">
      <c r="A61" s="8">
        <v>29.5</v>
      </c>
      <c r="B61" s="8">
        <v>59</v>
      </c>
      <c r="C61" s="2"/>
      <c r="D61">
        <v>1422.2119248218</v>
      </c>
      <c r="E61">
        <v>340.2721970188</v>
      </c>
      <c r="F61">
        <v>132.19843851658999</v>
      </c>
      <c r="G61">
        <v>114.29733246584</v>
      </c>
      <c r="I61" s="9">
        <f t="shared" si="1"/>
        <v>225.97486455296001</v>
      </c>
      <c r="J61" s="9">
        <f t="shared" si="2"/>
        <v>1290.0134863052101</v>
      </c>
      <c r="K61" s="9">
        <f t="shared" si="3"/>
        <v>225.97486455296001</v>
      </c>
      <c r="L61" s="10">
        <f t="shared" si="0"/>
        <v>0.17517248226620136</v>
      </c>
      <c r="M61" s="10">
        <f t="shared" si="4"/>
        <v>0.18048192738946001</v>
      </c>
      <c r="P61" s="8">
        <f t="shared" si="5"/>
        <v>2.2567804463928858</v>
      </c>
      <c r="S61" s="11"/>
    </row>
    <row r="62" spans="1:25" x14ac:dyDescent="0.2">
      <c r="A62" s="8">
        <v>30</v>
      </c>
      <c r="B62" s="8">
        <v>60</v>
      </c>
      <c r="D62">
        <v>1439.0639419908</v>
      </c>
      <c r="E62">
        <v>337.35464733025998</v>
      </c>
      <c r="F62">
        <v>132.61223162004001</v>
      </c>
      <c r="G62">
        <v>114.30839297333</v>
      </c>
      <c r="I62" s="9">
        <f t="shared" si="1"/>
        <v>223.04625435692998</v>
      </c>
      <c r="J62" s="9">
        <f t="shared" si="2"/>
        <v>1306.4517103707599</v>
      </c>
      <c r="K62" s="9">
        <f t="shared" si="3"/>
        <v>223.04625435692998</v>
      </c>
      <c r="L62" s="10">
        <f t="shared" si="0"/>
        <v>0.17072674985716185</v>
      </c>
      <c r="M62" s="10">
        <f t="shared" si="4"/>
        <v>0.17612618557572998</v>
      </c>
      <c r="P62" s="8">
        <f t="shared" si="5"/>
        <v>-0.21107958131299892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1441.3210283454</v>
      </c>
      <c r="E63">
        <v>338.98352010547001</v>
      </c>
      <c r="F63">
        <v>132.58230318803001</v>
      </c>
      <c r="G63">
        <v>114.07351984384999</v>
      </c>
      <c r="I63" s="9">
        <f t="shared" si="1"/>
        <v>224.91000026162001</v>
      </c>
      <c r="J63" s="9">
        <f t="shared" si="2"/>
        <v>1308.73872515737</v>
      </c>
      <c r="K63" s="9">
        <f t="shared" si="3"/>
        <v>224.91000026162001</v>
      </c>
      <c r="L63" s="10">
        <f t="shared" si="0"/>
        <v>0.17185248356930494</v>
      </c>
      <c r="M63" s="10">
        <f t="shared" si="4"/>
        <v>0.17734190988318255</v>
      </c>
      <c r="P63" s="8">
        <f t="shared" si="5"/>
        <v>0.47772098386635936</v>
      </c>
    </row>
    <row r="64" spans="1:25" x14ac:dyDescent="0.2">
      <c r="A64" s="8">
        <v>31</v>
      </c>
      <c r="B64" s="8">
        <v>62</v>
      </c>
      <c r="D64">
        <v>1445.698747528</v>
      </c>
      <c r="E64">
        <v>339.75411997363</v>
      </c>
      <c r="F64">
        <v>132.80351333767001</v>
      </c>
      <c r="G64">
        <v>114.21145087833</v>
      </c>
      <c r="I64" s="9">
        <f t="shared" si="1"/>
        <v>225.5426690953</v>
      </c>
      <c r="J64" s="9">
        <f t="shared" si="2"/>
        <v>1312.89523419033</v>
      </c>
      <c r="K64" s="9">
        <f t="shared" si="3"/>
        <v>225.5426690953</v>
      </c>
      <c r="L64" s="10">
        <f t="shared" si="0"/>
        <v>0.17179030224326577</v>
      </c>
      <c r="M64" s="10">
        <f t="shared" si="4"/>
        <v>0.17736971915245284</v>
      </c>
      <c r="P64" s="8">
        <f t="shared" si="5"/>
        <v>0.49347705641765882</v>
      </c>
      <c r="U64" s="8">
        <v>30.5</v>
      </c>
      <c r="V64" s="10">
        <f>L62</f>
        <v>0.17072674985716185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1463.6763348715001</v>
      </c>
      <c r="E65">
        <v>342.35794330916002</v>
      </c>
      <c r="F65">
        <v>132.78854912167</v>
      </c>
      <c r="G65">
        <v>114.21275211451</v>
      </c>
      <c r="I65" s="9">
        <f t="shared" si="1"/>
        <v>228.14519119465001</v>
      </c>
      <c r="J65" s="9">
        <f t="shared" si="2"/>
        <v>1330.8877857498301</v>
      </c>
      <c r="K65" s="9">
        <f t="shared" si="3"/>
        <v>228.14519119465001</v>
      </c>
      <c r="L65" s="10">
        <f t="shared" si="0"/>
        <v>0.1714233112945068</v>
      </c>
      <c r="M65" s="10">
        <f t="shared" si="4"/>
        <v>0.17709271879900335</v>
      </c>
      <c r="P65" s="8">
        <f t="shared" si="5"/>
        <v>0.33653522442394734</v>
      </c>
      <c r="U65" s="8">
        <v>31</v>
      </c>
      <c r="V65" s="10">
        <f t="shared" ref="V65:V83" si="6">L63</f>
        <v>0.17185248356930494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1460.4087013843</v>
      </c>
      <c r="E66">
        <v>343.59789057350002</v>
      </c>
      <c r="F66">
        <v>132.46584255042001</v>
      </c>
      <c r="G66">
        <v>113.95250487964</v>
      </c>
      <c r="I66" s="9">
        <f t="shared" si="1"/>
        <v>229.64538569386002</v>
      </c>
      <c r="J66" s="9">
        <f t="shared" si="2"/>
        <v>1327.9428588338801</v>
      </c>
      <c r="K66" s="9">
        <f t="shared" si="3"/>
        <v>229.64538569386002</v>
      </c>
      <c r="L66" s="10">
        <f t="shared" ref="L66:L129" si="7">K66/J66</f>
        <v>0.17293318320603104</v>
      </c>
      <c r="M66" s="10">
        <f t="shared" si="4"/>
        <v>0.17869258130583704</v>
      </c>
      <c r="P66" s="8">
        <f t="shared" si="5"/>
        <v>1.2429793846344321</v>
      </c>
      <c r="U66" s="8">
        <v>31.5</v>
      </c>
      <c r="V66" s="10">
        <f t="shared" si="6"/>
        <v>0.17179030224326577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1456.0975609755999</v>
      </c>
      <c r="E67">
        <v>338.47989452868001</v>
      </c>
      <c r="F67">
        <v>132.41054001301001</v>
      </c>
      <c r="G67">
        <v>114.02732595966</v>
      </c>
      <c r="I67" s="9">
        <f t="shared" ref="I67:I130" si="8">E67-G67</f>
        <v>224.45256856902</v>
      </c>
      <c r="J67" s="9">
        <f t="shared" ref="J67:J130" si="9">D67-F67</f>
        <v>1323.6870209625899</v>
      </c>
      <c r="K67" s="9">
        <f t="shared" ref="K67:K130" si="10">I67*1</f>
        <v>224.45256856902</v>
      </c>
      <c r="L67" s="10">
        <f t="shared" si="7"/>
        <v>0.16956619277402696</v>
      </c>
      <c r="M67" s="10">
        <f t="shared" ref="M67:M130" si="11">L67+ABS($N$2)*A67</f>
        <v>0.17541558146914243</v>
      </c>
      <c r="P67" s="8">
        <f t="shared" ref="P67:P130" si="12">(M67-$O$2)/$O$2*100</f>
        <v>-0.61369101816244587</v>
      </c>
      <c r="U67" s="8">
        <v>32</v>
      </c>
      <c r="V67" s="10">
        <f t="shared" si="6"/>
        <v>0.1714233112945068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1446.078444298</v>
      </c>
      <c r="E68">
        <v>339.31641397495002</v>
      </c>
      <c r="F68">
        <v>132.52244632400999</v>
      </c>
      <c r="G68">
        <v>114.23487312947</v>
      </c>
      <c r="I68" s="9">
        <f t="shared" si="8"/>
        <v>225.08154084548002</v>
      </c>
      <c r="J68" s="9">
        <f t="shared" si="9"/>
        <v>1313.5559979739901</v>
      </c>
      <c r="K68" s="9">
        <f t="shared" si="10"/>
        <v>225.08154084548002</v>
      </c>
      <c r="L68" s="10">
        <f t="shared" si="7"/>
        <v>0.17135283245833643</v>
      </c>
      <c r="M68" s="10">
        <f t="shared" si="11"/>
        <v>0.17729221174876139</v>
      </c>
      <c r="P68" s="8">
        <f t="shared" si="12"/>
        <v>0.4495631993523837</v>
      </c>
      <c r="U68" s="8">
        <v>32.5</v>
      </c>
      <c r="V68" s="10">
        <f t="shared" si="6"/>
        <v>0.17293318320603104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1446.6301911667999</v>
      </c>
      <c r="E69">
        <v>337.94462755438002</v>
      </c>
      <c r="F69">
        <v>132.86727391022001</v>
      </c>
      <c r="G69">
        <v>114.19453480807</v>
      </c>
      <c r="I69" s="9">
        <f t="shared" si="8"/>
        <v>223.75009274631003</v>
      </c>
      <c r="J69" s="9">
        <f t="shared" si="9"/>
        <v>1313.7629172565798</v>
      </c>
      <c r="K69" s="9">
        <f t="shared" si="10"/>
        <v>223.75009274631003</v>
      </c>
      <c r="L69" s="10">
        <f t="shared" si="7"/>
        <v>0.17031238270413998</v>
      </c>
      <c r="M69" s="10">
        <f t="shared" si="11"/>
        <v>0.17634175258987439</v>
      </c>
      <c r="P69" s="8">
        <f t="shared" si="12"/>
        <v>-8.8944422653692207E-2</v>
      </c>
      <c r="U69" s="8">
        <v>33</v>
      </c>
      <c r="V69" s="10">
        <f t="shared" si="6"/>
        <v>0.16956619277402696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1445.8424522083001</v>
      </c>
      <c r="E70">
        <v>337.02834541858999</v>
      </c>
      <c r="F70">
        <v>132.83669486011999</v>
      </c>
      <c r="G70">
        <v>114.34157449577</v>
      </c>
      <c r="I70" s="9">
        <f t="shared" si="8"/>
        <v>222.68677092281999</v>
      </c>
      <c r="J70" s="9">
        <f t="shared" si="9"/>
        <v>1313.0057573481802</v>
      </c>
      <c r="K70" s="9">
        <f t="shared" si="10"/>
        <v>222.68677092281999</v>
      </c>
      <c r="L70" s="10">
        <f t="shared" si="7"/>
        <v>0.16960075740457578</v>
      </c>
      <c r="M70" s="10">
        <f t="shared" si="11"/>
        <v>0.17572011788561967</v>
      </c>
      <c r="P70" s="8">
        <f t="shared" si="12"/>
        <v>-0.44114790579615715</v>
      </c>
      <c r="U70" s="8">
        <v>33.5</v>
      </c>
      <c r="V70" s="10">
        <f t="shared" si="6"/>
        <v>0.17135283245833643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1417.7209908735001</v>
      </c>
      <c r="E71">
        <v>332.27770534550001</v>
      </c>
      <c r="F71">
        <v>132.56278464541001</v>
      </c>
      <c r="G71">
        <v>114.27651268705</v>
      </c>
      <c r="I71" s="9">
        <f t="shared" si="8"/>
        <v>218.00119265845001</v>
      </c>
      <c r="J71" s="9">
        <f t="shared" si="9"/>
        <v>1285.1582062280902</v>
      </c>
      <c r="K71" s="9">
        <f t="shared" si="10"/>
        <v>218.00119265845001</v>
      </c>
      <c r="L71" s="10">
        <f t="shared" si="7"/>
        <v>0.16962984915162974</v>
      </c>
      <c r="M71" s="10">
        <f t="shared" si="11"/>
        <v>0.17583920022798308</v>
      </c>
      <c r="P71" s="8">
        <f t="shared" si="12"/>
        <v>-0.37367867431005591</v>
      </c>
      <c r="U71" s="8">
        <v>34</v>
      </c>
      <c r="V71" s="10">
        <f t="shared" si="6"/>
        <v>0.17031238270413998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1408.7438070404</v>
      </c>
      <c r="E72">
        <v>332.27444589308999</v>
      </c>
      <c r="F72">
        <v>132.67208848406</v>
      </c>
      <c r="G72">
        <v>114.17111255693</v>
      </c>
      <c r="I72" s="9">
        <f t="shared" si="8"/>
        <v>218.10333333616001</v>
      </c>
      <c r="J72" s="9">
        <f t="shared" si="9"/>
        <v>1276.0717185563401</v>
      </c>
      <c r="K72" s="9">
        <f t="shared" si="10"/>
        <v>218.10333333616001</v>
      </c>
      <c r="L72" s="10">
        <f t="shared" si="7"/>
        <v>0.17091777065861716</v>
      </c>
      <c r="M72" s="10">
        <f t="shared" si="11"/>
        <v>0.17721711233027998</v>
      </c>
      <c r="P72" s="8">
        <f t="shared" si="12"/>
        <v>0.40701364960863501</v>
      </c>
      <c r="U72" s="8">
        <v>34.5</v>
      </c>
      <c r="V72" s="10">
        <f t="shared" si="6"/>
        <v>0.16960075740457578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1411.0886571056001</v>
      </c>
      <c r="E73">
        <v>328.43937418514003</v>
      </c>
      <c r="F73">
        <v>132.57774886141999</v>
      </c>
      <c r="G73">
        <v>114.0455432661</v>
      </c>
      <c r="I73" s="9">
        <f t="shared" si="8"/>
        <v>214.39383091904003</v>
      </c>
      <c r="J73" s="9">
        <f t="shared" si="9"/>
        <v>1278.51090824418</v>
      </c>
      <c r="K73" s="9">
        <f t="shared" si="10"/>
        <v>214.39383091904003</v>
      </c>
      <c r="L73" s="10">
        <f t="shared" si="7"/>
        <v>0.16769026336542872</v>
      </c>
      <c r="M73" s="10">
        <f t="shared" si="11"/>
        <v>0.17407959563240102</v>
      </c>
      <c r="P73" s="8">
        <f t="shared" si="12"/>
        <v>-1.3706289141788146</v>
      </c>
      <c r="U73" s="8">
        <v>35</v>
      </c>
      <c r="V73" s="10">
        <f t="shared" si="6"/>
        <v>0.16962984915162974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1413.7509778357</v>
      </c>
      <c r="E74">
        <v>331.26923076922998</v>
      </c>
      <c r="F74">
        <v>132.59401431360001</v>
      </c>
      <c r="G74">
        <v>114.62134027326</v>
      </c>
      <c r="I74" s="9">
        <f t="shared" si="8"/>
        <v>216.64789049596999</v>
      </c>
      <c r="J74" s="9">
        <f t="shared" si="9"/>
        <v>1281.1569635221001</v>
      </c>
      <c r="K74" s="9">
        <f t="shared" si="10"/>
        <v>216.64789049596999</v>
      </c>
      <c r="L74" s="10">
        <f t="shared" si="7"/>
        <v>0.16910331572516391</v>
      </c>
      <c r="M74" s="10">
        <f t="shared" si="11"/>
        <v>0.17558263858744566</v>
      </c>
      <c r="P74" s="8">
        <f t="shared" si="12"/>
        <v>-0.51904041621337937</v>
      </c>
      <c r="U74" s="8">
        <v>35.5</v>
      </c>
      <c r="V74" s="10">
        <f t="shared" si="6"/>
        <v>0.17091777065861716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1405.3063885266999</v>
      </c>
      <c r="E75">
        <v>329.75162972621001</v>
      </c>
      <c r="F75">
        <v>132.40663630449001</v>
      </c>
      <c r="G75">
        <v>114.29082628497</v>
      </c>
      <c r="I75" s="9">
        <f t="shared" si="8"/>
        <v>215.46080344124002</v>
      </c>
      <c r="J75" s="9">
        <f t="shared" si="9"/>
        <v>1272.8997522222098</v>
      </c>
      <c r="K75" s="9">
        <f t="shared" si="10"/>
        <v>215.46080344124002</v>
      </c>
      <c r="L75" s="10">
        <f t="shared" si="7"/>
        <v>0.16926769218478649</v>
      </c>
      <c r="M75" s="10">
        <f t="shared" si="11"/>
        <v>0.17583700564237773</v>
      </c>
      <c r="P75" s="8">
        <f t="shared" si="12"/>
        <v>-0.37492207447573084</v>
      </c>
      <c r="U75" s="8">
        <v>36</v>
      </c>
      <c r="V75" s="10">
        <f t="shared" si="6"/>
        <v>0.16769026336542872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1413.7698826597</v>
      </c>
      <c r="E76">
        <v>331.76075619296</v>
      </c>
      <c r="F76">
        <v>132.53936239428</v>
      </c>
      <c r="G76">
        <v>114.21535458686</v>
      </c>
      <c r="I76" s="9">
        <f t="shared" si="8"/>
        <v>217.5454016061</v>
      </c>
      <c r="J76" s="9">
        <f t="shared" si="9"/>
        <v>1281.23052026542</v>
      </c>
      <c r="K76" s="9">
        <f t="shared" si="10"/>
        <v>217.5454016061</v>
      </c>
      <c r="L76" s="10">
        <f t="shared" si="7"/>
        <v>0.16979411445883544</v>
      </c>
      <c r="M76" s="10">
        <f t="shared" si="11"/>
        <v>0.17645341851173613</v>
      </c>
      <c r="P76" s="8">
        <f t="shared" si="12"/>
        <v>-2.5677159164647148E-2</v>
      </c>
      <c r="U76" s="8">
        <v>36.5</v>
      </c>
      <c r="V76" s="10">
        <f t="shared" si="6"/>
        <v>0.16910331572516391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1409.1844850064999</v>
      </c>
      <c r="E77">
        <v>333.34941329857003</v>
      </c>
      <c r="F77">
        <v>132.80026024724</v>
      </c>
      <c r="G77">
        <v>114.24983734548</v>
      </c>
      <c r="I77" s="9">
        <f t="shared" si="8"/>
        <v>219.09957595309004</v>
      </c>
      <c r="J77" s="9">
        <f t="shared" si="9"/>
        <v>1276.38422475926</v>
      </c>
      <c r="K77" s="9">
        <f t="shared" si="10"/>
        <v>219.09957595309004</v>
      </c>
      <c r="L77" s="10">
        <f t="shared" si="7"/>
        <v>0.17165644302319283</v>
      </c>
      <c r="M77" s="10">
        <f t="shared" si="11"/>
        <v>0.178405737671403</v>
      </c>
      <c r="P77" s="8">
        <f t="shared" si="12"/>
        <v>1.0804605830401171</v>
      </c>
      <c r="U77" s="8">
        <v>37</v>
      </c>
      <c r="V77" s="10">
        <f t="shared" si="6"/>
        <v>0.16926769218478649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1408.7235984355</v>
      </c>
      <c r="E78">
        <v>329.41395045631998</v>
      </c>
      <c r="F78">
        <v>132.90826284971001</v>
      </c>
      <c r="G78">
        <v>114.18737800911001</v>
      </c>
      <c r="I78" s="9">
        <f t="shared" si="8"/>
        <v>215.22657244720997</v>
      </c>
      <c r="J78" s="9">
        <f t="shared" si="9"/>
        <v>1275.8153355857899</v>
      </c>
      <c r="K78" s="9">
        <f t="shared" si="10"/>
        <v>215.22657244720997</v>
      </c>
      <c r="L78" s="10">
        <f t="shared" si="7"/>
        <v>0.16869727651328853</v>
      </c>
      <c r="M78" s="10">
        <f t="shared" si="11"/>
        <v>0.17553656175680815</v>
      </c>
      <c r="P78" s="8">
        <f t="shared" si="12"/>
        <v>-0.54514645587239818</v>
      </c>
      <c r="U78" s="8">
        <v>37.5</v>
      </c>
      <c r="V78" s="10">
        <f t="shared" si="6"/>
        <v>0.16979411445883544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1403.1773142111999</v>
      </c>
      <c r="E79">
        <v>329.82790091265002</v>
      </c>
      <c r="F79">
        <v>132.84450227715999</v>
      </c>
      <c r="G79">
        <v>114.1776187378</v>
      </c>
      <c r="I79" s="9">
        <f t="shared" si="8"/>
        <v>215.65028217485002</v>
      </c>
      <c r="J79" s="9">
        <f t="shared" si="9"/>
        <v>1270.3328119340399</v>
      </c>
      <c r="K79" s="9">
        <f t="shared" si="10"/>
        <v>215.65028217485002</v>
      </c>
      <c r="L79" s="10">
        <f t="shared" si="7"/>
        <v>0.16975888534795033</v>
      </c>
      <c r="M79" s="10">
        <f t="shared" si="11"/>
        <v>0.17668816118677944</v>
      </c>
      <c r="P79" s="8">
        <f t="shared" si="12"/>
        <v>0.10732247426404826</v>
      </c>
      <c r="U79" s="8">
        <v>38</v>
      </c>
      <c r="V79" s="10">
        <f t="shared" si="6"/>
        <v>0.17165644302319283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1385.7249022164001</v>
      </c>
      <c r="E80">
        <v>325.77835723598002</v>
      </c>
      <c r="F80">
        <v>132.91281717632</v>
      </c>
      <c r="G80">
        <v>114.53090435914</v>
      </c>
      <c r="I80" s="9">
        <f t="shared" si="8"/>
        <v>211.24745287684004</v>
      </c>
      <c r="J80" s="9">
        <f t="shared" si="9"/>
        <v>1252.8120850400801</v>
      </c>
      <c r="K80" s="9">
        <f t="shared" si="10"/>
        <v>211.24745287684004</v>
      </c>
      <c r="L80" s="10">
        <f t="shared" si="7"/>
        <v>0.16861862636812111</v>
      </c>
      <c r="M80" s="10">
        <f t="shared" si="11"/>
        <v>0.17563789280225969</v>
      </c>
      <c r="P80" s="8">
        <f t="shared" si="12"/>
        <v>-0.487734688295348</v>
      </c>
      <c r="U80" s="8">
        <v>38.5</v>
      </c>
      <c r="V80" s="10">
        <f t="shared" si="6"/>
        <v>0.16869727651328853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1420.7745098038999</v>
      </c>
      <c r="E81">
        <v>333.66405228757998</v>
      </c>
      <c r="F81">
        <v>132.9186727391</v>
      </c>
      <c r="G81">
        <v>114.47690305790999</v>
      </c>
      <c r="I81" s="9">
        <f t="shared" si="8"/>
        <v>219.18714922966998</v>
      </c>
      <c r="J81" s="9">
        <f t="shared" si="9"/>
        <v>1287.8558370648</v>
      </c>
      <c r="K81" s="9">
        <f t="shared" si="10"/>
        <v>219.18714922966998</v>
      </c>
      <c r="L81" s="10">
        <f t="shared" si="7"/>
        <v>0.17019540768571392</v>
      </c>
      <c r="M81" s="10">
        <f t="shared" si="11"/>
        <v>0.17730466471516196</v>
      </c>
      <c r="P81" s="8">
        <f t="shared" si="12"/>
        <v>0.45661875482847969</v>
      </c>
      <c r="U81" s="8">
        <v>39</v>
      </c>
      <c r="V81" s="10">
        <f t="shared" si="6"/>
        <v>0.16975888534795033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1424.0921568628</v>
      </c>
      <c r="E82">
        <v>333.72418300653999</v>
      </c>
      <c r="F82">
        <v>132.84320104099001</v>
      </c>
      <c r="G82">
        <v>114.36955107352</v>
      </c>
      <c r="H82" s="13"/>
      <c r="I82" s="14">
        <f t="shared" si="8"/>
        <v>219.35463193301999</v>
      </c>
      <c r="J82" s="14">
        <f t="shared" si="9"/>
        <v>1291.2489558218101</v>
      </c>
      <c r="K82" s="9">
        <f t="shared" si="10"/>
        <v>219.35463193301999</v>
      </c>
      <c r="L82" s="15">
        <f t="shared" si="7"/>
        <v>0.1698778774952911</v>
      </c>
      <c r="M82" s="15">
        <f t="shared" si="11"/>
        <v>0.17707712512004861</v>
      </c>
      <c r="N82" s="13"/>
      <c r="O82" s="13"/>
      <c r="P82" s="13">
        <f t="shared" si="12"/>
        <v>0.3277002156876716</v>
      </c>
      <c r="U82" s="8">
        <v>39.5</v>
      </c>
      <c r="V82" s="10">
        <f t="shared" si="6"/>
        <v>0.16861862636812111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1417.6633986928</v>
      </c>
      <c r="E83">
        <v>330.35816993463999</v>
      </c>
      <c r="F83">
        <v>133.11646063761</v>
      </c>
      <c r="G83">
        <v>114.07482108003001</v>
      </c>
      <c r="I83" s="9">
        <f t="shared" si="8"/>
        <v>216.28334885460998</v>
      </c>
      <c r="J83" s="9">
        <f t="shared" si="9"/>
        <v>1284.5469380551899</v>
      </c>
      <c r="K83" s="9">
        <f t="shared" si="10"/>
        <v>216.28334885460998</v>
      </c>
      <c r="L83" s="10">
        <f t="shared" si="7"/>
        <v>0.16837325476176371</v>
      </c>
      <c r="M83" s="10">
        <f t="shared" si="11"/>
        <v>0.17566249298183068</v>
      </c>
      <c r="P83" s="8">
        <f t="shared" si="12"/>
        <v>-0.47379680987329648</v>
      </c>
      <c r="U83" s="8">
        <v>40</v>
      </c>
      <c r="V83" s="10">
        <f t="shared" si="6"/>
        <v>0.17019540768571392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1397.4209150326999</v>
      </c>
      <c r="E84">
        <v>325.62810457516002</v>
      </c>
      <c r="F84">
        <v>132.54066363045001</v>
      </c>
      <c r="G84">
        <v>114.33767078725</v>
      </c>
      <c r="I84" s="9">
        <f t="shared" si="8"/>
        <v>211.29043378791002</v>
      </c>
      <c r="J84" s="9">
        <f t="shared" si="9"/>
        <v>1264.88025140225</v>
      </c>
      <c r="K84" s="9">
        <f t="shared" si="10"/>
        <v>211.29043378791002</v>
      </c>
      <c r="L84" s="10">
        <f t="shared" si="7"/>
        <v>0.16704382375617993</v>
      </c>
      <c r="M84" s="10">
        <f t="shared" si="11"/>
        <v>0.17442305257155638</v>
      </c>
      <c r="P84" s="8">
        <f t="shared" si="12"/>
        <v>-1.1760343565519302</v>
      </c>
      <c r="U84" s="8">
        <v>150.5</v>
      </c>
      <c r="V84" s="10">
        <f>L302</f>
        <v>0.19316226992182459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1404.6588235294</v>
      </c>
      <c r="E85">
        <v>326.84248366012997</v>
      </c>
      <c r="F85">
        <v>132.76772934287999</v>
      </c>
      <c r="G85">
        <v>114.27130774235999</v>
      </c>
      <c r="I85" s="9">
        <f t="shared" si="8"/>
        <v>212.57117591776998</v>
      </c>
      <c r="J85" s="9">
        <f t="shared" si="9"/>
        <v>1271.8910941865201</v>
      </c>
      <c r="K85" s="9">
        <f t="shared" si="10"/>
        <v>212.57117591776998</v>
      </c>
      <c r="L85" s="10">
        <f t="shared" si="7"/>
        <v>0.16713001363825641</v>
      </c>
      <c r="M85" s="10">
        <f t="shared" si="11"/>
        <v>0.17459923304894234</v>
      </c>
      <c r="P85" s="8">
        <f t="shared" si="12"/>
        <v>-1.0762146756809408</v>
      </c>
      <c r="U85" s="8">
        <v>151</v>
      </c>
      <c r="V85" s="10">
        <f t="shared" ref="V85:V103" si="13">L303</f>
        <v>0.19616034860288895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1424.5888888889001</v>
      </c>
      <c r="E86">
        <v>332.26209150327003</v>
      </c>
      <c r="F86">
        <v>132.71698113208001</v>
      </c>
      <c r="G86">
        <v>114.42225113857999</v>
      </c>
      <c r="I86" s="9">
        <f t="shared" si="8"/>
        <v>217.83984036469002</v>
      </c>
      <c r="J86" s="9">
        <f t="shared" si="9"/>
        <v>1291.8719077568201</v>
      </c>
      <c r="K86" s="9">
        <f t="shared" si="10"/>
        <v>217.83984036469002</v>
      </c>
      <c r="L86" s="10">
        <f t="shared" si="7"/>
        <v>0.16862340535211626</v>
      </c>
      <c r="M86" s="10">
        <f t="shared" si="11"/>
        <v>0.17618261535811164</v>
      </c>
      <c r="P86" s="8">
        <f t="shared" si="12"/>
        <v>-0.17910780468637291</v>
      </c>
      <c r="U86" s="8">
        <v>151.5</v>
      </c>
      <c r="V86" s="10">
        <f t="shared" si="13"/>
        <v>0.18845139988117385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1417.9130718954</v>
      </c>
      <c r="E87">
        <v>331.98104575163001</v>
      </c>
      <c r="F87">
        <v>132.50618087183</v>
      </c>
      <c r="G87">
        <v>114.10605074821</v>
      </c>
      <c r="I87" s="9">
        <f t="shared" si="8"/>
        <v>217.87499500342</v>
      </c>
      <c r="J87" s="9">
        <f t="shared" si="9"/>
        <v>1285.4068910235701</v>
      </c>
      <c r="K87" s="9">
        <f t="shared" si="10"/>
        <v>217.87499500342</v>
      </c>
      <c r="L87" s="10">
        <f t="shared" si="7"/>
        <v>0.16949885403984885</v>
      </c>
      <c r="M87" s="10">
        <f t="shared" si="11"/>
        <v>0.17714805464115371</v>
      </c>
      <c r="P87" s="8">
        <f t="shared" si="12"/>
        <v>0.36788720045518719</v>
      </c>
      <c r="U87" s="8">
        <v>152</v>
      </c>
      <c r="V87" s="10">
        <f t="shared" si="13"/>
        <v>0.1889063711996708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1383.1890482399001</v>
      </c>
      <c r="E88">
        <v>326.80899608866002</v>
      </c>
      <c r="F88">
        <v>132.8223812622</v>
      </c>
      <c r="G88">
        <v>114.11450878334</v>
      </c>
      <c r="I88" s="9">
        <f t="shared" si="8"/>
        <v>212.69448730532002</v>
      </c>
      <c r="J88" s="9">
        <f t="shared" si="9"/>
        <v>1250.3666669777001</v>
      </c>
      <c r="K88" s="9">
        <f t="shared" si="10"/>
        <v>212.69448730532002</v>
      </c>
      <c r="L88" s="10">
        <f t="shared" si="7"/>
        <v>0.17010569213223706</v>
      </c>
      <c r="M88" s="10">
        <f t="shared" si="11"/>
        <v>0.17784488332885137</v>
      </c>
      <c r="P88" s="8">
        <f t="shared" si="12"/>
        <v>0.76269381160626515</v>
      </c>
      <c r="U88" s="8">
        <v>152.5</v>
      </c>
      <c r="V88" s="10">
        <f t="shared" si="13"/>
        <v>0.19193484370547198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1376.7170795305999</v>
      </c>
      <c r="E89">
        <v>327.49804432855001</v>
      </c>
      <c r="F89">
        <v>132.80806766428</v>
      </c>
      <c r="G89">
        <v>114.53871177619</v>
      </c>
      <c r="I89" s="9">
        <f t="shared" si="8"/>
        <v>212.95933255236002</v>
      </c>
      <c r="J89" s="9">
        <f t="shared" si="9"/>
        <v>1243.9090118663198</v>
      </c>
      <c r="K89" s="9">
        <f t="shared" si="10"/>
        <v>212.95933255236002</v>
      </c>
      <c r="L89" s="10">
        <f t="shared" si="7"/>
        <v>0.17120169604112997</v>
      </c>
      <c r="M89" s="10">
        <f t="shared" si="11"/>
        <v>0.17903087783305377</v>
      </c>
      <c r="P89" s="8">
        <f t="shared" si="12"/>
        <v>1.4346501752212937</v>
      </c>
      <c r="U89" s="8">
        <v>153</v>
      </c>
      <c r="V89" s="10">
        <f t="shared" si="13"/>
        <v>0.19141792374697483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1368.0982318271001</v>
      </c>
      <c r="E90">
        <v>325.43483955468002</v>
      </c>
      <c r="F90">
        <v>132.90631099545001</v>
      </c>
      <c r="G90">
        <v>114.37605725439001</v>
      </c>
      <c r="I90" s="9">
        <f t="shared" si="8"/>
        <v>211.05878230029003</v>
      </c>
      <c r="J90" s="9">
        <f t="shared" si="9"/>
        <v>1235.1919208316501</v>
      </c>
      <c r="K90" s="9">
        <f t="shared" si="10"/>
        <v>211.05878230029003</v>
      </c>
      <c r="L90" s="10">
        <f t="shared" si="7"/>
        <v>0.17087124578841556</v>
      </c>
      <c r="M90" s="10">
        <f t="shared" si="11"/>
        <v>0.17879041817564884</v>
      </c>
      <c r="P90" s="8">
        <f t="shared" si="12"/>
        <v>1.2984114351483795</v>
      </c>
      <c r="U90" s="8">
        <v>153.5</v>
      </c>
      <c r="V90" s="10">
        <f t="shared" si="13"/>
        <v>0.18901769667434035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1385.3530961792001</v>
      </c>
      <c r="E91">
        <v>327.26613965744002</v>
      </c>
      <c r="F91">
        <v>132.86922576448001</v>
      </c>
      <c r="G91">
        <v>114.21470396877</v>
      </c>
      <c r="I91" s="9">
        <f t="shared" si="8"/>
        <v>213.05143568867004</v>
      </c>
      <c r="J91" s="9">
        <f t="shared" si="9"/>
        <v>1252.4838704147201</v>
      </c>
      <c r="K91" s="9">
        <f t="shared" si="10"/>
        <v>213.05143568867004</v>
      </c>
      <c r="L91" s="10">
        <f t="shared" si="7"/>
        <v>0.17010313723092088</v>
      </c>
      <c r="M91" s="10">
        <f t="shared" si="11"/>
        <v>0.17811230021346361</v>
      </c>
      <c r="P91" s="8">
        <f t="shared" si="12"/>
        <v>0.91420587740132964</v>
      </c>
      <c r="U91" s="8">
        <v>154</v>
      </c>
      <c r="V91" s="10">
        <f t="shared" si="13"/>
        <v>0.19075483122015227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1367.0869565216999</v>
      </c>
      <c r="E92">
        <v>322.17786561265001</v>
      </c>
      <c r="F92">
        <v>133.06180871827999</v>
      </c>
      <c r="G92">
        <v>114.38516590761</v>
      </c>
      <c r="I92" s="9">
        <f t="shared" si="8"/>
        <v>207.79269970504001</v>
      </c>
      <c r="J92" s="9">
        <f t="shared" si="9"/>
        <v>1234.0251478034199</v>
      </c>
      <c r="K92" s="9">
        <f t="shared" si="10"/>
        <v>207.79269970504001</v>
      </c>
      <c r="L92" s="10">
        <f t="shared" si="7"/>
        <v>0.16838611439557255</v>
      </c>
      <c r="M92" s="10">
        <f t="shared" si="11"/>
        <v>0.17648526797342476</v>
      </c>
      <c r="P92" s="8">
        <f t="shared" si="12"/>
        <v>-7.6320093907176886E-3</v>
      </c>
      <c r="U92" s="8">
        <v>154.5</v>
      </c>
      <c r="V92" s="10">
        <f t="shared" si="13"/>
        <v>0.18992634016213095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1382.2766798419</v>
      </c>
      <c r="E93">
        <v>324.74571805007002</v>
      </c>
      <c r="F93">
        <v>133.57709824333</v>
      </c>
      <c r="G93">
        <v>114.01886792453</v>
      </c>
      <c r="I93" s="9">
        <f t="shared" si="8"/>
        <v>210.72685012554001</v>
      </c>
      <c r="J93" s="9">
        <f t="shared" si="9"/>
        <v>1248.6995815985699</v>
      </c>
      <c r="K93" s="9">
        <f t="shared" si="10"/>
        <v>210.72685012554001</v>
      </c>
      <c r="L93" s="10">
        <f t="shared" si="7"/>
        <v>0.16875704391265198</v>
      </c>
      <c r="M93" s="10">
        <f t="shared" si="11"/>
        <v>0.17694618808581364</v>
      </c>
      <c r="P93" s="8">
        <f t="shared" si="12"/>
        <v>0.25351439688723781</v>
      </c>
      <c r="U93" s="8">
        <v>155</v>
      </c>
      <c r="V93" s="10">
        <f t="shared" si="13"/>
        <v>0.19261760633915839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1389.2002635045999</v>
      </c>
      <c r="E94">
        <v>329.25494071145999</v>
      </c>
      <c r="F94">
        <v>133.05400130123999</v>
      </c>
      <c r="G94">
        <v>114.25829538060999</v>
      </c>
      <c r="I94" s="9">
        <f t="shared" si="8"/>
        <v>214.99664533085001</v>
      </c>
      <c r="J94" s="9">
        <f t="shared" si="9"/>
        <v>1256.1462622033598</v>
      </c>
      <c r="K94" s="9">
        <f t="shared" si="10"/>
        <v>214.99664533085001</v>
      </c>
      <c r="L94" s="10">
        <f t="shared" si="7"/>
        <v>0.17115574181125401</v>
      </c>
      <c r="M94" s="10">
        <f t="shared" si="11"/>
        <v>0.17943487657972515</v>
      </c>
      <c r="P94" s="8">
        <f t="shared" si="12"/>
        <v>1.6635462854110266</v>
      </c>
      <c r="U94" s="8">
        <v>155.5</v>
      </c>
      <c r="V94" s="10">
        <f t="shared" si="13"/>
        <v>0.19174547355181867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1389.2351778656</v>
      </c>
      <c r="E95">
        <v>333.66073781290999</v>
      </c>
      <c r="F95">
        <v>133.29212752115001</v>
      </c>
      <c r="G95">
        <v>114.28106701366001</v>
      </c>
      <c r="I95" s="9">
        <f t="shared" si="8"/>
        <v>219.37967079924999</v>
      </c>
      <c r="J95" s="9">
        <f t="shared" si="9"/>
        <v>1255.9430503444501</v>
      </c>
      <c r="K95" s="9">
        <f t="shared" si="10"/>
        <v>219.37967079924999</v>
      </c>
      <c r="L95" s="10">
        <f t="shared" si="7"/>
        <v>0.17467326304252712</v>
      </c>
      <c r="M95" s="10">
        <f t="shared" si="11"/>
        <v>0.18304238840630771</v>
      </c>
      <c r="P95" s="8">
        <f t="shared" si="12"/>
        <v>3.7074769445323099</v>
      </c>
      <c r="U95" s="8">
        <v>156</v>
      </c>
      <c r="V95" s="10">
        <f t="shared" si="13"/>
        <v>0.19127712502591943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1391.0019762846</v>
      </c>
      <c r="E96">
        <v>329.55862977601998</v>
      </c>
      <c r="F96">
        <v>133.28757319453999</v>
      </c>
      <c r="G96">
        <v>114.61353285621</v>
      </c>
      <c r="I96" s="9">
        <f t="shared" si="8"/>
        <v>214.94509691981</v>
      </c>
      <c r="J96" s="9">
        <f t="shared" si="9"/>
        <v>1257.7144030900599</v>
      </c>
      <c r="K96" s="9">
        <f t="shared" si="10"/>
        <v>214.94509691981</v>
      </c>
      <c r="L96" s="10">
        <f t="shared" si="7"/>
        <v>0.1709013559769329</v>
      </c>
      <c r="M96" s="10">
        <f t="shared" si="11"/>
        <v>0.17936047193602297</v>
      </c>
      <c r="P96" s="8">
        <f t="shared" si="12"/>
        <v>1.6213903785825976</v>
      </c>
      <c r="U96" s="8">
        <v>156.5</v>
      </c>
      <c r="V96" s="10">
        <f t="shared" si="13"/>
        <v>0.19446201266587182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1387.8873517786999</v>
      </c>
      <c r="E97">
        <v>336.71475625824002</v>
      </c>
      <c r="F97">
        <v>133.03708523097001</v>
      </c>
      <c r="G97">
        <v>114.18087182824</v>
      </c>
      <c r="I97" s="9">
        <f t="shared" si="8"/>
        <v>222.53388443</v>
      </c>
      <c r="J97" s="9">
        <f t="shared" si="9"/>
        <v>1254.8502665477299</v>
      </c>
      <c r="K97" s="9">
        <f t="shared" si="10"/>
        <v>222.53388443</v>
      </c>
      <c r="L97" s="10">
        <f t="shared" si="7"/>
        <v>0.17733899443016585</v>
      </c>
      <c r="M97" s="10">
        <f t="shared" si="11"/>
        <v>0.1858881009845654</v>
      </c>
      <c r="P97" s="8">
        <f t="shared" si="12"/>
        <v>5.3197902134420776</v>
      </c>
      <c r="U97" s="8">
        <v>157</v>
      </c>
      <c r="V97" s="10">
        <f t="shared" si="13"/>
        <v>0.19247753836718082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1392.7404479577999</v>
      </c>
      <c r="E98">
        <v>329.38801054018001</v>
      </c>
      <c r="F98">
        <v>133.34612882238</v>
      </c>
      <c r="G98">
        <v>114.60377358491</v>
      </c>
      <c r="I98" s="9">
        <f t="shared" si="8"/>
        <v>214.78423695526999</v>
      </c>
      <c r="J98" s="9">
        <f t="shared" si="9"/>
        <v>1259.3943191354199</v>
      </c>
      <c r="K98" s="9">
        <f t="shared" si="10"/>
        <v>214.78423695526999</v>
      </c>
      <c r="L98" s="10">
        <f t="shared" si="7"/>
        <v>0.17054566126891885</v>
      </c>
      <c r="M98" s="10">
        <f t="shared" si="11"/>
        <v>0.17918475841862785</v>
      </c>
      <c r="P98" s="8">
        <f t="shared" si="12"/>
        <v>1.5218352661697985</v>
      </c>
      <c r="U98" s="8">
        <v>157.5</v>
      </c>
      <c r="V98" s="10">
        <f t="shared" si="13"/>
        <v>0.19640207886815303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1388.7114624506</v>
      </c>
      <c r="E99">
        <v>329.25494071145999</v>
      </c>
      <c r="F99">
        <v>132.97657774886</v>
      </c>
      <c r="G99">
        <v>114.59336369551001</v>
      </c>
      <c r="I99" s="9">
        <f t="shared" si="8"/>
        <v>214.66157701595</v>
      </c>
      <c r="J99" s="9">
        <f t="shared" si="9"/>
        <v>1255.7348847017402</v>
      </c>
      <c r="K99" s="9">
        <f t="shared" si="10"/>
        <v>214.66157701595</v>
      </c>
      <c r="L99" s="10">
        <f t="shared" si="7"/>
        <v>0.17094498180397052</v>
      </c>
      <c r="M99" s="10">
        <f t="shared" si="11"/>
        <v>0.17967406954898901</v>
      </c>
      <c r="P99" s="8">
        <f t="shared" si="12"/>
        <v>1.7990673500190946</v>
      </c>
      <c r="U99" s="8">
        <v>158</v>
      </c>
      <c r="V99" s="10">
        <f t="shared" si="13"/>
        <v>0.19467882445194154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1380.9137022397999</v>
      </c>
      <c r="E100">
        <v>328.90645586298001</v>
      </c>
      <c r="F100">
        <v>133.09824333117001</v>
      </c>
      <c r="G100">
        <v>114.38646714379</v>
      </c>
      <c r="I100" s="9">
        <f t="shared" si="8"/>
        <v>214.51998871919</v>
      </c>
      <c r="J100" s="9">
        <f t="shared" si="9"/>
        <v>1247.8154589086298</v>
      </c>
      <c r="K100" s="9">
        <f t="shared" si="10"/>
        <v>214.51998871919</v>
      </c>
      <c r="L100" s="10">
        <f t="shared" si="7"/>
        <v>0.17191643779346544</v>
      </c>
      <c r="M100" s="10">
        <f t="shared" si="11"/>
        <v>0.18073551613379338</v>
      </c>
      <c r="P100" s="8">
        <f t="shared" si="12"/>
        <v>2.4004578158007237</v>
      </c>
      <c r="U100" s="8">
        <v>158.5</v>
      </c>
      <c r="V100" s="10">
        <f t="shared" si="13"/>
        <v>0.19332866793858483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1385.0085638999001</v>
      </c>
      <c r="E101">
        <v>328.14031620552998</v>
      </c>
      <c r="F101">
        <v>133.08913467794</v>
      </c>
      <c r="G101">
        <v>114.8932986337</v>
      </c>
      <c r="I101" s="9">
        <f t="shared" si="8"/>
        <v>213.24701757182999</v>
      </c>
      <c r="J101" s="9">
        <f t="shared" si="9"/>
        <v>1251.9194292219602</v>
      </c>
      <c r="K101" s="9">
        <f t="shared" si="10"/>
        <v>213.24701757182999</v>
      </c>
      <c r="L101" s="10">
        <f t="shared" si="7"/>
        <v>0.17033605565524151</v>
      </c>
      <c r="M101" s="10">
        <f t="shared" si="11"/>
        <v>0.17924512459087893</v>
      </c>
      <c r="P101" s="8">
        <f t="shared" si="12"/>
        <v>1.5560373079562184</v>
      </c>
      <c r="U101" s="8">
        <v>159</v>
      </c>
      <c r="V101" s="10">
        <f t="shared" si="13"/>
        <v>0.18925639594998744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1377.4071146245001</v>
      </c>
      <c r="E102">
        <v>329.88735177865999</v>
      </c>
      <c r="F102">
        <v>133.82042940794</v>
      </c>
      <c r="G102">
        <v>114.56018217306</v>
      </c>
      <c r="I102" s="9">
        <f t="shared" si="8"/>
        <v>215.32716960559998</v>
      </c>
      <c r="J102" s="9">
        <f t="shared" si="9"/>
        <v>1243.58668521656</v>
      </c>
      <c r="K102" s="9">
        <f t="shared" si="10"/>
        <v>215.32716960559998</v>
      </c>
      <c r="L102" s="10">
        <f t="shared" si="7"/>
        <v>0.17315010860549909</v>
      </c>
      <c r="M102" s="10">
        <f t="shared" si="11"/>
        <v>0.18214916813644599</v>
      </c>
      <c r="P102" s="8">
        <f t="shared" si="12"/>
        <v>3.2013995197914915</v>
      </c>
      <c r="U102" s="8">
        <v>159.5</v>
      </c>
      <c r="V102" s="10">
        <f t="shared" si="13"/>
        <v>0.18925971146347484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1354.953886693</v>
      </c>
      <c r="E103">
        <v>328.25955204216001</v>
      </c>
      <c r="F103">
        <v>133.04033832140999</v>
      </c>
      <c r="G103">
        <v>114.47299934938</v>
      </c>
      <c r="I103" s="9">
        <f t="shared" si="8"/>
        <v>213.78655269277999</v>
      </c>
      <c r="J103" s="9">
        <f t="shared" si="9"/>
        <v>1221.91354837159</v>
      </c>
      <c r="K103" s="9">
        <f t="shared" si="10"/>
        <v>213.78655269277999</v>
      </c>
      <c r="L103" s="10">
        <f t="shared" si="7"/>
        <v>0.17496045688149325</v>
      </c>
      <c r="M103" s="10">
        <f t="shared" si="11"/>
        <v>0.18404950700774961</v>
      </c>
      <c r="P103" s="8">
        <f t="shared" si="12"/>
        <v>4.2780864631734357</v>
      </c>
      <c r="U103" s="8">
        <v>160</v>
      </c>
      <c r="V103" s="10">
        <f t="shared" si="13"/>
        <v>0.19300982046869139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1337.2551222735999</v>
      </c>
      <c r="E104">
        <v>319.39259748843</v>
      </c>
      <c r="F104">
        <v>132.91346779441</v>
      </c>
      <c r="G104">
        <v>114.5178919974</v>
      </c>
      <c r="I104" s="9">
        <f t="shared" si="8"/>
        <v>204.87470549103</v>
      </c>
      <c r="J104" s="9">
        <f t="shared" si="9"/>
        <v>1204.3416544791899</v>
      </c>
      <c r="K104" s="9">
        <f t="shared" si="10"/>
        <v>204.87470549103</v>
      </c>
      <c r="L104" s="10">
        <f t="shared" si="7"/>
        <v>0.17011344308241735</v>
      </c>
      <c r="M104" s="10">
        <f t="shared" si="11"/>
        <v>0.17929248380398319</v>
      </c>
      <c r="P104" s="8">
        <f t="shared" si="12"/>
        <v>1.5828699151128636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1313.0376734964</v>
      </c>
      <c r="E105">
        <v>316.45076007930999</v>
      </c>
      <c r="F105">
        <v>133.5432661028</v>
      </c>
      <c r="G105">
        <v>114.58425504229</v>
      </c>
      <c r="I105" s="9">
        <f t="shared" si="8"/>
        <v>201.86650503701998</v>
      </c>
      <c r="J105" s="9">
        <f t="shared" si="9"/>
        <v>1179.4944073935999</v>
      </c>
      <c r="K105" s="9">
        <f t="shared" si="10"/>
        <v>201.86650503701998</v>
      </c>
      <c r="L105" s="10">
        <f t="shared" si="7"/>
        <v>0.17114664026521043</v>
      </c>
      <c r="M105" s="10">
        <f t="shared" si="11"/>
        <v>0.18041567158208571</v>
      </c>
      <c r="P105" s="8">
        <f t="shared" si="12"/>
        <v>2.2192414770014977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1351.1728155339999</v>
      </c>
      <c r="E106">
        <v>321.46472491908997</v>
      </c>
      <c r="F106">
        <v>133.35718932986001</v>
      </c>
      <c r="G106">
        <v>114.59271307742</v>
      </c>
      <c r="I106" s="9">
        <f t="shared" si="8"/>
        <v>206.87201184166997</v>
      </c>
      <c r="J106" s="9">
        <f t="shared" si="9"/>
        <v>1217.81562620414</v>
      </c>
      <c r="K106" s="9">
        <f t="shared" si="10"/>
        <v>206.87201184166997</v>
      </c>
      <c r="L106" s="10">
        <f t="shared" si="7"/>
        <v>0.16987137247243075</v>
      </c>
      <c r="M106" s="10">
        <f t="shared" si="11"/>
        <v>0.17923039438461552</v>
      </c>
      <c r="P106" s="8">
        <f t="shared" si="12"/>
        <v>1.5476915223720606</v>
      </c>
      <c r="X106" s="8">
        <v>-13</v>
      </c>
    </row>
    <row r="107" spans="1:25" x14ac:dyDescent="0.2">
      <c r="A107" s="8">
        <v>52.5</v>
      </c>
      <c r="B107" s="8">
        <v>105</v>
      </c>
      <c r="D107">
        <v>1334.7773462783</v>
      </c>
      <c r="E107">
        <v>318.70679611651002</v>
      </c>
      <c r="F107">
        <v>133.60962914768999</v>
      </c>
      <c r="G107">
        <v>114.67989590111</v>
      </c>
      <c r="I107" s="9">
        <f t="shared" si="8"/>
        <v>204.02690021540002</v>
      </c>
      <c r="J107" s="9">
        <f t="shared" si="9"/>
        <v>1201.1677171306101</v>
      </c>
      <c r="K107" s="9">
        <f t="shared" si="10"/>
        <v>204.02690021540002</v>
      </c>
      <c r="L107" s="10">
        <f t="shared" si="7"/>
        <v>0.16985712927981977</v>
      </c>
      <c r="M107" s="10">
        <f t="shared" si="11"/>
        <v>0.17930614178731399</v>
      </c>
      <c r="P107" s="8">
        <f t="shared" si="12"/>
        <v>1.5906082046081047</v>
      </c>
      <c r="X107" s="8">
        <v>-13</v>
      </c>
    </row>
    <row r="108" spans="1:25" x14ac:dyDescent="0.2">
      <c r="A108" s="8">
        <v>53</v>
      </c>
      <c r="B108" s="8">
        <v>106</v>
      </c>
      <c r="D108">
        <v>1323.5980582524001</v>
      </c>
      <c r="E108">
        <v>315.98511326861001</v>
      </c>
      <c r="F108">
        <v>132.86467143786999</v>
      </c>
      <c r="G108">
        <v>114.57774886142001</v>
      </c>
      <c r="I108" s="9">
        <f t="shared" si="8"/>
        <v>201.40736440719002</v>
      </c>
      <c r="J108" s="9">
        <f t="shared" si="9"/>
        <v>1190.7333868145301</v>
      </c>
      <c r="K108" s="9">
        <f t="shared" si="10"/>
        <v>201.40736440719002</v>
      </c>
      <c r="L108" s="10">
        <f t="shared" si="7"/>
        <v>0.16914564304440843</v>
      </c>
      <c r="M108" s="10">
        <f t="shared" si="11"/>
        <v>0.17868464614721213</v>
      </c>
      <c r="P108" s="8">
        <f t="shared" si="12"/>
        <v>1.2384835119171416</v>
      </c>
      <c r="X108" s="8">
        <v>-13</v>
      </c>
    </row>
    <row r="109" spans="1:25" x14ac:dyDescent="0.2">
      <c r="A109" s="8">
        <v>53.5</v>
      </c>
      <c r="B109" s="8">
        <v>107</v>
      </c>
      <c r="D109">
        <v>1329.5702265371999</v>
      </c>
      <c r="E109">
        <v>319.36375404530997</v>
      </c>
      <c r="F109">
        <v>133.24463240078001</v>
      </c>
      <c r="G109">
        <v>114.79960962915</v>
      </c>
      <c r="I109" s="9">
        <f t="shared" si="8"/>
        <v>204.56414441615999</v>
      </c>
      <c r="J109" s="9">
        <f t="shared" si="9"/>
        <v>1196.32559413642</v>
      </c>
      <c r="K109" s="9">
        <f t="shared" si="10"/>
        <v>204.56414441615999</v>
      </c>
      <c r="L109" s="10">
        <f t="shared" si="7"/>
        <v>0.17099370390368246</v>
      </c>
      <c r="M109" s="10">
        <f t="shared" si="11"/>
        <v>0.18062269760179564</v>
      </c>
      <c r="P109" s="8">
        <f t="shared" si="12"/>
        <v>2.3365375107394715</v>
      </c>
      <c r="X109" s="8">
        <v>-13</v>
      </c>
    </row>
    <row r="110" spans="1:25" x14ac:dyDescent="0.2">
      <c r="A110" s="8">
        <v>54</v>
      </c>
      <c r="B110" s="8">
        <v>108</v>
      </c>
      <c r="D110">
        <v>1346.4466019418001</v>
      </c>
      <c r="E110">
        <v>322.66925566343002</v>
      </c>
      <c r="F110">
        <v>133.23877683800001</v>
      </c>
      <c r="G110">
        <v>114.69746258946</v>
      </c>
      <c r="I110" s="9">
        <f t="shared" si="8"/>
        <v>207.97179307397002</v>
      </c>
      <c r="J110" s="9">
        <f t="shared" si="9"/>
        <v>1213.2078251038001</v>
      </c>
      <c r="K110" s="9">
        <f t="shared" si="10"/>
        <v>207.97179307397002</v>
      </c>
      <c r="L110" s="10">
        <f t="shared" si="7"/>
        <v>0.17142305610844233</v>
      </c>
      <c r="M110" s="10">
        <f t="shared" si="11"/>
        <v>0.18114204040186496</v>
      </c>
      <c r="P110" s="8">
        <f t="shared" si="12"/>
        <v>2.6307848265302987</v>
      </c>
      <c r="X110" s="8">
        <v>-13</v>
      </c>
    </row>
    <row r="111" spans="1:25" x14ac:dyDescent="0.2">
      <c r="A111" s="8">
        <v>54.5</v>
      </c>
      <c r="B111" s="8">
        <v>109</v>
      </c>
      <c r="D111">
        <v>1351.1987055016</v>
      </c>
      <c r="E111">
        <v>326.50355987055002</v>
      </c>
      <c r="F111">
        <v>133.8477553676</v>
      </c>
      <c r="G111">
        <v>114.97072218608</v>
      </c>
      <c r="I111" s="9">
        <f t="shared" si="8"/>
        <v>211.53283768447002</v>
      </c>
      <c r="J111" s="9">
        <f t="shared" si="9"/>
        <v>1217.350950134</v>
      </c>
      <c r="K111" s="9">
        <f t="shared" si="10"/>
        <v>211.53283768447002</v>
      </c>
      <c r="L111" s="10">
        <f t="shared" si="7"/>
        <v>0.17376487664562593</v>
      </c>
      <c r="M111" s="10">
        <f t="shared" si="11"/>
        <v>0.18357385153435804</v>
      </c>
      <c r="P111" s="8">
        <f t="shared" si="12"/>
        <v>4.0085913507582793</v>
      </c>
      <c r="X111" s="8">
        <v>-13</v>
      </c>
    </row>
    <row r="112" spans="1:25" x14ac:dyDescent="0.2">
      <c r="A112" s="8">
        <v>55</v>
      </c>
      <c r="B112" s="8">
        <v>110</v>
      </c>
      <c r="D112">
        <v>1311.2491846053999</v>
      </c>
      <c r="E112">
        <v>317.35029354207001</v>
      </c>
      <c r="F112">
        <v>133.61743656473999</v>
      </c>
      <c r="G112">
        <v>115.01040988939999</v>
      </c>
      <c r="I112" s="9">
        <f t="shared" si="8"/>
        <v>202.33988365267001</v>
      </c>
      <c r="J112" s="9">
        <f t="shared" si="9"/>
        <v>1177.6317480406599</v>
      </c>
      <c r="K112" s="9">
        <f t="shared" si="10"/>
        <v>202.33988365267001</v>
      </c>
      <c r="L112" s="10">
        <f t="shared" si="7"/>
        <v>0.171819317871926</v>
      </c>
      <c r="M112" s="10">
        <f t="shared" si="11"/>
        <v>0.18171828335596757</v>
      </c>
      <c r="P112" s="8">
        <f t="shared" si="12"/>
        <v>2.9572704203720468</v>
      </c>
      <c r="X112" s="8">
        <v>-13</v>
      </c>
    </row>
    <row r="113" spans="1:24" x14ac:dyDescent="0.2">
      <c r="A113" s="8">
        <v>55.5</v>
      </c>
      <c r="B113" s="8">
        <v>111</v>
      </c>
      <c r="D113">
        <v>1322.7866927593</v>
      </c>
      <c r="E113">
        <v>321.09262883235999</v>
      </c>
      <c r="F113">
        <v>134.01171112557</v>
      </c>
      <c r="G113">
        <v>114.47430058556</v>
      </c>
      <c r="I113" s="9">
        <f t="shared" si="8"/>
        <v>206.61832824679999</v>
      </c>
      <c r="J113" s="9">
        <f t="shared" si="9"/>
        <v>1188.77498163373</v>
      </c>
      <c r="K113" s="9">
        <f t="shared" si="10"/>
        <v>206.61832824679999</v>
      </c>
      <c r="L113" s="10">
        <f t="shared" si="7"/>
        <v>0.17380776971167833</v>
      </c>
      <c r="M113" s="10">
        <f t="shared" si="11"/>
        <v>0.18379672579102938</v>
      </c>
      <c r="P113" s="8">
        <f t="shared" si="12"/>
        <v>4.1348666197629962</v>
      </c>
      <c r="X113" s="8">
        <v>-13</v>
      </c>
    </row>
    <row r="114" spans="1:24" x14ac:dyDescent="0.2">
      <c r="A114" s="8">
        <v>56</v>
      </c>
      <c r="B114" s="8">
        <v>112</v>
      </c>
      <c r="D114">
        <v>1324.3222439660999</v>
      </c>
      <c r="E114">
        <v>321.12850619699998</v>
      </c>
      <c r="F114">
        <v>133.43851659076</v>
      </c>
      <c r="G114">
        <v>114.59596616786</v>
      </c>
      <c r="I114" s="9">
        <f t="shared" si="8"/>
        <v>206.53254002913997</v>
      </c>
      <c r="J114" s="9">
        <f t="shared" si="9"/>
        <v>1190.88372737534</v>
      </c>
      <c r="K114" s="9">
        <f t="shared" si="10"/>
        <v>206.53254002913997</v>
      </c>
      <c r="L114" s="10">
        <f t="shared" si="7"/>
        <v>0.17342796385700004</v>
      </c>
      <c r="M114" s="10">
        <f t="shared" si="11"/>
        <v>0.18350691053166057</v>
      </c>
      <c r="P114" s="8">
        <f t="shared" si="12"/>
        <v>3.9706641659442274</v>
      </c>
      <c r="X114" s="8">
        <v>-13</v>
      </c>
    </row>
    <row r="115" spans="1:24" x14ac:dyDescent="0.2">
      <c r="A115" s="8">
        <v>56.5</v>
      </c>
      <c r="B115" s="8">
        <v>113</v>
      </c>
      <c r="D115">
        <v>1308.6738421396001</v>
      </c>
      <c r="E115">
        <v>314.37834311807001</v>
      </c>
      <c r="F115">
        <v>133.92127521144999</v>
      </c>
      <c r="G115">
        <v>114.63175016266</v>
      </c>
      <c r="I115" s="9">
        <f t="shared" si="8"/>
        <v>199.74659295540999</v>
      </c>
      <c r="J115" s="9">
        <f t="shared" si="9"/>
        <v>1174.7525669281501</v>
      </c>
      <c r="K115" s="9">
        <f t="shared" si="10"/>
        <v>199.74659295540999</v>
      </c>
      <c r="L115" s="10">
        <f t="shared" si="7"/>
        <v>0.17003290614441946</v>
      </c>
      <c r="M115" s="10">
        <f t="shared" si="11"/>
        <v>0.18020184341438944</v>
      </c>
      <c r="P115" s="8">
        <f t="shared" si="12"/>
        <v>2.0980915075079363</v>
      </c>
      <c r="X115" s="8">
        <v>-13</v>
      </c>
    </row>
    <row r="116" spans="1:24" x14ac:dyDescent="0.2">
      <c r="A116" s="8">
        <v>57</v>
      </c>
      <c r="B116" s="8">
        <v>114</v>
      </c>
      <c r="D116">
        <v>1317.3698630137001</v>
      </c>
      <c r="E116">
        <v>317.54142204827002</v>
      </c>
      <c r="F116">
        <v>133.74040338321001</v>
      </c>
      <c r="G116">
        <v>114.74756018217001</v>
      </c>
      <c r="I116" s="9">
        <f t="shared" si="8"/>
        <v>202.79386186610003</v>
      </c>
      <c r="J116" s="9">
        <f t="shared" si="9"/>
        <v>1183.6294596304901</v>
      </c>
      <c r="K116" s="9">
        <f t="shared" si="10"/>
        <v>202.79386186610003</v>
      </c>
      <c r="L116" s="10">
        <f t="shared" si="7"/>
        <v>0.17133221906238205</v>
      </c>
      <c r="M116" s="10">
        <f t="shared" si="11"/>
        <v>0.18159114692766151</v>
      </c>
      <c r="P116" s="8">
        <f t="shared" si="12"/>
        <v>2.8852379347704429</v>
      </c>
      <c r="X116" s="8">
        <v>-13</v>
      </c>
    </row>
    <row r="117" spans="1:24" x14ac:dyDescent="0.2">
      <c r="A117" s="8">
        <v>57.5</v>
      </c>
      <c r="B117" s="8">
        <v>115</v>
      </c>
      <c r="D117">
        <v>1325.2544031310999</v>
      </c>
      <c r="E117">
        <v>317.83626875407998</v>
      </c>
      <c r="F117">
        <v>133.64801561483</v>
      </c>
      <c r="G117">
        <v>114.54651919323</v>
      </c>
      <c r="I117" s="9">
        <f t="shared" si="8"/>
        <v>203.28974956085</v>
      </c>
      <c r="J117" s="9">
        <f t="shared" si="9"/>
        <v>1191.6063875162699</v>
      </c>
      <c r="K117" s="9">
        <f t="shared" si="10"/>
        <v>203.28974956085</v>
      </c>
      <c r="L117" s="10">
        <f t="shared" si="7"/>
        <v>0.17060142652019339</v>
      </c>
      <c r="M117" s="10">
        <f t="shared" si="11"/>
        <v>0.1809503449807823</v>
      </c>
      <c r="P117" s="8">
        <f t="shared" si="12"/>
        <v>2.5221747464532549</v>
      </c>
      <c r="X117" s="8">
        <v>-13</v>
      </c>
    </row>
    <row r="118" spans="1:24" x14ac:dyDescent="0.2">
      <c r="A118" s="8">
        <v>58</v>
      </c>
      <c r="B118" s="8">
        <v>116</v>
      </c>
      <c r="D118">
        <v>1364.6123928807001</v>
      </c>
      <c r="E118">
        <v>320.02702702702999</v>
      </c>
      <c r="F118">
        <v>133.90305790501</v>
      </c>
      <c r="G118">
        <v>114.85361093038</v>
      </c>
      <c r="I118" s="9">
        <f t="shared" si="8"/>
        <v>205.17341609664999</v>
      </c>
      <c r="J118" s="9">
        <f t="shared" si="9"/>
        <v>1230.7093349756901</v>
      </c>
      <c r="K118" s="9">
        <f t="shared" si="10"/>
        <v>205.17341609664999</v>
      </c>
      <c r="L118" s="10">
        <f t="shared" si="7"/>
        <v>0.16671151364973008</v>
      </c>
      <c r="M118" s="10">
        <f t="shared" si="11"/>
        <v>0.17715042270562847</v>
      </c>
      <c r="P118" s="8">
        <f t="shared" si="12"/>
        <v>0.36922888963471401</v>
      </c>
      <c r="X118" s="8">
        <v>-13</v>
      </c>
    </row>
    <row r="119" spans="1:24" x14ac:dyDescent="0.2">
      <c r="A119" s="8">
        <v>58.5</v>
      </c>
      <c r="B119" s="8">
        <v>117</v>
      </c>
      <c r="D119">
        <v>1371.7211601846</v>
      </c>
      <c r="E119">
        <v>323.87343441002002</v>
      </c>
      <c r="F119">
        <v>133.81782693559001</v>
      </c>
      <c r="G119">
        <v>114.78854912167</v>
      </c>
      <c r="I119" s="9">
        <f t="shared" si="8"/>
        <v>209.08488528835002</v>
      </c>
      <c r="J119" s="9">
        <f t="shared" si="9"/>
        <v>1237.9033332490098</v>
      </c>
      <c r="K119" s="9">
        <f t="shared" si="10"/>
        <v>209.08488528835002</v>
      </c>
      <c r="L119" s="10">
        <f t="shared" si="7"/>
        <v>0.16890243339080796</v>
      </c>
      <c r="M119" s="10">
        <f t="shared" si="11"/>
        <v>0.17943133304201581</v>
      </c>
      <c r="P119" s="8">
        <f t="shared" si="12"/>
        <v>1.6615386009697697</v>
      </c>
      <c r="X119" s="8">
        <v>-13</v>
      </c>
    </row>
    <row r="120" spans="1:24" x14ac:dyDescent="0.2">
      <c r="A120" s="8">
        <v>59</v>
      </c>
      <c r="B120" s="8">
        <v>118</v>
      </c>
      <c r="D120">
        <v>1368.8773895847</v>
      </c>
      <c r="E120">
        <v>323.55174686881998</v>
      </c>
      <c r="F120">
        <v>133.83018867925</v>
      </c>
      <c r="G120">
        <v>115.02407286923</v>
      </c>
      <c r="I120" s="9">
        <f t="shared" si="8"/>
        <v>208.52767399958998</v>
      </c>
      <c r="J120" s="9">
        <f t="shared" si="9"/>
        <v>1235.0472009054502</v>
      </c>
      <c r="K120" s="9">
        <f t="shared" si="10"/>
        <v>208.52767399958998</v>
      </c>
      <c r="L120" s="10">
        <f t="shared" si="7"/>
        <v>0.16884186600051568</v>
      </c>
      <c r="M120" s="10">
        <f t="shared" si="11"/>
        <v>0.179460756247033</v>
      </c>
      <c r="P120" s="8">
        <f t="shared" si="12"/>
        <v>1.6782090912453991</v>
      </c>
      <c r="X120" s="8">
        <v>-13</v>
      </c>
    </row>
    <row r="121" spans="1:24" x14ac:dyDescent="0.2">
      <c r="A121" s="8">
        <v>59.5</v>
      </c>
      <c r="B121" s="8">
        <v>119</v>
      </c>
      <c r="D121">
        <v>1348.6097560976</v>
      </c>
      <c r="E121">
        <v>314.38431114040998</v>
      </c>
      <c r="F121">
        <v>133.93363695510999</v>
      </c>
      <c r="G121">
        <v>114.81132075472</v>
      </c>
      <c r="I121" s="9">
        <f t="shared" si="8"/>
        <v>199.57299038568999</v>
      </c>
      <c r="J121" s="9">
        <f t="shared" si="9"/>
        <v>1214.6761191424901</v>
      </c>
      <c r="K121" s="9">
        <f t="shared" si="10"/>
        <v>199.57299038568999</v>
      </c>
      <c r="L121" s="10">
        <f t="shared" si="7"/>
        <v>0.16430140285179895</v>
      </c>
      <c r="M121" s="10">
        <f t="shared" si="11"/>
        <v>0.17501028369362576</v>
      </c>
      <c r="P121" s="8">
        <f t="shared" si="12"/>
        <v>-0.84332312729317238</v>
      </c>
      <c r="X121" s="8">
        <v>-13</v>
      </c>
    </row>
    <row r="122" spans="1:24" x14ac:dyDescent="0.2">
      <c r="A122" s="8">
        <v>60</v>
      </c>
      <c r="B122" s="8">
        <v>120</v>
      </c>
      <c r="D122">
        <v>1339.4847303444001</v>
      </c>
      <c r="E122">
        <v>314.89278752437002</v>
      </c>
      <c r="F122">
        <v>134.16005204945</v>
      </c>
      <c r="G122">
        <v>114.95185426155</v>
      </c>
      <c r="I122" s="9">
        <f t="shared" si="8"/>
        <v>199.94093326282001</v>
      </c>
      <c r="J122" s="9">
        <f t="shared" si="9"/>
        <v>1205.32467829495</v>
      </c>
      <c r="K122" s="9">
        <f t="shared" si="10"/>
        <v>199.94093326282001</v>
      </c>
      <c r="L122" s="10">
        <f t="shared" si="7"/>
        <v>0.16588139018746059</v>
      </c>
      <c r="M122" s="10">
        <f t="shared" si="11"/>
        <v>0.17668026162459685</v>
      </c>
      <c r="P122" s="8">
        <f t="shared" si="12"/>
        <v>0.10284676964690947</v>
      </c>
      <c r="X122" s="8">
        <v>-13</v>
      </c>
    </row>
    <row r="123" spans="1:24" x14ac:dyDescent="0.2">
      <c r="A123" s="8">
        <v>60.5</v>
      </c>
      <c r="B123" s="8">
        <v>121</v>
      </c>
      <c r="D123">
        <v>1362.6484730344</v>
      </c>
      <c r="E123">
        <v>320.85834957765002</v>
      </c>
      <c r="F123">
        <v>133.99869876382999</v>
      </c>
      <c r="G123">
        <v>115.20689655172001</v>
      </c>
      <c r="I123" s="9">
        <f t="shared" si="8"/>
        <v>205.65145302593001</v>
      </c>
      <c r="J123" s="9">
        <f t="shared" si="9"/>
        <v>1228.6497742705701</v>
      </c>
      <c r="K123" s="9">
        <f t="shared" si="10"/>
        <v>205.65145302593001</v>
      </c>
      <c r="L123" s="10">
        <f t="shared" si="7"/>
        <v>0.16738004379484139</v>
      </c>
      <c r="M123" s="10">
        <f t="shared" si="11"/>
        <v>0.17826890582728713</v>
      </c>
      <c r="P123" s="8">
        <f t="shared" si="12"/>
        <v>1.0029349047397194</v>
      </c>
      <c r="X123" s="8">
        <v>-13</v>
      </c>
    </row>
    <row r="124" spans="1:24" x14ac:dyDescent="0.2">
      <c r="A124" s="8">
        <v>61</v>
      </c>
      <c r="B124" s="8">
        <v>122</v>
      </c>
      <c r="D124">
        <v>1305.7903331156001</v>
      </c>
      <c r="E124">
        <v>313.12410189419001</v>
      </c>
      <c r="F124">
        <v>133.77944046844999</v>
      </c>
      <c r="G124">
        <v>114.83864671438</v>
      </c>
      <c r="I124" s="9">
        <f t="shared" si="8"/>
        <v>198.28545517981001</v>
      </c>
      <c r="J124" s="9">
        <f t="shared" si="9"/>
        <v>1172.0108926471501</v>
      </c>
      <c r="K124" s="9">
        <f t="shared" si="10"/>
        <v>198.28545517981001</v>
      </c>
      <c r="L124" s="10">
        <f t="shared" si="7"/>
        <v>0.16918396955505649</v>
      </c>
      <c r="M124" s="10">
        <f t="shared" si="11"/>
        <v>0.18016282218281168</v>
      </c>
      <c r="P124" s="8">
        <f t="shared" si="12"/>
        <v>2.0759830029728303</v>
      </c>
      <c r="X124" s="8">
        <v>-13</v>
      </c>
    </row>
    <row r="125" spans="1:24" x14ac:dyDescent="0.2">
      <c r="A125" s="8">
        <v>61.5</v>
      </c>
      <c r="B125" s="8">
        <v>123</v>
      </c>
      <c r="D125">
        <v>1343.5436197916999</v>
      </c>
      <c r="E125">
        <v>317.26236979166998</v>
      </c>
      <c r="F125">
        <v>134.31620039037</v>
      </c>
      <c r="G125">
        <v>114.8477553676</v>
      </c>
      <c r="I125" s="9">
        <f t="shared" si="8"/>
        <v>202.41461442406998</v>
      </c>
      <c r="J125" s="9">
        <f t="shared" si="9"/>
        <v>1209.2274194013298</v>
      </c>
      <c r="K125" s="9">
        <f t="shared" si="10"/>
        <v>202.41461442406998</v>
      </c>
      <c r="L125" s="10">
        <f t="shared" si="7"/>
        <v>0.16739168429068735</v>
      </c>
      <c r="M125" s="10">
        <f t="shared" si="11"/>
        <v>0.17846052751375202</v>
      </c>
      <c r="P125" s="8">
        <f t="shared" si="12"/>
        <v>1.1115032085307386</v>
      </c>
      <c r="X125" s="8">
        <v>-13</v>
      </c>
    </row>
    <row r="126" spans="1:24" x14ac:dyDescent="0.2">
      <c r="A126" s="8">
        <v>62</v>
      </c>
      <c r="B126" s="8">
        <v>124</v>
      </c>
      <c r="D126">
        <v>1340.9661458333001</v>
      </c>
      <c r="E126">
        <v>317.70377604166998</v>
      </c>
      <c r="F126">
        <v>133.76772934287999</v>
      </c>
      <c r="G126">
        <v>114.8022121015</v>
      </c>
      <c r="I126" s="9">
        <f t="shared" si="8"/>
        <v>202.90156394016998</v>
      </c>
      <c r="J126" s="9">
        <f t="shared" si="9"/>
        <v>1207.1984164904202</v>
      </c>
      <c r="K126" s="9">
        <f t="shared" si="10"/>
        <v>202.90156394016998</v>
      </c>
      <c r="L126" s="10">
        <f t="shared" si="7"/>
        <v>0.1680764000089128</v>
      </c>
      <c r="M126" s="10">
        <f t="shared" si="11"/>
        <v>0.17923523382728695</v>
      </c>
      <c r="P126" s="8">
        <f t="shared" si="12"/>
        <v>1.5504334358361596</v>
      </c>
      <c r="X126" s="8">
        <v>-13</v>
      </c>
    </row>
    <row r="127" spans="1:24" x14ac:dyDescent="0.2">
      <c r="A127" s="8">
        <v>62.5</v>
      </c>
      <c r="B127" s="8">
        <v>125</v>
      </c>
      <c r="D127">
        <v>1355.25390625</v>
      </c>
      <c r="E127">
        <v>322.31640625</v>
      </c>
      <c r="F127">
        <v>133.81457384514999</v>
      </c>
      <c r="G127">
        <v>114.96421600521001</v>
      </c>
      <c r="I127" s="9">
        <f t="shared" si="8"/>
        <v>207.35219024478999</v>
      </c>
      <c r="J127" s="9">
        <f t="shared" si="9"/>
        <v>1221.4393324048501</v>
      </c>
      <c r="K127" s="9">
        <f t="shared" si="10"/>
        <v>207.35219024478999</v>
      </c>
      <c r="L127" s="10">
        <f t="shared" si="7"/>
        <v>0.16976053148422965</v>
      </c>
      <c r="M127" s="10">
        <f t="shared" si="11"/>
        <v>0.18100935589791325</v>
      </c>
      <c r="P127" s="8">
        <f t="shared" si="12"/>
        <v>2.5556089328246077</v>
      </c>
      <c r="X127" s="8">
        <v>-13</v>
      </c>
    </row>
    <row r="128" spans="1:24" x14ac:dyDescent="0.2">
      <c r="A128" s="8">
        <v>63</v>
      </c>
      <c r="B128" s="8">
        <v>126</v>
      </c>
      <c r="D128">
        <v>1305.6295572916999</v>
      </c>
      <c r="E128">
        <v>309.76627604166998</v>
      </c>
      <c r="F128">
        <v>133.93038386467001</v>
      </c>
      <c r="G128">
        <v>114.87182823683</v>
      </c>
      <c r="I128" s="9">
        <f t="shared" si="8"/>
        <v>194.89444780483998</v>
      </c>
      <c r="J128" s="9">
        <f t="shared" si="9"/>
        <v>1171.69917342703</v>
      </c>
      <c r="K128" s="9">
        <f t="shared" si="10"/>
        <v>194.89444780483998</v>
      </c>
      <c r="L128" s="10">
        <f t="shared" si="7"/>
        <v>0.16633488545938402</v>
      </c>
      <c r="M128" s="10">
        <f t="shared" si="11"/>
        <v>0.1776737004683771</v>
      </c>
      <c r="P128" s="8">
        <f t="shared" si="12"/>
        <v>0.66570566197325709</v>
      </c>
      <c r="X128" s="8">
        <v>-13</v>
      </c>
    </row>
    <row r="129" spans="1:24" x14ac:dyDescent="0.2">
      <c r="A129" s="8">
        <v>63.5</v>
      </c>
      <c r="B129" s="8">
        <v>127</v>
      </c>
      <c r="D129">
        <v>1334.5520833333001</v>
      </c>
      <c r="E129">
        <v>315.53450520833002</v>
      </c>
      <c r="F129">
        <v>133.95640858816</v>
      </c>
      <c r="G129">
        <v>115.06636304489</v>
      </c>
      <c r="I129" s="9">
        <f t="shared" si="8"/>
        <v>200.46814216344001</v>
      </c>
      <c r="J129" s="9">
        <f t="shared" si="9"/>
        <v>1200.5956747451401</v>
      </c>
      <c r="K129" s="9">
        <f t="shared" si="10"/>
        <v>200.46814216344001</v>
      </c>
      <c r="L129" s="10">
        <f t="shared" si="7"/>
        <v>0.16697390002341544</v>
      </c>
      <c r="M129" s="10">
        <f t="shared" si="11"/>
        <v>0.17840270562771798</v>
      </c>
      <c r="P129" s="8">
        <f t="shared" si="12"/>
        <v>1.0787426989844282</v>
      </c>
      <c r="X129" s="8">
        <v>-13</v>
      </c>
    </row>
    <row r="130" spans="1:24" x14ac:dyDescent="0.2">
      <c r="A130" s="8">
        <v>64</v>
      </c>
      <c r="B130" s="8">
        <v>128</v>
      </c>
      <c r="D130">
        <v>1342.599609375</v>
      </c>
      <c r="E130">
        <v>317.09375</v>
      </c>
      <c r="F130">
        <v>134.20039037084999</v>
      </c>
      <c r="G130">
        <v>115.16265452179999</v>
      </c>
      <c r="I130" s="9">
        <f t="shared" si="8"/>
        <v>201.93109547820001</v>
      </c>
      <c r="J130" s="9">
        <f t="shared" si="9"/>
        <v>1208.3992190041499</v>
      </c>
      <c r="K130" s="9">
        <f t="shared" si="10"/>
        <v>201.93109547820001</v>
      </c>
      <c r="L130" s="10">
        <f t="shared" ref="L130:L193" si="14">K130/J130</f>
        <v>0.16710627771227196</v>
      </c>
      <c r="M130" s="10">
        <f t="shared" si="11"/>
        <v>0.17862507391188398</v>
      </c>
      <c r="P130" s="8">
        <f t="shared" si="12"/>
        <v>1.20473129596531</v>
      </c>
      <c r="X130" s="8">
        <v>-13</v>
      </c>
    </row>
    <row r="131" spans="1:24" x14ac:dyDescent="0.2">
      <c r="A131" s="8">
        <v>64.5</v>
      </c>
      <c r="B131" s="8">
        <v>129</v>
      </c>
      <c r="D131">
        <v>1355.6002604166999</v>
      </c>
      <c r="E131">
        <v>324.08463541666998</v>
      </c>
      <c r="F131">
        <v>134.50813272609</v>
      </c>
      <c r="G131">
        <v>115.40663630448999</v>
      </c>
      <c r="I131" s="9">
        <f t="shared" ref="I131:I194" si="15">E131-G131</f>
        <v>208.67799911217998</v>
      </c>
      <c r="J131" s="9">
        <f t="shared" ref="J131:J194" si="16">D131-F131</f>
        <v>1221.0921276906099</v>
      </c>
      <c r="K131" s="9">
        <f t="shared" ref="K131:K194" si="17">I131*1</f>
        <v>208.67799911217998</v>
      </c>
      <c r="L131" s="10">
        <f t="shared" si="14"/>
        <v>0.17089455773238188</v>
      </c>
      <c r="M131" s="10">
        <f t="shared" ref="M131:M181" si="18">L131+ABS($N$2)*A131</f>
        <v>0.18250334452730335</v>
      </c>
      <c r="P131" s="8">
        <f t="shared" ref="P131:P194" si="19">(M131-$O$2)/$O$2*100</f>
        <v>3.4020674645716058</v>
      </c>
      <c r="X131" s="8">
        <v>-13</v>
      </c>
    </row>
    <row r="132" spans="1:24" x14ac:dyDescent="0.2">
      <c r="A132" s="8">
        <v>65</v>
      </c>
      <c r="B132" s="8">
        <v>130</v>
      </c>
      <c r="D132">
        <v>1351.8984375</v>
      </c>
      <c r="E132">
        <v>322.708984375</v>
      </c>
      <c r="F132">
        <v>134.54847104749999</v>
      </c>
      <c r="G132">
        <v>114.67794404685</v>
      </c>
      <c r="I132" s="9">
        <f t="shared" si="15"/>
        <v>208.03104032815</v>
      </c>
      <c r="J132" s="9">
        <f t="shared" si="16"/>
        <v>1217.3499664525</v>
      </c>
      <c r="K132" s="9">
        <f t="shared" si="17"/>
        <v>208.03104032815</v>
      </c>
      <c r="L132" s="10">
        <f t="shared" si="14"/>
        <v>0.17088844297944719</v>
      </c>
      <c r="M132" s="10">
        <f t="shared" si="18"/>
        <v>0.18258722036967814</v>
      </c>
      <c r="P132" s="8">
        <f t="shared" si="19"/>
        <v>3.4495895279855637</v>
      </c>
      <c r="X132" s="8">
        <v>-13</v>
      </c>
    </row>
    <row r="133" spans="1:24" x14ac:dyDescent="0.2">
      <c r="A133" s="8">
        <v>65.5</v>
      </c>
      <c r="B133" s="8">
        <v>131</v>
      </c>
      <c r="D133">
        <v>1340.5625</v>
      </c>
      <c r="E133">
        <v>320.5625</v>
      </c>
      <c r="F133">
        <v>134.17826935589</v>
      </c>
      <c r="G133">
        <v>114.92257644762999</v>
      </c>
      <c r="I133" s="9">
        <f t="shared" si="15"/>
        <v>205.63992355237002</v>
      </c>
      <c r="J133" s="9">
        <f t="shared" si="16"/>
        <v>1206.3842306441099</v>
      </c>
      <c r="K133" s="9">
        <f t="shared" si="17"/>
        <v>205.63992355237002</v>
      </c>
      <c r="L133" s="10">
        <f t="shared" si="14"/>
        <v>0.17045972446322116</v>
      </c>
      <c r="M133" s="10">
        <f t="shared" si="18"/>
        <v>0.1822484924487616</v>
      </c>
      <c r="P133" s="8">
        <f t="shared" si="19"/>
        <v>3.2576743199576526</v>
      </c>
      <c r="X133" s="8">
        <v>-13</v>
      </c>
    </row>
    <row r="134" spans="1:24" x14ac:dyDescent="0.2">
      <c r="A134" s="8">
        <v>66</v>
      </c>
      <c r="B134" s="8">
        <v>132</v>
      </c>
      <c r="D134">
        <v>1325.0508806262001</v>
      </c>
      <c r="E134">
        <v>315.53033268102001</v>
      </c>
      <c r="F134">
        <v>134.26154847104999</v>
      </c>
      <c r="G134">
        <v>114.88614183474</v>
      </c>
      <c r="I134" s="9">
        <f t="shared" si="15"/>
        <v>200.64419084628003</v>
      </c>
      <c r="J134" s="9">
        <f t="shared" si="16"/>
        <v>1190.7893321551501</v>
      </c>
      <c r="K134" s="9">
        <f t="shared" si="17"/>
        <v>200.64419084628003</v>
      </c>
      <c r="L134" s="10">
        <f t="shared" si="14"/>
        <v>0.16849679907960222</v>
      </c>
      <c r="M134" s="10">
        <f t="shared" si="18"/>
        <v>0.1803755576604521</v>
      </c>
      <c r="P134" s="8">
        <f t="shared" si="19"/>
        <v>2.1965138801907629</v>
      </c>
      <c r="X134" s="8">
        <v>-13</v>
      </c>
    </row>
    <row r="135" spans="1:24" x14ac:dyDescent="0.2">
      <c r="A135" s="8">
        <v>66.5</v>
      </c>
      <c r="B135" s="8">
        <v>133</v>
      </c>
      <c r="D135">
        <v>1294.4272667970999</v>
      </c>
      <c r="E135">
        <v>309.45792563600997</v>
      </c>
      <c r="F135">
        <v>134.30969420950001</v>
      </c>
      <c r="G135">
        <v>115.31099544567</v>
      </c>
      <c r="I135" s="9">
        <f t="shared" si="15"/>
        <v>194.14693019033996</v>
      </c>
      <c r="J135" s="9">
        <f t="shared" si="16"/>
        <v>1160.1175725875999</v>
      </c>
      <c r="K135" s="9">
        <f t="shared" si="17"/>
        <v>194.14693019033996</v>
      </c>
      <c r="L135" s="10">
        <f t="shared" si="14"/>
        <v>0.16735108128506521</v>
      </c>
      <c r="M135" s="10">
        <f t="shared" si="18"/>
        <v>0.17931983046122457</v>
      </c>
      <c r="P135" s="8">
        <f t="shared" si="19"/>
        <v>1.5983638826581053</v>
      </c>
      <c r="X135" s="8">
        <v>-13</v>
      </c>
    </row>
    <row r="136" spans="1:24" x14ac:dyDescent="0.2">
      <c r="A136" s="8">
        <v>67</v>
      </c>
      <c r="B136" s="8">
        <v>134</v>
      </c>
      <c r="D136">
        <v>1314.1637312459</v>
      </c>
      <c r="E136">
        <v>313.28310502283</v>
      </c>
      <c r="F136">
        <v>134.03773584906</v>
      </c>
      <c r="G136">
        <v>114.98373454782001</v>
      </c>
      <c r="I136" s="9">
        <f t="shared" si="15"/>
        <v>198.29937047500999</v>
      </c>
      <c r="J136" s="9">
        <f t="shared" si="16"/>
        <v>1180.1259953968399</v>
      </c>
      <c r="K136" s="9">
        <f t="shared" si="17"/>
        <v>198.29937047500999</v>
      </c>
      <c r="L136" s="10">
        <f t="shared" si="14"/>
        <v>0.16803237217762332</v>
      </c>
      <c r="M136" s="10">
        <f t="shared" si="18"/>
        <v>0.18009111194909214</v>
      </c>
      <c r="P136" s="8">
        <f t="shared" si="19"/>
        <v>2.0353536849503353</v>
      </c>
      <c r="X136" s="8">
        <v>-13</v>
      </c>
    </row>
    <row r="137" spans="1:24" x14ac:dyDescent="0.2">
      <c r="A137" s="8">
        <v>67.5</v>
      </c>
      <c r="B137" s="8">
        <v>135</v>
      </c>
      <c r="D137">
        <v>1316.7031963469999</v>
      </c>
      <c r="E137">
        <v>313.24396607957999</v>
      </c>
      <c r="F137">
        <v>134.45217957059</v>
      </c>
      <c r="G137">
        <v>115.06506180872</v>
      </c>
      <c r="I137" s="9">
        <f t="shared" si="15"/>
        <v>198.17890427085999</v>
      </c>
      <c r="J137" s="9">
        <f t="shared" si="16"/>
        <v>1182.2510167764099</v>
      </c>
      <c r="K137" s="9">
        <f t="shared" si="17"/>
        <v>198.17890427085999</v>
      </c>
      <c r="L137" s="10">
        <f t="shared" si="14"/>
        <v>0.16762844899996399</v>
      </c>
      <c r="M137" s="10">
        <f t="shared" si="18"/>
        <v>0.17977717936674228</v>
      </c>
      <c r="P137" s="8">
        <f t="shared" si="19"/>
        <v>1.85748692780381</v>
      </c>
      <c r="X137" s="8">
        <v>-13</v>
      </c>
    </row>
    <row r="138" spans="1:24" x14ac:dyDescent="0.2">
      <c r="A138" s="8">
        <v>68</v>
      </c>
      <c r="B138" s="8">
        <v>136</v>
      </c>
      <c r="D138">
        <v>1307.0489236791</v>
      </c>
      <c r="E138">
        <v>311.33855185909999</v>
      </c>
      <c r="F138">
        <v>134.70006506180999</v>
      </c>
      <c r="G138">
        <v>115.27781392323</v>
      </c>
      <c r="I138" s="9">
        <f t="shared" si="15"/>
        <v>196.06073793587001</v>
      </c>
      <c r="J138" s="9">
        <f t="shared" si="16"/>
        <v>1172.34885861729</v>
      </c>
      <c r="K138" s="9">
        <f t="shared" si="17"/>
        <v>196.06073793587001</v>
      </c>
      <c r="L138" s="10">
        <f t="shared" si="14"/>
        <v>0.16723753897548127</v>
      </c>
      <c r="M138" s="10">
        <f t="shared" si="18"/>
        <v>0.17947625993756905</v>
      </c>
      <c r="P138" s="8">
        <f t="shared" si="19"/>
        <v>1.6869931146774635</v>
      </c>
      <c r="X138" s="8">
        <v>-13</v>
      </c>
    </row>
    <row r="139" spans="1:24" x14ac:dyDescent="0.2">
      <c r="A139" s="8">
        <v>68.5</v>
      </c>
      <c r="B139" s="8">
        <v>137</v>
      </c>
      <c r="D139">
        <v>1329.7879973907</v>
      </c>
      <c r="E139">
        <v>315.27658186562002</v>
      </c>
      <c r="F139">
        <v>134.96551724138001</v>
      </c>
      <c r="G139">
        <v>114.90761223162001</v>
      </c>
      <c r="I139" s="9">
        <f t="shared" si="15"/>
        <v>200.368969634</v>
      </c>
      <c r="J139" s="9">
        <f t="shared" si="16"/>
        <v>1194.82248014932</v>
      </c>
      <c r="K139" s="9">
        <f t="shared" si="17"/>
        <v>200.368969634</v>
      </c>
      <c r="L139" s="10">
        <f t="shared" si="14"/>
        <v>0.16769768979318114</v>
      </c>
      <c r="M139" s="10">
        <f t="shared" si="18"/>
        <v>0.18002640135057837</v>
      </c>
      <c r="P139" s="8">
        <f t="shared" si="19"/>
        <v>1.998690194259118</v>
      </c>
      <c r="X139" s="8">
        <v>-13</v>
      </c>
    </row>
    <row r="140" spans="1:24" x14ac:dyDescent="0.2">
      <c r="A140" s="8">
        <v>69</v>
      </c>
      <c r="B140" s="8">
        <v>138</v>
      </c>
      <c r="D140">
        <v>1296.6038233355</v>
      </c>
      <c r="E140">
        <v>311.42056690837001</v>
      </c>
      <c r="F140">
        <v>134.50683148991999</v>
      </c>
      <c r="G140">
        <v>115.03643461288</v>
      </c>
      <c r="I140" s="9">
        <f t="shared" si="15"/>
        <v>196.38413229549002</v>
      </c>
      <c r="J140" s="9">
        <f t="shared" si="16"/>
        <v>1162.0969918455801</v>
      </c>
      <c r="K140" s="9">
        <f t="shared" si="17"/>
        <v>196.38413229549002</v>
      </c>
      <c r="L140" s="10">
        <f t="shared" si="14"/>
        <v>0.1689911717124431</v>
      </c>
      <c r="M140" s="10">
        <f t="shared" si="18"/>
        <v>0.18140987386514981</v>
      </c>
      <c r="P140" s="8">
        <f t="shared" si="19"/>
        <v>2.7825329159232948</v>
      </c>
      <c r="X140" s="8">
        <v>-13</v>
      </c>
    </row>
    <row r="141" spans="1:24" x14ac:dyDescent="0.2">
      <c r="A141" s="8">
        <v>69.5</v>
      </c>
      <c r="B141" s="8">
        <v>139</v>
      </c>
      <c r="D141">
        <v>1289.9255108766999</v>
      </c>
      <c r="E141">
        <v>311.92617007250999</v>
      </c>
      <c r="F141">
        <v>134.87247885491001</v>
      </c>
      <c r="G141">
        <v>115.53155497723</v>
      </c>
      <c r="I141" s="9">
        <f t="shared" si="15"/>
        <v>196.39461509527999</v>
      </c>
      <c r="J141" s="9">
        <f t="shared" si="16"/>
        <v>1155.0530320217899</v>
      </c>
      <c r="K141" s="9">
        <f t="shared" si="17"/>
        <v>196.39461509527999</v>
      </c>
      <c r="L141" s="10">
        <f t="shared" si="14"/>
        <v>0.17003082079401444</v>
      </c>
      <c r="M141" s="10">
        <f t="shared" si="18"/>
        <v>0.1825395135420306</v>
      </c>
      <c r="P141" s="8">
        <f t="shared" si="19"/>
        <v>3.4225599706713754</v>
      </c>
      <c r="X141" s="8">
        <v>-13</v>
      </c>
    </row>
    <row r="142" spans="1:24" x14ac:dyDescent="0.2">
      <c r="A142" s="8">
        <v>70</v>
      </c>
      <c r="B142" s="8">
        <v>140</v>
      </c>
      <c r="D142">
        <v>1337.0796052631999</v>
      </c>
      <c r="E142">
        <v>316.18815789474002</v>
      </c>
      <c r="F142">
        <v>134.8223812622</v>
      </c>
      <c r="G142">
        <v>115.36304489265</v>
      </c>
      <c r="I142" s="9">
        <f t="shared" si="15"/>
        <v>200.82511300209001</v>
      </c>
      <c r="J142" s="9">
        <f t="shared" si="16"/>
        <v>1202.2572240009999</v>
      </c>
      <c r="K142" s="9">
        <f t="shared" si="17"/>
        <v>200.82511300209001</v>
      </c>
      <c r="L142" s="10">
        <f t="shared" si="14"/>
        <v>0.16704005515039683</v>
      </c>
      <c r="M142" s="10">
        <f t="shared" si="18"/>
        <v>0.17963873849372247</v>
      </c>
      <c r="P142" s="8">
        <f t="shared" si="19"/>
        <v>1.7790496118799515</v>
      </c>
      <c r="X142" s="8">
        <v>-13</v>
      </c>
    </row>
    <row r="143" spans="1:24" x14ac:dyDescent="0.2">
      <c r="A143" s="8">
        <v>70.5</v>
      </c>
      <c r="B143" s="8">
        <v>141</v>
      </c>
      <c r="D143">
        <v>1330.4394736842</v>
      </c>
      <c r="E143">
        <v>311.05657894736999</v>
      </c>
      <c r="F143">
        <v>134.90435914118001</v>
      </c>
      <c r="G143">
        <v>115.10540013012</v>
      </c>
      <c r="I143" s="9">
        <f t="shared" si="15"/>
        <v>195.95117881724997</v>
      </c>
      <c r="J143" s="9">
        <f t="shared" si="16"/>
        <v>1195.53511454302</v>
      </c>
      <c r="K143" s="9">
        <f t="shared" si="17"/>
        <v>195.95117881724997</v>
      </c>
      <c r="L143" s="10">
        <f t="shared" si="14"/>
        <v>0.1639024872072872</v>
      </c>
      <c r="M143" s="10">
        <f t="shared" si="18"/>
        <v>0.17659116114592233</v>
      </c>
      <c r="P143" s="8">
        <f t="shared" si="19"/>
        <v>5.2364551192822156E-2</v>
      </c>
      <c r="X143" s="8">
        <v>-13</v>
      </c>
    </row>
    <row r="144" spans="1:24" x14ac:dyDescent="0.2">
      <c r="A144" s="8">
        <v>71</v>
      </c>
      <c r="B144" s="8">
        <v>142</v>
      </c>
      <c r="D144">
        <v>1295.1269736842</v>
      </c>
      <c r="E144">
        <v>305.82171052631998</v>
      </c>
      <c r="F144">
        <v>134.62719583603999</v>
      </c>
      <c r="G144">
        <v>115.09173715029</v>
      </c>
      <c r="I144" s="9">
        <f t="shared" si="15"/>
        <v>190.72997337602999</v>
      </c>
      <c r="J144" s="9">
        <f t="shared" si="16"/>
        <v>1160.49977784816</v>
      </c>
      <c r="K144" s="9">
        <f t="shared" si="17"/>
        <v>190.72997337602999</v>
      </c>
      <c r="L144" s="10">
        <f t="shared" si="14"/>
        <v>0.16435158111765286</v>
      </c>
      <c r="M144" s="10">
        <f t="shared" si="18"/>
        <v>0.17713024565159743</v>
      </c>
      <c r="P144" s="8">
        <f t="shared" si="19"/>
        <v>0.35779704926182843</v>
      </c>
    </row>
    <row r="145" spans="1:16" x14ac:dyDescent="0.2">
      <c r="A145" s="8">
        <v>71.5</v>
      </c>
      <c r="B145" s="8">
        <v>143</v>
      </c>
      <c r="D145">
        <v>1338.318869165</v>
      </c>
      <c r="E145">
        <v>313.61867192635998</v>
      </c>
      <c r="F145">
        <v>134.6597267404</v>
      </c>
      <c r="G145">
        <v>115.2335718933</v>
      </c>
      <c r="I145" s="9">
        <f t="shared" si="15"/>
        <v>198.38510003305998</v>
      </c>
      <c r="J145" s="9">
        <f t="shared" si="16"/>
        <v>1203.6591424246001</v>
      </c>
      <c r="K145" s="9">
        <f t="shared" si="17"/>
        <v>198.38510003305998</v>
      </c>
      <c r="L145" s="10">
        <f t="shared" si="14"/>
        <v>0.16481833854843775</v>
      </c>
      <c r="M145" s="10">
        <f t="shared" si="18"/>
        <v>0.17768699367769181</v>
      </c>
      <c r="P145" s="8">
        <f t="shared" si="19"/>
        <v>0.67323727916054565</v>
      </c>
    </row>
    <row r="146" spans="1:16" x14ac:dyDescent="0.2">
      <c r="A146" s="8">
        <v>72</v>
      </c>
      <c r="B146" s="8">
        <v>144</v>
      </c>
      <c r="D146">
        <v>1348.8974358974001</v>
      </c>
      <c r="E146">
        <v>316.57725180801998</v>
      </c>
      <c r="F146">
        <v>134.67599219258</v>
      </c>
      <c r="G146">
        <v>114.88484059856999</v>
      </c>
      <c r="I146" s="9">
        <f t="shared" si="15"/>
        <v>201.69241120944997</v>
      </c>
      <c r="J146" s="9">
        <f t="shared" si="16"/>
        <v>1214.2214437048201</v>
      </c>
      <c r="K146" s="9">
        <f t="shared" si="17"/>
        <v>201.69241120944997</v>
      </c>
      <c r="L146" s="10">
        <f t="shared" si="14"/>
        <v>0.16610842466597209</v>
      </c>
      <c r="M146" s="10">
        <f t="shared" si="18"/>
        <v>0.1790670703905356</v>
      </c>
      <c r="P146" s="8">
        <f t="shared" si="19"/>
        <v>1.4551560200875591</v>
      </c>
    </row>
    <row r="147" spans="1:16" x14ac:dyDescent="0.2">
      <c r="A147" s="8">
        <v>72.5</v>
      </c>
      <c r="B147" s="8">
        <v>145</v>
      </c>
      <c r="D147">
        <v>1351.2952005259999</v>
      </c>
      <c r="E147">
        <v>317.65154503615997</v>
      </c>
      <c r="F147">
        <v>135.13207547170001</v>
      </c>
      <c r="G147">
        <v>115.34417696812</v>
      </c>
      <c r="I147" s="9">
        <f t="shared" si="15"/>
        <v>202.30736806803998</v>
      </c>
      <c r="J147" s="9">
        <f t="shared" si="16"/>
        <v>1216.1631250542998</v>
      </c>
      <c r="K147" s="9">
        <f t="shared" si="17"/>
        <v>202.30736806803998</v>
      </c>
      <c r="L147" s="10">
        <f t="shared" si="14"/>
        <v>0.16634887532789425</v>
      </c>
      <c r="M147" s="10">
        <f t="shared" si="18"/>
        <v>0.17939751164776724</v>
      </c>
      <c r="P147" s="8">
        <f t="shared" si="19"/>
        <v>1.6423762009661189</v>
      </c>
    </row>
    <row r="148" spans="1:16" x14ac:dyDescent="0.2">
      <c r="A148" s="8">
        <v>73</v>
      </c>
      <c r="B148" s="8">
        <v>146</v>
      </c>
      <c r="D148">
        <v>1343.0046022353999</v>
      </c>
      <c r="E148">
        <v>315.06969099277001</v>
      </c>
      <c r="F148">
        <v>134.44502277162999</v>
      </c>
      <c r="G148">
        <v>115.20429407938001</v>
      </c>
      <c r="I148" s="9">
        <f t="shared" si="15"/>
        <v>199.86539691338999</v>
      </c>
      <c r="J148" s="9">
        <f t="shared" si="16"/>
        <v>1208.55957946377</v>
      </c>
      <c r="K148" s="9">
        <f t="shared" si="17"/>
        <v>199.86539691338999</v>
      </c>
      <c r="L148" s="10">
        <f t="shared" si="14"/>
        <v>0.16537488123015745</v>
      </c>
      <c r="M148" s="10">
        <f t="shared" si="18"/>
        <v>0.17851350814533989</v>
      </c>
      <c r="P148" s="8">
        <f t="shared" si="19"/>
        <v>1.1415207781043488</v>
      </c>
    </row>
    <row r="149" spans="1:16" x14ac:dyDescent="0.2">
      <c r="A149" s="8">
        <v>73.5</v>
      </c>
      <c r="B149" s="8">
        <v>147</v>
      </c>
      <c r="D149">
        <v>1343.9743589744</v>
      </c>
      <c r="E149">
        <v>315.40762656147001</v>
      </c>
      <c r="F149">
        <v>134.62784645413001</v>
      </c>
      <c r="G149">
        <v>115.07677293429001</v>
      </c>
      <c r="I149" s="9">
        <f t="shared" si="15"/>
        <v>200.33085362718001</v>
      </c>
      <c r="J149" s="9">
        <f t="shared" si="16"/>
        <v>1209.3465125202702</v>
      </c>
      <c r="K149" s="9">
        <f t="shared" si="17"/>
        <v>200.33085362718001</v>
      </c>
      <c r="L149" s="10">
        <f t="shared" si="14"/>
        <v>0.16565215308695258</v>
      </c>
      <c r="M149" s="10">
        <f t="shared" si="18"/>
        <v>0.17888077059744451</v>
      </c>
      <c r="P149" s="8">
        <f t="shared" si="19"/>
        <v>1.3496029748886584</v>
      </c>
    </row>
    <row r="150" spans="1:16" x14ac:dyDescent="0.2">
      <c r="A150" s="8">
        <v>74</v>
      </c>
      <c r="B150" s="8">
        <v>148</v>
      </c>
      <c r="D150">
        <v>1319.1723910172</v>
      </c>
      <c r="E150">
        <v>313.65918097754002</v>
      </c>
      <c r="F150">
        <v>134.39427456083001</v>
      </c>
      <c r="G150">
        <v>115.2134027326</v>
      </c>
      <c r="I150" s="9">
        <f t="shared" si="15"/>
        <v>198.44577824494002</v>
      </c>
      <c r="J150" s="9">
        <f t="shared" si="16"/>
        <v>1184.7781164563698</v>
      </c>
      <c r="K150" s="9">
        <f t="shared" si="17"/>
        <v>198.44577824494002</v>
      </c>
      <c r="L150" s="10">
        <f t="shared" si="14"/>
        <v>0.16749615433350881</v>
      </c>
      <c r="M150" s="10">
        <f t="shared" si="18"/>
        <v>0.18081476243931022</v>
      </c>
      <c r="P150" s="8">
        <f t="shared" si="19"/>
        <v>2.4453568934071859</v>
      </c>
    </row>
    <row r="151" spans="1:16" x14ac:dyDescent="0.2">
      <c r="A151" s="8">
        <v>74.5</v>
      </c>
      <c r="B151" s="8">
        <v>149</v>
      </c>
      <c r="D151">
        <v>1298.9266842801001</v>
      </c>
      <c r="E151">
        <v>307.59511228534001</v>
      </c>
      <c r="F151">
        <v>134.91021470397001</v>
      </c>
      <c r="G151">
        <v>115.16395575797</v>
      </c>
      <c r="I151" s="9">
        <f t="shared" si="15"/>
        <v>192.43115652737001</v>
      </c>
      <c r="J151" s="9">
        <f t="shared" si="16"/>
        <v>1164.01646957613</v>
      </c>
      <c r="K151" s="9">
        <f t="shared" si="17"/>
        <v>192.43115652737001</v>
      </c>
      <c r="L151" s="10">
        <f t="shared" si="14"/>
        <v>0.16531652391262361</v>
      </c>
      <c r="M151" s="10">
        <f t="shared" si="18"/>
        <v>0.17872512261373447</v>
      </c>
      <c r="P151" s="8">
        <f t="shared" si="19"/>
        <v>1.2614165180651111</v>
      </c>
    </row>
    <row r="152" spans="1:16" x14ac:dyDescent="0.2">
      <c r="A152" s="8">
        <v>75</v>
      </c>
      <c r="B152" s="8">
        <v>150</v>
      </c>
      <c r="D152">
        <v>1340.2244224422</v>
      </c>
      <c r="E152">
        <v>315.09240924092001</v>
      </c>
      <c r="F152">
        <v>134.82693558880999</v>
      </c>
      <c r="G152">
        <v>115.30253741054</v>
      </c>
      <c r="I152" s="9">
        <f t="shared" si="15"/>
        <v>199.78987183038001</v>
      </c>
      <c r="J152" s="9">
        <f t="shared" si="16"/>
        <v>1205.3974868533901</v>
      </c>
      <c r="K152" s="9">
        <f t="shared" si="17"/>
        <v>199.78987183038001</v>
      </c>
      <c r="L152" s="10">
        <f t="shared" si="14"/>
        <v>0.16574604975485568</v>
      </c>
      <c r="M152" s="10">
        <f t="shared" si="18"/>
        <v>0.17924463905127602</v>
      </c>
      <c r="P152" s="8">
        <f t="shared" si="19"/>
        <v>1.5557622127303905</v>
      </c>
    </row>
    <row r="153" spans="1:16" x14ac:dyDescent="0.2">
      <c r="A153" s="8">
        <v>75.5</v>
      </c>
      <c r="B153" s="8">
        <v>151</v>
      </c>
      <c r="D153">
        <v>1357.603960396</v>
      </c>
      <c r="E153">
        <v>318.90759075907999</v>
      </c>
      <c r="F153">
        <v>135.37475601822001</v>
      </c>
      <c r="G153">
        <v>115.42290175667</v>
      </c>
      <c r="I153" s="9">
        <f t="shared" si="15"/>
        <v>203.48468900240999</v>
      </c>
      <c r="J153" s="9">
        <f t="shared" si="16"/>
        <v>1222.22920437778</v>
      </c>
      <c r="K153" s="9">
        <f t="shared" si="17"/>
        <v>203.48468900240999</v>
      </c>
      <c r="L153" s="10">
        <f t="shared" si="14"/>
        <v>0.16648652173714115</v>
      </c>
      <c r="M153" s="10">
        <f t="shared" si="18"/>
        <v>0.18007510162887094</v>
      </c>
      <c r="P153" s="8">
        <f t="shared" si="19"/>
        <v>2.026282617151939</v>
      </c>
    </row>
    <row r="154" spans="1:16" x14ac:dyDescent="0.2">
      <c r="A154" s="8">
        <v>76</v>
      </c>
      <c r="B154" s="8">
        <v>152</v>
      </c>
      <c r="D154">
        <v>1337.8785478548</v>
      </c>
      <c r="E154">
        <v>312.15511551154998</v>
      </c>
      <c r="F154">
        <v>135.13337670787001</v>
      </c>
      <c r="G154">
        <v>115.24918672739</v>
      </c>
      <c r="I154" s="9">
        <f t="shared" si="15"/>
        <v>196.90592878415998</v>
      </c>
      <c r="J154" s="9">
        <f t="shared" si="16"/>
        <v>1202.74517114693</v>
      </c>
      <c r="K154" s="9">
        <f t="shared" si="17"/>
        <v>196.90592878415998</v>
      </c>
      <c r="L154" s="10">
        <f t="shared" si="14"/>
        <v>0.16371375542201658</v>
      </c>
      <c r="M154" s="10">
        <f t="shared" si="18"/>
        <v>0.17739232590905585</v>
      </c>
      <c r="P154" s="8">
        <f t="shared" si="19"/>
        <v>0.50628550865437916</v>
      </c>
    </row>
    <row r="155" spans="1:16" x14ac:dyDescent="0.2">
      <c r="A155" s="8">
        <v>76.5</v>
      </c>
      <c r="B155" s="8">
        <v>153</v>
      </c>
      <c r="D155">
        <v>1332.4323432343001</v>
      </c>
      <c r="E155">
        <v>312.34851485148999</v>
      </c>
      <c r="F155">
        <v>134.84840598568999</v>
      </c>
      <c r="G155">
        <v>115.59856864021</v>
      </c>
      <c r="I155" s="9">
        <f t="shared" si="15"/>
        <v>196.74994621127999</v>
      </c>
      <c r="J155" s="9">
        <f t="shared" si="16"/>
        <v>1197.58393724861</v>
      </c>
      <c r="K155" s="9">
        <f t="shared" si="17"/>
        <v>196.74994621127999</v>
      </c>
      <c r="L155" s="10">
        <f t="shared" si="14"/>
        <v>0.1642890657529219</v>
      </c>
      <c r="M155" s="10">
        <f t="shared" si="18"/>
        <v>0.17805762683527065</v>
      </c>
      <c r="P155" s="8">
        <f t="shared" si="19"/>
        <v>0.88322923773992246</v>
      </c>
    </row>
    <row r="156" spans="1:16" x14ac:dyDescent="0.2">
      <c r="A156" s="8">
        <v>77</v>
      </c>
      <c r="B156" s="8">
        <v>154</v>
      </c>
      <c r="D156">
        <v>1358.6176664469001</v>
      </c>
      <c r="E156">
        <v>318.72775214238999</v>
      </c>
      <c r="F156">
        <v>135.27846454131</v>
      </c>
      <c r="G156">
        <v>115.47950553024999</v>
      </c>
      <c r="I156" s="9">
        <f t="shared" si="15"/>
        <v>203.24824661214001</v>
      </c>
      <c r="J156" s="9">
        <f t="shared" si="16"/>
        <v>1223.33920190559</v>
      </c>
      <c r="K156" s="9">
        <f t="shared" si="17"/>
        <v>203.24824661214001</v>
      </c>
      <c r="L156" s="10">
        <f t="shared" si="14"/>
        <v>0.16614218386490118</v>
      </c>
      <c r="M156" s="10">
        <f t="shared" si="18"/>
        <v>0.18000073554255938</v>
      </c>
      <c r="P156" s="8">
        <f t="shared" si="19"/>
        <v>1.9841485560267533</v>
      </c>
    </row>
    <row r="157" spans="1:16" x14ac:dyDescent="0.2">
      <c r="A157" s="8">
        <v>77.5</v>
      </c>
      <c r="B157" s="8">
        <v>155</v>
      </c>
      <c r="D157">
        <v>1367.7916941332001</v>
      </c>
      <c r="E157">
        <v>323.61700725115003</v>
      </c>
      <c r="F157">
        <v>134.67989590111</v>
      </c>
      <c r="G157">
        <v>115.46389069615999</v>
      </c>
      <c r="I157" s="9">
        <f t="shared" si="15"/>
        <v>208.15311655499005</v>
      </c>
      <c r="J157" s="9">
        <f t="shared" si="16"/>
        <v>1233.11179823209</v>
      </c>
      <c r="K157" s="9">
        <f t="shared" si="17"/>
        <v>208.15311655499005</v>
      </c>
      <c r="L157" s="10">
        <f t="shared" si="14"/>
        <v>0.16880311813853274</v>
      </c>
      <c r="M157" s="10">
        <f t="shared" si="18"/>
        <v>0.18275166041150043</v>
      </c>
      <c r="P157" s="8">
        <f t="shared" si="19"/>
        <v>3.5427573564570083</v>
      </c>
    </row>
    <row r="158" spans="1:16" x14ac:dyDescent="0.2">
      <c r="A158" s="8">
        <v>78</v>
      </c>
      <c r="B158" s="8">
        <v>156</v>
      </c>
      <c r="D158">
        <v>1324.8116415958</v>
      </c>
      <c r="E158">
        <v>314.64224983649001</v>
      </c>
      <c r="F158">
        <v>134.36890045543001</v>
      </c>
      <c r="G158">
        <v>115.46193884189999</v>
      </c>
      <c r="I158" s="9">
        <f t="shared" si="15"/>
        <v>199.18031099459</v>
      </c>
      <c r="J158" s="9">
        <f t="shared" si="16"/>
        <v>1190.4427411403699</v>
      </c>
      <c r="K158" s="9">
        <f t="shared" si="17"/>
        <v>199.18031099459</v>
      </c>
      <c r="L158" s="10">
        <f t="shared" si="14"/>
        <v>0.16731616239163899</v>
      </c>
      <c r="M158" s="10">
        <f t="shared" si="18"/>
        <v>0.18135469525991613</v>
      </c>
      <c r="P158" s="8">
        <f t="shared" si="19"/>
        <v>2.7512700266006229</v>
      </c>
    </row>
    <row r="159" spans="1:16" x14ac:dyDescent="0.2">
      <c r="A159" s="8">
        <v>78.5</v>
      </c>
      <c r="B159" s="8">
        <v>157</v>
      </c>
      <c r="D159">
        <v>1310.4074558535001</v>
      </c>
      <c r="E159">
        <v>310.31850882930001</v>
      </c>
      <c r="F159">
        <v>135.16135328562001</v>
      </c>
      <c r="G159">
        <v>115.39427456083</v>
      </c>
      <c r="I159" s="9">
        <f t="shared" si="15"/>
        <v>194.92423426847</v>
      </c>
      <c r="J159" s="9">
        <f t="shared" si="16"/>
        <v>1175.2461025678801</v>
      </c>
      <c r="K159" s="9">
        <f t="shared" si="17"/>
        <v>194.92423426847</v>
      </c>
      <c r="L159" s="10">
        <f t="shared" si="14"/>
        <v>0.1658582264961917</v>
      </c>
      <c r="M159" s="10">
        <f t="shared" si="18"/>
        <v>0.17998674995977831</v>
      </c>
      <c r="P159" s="8">
        <f t="shared" si="19"/>
        <v>1.9762246564510775</v>
      </c>
    </row>
    <row r="160" spans="1:16" x14ac:dyDescent="0.2">
      <c r="A160" s="8">
        <v>79</v>
      </c>
      <c r="B160" s="8">
        <v>158</v>
      </c>
      <c r="D160">
        <v>1322.0889470242</v>
      </c>
      <c r="E160">
        <v>315.47155003270001</v>
      </c>
      <c r="F160">
        <v>134.92062459336</v>
      </c>
      <c r="G160">
        <v>115.21730644112</v>
      </c>
      <c r="I160" s="9">
        <f t="shared" si="15"/>
        <v>200.25424359158001</v>
      </c>
      <c r="J160" s="9">
        <f t="shared" si="16"/>
        <v>1187.1683224308399</v>
      </c>
      <c r="K160" s="9">
        <f t="shared" si="17"/>
        <v>200.25424359158001</v>
      </c>
      <c r="L160" s="10">
        <f t="shared" si="14"/>
        <v>0.16868226670801023</v>
      </c>
      <c r="M160" s="10">
        <f t="shared" si="18"/>
        <v>0.1829007807669063</v>
      </c>
      <c r="P160" s="8">
        <f t="shared" si="19"/>
        <v>3.6272454138674428</v>
      </c>
    </row>
    <row r="161" spans="1:16" x14ac:dyDescent="0.2">
      <c r="A161" s="8">
        <v>79.5</v>
      </c>
      <c r="B161" s="8">
        <v>159</v>
      </c>
      <c r="D161">
        <v>1320.5310660563</v>
      </c>
      <c r="E161">
        <v>313.89731850882998</v>
      </c>
      <c r="F161">
        <v>134.95770982433001</v>
      </c>
      <c r="G161">
        <v>115.53741054001</v>
      </c>
      <c r="I161" s="9">
        <f t="shared" si="15"/>
        <v>198.35990796881998</v>
      </c>
      <c r="J161" s="9">
        <f t="shared" si="16"/>
        <v>1185.5733562319699</v>
      </c>
      <c r="K161" s="9">
        <f t="shared" si="17"/>
        <v>198.35990796881998</v>
      </c>
      <c r="L161" s="10">
        <f t="shared" si="14"/>
        <v>0.16731137464091997</v>
      </c>
      <c r="M161" s="10">
        <f t="shared" si="18"/>
        <v>0.18161987929512552</v>
      </c>
      <c r="P161" s="8">
        <f t="shared" si="19"/>
        <v>2.9015170128696699</v>
      </c>
    </row>
    <row r="162" spans="1:16" x14ac:dyDescent="0.2">
      <c r="A162" s="8">
        <v>80</v>
      </c>
      <c r="B162" s="4">
        <v>160</v>
      </c>
      <c r="C162" s="4" t="s">
        <v>6</v>
      </c>
      <c r="D162">
        <v>1310.4179202093001</v>
      </c>
      <c r="E162">
        <v>310.90909090909003</v>
      </c>
      <c r="F162">
        <v>134.88679245283001</v>
      </c>
      <c r="G162">
        <v>115.43786597267</v>
      </c>
      <c r="H162" s="4"/>
      <c r="I162" s="5">
        <f t="shared" si="15"/>
        <v>195.47122493642001</v>
      </c>
      <c r="J162" s="5">
        <f t="shared" si="16"/>
        <v>1175.5311277564701</v>
      </c>
      <c r="K162" s="9">
        <f t="shared" si="17"/>
        <v>195.47122493642001</v>
      </c>
      <c r="L162" s="6">
        <f t="shared" si="14"/>
        <v>0.16628332531651596</v>
      </c>
      <c r="M162" s="6">
        <f t="shared" si="18"/>
        <v>0.18068182056603099</v>
      </c>
      <c r="N162" s="4"/>
      <c r="O162" s="4"/>
      <c r="P162" s="4">
        <f t="shared" si="19"/>
        <v>2.3700351803433004</v>
      </c>
    </row>
    <row r="163" spans="1:16" x14ac:dyDescent="0.2">
      <c r="A163" s="8">
        <v>80.5</v>
      </c>
      <c r="B163" s="8">
        <v>161</v>
      </c>
      <c r="D163">
        <v>1264.2164813603999</v>
      </c>
      <c r="E163">
        <v>301.49901896665</v>
      </c>
      <c r="F163">
        <v>135.12752114508999</v>
      </c>
      <c r="G163">
        <v>115.37670787248</v>
      </c>
      <c r="I163" s="9">
        <f t="shared" si="15"/>
        <v>186.12231109417002</v>
      </c>
      <c r="J163" s="9">
        <f t="shared" si="16"/>
        <v>1129.08896021531</v>
      </c>
      <c r="K163" s="9">
        <f t="shared" si="17"/>
        <v>186.12231109417002</v>
      </c>
      <c r="L163" s="10">
        <f t="shared" si="14"/>
        <v>0.16484291110124547</v>
      </c>
      <c r="M163" s="10">
        <f t="shared" si="18"/>
        <v>0.17933139694606995</v>
      </c>
      <c r="P163" s="8">
        <f t="shared" si="19"/>
        <v>1.6049171787054042</v>
      </c>
    </row>
    <row r="164" spans="1:16" x14ac:dyDescent="0.2">
      <c r="A164" s="8">
        <v>81</v>
      </c>
      <c r="B164" s="8">
        <v>162</v>
      </c>
      <c r="D164">
        <v>1317.8698495748999</v>
      </c>
      <c r="E164">
        <v>313.64159581425997</v>
      </c>
      <c r="F164">
        <v>135.04749512036</v>
      </c>
      <c r="G164">
        <v>115.48015614834</v>
      </c>
      <c r="I164" s="9">
        <f t="shared" si="15"/>
        <v>198.16143966591997</v>
      </c>
      <c r="J164" s="9">
        <f t="shared" si="16"/>
        <v>1182.8223544545399</v>
      </c>
      <c r="K164" s="9">
        <f t="shared" si="17"/>
        <v>198.16143966591997</v>
      </c>
      <c r="L164" s="10">
        <f t="shared" si="14"/>
        <v>0.16753271437561085</v>
      </c>
      <c r="M164" s="10">
        <f t="shared" si="18"/>
        <v>0.18211119081574481</v>
      </c>
      <c r="P164" s="8">
        <f t="shared" si="19"/>
        <v>3.1798824704056936</v>
      </c>
    </row>
    <row r="165" spans="1:16" x14ac:dyDescent="0.2">
      <c r="A165" s="8">
        <v>81.5</v>
      </c>
      <c r="B165" s="8">
        <v>163</v>
      </c>
      <c r="D165">
        <v>1324.5892740352999</v>
      </c>
      <c r="E165">
        <v>314.46108567690999</v>
      </c>
      <c r="F165">
        <v>135.67208848406</v>
      </c>
      <c r="G165">
        <v>115.27456083279</v>
      </c>
      <c r="I165" s="9">
        <f t="shared" si="15"/>
        <v>199.18652484411999</v>
      </c>
      <c r="J165" s="9">
        <f t="shared" si="16"/>
        <v>1188.91718555124</v>
      </c>
      <c r="K165" s="9">
        <f t="shared" si="17"/>
        <v>199.18652484411999</v>
      </c>
      <c r="L165" s="10">
        <f t="shared" si="14"/>
        <v>0.16753608011122104</v>
      </c>
      <c r="M165" s="10">
        <f t="shared" si="18"/>
        <v>0.18220454714666445</v>
      </c>
      <c r="P165" s="8">
        <f t="shared" si="19"/>
        <v>3.2327759538265055</v>
      </c>
    </row>
    <row r="166" spans="1:16" x14ac:dyDescent="0.2">
      <c r="A166" s="8">
        <v>82</v>
      </c>
      <c r="B166" s="8">
        <v>164</v>
      </c>
      <c r="D166">
        <v>1323.0954872466</v>
      </c>
      <c r="E166">
        <v>314.69522563766998</v>
      </c>
      <c r="F166">
        <v>134.89394925178999</v>
      </c>
      <c r="G166">
        <v>115.50162654522001</v>
      </c>
      <c r="I166" s="9">
        <f t="shared" si="15"/>
        <v>199.19359909244997</v>
      </c>
      <c r="J166" s="9">
        <f t="shared" si="16"/>
        <v>1188.20153799481</v>
      </c>
      <c r="K166" s="9">
        <f t="shared" si="17"/>
        <v>199.19359909244997</v>
      </c>
      <c r="L166" s="10">
        <f t="shared" si="14"/>
        <v>0.16764293995832216</v>
      </c>
      <c r="M166" s="10">
        <f t="shared" si="18"/>
        <v>0.18240139758907506</v>
      </c>
      <c r="P166" s="8">
        <f t="shared" si="19"/>
        <v>3.3443067467513834</v>
      </c>
    </row>
    <row r="167" spans="1:16" x14ac:dyDescent="0.2">
      <c r="A167" s="8">
        <v>82.5</v>
      </c>
      <c r="B167" s="8">
        <v>165</v>
      </c>
      <c r="D167">
        <v>1318.0750163078999</v>
      </c>
      <c r="E167">
        <v>312.72407045009999</v>
      </c>
      <c r="F167">
        <v>135.4821080026</v>
      </c>
      <c r="G167">
        <v>115.11255692908</v>
      </c>
      <c r="I167" s="9">
        <f t="shared" si="15"/>
        <v>197.61151352101999</v>
      </c>
      <c r="J167" s="9">
        <f t="shared" si="16"/>
        <v>1182.5929083052999</v>
      </c>
      <c r="K167" s="9">
        <f t="shared" si="17"/>
        <v>197.61151352101999</v>
      </c>
      <c r="L167" s="10">
        <f t="shared" si="14"/>
        <v>0.16710020171202</v>
      </c>
      <c r="M167" s="10">
        <f t="shared" si="18"/>
        <v>0.18194864993808235</v>
      </c>
      <c r="P167" s="8">
        <f t="shared" si="19"/>
        <v>3.0877906633139616</v>
      </c>
    </row>
    <row r="168" spans="1:16" x14ac:dyDescent="0.2">
      <c r="A168" s="8">
        <v>83</v>
      </c>
      <c r="B168" s="8">
        <v>166</v>
      </c>
      <c r="D168">
        <v>1362.6231979029999</v>
      </c>
      <c r="E168">
        <v>316.83748361729999</v>
      </c>
      <c r="F168">
        <v>135.35914118413001</v>
      </c>
      <c r="G168">
        <v>115.24983734548</v>
      </c>
      <c r="I168" s="9">
        <f t="shared" si="15"/>
        <v>201.58764627182001</v>
      </c>
      <c r="J168" s="9">
        <f t="shared" si="16"/>
        <v>1227.2640567188698</v>
      </c>
      <c r="K168" s="9">
        <f t="shared" si="17"/>
        <v>201.58764627182001</v>
      </c>
      <c r="L168" s="10">
        <f t="shared" si="14"/>
        <v>0.16425776112988358</v>
      </c>
      <c r="M168" s="10">
        <f t="shared" si="18"/>
        <v>0.17919619995125541</v>
      </c>
      <c r="P168" s="8">
        <f t="shared" si="19"/>
        <v>1.5283177672533632</v>
      </c>
    </row>
    <row r="169" spans="1:16" x14ac:dyDescent="0.2">
      <c r="A169" s="8">
        <v>83.5</v>
      </c>
      <c r="B169" s="8">
        <v>167</v>
      </c>
      <c r="D169">
        <v>1324.9862385321001</v>
      </c>
      <c r="E169">
        <v>312.14875491481001</v>
      </c>
      <c r="F169">
        <v>135.17501626545001</v>
      </c>
      <c r="G169">
        <v>115.67338972023001</v>
      </c>
      <c r="I169" s="9">
        <f t="shared" si="15"/>
        <v>196.47536519458001</v>
      </c>
      <c r="J169" s="9">
        <f t="shared" si="16"/>
        <v>1189.81122226665</v>
      </c>
      <c r="K169" s="9">
        <f t="shared" si="17"/>
        <v>196.47536519458001</v>
      </c>
      <c r="L169" s="10">
        <f t="shared" si="14"/>
        <v>0.16513154483472142</v>
      </c>
      <c r="M169" s="10">
        <f t="shared" si="18"/>
        <v>0.18015997425140273</v>
      </c>
      <c r="P169" s="8">
        <f t="shared" si="19"/>
        <v>2.0743694325670634</v>
      </c>
    </row>
    <row r="170" spans="1:16" x14ac:dyDescent="0.2">
      <c r="A170" s="8">
        <v>84</v>
      </c>
      <c r="B170" s="8">
        <v>168</v>
      </c>
      <c r="D170">
        <v>1344.2549148099999</v>
      </c>
      <c r="E170">
        <v>315.96657929227001</v>
      </c>
      <c r="F170">
        <v>136.23096942095</v>
      </c>
      <c r="G170">
        <v>115.59986987638</v>
      </c>
      <c r="I170" s="9">
        <f t="shared" si="15"/>
        <v>200.36670941589</v>
      </c>
      <c r="J170" s="9">
        <f t="shared" si="16"/>
        <v>1208.0239453890499</v>
      </c>
      <c r="K170" s="9">
        <f t="shared" si="17"/>
        <v>200.36670941589</v>
      </c>
      <c r="L170" s="10">
        <f t="shared" si="14"/>
        <v>0.16586319350760961</v>
      </c>
      <c r="M170" s="10">
        <f t="shared" si="18"/>
        <v>0.18098161351960038</v>
      </c>
      <c r="P170" s="8">
        <f t="shared" si="19"/>
        <v>2.5398907591036499</v>
      </c>
    </row>
    <row r="171" spans="1:16" x14ac:dyDescent="0.2">
      <c r="A171" s="8">
        <v>84.5</v>
      </c>
      <c r="B171" s="8">
        <v>169</v>
      </c>
      <c r="D171">
        <v>1360.7077326343001</v>
      </c>
      <c r="E171">
        <v>322.58453473131999</v>
      </c>
      <c r="F171">
        <v>135.68965517241</v>
      </c>
      <c r="G171">
        <v>115.4163955758</v>
      </c>
      <c r="I171" s="9">
        <f t="shared" si="15"/>
        <v>207.16813915552001</v>
      </c>
      <c r="J171" s="9">
        <f t="shared" si="16"/>
        <v>1225.01807746189</v>
      </c>
      <c r="K171" s="9">
        <f t="shared" si="17"/>
        <v>207.16813915552001</v>
      </c>
      <c r="L171" s="10">
        <f t="shared" si="14"/>
        <v>0.16911435265082034</v>
      </c>
      <c r="M171" s="10">
        <f t="shared" si="18"/>
        <v>0.18432276325812058</v>
      </c>
      <c r="P171" s="8">
        <f t="shared" si="19"/>
        <v>4.4329069751435499</v>
      </c>
    </row>
    <row r="172" spans="1:16" x14ac:dyDescent="0.2">
      <c r="A172" s="8">
        <v>85</v>
      </c>
      <c r="B172" s="8">
        <v>170</v>
      </c>
      <c r="D172">
        <v>1343.1339869281001</v>
      </c>
      <c r="E172">
        <v>321.14183006536001</v>
      </c>
      <c r="F172">
        <v>136.22966818478</v>
      </c>
      <c r="G172">
        <v>115.70592062458999</v>
      </c>
      <c r="I172" s="9">
        <f t="shared" si="15"/>
        <v>205.43590944077002</v>
      </c>
      <c r="J172" s="9">
        <f t="shared" si="16"/>
        <v>1206.9043187433201</v>
      </c>
      <c r="K172" s="9">
        <f t="shared" si="17"/>
        <v>205.43590944077002</v>
      </c>
      <c r="L172" s="10">
        <f t="shared" si="14"/>
        <v>0.17021722952709176</v>
      </c>
      <c r="M172" s="10">
        <f t="shared" si="18"/>
        <v>0.18551563072970145</v>
      </c>
      <c r="P172" s="8">
        <f t="shared" si="19"/>
        <v>5.1087573991024673</v>
      </c>
    </row>
    <row r="173" spans="1:16" x14ac:dyDescent="0.2">
      <c r="A173" s="8">
        <v>85.5</v>
      </c>
      <c r="B173" s="8">
        <v>171</v>
      </c>
      <c r="D173">
        <v>1310.1641397495</v>
      </c>
      <c r="E173">
        <v>314.07778510217997</v>
      </c>
      <c r="F173">
        <v>135.64281067013999</v>
      </c>
      <c r="G173">
        <v>115.57449577097999</v>
      </c>
      <c r="I173" s="9">
        <f t="shared" si="15"/>
        <v>198.50328933119999</v>
      </c>
      <c r="J173" s="9">
        <f t="shared" si="16"/>
        <v>1174.5213290793599</v>
      </c>
      <c r="K173" s="9">
        <f t="shared" si="17"/>
        <v>198.50328933119999</v>
      </c>
      <c r="L173" s="10">
        <f t="shared" si="14"/>
        <v>0.16900781996593911</v>
      </c>
      <c r="M173" s="10">
        <f t="shared" si="18"/>
        <v>0.18439621176385829</v>
      </c>
      <c r="P173" s="8">
        <f t="shared" si="19"/>
        <v>4.4745211568733865</v>
      </c>
    </row>
    <row r="174" spans="1:16" x14ac:dyDescent="0.2">
      <c r="A174" s="8">
        <v>86</v>
      </c>
      <c r="B174" s="8">
        <v>172</v>
      </c>
      <c r="D174">
        <v>1315.9703361899001</v>
      </c>
      <c r="E174">
        <v>316.54449571523003</v>
      </c>
      <c r="F174">
        <v>136.18087182823999</v>
      </c>
      <c r="G174">
        <v>115.67208848406</v>
      </c>
      <c r="I174" s="9">
        <f t="shared" si="15"/>
        <v>200.87240723117003</v>
      </c>
      <c r="J174" s="9">
        <f t="shared" si="16"/>
        <v>1179.7894643616601</v>
      </c>
      <c r="K174" s="9">
        <f t="shared" si="17"/>
        <v>200.87240723117003</v>
      </c>
      <c r="L174" s="10">
        <f t="shared" si="14"/>
        <v>0.17026123160021145</v>
      </c>
      <c r="M174" s="10">
        <f t="shared" si="18"/>
        <v>0.18573961399344011</v>
      </c>
      <c r="P174" s="8">
        <f t="shared" si="19"/>
        <v>5.2356610052145962</v>
      </c>
    </row>
    <row r="175" spans="1:16" x14ac:dyDescent="0.2">
      <c r="A175" s="8">
        <v>86.5</v>
      </c>
      <c r="B175" s="8">
        <v>173</v>
      </c>
      <c r="D175">
        <v>1297.9162821358</v>
      </c>
      <c r="E175">
        <v>315.92551087673002</v>
      </c>
      <c r="F175">
        <v>135.88939492518</v>
      </c>
      <c r="G175">
        <v>115.97983083930001</v>
      </c>
      <c r="I175" s="9">
        <f t="shared" si="15"/>
        <v>199.94568003743001</v>
      </c>
      <c r="J175" s="9">
        <f t="shared" si="16"/>
        <v>1162.0268872106199</v>
      </c>
      <c r="K175" s="9">
        <f t="shared" si="17"/>
        <v>199.94568003743001</v>
      </c>
      <c r="L175" s="10">
        <f t="shared" si="14"/>
        <v>0.17206631123431951</v>
      </c>
      <c r="M175" s="10">
        <f t="shared" si="18"/>
        <v>0.18763468422285762</v>
      </c>
      <c r="P175" s="8">
        <f t="shared" si="19"/>
        <v>6.3093628610346411</v>
      </c>
    </row>
    <row r="176" spans="1:16" x14ac:dyDescent="0.2">
      <c r="A176" s="8">
        <v>87</v>
      </c>
      <c r="B176" s="8">
        <v>174</v>
      </c>
      <c r="D176">
        <v>1280.6233766234</v>
      </c>
      <c r="E176">
        <v>309.84805194805</v>
      </c>
      <c r="F176">
        <v>136.10214703969001</v>
      </c>
      <c r="G176">
        <v>115.88874430708999</v>
      </c>
      <c r="I176" s="9">
        <f t="shared" si="15"/>
        <v>193.95930764095999</v>
      </c>
      <c r="J176" s="9">
        <f t="shared" si="16"/>
        <v>1144.52122958371</v>
      </c>
      <c r="K176" s="9">
        <f t="shared" si="17"/>
        <v>193.95930764095999</v>
      </c>
      <c r="L176" s="10">
        <f t="shared" si="14"/>
        <v>0.16946763644699511</v>
      </c>
      <c r="M176" s="10">
        <f t="shared" si="18"/>
        <v>0.1851260000308427</v>
      </c>
      <c r="P176" s="8">
        <f t="shared" si="19"/>
        <v>4.8880018841062292</v>
      </c>
    </row>
    <row r="177" spans="1:16" x14ac:dyDescent="0.2">
      <c r="A177" s="8">
        <v>87.5</v>
      </c>
      <c r="B177" s="8">
        <v>175</v>
      </c>
      <c r="D177">
        <v>1242.3947712418001</v>
      </c>
      <c r="E177">
        <v>303.91045751633999</v>
      </c>
      <c r="F177">
        <v>136.24398178269001</v>
      </c>
      <c r="G177">
        <v>115.94404684449999</v>
      </c>
      <c r="I177" s="9">
        <f t="shared" si="15"/>
        <v>187.96641067183998</v>
      </c>
      <c r="J177" s="9">
        <f t="shared" si="16"/>
        <v>1106.15078945911</v>
      </c>
      <c r="K177" s="9">
        <f t="shared" si="17"/>
        <v>187.96641067183998</v>
      </c>
      <c r="L177" s="10">
        <f t="shared" si="14"/>
        <v>0.16992837908089597</v>
      </c>
      <c r="M177" s="10">
        <f t="shared" si="18"/>
        <v>0.18567673326005302</v>
      </c>
      <c r="P177" s="8">
        <f t="shared" si="19"/>
        <v>5.2000342727141362</v>
      </c>
    </row>
    <row r="178" spans="1:16" x14ac:dyDescent="0.2">
      <c r="A178" s="8">
        <v>88</v>
      </c>
      <c r="B178" s="8">
        <v>176</v>
      </c>
      <c r="D178">
        <v>1330.9380300065</v>
      </c>
      <c r="E178">
        <v>314.11741682975003</v>
      </c>
      <c r="F178">
        <v>136.05009759270999</v>
      </c>
      <c r="G178">
        <v>115.9290826285</v>
      </c>
      <c r="I178" s="9">
        <f t="shared" si="15"/>
        <v>198.18833420125003</v>
      </c>
      <c r="J178" s="9">
        <f t="shared" si="16"/>
        <v>1194.8879324137899</v>
      </c>
      <c r="K178" s="9">
        <f t="shared" si="17"/>
        <v>198.18833420125003</v>
      </c>
      <c r="L178" s="10">
        <f t="shared" si="14"/>
        <v>0.16586353316071265</v>
      </c>
      <c r="M178" s="10">
        <f t="shared" si="18"/>
        <v>0.18170187793517917</v>
      </c>
      <c r="P178" s="8">
        <f t="shared" si="19"/>
        <v>2.9479754979609503</v>
      </c>
    </row>
    <row r="179" spans="1:16" x14ac:dyDescent="0.2">
      <c r="A179" s="8">
        <v>88.5</v>
      </c>
      <c r="B179" s="8">
        <v>177</v>
      </c>
      <c r="D179">
        <v>1338.42987606</v>
      </c>
      <c r="E179">
        <v>317.66992824527</v>
      </c>
      <c r="F179">
        <v>136.13142485361001</v>
      </c>
      <c r="G179">
        <v>115.85556278465</v>
      </c>
      <c r="I179" s="9">
        <f t="shared" si="15"/>
        <v>201.81436546062</v>
      </c>
      <c r="J179" s="9">
        <f t="shared" si="16"/>
        <v>1202.2984512063899</v>
      </c>
      <c r="K179" s="9">
        <f t="shared" si="17"/>
        <v>201.81436546062</v>
      </c>
      <c r="L179" s="10">
        <f t="shared" si="14"/>
        <v>0.16785712836785147</v>
      </c>
      <c r="M179" s="10">
        <f t="shared" si="18"/>
        <v>0.18378546373762744</v>
      </c>
      <c r="P179" s="8">
        <f t="shared" si="19"/>
        <v>4.1284858073528312</v>
      </c>
    </row>
    <row r="180" spans="1:16" x14ac:dyDescent="0.2">
      <c r="A180" s="8">
        <v>89</v>
      </c>
      <c r="B180" s="8">
        <v>178</v>
      </c>
      <c r="D180">
        <v>1347.8147423353</v>
      </c>
      <c r="E180">
        <v>317.59882583170003</v>
      </c>
      <c r="F180">
        <v>135.93038386467001</v>
      </c>
      <c r="G180">
        <v>116.10605074821</v>
      </c>
      <c r="I180" s="9">
        <f t="shared" si="15"/>
        <v>201.49277508349002</v>
      </c>
      <c r="J180" s="9">
        <f t="shared" si="16"/>
        <v>1211.8843584706301</v>
      </c>
      <c r="K180" s="9">
        <f t="shared" si="17"/>
        <v>201.49277508349002</v>
      </c>
      <c r="L180" s="10">
        <f t="shared" si="14"/>
        <v>0.16626402814355093</v>
      </c>
      <c r="M180" s="10">
        <f t="shared" si="18"/>
        <v>0.18228235410863639</v>
      </c>
      <c r="P180" s="8">
        <f t="shared" si="19"/>
        <v>3.2768595335103368</v>
      </c>
    </row>
    <row r="181" spans="1:16" x14ac:dyDescent="0.2">
      <c r="A181" s="8">
        <v>89.5</v>
      </c>
      <c r="B181" s="8">
        <v>179</v>
      </c>
      <c r="D181">
        <v>1329.5923026744999</v>
      </c>
      <c r="E181">
        <v>313.88975864318002</v>
      </c>
      <c r="F181">
        <v>136.34482758620999</v>
      </c>
      <c r="G181">
        <v>115.95055302537</v>
      </c>
      <c r="I181" s="9">
        <f t="shared" si="15"/>
        <v>197.93920561781002</v>
      </c>
      <c r="J181" s="9">
        <f t="shared" si="16"/>
        <v>1193.24747508829</v>
      </c>
      <c r="K181" s="9">
        <f t="shared" si="17"/>
        <v>197.93920561781002</v>
      </c>
      <c r="L181" s="10">
        <f t="shared" si="14"/>
        <v>0.16588277767205351</v>
      </c>
      <c r="M181" s="10">
        <f t="shared" si="18"/>
        <v>0.18199109423244844</v>
      </c>
      <c r="P181" s="8">
        <f t="shared" si="19"/>
        <v>3.1118385940567976</v>
      </c>
    </row>
    <row r="182" spans="1:16" x14ac:dyDescent="0.2">
      <c r="A182" s="8">
        <v>90</v>
      </c>
      <c r="B182" s="8">
        <v>180</v>
      </c>
      <c r="D182">
        <v>1342.2511415525</v>
      </c>
      <c r="E182">
        <v>320.81669928244997</v>
      </c>
      <c r="F182">
        <v>135.52635003252999</v>
      </c>
      <c r="G182">
        <v>115.99544567338999</v>
      </c>
      <c r="I182" s="9">
        <f t="shared" si="15"/>
        <v>204.82125360905997</v>
      </c>
      <c r="J182" s="9">
        <f t="shared" si="16"/>
        <v>1206.72479151997</v>
      </c>
      <c r="K182" s="9">
        <f t="shared" si="17"/>
        <v>204.82125360905997</v>
      </c>
      <c r="L182" s="10">
        <f t="shared" si="14"/>
        <v>0.16973319438566484</v>
      </c>
      <c r="M182" s="10">
        <f>L182+ABS($N$2)*A182</f>
        <v>0.18593150154136923</v>
      </c>
      <c r="P182" s="8">
        <f t="shared" si="19"/>
        <v>5.3443799398071059</v>
      </c>
    </row>
    <row r="183" spans="1:16" x14ac:dyDescent="0.2">
      <c r="A183" s="8">
        <v>90.5</v>
      </c>
      <c r="B183" s="8">
        <v>181</v>
      </c>
      <c r="D183">
        <v>1343.1885192433001</v>
      </c>
      <c r="E183">
        <v>317.34377038487003</v>
      </c>
      <c r="F183">
        <v>136.40598568639999</v>
      </c>
      <c r="G183">
        <v>116.08392973325</v>
      </c>
      <c r="I183" s="9">
        <f t="shared" si="15"/>
        <v>201.25984065162004</v>
      </c>
      <c r="J183" s="9">
        <f t="shared" si="16"/>
        <v>1206.7825335569</v>
      </c>
      <c r="K183" s="9">
        <f t="shared" si="17"/>
        <v>201.25984065162004</v>
      </c>
      <c r="L183" s="10">
        <f t="shared" si="14"/>
        <v>0.16677390918015852</v>
      </c>
      <c r="M183" s="10">
        <f t="shared" ref="M183:M241" si="20">L183+ABS($N$2)*A183</f>
        <v>0.18306220693117239</v>
      </c>
      <c r="P183" s="8">
        <f t="shared" si="19"/>
        <v>3.7187056507810317</v>
      </c>
    </row>
    <row r="184" spans="1:16" x14ac:dyDescent="0.2">
      <c r="A184" s="8">
        <v>91</v>
      </c>
      <c r="B184" s="8">
        <v>182</v>
      </c>
      <c r="D184">
        <v>1341.3548597521001</v>
      </c>
      <c r="E184">
        <v>316.75212002608998</v>
      </c>
      <c r="F184">
        <v>136.15940143136001</v>
      </c>
      <c r="G184">
        <v>116.15614834092</v>
      </c>
      <c r="I184" s="9">
        <f t="shared" si="15"/>
        <v>200.59597168516999</v>
      </c>
      <c r="J184" s="9">
        <f t="shared" si="16"/>
        <v>1205.19545832074</v>
      </c>
      <c r="K184" s="9">
        <f t="shared" si="17"/>
        <v>200.59597168516999</v>
      </c>
      <c r="L184" s="10">
        <f t="shared" si="14"/>
        <v>0.16644268803059589</v>
      </c>
      <c r="M184" s="10">
        <f t="shared" si="20"/>
        <v>0.18282097637691924</v>
      </c>
      <c r="P184" s="8">
        <f t="shared" si="19"/>
        <v>3.5820301388335309</v>
      </c>
    </row>
    <row r="185" spans="1:16" x14ac:dyDescent="0.2">
      <c r="A185" s="8">
        <v>91.5</v>
      </c>
      <c r="B185" s="8">
        <v>183</v>
      </c>
      <c r="D185">
        <v>1304.3072916666999</v>
      </c>
      <c r="E185">
        <v>312.24544270833002</v>
      </c>
      <c r="F185">
        <v>136.44762524398001</v>
      </c>
      <c r="G185">
        <v>116.12231620039</v>
      </c>
      <c r="I185" s="9">
        <f t="shared" si="15"/>
        <v>196.12312650794001</v>
      </c>
      <c r="J185" s="9">
        <f t="shared" si="16"/>
        <v>1167.85966642272</v>
      </c>
      <c r="K185" s="9">
        <f t="shared" si="17"/>
        <v>196.12312650794001</v>
      </c>
      <c r="L185" s="10">
        <f t="shared" si="14"/>
        <v>0.16793381272313845</v>
      </c>
      <c r="M185" s="10">
        <f t="shared" si="20"/>
        <v>0.18440209166477126</v>
      </c>
      <c r="P185" s="8">
        <f t="shared" si="19"/>
        <v>4.4778525693056501</v>
      </c>
    </row>
    <row r="186" spans="1:16" x14ac:dyDescent="0.2">
      <c r="A186" s="8">
        <v>92</v>
      </c>
      <c r="B186" s="8">
        <v>184</v>
      </c>
      <c r="D186">
        <v>1300.6497395833001</v>
      </c>
      <c r="E186">
        <v>313.92838541666998</v>
      </c>
      <c r="F186">
        <v>136.15289525048999</v>
      </c>
      <c r="G186">
        <v>115.37865972674</v>
      </c>
      <c r="I186" s="9">
        <f t="shared" si="15"/>
        <v>198.54972568992997</v>
      </c>
      <c r="J186" s="9">
        <f t="shared" si="16"/>
        <v>1164.49684433281</v>
      </c>
      <c r="K186" s="9">
        <f t="shared" si="17"/>
        <v>198.54972568992997</v>
      </c>
      <c r="L186" s="10">
        <f t="shared" si="14"/>
        <v>0.17050258801146653</v>
      </c>
      <c r="M186" s="10">
        <f t="shared" si="20"/>
        <v>0.18706085754840882</v>
      </c>
      <c r="P186" s="8">
        <f t="shared" si="19"/>
        <v>5.9842462739495819</v>
      </c>
    </row>
    <row r="187" spans="1:16" x14ac:dyDescent="0.2">
      <c r="A187" s="8">
        <v>92.5</v>
      </c>
      <c r="B187" s="8">
        <v>185</v>
      </c>
      <c r="D187">
        <v>1310.9850260416999</v>
      </c>
      <c r="E187">
        <v>316.62369791666998</v>
      </c>
      <c r="F187">
        <v>136.19713728042001</v>
      </c>
      <c r="G187">
        <v>116.06050748211</v>
      </c>
      <c r="I187" s="9">
        <f t="shared" si="15"/>
        <v>200.56319043456</v>
      </c>
      <c r="J187" s="9">
        <f t="shared" si="16"/>
        <v>1174.7878887612799</v>
      </c>
      <c r="K187" s="9">
        <f t="shared" si="17"/>
        <v>200.56319043456</v>
      </c>
      <c r="L187" s="10">
        <f t="shared" si="14"/>
        <v>0.17072289589743547</v>
      </c>
      <c r="M187" s="10">
        <f t="shared" si="20"/>
        <v>0.18737115602968721</v>
      </c>
      <c r="P187" s="8">
        <f t="shared" si="19"/>
        <v>6.160054035601326</v>
      </c>
    </row>
    <row r="188" spans="1:16" x14ac:dyDescent="0.2">
      <c r="A188" s="8">
        <v>93</v>
      </c>
      <c r="B188" s="8">
        <v>186</v>
      </c>
      <c r="D188">
        <v>1300.7390163934001</v>
      </c>
      <c r="E188">
        <v>309.61967213115003</v>
      </c>
      <c r="F188">
        <v>136.01626545217999</v>
      </c>
      <c r="G188">
        <v>115.88223812622</v>
      </c>
      <c r="I188" s="9">
        <f t="shared" si="15"/>
        <v>193.73743400493004</v>
      </c>
      <c r="J188" s="9">
        <f t="shared" si="16"/>
        <v>1164.7227509412201</v>
      </c>
      <c r="K188" s="9">
        <f t="shared" si="17"/>
        <v>193.73743400493004</v>
      </c>
      <c r="L188" s="10">
        <f t="shared" si="14"/>
        <v>0.16633781202296388</v>
      </c>
      <c r="M188" s="10">
        <f t="shared" si="20"/>
        <v>0.1830760627505251</v>
      </c>
      <c r="P188" s="8">
        <f t="shared" si="19"/>
        <v>3.726556029475165</v>
      </c>
    </row>
    <row r="189" spans="1:16" x14ac:dyDescent="0.2">
      <c r="A189" s="8">
        <v>93.5</v>
      </c>
      <c r="B189" s="8">
        <v>187</v>
      </c>
      <c r="D189">
        <v>1326.9698360656</v>
      </c>
      <c r="E189">
        <v>316.72524590163999</v>
      </c>
      <c r="F189">
        <v>136.39102147040001</v>
      </c>
      <c r="G189">
        <v>116.12687052699999</v>
      </c>
      <c r="I189" s="9">
        <f t="shared" si="15"/>
        <v>200.59837537464</v>
      </c>
      <c r="J189" s="9">
        <f t="shared" si="16"/>
        <v>1190.5788145952001</v>
      </c>
      <c r="K189" s="9">
        <f t="shared" si="17"/>
        <v>200.59837537464</v>
      </c>
      <c r="L189" s="10">
        <f t="shared" si="14"/>
        <v>0.16848811092178217</v>
      </c>
      <c r="M189" s="10">
        <f t="shared" si="20"/>
        <v>0.18531635224465284</v>
      </c>
      <c r="P189" s="8">
        <f t="shared" si="19"/>
        <v>4.9958509347929798</v>
      </c>
    </row>
    <row r="190" spans="1:16" x14ac:dyDescent="0.2">
      <c r="A190" s="8">
        <v>94</v>
      </c>
      <c r="B190" s="8">
        <v>188</v>
      </c>
      <c r="D190">
        <v>1314.753442623</v>
      </c>
      <c r="E190">
        <v>310.78622950819999</v>
      </c>
      <c r="F190">
        <v>136.4567338972</v>
      </c>
      <c r="G190">
        <v>115.86076772934</v>
      </c>
      <c r="I190" s="9">
        <f t="shared" si="15"/>
        <v>194.92546177885998</v>
      </c>
      <c r="J190" s="9">
        <f t="shared" si="16"/>
        <v>1178.2967087258</v>
      </c>
      <c r="K190" s="9">
        <f t="shared" si="17"/>
        <v>194.92546177885998</v>
      </c>
      <c r="L190" s="10">
        <f t="shared" si="14"/>
        <v>0.16542986188058753</v>
      </c>
      <c r="M190" s="10">
        <f t="shared" si="20"/>
        <v>0.18234809379876768</v>
      </c>
      <c r="P190" s="8">
        <f t="shared" si="19"/>
        <v>3.3141060831100848</v>
      </c>
    </row>
    <row r="191" spans="1:16" x14ac:dyDescent="0.2">
      <c r="A191" s="8">
        <v>94.5</v>
      </c>
      <c r="B191" s="8">
        <v>189</v>
      </c>
      <c r="D191">
        <v>1312.4963934426</v>
      </c>
      <c r="E191">
        <v>311.28590163934001</v>
      </c>
      <c r="F191">
        <v>136.72413793102999</v>
      </c>
      <c r="G191">
        <v>116.02147039688001</v>
      </c>
      <c r="I191" s="9">
        <f t="shared" si="15"/>
        <v>195.26443124246001</v>
      </c>
      <c r="J191" s="9">
        <f t="shared" si="16"/>
        <v>1175.7722555115702</v>
      </c>
      <c r="K191" s="9">
        <f t="shared" si="17"/>
        <v>195.26443124246001</v>
      </c>
      <c r="L191" s="10">
        <f t="shared" si="14"/>
        <v>0.16607334483964484</v>
      </c>
      <c r="M191" s="10">
        <f t="shared" si="20"/>
        <v>0.18308156735313447</v>
      </c>
      <c r="P191" s="8">
        <f t="shared" si="19"/>
        <v>3.7296748067877332</v>
      </c>
    </row>
    <row r="192" spans="1:16" x14ac:dyDescent="0.2">
      <c r="A192" s="8">
        <v>95</v>
      </c>
      <c r="B192" s="8">
        <v>190</v>
      </c>
      <c r="D192">
        <v>1320.1783606557001</v>
      </c>
      <c r="E192">
        <v>314.83934426230002</v>
      </c>
      <c r="F192">
        <v>136.36109303839001</v>
      </c>
      <c r="G192">
        <v>115.87182823683</v>
      </c>
      <c r="I192" s="9">
        <f t="shared" si="15"/>
        <v>198.96751602547002</v>
      </c>
      <c r="J192" s="9">
        <f t="shared" si="16"/>
        <v>1183.8172676173101</v>
      </c>
      <c r="K192" s="9">
        <f t="shared" si="17"/>
        <v>198.96751602547002</v>
      </c>
      <c r="L192" s="10">
        <f t="shared" si="14"/>
        <v>0.16807282801841153</v>
      </c>
      <c r="M192" s="10">
        <f t="shared" si="20"/>
        <v>0.18517104112721061</v>
      </c>
      <c r="P192" s="8">
        <f t="shared" si="19"/>
        <v>4.913521101287567</v>
      </c>
    </row>
    <row r="193" spans="1:16" x14ac:dyDescent="0.2">
      <c r="A193" s="8">
        <v>95.5</v>
      </c>
      <c r="B193" s="8">
        <v>191</v>
      </c>
      <c r="D193">
        <v>1320.4918032787</v>
      </c>
      <c r="E193">
        <v>314.97114754097998</v>
      </c>
      <c r="F193">
        <v>136.65191932336</v>
      </c>
      <c r="G193">
        <v>116.24788549122</v>
      </c>
      <c r="I193" s="9">
        <f t="shared" si="15"/>
        <v>198.72326204975997</v>
      </c>
      <c r="J193" s="9">
        <f t="shared" si="16"/>
        <v>1183.8398839553399</v>
      </c>
      <c r="K193" s="9">
        <f t="shared" si="17"/>
        <v>198.72326204975997</v>
      </c>
      <c r="L193" s="10">
        <f t="shared" si="14"/>
        <v>0.16786329362869881</v>
      </c>
      <c r="M193" s="10">
        <f t="shared" si="20"/>
        <v>0.18505149733280737</v>
      </c>
      <c r="P193" s="8">
        <f t="shared" si="19"/>
        <v>4.8457904220177133</v>
      </c>
    </row>
    <row r="194" spans="1:16" x14ac:dyDescent="0.2">
      <c r="A194" s="8">
        <v>96</v>
      </c>
      <c r="B194" s="8">
        <v>192</v>
      </c>
      <c r="D194">
        <v>1300.707976269</v>
      </c>
      <c r="E194">
        <v>308.09822017138998</v>
      </c>
      <c r="F194">
        <v>136.73389720233999</v>
      </c>
      <c r="G194">
        <v>116.17501626545</v>
      </c>
      <c r="I194" s="9">
        <f t="shared" si="15"/>
        <v>191.92320390594</v>
      </c>
      <c r="J194" s="9">
        <f t="shared" si="16"/>
        <v>1163.9740790666601</v>
      </c>
      <c r="K194" s="9">
        <f t="shared" si="17"/>
        <v>191.92320390594</v>
      </c>
      <c r="L194" s="10">
        <f t="shared" ref="L194:L257" si="21">K194/J194</f>
        <v>0.16488614940620913</v>
      </c>
      <c r="M194" s="10">
        <f t="shared" si="20"/>
        <v>0.18216434370562715</v>
      </c>
      <c r="P194" s="8">
        <f t="shared" si="19"/>
        <v>3.2099976374443333</v>
      </c>
    </row>
    <row r="195" spans="1:16" x14ac:dyDescent="0.2">
      <c r="A195" s="8">
        <v>96.5</v>
      </c>
      <c r="B195" s="8">
        <v>193</v>
      </c>
      <c r="D195">
        <v>1276.078444298</v>
      </c>
      <c r="E195">
        <v>306.77455504285001</v>
      </c>
      <c r="F195">
        <v>136.56864020820001</v>
      </c>
      <c r="G195">
        <v>115.90631099545</v>
      </c>
      <c r="I195" s="9">
        <f t="shared" ref="I195:I241" si="22">E195-G195</f>
        <v>190.86824404740003</v>
      </c>
      <c r="J195" s="9">
        <f t="shared" ref="J195:J241" si="23">D195-F195</f>
        <v>1139.5098040898001</v>
      </c>
      <c r="K195" s="9">
        <f t="shared" ref="K195:K258" si="24">I195*1</f>
        <v>190.86824404740003</v>
      </c>
      <c r="L195" s="10">
        <f t="shared" si="21"/>
        <v>0.16750030878396766</v>
      </c>
      <c r="M195" s="10">
        <f t="shared" si="20"/>
        <v>0.18486849367869515</v>
      </c>
      <c r="P195" s="8">
        <f t="shared" ref="P195:P241" si="25">(M195-$O$2)/$O$2*100</f>
        <v>4.7421048910057362</v>
      </c>
    </row>
    <row r="196" spans="1:16" x14ac:dyDescent="0.2">
      <c r="A196" s="8">
        <v>97</v>
      </c>
      <c r="B196" s="8">
        <v>194</v>
      </c>
      <c r="D196">
        <v>1258.9400131839</v>
      </c>
      <c r="E196">
        <v>305.97297297297001</v>
      </c>
      <c r="F196">
        <v>136.52309694210001</v>
      </c>
      <c r="G196">
        <v>116.27130774235999</v>
      </c>
      <c r="I196" s="9">
        <f t="shared" si="22"/>
        <v>189.70166523061002</v>
      </c>
      <c r="J196" s="9">
        <f t="shared" si="23"/>
        <v>1122.4169162418</v>
      </c>
      <c r="K196" s="9">
        <f t="shared" si="24"/>
        <v>189.70166523061002</v>
      </c>
      <c r="L196" s="10">
        <f t="shared" si="21"/>
        <v>0.16901176602522175</v>
      </c>
      <c r="M196" s="10">
        <f t="shared" si="20"/>
        <v>0.1864699415152587</v>
      </c>
      <c r="P196" s="8">
        <f t="shared" si="25"/>
        <v>5.6494472614495974</v>
      </c>
    </row>
    <row r="197" spans="1:16" x14ac:dyDescent="0.2">
      <c r="A197" s="8">
        <v>97.5</v>
      </c>
      <c r="B197" s="8">
        <v>195</v>
      </c>
      <c r="D197">
        <v>1252.642578125</v>
      </c>
      <c r="E197">
        <v>304.046875</v>
      </c>
      <c r="F197">
        <v>136.57579700715999</v>
      </c>
      <c r="G197">
        <v>116.12036434613</v>
      </c>
      <c r="I197" s="9">
        <f t="shared" si="22"/>
        <v>187.92651065387</v>
      </c>
      <c r="J197" s="9">
        <f t="shared" si="23"/>
        <v>1116.06678111784</v>
      </c>
      <c r="K197" s="9">
        <f t="shared" si="24"/>
        <v>187.92651065387</v>
      </c>
      <c r="L197" s="10">
        <f t="shared" si="21"/>
        <v>0.16838285471201364</v>
      </c>
      <c r="M197" s="10">
        <f t="shared" si="20"/>
        <v>0.18593102079736007</v>
      </c>
      <c r="P197" s="8">
        <f t="shared" si="25"/>
        <v>5.3441075616509863</v>
      </c>
    </row>
    <row r="198" spans="1:16" x14ac:dyDescent="0.2">
      <c r="A198" s="8">
        <v>98</v>
      </c>
      <c r="B198" s="8">
        <v>196</v>
      </c>
      <c r="D198">
        <v>1253.1634114583001</v>
      </c>
      <c r="E198">
        <v>303.43098958333002</v>
      </c>
      <c r="F198">
        <v>136.46519193233999</v>
      </c>
      <c r="G198">
        <v>116.24658425504001</v>
      </c>
      <c r="I198" s="9">
        <f t="shared" si="22"/>
        <v>187.18440532829001</v>
      </c>
      <c r="J198" s="9">
        <f t="shared" si="23"/>
        <v>1116.69821952596</v>
      </c>
      <c r="K198" s="9">
        <f t="shared" si="24"/>
        <v>187.18440532829001</v>
      </c>
      <c r="L198" s="10">
        <f t="shared" si="21"/>
        <v>0.16762308926018532</v>
      </c>
      <c r="M198" s="10">
        <f t="shared" si="20"/>
        <v>0.18526124594084123</v>
      </c>
      <c r="P198" s="8">
        <f t="shared" si="25"/>
        <v>4.9646290097416328</v>
      </c>
    </row>
    <row r="199" spans="1:16" x14ac:dyDescent="0.2">
      <c r="A199" s="8">
        <v>98.5</v>
      </c>
      <c r="B199" s="8">
        <v>197</v>
      </c>
      <c r="D199">
        <v>1326.0183727034</v>
      </c>
      <c r="E199">
        <v>308.72178477689999</v>
      </c>
      <c r="F199">
        <v>136.8223812622</v>
      </c>
      <c r="G199">
        <v>116.22381262199001</v>
      </c>
      <c r="I199" s="9">
        <f t="shared" si="22"/>
        <v>192.49797215490997</v>
      </c>
      <c r="J199" s="9">
        <f t="shared" si="23"/>
        <v>1189.1959914412</v>
      </c>
      <c r="K199" s="9">
        <f t="shared" si="24"/>
        <v>192.49797215490997</v>
      </c>
      <c r="L199" s="10">
        <f t="shared" si="21"/>
        <v>0.16187236884444886</v>
      </c>
      <c r="M199" s="10">
        <f t="shared" si="20"/>
        <v>0.17960051612041422</v>
      </c>
      <c r="P199" s="8">
        <f t="shared" si="25"/>
        <v>1.7573937214977104</v>
      </c>
    </row>
    <row r="200" spans="1:16" x14ac:dyDescent="0.2">
      <c r="A200" s="8">
        <v>99</v>
      </c>
      <c r="B200" s="8">
        <v>198</v>
      </c>
      <c r="D200">
        <v>1314.8576115486001</v>
      </c>
      <c r="E200">
        <v>305.81036745406999</v>
      </c>
      <c r="F200">
        <v>136.70722186077001</v>
      </c>
      <c r="G200">
        <v>115.95770982433</v>
      </c>
      <c r="I200" s="9">
        <f t="shared" si="22"/>
        <v>189.85265762974001</v>
      </c>
      <c r="J200" s="9">
        <f t="shared" si="23"/>
        <v>1178.1503896878301</v>
      </c>
      <c r="K200" s="9">
        <f t="shared" si="24"/>
        <v>189.85265762974001</v>
      </c>
      <c r="L200" s="10">
        <f t="shared" si="21"/>
        <v>0.16114467158988466</v>
      </c>
      <c r="M200" s="10">
        <f t="shared" si="20"/>
        <v>0.1789628094611595</v>
      </c>
      <c r="P200" s="8">
        <f t="shared" si="25"/>
        <v>1.3960842497526684</v>
      </c>
    </row>
    <row r="201" spans="1:16" x14ac:dyDescent="0.2">
      <c r="A201" s="8">
        <v>99.5</v>
      </c>
      <c r="B201" s="8">
        <v>199</v>
      </c>
      <c r="D201">
        <v>1332.0249343831999</v>
      </c>
      <c r="E201">
        <v>309.26640419948001</v>
      </c>
      <c r="F201">
        <v>136.77944046844999</v>
      </c>
      <c r="G201">
        <v>116.07872478855001</v>
      </c>
      <c r="I201" s="9">
        <f t="shared" si="22"/>
        <v>193.18767941093</v>
      </c>
      <c r="J201" s="9">
        <f t="shared" si="23"/>
        <v>1195.2454939147499</v>
      </c>
      <c r="K201" s="9">
        <f t="shared" si="24"/>
        <v>193.18767941093</v>
      </c>
      <c r="L201" s="10">
        <f t="shared" si="21"/>
        <v>0.16163012568923266</v>
      </c>
      <c r="M201" s="10">
        <f t="shared" si="20"/>
        <v>0.17953825415581695</v>
      </c>
      <c r="P201" s="8">
        <f t="shared" si="25"/>
        <v>1.72211756872123</v>
      </c>
    </row>
    <row r="202" spans="1:16" x14ac:dyDescent="0.2">
      <c r="A202" s="8">
        <v>100</v>
      </c>
      <c r="B202" s="8">
        <v>200</v>
      </c>
      <c r="D202">
        <v>1330.1423884513999</v>
      </c>
      <c r="E202">
        <v>308.48162729658998</v>
      </c>
      <c r="F202">
        <v>136.93623942746001</v>
      </c>
      <c r="G202">
        <v>116.32075471698001</v>
      </c>
      <c r="I202" s="9">
        <f t="shared" si="22"/>
        <v>192.16087257960999</v>
      </c>
      <c r="J202" s="9">
        <f t="shared" si="23"/>
        <v>1193.2061490239398</v>
      </c>
      <c r="K202" s="9">
        <f t="shared" si="24"/>
        <v>192.16087257960999</v>
      </c>
      <c r="L202" s="10">
        <f t="shared" si="21"/>
        <v>0.16104582828105637</v>
      </c>
      <c r="M202" s="10">
        <f t="shared" si="20"/>
        <v>0.17904394734295015</v>
      </c>
      <c r="P202" s="8">
        <f t="shared" si="25"/>
        <v>1.4420550496225526</v>
      </c>
    </row>
    <row r="203" spans="1:16" x14ac:dyDescent="0.2">
      <c r="A203" s="8">
        <v>100.5</v>
      </c>
      <c r="B203" s="8">
        <v>201</v>
      </c>
      <c r="D203">
        <v>1345.6784776903</v>
      </c>
      <c r="E203">
        <v>313.27624671915999</v>
      </c>
      <c r="F203">
        <v>136.87963565387</v>
      </c>
      <c r="G203">
        <v>116.54456733897</v>
      </c>
      <c r="I203" s="9">
        <f t="shared" si="22"/>
        <v>196.73167938018997</v>
      </c>
      <c r="J203" s="9">
        <f t="shared" si="23"/>
        <v>1208.79884203643</v>
      </c>
      <c r="K203" s="9">
        <f t="shared" si="24"/>
        <v>196.73167938018997</v>
      </c>
      <c r="L203" s="10">
        <f t="shared" si="21"/>
        <v>0.16274972521380113</v>
      </c>
      <c r="M203" s="10">
        <f t="shared" si="20"/>
        <v>0.18083783487100438</v>
      </c>
      <c r="P203" s="8">
        <f t="shared" si="25"/>
        <v>2.4584291861084018</v>
      </c>
    </row>
    <row r="204" spans="1:16" x14ac:dyDescent="0.2">
      <c r="A204" s="8">
        <v>101</v>
      </c>
      <c r="B204" s="8">
        <v>202</v>
      </c>
      <c r="D204">
        <v>1321.6148293962999</v>
      </c>
      <c r="E204">
        <v>310.43569553805997</v>
      </c>
      <c r="F204">
        <v>136.63565387118001</v>
      </c>
      <c r="G204">
        <v>116.49446974625999</v>
      </c>
      <c r="I204" s="9">
        <f t="shared" si="22"/>
        <v>193.94122579179998</v>
      </c>
      <c r="J204" s="9">
        <f t="shared" si="23"/>
        <v>1184.9791755251199</v>
      </c>
      <c r="K204" s="9">
        <f t="shared" si="24"/>
        <v>193.94122579179998</v>
      </c>
      <c r="L204" s="10">
        <f t="shared" si="21"/>
        <v>0.16366635785464798</v>
      </c>
      <c r="M204" s="10">
        <f t="shared" si="20"/>
        <v>0.18184445810716068</v>
      </c>
      <c r="P204" s="8">
        <f t="shared" si="25"/>
        <v>3.028758042524879</v>
      </c>
    </row>
    <row r="205" spans="1:16" x14ac:dyDescent="0.2">
      <c r="A205" s="8">
        <v>101.5</v>
      </c>
      <c r="B205" s="8">
        <v>203</v>
      </c>
      <c r="D205">
        <v>1321.5314960630001</v>
      </c>
      <c r="E205">
        <v>310.97834645669002</v>
      </c>
      <c r="F205">
        <v>136.73389720233999</v>
      </c>
      <c r="G205">
        <v>116.41249186727001</v>
      </c>
      <c r="I205" s="9">
        <f t="shared" si="22"/>
        <v>194.56585458942001</v>
      </c>
      <c r="J205" s="9">
        <f t="shared" si="23"/>
        <v>1184.7975988606602</v>
      </c>
      <c r="K205" s="9">
        <f t="shared" si="24"/>
        <v>194.56585458942001</v>
      </c>
      <c r="L205" s="10">
        <f t="shared" si="21"/>
        <v>0.16421864356960281</v>
      </c>
      <c r="M205" s="10">
        <f t="shared" si="20"/>
        <v>0.182486734417425</v>
      </c>
      <c r="P205" s="8">
        <f t="shared" si="25"/>
        <v>3.3926565701757561</v>
      </c>
    </row>
    <row r="206" spans="1:16" x14ac:dyDescent="0.2">
      <c r="A206" s="8">
        <v>102</v>
      </c>
      <c r="B206" s="8">
        <v>204</v>
      </c>
      <c r="D206">
        <v>1328.6049868765999</v>
      </c>
      <c r="E206">
        <v>315.14107611549002</v>
      </c>
      <c r="F206">
        <v>136.90956408587999</v>
      </c>
      <c r="G206">
        <v>116.19518542615999</v>
      </c>
      <c r="I206" s="9">
        <f t="shared" si="22"/>
        <v>198.94589068933004</v>
      </c>
      <c r="J206" s="9">
        <f t="shared" si="23"/>
        <v>1191.6954227907199</v>
      </c>
      <c r="K206" s="9">
        <f t="shared" si="24"/>
        <v>198.94589068933004</v>
      </c>
      <c r="L206" s="10">
        <f t="shared" si="21"/>
        <v>0.16694357206091914</v>
      </c>
      <c r="M206" s="10">
        <f t="shared" si="20"/>
        <v>0.18530165350405078</v>
      </c>
      <c r="P206" s="8">
        <f t="shared" si="25"/>
        <v>4.987522976906428</v>
      </c>
    </row>
    <row r="207" spans="1:16" x14ac:dyDescent="0.2">
      <c r="A207" s="8">
        <v>102.5</v>
      </c>
      <c r="B207" s="8">
        <v>205</v>
      </c>
      <c r="D207">
        <v>1325.7779947916999</v>
      </c>
      <c r="E207">
        <v>315.58463541666998</v>
      </c>
      <c r="F207">
        <v>136.53415744957999</v>
      </c>
      <c r="G207">
        <v>116.21405335068</v>
      </c>
      <c r="I207" s="9">
        <f t="shared" si="22"/>
        <v>199.37058206598999</v>
      </c>
      <c r="J207" s="9">
        <f t="shared" si="23"/>
        <v>1189.2438373421201</v>
      </c>
      <c r="K207" s="9">
        <f t="shared" si="24"/>
        <v>199.37058206598999</v>
      </c>
      <c r="L207" s="10">
        <f t="shared" si="21"/>
        <v>0.16764483094700733</v>
      </c>
      <c r="M207" s="10">
        <f t="shared" si="20"/>
        <v>0.18609290298544845</v>
      </c>
      <c r="P207" s="8">
        <f t="shared" si="25"/>
        <v>5.4358261708489835</v>
      </c>
    </row>
    <row r="208" spans="1:16" x14ac:dyDescent="0.2">
      <c r="A208" s="8">
        <v>103</v>
      </c>
      <c r="B208" s="8">
        <v>206</v>
      </c>
      <c r="D208">
        <v>1363.0698747527999</v>
      </c>
      <c r="E208">
        <v>317.99143045484999</v>
      </c>
      <c r="F208">
        <v>136.81392322707001</v>
      </c>
      <c r="G208">
        <v>116.56668835393999</v>
      </c>
      <c r="I208" s="9">
        <f t="shared" si="22"/>
        <v>201.42474210091001</v>
      </c>
      <c r="J208" s="9">
        <f t="shared" si="23"/>
        <v>1226.2559515257299</v>
      </c>
      <c r="K208" s="9">
        <f t="shared" si="24"/>
        <v>201.42474210091001</v>
      </c>
      <c r="L208" s="10">
        <f t="shared" si="21"/>
        <v>0.16425995066551458</v>
      </c>
      <c r="M208" s="10">
        <f t="shared" si="20"/>
        <v>0.18279801329926515</v>
      </c>
      <c r="P208" s="8">
        <f t="shared" si="25"/>
        <v>3.5690198035384015</v>
      </c>
    </row>
    <row r="209" spans="1:16" x14ac:dyDescent="0.2">
      <c r="A209" s="8">
        <v>103.5</v>
      </c>
      <c r="B209" s="8">
        <v>207</v>
      </c>
      <c r="D209">
        <v>1380.2610415293</v>
      </c>
      <c r="E209">
        <v>324.31970995386001</v>
      </c>
      <c r="F209">
        <v>137.46258945999</v>
      </c>
      <c r="G209">
        <v>116.28822381262</v>
      </c>
      <c r="I209" s="9">
        <f t="shared" si="22"/>
        <v>208.03148614124001</v>
      </c>
      <c r="J209" s="9">
        <f t="shared" si="23"/>
        <v>1242.7984520693099</v>
      </c>
      <c r="K209" s="9">
        <f t="shared" si="24"/>
        <v>208.03148614124001</v>
      </c>
      <c r="L209" s="10">
        <f t="shared" si="21"/>
        <v>0.1673895600649157</v>
      </c>
      <c r="M209" s="10">
        <f t="shared" si="20"/>
        <v>0.18601761329397576</v>
      </c>
      <c r="P209" s="8">
        <f t="shared" si="25"/>
        <v>5.3931688169401557</v>
      </c>
    </row>
    <row r="210" spans="1:16" x14ac:dyDescent="0.2">
      <c r="A210" s="8">
        <v>104</v>
      </c>
      <c r="B210" s="8">
        <v>208</v>
      </c>
      <c r="D210">
        <v>1385.2030323005999</v>
      </c>
      <c r="E210">
        <v>324.84113381674001</v>
      </c>
      <c r="F210">
        <v>137.03057905009999</v>
      </c>
      <c r="G210">
        <v>116.27586206897</v>
      </c>
      <c r="I210" s="9">
        <f t="shared" si="22"/>
        <v>208.56527174777</v>
      </c>
      <c r="J210" s="9">
        <f t="shared" si="23"/>
        <v>1248.1724532505</v>
      </c>
      <c r="K210" s="9">
        <f t="shared" si="24"/>
        <v>208.56527174777</v>
      </c>
      <c r="L210" s="10">
        <f t="shared" si="21"/>
        <v>0.16709651875798315</v>
      </c>
      <c r="M210" s="10">
        <f t="shared" si="20"/>
        <v>0.18581456258235268</v>
      </c>
      <c r="P210" s="8">
        <f t="shared" si="25"/>
        <v>5.2781250985011354</v>
      </c>
    </row>
    <row r="211" spans="1:16" x14ac:dyDescent="0.2">
      <c r="A211" s="8">
        <v>104.5</v>
      </c>
      <c r="B211" s="8">
        <v>209</v>
      </c>
      <c r="D211">
        <v>1372.1214521452</v>
      </c>
      <c r="E211">
        <v>319.16039603960002</v>
      </c>
      <c r="F211">
        <v>136.46844502277</v>
      </c>
      <c r="G211">
        <v>116.22771633051001</v>
      </c>
      <c r="I211" s="9">
        <f t="shared" si="22"/>
        <v>202.93267970909</v>
      </c>
      <c r="J211" s="9">
        <f t="shared" si="23"/>
        <v>1235.6530071224299</v>
      </c>
      <c r="K211" s="9">
        <f t="shared" si="24"/>
        <v>202.93267970909</v>
      </c>
      <c r="L211" s="10">
        <f t="shared" si="21"/>
        <v>0.16423112195686437</v>
      </c>
      <c r="M211" s="10">
        <f t="shared" si="20"/>
        <v>0.18303915637654336</v>
      </c>
      <c r="P211" s="8">
        <f t="shared" si="25"/>
        <v>3.7056457531061673</v>
      </c>
    </row>
    <row r="212" spans="1:16" x14ac:dyDescent="0.2">
      <c r="A212" s="8">
        <v>105</v>
      </c>
      <c r="B212" s="8">
        <v>210</v>
      </c>
      <c r="D212">
        <v>1376.9260726073001</v>
      </c>
      <c r="E212">
        <v>319.07722772276998</v>
      </c>
      <c r="F212">
        <v>136.98373454782001</v>
      </c>
      <c r="G212">
        <v>116.03968770332</v>
      </c>
      <c r="I212" s="9">
        <f t="shared" si="22"/>
        <v>203.03754001944998</v>
      </c>
      <c r="J212" s="9">
        <f t="shared" si="23"/>
        <v>1239.9423380594801</v>
      </c>
      <c r="K212" s="9">
        <f t="shared" si="24"/>
        <v>203.03754001944998</v>
      </c>
      <c r="L212" s="10">
        <f t="shared" si="21"/>
        <v>0.16374756614666888</v>
      </c>
      <c r="M212" s="10">
        <f t="shared" si="20"/>
        <v>0.18264559116165735</v>
      </c>
      <c r="P212" s="8">
        <f t="shared" si="25"/>
        <v>3.4826610346246731</v>
      </c>
    </row>
    <row r="213" spans="1:16" x14ac:dyDescent="0.2">
      <c r="A213" s="8">
        <v>105.5</v>
      </c>
      <c r="B213" s="8">
        <v>211</v>
      </c>
      <c r="D213">
        <v>1377.1128712871</v>
      </c>
      <c r="E213">
        <v>319.15181518152002</v>
      </c>
      <c r="F213">
        <v>137.17306441119001</v>
      </c>
      <c r="G213">
        <v>116.62589459986999</v>
      </c>
      <c r="I213" s="9">
        <f t="shared" si="22"/>
        <v>202.52592058165004</v>
      </c>
      <c r="J213" s="9">
        <f t="shared" si="23"/>
        <v>1239.9398068759101</v>
      </c>
      <c r="K213" s="9">
        <f t="shared" si="24"/>
        <v>202.52592058165004</v>
      </c>
      <c r="L213" s="10">
        <f t="shared" si="21"/>
        <v>0.16333528406667105</v>
      </c>
      <c r="M213" s="10">
        <f t="shared" si="20"/>
        <v>0.18232329967696898</v>
      </c>
      <c r="P213" s="8">
        <f t="shared" si="25"/>
        <v>3.3000583216205914</v>
      </c>
    </row>
    <row r="214" spans="1:16" x14ac:dyDescent="0.2">
      <c r="A214" s="8">
        <v>106</v>
      </c>
      <c r="B214" s="8">
        <v>212</v>
      </c>
      <c r="D214">
        <v>1381.6838283827999</v>
      </c>
      <c r="E214">
        <v>320.20330033003</v>
      </c>
      <c r="F214">
        <v>136.84255042289999</v>
      </c>
      <c r="G214">
        <v>116.33181522446</v>
      </c>
      <c r="I214" s="9">
        <f t="shared" si="22"/>
        <v>203.87148510557</v>
      </c>
      <c r="J214" s="9">
        <f t="shared" si="23"/>
        <v>1244.8412779598998</v>
      </c>
      <c r="K214" s="9">
        <f t="shared" si="24"/>
        <v>203.87148510557</v>
      </c>
      <c r="L214" s="10">
        <f t="shared" si="21"/>
        <v>0.16377307590545478</v>
      </c>
      <c r="M214" s="10">
        <f t="shared" si="20"/>
        <v>0.18285108211106219</v>
      </c>
      <c r="P214" s="8">
        <f t="shared" si="25"/>
        <v>3.5990873339275815</v>
      </c>
    </row>
    <row r="215" spans="1:16" x14ac:dyDescent="0.2">
      <c r="A215" s="8">
        <v>106.5</v>
      </c>
      <c r="B215" s="8">
        <v>213</v>
      </c>
      <c r="D215">
        <v>1369.6290429042999</v>
      </c>
      <c r="E215">
        <v>316.67722772277</v>
      </c>
      <c r="F215">
        <v>136.86792452829999</v>
      </c>
      <c r="G215">
        <v>116.14899154197001</v>
      </c>
      <c r="I215" s="9">
        <f t="shared" si="22"/>
        <v>200.52823618079998</v>
      </c>
      <c r="J215" s="9">
        <f t="shared" si="23"/>
        <v>1232.761118376</v>
      </c>
      <c r="K215" s="9">
        <f t="shared" si="24"/>
        <v>200.52823618079998</v>
      </c>
      <c r="L215" s="10">
        <f t="shared" si="21"/>
        <v>0.16266593194062565</v>
      </c>
      <c r="M215" s="10">
        <f t="shared" si="20"/>
        <v>0.18183392874154253</v>
      </c>
      <c r="P215" s="8">
        <f t="shared" si="25"/>
        <v>3.0227923536394083</v>
      </c>
    </row>
    <row r="216" spans="1:16" x14ac:dyDescent="0.2">
      <c r="A216" s="8">
        <v>107</v>
      </c>
      <c r="B216" s="8">
        <v>214</v>
      </c>
      <c r="D216">
        <v>1373.8046204621</v>
      </c>
      <c r="E216">
        <v>317.27854785479002</v>
      </c>
      <c r="F216">
        <v>137.08978529602999</v>
      </c>
      <c r="G216">
        <v>116.14443721536</v>
      </c>
      <c r="I216" s="9">
        <f t="shared" si="22"/>
        <v>201.13411063943002</v>
      </c>
      <c r="J216" s="9">
        <f t="shared" si="23"/>
        <v>1236.7148351660701</v>
      </c>
      <c r="K216" s="9">
        <f t="shared" si="24"/>
        <v>201.13411063943002</v>
      </c>
      <c r="L216" s="10">
        <f t="shared" si="21"/>
        <v>0.16263580327507035</v>
      </c>
      <c r="M216" s="10">
        <f t="shared" si="20"/>
        <v>0.18189379067129668</v>
      </c>
      <c r="P216" s="8">
        <f t="shared" si="25"/>
        <v>3.0567087035837393</v>
      </c>
    </row>
    <row r="217" spans="1:16" x14ac:dyDescent="0.2">
      <c r="A217" s="8">
        <v>107.5</v>
      </c>
      <c r="B217" s="8">
        <v>215</v>
      </c>
      <c r="D217">
        <v>1368.4567656766001</v>
      </c>
      <c r="E217">
        <v>319.66402640263999</v>
      </c>
      <c r="F217">
        <v>137.29277813922999</v>
      </c>
      <c r="G217">
        <v>116.40728692258</v>
      </c>
      <c r="I217" s="9">
        <f t="shared" si="22"/>
        <v>203.25673948005999</v>
      </c>
      <c r="J217" s="9">
        <f t="shared" si="23"/>
        <v>1231.1639875373701</v>
      </c>
      <c r="K217" s="9">
        <f t="shared" si="24"/>
        <v>203.25673948005999</v>
      </c>
      <c r="L217" s="10">
        <f t="shared" si="21"/>
        <v>0.16509314887176266</v>
      </c>
      <c r="M217" s="10">
        <f t="shared" si="20"/>
        <v>0.18444112686329847</v>
      </c>
      <c r="P217" s="8">
        <f t="shared" si="25"/>
        <v>4.4999689871831334</v>
      </c>
    </row>
    <row r="218" spans="1:16" x14ac:dyDescent="0.2">
      <c r="A218" s="8">
        <v>108</v>
      </c>
      <c r="B218" s="8">
        <v>216</v>
      </c>
      <c r="D218">
        <v>1331.8425865447</v>
      </c>
      <c r="E218">
        <v>311.41802743304999</v>
      </c>
      <c r="F218">
        <v>137.23552374755999</v>
      </c>
      <c r="G218">
        <v>116.20559531555</v>
      </c>
      <c r="I218" s="9">
        <f t="shared" si="22"/>
        <v>195.21243211749999</v>
      </c>
      <c r="J218" s="9">
        <f t="shared" si="23"/>
        <v>1194.6070627971401</v>
      </c>
      <c r="K218" s="9">
        <f t="shared" si="24"/>
        <v>195.21243211749999</v>
      </c>
      <c r="L218" s="10">
        <f t="shared" si="21"/>
        <v>0.16341141635343706</v>
      </c>
      <c r="M218" s="10">
        <f t="shared" si="20"/>
        <v>0.18284938494028233</v>
      </c>
      <c r="P218" s="8">
        <f t="shared" si="25"/>
        <v>3.5981257572072636</v>
      </c>
    </row>
    <row r="219" spans="1:16" x14ac:dyDescent="0.2">
      <c r="A219" s="8">
        <v>108.5</v>
      </c>
      <c r="B219" s="8">
        <v>217</v>
      </c>
      <c r="D219">
        <v>1325.7361201829001</v>
      </c>
      <c r="E219">
        <v>311.24689745264999</v>
      </c>
      <c r="F219">
        <v>136.61158100194999</v>
      </c>
      <c r="G219">
        <v>116.57970071568</v>
      </c>
      <c r="I219" s="9">
        <f t="shared" si="22"/>
        <v>194.66719673696997</v>
      </c>
      <c r="J219" s="9">
        <f t="shared" si="23"/>
        <v>1189.12453918095</v>
      </c>
      <c r="K219" s="9">
        <f t="shared" si="24"/>
        <v>194.66719673696997</v>
      </c>
      <c r="L219" s="10">
        <f t="shared" si="21"/>
        <v>0.16370631529566584</v>
      </c>
      <c r="M219" s="10">
        <f t="shared" si="20"/>
        <v>0.18323427447782059</v>
      </c>
      <c r="P219" s="8">
        <f t="shared" si="25"/>
        <v>3.8161950426223874</v>
      </c>
    </row>
    <row r="220" spans="1:16" x14ac:dyDescent="0.2">
      <c r="A220" s="8">
        <v>109</v>
      </c>
      <c r="B220" s="8">
        <v>218</v>
      </c>
      <c r="D220">
        <v>1329.7570215544999</v>
      </c>
      <c r="E220">
        <v>311.27955584584998</v>
      </c>
      <c r="F220">
        <v>136.86271958360001</v>
      </c>
      <c r="G220">
        <v>116.67469095641</v>
      </c>
      <c r="I220" s="9">
        <f t="shared" si="22"/>
        <v>194.60486488943997</v>
      </c>
      <c r="J220" s="9">
        <f t="shared" si="23"/>
        <v>1192.8943019709</v>
      </c>
      <c r="K220" s="9">
        <f t="shared" si="24"/>
        <v>194.60486488943997</v>
      </c>
      <c r="L220" s="10">
        <f t="shared" si="21"/>
        <v>0.16313672097176909</v>
      </c>
      <c r="M220" s="10">
        <f t="shared" si="20"/>
        <v>0.18275467074923329</v>
      </c>
      <c r="P220" s="8">
        <f t="shared" si="25"/>
        <v>3.5444629424349055</v>
      </c>
    </row>
    <row r="221" spans="1:16" x14ac:dyDescent="0.2">
      <c r="A221" s="8">
        <v>109.5</v>
      </c>
      <c r="B221" s="8">
        <v>219</v>
      </c>
      <c r="D221">
        <v>1325.2743305029001</v>
      </c>
      <c r="E221">
        <v>311.79947746571003</v>
      </c>
      <c r="F221">
        <v>136.73649967469001</v>
      </c>
      <c r="G221">
        <v>116.65452179571</v>
      </c>
      <c r="I221" s="9">
        <f t="shared" si="22"/>
        <v>195.14495567000003</v>
      </c>
      <c r="J221" s="9">
        <f t="shared" si="23"/>
        <v>1188.53783082821</v>
      </c>
      <c r="K221" s="9">
        <f t="shared" si="24"/>
        <v>195.14495567000003</v>
      </c>
      <c r="L221" s="10">
        <f t="shared" si="21"/>
        <v>0.16418909908321302</v>
      </c>
      <c r="M221" s="10">
        <f t="shared" si="20"/>
        <v>0.1838970394559867</v>
      </c>
      <c r="P221" s="8">
        <f t="shared" si="25"/>
        <v>4.1917019636762936</v>
      </c>
    </row>
    <row r="222" spans="1:16" x14ac:dyDescent="0.2">
      <c r="A222" s="8">
        <v>110</v>
      </c>
      <c r="B222" s="8">
        <v>220</v>
      </c>
      <c r="D222">
        <v>1314.7511490479001</v>
      </c>
      <c r="E222">
        <v>308.80630334864998</v>
      </c>
      <c r="F222">
        <v>137.08458035133</v>
      </c>
      <c r="G222">
        <v>116.22121014964</v>
      </c>
      <c r="I222" s="9">
        <f t="shared" si="22"/>
        <v>192.58509319900998</v>
      </c>
      <c r="J222" s="9">
        <f t="shared" si="23"/>
        <v>1177.66656869657</v>
      </c>
      <c r="K222" s="9">
        <f t="shared" si="24"/>
        <v>192.58509319900998</v>
      </c>
      <c r="L222" s="10">
        <f t="shared" si="21"/>
        <v>0.16353108623280466</v>
      </c>
      <c r="M222" s="10">
        <f t="shared" si="20"/>
        <v>0.18332901720088782</v>
      </c>
      <c r="P222" s="8">
        <f t="shared" si="25"/>
        <v>3.8698740229596984</v>
      </c>
    </row>
    <row r="223" spans="1:16" x14ac:dyDescent="0.2">
      <c r="A223" s="8">
        <v>110.5</v>
      </c>
      <c r="B223" s="8">
        <v>221</v>
      </c>
      <c r="D223">
        <v>1308.8056467498</v>
      </c>
      <c r="E223">
        <v>308.70321733421002</v>
      </c>
      <c r="F223">
        <v>137.41379310344999</v>
      </c>
      <c r="G223">
        <v>116.47299934938</v>
      </c>
      <c r="I223" s="9">
        <f t="shared" si="22"/>
        <v>192.23021798483001</v>
      </c>
      <c r="J223" s="9">
        <f t="shared" si="23"/>
        <v>1171.39185364635</v>
      </c>
      <c r="K223" s="9">
        <f t="shared" si="24"/>
        <v>192.23021798483001</v>
      </c>
      <c r="L223" s="10">
        <f t="shared" si="21"/>
        <v>0.16410411032520755</v>
      </c>
      <c r="M223" s="10">
        <f t="shared" si="20"/>
        <v>0.18399203188860017</v>
      </c>
      <c r="P223" s="8">
        <f t="shared" si="25"/>
        <v>4.2455224235213525</v>
      </c>
    </row>
    <row r="224" spans="1:16" x14ac:dyDescent="0.2">
      <c r="A224" s="8">
        <v>111</v>
      </c>
      <c r="B224" s="8">
        <v>222</v>
      </c>
      <c r="D224">
        <v>1312.0531845042999</v>
      </c>
      <c r="E224">
        <v>310.79579776755998</v>
      </c>
      <c r="F224">
        <v>137.14834092388</v>
      </c>
      <c r="G224">
        <v>116.00585556279</v>
      </c>
      <c r="I224" s="9">
        <f t="shared" si="22"/>
        <v>194.78994220476997</v>
      </c>
      <c r="J224" s="9">
        <f t="shared" si="23"/>
        <v>1174.90484358042</v>
      </c>
      <c r="K224" s="9">
        <f t="shared" si="24"/>
        <v>194.78994220476997</v>
      </c>
      <c r="L224" s="10">
        <f t="shared" si="21"/>
        <v>0.16579210075529574</v>
      </c>
      <c r="M224" s="10">
        <f t="shared" si="20"/>
        <v>0.18577001291399783</v>
      </c>
      <c r="P224" s="8">
        <f t="shared" si="25"/>
        <v>5.2528843127791882</v>
      </c>
    </row>
    <row r="225" spans="1:16" x14ac:dyDescent="0.2">
      <c r="A225" s="8">
        <v>111.5</v>
      </c>
      <c r="B225" s="8">
        <v>223</v>
      </c>
      <c r="D225">
        <v>1317.0748522653</v>
      </c>
      <c r="E225">
        <v>319.06959947472001</v>
      </c>
      <c r="F225">
        <v>137.30969420950001</v>
      </c>
      <c r="G225">
        <v>116.55367599218999</v>
      </c>
      <c r="I225" s="9">
        <f t="shared" si="22"/>
        <v>202.51592348253001</v>
      </c>
      <c r="J225" s="9">
        <f t="shared" si="23"/>
        <v>1179.7651580557999</v>
      </c>
      <c r="K225" s="9">
        <f t="shared" si="24"/>
        <v>202.51592348253001</v>
      </c>
      <c r="L225" s="10">
        <f t="shared" si="21"/>
        <v>0.17165782706811514</v>
      </c>
      <c r="M225" s="10">
        <f t="shared" si="20"/>
        <v>0.19172572982212671</v>
      </c>
      <c r="P225" s="8">
        <f t="shared" si="25"/>
        <v>8.6272522901402837</v>
      </c>
    </row>
    <row r="226" spans="1:16" x14ac:dyDescent="0.2">
      <c r="A226" s="8">
        <v>112</v>
      </c>
      <c r="B226" s="8">
        <v>224</v>
      </c>
      <c r="D226">
        <v>1305.3486539723999</v>
      </c>
      <c r="E226">
        <v>311.69402495076002</v>
      </c>
      <c r="F226">
        <v>137.13142485361001</v>
      </c>
      <c r="G226">
        <v>116.62524398178</v>
      </c>
      <c r="I226" s="9">
        <f t="shared" si="22"/>
        <v>195.06878096898004</v>
      </c>
      <c r="J226" s="9">
        <f t="shared" si="23"/>
        <v>1168.2172291187899</v>
      </c>
      <c r="K226" s="9">
        <f t="shared" si="24"/>
        <v>195.06878096898004</v>
      </c>
      <c r="L226" s="10">
        <f t="shared" si="21"/>
        <v>0.16697988705073663</v>
      </c>
      <c r="M226" s="10">
        <f t="shared" si="20"/>
        <v>0.18713778040005766</v>
      </c>
      <c r="P226" s="8">
        <f t="shared" si="25"/>
        <v>6.0278289376884961</v>
      </c>
    </row>
    <row r="227" spans="1:16" x14ac:dyDescent="0.2">
      <c r="A227" s="8">
        <v>112.5</v>
      </c>
      <c r="B227" s="8">
        <v>225</v>
      </c>
      <c r="D227">
        <v>1321.1704768125001</v>
      </c>
      <c r="E227">
        <v>318.20509470934002</v>
      </c>
      <c r="F227">
        <v>137.07807417046001</v>
      </c>
      <c r="G227">
        <v>116.60832791152001</v>
      </c>
      <c r="I227" s="9">
        <f t="shared" si="22"/>
        <v>201.59676679782001</v>
      </c>
      <c r="J227" s="9">
        <f t="shared" si="23"/>
        <v>1184.09240264204</v>
      </c>
      <c r="K227" s="9">
        <f t="shared" si="24"/>
        <v>201.59676679782001</v>
      </c>
      <c r="L227" s="10">
        <f t="shared" si="21"/>
        <v>0.17025425241138401</v>
      </c>
      <c r="M227" s="10">
        <f t="shared" si="20"/>
        <v>0.19050213635601451</v>
      </c>
      <c r="P227" s="8">
        <f t="shared" si="25"/>
        <v>7.9339932462589582</v>
      </c>
    </row>
    <row r="228" spans="1:16" x14ac:dyDescent="0.2">
      <c r="A228" s="8">
        <v>113</v>
      </c>
      <c r="B228" s="8">
        <v>226</v>
      </c>
      <c r="D228">
        <v>1324.6518615284001</v>
      </c>
      <c r="E228">
        <v>319.80927498366998</v>
      </c>
      <c r="F228">
        <v>137.23617436564999</v>
      </c>
      <c r="G228">
        <v>116.44046844502</v>
      </c>
      <c r="I228" s="9">
        <f t="shared" si="22"/>
        <v>203.36880653864998</v>
      </c>
      <c r="J228" s="9">
        <f t="shared" si="23"/>
        <v>1187.4156871627501</v>
      </c>
      <c r="K228" s="9">
        <f t="shared" si="24"/>
        <v>203.36880653864998</v>
      </c>
      <c r="L228" s="10">
        <f t="shared" si="21"/>
        <v>0.17127010257426029</v>
      </c>
      <c r="M228" s="10">
        <f t="shared" si="20"/>
        <v>0.19160797711420025</v>
      </c>
      <c r="P228" s="8">
        <f t="shared" si="25"/>
        <v>8.5605363979976783</v>
      </c>
    </row>
    <row r="229" spans="1:16" x14ac:dyDescent="0.2">
      <c r="A229" s="8">
        <v>113.5</v>
      </c>
      <c r="B229" s="8">
        <v>227</v>
      </c>
      <c r="D229">
        <v>1334.2240365774001</v>
      </c>
      <c r="E229">
        <v>321.14630960157001</v>
      </c>
      <c r="F229">
        <v>137.53285621340001</v>
      </c>
      <c r="G229">
        <v>116.66037735849</v>
      </c>
      <c r="I229" s="9">
        <f t="shared" si="22"/>
        <v>204.48593224308001</v>
      </c>
      <c r="J229" s="9">
        <f t="shared" si="23"/>
        <v>1196.691180364</v>
      </c>
      <c r="K229" s="9">
        <f t="shared" si="24"/>
        <v>204.48593224308001</v>
      </c>
      <c r="L229" s="10">
        <f t="shared" si="21"/>
        <v>0.17087610872245343</v>
      </c>
      <c r="M229" s="10">
        <f t="shared" si="20"/>
        <v>0.19130397385770287</v>
      </c>
      <c r="P229" s="8">
        <f t="shared" si="25"/>
        <v>8.3882953614336149</v>
      </c>
    </row>
    <row r="230" spans="1:16" x14ac:dyDescent="0.2">
      <c r="A230" s="8">
        <v>114</v>
      </c>
      <c r="B230" s="8">
        <v>228</v>
      </c>
      <c r="D230">
        <v>1334.1280209014001</v>
      </c>
      <c r="E230">
        <v>318.53821032004998</v>
      </c>
      <c r="F230">
        <v>137.11190631100001</v>
      </c>
      <c r="G230">
        <v>115.95640858816</v>
      </c>
      <c r="I230" s="9">
        <f t="shared" si="22"/>
        <v>202.58180173188998</v>
      </c>
      <c r="J230" s="9">
        <f t="shared" si="23"/>
        <v>1197.0161145904001</v>
      </c>
      <c r="K230" s="9">
        <f t="shared" si="24"/>
        <v>202.58180173188998</v>
      </c>
      <c r="L230" s="10">
        <f t="shared" si="21"/>
        <v>0.1692389929113112</v>
      </c>
      <c r="M230" s="10">
        <f t="shared" si="20"/>
        <v>0.18975684864187009</v>
      </c>
      <c r="P230" s="8">
        <f t="shared" si="25"/>
        <v>7.5117308997902965</v>
      </c>
    </row>
    <row r="231" spans="1:16" x14ac:dyDescent="0.2">
      <c r="A231" s="8">
        <v>114.5</v>
      </c>
      <c r="B231" s="8">
        <v>229</v>
      </c>
      <c r="D231">
        <v>1336.9320705421001</v>
      </c>
      <c r="E231">
        <v>320.86936642717001</v>
      </c>
      <c r="F231">
        <v>137.36890045543001</v>
      </c>
      <c r="G231">
        <v>116.26219908914</v>
      </c>
      <c r="I231" s="9">
        <f t="shared" si="22"/>
        <v>204.60716733803002</v>
      </c>
      <c r="J231" s="9">
        <f t="shared" si="23"/>
        <v>1199.56317008667</v>
      </c>
      <c r="K231" s="9">
        <f t="shared" si="24"/>
        <v>204.60716733803002</v>
      </c>
      <c r="L231" s="10">
        <f t="shared" si="21"/>
        <v>0.17056806380880041</v>
      </c>
      <c r="M231" s="10">
        <f t="shared" si="20"/>
        <v>0.19117591013466878</v>
      </c>
      <c r="P231" s="8">
        <f t="shared" si="25"/>
        <v>8.3157374926272496</v>
      </c>
    </row>
    <row r="232" spans="1:16" x14ac:dyDescent="0.2">
      <c r="A232" s="8">
        <v>115</v>
      </c>
      <c r="B232" s="8">
        <v>230</v>
      </c>
      <c r="D232">
        <v>1340.5800130634</v>
      </c>
      <c r="E232">
        <v>321.65643370345998</v>
      </c>
      <c r="F232">
        <v>137.25959661678999</v>
      </c>
      <c r="G232">
        <v>116.3246584255</v>
      </c>
      <c r="I232" s="9">
        <f t="shared" si="22"/>
        <v>205.33177527795999</v>
      </c>
      <c r="J232" s="9">
        <f t="shared" si="23"/>
        <v>1203.3204164466099</v>
      </c>
      <c r="K232" s="9">
        <f t="shared" si="24"/>
        <v>205.33177527795999</v>
      </c>
      <c r="L232" s="10">
        <f t="shared" si="21"/>
        <v>0.17063765599880881</v>
      </c>
      <c r="M232" s="10">
        <f t="shared" si="20"/>
        <v>0.19133549291998664</v>
      </c>
      <c r="P232" s="8">
        <f t="shared" si="25"/>
        <v>8.4061533147392264</v>
      </c>
    </row>
    <row r="233" spans="1:16" x14ac:dyDescent="0.2">
      <c r="A233" s="8">
        <v>115.5</v>
      </c>
      <c r="B233" s="8">
        <v>231</v>
      </c>
      <c r="D233">
        <v>1341.5649902025</v>
      </c>
      <c r="E233">
        <v>322.41476159373002</v>
      </c>
      <c r="F233">
        <v>137.38841899805001</v>
      </c>
      <c r="G233">
        <v>116.32335718933</v>
      </c>
      <c r="I233" s="9">
        <f t="shared" si="22"/>
        <v>206.09140440440001</v>
      </c>
      <c r="J233" s="9">
        <f t="shared" si="23"/>
        <v>1204.1765712044501</v>
      </c>
      <c r="K233" s="9">
        <f t="shared" si="24"/>
        <v>206.09140440440001</v>
      </c>
      <c r="L233" s="10">
        <f t="shared" si="21"/>
        <v>0.17114716340832126</v>
      </c>
      <c r="M233" s="10">
        <f t="shared" si="20"/>
        <v>0.19193499092480856</v>
      </c>
      <c r="P233" s="8">
        <f t="shared" si="25"/>
        <v>8.745814668891553</v>
      </c>
    </row>
    <row r="234" spans="1:16" x14ac:dyDescent="0.2">
      <c r="A234" s="8">
        <v>116</v>
      </c>
      <c r="B234" s="8">
        <v>232</v>
      </c>
      <c r="D234">
        <v>1336.2064010450999</v>
      </c>
      <c r="E234">
        <v>324.40953625082</v>
      </c>
      <c r="F234">
        <v>137.12556929082999</v>
      </c>
      <c r="G234">
        <v>116.43786597267</v>
      </c>
      <c r="I234" s="9">
        <f t="shared" si="22"/>
        <v>207.97167027814999</v>
      </c>
      <c r="J234" s="9">
        <f t="shared" si="23"/>
        <v>1199.0808317542699</v>
      </c>
      <c r="K234" s="9">
        <f t="shared" si="24"/>
        <v>207.97167027814999</v>
      </c>
      <c r="L234" s="10">
        <f t="shared" si="21"/>
        <v>0.17344257765665796</v>
      </c>
      <c r="M234" s="10">
        <f t="shared" si="20"/>
        <v>0.19432039576845475</v>
      </c>
      <c r="P234" s="8">
        <f t="shared" si="25"/>
        <v>10.09732849025124</v>
      </c>
    </row>
    <row r="235" spans="1:16" x14ac:dyDescent="0.2">
      <c r="A235" s="8">
        <v>116.5</v>
      </c>
      <c r="B235" s="8">
        <v>233</v>
      </c>
      <c r="D235">
        <v>1333.6094056172001</v>
      </c>
      <c r="E235">
        <v>324.32984977139</v>
      </c>
      <c r="F235">
        <v>137.07221860768001</v>
      </c>
      <c r="G235">
        <v>116.492517892</v>
      </c>
      <c r="I235" s="9">
        <f t="shared" si="22"/>
        <v>207.83733187939001</v>
      </c>
      <c r="J235" s="9">
        <f t="shared" si="23"/>
        <v>1196.53718700952</v>
      </c>
      <c r="K235" s="9">
        <f t="shared" si="24"/>
        <v>207.83733187939001</v>
      </c>
      <c r="L235" s="10">
        <f t="shared" si="21"/>
        <v>0.17369901590675457</v>
      </c>
      <c r="M235" s="10">
        <f t="shared" si="20"/>
        <v>0.19466682461386081</v>
      </c>
      <c r="P235" s="8">
        <f t="shared" si="25"/>
        <v>10.29360685948952</v>
      </c>
    </row>
    <row r="236" spans="1:16" x14ac:dyDescent="0.2">
      <c r="A236" s="8">
        <v>117</v>
      </c>
      <c r="B236" s="8">
        <v>234</v>
      </c>
      <c r="D236">
        <v>1336.5120836055</v>
      </c>
      <c r="E236">
        <v>325.94382756367997</v>
      </c>
      <c r="F236">
        <v>136.98243331165</v>
      </c>
      <c r="G236">
        <v>116.14313597918</v>
      </c>
      <c r="I236" s="9">
        <f t="shared" si="22"/>
        <v>209.80069158449999</v>
      </c>
      <c r="J236" s="9">
        <f t="shared" si="23"/>
        <v>1199.52965029385</v>
      </c>
      <c r="K236" s="9">
        <f t="shared" si="24"/>
        <v>209.80069158449999</v>
      </c>
      <c r="L236" s="10">
        <f t="shared" si="21"/>
        <v>0.17490246408924107</v>
      </c>
      <c r="M236" s="10">
        <f t="shared" si="20"/>
        <v>0.19596026339165679</v>
      </c>
      <c r="P236" s="8">
        <f t="shared" si="25"/>
        <v>11.026438600789163</v>
      </c>
    </row>
    <row r="237" spans="1:16" x14ac:dyDescent="0.2">
      <c r="A237" s="8">
        <v>117.5</v>
      </c>
      <c r="B237" s="8">
        <v>235</v>
      </c>
      <c r="D237">
        <v>1333.3749183540001</v>
      </c>
      <c r="E237">
        <v>324.07184846505999</v>
      </c>
      <c r="F237">
        <v>137.26024723487001</v>
      </c>
      <c r="G237">
        <v>116.35979180221</v>
      </c>
      <c r="I237" s="9">
        <f t="shared" si="22"/>
        <v>207.71205666284999</v>
      </c>
      <c r="J237" s="9">
        <f t="shared" si="23"/>
        <v>1196.11467111913</v>
      </c>
      <c r="K237" s="9">
        <f t="shared" si="24"/>
        <v>207.71205666284999</v>
      </c>
      <c r="L237" s="10">
        <f t="shared" si="21"/>
        <v>0.17365563827463695</v>
      </c>
      <c r="M237" s="10">
        <f t="shared" si="20"/>
        <v>0.19480342817236213</v>
      </c>
      <c r="P237" s="8">
        <f t="shared" si="25"/>
        <v>10.371003196573852</v>
      </c>
    </row>
    <row r="238" spans="1:16" x14ac:dyDescent="0.2">
      <c r="A238" s="8">
        <v>118</v>
      </c>
      <c r="B238" s="8">
        <v>236</v>
      </c>
      <c r="D238">
        <v>1323.7635532331999</v>
      </c>
      <c r="E238">
        <v>323.98497713913002</v>
      </c>
      <c r="F238">
        <v>137.09238776838001</v>
      </c>
      <c r="G238">
        <v>116.24137931035</v>
      </c>
      <c r="I238" s="9">
        <f t="shared" si="22"/>
        <v>207.74359782878003</v>
      </c>
      <c r="J238" s="9">
        <f t="shared" si="23"/>
        <v>1186.67116546482</v>
      </c>
      <c r="K238" s="9">
        <f t="shared" si="24"/>
        <v>207.74359782878003</v>
      </c>
      <c r="L238" s="10">
        <f t="shared" si="21"/>
        <v>0.17506416594137661</v>
      </c>
      <c r="M238" s="10">
        <f t="shared" si="20"/>
        <v>0.19630194643441126</v>
      </c>
      <c r="P238" s="8">
        <f t="shared" si="25"/>
        <v>11.220028110778186</v>
      </c>
    </row>
    <row r="239" spans="1:16" x14ac:dyDescent="0.2">
      <c r="A239" s="8">
        <v>118.5</v>
      </c>
      <c r="B239" s="8">
        <v>237</v>
      </c>
      <c r="D239">
        <v>1326.4128020901001</v>
      </c>
      <c r="E239">
        <v>323.02939255388998</v>
      </c>
      <c r="F239">
        <v>137.37605725438999</v>
      </c>
      <c r="G239">
        <v>116.32140533507</v>
      </c>
      <c r="I239" s="9">
        <f t="shared" si="22"/>
        <v>206.70798721881999</v>
      </c>
      <c r="J239" s="9">
        <f t="shared" si="23"/>
        <v>1189.0367448357101</v>
      </c>
      <c r="K239" s="9">
        <f t="shared" si="24"/>
        <v>206.70798721881999</v>
      </c>
      <c r="L239" s="10">
        <f t="shared" si="21"/>
        <v>0.17384491111532549</v>
      </c>
      <c r="M239" s="10">
        <f t="shared" si="20"/>
        <v>0.19517268220366962</v>
      </c>
      <c r="P239" s="8">
        <f t="shared" si="25"/>
        <v>10.580213774909916</v>
      </c>
    </row>
    <row r="240" spans="1:16" x14ac:dyDescent="0.2">
      <c r="A240" s="8">
        <v>119</v>
      </c>
      <c r="B240" s="8">
        <v>238</v>
      </c>
      <c r="D240">
        <v>1328.6048334422001</v>
      </c>
      <c r="E240">
        <v>322.93533638144999</v>
      </c>
      <c r="F240">
        <v>137.36434612881999</v>
      </c>
      <c r="G240">
        <v>116.2992843201</v>
      </c>
      <c r="I240" s="9">
        <f t="shared" si="22"/>
        <v>206.63605206134997</v>
      </c>
      <c r="J240" s="9">
        <f t="shared" si="23"/>
        <v>1191.2404873133801</v>
      </c>
      <c r="K240" s="9">
        <f t="shared" si="24"/>
        <v>206.63605206134997</v>
      </c>
      <c r="L240" s="10">
        <f t="shared" si="21"/>
        <v>0.17346291891688378</v>
      </c>
      <c r="M240" s="10">
        <f t="shared" si="20"/>
        <v>0.19488068060053737</v>
      </c>
      <c r="P240" s="8">
        <f t="shared" si="25"/>
        <v>10.414772590557664</v>
      </c>
    </row>
    <row r="241" spans="1:16" x14ac:dyDescent="0.2">
      <c r="A241" s="8">
        <v>119.5</v>
      </c>
      <c r="B241" s="8">
        <v>239</v>
      </c>
      <c r="D241">
        <v>1328.8249510124001</v>
      </c>
      <c r="E241">
        <v>322.53755715219</v>
      </c>
      <c r="F241">
        <v>136.93689004554</v>
      </c>
      <c r="G241">
        <v>116.04098893949001</v>
      </c>
      <c r="I241" s="9">
        <f t="shared" si="22"/>
        <v>206.4965682127</v>
      </c>
      <c r="J241" s="9">
        <f t="shared" si="23"/>
        <v>1191.8880609668602</v>
      </c>
      <c r="K241" s="9">
        <f t="shared" si="24"/>
        <v>206.4965682127</v>
      </c>
      <c r="L241" s="10">
        <f t="shared" si="21"/>
        <v>0.17325164583424879</v>
      </c>
      <c r="M241" s="10">
        <f t="shared" si="20"/>
        <v>0.19475939811321186</v>
      </c>
      <c r="P241" s="8">
        <f t="shared" si="25"/>
        <v>10.346056809106177</v>
      </c>
    </row>
    <row r="242" spans="1:16" x14ac:dyDescent="0.2">
      <c r="A242" s="8">
        <v>120</v>
      </c>
      <c r="B242" s="8">
        <v>240</v>
      </c>
      <c r="D242">
        <v>1327.0711952971999</v>
      </c>
      <c r="E242">
        <v>323.14435009798001</v>
      </c>
      <c r="F242">
        <v>137.12817176318001</v>
      </c>
      <c r="G242">
        <v>116.30644111906</v>
      </c>
      <c r="I242" s="9">
        <f>E242-G242</f>
        <v>206.83790897892001</v>
      </c>
      <c r="J242" s="9">
        <f>D242-F242</f>
        <v>1189.9430235340199</v>
      </c>
      <c r="K242" s="9">
        <f t="shared" si="24"/>
        <v>206.83790897892001</v>
      </c>
      <c r="L242" s="10">
        <f t="shared" si="21"/>
        <v>0.17382169136521403</v>
      </c>
      <c r="M242" s="10">
        <f>L242+ABS($N$2)*A242</f>
        <v>0.19541943423948654</v>
      </c>
      <c r="O242" s="11"/>
      <c r="P242" s="8">
        <f>(M242-$O$2)/$O$2*100</f>
        <v>10.720017627385312</v>
      </c>
    </row>
    <row r="243" spans="1:16" x14ac:dyDescent="0.2">
      <c r="A243" s="8">
        <v>120.5</v>
      </c>
      <c r="B243" s="8">
        <v>241</v>
      </c>
      <c r="D243">
        <v>1331.3736120183</v>
      </c>
      <c r="E243">
        <v>323.16067929458001</v>
      </c>
      <c r="F243">
        <v>136.93558880936999</v>
      </c>
      <c r="G243">
        <v>116.40923877684</v>
      </c>
      <c r="I243" s="9">
        <f t="shared" ref="I243:I274" si="26">E243-G243</f>
        <v>206.75144051774001</v>
      </c>
      <c r="J243" s="9">
        <f t="shared" ref="J243:J274" si="27">D243-F243</f>
        <v>1194.43802320893</v>
      </c>
      <c r="K243" s="9">
        <f t="shared" si="24"/>
        <v>206.75144051774001</v>
      </c>
      <c r="L243" s="10">
        <f t="shared" si="21"/>
        <v>0.17309515981606963</v>
      </c>
      <c r="M243" s="10">
        <f t="shared" ref="M243:M274" si="28">L243+ABS($N$2)*A243</f>
        <v>0.19478289328565163</v>
      </c>
      <c r="P243" s="8">
        <f t="shared" ref="P243:P274" si="29">(M243-$O$2)/$O$2*100</f>
        <v>10.359368616689764</v>
      </c>
    </row>
    <row r="244" spans="1:16" x14ac:dyDescent="0.2">
      <c r="A244" s="8">
        <v>121</v>
      </c>
      <c r="B244" s="8">
        <v>242</v>
      </c>
      <c r="D244">
        <v>1323.7949052906999</v>
      </c>
      <c r="E244">
        <v>322.52580013062999</v>
      </c>
      <c r="F244">
        <v>137.06310995446</v>
      </c>
      <c r="G244">
        <v>116.25699414444</v>
      </c>
      <c r="I244" s="9">
        <f t="shared" si="26"/>
        <v>206.26880598618999</v>
      </c>
      <c r="J244" s="9">
        <f t="shared" si="27"/>
        <v>1186.7317953362399</v>
      </c>
      <c r="K244" s="9">
        <f t="shared" si="24"/>
        <v>206.26880598618999</v>
      </c>
      <c r="L244" s="10">
        <f t="shared" si="21"/>
        <v>0.17381248804220947</v>
      </c>
      <c r="M244" s="10">
        <f t="shared" si="28"/>
        <v>0.19559021210710092</v>
      </c>
      <c r="N244" s="1"/>
      <c r="P244" s="8">
        <f t="shared" si="29"/>
        <v>10.816776317667157</v>
      </c>
    </row>
    <row r="245" spans="1:16" x14ac:dyDescent="0.2">
      <c r="A245" s="8">
        <v>121.5</v>
      </c>
      <c r="B245" s="8">
        <v>243</v>
      </c>
      <c r="D245">
        <v>1325.5264532985</v>
      </c>
      <c r="E245">
        <v>323.73350751142999</v>
      </c>
      <c r="F245">
        <v>137.21210149641999</v>
      </c>
      <c r="G245">
        <v>116.24268054652001</v>
      </c>
      <c r="I245" s="9">
        <f t="shared" si="26"/>
        <v>207.49082696490999</v>
      </c>
      <c r="J245" s="9">
        <f t="shared" si="27"/>
        <v>1188.31435180208</v>
      </c>
      <c r="K245" s="9">
        <f t="shared" si="24"/>
        <v>207.49082696490999</v>
      </c>
      <c r="L245" s="10">
        <f t="shared" si="21"/>
        <v>0.17460937558336304</v>
      </c>
      <c r="M245" s="10">
        <f t="shared" si="28"/>
        <v>0.19647709024356397</v>
      </c>
      <c r="P245" s="8">
        <f t="shared" si="29"/>
        <v>11.319260440009833</v>
      </c>
    </row>
    <row r="246" spans="1:16" x14ac:dyDescent="0.2">
      <c r="A246" s="8">
        <v>122</v>
      </c>
      <c r="B246" s="8">
        <v>244</v>
      </c>
      <c r="D246">
        <v>1321.0613977792</v>
      </c>
      <c r="E246">
        <v>321.31286740692002</v>
      </c>
      <c r="F246">
        <v>137.29538061157999</v>
      </c>
      <c r="G246">
        <v>116.08913467794</v>
      </c>
      <c r="I246" s="9">
        <f t="shared" si="26"/>
        <v>205.22373272898002</v>
      </c>
      <c r="J246" s="9">
        <f t="shared" si="27"/>
        <v>1183.76601716762</v>
      </c>
      <c r="K246" s="9">
        <f t="shared" si="24"/>
        <v>205.22373272898002</v>
      </c>
      <c r="L246" s="10">
        <f t="shared" si="21"/>
        <v>0.17336511586978642</v>
      </c>
      <c r="M246" s="10">
        <f t="shared" si="28"/>
        <v>0.19532282112529684</v>
      </c>
      <c r="P246" s="8">
        <f t="shared" si="29"/>
        <v>10.665278927788977</v>
      </c>
    </row>
    <row r="247" spans="1:16" x14ac:dyDescent="0.2">
      <c r="A247" s="8">
        <v>122.5</v>
      </c>
      <c r="B247" s="8">
        <v>245</v>
      </c>
      <c r="D247">
        <v>1320.4833442194999</v>
      </c>
      <c r="E247">
        <v>320.58262573480999</v>
      </c>
      <c r="F247">
        <v>137.21795705920999</v>
      </c>
      <c r="G247">
        <v>116.12947299935</v>
      </c>
      <c r="I247" s="9">
        <f t="shared" si="26"/>
        <v>204.45315273545998</v>
      </c>
      <c r="J247" s="9">
        <f t="shared" si="27"/>
        <v>1183.2653871602899</v>
      </c>
      <c r="K247" s="9">
        <f t="shared" si="24"/>
        <v>204.45315273545998</v>
      </c>
      <c r="L247" s="10">
        <f t="shared" si="21"/>
        <v>0.17278723349300837</v>
      </c>
      <c r="M247" s="10">
        <f t="shared" si="28"/>
        <v>0.19483492934382823</v>
      </c>
      <c r="P247" s="8">
        <f t="shared" si="29"/>
        <v>10.388851013366407</v>
      </c>
    </row>
    <row r="248" spans="1:16" x14ac:dyDescent="0.2">
      <c r="A248" s="8">
        <v>123</v>
      </c>
      <c r="B248" s="8">
        <v>246</v>
      </c>
      <c r="D248">
        <v>1323.3487916395</v>
      </c>
      <c r="E248">
        <v>321.84389288046998</v>
      </c>
      <c r="F248">
        <v>136.93884189981</v>
      </c>
      <c r="G248">
        <v>116.36434612882</v>
      </c>
      <c r="I248" s="9">
        <f t="shared" si="26"/>
        <v>205.47954675164999</v>
      </c>
      <c r="J248" s="9">
        <f t="shared" si="27"/>
        <v>1186.4099497396899</v>
      </c>
      <c r="K248" s="9">
        <f t="shared" si="24"/>
        <v>205.47954675164999</v>
      </c>
      <c r="L248" s="10">
        <f t="shared" si="21"/>
        <v>0.17319438933964962</v>
      </c>
      <c r="M248" s="10">
        <f t="shared" si="28"/>
        <v>0.19533207578577896</v>
      </c>
      <c r="P248" s="8">
        <f t="shared" si="29"/>
        <v>10.670522398970359</v>
      </c>
    </row>
    <row r="249" spans="1:16" x14ac:dyDescent="0.2">
      <c r="A249" s="8">
        <v>123.5</v>
      </c>
      <c r="B249" s="8">
        <v>247</v>
      </c>
      <c r="D249">
        <v>1319.3122142391001</v>
      </c>
      <c r="E249">
        <v>323.17374265185998</v>
      </c>
      <c r="F249">
        <v>136.96877033182</v>
      </c>
      <c r="G249">
        <v>116.12296681847999</v>
      </c>
      <c r="I249" s="9">
        <f t="shared" si="26"/>
        <v>207.05077583337999</v>
      </c>
      <c r="J249" s="9">
        <f t="shared" si="27"/>
        <v>1182.3434439072801</v>
      </c>
      <c r="K249" s="9">
        <f t="shared" si="24"/>
        <v>207.05077583337999</v>
      </c>
      <c r="L249" s="10">
        <f t="shared" si="21"/>
        <v>0.17511897824640621</v>
      </c>
      <c r="M249" s="10">
        <f t="shared" si="28"/>
        <v>0.19734665528784501</v>
      </c>
      <c r="P249" s="8">
        <f t="shared" si="29"/>
        <v>11.811935374852627</v>
      </c>
    </row>
    <row r="250" spans="1:16" x14ac:dyDescent="0.2">
      <c r="A250" s="8">
        <v>124</v>
      </c>
      <c r="B250" s="8">
        <v>248</v>
      </c>
      <c r="D250">
        <v>1310.8367080339999</v>
      </c>
      <c r="E250">
        <v>322.47877204442</v>
      </c>
      <c r="F250">
        <v>137.48666232920999</v>
      </c>
      <c r="G250">
        <v>116.30253741054</v>
      </c>
      <c r="I250" s="9">
        <f t="shared" si="26"/>
        <v>206.17623463388</v>
      </c>
      <c r="J250" s="9">
        <f t="shared" si="27"/>
        <v>1173.3500457047899</v>
      </c>
      <c r="K250" s="9">
        <f t="shared" si="24"/>
        <v>206.17623463388</v>
      </c>
      <c r="L250" s="10">
        <f t="shared" si="21"/>
        <v>0.17571587898139743</v>
      </c>
      <c r="M250" s="10">
        <f t="shared" si="28"/>
        <v>0.19803354661814571</v>
      </c>
      <c r="P250" s="8">
        <f t="shared" si="29"/>
        <v>12.201111714938582</v>
      </c>
    </row>
    <row r="251" spans="1:16" x14ac:dyDescent="0.2">
      <c r="A251" s="8">
        <v>124.5</v>
      </c>
      <c r="B251" s="8">
        <v>249</v>
      </c>
      <c r="D251">
        <v>1314.2880470281</v>
      </c>
      <c r="E251">
        <v>318.90398432397001</v>
      </c>
      <c r="F251">
        <v>137.24723487313</v>
      </c>
      <c r="G251">
        <v>116.41769681197</v>
      </c>
      <c r="I251" s="9">
        <f t="shared" si="26"/>
        <v>202.48628751199999</v>
      </c>
      <c r="J251" s="9">
        <f t="shared" si="27"/>
        <v>1177.0408121549699</v>
      </c>
      <c r="K251" s="9">
        <f t="shared" si="24"/>
        <v>202.48628751199999</v>
      </c>
      <c r="L251" s="10">
        <f t="shared" si="21"/>
        <v>0.17202996312530625</v>
      </c>
      <c r="M251" s="10">
        <f t="shared" si="28"/>
        <v>0.194437621357364</v>
      </c>
      <c r="P251" s="8">
        <f t="shared" si="29"/>
        <v>10.163745729257812</v>
      </c>
    </row>
    <row r="252" spans="1:16" x14ac:dyDescent="0.2">
      <c r="A252" s="8">
        <v>125</v>
      </c>
      <c r="B252" s="8">
        <v>250</v>
      </c>
      <c r="D252">
        <v>1309.8967994775001</v>
      </c>
      <c r="E252">
        <v>318.08621815806998</v>
      </c>
      <c r="F252">
        <v>136.77293428757</v>
      </c>
      <c r="G252">
        <v>116.49381912817</v>
      </c>
      <c r="I252" s="9">
        <f t="shared" si="26"/>
        <v>201.59239902989998</v>
      </c>
      <c r="J252" s="9">
        <f t="shared" si="27"/>
        <v>1173.12386518993</v>
      </c>
      <c r="K252" s="9">
        <f t="shared" si="24"/>
        <v>201.59239902989998</v>
      </c>
      <c r="L252" s="10">
        <f t="shared" si="21"/>
        <v>0.17184238170558566</v>
      </c>
      <c r="M252" s="10">
        <f t="shared" si="28"/>
        <v>0.19434003053295287</v>
      </c>
      <c r="P252" s="8">
        <f t="shared" si="29"/>
        <v>10.108453082233618</v>
      </c>
    </row>
    <row r="253" spans="1:16" x14ac:dyDescent="0.2">
      <c r="A253" s="8">
        <v>125.5</v>
      </c>
      <c r="B253" s="8">
        <v>251</v>
      </c>
      <c r="D253">
        <v>1313.2984977138999</v>
      </c>
      <c r="E253">
        <v>322.75832789026998</v>
      </c>
      <c r="F253">
        <v>137.18152244632</v>
      </c>
      <c r="G253">
        <v>116.18737800911001</v>
      </c>
      <c r="I253" s="9">
        <f t="shared" si="26"/>
        <v>206.57094988115998</v>
      </c>
      <c r="J253" s="9">
        <f t="shared" si="27"/>
        <v>1176.1169752675798</v>
      </c>
      <c r="K253" s="9">
        <f t="shared" si="24"/>
        <v>206.57094988115998</v>
      </c>
      <c r="L253" s="10">
        <f t="shared" si="21"/>
        <v>0.17563809912203909</v>
      </c>
      <c r="M253" s="10">
        <f t="shared" si="28"/>
        <v>0.19822573854471578</v>
      </c>
      <c r="P253" s="8">
        <f t="shared" si="29"/>
        <v>12.31000310325159</v>
      </c>
    </row>
    <row r="254" spans="1:16" x14ac:dyDescent="0.2">
      <c r="A254" s="8">
        <v>126</v>
      </c>
      <c r="B254" s="8">
        <v>252</v>
      </c>
      <c r="D254">
        <v>1306.9072501633</v>
      </c>
      <c r="E254">
        <v>322.95754408882999</v>
      </c>
      <c r="F254">
        <v>136.98763825634001</v>
      </c>
      <c r="G254">
        <v>115.79440468445</v>
      </c>
      <c r="I254" s="9">
        <f t="shared" si="26"/>
        <v>207.16313940437999</v>
      </c>
      <c r="J254" s="9">
        <f t="shared" si="27"/>
        <v>1169.91961190696</v>
      </c>
      <c r="K254" s="9">
        <f t="shared" si="24"/>
        <v>207.16313940437999</v>
      </c>
      <c r="L254" s="10">
        <f t="shared" si="21"/>
        <v>0.17707467871805796</v>
      </c>
      <c r="M254" s="10">
        <f t="shared" si="28"/>
        <v>0.1997523087360441</v>
      </c>
      <c r="P254" s="8">
        <f t="shared" si="29"/>
        <v>13.174921575414272</v>
      </c>
    </row>
    <row r="255" spans="1:16" x14ac:dyDescent="0.2">
      <c r="A255" s="8">
        <v>126.5</v>
      </c>
      <c r="B255" s="8">
        <v>253</v>
      </c>
      <c r="D255">
        <v>1306.5179621162999</v>
      </c>
      <c r="E255">
        <v>320.9653821032</v>
      </c>
      <c r="F255">
        <v>136.85491216656001</v>
      </c>
      <c r="G255">
        <v>116.63044892648</v>
      </c>
      <c r="I255" s="9">
        <f t="shared" si="26"/>
        <v>204.33493317672</v>
      </c>
      <c r="J255" s="9">
        <f t="shared" si="27"/>
        <v>1169.6630499497398</v>
      </c>
      <c r="K255" s="9">
        <f t="shared" si="24"/>
        <v>204.33493317672</v>
      </c>
      <c r="L255" s="10">
        <f t="shared" si="21"/>
        <v>0.17469555286498981</v>
      </c>
      <c r="M255" s="10">
        <f t="shared" si="28"/>
        <v>0.19746317347828543</v>
      </c>
      <c r="P255" s="8">
        <f t="shared" si="29"/>
        <v>11.877951818660691</v>
      </c>
    </row>
    <row r="256" spans="1:16" x14ac:dyDescent="0.2">
      <c r="A256" s="8">
        <v>127</v>
      </c>
      <c r="B256" s="8">
        <v>254</v>
      </c>
      <c r="D256">
        <v>1308.1234487263</v>
      </c>
      <c r="E256">
        <v>321.55388634879</v>
      </c>
      <c r="F256">
        <v>137.09108653221</v>
      </c>
      <c r="G256">
        <v>116.56408588159</v>
      </c>
      <c r="I256" s="9">
        <f t="shared" si="26"/>
        <v>204.98980046719998</v>
      </c>
      <c r="J256" s="9">
        <f t="shared" si="27"/>
        <v>1171.03236219409</v>
      </c>
      <c r="K256" s="9">
        <f t="shared" si="24"/>
        <v>204.98980046719998</v>
      </c>
      <c r="L256" s="10">
        <f t="shared" si="21"/>
        <v>0.17505049995640037</v>
      </c>
      <c r="M256" s="10">
        <f t="shared" si="28"/>
        <v>0.19790811116500548</v>
      </c>
      <c r="P256" s="8">
        <f t="shared" si="29"/>
        <v>12.13004296153218</v>
      </c>
    </row>
    <row r="257" spans="1:16" x14ac:dyDescent="0.2">
      <c r="A257" s="8">
        <v>127.5</v>
      </c>
      <c r="B257" s="8">
        <v>255</v>
      </c>
      <c r="D257">
        <v>1306.1208360549001</v>
      </c>
      <c r="E257">
        <v>321.97844546047997</v>
      </c>
      <c r="F257">
        <v>137.63370201692001</v>
      </c>
      <c r="G257">
        <v>116.26870527001</v>
      </c>
      <c r="I257" s="9">
        <f t="shared" si="26"/>
        <v>205.70974019046997</v>
      </c>
      <c r="J257" s="9">
        <f t="shared" si="27"/>
        <v>1168.48713403798</v>
      </c>
      <c r="K257" s="9">
        <f t="shared" si="24"/>
        <v>205.70974019046997</v>
      </c>
      <c r="L257" s="10">
        <f t="shared" si="21"/>
        <v>0.17604792915399245</v>
      </c>
      <c r="M257" s="10">
        <f t="shared" si="28"/>
        <v>0.19899553095790701</v>
      </c>
      <c r="P257" s="8">
        <f t="shared" si="29"/>
        <v>12.746149231141352</v>
      </c>
    </row>
    <row r="258" spans="1:16" x14ac:dyDescent="0.2">
      <c r="A258" s="8">
        <v>128</v>
      </c>
      <c r="B258" s="8">
        <v>256</v>
      </c>
      <c r="D258">
        <v>1309.8001306336</v>
      </c>
      <c r="E258">
        <v>322.37361201828998</v>
      </c>
      <c r="F258">
        <v>137.00325309044001</v>
      </c>
      <c r="G258">
        <v>116.08978529603</v>
      </c>
      <c r="I258" s="9">
        <f t="shared" si="26"/>
        <v>206.28382672225996</v>
      </c>
      <c r="J258" s="9">
        <f t="shared" si="27"/>
        <v>1172.79687754316</v>
      </c>
      <c r="K258" s="9">
        <f t="shared" si="24"/>
        <v>206.28382672225996</v>
      </c>
      <c r="L258" s="10">
        <f t="shared" ref="L258:L321" si="30">K258/J258</f>
        <v>0.17589049789627234</v>
      </c>
      <c r="M258" s="10">
        <f t="shared" si="28"/>
        <v>0.19892809029549638</v>
      </c>
      <c r="P258" s="8">
        <f t="shared" si="29"/>
        <v>12.707938950981823</v>
      </c>
    </row>
    <row r="259" spans="1:16" x14ac:dyDescent="0.2">
      <c r="A259" s="8">
        <v>128.5</v>
      </c>
      <c r="B259" s="8">
        <v>257</v>
      </c>
      <c r="D259">
        <v>1305.6022207706999</v>
      </c>
      <c r="E259">
        <v>322.58915741345999</v>
      </c>
      <c r="F259">
        <v>136.89264801562001</v>
      </c>
      <c r="G259">
        <v>116.26089785296</v>
      </c>
      <c r="I259" s="9">
        <f t="shared" si="26"/>
        <v>206.32825956049999</v>
      </c>
      <c r="J259" s="9">
        <f t="shared" si="27"/>
        <v>1168.70957275508</v>
      </c>
      <c r="K259" s="9">
        <f t="shared" ref="K259:K322" si="31">I259*1</f>
        <v>206.32825956049999</v>
      </c>
      <c r="L259" s="10">
        <f t="shared" si="30"/>
        <v>0.17654365495963903</v>
      </c>
      <c r="M259" s="10">
        <f t="shared" si="28"/>
        <v>0.19967123795417252</v>
      </c>
      <c r="P259" s="8">
        <f t="shared" si="29"/>
        <v>13.128988792767448</v>
      </c>
    </row>
    <row r="260" spans="1:16" x14ac:dyDescent="0.2">
      <c r="A260" s="8">
        <v>129</v>
      </c>
      <c r="B260" s="8">
        <v>258</v>
      </c>
      <c r="D260">
        <v>1308.7282821685001</v>
      </c>
      <c r="E260">
        <v>322.45656433703999</v>
      </c>
      <c r="F260">
        <v>136.90175666883999</v>
      </c>
      <c r="G260">
        <v>116.01236174365999</v>
      </c>
      <c r="I260" s="9">
        <f t="shared" si="26"/>
        <v>206.44420259338</v>
      </c>
      <c r="J260" s="9">
        <f t="shared" si="27"/>
        <v>1171.82652549966</v>
      </c>
      <c r="K260" s="9">
        <f t="shared" si="31"/>
        <v>206.44420259338</v>
      </c>
      <c r="L260" s="10">
        <f t="shared" si="30"/>
        <v>0.17617300692639074</v>
      </c>
      <c r="M260" s="10">
        <f t="shared" si="28"/>
        <v>0.19939058051623371</v>
      </c>
      <c r="P260" s="8">
        <f t="shared" si="29"/>
        <v>12.969974943419382</v>
      </c>
    </row>
    <row r="261" spans="1:16" x14ac:dyDescent="0.2">
      <c r="A261" s="8">
        <v>129.5</v>
      </c>
      <c r="B261" s="8">
        <v>259</v>
      </c>
      <c r="D261">
        <v>1306.9451338993999</v>
      </c>
      <c r="E261">
        <v>321.27955584584998</v>
      </c>
      <c r="F261">
        <v>136.69290826285001</v>
      </c>
      <c r="G261">
        <v>116.09173715029</v>
      </c>
      <c r="I261" s="9">
        <f t="shared" si="26"/>
        <v>205.18781869556</v>
      </c>
      <c r="J261" s="9">
        <f t="shared" si="27"/>
        <v>1170.2522256365498</v>
      </c>
      <c r="K261" s="9">
        <f t="shared" si="31"/>
        <v>205.18781869556</v>
      </c>
      <c r="L261" s="10">
        <f t="shared" si="30"/>
        <v>0.17533640543511861</v>
      </c>
      <c r="M261" s="10">
        <f t="shared" si="28"/>
        <v>0.19864396962027103</v>
      </c>
      <c r="P261" s="8">
        <f t="shared" si="29"/>
        <v>12.54696291350797</v>
      </c>
    </row>
    <row r="262" spans="1:16" x14ac:dyDescent="0.2">
      <c r="A262" s="8">
        <v>130</v>
      </c>
      <c r="B262" s="8">
        <v>260</v>
      </c>
      <c r="D262">
        <v>1307.2677988242999</v>
      </c>
      <c r="E262">
        <v>324.10711952972002</v>
      </c>
      <c r="F262">
        <v>136.86662329212999</v>
      </c>
      <c r="G262">
        <v>115.89720234223</v>
      </c>
      <c r="I262" s="9">
        <f t="shared" si="26"/>
        <v>208.20991718749002</v>
      </c>
      <c r="J262" s="9">
        <f t="shared" si="27"/>
        <v>1170.4011755321699</v>
      </c>
      <c r="K262" s="9">
        <f t="shared" si="31"/>
        <v>208.20991718749002</v>
      </c>
      <c r="L262" s="10">
        <f t="shared" si="30"/>
        <v>0.17789619622760464</v>
      </c>
      <c r="M262" s="10">
        <f t="shared" si="28"/>
        <v>0.20129375100806654</v>
      </c>
      <c r="P262" s="8">
        <f t="shared" si="29"/>
        <v>14.048266215849402</v>
      </c>
    </row>
    <row r="263" spans="1:16" x14ac:dyDescent="0.2">
      <c r="A263" s="8">
        <v>130.5</v>
      </c>
      <c r="B263" s="8">
        <v>261</v>
      </c>
      <c r="D263">
        <v>1309.6975832789001</v>
      </c>
      <c r="E263">
        <v>323.80143696930003</v>
      </c>
      <c r="F263">
        <v>136.77944046844999</v>
      </c>
      <c r="G263">
        <v>116.31099544567</v>
      </c>
      <c r="I263" s="9">
        <f t="shared" si="26"/>
        <v>207.49044152363001</v>
      </c>
      <c r="J263" s="9">
        <f t="shared" si="27"/>
        <v>1172.91814281045</v>
      </c>
      <c r="K263" s="9">
        <f t="shared" si="31"/>
        <v>207.49044152363001</v>
      </c>
      <c r="L263" s="10">
        <f t="shared" si="30"/>
        <v>0.17690104189748354</v>
      </c>
      <c r="M263" s="10">
        <f t="shared" si="28"/>
        <v>0.20038858727325493</v>
      </c>
      <c r="P263" s="8">
        <f t="shared" si="29"/>
        <v>13.53542190707307</v>
      </c>
    </row>
    <row r="264" spans="1:16" x14ac:dyDescent="0.2">
      <c r="A264" s="8">
        <v>131</v>
      </c>
      <c r="B264" s="8">
        <v>262</v>
      </c>
      <c r="D264">
        <v>1298.0209013716999</v>
      </c>
      <c r="E264">
        <v>321.87916394513002</v>
      </c>
      <c r="F264">
        <v>136.94339622641999</v>
      </c>
      <c r="G264">
        <v>116.25048796357</v>
      </c>
      <c r="I264" s="9">
        <f t="shared" si="26"/>
        <v>205.62867598156004</v>
      </c>
      <c r="J264" s="9">
        <f t="shared" si="27"/>
        <v>1161.0775051452799</v>
      </c>
      <c r="K264" s="9">
        <f t="shared" si="31"/>
        <v>205.62867598156004</v>
      </c>
      <c r="L264" s="10">
        <f t="shared" si="30"/>
        <v>0.17710159319280819</v>
      </c>
      <c r="M264" s="10">
        <f t="shared" si="28"/>
        <v>0.20067912916388903</v>
      </c>
      <c r="P264" s="8">
        <f t="shared" si="29"/>
        <v>13.700036052936774</v>
      </c>
    </row>
    <row r="265" spans="1:16" x14ac:dyDescent="0.2">
      <c r="A265" s="8">
        <v>131.5</v>
      </c>
      <c r="B265" s="8">
        <v>263</v>
      </c>
      <c r="D265">
        <v>1295.9608099282</v>
      </c>
      <c r="E265">
        <v>322.7576747224</v>
      </c>
      <c r="F265">
        <v>136.73389720233999</v>
      </c>
      <c r="G265">
        <v>116.07156798958999</v>
      </c>
      <c r="I265" s="9">
        <f t="shared" si="26"/>
        <v>206.68610673281</v>
      </c>
      <c r="J265" s="9">
        <f t="shared" si="27"/>
        <v>1159.2269127258601</v>
      </c>
      <c r="K265" s="9">
        <f t="shared" si="31"/>
        <v>206.68610673281</v>
      </c>
      <c r="L265" s="10">
        <f t="shared" si="30"/>
        <v>0.17829650473417555</v>
      </c>
      <c r="M265" s="10">
        <f t="shared" si="28"/>
        <v>0.20196403130056587</v>
      </c>
      <c r="P265" s="8">
        <f t="shared" si="29"/>
        <v>14.428031135800332</v>
      </c>
    </row>
    <row r="266" spans="1:16" x14ac:dyDescent="0.2">
      <c r="A266" s="8">
        <v>132</v>
      </c>
      <c r="B266" s="8">
        <v>264</v>
      </c>
      <c r="D266">
        <v>1303.0992815154</v>
      </c>
      <c r="E266">
        <v>324.41476159373002</v>
      </c>
      <c r="F266">
        <v>137.18347430059001</v>
      </c>
      <c r="G266">
        <v>116.1216655823</v>
      </c>
      <c r="I266" s="9">
        <f t="shared" si="26"/>
        <v>208.29309601143001</v>
      </c>
      <c r="J266" s="9">
        <f t="shared" si="27"/>
        <v>1165.91580721481</v>
      </c>
      <c r="K266" s="9">
        <f t="shared" si="31"/>
        <v>208.29309601143001</v>
      </c>
      <c r="L266" s="10">
        <f t="shared" si="30"/>
        <v>0.17865191870844391</v>
      </c>
      <c r="M266" s="10">
        <f t="shared" si="28"/>
        <v>0.20240943587014368</v>
      </c>
      <c r="P266" s="8">
        <f t="shared" si="29"/>
        <v>14.680386803428238</v>
      </c>
    </row>
    <row r="267" spans="1:16" x14ac:dyDescent="0.2">
      <c r="A267" s="8">
        <v>132.5</v>
      </c>
      <c r="B267" s="8">
        <v>265</v>
      </c>
      <c r="D267">
        <v>1303.9784454605001</v>
      </c>
      <c r="E267">
        <v>327.88112344873002</v>
      </c>
      <c r="F267">
        <v>137.13337670787001</v>
      </c>
      <c r="G267">
        <v>116.15029277814</v>
      </c>
      <c r="I267" s="9">
        <f t="shared" si="26"/>
        <v>211.73083067059002</v>
      </c>
      <c r="J267" s="9">
        <f t="shared" si="27"/>
        <v>1166.8450687526301</v>
      </c>
      <c r="K267" s="9">
        <f t="shared" si="31"/>
        <v>211.73083067059002</v>
      </c>
      <c r="L267" s="10">
        <f t="shared" si="30"/>
        <v>0.18145582163442878</v>
      </c>
      <c r="M267" s="10">
        <f t="shared" si="28"/>
        <v>0.20530332939143803</v>
      </c>
      <c r="P267" s="8">
        <f t="shared" si="29"/>
        <v>16.319998252189379</v>
      </c>
    </row>
    <row r="268" spans="1:16" x14ac:dyDescent="0.2">
      <c r="A268" s="8">
        <v>133</v>
      </c>
      <c r="B268" s="8">
        <v>266</v>
      </c>
      <c r="D268">
        <v>1307.2717178314999</v>
      </c>
      <c r="E268">
        <v>329.86740692358001</v>
      </c>
      <c r="F268">
        <v>136.82758620690001</v>
      </c>
      <c r="G268">
        <v>115.93623942745999</v>
      </c>
      <c r="I268" s="9">
        <f t="shared" si="26"/>
        <v>213.93116749612</v>
      </c>
      <c r="J268" s="9">
        <f t="shared" si="27"/>
        <v>1170.4441316246</v>
      </c>
      <c r="K268" s="9">
        <f t="shared" si="31"/>
        <v>213.93116749612</v>
      </c>
      <c r="L268" s="10">
        <f t="shared" si="30"/>
        <v>0.18277776932349538</v>
      </c>
      <c r="M268" s="10">
        <f t="shared" si="28"/>
        <v>0.20671526767581411</v>
      </c>
      <c r="P268" s="8">
        <f t="shared" si="29"/>
        <v>17.119969004040584</v>
      </c>
    </row>
    <row r="269" spans="1:16" x14ac:dyDescent="0.2">
      <c r="A269" s="8">
        <v>133.5</v>
      </c>
      <c r="B269" s="8">
        <v>267</v>
      </c>
      <c r="D269">
        <v>1302.4389288047</v>
      </c>
      <c r="E269">
        <v>328.71195297191002</v>
      </c>
      <c r="F269">
        <v>136.99024072869</v>
      </c>
      <c r="G269">
        <v>116.07482108003001</v>
      </c>
      <c r="I269" s="9">
        <f t="shared" si="26"/>
        <v>212.63713189188002</v>
      </c>
      <c r="J269" s="9">
        <f t="shared" si="27"/>
        <v>1165.4486880760101</v>
      </c>
      <c r="K269" s="9">
        <f t="shared" si="31"/>
        <v>212.63713189188002</v>
      </c>
      <c r="L269" s="10">
        <f t="shared" si="30"/>
        <v>0.18245087412892769</v>
      </c>
      <c r="M269" s="10">
        <f t="shared" si="28"/>
        <v>0.20647836307655587</v>
      </c>
      <c r="P269" s="8">
        <f t="shared" si="29"/>
        <v>16.985744475615558</v>
      </c>
    </row>
    <row r="270" spans="1:16" x14ac:dyDescent="0.2">
      <c r="A270" s="8">
        <v>134</v>
      </c>
      <c r="B270" s="8">
        <v>268</v>
      </c>
      <c r="D270">
        <v>1299.2044415415</v>
      </c>
      <c r="E270">
        <v>329.3096015676</v>
      </c>
      <c r="F270">
        <v>137.13532856213001</v>
      </c>
      <c r="G270">
        <v>115.76187378009</v>
      </c>
      <c r="I270" s="9">
        <f t="shared" si="26"/>
        <v>213.54772778750998</v>
      </c>
      <c r="J270" s="9">
        <f t="shared" si="27"/>
        <v>1162.0691129793699</v>
      </c>
      <c r="K270" s="9">
        <f t="shared" si="31"/>
        <v>213.54772778750998</v>
      </c>
      <c r="L270" s="10">
        <f t="shared" si="30"/>
        <v>0.18376508367906433</v>
      </c>
      <c r="M270" s="10">
        <f t="shared" si="28"/>
        <v>0.20788256322200199</v>
      </c>
      <c r="P270" s="8">
        <f t="shared" si="29"/>
        <v>17.781330981436874</v>
      </c>
    </row>
    <row r="271" spans="1:16" x14ac:dyDescent="0.2">
      <c r="A271" s="8">
        <v>134.5</v>
      </c>
      <c r="B271" s="8">
        <v>269</v>
      </c>
      <c r="D271">
        <v>1298.3383409536</v>
      </c>
      <c r="E271">
        <v>328.67406923579</v>
      </c>
      <c r="F271">
        <v>137.33311646064001</v>
      </c>
      <c r="G271">
        <v>115.93689004554</v>
      </c>
      <c r="I271" s="9">
        <f t="shared" si="26"/>
        <v>212.73717919025</v>
      </c>
      <c r="J271" s="9">
        <f t="shared" si="27"/>
        <v>1161.00522449296</v>
      </c>
      <c r="K271" s="9">
        <f t="shared" si="31"/>
        <v>212.73717919025</v>
      </c>
      <c r="L271" s="10">
        <f t="shared" si="30"/>
        <v>0.18323533322871793</v>
      </c>
      <c r="M271" s="10">
        <f t="shared" si="28"/>
        <v>0.20744280336696505</v>
      </c>
      <c r="P271" s="8">
        <f t="shared" si="29"/>
        <v>17.532173475219572</v>
      </c>
    </row>
    <row r="272" spans="1:16" x14ac:dyDescent="0.2">
      <c r="A272" s="8">
        <v>135</v>
      </c>
      <c r="B272" s="8">
        <v>270</v>
      </c>
      <c r="D272">
        <v>1291.7433050294001</v>
      </c>
      <c r="E272">
        <v>332.55062050946998</v>
      </c>
      <c r="F272">
        <v>136.91151594013999</v>
      </c>
      <c r="G272">
        <v>116.24658425504001</v>
      </c>
      <c r="I272" s="9">
        <f t="shared" si="26"/>
        <v>216.30403625442997</v>
      </c>
      <c r="J272" s="9">
        <f t="shared" si="27"/>
        <v>1154.8317890892602</v>
      </c>
      <c r="K272" s="9">
        <f t="shared" si="31"/>
        <v>216.30403625442997</v>
      </c>
      <c r="L272" s="10">
        <f t="shared" si="30"/>
        <v>0.18730350021366726</v>
      </c>
      <c r="M272" s="10">
        <f t="shared" si="28"/>
        <v>0.21160096094722386</v>
      </c>
      <c r="P272" s="8">
        <f t="shared" si="29"/>
        <v>19.888086961385394</v>
      </c>
    </row>
    <row r="273" spans="1:16" x14ac:dyDescent="0.2">
      <c r="A273" s="8">
        <v>135.5</v>
      </c>
      <c r="B273" s="8">
        <v>271</v>
      </c>
      <c r="D273">
        <v>1297.4892227302</v>
      </c>
      <c r="E273">
        <v>333.59503592422999</v>
      </c>
      <c r="F273">
        <v>136.81587508133001</v>
      </c>
      <c r="G273">
        <v>116.06441119063</v>
      </c>
      <c r="I273" s="9">
        <f t="shared" si="26"/>
        <v>217.53062473360001</v>
      </c>
      <c r="J273" s="9">
        <f t="shared" si="27"/>
        <v>1160.67334764887</v>
      </c>
      <c r="K273" s="9">
        <f t="shared" si="31"/>
        <v>217.53062473360001</v>
      </c>
      <c r="L273" s="10">
        <f t="shared" si="30"/>
        <v>0.18741760993671747</v>
      </c>
      <c r="M273" s="10">
        <f t="shared" si="28"/>
        <v>0.21180506126558352</v>
      </c>
      <c r="P273" s="8">
        <f t="shared" si="29"/>
        <v>20.003725362112938</v>
      </c>
    </row>
    <row r="274" spans="1:16" x14ac:dyDescent="0.2">
      <c r="A274" s="8">
        <v>136</v>
      </c>
      <c r="B274" s="8">
        <v>272</v>
      </c>
      <c r="D274">
        <v>1300.1195297191</v>
      </c>
      <c r="E274">
        <v>334.54800783800999</v>
      </c>
      <c r="F274">
        <v>136.72739102147</v>
      </c>
      <c r="G274">
        <v>115.94925178920001</v>
      </c>
      <c r="I274" s="9">
        <f t="shared" si="26"/>
        <v>218.59875604881</v>
      </c>
      <c r="J274" s="9">
        <f t="shared" si="27"/>
        <v>1163.3921386976299</v>
      </c>
      <c r="K274" s="9">
        <f t="shared" si="31"/>
        <v>218.59875604881</v>
      </c>
      <c r="L274" s="10">
        <f t="shared" si="30"/>
        <v>0.18789774210914165</v>
      </c>
      <c r="M274" s="10">
        <f t="shared" si="28"/>
        <v>0.21237518403331718</v>
      </c>
      <c r="P274" s="8">
        <f t="shared" si="29"/>
        <v>20.326743403480748</v>
      </c>
    </row>
    <row r="275" spans="1:16" x14ac:dyDescent="0.2">
      <c r="A275" s="8">
        <v>136.5</v>
      </c>
      <c r="B275" s="8">
        <v>273</v>
      </c>
      <c r="D275">
        <v>1299.4787720444001</v>
      </c>
      <c r="E275">
        <v>330.78706727628997</v>
      </c>
      <c r="F275">
        <v>136.93038386467001</v>
      </c>
      <c r="G275">
        <v>116.04294079375001</v>
      </c>
      <c r="I275" s="9">
        <f>E275-G275</f>
        <v>214.74412648253997</v>
      </c>
      <c r="J275" s="9">
        <f>D275-F275</f>
        <v>1162.5483881797302</v>
      </c>
      <c r="K275" s="9">
        <f t="shared" si="31"/>
        <v>214.74412648253997</v>
      </c>
      <c r="L275" s="10">
        <f t="shared" si="30"/>
        <v>0.18471844154270203</v>
      </c>
      <c r="M275" s="10">
        <f>L275+ABS($N$2)*A275</f>
        <v>0.20928587406218704</v>
      </c>
      <c r="O275" s="11"/>
      <c r="P275" s="8">
        <f>(M275-$O$2)/$O$2*100</f>
        <v>18.576413627984596</v>
      </c>
    </row>
    <row r="276" spans="1:16" x14ac:dyDescent="0.2">
      <c r="A276" s="8">
        <v>137</v>
      </c>
      <c r="B276" s="8">
        <v>274</v>
      </c>
      <c r="D276">
        <v>1288.2495101241</v>
      </c>
      <c r="E276">
        <v>330.77726975833002</v>
      </c>
      <c r="F276">
        <v>137.10995445673001</v>
      </c>
      <c r="G276">
        <v>115.81652569940999</v>
      </c>
      <c r="I276" s="9">
        <f t="shared" ref="I276:I291" si="32">E276-G276</f>
        <v>214.96074405892003</v>
      </c>
      <c r="J276" s="9">
        <f t="shared" ref="J276:J291" si="33">D276-F276</f>
        <v>1151.1395556673699</v>
      </c>
      <c r="K276" s="9">
        <f t="shared" si="31"/>
        <v>214.96074405892003</v>
      </c>
      <c r="L276" s="10">
        <f t="shared" si="30"/>
        <v>0.18673734474730749</v>
      </c>
      <c r="M276" s="10">
        <f t="shared" ref="M276:M291" si="34">L276+ABS($N$2)*A276</f>
        <v>0.21139476786210196</v>
      </c>
      <c r="P276" s="8">
        <f t="shared" ref="P276:P291" si="35">(M276-$O$2)/$O$2*100</f>
        <v>19.771262848634333</v>
      </c>
    </row>
    <row r="277" spans="1:16" x14ac:dyDescent="0.2">
      <c r="A277" s="8">
        <v>137.5</v>
      </c>
      <c r="B277" s="8">
        <v>275</v>
      </c>
      <c r="D277">
        <v>1286.9908556498999</v>
      </c>
      <c r="E277">
        <v>331.96080992815001</v>
      </c>
      <c r="F277">
        <v>136.75211450878001</v>
      </c>
      <c r="G277">
        <v>116.0611581002</v>
      </c>
      <c r="I277" s="9">
        <f t="shared" si="32"/>
        <v>215.89965182795001</v>
      </c>
      <c r="J277" s="9">
        <f t="shared" si="33"/>
        <v>1150.2387411411198</v>
      </c>
      <c r="K277" s="9">
        <f t="shared" si="31"/>
        <v>215.89965182795001</v>
      </c>
      <c r="L277" s="10">
        <f t="shared" si="30"/>
        <v>0.18769986099908439</v>
      </c>
      <c r="M277" s="10">
        <f t="shared" si="34"/>
        <v>0.21244727470918834</v>
      </c>
      <c r="N277" s="1"/>
      <c r="P277" s="8">
        <f t="shared" si="35"/>
        <v>20.367588271005253</v>
      </c>
    </row>
    <row r="278" spans="1:16" x14ac:dyDescent="0.2">
      <c r="A278" s="8">
        <v>138</v>
      </c>
      <c r="B278" s="8">
        <v>276</v>
      </c>
      <c r="D278">
        <v>1288.0274330503</v>
      </c>
      <c r="E278">
        <v>329.25146962769003</v>
      </c>
      <c r="F278">
        <v>136.64866623291999</v>
      </c>
      <c r="G278">
        <v>115.85426154847001</v>
      </c>
      <c r="I278" s="9">
        <f t="shared" si="32"/>
        <v>213.39720807922004</v>
      </c>
      <c r="J278" s="9">
        <f t="shared" si="33"/>
        <v>1151.37876681738</v>
      </c>
      <c r="K278" s="9">
        <f t="shared" si="31"/>
        <v>213.39720807922004</v>
      </c>
      <c r="L278" s="10">
        <f t="shared" si="30"/>
        <v>0.18534057968524872</v>
      </c>
      <c r="M278" s="10">
        <f t="shared" si="34"/>
        <v>0.21017798399066212</v>
      </c>
      <c r="P278" s="8">
        <f t="shared" si="35"/>
        <v>19.081861959624316</v>
      </c>
    </row>
    <row r="279" spans="1:16" x14ac:dyDescent="0.2">
      <c r="A279" s="8">
        <v>138.5</v>
      </c>
      <c r="B279" s="8">
        <v>277</v>
      </c>
      <c r="D279">
        <v>1288.0496407577</v>
      </c>
      <c r="E279">
        <v>328.62704114958001</v>
      </c>
      <c r="F279">
        <v>137.25178919973999</v>
      </c>
      <c r="G279">
        <v>116.14378659726999</v>
      </c>
      <c r="I279" s="9">
        <f t="shared" si="32"/>
        <v>212.48325455231003</v>
      </c>
      <c r="J279" s="9">
        <f t="shared" si="33"/>
        <v>1150.79785155796</v>
      </c>
      <c r="K279" s="9">
        <f t="shared" si="31"/>
        <v>212.48325455231003</v>
      </c>
      <c r="L279" s="10">
        <f t="shared" si="30"/>
        <v>0.18463994720241125</v>
      </c>
      <c r="M279" s="10">
        <f t="shared" si="34"/>
        <v>0.20956734210313413</v>
      </c>
      <c r="P279" s="8">
        <f t="shared" si="35"/>
        <v>18.735886745776021</v>
      </c>
    </row>
    <row r="280" spans="1:16" x14ac:dyDescent="0.2">
      <c r="A280" s="8">
        <v>139</v>
      </c>
      <c r="B280" s="8">
        <v>278</v>
      </c>
      <c r="D280">
        <v>1293.4395819726001</v>
      </c>
      <c r="E280">
        <v>328.11691704767998</v>
      </c>
      <c r="F280">
        <v>136.76122316199999</v>
      </c>
      <c r="G280">
        <v>116.02667534157</v>
      </c>
      <c r="I280" s="9">
        <f t="shared" si="32"/>
        <v>212.09024170610996</v>
      </c>
      <c r="J280" s="9">
        <f t="shared" si="33"/>
        <v>1156.6783588106</v>
      </c>
      <c r="K280" s="9">
        <f t="shared" si="31"/>
        <v>212.09024170610996</v>
      </c>
      <c r="L280" s="10">
        <f t="shared" si="30"/>
        <v>0.18336146785369106</v>
      </c>
      <c r="M280" s="10">
        <f t="shared" si="34"/>
        <v>0.20837885334972342</v>
      </c>
      <c r="P280" s="8">
        <f t="shared" si="35"/>
        <v>18.062517199703546</v>
      </c>
    </row>
    <row r="281" spans="1:16" x14ac:dyDescent="0.2">
      <c r="A281" s="8">
        <v>139.5</v>
      </c>
      <c r="B281" s="8">
        <v>279</v>
      </c>
      <c r="D281">
        <v>1284.4435009798001</v>
      </c>
      <c r="E281">
        <v>326.87393860221999</v>
      </c>
      <c r="F281">
        <v>136.22836694860001</v>
      </c>
      <c r="G281">
        <v>116.25959661679001</v>
      </c>
      <c r="I281" s="9">
        <f t="shared" si="32"/>
        <v>210.61434198542997</v>
      </c>
      <c r="J281" s="9">
        <f t="shared" si="33"/>
        <v>1148.2151340312</v>
      </c>
      <c r="K281" s="9">
        <f t="shared" si="31"/>
        <v>210.61434198542997</v>
      </c>
      <c r="L281" s="10">
        <f t="shared" si="30"/>
        <v>0.1834275962258019</v>
      </c>
      <c r="M281" s="10">
        <f t="shared" si="34"/>
        <v>0.20853497231714371</v>
      </c>
      <c r="P281" s="8">
        <f t="shared" si="35"/>
        <v>18.15097050472929</v>
      </c>
    </row>
    <row r="282" spans="1:16" x14ac:dyDescent="0.2">
      <c r="A282" s="8">
        <v>140</v>
      </c>
      <c r="B282" s="8">
        <v>280</v>
      </c>
      <c r="D282">
        <v>1280.7681254081999</v>
      </c>
      <c r="E282">
        <v>328.01371652515002</v>
      </c>
      <c r="F282">
        <v>136.41899804815</v>
      </c>
      <c r="G282">
        <v>115.72023422251</v>
      </c>
      <c r="I282" s="9">
        <f t="shared" si="32"/>
        <v>212.29348230264003</v>
      </c>
      <c r="J282" s="9">
        <f t="shared" si="33"/>
        <v>1144.3491273600498</v>
      </c>
      <c r="K282" s="9">
        <f t="shared" si="31"/>
        <v>212.29348230264003</v>
      </c>
      <c r="L282" s="10">
        <f t="shared" si="30"/>
        <v>0.18551461020675514</v>
      </c>
      <c r="M282" s="10">
        <f t="shared" si="34"/>
        <v>0.21071197689340643</v>
      </c>
      <c r="P282" s="8">
        <f t="shared" si="35"/>
        <v>19.384409676205525</v>
      </c>
    </row>
    <row r="283" spans="1:16" x14ac:dyDescent="0.2">
      <c r="A283" s="8">
        <v>140.5</v>
      </c>
      <c r="B283" s="8">
        <v>281</v>
      </c>
      <c r="D283">
        <v>1280.3396472894001</v>
      </c>
      <c r="E283">
        <v>328.51338994122</v>
      </c>
      <c r="F283">
        <v>136.84255042289999</v>
      </c>
      <c r="G283">
        <v>116.13077423551999</v>
      </c>
      <c r="I283" s="9">
        <f t="shared" si="32"/>
        <v>212.3826157057</v>
      </c>
      <c r="J283" s="9">
        <f t="shared" si="33"/>
        <v>1143.4970968665002</v>
      </c>
      <c r="K283" s="9">
        <f t="shared" si="31"/>
        <v>212.3826157057</v>
      </c>
      <c r="L283" s="10">
        <f t="shared" si="30"/>
        <v>0.18573078697592446</v>
      </c>
      <c r="M283" s="10">
        <f t="shared" si="34"/>
        <v>0.2110181442578852</v>
      </c>
      <c r="P283" s="8">
        <f t="shared" si="35"/>
        <v>19.557876845036219</v>
      </c>
    </row>
    <row r="284" spans="1:16" x14ac:dyDescent="0.2">
      <c r="A284" s="8">
        <v>141</v>
      </c>
      <c r="B284" s="8">
        <v>282</v>
      </c>
      <c r="D284">
        <v>1254.5741345526001</v>
      </c>
      <c r="E284">
        <v>324.81384715872002</v>
      </c>
      <c r="F284">
        <v>136.71633051398999</v>
      </c>
      <c r="G284">
        <v>115.78399479506</v>
      </c>
      <c r="I284" s="9">
        <f t="shared" si="32"/>
        <v>209.02985236366004</v>
      </c>
      <c r="J284" s="9">
        <f t="shared" si="33"/>
        <v>1117.8578040386101</v>
      </c>
      <c r="K284" s="9">
        <f t="shared" si="31"/>
        <v>209.02985236366004</v>
      </c>
      <c r="L284" s="10">
        <f t="shared" si="30"/>
        <v>0.1869914506196356</v>
      </c>
      <c r="M284" s="10">
        <f t="shared" si="34"/>
        <v>0.21236879849690582</v>
      </c>
      <c r="P284" s="8">
        <f t="shared" si="35"/>
        <v>20.323125509964797</v>
      </c>
    </row>
    <row r="285" spans="1:16" x14ac:dyDescent="0.2">
      <c r="A285" s="8">
        <v>141.5</v>
      </c>
      <c r="B285" s="8">
        <v>283</v>
      </c>
      <c r="D285">
        <v>1269.6387981711</v>
      </c>
      <c r="E285">
        <v>326.72370999346998</v>
      </c>
      <c r="F285">
        <v>136.82758620690001</v>
      </c>
      <c r="G285">
        <v>116.02797657775</v>
      </c>
      <c r="I285" s="9">
        <f t="shared" si="32"/>
        <v>210.69573341571999</v>
      </c>
      <c r="J285" s="9">
        <f t="shared" si="33"/>
        <v>1132.8112119642001</v>
      </c>
      <c r="K285" s="9">
        <f t="shared" si="31"/>
        <v>210.69573341571999</v>
      </c>
      <c r="L285" s="10">
        <f t="shared" si="30"/>
        <v>0.18599368649467299</v>
      </c>
      <c r="M285" s="10">
        <f t="shared" si="34"/>
        <v>0.21146102496725266</v>
      </c>
      <c r="P285" s="8">
        <f t="shared" si="35"/>
        <v>19.808802553315065</v>
      </c>
    </row>
    <row r="286" spans="1:16" x14ac:dyDescent="0.2">
      <c r="A286" s="8">
        <v>142</v>
      </c>
      <c r="B286" s="8">
        <v>284</v>
      </c>
      <c r="D286">
        <v>1264.692357936</v>
      </c>
      <c r="E286">
        <v>327.18876551274002</v>
      </c>
      <c r="F286">
        <v>136.67404033832</v>
      </c>
      <c r="G286">
        <v>116.05400130124001</v>
      </c>
      <c r="I286" s="9">
        <f t="shared" si="32"/>
        <v>211.1347642115</v>
      </c>
      <c r="J286" s="9">
        <f t="shared" si="33"/>
        <v>1128.0183175976799</v>
      </c>
      <c r="K286" s="9">
        <f t="shared" si="31"/>
        <v>211.1347642115</v>
      </c>
      <c r="L286" s="10">
        <f t="shared" si="30"/>
        <v>0.18717316990130964</v>
      </c>
      <c r="M286" s="10">
        <f t="shared" si="34"/>
        <v>0.21273049896919879</v>
      </c>
      <c r="P286" s="8">
        <f t="shared" si="35"/>
        <v>20.528056420874272</v>
      </c>
    </row>
    <row r="287" spans="1:16" x14ac:dyDescent="0.2">
      <c r="A287" s="8">
        <v>142.5</v>
      </c>
      <c r="B287" s="8">
        <v>285</v>
      </c>
      <c r="D287">
        <v>1276.5891574135001</v>
      </c>
      <c r="E287">
        <v>330.72762900064998</v>
      </c>
      <c r="F287">
        <v>136.40988939492999</v>
      </c>
      <c r="G287">
        <v>116.15419648666</v>
      </c>
      <c r="I287" s="9">
        <f t="shared" si="32"/>
        <v>214.57343251398999</v>
      </c>
      <c r="J287" s="9">
        <f t="shared" si="33"/>
        <v>1140.1792680185702</v>
      </c>
      <c r="K287" s="9">
        <f t="shared" si="31"/>
        <v>214.57343251398999</v>
      </c>
      <c r="L287" s="10">
        <f t="shared" si="30"/>
        <v>0.18819271541998886</v>
      </c>
      <c r="M287" s="10">
        <f t="shared" si="34"/>
        <v>0.2138400350831875</v>
      </c>
      <c r="P287" s="8">
        <f t="shared" si="35"/>
        <v>21.156693273586168</v>
      </c>
    </row>
    <row r="288" spans="1:16" x14ac:dyDescent="0.2">
      <c r="A288" s="8">
        <v>143</v>
      </c>
      <c r="B288" s="8">
        <v>286</v>
      </c>
      <c r="D288">
        <v>1278.9817112998001</v>
      </c>
      <c r="E288">
        <v>330.73416067929998</v>
      </c>
      <c r="F288">
        <v>136.47755367599001</v>
      </c>
      <c r="G288">
        <v>115.91932335719</v>
      </c>
      <c r="I288" s="9">
        <f t="shared" si="32"/>
        <v>214.81483732210998</v>
      </c>
      <c r="J288" s="9">
        <f t="shared" si="33"/>
        <v>1142.50415762381</v>
      </c>
      <c r="K288" s="9">
        <f t="shared" si="31"/>
        <v>214.81483732210998</v>
      </c>
      <c r="L288" s="10">
        <f t="shared" si="30"/>
        <v>0.18802105523089188</v>
      </c>
      <c r="M288" s="10">
        <f t="shared" si="34"/>
        <v>0.21375836548939997</v>
      </c>
      <c r="P288" s="8">
        <f t="shared" si="35"/>
        <v>21.110421218306879</v>
      </c>
    </row>
    <row r="289" spans="1:16" x14ac:dyDescent="0.2">
      <c r="A289" s="8">
        <v>143.5</v>
      </c>
      <c r="B289" s="8">
        <v>287</v>
      </c>
      <c r="D289">
        <v>1277.9679947746999</v>
      </c>
      <c r="E289">
        <v>329.8288700196</v>
      </c>
      <c r="F289">
        <v>136.5634352635</v>
      </c>
      <c r="G289">
        <v>115.64606376057</v>
      </c>
      <c r="I289" s="9">
        <f t="shared" si="32"/>
        <v>214.18280625903</v>
      </c>
      <c r="J289" s="9">
        <f t="shared" si="33"/>
        <v>1141.4045595112</v>
      </c>
      <c r="K289" s="9">
        <f t="shared" si="31"/>
        <v>214.18280625903</v>
      </c>
      <c r="L289" s="10">
        <f t="shared" si="30"/>
        <v>0.18764845862430457</v>
      </c>
      <c r="M289" s="10">
        <f t="shared" si="34"/>
        <v>0.21347575947812214</v>
      </c>
      <c r="P289" s="8">
        <f t="shared" si="35"/>
        <v>20.950303353509767</v>
      </c>
    </row>
    <row r="290" spans="1:16" x14ac:dyDescent="0.2">
      <c r="A290" s="8">
        <v>144</v>
      </c>
      <c r="B290" s="8">
        <v>288</v>
      </c>
      <c r="D290">
        <v>1278.1423905944</v>
      </c>
      <c r="E290">
        <v>332.71587197909997</v>
      </c>
      <c r="F290">
        <v>136.60247234873</v>
      </c>
      <c r="G290">
        <v>116.29082628497</v>
      </c>
      <c r="I290" s="9">
        <f t="shared" si="32"/>
        <v>216.42504569412998</v>
      </c>
      <c r="J290" s="9">
        <f t="shared" si="33"/>
        <v>1141.5399182456699</v>
      </c>
      <c r="K290" s="9">
        <f t="shared" si="31"/>
        <v>216.42504569412998</v>
      </c>
      <c r="L290" s="10">
        <f t="shared" si="30"/>
        <v>0.18959043151704599</v>
      </c>
      <c r="M290" s="10">
        <f t="shared" si="34"/>
        <v>0.21550772296617304</v>
      </c>
      <c r="P290" s="8">
        <f t="shared" si="35"/>
        <v>22.101565683639571</v>
      </c>
    </row>
    <row r="291" spans="1:16" x14ac:dyDescent="0.2">
      <c r="A291" s="8">
        <v>144.5</v>
      </c>
      <c r="B291" s="8">
        <v>289</v>
      </c>
      <c r="D291">
        <v>1280.7903331156001</v>
      </c>
      <c r="E291">
        <v>330.09666884388997</v>
      </c>
      <c r="F291">
        <v>136.66883539361999</v>
      </c>
      <c r="G291">
        <v>115.83669486012001</v>
      </c>
      <c r="I291" s="9">
        <f t="shared" si="32"/>
        <v>214.25997398376995</v>
      </c>
      <c r="J291" s="9">
        <f t="shared" si="33"/>
        <v>1144.1214977219802</v>
      </c>
      <c r="K291" s="9">
        <f t="shared" si="31"/>
        <v>214.25997398376995</v>
      </c>
      <c r="L291" s="10">
        <f t="shared" si="30"/>
        <v>0.18727029813737037</v>
      </c>
      <c r="M291" s="10">
        <f t="shared" si="34"/>
        <v>0.21327758018180687</v>
      </c>
      <c r="P291" s="8">
        <f t="shared" si="35"/>
        <v>20.838019663472473</v>
      </c>
    </row>
    <row r="292" spans="1:16" x14ac:dyDescent="0.2">
      <c r="A292" s="8">
        <v>145</v>
      </c>
      <c r="B292" s="8">
        <v>290</v>
      </c>
      <c r="D292">
        <v>1275.0052253429001</v>
      </c>
      <c r="E292">
        <v>333.59699542783</v>
      </c>
      <c r="F292">
        <v>136.50683148991999</v>
      </c>
      <c r="G292">
        <v>116.05725439167</v>
      </c>
      <c r="I292" s="9">
        <f>E292-G292</f>
        <v>217.53974103616</v>
      </c>
      <c r="J292" s="9">
        <f>D292-F292</f>
        <v>1138.4983938529801</v>
      </c>
      <c r="K292" s="9">
        <f t="shared" si="31"/>
        <v>217.53974103616</v>
      </c>
      <c r="L292" s="10">
        <f t="shared" si="30"/>
        <v>0.19107601926424145</v>
      </c>
      <c r="M292" s="10">
        <f>L292+ABS($N$2)*A292</f>
        <v>0.21717329190398743</v>
      </c>
      <c r="O292" s="11"/>
      <c r="P292" s="8">
        <f>(M292-$O$2)/$O$2*100</f>
        <v>23.045237549603719</v>
      </c>
    </row>
    <row r="293" spans="1:16" x14ac:dyDescent="0.2">
      <c r="A293" s="8">
        <v>145.5</v>
      </c>
      <c r="B293" s="8">
        <v>291</v>
      </c>
      <c r="D293">
        <v>1278.9608099282</v>
      </c>
      <c r="E293">
        <v>331.83866753756001</v>
      </c>
      <c r="F293">
        <v>136.73584905659999</v>
      </c>
      <c r="G293">
        <v>115.97722836695</v>
      </c>
      <c r="I293" s="9">
        <f t="shared" ref="I293:I301" si="36">E293-G293</f>
        <v>215.86143917061003</v>
      </c>
      <c r="J293" s="9">
        <f t="shared" ref="J293:J301" si="37">D293-F293</f>
        <v>1142.2249608715999</v>
      </c>
      <c r="K293" s="9">
        <f t="shared" si="31"/>
        <v>215.86143917061003</v>
      </c>
      <c r="L293" s="10">
        <f t="shared" si="30"/>
        <v>0.18898329713079653</v>
      </c>
      <c r="M293" s="10">
        <f t="shared" ref="M293:M301" si="38">L293+ABS($N$2)*A293</f>
        <v>0.21517056036585197</v>
      </c>
      <c r="P293" s="8">
        <f t="shared" ref="P293:P301" si="39">(M293-$O$2)/$O$2*100</f>
        <v>21.910537349143958</v>
      </c>
    </row>
    <row r="294" spans="1:16" x14ac:dyDescent="0.2">
      <c r="A294" s="8">
        <v>146</v>
      </c>
      <c r="B294" s="8">
        <v>292</v>
      </c>
      <c r="D294">
        <v>1278.8256041802999</v>
      </c>
      <c r="E294">
        <v>330.26387981711002</v>
      </c>
      <c r="F294">
        <v>136.38841899805001</v>
      </c>
      <c r="G294">
        <v>115.53090435914</v>
      </c>
      <c r="I294" s="9">
        <f t="shared" si="36"/>
        <v>214.73297545797004</v>
      </c>
      <c r="J294" s="9">
        <f t="shared" si="37"/>
        <v>1142.43718518225</v>
      </c>
      <c r="K294" s="9">
        <f t="shared" si="31"/>
        <v>214.73297545797004</v>
      </c>
      <c r="L294" s="10">
        <f t="shared" si="30"/>
        <v>0.18796042201980168</v>
      </c>
      <c r="M294" s="10">
        <f t="shared" si="38"/>
        <v>0.21423767585016659</v>
      </c>
      <c r="N294" s="1"/>
      <c r="P294" s="8">
        <f t="shared" si="39"/>
        <v>21.381987103243546</v>
      </c>
    </row>
    <row r="295" spans="1:16" x14ac:dyDescent="0.2">
      <c r="A295" s="8">
        <v>146.5</v>
      </c>
      <c r="B295" s="8">
        <v>293</v>
      </c>
      <c r="D295">
        <v>1273.2847811888</v>
      </c>
      <c r="E295">
        <v>330.99673416067998</v>
      </c>
      <c r="F295">
        <v>136.75341574495999</v>
      </c>
      <c r="G295">
        <v>115.77228366948999</v>
      </c>
      <c r="I295" s="9">
        <f t="shared" si="36"/>
        <v>215.22445049119</v>
      </c>
      <c r="J295" s="9">
        <f t="shared" si="37"/>
        <v>1136.5313654438401</v>
      </c>
      <c r="K295" s="9">
        <f t="shared" si="31"/>
        <v>215.22445049119</v>
      </c>
      <c r="L295" s="10">
        <f t="shared" si="30"/>
        <v>0.18936956518321885</v>
      </c>
      <c r="M295" s="10">
        <f t="shared" si="38"/>
        <v>0.21573680960889322</v>
      </c>
      <c r="P295" s="8">
        <f t="shared" si="39"/>
        <v>22.231360743270599</v>
      </c>
    </row>
    <row r="296" spans="1:16" x14ac:dyDescent="0.2">
      <c r="A296" s="8">
        <v>147</v>
      </c>
      <c r="B296" s="8">
        <v>294</v>
      </c>
      <c r="D296">
        <v>1268.3024167210999</v>
      </c>
      <c r="E296">
        <v>329.83605486610003</v>
      </c>
      <c r="F296">
        <v>136.99154196487001</v>
      </c>
      <c r="G296">
        <v>115.66037735849</v>
      </c>
      <c r="I296" s="9">
        <f t="shared" si="36"/>
        <v>214.17567750761003</v>
      </c>
      <c r="J296" s="9">
        <f t="shared" si="37"/>
        <v>1131.3108747562299</v>
      </c>
      <c r="K296" s="9">
        <f t="shared" si="31"/>
        <v>214.17567750761003</v>
      </c>
      <c r="L296" s="10">
        <f t="shared" si="30"/>
        <v>0.18931637827114473</v>
      </c>
      <c r="M296" s="10">
        <f t="shared" si="38"/>
        <v>0.21577361329212857</v>
      </c>
      <c r="P296" s="8">
        <f t="shared" si="39"/>
        <v>22.252212837497716</v>
      </c>
    </row>
    <row r="297" spans="1:16" x14ac:dyDescent="0.2">
      <c r="A297" s="8">
        <v>147.5</v>
      </c>
      <c r="B297" s="8">
        <v>295</v>
      </c>
      <c r="D297">
        <v>1260.1868060091001</v>
      </c>
      <c r="E297">
        <v>330.31417374264998</v>
      </c>
      <c r="F297">
        <v>136.62068965517</v>
      </c>
      <c r="G297">
        <v>115.84710474951</v>
      </c>
      <c r="I297" s="9">
        <f t="shared" si="36"/>
        <v>214.46706899314</v>
      </c>
      <c r="J297" s="9">
        <f t="shared" si="37"/>
        <v>1123.5661163539301</v>
      </c>
      <c r="K297" s="9">
        <f t="shared" si="31"/>
        <v>214.46706899314</v>
      </c>
      <c r="L297" s="10">
        <f t="shared" si="30"/>
        <v>0.19088068416401194</v>
      </c>
      <c r="M297" s="10">
        <f t="shared" si="38"/>
        <v>0.21742790978030527</v>
      </c>
      <c r="P297" s="8">
        <f t="shared" si="39"/>
        <v>23.189498000791033</v>
      </c>
    </row>
    <row r="298" spans="1:16" x14ac:dyDescent="0.2">
      <c r="A298" s="8">
        <v>148</v>
      </c>
      <c r="B298" s="8">
        <v>296</v>
      </c>
      <c r="D298">
        <v>1279.7406188282</v>
      </c>
      <c r="E298">
        <v>331.02699144173999</v>
      </c>
      <c r="F298">
        <v>136.54131424854</v>
      </c>
      <c r="G298">
        <v>115.92843201041001</v>
      </c>
      <c r="I298" s="9">
        <f t="shared" si="36"/>
        <v>215.09855943132999</v>
      </c>
      <c r="J298" s="9">
        <f t="shared" si="37"/>
        <v>1143.1993045796601</v>
      </c>
      <c r="K298" s="9">
        <f t="shared" si="31"/>
        <v>215.09855943132999</v>
      </c>
      <c r="L298" s="10">
        <f t="shared" si="30"/>
        <v>0.18815490752106345</v>
      </c>
      <c r="M298" s="10">
        <f t="shared" si="38"/>
        <v>0.21479212373266623</v>
      </c>
      <c r="P298" s="8">
        <f t="shared" si="39"/>
        <v>21.696124126322815</v>
      </c>
    </row>
    <row r="299" spans="1:16" x14ac:dyDescent="0.2">
      <c r="A299" s="8">
        <v>148.5</v>
      </c>
      <c r="B299" s="8">
        <v>297</v>
      </c>
      <c r="D299">
        <v>1275.9144173799</v>
      </c>
      <c r="E299">
        <v>330.80250164581997</v>
      </c>
      <c r="F299">
        <v>136.85946649317</v>
      </c>
      <c r="G299">
        <v>116.1828236825</v>
      </c>
      <c r="I299" s="9">
        <f t="shared" si="36"/>
        <v>214.61967796331999</v>
      </c>
      <c r="J299" s="9">
        <f t="shared" si="37"/>
        <v>1139.05495088673</v>
      </c>
      <c r="K299" s="9">
        <f t="shared" si="31"/>
        <v>214.61967796331999</v>
      </c>
      <c r="L299" s="10">
        <f t="shared" si="30"/>
        <v>0.18841907301859592</v>
      </c>
      <c r="M299" s="10">
        <f t="shared" si="38"/>
        <v>0.21514627982550819</v>
      </c>
      <c r="P299" s="8">
        <f t="shared" si="39"/>
        <v>21.896780570728705</v>
      </c>
    </row>
    <row r="300" spans="1:16" x14ac:dyDescent="0.2">
      <c r="A300" s="8">
        <v>149</v>
      </c>
      <c r="B300" s="8">
        <v>298</v>
      </c>
      <c r="D300">
        <v>1279.2692560895</v>
      </c>
      <c r="E300">
        <v>334.84792626728</v>
      </c>
      <c r="F300">
        <v>136.84645413142999</v>
      </c>
      <c r="G300">
        <v>115.95770982433</v>
      </c>
      <c r="I300" s="9">
        <f t="shared" si="36"/>
        <v>218.89021644295002</v>
      </c>
      <c r="J300" s="9">
        <f t="shared" si="37"/>
        <v>1142.4228019580701</v>
      </c>
      <c r="K300" s="9">
        <f t="shared" si="31"/>
        <v>218.89021644295002</v>
      </c>
      <c r="L300" s="10">
        <f t="shared" si="30"/>
        <v>0.19160175730717241</v>
      </c>
      <c r="M300" s="10">
        <f t="shared" si="38"/>
        <v>0.21841895470939413</v>
      </c>
      <c r="P300" s="8">
        <f t="shared" si="39"/>
        <v>23.751000557818074</v>
      </c>
    </row>
    <row r="301" spans="1:16" x14ac:dyDescent="0.2">
      <c r="A301" s="8">
        <v>149.5</v>
      </c>
      <c r="B301" s="8">
        <v>299</v>
      </c>
      <c r="D301">
        <v>1271.1007241606001</v>
      </c>
      <c r="E301">
        <v>340.51349572087003</v>
      </c>
      <c r="F301">
        <v>136.70071567989999</v>
      </c>
      <c r="G301">
        <v>115.78204294079001</v>
      </c>
      <c r="I301" s="9">
        <f t="shared" si="36"/>
        <v>224.73145278008002</v>
      </c>
      <c r="J301" s="9">
        <f t="shared" si="37"/>
        <v>1134.4000084807001</v>
      </c>
      <c r="K301" s="9">
        <f t="shared" si="31"/>
        <v>224.73145278008002</v>
      </c>
      <c r="L301" s="10">
        <f t="shared" si="30"/>
        <v>0.19810600414316151</v>
      </c>
      <c r="M301" s="10">
        <f t="shared" si="38"/>
        <v>0.22501319214069271</v>
      </c>
      <c r="P301" s="8">
        <f t="shared" si="39"/>
        <v>27.487139122919992</v>
      </c>
    </row>
    <row r="302" spans="1:16" x14ac:dyDescent="0.2">
      <c r="A302" s="8">
        <v>150</v>
      </c>
      <c r="B302" s="8">
        <v>300</v>
      </c>
      <c r="D302">
        <v>1276.7583936801</v>
      </c>
      <c r="E302">
        <v>335.98815009875</v>
      </c>
      <c r="F302">
        <v>136.51008458035</v>
      </c>
      <c r="G302">
        <v>115.73519843852</v>
      </c>
      <c r="I302" s="9">
        <f>E302-G302</f>
        <v>220.25295166023</v>
      </c>
      <c r="J302" s="9">
        <f>D302-F302</f>
        <v>1140.24830909975</v>
      </c>
      <c r="K302" s="9">
        <f t="shared" si="31"/>
        <v>220.25295166023</v>
      </c>
      <c r="L302" s="10">
        <f t="shared" si="30"/>
        <v>0.19316226992182459</v>
      </c>
      <c r="M302" s="10">
        <f>L302+ABS($N$2)*A302</f>
        <v>0.22015944851466523</v>
      </c>
      <c r="O302" s="11"/>
      <c r="P302" s="8">
        <f>(M302-$O$2)/$O$2*100</f>
        <v>24.73712307705436</v>
      </c>
    </row>
    <row r="303" spans="1:16" x14ac:dyDescent="0.2">
      <c r="A303" s="8">
        <v>150.5</v>
      </c>
      <c r="B303" s="8">
        <v>301</v>
      </c>
      <c r="D303">
        <v>1262.7913100723999</v>
      </c>
      <c r="E303">
        <v>336.64516129032</v>
      </c>
      <c r="F303">
        <v>136.40208197787999</v>
      </c>
      <c r="G303">
        <v>115.69225764476001</v>
      </c>
      <c r="I303" s="9">
        <f t="shared" ref="I303:I309" si="40">E303-G303</f>
        <v>220.95290364556001</v>
      </c>
      <c r="J303" s="9">
        <f t="shared" ref="J303:J309" si="41">D303-F303</f>
        <v>1126.3892280945199</v>
      </c>
      <c r="K303" s="9">
        <f t="shared" si="31"/>
        <v>220.95290364556001</v>
      </c>
      <c r="L303" s="10">
        <f t="shared" si="30"/>
        <v>0.19616034860288895</v>
      </c>
      <c r="M303" s="10">
        <f t="shared" ref="M303:M309" si="42">L303+ABS($N$2)*A303</f>
        <v>0.22324751779103907</v>
      </c>
      <c r="P303" s="8">
        <f t="shared" ref="P303:P309" si="43">(M303-$O$2)/$O$2*100</f>
        <v>26.486749904321123</v>
      </c>
    </row>
    <row r="304" spans="1:16" x14ac:dyDescent="0.2">
      <c r="A304" s="8">
        <v>151</v>
      </c>
      <c r="B304" s="8">
        <v>302</v>
      </c>
      <c r="D304">
        <v>1269.8564845292999</v>
      </c>
      <c r="E304">
        <v>329.38380513496003</v>
      </c>
      <c r="F304">
        <v>136.91281717632</v>
      </c>
      <c r="G304">
        <v>115.87898503578</v>
      </c>
      <c r="I304" s="9">
        <f t="shared" si="40"/>
        <v>213.50482009918002</v>
      </c>
      <c r="J304" s="9">
        <f t="shared" si="41"/>
        <v>1132.9436673529799</v>
      </c>
      <c r="K304" s="9">
        <f t="shared" si="31"/>
        <v>213.50482009918002</v>
      </c>
      <c r="L304" s="10">
        <f t="shared" si="30"/>
        <v>0.18845139988117385</v>
      </c>
      <c r="M304" s="10">
        <f t="shared" si="42"/>
        <v>0.21562855966463346</v>
      </c>
      <c r="N304" s="1"/>
      <c r="P304" s="8">
        <f t="shared" si="43"/>
        <v>22.170028891690702</v>
      </c>
    </row>
    <row r="305" spans="1:16" x14ac:dyDescent="0.2">
      <c r="A305" s="8">
        <v>151.5</v>
      </c>
      <c r="B305" s="8">
        <v>303</v>
      </c>
      <c r="D305">
        <v>1194.5523370639</v>
      </c>
      <c r="E305">
        <v>315.57208689928001</v>
      </c>
      <c r="F305">
        <v>136.48015614834</v>
      </c>
      <c r="G305">
        <v>115.6955107352</v>
      </c>
      <c r="I305" s="9">
        <f t="shared" si="40"/>
        <v>199.87657616408001</v>
      </c>
      <c r="J305" s="9">
        <f t="shared" si="41"/>
        <v>1058.07218091556</v>
      </c>
      <c r="K305" s="9">
        <f t="shared" si="31"/>
        <v>199.87657616408001</v>
      </c>
      <c r="L305" s="10">
        <f t="shared" si="30"/>
        <v>0.1889063711996708</v>
      </c>
      <c r="M305" s="10">
        <f t="shared" si="42"/>
        <v>0.21617352157843986</v>
      </c>
      <c r="P305" s="8">
        <f t="shared" si="43"/>
        <v>22.478791389840982</v>
      </c>
    </row>
    <row r="306" spans="1:16" x14ac:dyDescent="0.2">
      <c r="A306" s="8">
        <v>152</v>
      </c>
      <c r="B306" s="8">
        <v>304</v>
      </c>
      <c r="D306">
        <v>1229.9791802212001</v>
      </c>
      <c r="E306">
        <v>325.49512036434999</v>
      </c>
      <c r="F306">
        <v>136.60702667533999</v>
      </c>
      <c r="G306">
        <v>115.63890696161</v>
      </c>
      <c r="I306" s="9">
        <f t="shared" si="40"/>
        <v>209.85621340273997</v>
      </c>
      <c r="J306" s="9">
        <f t="shared" si="41"/>
        <v>1093.3721535458601</v>
      </c>
      <c r="K306" s="9">
        <f t="shared" si="31"/>
        <v>209.85621340273997</v>
      </c>
      <c r="L306" s="10">
        <f t="shared" si="30"/>
        <v>0.19193484370547198</v>
      </c>
      <c r="M306" s="10">
        <f t="shared" si="42"/>
        <v>0.21929198467955052</v>
      </c>
      <c r="P306" s="8">
        <f t="shared" si="43"/>
        <v>24.245638637501045</v>
      </c>
    </row>
    <row r="307" spans="1:16" x14ac:dyDescent="0.2">
      <c r="A307" s="8">
        <v>152.5</v>
      </c>
      <c r="B307" s="8">
        <v>305</v>
      </c>
      <c r="D307">
        <v>1213.7592713076999</v>
      </c>
      <c r="E307">
        <v>322.02862719583999</v>
      </c>
      <c r="F307">
        <v>136.75406636304999</v>
      </c>
      <c r="G307">
        <v>115.87052700065</v>
      </c>
      <c r="I307" s="9">
        <f t="shared" si="40"/>
        <v>206.15810019519</v>
      </c>
      <c r="J307" s="9">
        <f t="shared" si="41"/>
        <v>1077.0052049446499</v>
      </c>
      <c r="K307" s="9">
        <f t="shared" si="31"/>
        <v>206.15810019519</v>
      </c>
      <c r="L307" s="10">
        <f t="shared" si="30"/>
        <v>0.19141792374697483</v>
      </c>
      <c r="M307" s="10">
        <f t="shared" si="42"/>
        <v>0.21886505531636283</v>
      </c>
      <c r="P307" s="8">
        <f t="shared" si="43"/>
        <v>24.003750583727125</v>
      </c>
    </row>
    <row r="308" spans="1:16" x14ac:dyDescent="0.2">
      <c r="A308" s="8">
        <v>153</v>
      </c>
      <c r="B308" s="8">
        <v>306</v>
      </c>
      <c r="D308">
        <v>1209.679245283</v>
      </c>
      <c r="E308">
        <v>318.42550422902002</v>
      </c>
      <c r="F308">
        <v>136.32530904359001</v>
      </c>
      <c r="G308">
        <v>115.54261548471</v>
      </c>
      <c r="I308" s="9">
        <f t="shared" si="40"/>
        <v>202.88288874431004</v>
      </c>
      <c r="J308" s="9">
        <f t="shared" si="41"/>
        <v>1073.3539362394099</v>
      </c>
      <c r="K308" s="9">
        <f t="shared" si="31"/>
        <v>202.88288874431004</v>
      </c>
      <c r="L308" s="10">
        <f t="shared" si="30"/>
        <v>0.18901769667434035</v>
      </c>
      <c r="M308" s="10">
        <f t="shared" si="42"/>
        <v>0.21655481883903782</v>
      </c>
      <c r="P308" s="8">
        <f t="shared" si="43"/>
        <v>22.694825376322299</v>
      </c>
    </row>
    <row r="309" spans="1:16" x14ac:dyDescent="0.2">
      <c r="A309" s="8">
        <v>153.5</v>
      </c>
      <c r="B309" s="8">
        <v>307</v>
      </c>
      <c r="D309">
        <v>1227.4723487312999</v>
      </c>
      <c r="E309">
        <v>323.84970722186</v>
      </c>
      <c r="F309">
        <v>135.70657124268001</v>
      </c>
      <c r="G309">
        <v>115.59011060508</v>
      </c>
      <c r="I309" s="9">
        <f t="shared" si="40"/>
        <v>208.25959661678002</v>
      </c>
      <c r="J309" s="9">
        <f t="shared" si="41"/>
        <v>1091.76577748862</v>
      </c>
      <c r="K309" s="9">
        <f t="shared" si="31"/>
        <v>208.25959661678002</v>
      </c>
      <c r="L309" s="10">
        <f t="shared" si="30"/>
        <v>0.19075483122015227</v>
      </c>
      <c r="M309" s="10">
        <f t="shared" si="42"/>
        <v>0.21838194398015923</v>
      </c>
      <c r="P309" s="8">
        <f t="shared" si="43"/>
        <v>23.730031156237121</v>
      </c>
    </row>
    <row r="310" spans="1:16" x14ac:dyDescent="0.2">
      <c r="A310" s="8">
        <v>154</v>
      </c>
      <c r="B310" s="8">
        <v>308</v>
      </c>
      <c r="D310">
        <v>1215.5783994794999</v>
      </c>
      <c r="E310">
        <v>320.27976577749001</v>
      </c>
      <c r="F310">
        <v>136.83604424203</v>
      </c>
      <c r="G310">
        <v>115.39817826936</v>
      </c>
      <c r="I310" s="9">
        <f>E310-G310</f>
        <v>204.88158750813</v>
      </c>
      <c r="J310" s="9">
        <f>D310-F310</f>
        <v>1078.7423552374698</v>
      </c>
      <c r="K310" s="9">
        <f t="shared" si="31"/>
        <v>204.88158750813</v>
      </c>
      <c r="L310" s="10">
        <f t="shared" si="30"/>
        <v>0.18992634016213095</v>
      </c>
      <c r="M310" s="10">
        <f>L310+ABS($N$2)*A310</f>
        <v>0.21764344351744735</v>
      </c>
      <c r="O310" s="11"/>
      <c r="P310" s="8">
        <f>(M310-$O$2)/$O$2*100</f>
        <v>23.311614305489893</v>
      </c>
    </row>
    <row r="311" spans="1:16" x14ac:dyDescent="0.2">
      <c r="A311" s="8">
        <v>154.5</v>
      </c>
      <c r="B311" s="8">
        <v>309</v>
      </c>
      <c r="D311">
        <v>1220.6226415094</v>
      </c>
      <c r="E311">
        <v>324.70917371502998</v>
      </c>
      <c r="F311">
        <v>136.46974625895001</v>
      </c>
      <c r="G311">
        <v>115.88223812622</v>
      </c>
      <c r="I311" s="9">
        <f t="shared" ref="I311:I322" si="44">E311-G311</f>
        <v>208.82693558880999</v>
      </c>
      <c r="J311" s="9">
        <f t="shared" ref="J311:J322" si="45">D311-F311</f>
        <v>1084.15289525045</v>
      </c>
      <c r="K311" s="9">
        <f t="shared" si="31"/>
        <v>208.82693558880999</v>
      </c>
      <c r="L311" s="10">
        <f t="shared" si="30"/>
        <v>0.19261760633915839</v>
      </c>
      <c r="M311" s="10">
        <f t="shared" ref="M311:M322" si="46">L311+ABS($N$2)*A311</f>
        <v>0.22042470028978428</v>
      </c>
      <c r="P311" s="8">
        <f t="shared" ref="P311:P322" si="47">(M311-$O$2)/$O$2*100</f>
        <v>24.887408443149958</v>
      </c>
    </row>
    <row r="312" spans="1:16" x14ac:dyDescent="0.2">
      <c r="A312" s="8">
        <v>155</v>
      </c>
      <c r="B312" s="8">
        <v>310</v>
      </c>
      <c r="D312">
        <v>1251.4381948985999</v>
      </c>
      <c r="E312">
        <v>329.63309352518002</v>
      </c>
      <c r="F312">
        <v>136.40663630449001</v>
      </c>
      <c r="G312">
        <v>115.83083929733</v>
      </c>
      <c r="I312" s="9">
        <f t="shared" si="44"/>
        <v>213.80225422785003</v>
      </c>
      <c r="J312" s="9">
        <f t="shared" si="45"/>
        <v>1115.0315585941098</v>
      </c>
      <c r="K312" s="9">
        <f t="shared" si="31"/>
        <v>213.80225422785003</v>
      </c>
      <c r="L312" s="10">
        <f t="shared" si="30"/>
        <v>0.19174547355181867</v>
      </c>
      <c r="M312" s="10">
        <f t="shared" si="46"/>
        <v>0.21964255809775401</v>
      </c>
      <c r="N312" s="1"/>
      <c r="P312" s="8">
        <f t="shared" si="47"/>
        <v>24.444265223409666</v>
      </c>
    </row>
    <row r="313" spans="1:16" x14ac:dyDescent="0.2">
      <c r="A313" s="8">
        <v>155.5</v>
      </c>
      <c r="B313" s="8">
        <v>311</v>
      </c>
      <c r="D313">
        <v>1218.6115107914</v>
      </c>
      <c r="E313">
        <v>322.72269457162002</v>
      </c>
      <c r="F313">
        <v>136.52504879636001</v>
      </c>
      <c r="G313">
        <v>115.74430709174</v>
      </c>
      <c r="I313" s="9">
        <f t="shared" si="44"/>
        <v>206.97838747988004</v>
      </c>
      <c r="J313" s="9">
        <f t="shared" si="45"/>
        <v>1082.0864619950398</v>
      </c>
      <c r="K313" s="9">
        <f t="shared" si="31"/>
        <v>206.97838747988004</v>
      </c>
      <c r="L313" s="10">
        <f t="shared" si="30"/>
        <v>0.19127712502591943</v>
      </c>
      <c r="M313" s="10">
        <f t="shared" si="46"/>
        <v>0.21926420016716425</v>
      </c>
      <c r="P313" s="8">
        <f t="shared" si="47"/>
        <v>24.229896591613191</v>
      </c>
    </row>
    <row r="314" spans="1:16" x14ac:dyDescent="0.2">
      <c r="A314" s="8">
        <v>156</v>
      </c>
      <c r="B314" s="8">
        <v>312</v>
      </c>
      <c r="D314">
        <v>1243.3492478743999</v>
      </c>
      <c r="E314">
        <v>330.63832570307</v>
      </c>
      <c r="F314">
        <v>136.16200390371</v>
      </c>
      <c r="G314">
        <v>115.33246584254999</v>
      </c>
      <c r="I314" s="9">
        <f t="shared" si="44"/>
        <v>215.30585986052</v>
      </c>
      <c r="J314" s="9">
        <f t="shared" si="45"/>
        <v>1107.1872439706899</v>
      </c>
      <c r="K314" s="9">
        <f t="shared" si="31"/>
        <v>215.30585986052</v>
      </c>
      <c r="L314" s="10">
        <f t="shared" si="30"/>
        <v>0.19446201266587182</v>
      </c>
      <c r="M314" s="10">
        <f t="shared" si="46"/>
        <v>0.22253907840242609</v>
      </c>
      <c r="P314" s="8">
        <f t="shared" si="47"/>
        <v>26.085364945345972</v>
      </c>
    </row>
    <row r="315" spans="1:16" x14ac:dyDescent="0.2">
      <c r="A315" s="8">
        <v>156.5</v>
      </c>
      <c r="B315" s="8">
        <v>313</v>
      </c>
      <c r="D315">
        <v>1237.5127534336</v>
      </c>
      <c r="E315">
        <v>327.49378678875001</v>
      </c>
      <c r="F315">
        <v>136.47104749511999</v>
      </c>
      <c r="G315">
        <v>115.56798959011</v>
      </c>
      <c r="I315" s="9">
        <f t="shared" si="44"/>
        <v>211.92579719864</v>
      </c>
      <c r="J315" s="9">
        <f t="shared" si="45"/>
        <v>1101.0417059384799</v>
      </c>
      <c r="K315" s="9">
        <f t="shared" si="31"/>
        <v>211.92579719864</v>
      </c>
      <c r="L315" s="10">
        <f t="shared" si="30"/>
        <v>0.19247753836718082</v>
      </c>
      <c r="M315" s="10">
        <f t="shared" si="46"/>
        <v>0.22064459469904457</v>
      </c>
      <c r="P315" s="8">
        <f t="shared" si="47"/>
        <v>25.011995401270131</v>
      </c>
    </row>
    <row r="316" spans="1:16" x14ac:dyDescent="0.2">
      <c r="A316" s="8">
        <v>157</v>
      </c>
      <c r="B316" s="8">
        <v>314</v>
      </c>
      <c r="D316">
        <v>1196.4506213211</v>
      </c>
      <c r="E316">
        <v>323.40353172008003</v>
      </c>
      <c r="F316">
        <v>136.5432661028</v>
      </c>
      <c r="G316">
        <v>115.23552374755999</v>
      </c>
      <c r="I316" s="9">
        <f t="shared" si="44"/>
        <v>208.16800797252003</v>
      </c>
      <c r="J316" s="9">
        <f t="shared" si="45"/>
        <v>1059.9073552182999</v>
      </c>
      <c r="K316" s="9">
        <f t="shared" si="31"/>
        <v>208.16800797252003</v>
      </c>
      <c r="L316" s="10">
        <f t="shared" si="30"/>
        <v>0.19640207886815303</v>
      </c>
      <c r="M316" s="10">
        <f t="shared" si="46"/>
        <v>0.22465912579532626</v>
      </c>
      <c r="P316" s="8">
        <f t="shared" si="47"/>
        <v>27.286533527305611</v>
      </c>
    </row>
    <row r="317" spans="1:16" x14ac:dyDescent="0.2">
      <c r="A317" s="8">
        <v>157.5</v>
      </c>
      <c r="B317" s="8">
        <v>315</v>
      </c>
      <c r="D317">
        <v>1156.0830608240999</v>
      </c>
      <c r="E317">
        <v>314.37213865271002</v>
      </c>
      <c r="F317">
        <v>135.89525048796</v>
      </c>
      <c r="G317">
        <v>115.76317501627</v>
      </c>
      <c r="I317" s="9">
        <f t="shared" si="44"/>
        <v>198.60896363644002</v>
      </c>
      <c r="J317" s="9">
        <f t="shared" si="45"/>
        <v>1020.1878103361399</v>
      </c>
      <c r="K317" s="9">
        <f t="shared" si="31"/>
        <v>198.60896363644002</v>
      </c>
      <c r="L317" s="10">
        <f t="shared" si="30"/>
        <v>0.19467882445194154</v>
      </c>
      <c r="M317" s="10">
        <f t="shared" si="46"/>
        <v>0.22302586197442423</v>
      </c>
      <c r="P317" s="8">
        <f t="shared" si="47"/>
        <v>26.361164974560591</v>
      </c>
    </row>
    <row r="318" spans="1:16" x14ac:dyDescent="0.2">
      <c r="A318" s="8">
        <v>158</v>
      </c>
      <c r="B318" s="8">
        <v>316</v>
      </c>
      <c r="D318">
        <v>1192.2903858730999</v>
      </c>
      <c r="E318">
        <v>319.84238064094001</v>
      </c>
      <c r="F318">
        <v>136.59531554976999</v>
      </c>
      <c r="G318">
        <v>115.746258946</v>
      </c>
      <c r="I318" s="9">
        <f t="shared" si="44"/>
        <v>204.09612169494</v>
      </c>
      <c r="J318" s="9">
        <f t="shared" si="45"/>
        <v>1055.6950703233299</v>
      </c>
      <c r="K318" s="9">
        <f t="shared" si="31"/>
        <v>204.09612169494</v>
      </c>
      <c r="L318" s="10">
        <f t="shared" si="30"/>
        <v>0.19332866793858483</v>
      </c>
      <c r="M318" s="10">
        <f t="shared" si="46"/>
        <v>0.221765696056377</v>
      </c>
      <c r="P318" s="8">
        <f t="shared" si="47"/>
        <v>25.647184846623926</v>
      </c>
    </row>
    <row r="319" spans="1:16" x14ac:dyDescent="0.2">
      <c r="A319" s="8">
        <v>158.5</v>
      </c>
      <c r="B319" s="8">
        <v>317</v>
      </c>
      <c r="D319">
        <v>1183.7854807062999</v>
      </c>
      <c r="E319">
        <v>314.28253760628002</v>
      </c>
      <c r="F319">
        <v>136.25439167209001</v>
      </c>
      <c r="G319">
        <v>116.0305790501</v>
      </c>
      <c r="I319" s="9">
        <f t="shared" si="44"/>
        <v>198.25195855618</v>
      </c>
      <c r="J319" s="9">
        <f t="shared" si="45"/>
        <v>1047.53108903421</v>
      </c>
      <c r="K319" s="9">
        <f t="shared" si="31"/>
        <v>198.25195855618</v>
      </c>
      <c r="L319" s="10">
        <f t="shared" si="30"/>
        <v>0.18925639594998744</v>
      </c>
      <c r="M319" s="10">
        <f t="shared" si="46"/>
        <v>0.21778341466308906</v>
      </c>
      <c r="P319" s="8">
        <f t="shared" si="47"/>
        <v>23.390918637595284</v>
      </c>
    </row>
    <row r="320" spans="1:16" x14ac:dyDescent="0.2">
      <c r="A320" s="8">
        <v>159</v>
      </c>
      <c r="B320" s="8">
        <v>318</v>
      </c>
      <c r="D320">
        <v>1193.5186396337999</v>
      </c>
      <c r="E320">
        <v>315.61020274689002</v>
      </c>
      <c r="F320">
        <v>135.6597267404</v>
      </c>
      <c r="G320">
        <v>115.40013012362</v>
      </c>
      <c r="I320" s="9">
        <f t="shared" si="44"/>
        <v>200.21007262327004</v>
      </c>
      <c r="J320" s="9">
        <f t="shared" si="45"/>
        <v>1057.8589128934</v>
      </c>
      <c r="K320" s="9">
        <f t="shared" si="31"/>
        <v>200.21007262327004</v>
      </c>
      <c r="L320" s="10">
        <f t="shared" si="30"/>
        <v>0.18925971146347484</v>
      </c>
      <c r="M320" s="10">
        <f t="shared" si="46"/>
        <v>0.21787672077188594</v>
      </c>
      <c r="P320" s="8">
        <f t="shared" si="47"/>
        <v>23.443783666352211</v>
      </c>
    </row>
    <row r="321" spans="1:16" x14ac:dyDescent="0.2">
      <c r="A321" s="8">
        <v>159.5</v>
      </c>
      <c r="B321" s="8">
        <v>319</v>
      </c>
      <c r="D321">
        <v>1210.9718770438001</v>
      </c>
      <c r="E321">
        <v>322.98234139960999</v>
      </c>
      <c r="F321">
        <v>136.69811320754999</v>
      </c>
      <c r="G321">
        <v>115.63695510735</v>
      </c>
      <c r="I321" s="9">
        <f t="shared" si="44"/>
        <v>207.34538629226</v>
      </c>
      <c r="J321" s="9">
        <f t="shared" si="45"/>
        <v>1074.2737638362501</v>
      </c>
      <c r="K321" s="9">
        <f t="shared" si="31"/>
        <v>207.34538629226</v>
      </c>
      <c r="L321" s="10">
        <f t="shared" si="30"/>
        <v>0.19300982046869139</v>
      </c>
      <c r="M321" s="10">
        <f t="shared" si="46"/>
        <v>0.22171682037241197</v>
      </c>
      <c r="P321" s="8">
        <f t="shared" si="47"/>
        <v>25.619493043036336</v>
      </c>
    </row>
    <row r="322" spans="1:16" x14ac:dyDescent="0.2">
      <c r="A322" s="8">
        <v>160</v>
      </c>
      <c r="B322" s="8">
        <v>320</v>
      </c>
      <c r="D322">
        <v>1219.1628515370001</v>
      </c>
      <c r="E322">
        <v>321.91759319816998</v>
      </c>
      <c r="F322">
        <v>135.9290826285</v>
      </c>
      <c r="G322">
        <v>115.47039687703</v>
      </c>
      <c r="I322" s="9">
        <f t="shared" si="44"/>
        <v>206.44719632113998</v>
      </c>
      <c r="J322" s="9">
        <f t="shared" si="45"/>
        <v>1083.2337689085</v>
      </c>
      <c r="K322" s="9">
        <f t="shared" si="31"/>
        <v>206.44719632113998</v>
      </c>
      <c r="L322" s="10">
        <f t="shared" ref="L322" si="48">K322/J322</f>
        <v>0.19058415851378285</v>
      </c>
      <c r="M322" s="10">
        <f t="shared" si="46"/>
        <v>0.21938114901281289</v>
      </c>
      <c r="P322" s="8">
        <f t="shared" si="47"/>
        <v>24.296157034450474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240814A006</vt:lpstr>
      <vt:lpstr>240814A007</vt:lpstr>
      <vt:lpstr>240814A009</vt:lpstr>
      <vt:lpstr>240814A010</vt:lpstr>
      <vt:lpstr>240814A011</vt:lpstr>
      <vt:lpstr>240814A012</vt:lpstr>
      <vt:lpstr>240814A013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Walsh, Breanna M. (Medical Student)</cp:lastModifiedBy>
  <dcterms:created xsi:type="dcterms:W3CDTF">2024-07-26T18:06:04Z</dcterms:created>
  <dcterms:modified xsi:type="dcterms:W3CDTF">2026-03-12T18:51:31Z</dcterms:modified>
</cp:coreProperties>
</file>