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Library/CloudStorage/Box-Box/Lab_Hallem/Bre Walsh/Data/Calcium Imaging Data/Ss iL3s - BAG/2024-0816/"/>
    </mc:Choice>
  </mc:AlternateContent>
  <xr:revisionPtr revIDLastSave="0" documentId="8_{875A602F-DF3F-8844-AD64-B80931E07783}" xr6:coauthVersionLast="47" xr6:coauthVersionMax="47" xr10:uidLastSave="{00000000-0000-0000-0000-000000000000}"/>
  <bookViews>
    <workbookView xWindow="880" yWindow="2020" windowWidth="28020" windowHeight="15620" activeTab="3" xr2:uid="{703F31A7-3FB6-4B05-8EA8-379C6E25ED1D}"/>
  </bookViews>
  <sheets>
    <sheet name="240816A010" sheetId="12" r:id="rId1"/>
    <sheet name="240814A011" sheetId="13" r:id="rId2"/>
    <sheet name="240814A012" sheetId="14" r:id="rId3"/>
    <sheet name="240814A013" sheetId="1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5" l="1"/>
  <c r="I322" i="15"/>
  <c r="K322" i="15" s="1"/>
  <c r="L322" i="15" s="1"/>
  <c r="J321" i="15"/>
  <c r="I321" i="15"/>
  <c r="K321" i="15" s="1"/>
  <c r="L321" i="15" s="1"/>
  <c r="J320" i="15"/>
  <c r="I320" i="15"/>
  <c r="K320" i="15" s="1"/>
  <c r="L320" i="15" s="1"/>
  <c r="V102" i="15" s="1"/>
  <c r="J319" i="15"/>
  <c r="I319" i="15"/>
  <c r="K319" i="15" s="1"/>
  <c r="L319" i="15" s="1"/>
  <c r="V101" i="15" s="1"/>
  <c r="J318" i="15"/>
  <c r="I318" i="15"/>
  <c r="K318" i="15" s="1"/>
  <c r="L318" i="15" s="1"/>
  <c r="J317" i="15"/>
  <c r="I317" i="15"/>
  <c r="K317" i="15" s="1"/>
  <c r="L317" i="15" s="1"/>
  <c r="V99" i="15" s="1"/>
  <c r="J316" i="15"/>
  <c r="I316" i="15"/>
  <c r="K316" i="15" s="1"/>
  <c r="L316" i="15" s="1"/>
  <c r="V98" i="15" s="1"/>
  <c r="K315" i="15"/>
  <c r="J315" i="15"/>
  <c r="I315" i="15"/>
  <c r="J314" i="15"/>
  <c r="I314" i="15"/>
  <c r="K314" i="15" s="1"/>
  <c r="L314" i="15" s="1"/>
  <c r="J313" i="15"/>
  <c r="I313" i="15"/>
  <c r="K313" i="15" s="1"/>
  <c r="J312" i="15"/>
  <c r="I312" i="15"/>
  <c r="K312" i="15" s="1"/>
  <c r="J311" i="15"/>
  <c r="I311" i="15"/>
  <c r="K311" i="15" s="1"/>
  <c r="J310" i="15"/>
  <c r="I310" i="15"/>
  <c r="K310" i="15" s="1"/>
  <c r="J309" i="15"/>
  <c r="I309" i="15"/>
  <c r="K309" i="15" s="1"/>
  <c r="L309" i="15" s="1"/>
  <c r="V91" i="15" s="1"/>
  <c r="J308" i="15"/>
  <c r="I308" i="15"/>
  <c r="K308" i="15" s="1"/>
  <c r="J307" i="15"/>
  <c r="I307" i="15"/>
  <c r="K307" i="15" s="1"/>
  <c r="J306" i="15"/>
  <c r="I306" i="15"/>
  <c r="K306" i="15" s="1"/>
  <c r="J305" i="15"/>
  <c r="I305" i="15"/>
  <c r="K305" i="15" s="1"/>
  <c r="L305" i="15" s="1"/>
  <c r="V87" i="15" s="1"/>
  <c r="J304" i="15"/>
  <c r="I304" i="15"/>
  <c r="K304" i="15" s="1"/>
  <c r="L304" i="15" s="1"/>
  <c r="V86" i="15" s="1"/>
  <c r="J303" i="15"/>
  <c r="I303" i="15"/>
  <c r="K303" i="15" s="1"/>
  <c r="J302" i="15"/>
  <c r="I302" i="15"/>
  <c r="K302" i="15" s="1"/>
  <c r="J301" i="15"/>
  <c r="I301" i="15"/>
  <c r="K301" i="15" s="1"/>
  <c r="L301" i="15" s="1"/>
  <c r="J300" i="15"/>
  <c r="I300" i="15"/>
  <c r="K300" i="15" s="1"/>
  <c r="J299" i="15"/>
  <c r="I299" i="15"/>
  <c r="K299" i="15" s="1"/>
  <c r="J298" i="15"/>
  <c r="I298" i="15"/>
  <c r="K298" i="15" s="1"/>
  <c r="L298" i="15" s="1"/>
  <c r="J297" i="15"/>
  <c r="I297" i="15"/>
  <c r="K297" i="15" s="1"/>
  <c r="J296" i="15"/>
  <c r="I296" i="15"/>
  <c r="K296" i="15" s="1"/>
  <c r="J295" i="15"/>
  <c r="I295" i="15"/>
  <c r="K295" i="15" s="1"/>
  <c r="J294" i="15"/>
  <c r="I294" i="15"/>
  <c r="K294" i="15" s="1"/>
  <c r="J293" i="15"/>
  <c r="I293" i="15"/>
  <c r="K293" i="15" s="1"/>
  <c r="J292" i="15"/>
  <c r="I292" i="15"/>
  <c r="K292" i="15" s="1"/>
  <c r="J291" i="15"/>
  <c r="I291" i="15"/>
  <c r="K291" i="15" s="1"/>
  <c r="J290" i="15"/>
  <c r="I290" i="15"/>
  <c r="K290" i="15" s="1"/>
  <c r="L290" i="15" s="1"/>
  <c r="J289" i="15"/>
  <c r="I289" i="15"/>
  <c r="K289" i="15" s="1"/>
  <c r="J288" i="15"/>
  <c r="I288" i="15"/>
  <c r="K288" i="15" s="1"/>
  <c r="J287" i="15"/>
  <c r="I287" i="15"/>
  <c r="K287" i="15" s="1"/>
  <c r="J286" i="15"/>
  <c r="I286" i="15"/>
  <c r="K286" i="15" s="1"/>
  <c r="L286" i="15" s="1"/>
  <c r="J285" i="15"/>
  <c r="I285" i="15"/>
  <c r="K285" i="15" s="1"/>
  <c r="L285" i="15" s="1"/>
  <c r="J284" i="15"/>
  <c r="I284" i="15"/>
  <c r="K284" i="15" s="1"/>
  <c r="J283" i="15"/>
  <c r="I283" i="15"/>
  <c r="K283" i="15" s="1"/>
  <c r="J282" i="15"/>
  <c r="I282" i="15"/>
  <c r="K282" i="15" s="1"/>
  <c r="L282" i="15" s="1"/>
  <c r="J281" i="15"/>
  <c r="I281" i="15"/>
  <c r="K281" i="15" s="1"/>
  <c r="L281" i="15" s="1"/>
  <c r="J280" i="15"/>
  <c r="I280" i="15"/>
  <c r="K280" i="15" s="1"/>
  <c r="J279" i="15"/>
  <c r="I279" i="15"/>
  <c r="K279" i="15" s="1"/>
  <c r="J278" i="15"/>
  <c r="I278" i="15"/>
  <c r="K278" i="15" s="1"/>
  <c r="J277" i="15"/>
  <c r="I277" i="15"/>
  <c r="K277" i="15" s="1"/>
  <c r="J276" i="15"/>
  <c r="I276" i="15"/>
  <c r="K276" i="15" s="1"/>
  <c r="J275" i="15"/>
  <c r="I275" i="15"/>
  <c r="K275" i="15" s="1"/>
  <c r="J274" i="15"/>
  <c r="I274" i="15"/>
  <c r="K274" i="15" s="1"/>
  <c r="J273" i="15"/>
  <c r="I273" i="15"/>
  <c r="K273" i="15" s="1"/>
  <c r="J272" i="15"/>
  <c r="I272" i="15"/>
  <c r="K272" i="15" s="1"/>
  <c r="J271" i="15"/>
  <c r="I271" i="15"/>
  <c r="K271" i="15" s="1"/>
  <c r="J270" i="15"/>
  <c r="I270" i="15"/>
  <c r="K270" i="15" s="1"/>
  <c r="J269" i="15"/>
  <c r="I269" i="15"/>
  <c r="K269" i="15" s="1"/>
  <c r="L269" i="15" s="1"/>
  <c r="J268" i="15"/>
  <c r="I268" i="15"/>
  <c r="K268" i="15" s="1"/>
  <c r="J267" i="15"/>
  <c r="I267" i="15"/>
  <c r="K267" i="15" s="1"/>
  <c r="J266" i="15"/>
  <c r="I266" i="15"/>
  <c r="K266" i="15" s="1"/>
  <c r="L266" i="15" s="1"/>
  <c r="J265" i="15"/>
  <c r="I265" i="15"/>
  <c r="K265" i="15" s="1"/>
  <c r="L265" i="15" s="1"/>
  <c r="J264" i="15"/>
  <c r="I264" i="15"/>
  <c r="K264" i="15" s="1"/>
  <c r="J263" i="15"/>
  <c r="I263" i="15"/>
  <c r="K263" i="15" s="1"/>
  <c r="J262" i="15"/>
  <c r="I262" i="15"/>
  <c r="K262" i="15" s="1"/>
  <c r="J261" i="15"/>
  <c r="I261" i="15"/>
  <c r="K261" i="15" s="1"/>
  <c r="K260" i="15"/>
  <c r="J260" i="15"/>
  <c r="I260" i="15"/>
  <c r="J259" i="15"/>
  <c r="I259" i="15"/>
  <c r="K259" i="15" s="1"/>
  <c r="J258" i="15"/>
  <c r="I258" i="15"/>
  <c r="K258" i="15" s="1"/>
  <c r="J257" i="15"/>
  <c r="I257" i="15"/>
  <c r="K257" i="15" s="1"/>
  <c r="L257" i="15" s="1"/>
  <c r="K256" i="15"/>
  <c r="L256" i="15" s="1"/>
  <c r="J256" i="15"/>
  <c r="I256" i="15"/>
  <c r="J255" i="15"/>
  <c r="I255" i="15"/>
  <c r="K255" i="15" s="1"/>
  <c r="J254" i="15"/>
  <c r="I254" i="15"/>
  <c r="K254" i="15" s="1"/>
  <c r="L254" i="15" s="1"/>
  <c r="J253" i="15"/>
  <c r="I253" i="15"/>
  <c r="K253" i="15" s="1"/>
  <c r="J252" i="15"/>
  <c r="I252" i="15"/>
  <c r="K252" i="15" s="1"/>
  <c r="J251" i="15"/>
  <c r="I251" i="15"/>
  <c r="K251" i="15" s="1"/>
  <c r="L251" i="15" s="1"/>
  <c r="J250" i="15"/>
  <c r="I250" i="15"/>
  <c r="K250" i="15" s="1"/>
  <c r="J249" i="15"/>
  <c r="I249" i="15"/>
  <c r="K249" i="15" s="1"/>
  <c r="J248" i="15"/>
  <c r="I248" i="15"/>
  <c r="K248" i="15" s="1"/>
  <c r="J247" i="15"/>
  <c r="I247" i="15"/>
  <c r="K247" i="15" s="1"/>
  <c r="J246" i="15"/>
  <c r="I246" i="15"/>
  <c r="K246" i="15" s="1"/>
  <c r="L246" i="15" s="1"/>
  <c r="J245" i="15"/>
  <c r="I245" i="15"/>
  <c r="K245" i="15" s="1"/>
  <c r="J244" i="15"/>
  <c r="I244" i="15"/>
  <c r="K244" i="15" s="1"/>
  <c r="J243" i="15"/>
  <c r="I243" i="15"/>
  <c r="K243" i="15" s="1"/>
  <c r="L243" i="15" s="1"/>
  <c r="J242" i="15"/>
  <c r="I242" i="15"/>
  <c r="K242" i="15" s="1"/>
  <c r="J241" i="15"/>
  <c r="I241" i="15"/>
  <c r="K241" i="15" s="1"/>
  <c r="J240" i="15"/>
  <c r="I240" i="15"/>
  <c r="K240" i="15" s="1"/>
  <c r="J239" i="15"/>
  <c r="I239" i="15"/>
  <c r="K239" i="15" s="1"/>
  <c r="L239" i="15" s="1"/>
  <c r="J238" i="15"/>
  <c r="I238" i="15"/>
  <c r="K238" i="15" s="1"/>
  <c r="J237" i="15"/>
  <c r="I237" i="15"/>
  <c r="K237" i="15" s="1"/>
  <c r="J236" i="15"/>
  <c r="I236" i="15"/>
  <c r="K236" i="15" s="1"/>
  <c r="J235" i="15"/>
  <c r="I235" i="15"/>
  <c r="K235" i="15" s="1"/>
  <c r="L235" i="15" s="1"/>
  <c r="J234" i="15"/>
  <c r="I234" i="15"/>
  <c r="K234" i="15" s="1"/>
  <c r="J233" i="15"/>
  <c r="I233" i="15"/>
  <c r="K233" i="15" s="1"/>
  <c r="J232" i="15"/>
  <c r="I232" i="15"/>
  <c r="K232" i="15" s="1"/>
  <c r="J231" i="15"/>
  <c r="I231" i="15"/>
  <c r="K231" i="15" s="1"/>
  <c r="J230" i="15"/>
  <c r="I230" i="15"/>
  <c r="K230" i="15" s="1"/>
  <c r="L230" i="15" s="1"/>
  <c r="J229" i="15"/>
  <c r="I229" i="15"/>
  <c r="K229" i="15" s="1"/>
  <c r="J228" i="15"/>
  <c r="I228" i="15"/>
  <c r="K228" i="15" s="1"/>
  <c r="J227" i="15"/>
  <c r="I227" i="15"/>
  <c r="K227" i="15" s="1"/>
  <c r="J226" i="15"/>
  <c r="I226" i="15"/>
  <c r="K226" i="15" s="1"/>
  <c r="J225" i="15"/>
  <c r="I225" i="15"/>
  <c r="K225" i="15" s="1"/>
  <c r="J224" i="15"/>
  <c r="I224" i="15"/>
  <c r="K224" i="15" s="1"/>
  <c r="J223" i="15"/>
  <c r="I223" i="15"/>
  <c r="K223" i="15" s="1"/>
  <c r="J222" i="15"/>
  <c r="I222" i="15"/>
  <c r="K222" i="15" s="1"/>
  <c r="J221" i="15"/>
  <c r="I221" i="15"/>
  <c r="K221" i="15" s="1"/>
  <c r="J220" i="15"/>
  <c r="I220" i="15"/>
  <c r="K220" i="15" s="1"/>
  <c r="J219" i="15"/>
  <c r="I219" i="15"/>
  <c r="K219" i="15" s="1"/>
  <c r="L219" i="15" s="1"/>
  <c r="J218" i="15"/>
  <c r="I218" i="15"/>
  <c r="K218" i="15" s="1"/>
  <c r="L218" i="15" s="1"/>
  <c r="J217" i="15"/>
  <c r="I217" i="15"/>
  <c r="K217" i="15" s="1"/>
  <c r="L217" i="15" s="1"/>
  <c r="J216" i="15"/>
  <c r="I216" i="15"/>
  <c r="K216" i="15" s="1"/>
  <c r="J215" i="15"/>
  <c r="I215" i="15"/>
  <c r="K215" i="15" s="1"/>
  <c r="L215" i="15" s="1"/>
  <c r="J214" i="15"/>
  <c r="I214" i="15"/>
  <c r="K214" i="15" s="1"/>
  <c r="L214" i="15" s="1"/>
  <c r="J213" i="15"/>
  <c r="I213" i="15"/>
  <c r="K213" i="15" s="1"/>
  <c r="L213" i="15" s="1"/>
  <c r="J212" i="15"/>
  <c r="I212" i="15"/>
  <c r="K212" i="15" s="1"/>
  <c r="J211" i="15"/>
  <c r="I211" i="15"/>
  <c r="K211" i="15" s="1"/>
  <c r="J210" i="15"/>
  <c r="I210" i="15"/>
  <c r="K210" i="15" s="1"/>
  <c r="L210" i="15" s="1"/>
  <c r="J209" i="15"/>
  <c r="I209" i="15"/>
  <c r="K209" i="15" s="1"/>
  <c r="J208" i="15"/>
  <c r="I208" i="15"/>
  <c r="K208" i="15" s="1"/>
  <c r="J207" i="15"/>
  <c r="I207" i="15"/>
  <c r="K207" i="15" s="1"/>
  <c r="L207" i="15" s="1"/>
  <c r="J206" i="15"/>
  <c r="I206" i="15"/>
  <c r="K206" i="15" s="1"/>
  <c r="L206" i="15" s="1"/>
  <c r="J205" i="15"/>
  <c r="I205" i="15"/>
  <c r="K205" i="15" s="1"/>
  <c r="J204" i="15"/>
  <c r="I204" i="15"/>
  <c r="K204" i="15" s="1"/>
  <c r="J203" i="15"/>
  <c r="I203" i="15"/>
  <c r="K203" i="15" s="1"/>
  <c r="J202" i="15"/>
  <c r="I202" i="15"/>
  <c r="K202" i="15" s="1"/>
  <c r="J201" i="15"/>
  <c r="I201" i="15"/>
  <c r="K201" i="15" s="1"/>
  <c r="J200" i="15"/>
  <c r="I200" i="15"/>
  <c r="K200" i="15" s="1"/>
  <c r="J199" i="15"/>
  <c r="I199" i="15"/>
  <c r="K199" i="15" s="1"/>
  <c r="L199" i="15" s="1"/>
  <c r="J198" i="15"/>
  <c r="I198" i="15"/>
  <c r="K198" i="15" s="1"/>
  <c r="J197" i="15"/>
  <c r="I197" i="15"/>
  <c r="K197" i="15" s="1"/>
  <c r="J196" i="15"/>
  <c r="I196" i="15"/>
  <c r="K196" i="15" s="1"/>
  <c r="J195" i="15"/>
  <c r="I195" i="15"/>
  <c r="K195" i="15" s="1"/>
  <c r="J194" i="15"/>
  <c r="I194" i="15"/>
  <c r="K194" i="15" s="1"/>
  <c r="L194" i="15" s="1"/>
  <c r="J193" i="15"/>
  <c r="I193" i="15"/>
  <c r="K193" i="15" s="1"/>
  <c r="J192" i="15"/>
  <c r="I192" i="15"/>
  <c r="K192" i="15" s="1"/>
  <c r="J191" i="15"/>
  <c r="I191" i="15"/>
  <c r="K191" i="15" s="1"/>
  <c r="L191" i="15" s="1"/>
  <c r="J190" i="15"/>
  <c r="I190" i="15"/>
  <c r="K190" i="15" s="1"/>
  <c r="L190" i="15" s="1"/>
  <c r="J189" i="15"/>
  <c r="I189" i="15"/>
  <c r="K189" i="15" s="1"/>
  <c r="J188" i="15"/>
  <c r="I188" i="15"/>
  <c r="K188" i="15" s="1"/>
  <c r="L188" i="15" s="1"/>
  <c r="J187" i="15"/>
  <c r="I187" i="15"/>
  <c r="K187" i="15" s="1"/>
  <c r="J186" i="15"/>
  <c r="I186" i="15"/>
  <c r="K186" i="15" s="1"/>
  <c r="J185" i="15"/>
  <c r="I185" i="15"/>
  <c r="K185" i="15" s="1"/>
  <c r="J184" i="15"/>
  <c r="I184" i="15"/>
  <c r="K184" i="15" s="1"/>
  <c r="J183" i="15"/>
  <c r="I183" i="15"/>
  <c r="K183" i="15" s="1"/>
  <c r="J182" i="15"/>
  <c r="I182" i="15"/>
  <c r="K182" i="15" s="1"/>
  <c r="L182" i="15" s="1"/>
  <c r="J181" i="15"/>
  <c r="I181" i="15"/>
  <c r="K181" i="15" s="1"/>
  <c r="J180" i="15"/>
  <c r="I180" i="15"/>
  <c r="K180" i="15" s="1"/>
  <c r="J179" i="15"/>
  <c r="I179" i="15"/>
  <c r="K179" i="15" s="1"/>
  <c r="L179" i="15" s="1"/>
  <c r="J178" i="15"/>
  <c r="I178" i="15"/>
  <c r="K178" i="15" s="1"/>
  <c r="L178" i="15" s="1"/>
  <c r="J177" i="15"/>
  <c r="I177" i="15"/>
  <c r="K177" i="15" s="1"/>
  <c r="J176" i="15"/>
  <c r="I176" i="15"/>
  <c r="K176" i="15" s="1"/>
  <c r="J175" i="15"/>
  <c r="I175" i="15"/>
  <c r="K175" i="15" s="1"/>
  <c r="L175" i="15" s="1"/>
  <c r="J174" i="15"/>
  <c r="I174" i="15"/>
  <c r="K174" i="15" s="1"/>
  <c r="J173" i="15"/>
  <c r="I173" i="15"/>
  <c r="K173" i="15" s="1"/>
  <c r="J172" i="15"/>
  <c r="I172" i="15"/>
  <c r="K172" i="15" s="1"/>
  <c r="L172" i="15" s="1"/>
  <c r="J171" i="15"/>
  <c r="I171" i="15"/>
  <c r="K171" i="15" s="1"/>
  <c r="J170" i="15"/>
  <c r="I170" i="15"/>
  <c r="K170" i="15" s="1"/>
  <c r="J169" i="15"/>
  <c r="I169" i="15"/>
  <c r="K169" i="15" s="1"/>
  <c r="L169" i="15" s="1"/>
  <c r="J168" i="15"/>
  <c r="I168" i="15"/>
  <c r="K168" i="15" s="1"/>
  <c r="L168" i="15" s="1"/>
  <c r="J167" i="15"/>
  <c r="I167" i="15"/>
  <c r="K167" i="15" s="1"/>
  <c r="J166" i="15"/>
  <c r="I166" i="15"/>
  <c r="K166" i="15" s="1"/>
  <c r="J165" i="15"/>
  <c r="I165" i="15"/>
  <c r="K165" i="15" s="1"/>
  <c r="L165" i="15" s="1"/>
  <c r="J164" i="15"/>
  <c r="I164" i="15"/>
  <c r="K164" i="15" s="1"/>
  <c r="L164" i="15" s="1"/>
  <c r="J163" i="15"/>
  <c r="I163" i="15"/>
  <c r="K163" i="15" s="1"/>
  <c r="L163" i="15" s="1"/>
  <c r="J162" i="15"/>
  <c r="I162" i="15"/>
  <c r="K162" i="15" s="1"/>
  <c r="J161" i="15"/>
  <c r="I161" i="15"/>
  <c r="K161" i="15" s="1"/>
  <c r="J160" i="15"/>
  <c r="I160" i="15"/>
  <c r="K160" i="15" s="1"/>
  <c r="L160" i="15" s="1"/>
  <c r="J159" i="15"/>
  <c r="I159" i="15"/>
  <c r="K159" i="15" s="1"/>
  <c r="J158" i="15"/>
  <c r="I158" i="15"/>
  <c r="K158" i="15" s="1"/>
  <c r="J157" i="15"/>
  <c r="I157" i="15"/>
  <c r="K157" i="15" s="1"/>
  <c r="L157" i="15" s="1"/>
  <c r="J156" i="15"/>
  <c r="I156" i="15"/>
  <c r="K156" i="15" s="1"/>
  <c r="L156" i="15" s="1"/>
  <c r="J155" i="15"/>
  <c r="I155" i="15"/>
  <c r="K155" i="15" s="1"/>
  <c r="L155" i="15" s="1"/>
  <c r="J154" i="15"/>
  <c r="I154" i="15"/>
  <c r="K154" i="15" s="1"/>
  <c r="J153" i="15"/>
  <c r="I153" i="15"/>
  <c r="K153" i="15" s="1"/>
  <c r="L153" i="15" s="1"/>
  <c r="J152" i="15"/>
  <c r="I152" i="15"/>
  <c r="K152" i="15" s="1"/>
  <c r="J151" i="15"/>
  <c r="I151" i="15"/>
  <c r="K151" i="15" s="1"/>
  <c r="J150" i="15"/>
  <c r="I150" i="15"/>
  <c r="K150" i="15" s="1"/>
  <c r="J149" i="15"/>
  <c r="I149" i="15"/>
  <c r="K149" i="15" s="1"/>
  <c r="J148" i="15"/>
  <c r="I148" i="15"/>
  <c r="K148" i="15" s="1"/>
  <c r="J147" i="15"/>
  <c r="I147" i="15"/>
  <c r="K147" i="15" s="1"/>
  <c r="J146" i="15"/>
  <c r="I146" i="15"/>
  <c r="K146" i="15" s="1"/>
  <c r="J145" i="15"/>
  <c r="I145" i="15"/>
  <c r="K145" i="15" s="1"/>
  <c r="J144" i="15"/>
  <c r="I144" i="15"/>
  <c r="K144" i="15" s="1"/>
  <c r="J143" i="15"/>
  <c r="I143" i="15"/>
  <c r="K143" i="15" s="1"/>
  <c r="L143" i="15" s="1"/>
  <c r="J142" i="15"/>
  <c r="I142" i="15"/>
  <c r="K142" i="15" s="1"/>
  <c r="J141" i="15"/>
  <c r="I141" i="15"/>
  <c r="K141" i="15" s="1"/>
  <c r="J140" i="15"/>
  <c r="I140" i="15"/>
  <c r="K140" i="15" s="1"/>
  <c r="L140" i="15" s="1"/>
  <c r="J139" i="15"/>
  <c r="I139" i="15"/>
  <c r="K139" i="15" s="1"/>
  <c r="L139" i="15" s="1"/>
  <c r="J138" i="15"/>
  <c r="I138" i="15"/>
  <c r="K138" i="15" s="1"/>
  <c r="J137" i="15"/>
  <c r="I137" i="15"/>
  <c r="K137" i="15" s="1"/>
  <c r="J136" i="15"/>
  <c r="I136" i="15"/>
  <c r="K136" i="15" s="1"/>
  <c r="J135" i="15"/>
  <c r="I135" i="15"/>
  <c r="K135" i="15" s="1"/>
  <c r="J134" i="15"/>
  <c r="I134" i="15"/>
  <c r="K134" i="15" s="1"/>
  <c r="J133" i="15"/>
  <c r="I133" i="15"/>
  <c r="K133" i="15" s="1"/>
  <c r="J132" i="15"/>
  <c r="I132" i="15"/>
  <c r="K132" i="15" s="1"/>
  <c r="L132" i="15" s="1"/>
  <c r="J131" i="15"/>
  <c r="I131" i="15"/>
  <c r="K131" i="15" s="1"/>
  <c r="J130" i="15"/>
  <c r="I130" i="15"/>
  <c r="K130" i="15" s="1"/>
  <c r="J129" i="15"/>
  <c r="I129" i="15"/>
  <c r="K129" i="15" s="1"/>
  <c r="J128" i="15"/>
  <c r="I128" i="15"/>
  <c r="K128" i="15" s="1"/>
  <c r="J127" i="15"/>
  <c r="I127" i="15"/>
  <c r="K127" i="15" s="1"/>
  <c r="L127" i="15" s="1"/>
  <c r="J126" i="15"/>
  <c r="I126" i="15"/>
  <c r="K126" i="15" s="1"/>
  <c r="J125" i="15"/>
  <c r="I125" i="15"/>
  <c r="K125" i="15" s="1"/>
  <c r="J124" i="15"/>
  <c r="I124" i="15"/>
  <c r="K124" i="15" s="1"/>
  <c r="J123" i="15"/>
  <c r="I123" i="15"/>
  <c r="K123" i="15" s="1"/>
  <c r="L123" i="15" s="1"/>
  <c r="J122" i="15"/>
  <c r="I122" i="15"/>
  <c r="K122" i="15" s="1"/>
  <c r="J121" i="15"/>
  <c r="I121" i="15"/>
  <c r="K121" i="15" s="1"/>
  <c r="J120" i="15"/>
  <c r="I120" i="15"/>
  <c r="K120" i="15" s="1"/>
  <c r="J119" i="15"/>
  <c r="I119" i="15"/>
  <c r="K119" i="15" s="1"/>
  <c r="J118" i="15"/>
  <c r="I118" i="15"/>
  <c r="K118" i="15" s="1"/>
  <c r="J117" i="15"/>
  <c r="I117" i="15"/>
  <c r="K117" i="15" s="1"/>
  <c r="J116" i="15"/>
  <c r="I116" i="15"/>
  <c r="K116" i="15" s="1"/>
  <c r="J115" i="15"/>
  <c r="I115" i="15"/>
  <c r="K115" i="15" s="1"/>
  <c r="J114" i="15"/>
  <c r="I114" i="15"/>
  <c r="K114" i="15" s="1"/>
  <c r="J113" i="15"/>
  <c r="I113" i="15"/>
  <c r="K113" i="15" s="1"/>
  <c r="J112" i="15"/>
  <c r="I112" i="15"/>
  <c r="K112" i="15" s="1"/>
  <c r="J111" i="15"/>
  <c r="I111" i="15"/>
  <c r="K111" i="15" s="1"/>
  <c r="L111" i="15" s="1"/>
  <c r="J110" i="15"/>
  <c r="I110" i="15"/>
  <c r="K110" i="15" s="1"/>
  <c r="J109" i="15"/>
  <c r="I109" i="15"/>
  <c r="K109" i="15" s="1"/>
  <c r="J108" i="15"/>
  <c r="I108" i="15"/>
  <c r="K108" i="15" s="1"/>
  <c r="J107" i="15"/>
  <c r="I107" i="15"/>
  <c r="K107" i="15" s="1"/>
  <c r="J106" i="15"/>
  <c r="I106" i="15"/>
  <c r="K106" i="15" s="1"/>
  <c r="J105" i="15"/>
  <c r="I105" i="15"/>
  <c r="K105" i="15" s="1"/>
  <c r="J104" i="15"/>
  <c r="I104" i="15"/>
  <c r="K104" i="15" s="1"/>
  <c r="V103" i="15"/>
  <c r="J103" i="15"/>
  <c r="I103" i="15"/>
  <c r="K103" i="15" s="1"/>
  <c r="J102" i="15"/>
  <c r="I102" i="15"/>
  <c r="K102" i="15" s="1"/>
  <c r="J101" i="15"/>
  <c r="I101" i="15"/>
  <c r="K101" i="15" s="1"/>
  <c r="V100" i="15"/>
  <c r="J100" i="15"/>
  <c r="I100" i="15"/>
  <c r="K100" i="15" s="1"/>
  <c r="L100" i="15" s="1"/>
  <c r="J99" i="15"/>
  <c r="I99" i="15"/>
  <c r="K99" i="15" s="1"/>
  <c r="J98" i="15"/>
  <c r="I98" i="15"/>
  <c r="K98" i="15" s="1"/>
  <c r="J97" i="15"/>
  <c r="I97" i="15"/>
  <c r="K97" i="15" s="1"/>
  <c r="J96" i="15"/>
  <c r="I96" i="15"/>
  <c r="K96" i="15" s="1"/>
  <c r="J95" i="15"/>
  <c r="I95" i="15"/>
  <c r="K95" i="15" s="1"/>
  <c r="J94" i="15"/>
  <c r="I94" i="15"/>
  <c r="K94" i="15" s="1"/>
  <c r="J93" i="15"/>
  <c r="I93" i="15"/>
  <c r="K93" i="15" s="1"/>
  <c r="J92" i="15"/>
  <c r="I92" i="15"/>
  <c r="K92" i="15" s="1"/>
  <c r="J91" i="15"/>
  <c r="I91" i="15"/>
  <c r="K91" i="15" s="1"/>
  <c r="L91" i="15" s="1"/>
  <c r="J90" i="15"/>
  <c r="I90" i="15"/>
  <c r="K90" i="15" s="1"/>
  <c r="J89" i="15"/>
  <c r="I89" i="15"/>
  <c r="K89" i="15" s="1"/>
  <c r="J88" i="15"/>
  <c r="I88" i="15"/>
  <c r="K88" i="15" s="1"/>
  <c r="L88" i="15" s="1"/>
  <c r="J87" i="15"/>
  <c r="I87" i="15"/>
  <c r="K87" i="15" s="1"/>
  <c r="J86" i="15"/>
  <c r="I86" i="15"/>
  <c r="K86" i="15" s="1"/>
  <c r="L86" i="15" s="1"/>
  <c r="J85" i="15"/>
  <c r="I85" i="15"/>
  <c r="K85" i="15" s="1"/>
  <c r="J84" i="15"/>
  <c r="I84" i="15"/>
  <c r="K84" i="15" s="1"/>
  <c r="L84" i="15" s="1"/>
  <c r="J83" i="15"/>
  <c r="I83" i="15"/>
  <c r="K83" i="15" s="1"/>
  <c r="J82" i="15"/>
  <c r="I82" i="15"/>
  <c r="K82" i="15" s="1"/>
  <c r="L82" i="15" s="1"/>
  <c r="J81" i="15"/>
  <c r="I81" i="15"/>
  <c r="K81" i="15" s="1"/>
  <c r="J80" i="15"/>
  <c r="I80" i="15"/>
  <c r="K80" i="15" s="1"/>
  <c r="J79" i="15"/>
  <c r="I79" i="15"/>
  <c r="K79" i="15" s="1"/>
  <c r="L79" i="15" s="1"/>
  <c r="J78" i="15"/>
  <c r="I78" i="15"/>
  <c r="K78" i="15" s="1"/>
  <c r="J77" i="15"/>
  <c r="I77" i="15"/>
  <c r="K77" i="15" s="1"/>
  <c r="J76" i="15"/>
  <c r="I76" i="15"/>
  <c r="K76" i="15" s="1"/>
  <c r="L76" i="15" s="1"/>
  <c r="V78" i="15" s="1"/>
  <c r="J75" i="15"/>
  <c r="I75" i="15"/>
  <c r="K75" i="15" s="1"/>
  <c r="L75" i="15" s="1"/>
  <c r="J74" i="15"/>
  <c r="I74" i="15"/>
  <c r="K74" i="15" s="1"/>
  <c r="L74" i="15" s="1"/>
  <c r="J73" i="15"/>
  <c r="I73" i="15"/>
  <c r="K73" i="15" s="1"/>
  <c r="J72" i="15"/>
  <c r="I72" i="15"/>
  <c r="K72" i="15" s="1"/>
  <c r="J71" i="15"/>
  <c r="I71" i="15"/>
  <c r="K71" i="15" s="1"/>
  <c r="J70" i="15"/>
  <c r="I70" i="15"/>
  <c r="K70" i="15" s="1"/>
  <c r="L70" i="15" s="1"/>
  <c r="J69" i="15"/>
  <c r="I69" i="15"/>
  <c r="K69" i="15" s="1"/>
  <c r="J68" i="15"/>
  <c r="I68" i="15"/>
  <c r="K68" i="15" s="1"/>
  <c r="L68" i="15" s="1"/>
  <c r="V70" i="15" s="1"/>
  <c r="J67" i="15"/>
  <c r="I67" i="15"/>
  <c r="K67" i="15" s="1"/>
  <c r="L67" i="15" s="1"/>
  <c r="J66" i="15"/>
  <c r="I66" i="15"/>
  <c r="K66" i="15" s="1"/>
  <c r="J65" i="15"/>
  <c r="I65" i="15"/>
  <c r="K65" i="15" s="1"/>
  <c r="J64" i="15"/>
  <c r="I64" i="15"/>
  <c r="K64" i="15" s="1"/>
  <c r="L64" i="15" s="1"/>
  <c r="J63" i="15"/>
  <c r="I63" i="15"/>
  <c r="K63" i="15" s="1"/>
  <c r="L63" i="15" s="1"/>
  <c r="J62" i="15"/>
  <c r="I62" i="15"/>
  <c r="K62" i="15" s="1"/>
  <c r="J61" i="15"/>
  <c r="I61" i="15"/>
  <c r="K61" i="15" s="1"/>
  <c r="J60" i="15"/>
  <c r="I60" i="15"/>
  <c r="K60" i="15" s="1"/>
  <c r="L60" i="15" s="1"/>
  <c r="J59" i="15"/>
  <c r="I59" i="15"/>
  <c r="K59" i="15" s="1"/>
  <c r="L59" i="15" s="1"/>
  <c r="J58" i="15"/>
  <c r="I58" i="15"/>
  <c r="K58" i="15" s="1"/>
  <c r="L58" i="15" s="1"/>
  <c r="J57" i="15"/>
  <c r="I57" i="15"/>
  <c r="K57" i="15" s="1"/>
  <c r="L57" i="15" s="1"/>
  <c r="J56" i="15"/>
  <c r="I56" i="15"/>
  <c r="K56" i="15" s="1"/>
  <c r="J55" i="15"/>
  <c r="I55" i="15"/>
  <c r="K55" i="15" s="1"/>
  <c r="J54" i="15"/>
  <c r="I54" i="15"/>
  <c r="K54" i="15" s="1"/>
  <c r="L54" i="15" s="1"/>
  <c r="J53" i="15"/>
  <c r="I53" i="15"/>
  <c r="K53" i="15" s="1"/>
  <c r="L53" i="15" s="1"/>
  <c r="J52" i="15"/>
  <c r="I52" i="15"/>
  <c r="K52" i="15" s="1"/>
  <c r="J51" i="15"/>
  <c r="I51" i="15"/>
  <c r="K51" i="15" s="1"/>
  <c r="J50" i="15"/>
  <c r="I50" i="15"/>
  <c r="K50" i="15" s="1"/>
  <c r="L50" i="15" s="1"/>
  <c r="J49" i="15"/>
  <c r="I49" i="15"/>
  <c r="K49" i="15" s="1"/>
  <c r="L49" i="15" s="1"/>
  <c r="J48" i="15"/>
  <c r="I48" i="15"/>
  <c r="K48" i="15" s="1"/>
  <c r="J47" i="15"/>
  <c r="I47" i="15"/>
  <c r="K47" i="15" s="1"/>
  <c r="J46" i="15"/>
  <c r="I46" i="15"/>
  <c r="K46" i="15" s="1"/>
  <c r="L46" i="15" s="1"/>
  <c r="J45" i="15"/>
  <c r="I45" i="15"/>
  <c r="K45" i="15" s="1"/>
  <c r="L45" i="15" s="1"/>
  <c r="J44" i="15"/>
  <c r="I44" i="15"/>
  <c r="K44" i="15" s="1"/>
  <c r="J43" i="15"/>
  <c r="I43" i="15"/>
  <c r="K43" i="15" s="1"/>
  <c r="L43" i="15" s="1"/>
  <c r="J42" i="15"/>
  <c r="I42" i="15"/>
  <c r="K42" i="15" s="1"/>
  <c r="L42" i="15" s="1"/>
  <c r="J41" i="15"/>
  <c r="I41" i="15"/>
  <c r="K41" i="15" s="1"/>
  <c r="L41" i="15" s="1"/>
  <c r="J40" i="15"/>
  <c r="I40" i="15"/>
  <c r="K40" i="15" s="1"/>
  <c r="J39" i="15"/>
  <c r="I39" i="15"/>
  <c r="K39" i="15" s="1"/>
  <c r="J38" i="15"/>
  <c r="I38" i="15"/>
  <c r="K38" i="15" s="1"/>
  <c r="L38" i="15" s="1"/>
  <c r="J37" i="15"/>
  <c r="I37" i="15"/>
  <c r="K37" i="15" s="1"/>
  <c r="L37" i="15" s="1"/>
  <c r="K36" i="15"/>
  <c r="J36" i="15"/>
  <c r="I36" i="15"/>
  <c r="J35" i="15"/>
  <c r="I35" i="15"/>
  <c r="K35" i="15" s="1"/>
  <c r="J34" i="15"/>
  <c r="I34" i="15"/>
  <c r="K34" i="15" s="1"/>
  <c r="L34" i="15" s="1"/>
  <c r="J33" i="15"/>
  <c r="I33" i="15"/>
  <c r="K33" i="15" s="1"/>
  <c r="J32" i="15"/>
  <c r="I32" i="15"/>
  <c r="K32" i="15" s="1"/>
  <c r="J31" i="15"/>
  <c r="I31" i="15"/>
  <c r="K31" i="15" s="1"/>
  <c r="J30" i="15"/>
  <c r="I30" i="15"/>
  <c r="K30" i="15" s="1"/>
  <c r="L30" i="15" s="1"/>
  <c r="J29" i="15"/>
  <c r="I29" i="15"/>
  <c r="K29" i="15" s="1"/>
  <c r="J28" i="15"/>
  <c r="I28" i="15"/>
  <c r="K28" i="15" s="1"/>
  <c r="J27" i="15"/>
  <c r="I27" i="15"/>
  <c r="K27" i="15" s="1"/>
  <c r="L27" i="15" s="1"/>
  <c r="J26" i="15"/>
  <c r="I26" i="15"/>
  <c r="K26" i="15" s="1"/>
  <c r="L26" i="15" s="1"/>
  <c r="J25" i="15"/>
  <c r="I25" i="15"/>
  <c r="K25" i="15" s="1"/>
  <c r="L25" i="15" s="1"/>
  <c r="J24" i="15"/>
  <c r="I24" i="15"/>
  <c r="K24" i="15" s="1"/>
  <c r="J23" i="15"/>
  <c r="I23" i="15"/>
  <c r="K23" i="15" s="1"/>
  <c r="J22" i="15"/>
  <c r="I22" i="15"/>
  <c r="K22" i="15" s="1"/>
  <c r="L22" i="15" s="1"/>
  <c r="J21" i="15"/>
  <c r="I21" i="15"/>
  <c r="K21" i="15" s="1"/>
  <c r="L21" i="15" s="1"/>
  <c r="J20" i="15"/>
  <c r="I20" i="15"/>
  <c r="K20" i="15" s="1"/>
  <c r="J19" i="15"/>
  <c r="I19" i="15"/>
  <c r="K19" i="15" s="1"/>
  <c r="L19" i="15" s="1"/>
  <c r="J18" i="15"/>
  <c r="I18" i="15"/>
  <c r="K18" i="15" s="1"/>
  <c r="L18" i="15" s="1"/>
  <c r="J17" i="15"/>
  <c r="I17" i="15"/>
  <c r="K17" i="15" s="1"/>
  <c r="J16" i="15"/>
  <c r="I16" i="15"/>
  <c r="K16" i="15" s="1"/>
  <c r="J15" i="15"/>
  <c r="I15" i="15"/>
  <c r="K15" i="15" s="1"/>
  <c r="J14" i="15"/>
  <c r="I14" i="15"/>
  <c r="K14" i="15" s="1"/>
  <c r="L14" i="15" s="1"/>
  <c r="J13" i="15"/>
  <c r="I13" i="15"/>
  <c r="K13" i="15" s="1"/>
  <c r="J12" i="15"/>
  <c r="I12" i="15"/>
  <c r="K12" i="15" s="1"/>
  <c r="J11" i="15"/>
  <c r="I11" i="15"/>
  <c r="K11" i="15" s="1"/>
  <c r="L11" i="15" s="1"/>
  <c r="J10" i="15"/>
  <c r="I10" i="15"/>
  <c r="K10" i="15" s="1"/>
  <c r="J9" i="15"/>
  <c r="I9" i="15"/>
  <c r="K9" i="15" s="1"/>
  <c r="J8" i="15"/>
  <c r="I8" i="15"/>
  <c r="K8" i="15" s="1"/>
  <c r="J7" i="15"/>
  <c r="I7" i="15"/>
  <c r="K7" i="15" s="1"/>
  <c r="J6" i="15"/>
  <c r="I6" i="15"/>
  <c r="K6" i="15" s="1"/>
  <c r="J5" i="15"/>
  <c r="I5" i="15"/>
  <c r="K5" i="15" s="1"/>
  <c r="J4" i="15"/>
  <c r="I4" i="15"/>
  <c r="K4" i="15" s="1"/>
  <c r="J3" i="15"/>
  <c r="I3" i="15"/>
  <c r="K3" i="15" s="1"/>
  <c r="J2" i="15"/>
  <c r="I2" i="15"/>
  <c r="K2" i="15" s="1"/>
  <c r="J322" i="14"/>
  <c r="I322" i="14"/>
  <c r="K322" i="14" s="1"/>
  <c r="J321" i="14"/>
  <c r="I321" i="14"/>
  <c r="K321" i="14" s="1"/>
  <c r="J320" i="14"/>
  <c r="I320" i="14"/>
  <c r="K320" i="14" s="1"/>
  <c r="J319" i="14"/>
  <c r="I319" i="14"/>
  <c r="K319" i="14" s="1"/>
  <c r="J318" i="14"/>
  <c r="I318" i="14"/>
  <c r="K318" i="14" s="1"/>
  <c r="J317" i="14"/>
  <c r="I317" i="14"/>
  <c r="K317" i="14" s="1"/>
  <c r="J316" i="14"/>
  <c r="I316" i="14"/>
  <c r="K316" i="14" s="1"/>
  <c r="J315" i="14"/>
  <c r="I315" i="14"/>
  <c r="K315" i="14" s="1"/>
  <c r="L315" i="14" s="1"/>
  <c r="J314" i="14"/>
  <c r="I314" i="14"/>
  <c r="K314" i="14" s="1"/>
  <c r="J313" i="14"/>
  <c r="I313" i="14"/>
  <c r="K313" i="14" s="1"/>
  <c r="J312" i="14"/>
  <c r="I312" i="14"/>
  <c r="K312" i="14" s="1"/>
  <c r="J311" i="14"/>
  <c r="I311" i="14"/>
  <c r="K311" i="14" s="1"/>
  <c r="J310" i="14"/>
  <c r="I310" i="14"/>
  <c r="K310" i="14" s="1"/>
  <c r="J309" i="14"/>
  <c r="I309" i="14"/>
  <c r="K309" i="14" s="1"/>
  <c r="J308" i="14"/>
  <c r="I308" i="14"/>
  <c r="K308" i="14" s="1"/>
  <c r="J307" i="14"/>
  <c r="I307" i="14"/>
  <c r="K307" i="14" s="1"/>
  <c r="L307" i="14" s="1"/>
  <c r="J306" i="14"/>
  <c r="I306" i="14"/>
  <c r="K306" i="14" s="1"/>
  <c r="J305" i="14"/>
  <c r="I305" i="14"/>
  <c r="K305" i="14" s="1"/>
  <c r="J304" i="14"/>
  <c r="I304" i="14"/>
  <c r="K304" i="14" s="1"/>
  <c r="J303" i="14"/>
  <c r="I303" i="14"/>
  <c r="K303" i="14" s="1"/>
  <c r="J302" i="14"/>
  <c r="I302" i="14"/>
  <c r="K302" i="14" s="1"/>
  <c r="J301" i="14"/>
  <c r="I301" i="14"/>
  <c r="K301" i="14" s="1"/>
  <c r="J300" i="14"/>
  <c r="I300" i="14"/>
  <c r="K300" i="14" s="1"/>
  <c r="J299" i="14"/>
  <c r="I299" i="14"/>
  <c r="K299" i="14" s="1"/>
  <c r="J298" i="14"/>
  <c r="I298" i="14"/>
  <c r="K298" i="14" s="1"/>
  <c r="J297" i="14"/>
  <c r="I297" i="14"/>
  <c r="K297" i="14" s="1"/>
  <c r="J296" i="14"/>
  <c r="I296" i="14"/>
  <c r="K296" i="14" s="1"/>
  <c r="J295" i="14"/>
  <c r="I295" i="14"/>
  <c r="K295" i="14" s="1"/>
  <c r="J294" i="14"/>
  <c r="I294" i="14"/>
  <c r="K294" i="14" s="1"/>
  <c r="J293" i="14"/>
  <c r="I293" i="14"/>
  <c r="K293" i="14" s="1"/>
  <c r="J292" i="14"/>
  <c r="I292" i="14"/>
  <c r="K292" i="14" s="1"/>
  <c r="J291" i="14"/>
  <c r="I291" i="14"/>
  <c r="K291" i="14" s="1"/>
  <c r="L291" i="14" s="1"/>
  <c r="J290" i="14"/>
  <c r="I290" i="14"/>
  <c r="K290" i="14" s="1"/>
  <c r="J289" i="14"/>
  <c r="I289" i="14"/>
  <c r="K289" i="14" s="1"/>
  <c r="J288" i="14"/>
  <c r="I288" i="14"/>
  <c r="K288" i="14" s="1"/>
  <c r="J287" i="14"/>
  <c r="I287" i="14"/>
  <c r="K287" i="14" s="1"/>
  <c r="J286" i="14"/>
  <c r="I286" i="14"/>
  <c r="K286" i="14" s="1"/>
  <c r="J285" i="14"/>
  <c r="I285" i="14"/>
  <c r="K285" i="14" s="1"/>
  <c r="J284" i="14"/>
  <c r="I284" i="14"/>
  <c r="K284" i="14" s="1"/>
  <c r="J283" i="14"/>
  <c r="I283" i="14"/>
  <c r="K283" i="14" s="1"/>
  <c r="L283" i="14" s="1"/>
  <c r="J282" i="14"/>
  <c r="I282" i="14"/>
  <c r="K282" i="14" s="1"/>
  <c r="J281" i="14"/>
  <c r="I281" i="14"/>
  <c r="K281" i="14" s="1"/>
  <c r="J280" i="14"/>
  <c r="I280" i="14"/>
  <c r="K280" i="14" s="1"/>
  <c r="J279" i="14"/>
  <c r="I279" i="14"/>
  <c r="K279" i="14" s="1"/>
  <c r="J278" i="14"/>
  <c r="I278" i="14"/>
  <c r="K278" i="14" s="1"/>
  <c r="J277" i="14"/>
  <c r="I277" i="14"/>
  <c r="K277" i="14" s="1"/>
  <c r="J276" i="14"/>
  <c r="I276" i="14"/>
  <c r="K276" i="14" s="1"/>
  <c r="J275" i="14"/>
  <c r="I275" i="14"/>
  <c r="K275" i="14" s="1"/>
  <c r="L275" i="14" s="1"/>
  <c r="J274" i="14"/>
  <c r="I274" i="14"/>
  <c r="K274" i="14" s="1"/>
  <c r="J273" i="14"/>
  <c r="I273" i="14"/>
  <c r="K273" i="14" s="1"/>
  <c r="J272" i="14"/>
  <c r="I272" i="14"/>
  <c r="K272" i="14" s="1"/>
  <c r="J271" i="14"/>
  <c r="I271" i="14"/>
  <c r="K271" i="14" s="1"/>
  <c r="J270" i="14"/>
  <c r="I270" i="14"/>
  <c r="K270" i="14" s="1"/>
  <c r="J269" i="14"/>
  <c r="I269" i="14"/>
  <c r="K269" i="14" s="1"/>
  <c r="J268" i="14"/>
  <c r="I268" i="14"/>
  <c r="K268" i="14" s="1"/>
  <c r="J267" i="14"/>
  <c r="I267" i="14"/>
  <c r="K267" i="14" s="1"/>
  <c r="L267" i="14" s="1"/>
  <c r="J266" i="14"/>
  <c r="I266" i="14"/>
  <c r="K266" i="14" s="1"/>
  <c r="J265" i="14"/>
  <c r="I265" i="14"/>
  <c r="K265" i="14" s="1"/>
  <c r="J264" i="14"/>
  <c r="I264" i="14"/>
  <c r="K264" i="14" s="1"/>
  <c r="J263" i="14"/>
  <c r="I263" i="14"/>
  <c r="K263" i="14" s="1"/>
  <c r="J262" i="14"/>
  <c r="I262" i="14"/>
  <c r="K262" i="14" s="1"/>
  <c r="J261" i="14"/>
  <c r="I261" i="14"/>
  <c r="K261" i="14" s="1"/>
  <c r="J260" i="14"/>
  <c r="I260" i="14"/>
  <c r="K260" i="14" s="1"/>
  <c r="J259" i="14"/>
  <c r="I259" i="14"/>
  <c r="K259" i="14" s="1"/>
  <c r="L259" i="14" s="1"/>
  <c r="J258" i="14"/>
  <c r="I258" i="14"/>
  <c r="K258" i="14" s="1"/>
  <c r="J257" i="14"/>
  <c r="I257" i="14"/>
  <c r="K257" i="14" s="1"/>
  <c r="J256" i="14"/>
  <c r="I256" i="14"/>
  <c r="K256" i="14" s="1"/>
  <c r="J255" i="14"/>
  <c r="I255" i="14"/>
  <c r="K255" i="14" s="1"/>
  <c r="J254" i="14"/>
  <c r="I254" i="14"/>
  <c r="K254" i="14" s="1"/>
  <c r="J253" i="14"/>
  <c r="I253" i="14"/>
  <c r="K253" i="14" s="1"/>
  <c r="J252" i="14"/>
  <c r="I252" i="14"/>
  <c r="K252" i="14" s="1"/>
  <c r="J251" i="14"/>
  <c r="I251" i="14"/>
  <c r="K251" i="14" s="1"/>
  <c r="J250" i="14"/>
  <c r="I250" i="14"/>
  <c r="K250" i="14" s="1"/>
  <c r="J249" i="14"/>
  <c r="I249" i="14"/>
  <c r="K249" i="14" s="1"/>
  <c r="J248" i="14"/>
  <c r="I248" i="14"/>
  <c r="K248" i="14" s="1"/>
  <c r="J247" i="14"/>
  <c r="I247" i="14"/>
  <c r="K247" i="14" s="1"/>
  <c r="L247" i="14" s="1"/>
  <c r="J246" i="14"/>
  <c r="I246" i="14"/>
  <c r="K246" i="14" s="1"/>
  <c r="J245" i="14"/>
  <c r="I245" i="14"/>
  <c r="K245" i="14" s="1"/>
  <c r="J244" i="14"/>
  <c r="I244" i="14"/>
  <c r="K244" i="14" s="1"/>
  <c r="J243" i="14"/>
  <c r="I243" i="14"/>
  <c r="K243" i="14" s="1"/>
  <c r="J242" i="14"/>
  <c r="I242" i="14"/>
  <c r="K242" i="14" s="1"/>
  <c r="J241" i="14"/>
  <c r="I241" i="14"/>
  <c r="K241" i="14" s="1"/>
  <c r="J240" i="14"/>
  <c r="I240" i="14"/>
  <c r="K240" i="14" s="1"/>
  <c r="J239" i="14"/>
  <c r="I239" i="14"/>
  <c r="K239" i="14" s="1"/>
  <c r="J238" i="14"/>
  <c r="I238" i="14"/>
  <c r="K238" i="14" s="1"/>
  <c r="J237" i="14"/>
  <c r="I237" i="14"/>
  <c r="K237" i="14" s="1"/>
  <c r="L237" i="14" s="1"/>
  <c r="J236" i="14"/>
  <c r="I236" i="14"/>
  <c r="K236" i="14" s="1"/>
  <c r="J235" i="14"/>
  <c r="I235" i="14"/>
  <c r="K235" i="14" s="1"/>
  <c r="J234" i="14"/>
  <c r="I234" i="14"/>
  <c r="K234" i="14" s="1"/>
  <c r="J233" i="14"/>
  <c r="I233" i="14"/>
  <c r="K233" i="14" s="1"/>
  <c r="L233" i="14" s="1"/>
  <c r="J232" i="14"/>
  <c r="I232" i="14"/>
  <c r="K232" i="14" s="1"/>
  <c r="J231" i="14"/>
  <c r="I231" i="14"/>
  <c r="K231" i="14" s="1"/>
  <c r="J230" i="14"/>
  <c r="I230" i="14"/>
  <c r="K230" i="14" s="1"/>
  <c r="J229" i="14"/>
  <c r="I229" i="14"/>
  <c r="K229" i="14" s="1"/>
  <c r="J228" i="14"/>
  <c r="I228" i="14"/>
  <c r="K228" i="14" s="1"/>
  <c r="J227" i="14"/>
  <c r="I227" i="14"/>
  <c r="K227" i="14" s="1"/>
  <c r="J226" i="14"/>
  <c r="I226" i="14"/>
  <c r="K226" i="14" s="1"/>
  <c r="J225" i="14"/>
  <c r="I225" i="14"/>
  <c r="K225" i="14" s="1"/>
  <c r="J224" i="14"/>
  <c r="I224" i="14"/>
  <c r="K224" i="14" s="1"/>
  <c r="J223" i="14"/>
  <c r="I223" i="14"/>
  <c r="K223" i="14" s="1"/>
  <c r="J222" i="14"/>
  <c r="I222" i="14"/>
  <c r="K222" i="14" s="1"/>
  <c r="J221" i="14"/>
  <c r="I221" i="14"/>
  <c r="K221" i="14" s="1"/>
  <c r="J220" i="14"/>
  <c r="I220" i="14"/>
  <c r="K220" i="14" s="1"/>
  <c r="J219" i="14"/>
  <c r="I219" i="14"/>
  <c r="K219" i="14" s="1"/>
  <c r="J218" i="14"/>
  <c r="I218" i="14"/>
  <c r="K218" i="14" s="1"/>
  <c r="L218" i="14" s="1"/>
  <c r="J217" i="14"/>
  <c r="I217" i="14"/>
  <c r="K217" i="14" s="1"/>
  <c r="J216" i="14"/>
  <c r="I216" i="14"/>
  <c r="K216" i="14" s="1"/>
  <c r="J215" i="14"/>
  <c r="I215" i="14"/>
  <c r="K215" i="14" s="1"/>
  <c r="J214" i="14"/>
  <c r="I214" i="14"/>
  <c r="K214" i="14" s="1"/>
  <c r="L214" i="14" s="1"/>
  <c r="J213" i="14"/>
  <c r="I213" i="14"/>
  <c r="K213" i="14" s="1"/>
  <c r="L213" i="14" s="1"/>
  <c r="J212" i="14"/>
  <c r="I212" i="14"/>
  <c r="K212" i="14" s="1"/>
  <c r="J211" i="14"/>
  <c r="I211" i="14"/>
  <c r="K211" i="14" s="1"/>
  <c r="J210" i="14"/>
  <c r="I210" i="14"/>
  <c r="K210" i="14" s="1"/>
  <c r="J209" i="14"/>
  <c r="I209" i="14"/>
  <c r="K209" i="14" s="1"/>
  <c r="J208" i="14"/>
  <c r="I208" i="14"/>
  <c r="K208" i="14" s="1"/>
  <c r="J207" i="14"/>
  <c r="I207" i="14"/>
  <c r="K207" i="14" s="1"/>
  <c r="J206" i="14"/>
  <c r="I206" i="14"/>
  <c r="K206" i="14" s="1"/>
  <c r="J205" i="14"/>
  <c r="I205" i="14"/>
  <c r="K205" i="14" s="1"/>
  <c r="L205" i="14" s="1"/>
  <c r="J204" i="14"/>
  <c r="I204" i="14"/>
  <c r="K204" i="14" s="1"/>
  <c r="J203" i="14"/>
  <c r="I203" i="14"/>
  <c r="K203" i="14" s="1"/>
  <c r="J202" i="14"/>
  <c r="I202" i="14"/>
  <c r="K202" i="14" s="1"/>
  <c r="L202" i="14" s="1"/>
  <c r="J201" i="14"/>
  <c r="I201" i="14"/>
  <c r="K201" i="14" s="1"/>
  <c r="J200" i="14"/>
  <c r="I200" i="14"/>
  <c r="K200" i="14" s="1"/>
  <c r="J199" i="14"/>
  <c r="I199" i="14"/>
  <c r="K199" i="14" s="1"/>
  <c r="J198" i="14"/>
  <c r="I198" i="14"/>
  <c r="K198" i="14" s="1"/>
  <c r="L198" i="14" s="1"/>
  <c r="J197" i="14"/>
  <c r="I197" i="14"/>
  <c r="K197" i="14" s="1"/>
  <c r="J196" i="14"/>
  <c r="I196" i="14"/>
  <c r="K196" i="14" s="1"/>
  <c r="J195" i="14"/>
  <c r="I195" i="14"/>
  <c r="K195" i="14" s="1"/>
  <c r="J194" i="14"/>
  <c r="I194" i="14"/>
  <c r="K194" i="14" s="1"/>
  <c r="J193" i="14"/>
  <c r="I193" i="14"/>
  <c r="K193" i="14" s="1"/>
  <c r="L193" i="14" s="1"/>
  <c r="J192" i="14"/>
  <c r="I192" i="14"/>
  <c r="K192" i="14" s="1"/>
  <c r="J191" i="14"/>
  <c r="I191" i="14"/>
  <c r="K191" i="14" s="1"/>
  <c r="J190" i="14"/>
  <c r="I190" i="14"/>
  <c r="K190" i="14" s="1"/>
  <c r="L190" i="14" s="1"/>
  <c r="J189" i="14"/>
  <c r="I189" i="14"/>
  <c r="K189" i="14" s="1"/>
  <c r="J188" i="14"/>
  <c r="I188" i="14"/>
  <c r="K188" i="14" s="1"/>
  <c r="J187" i="14"/>
  <c r="I187" i="14"/>
  <c r="K187" i="14" s="1"/>
  <c r="J186" i="14"/>
  <c r="I186" i="14"/>
  <c r="K186" i="14" s="1"/>
  <c r="L186" i="14" s="1"/>
  <c r="J185" i="14"/>
  <c r="I185" i="14"/>
  <c r="K185" i="14" s="1"/>
  <c r="J184" i="14"/>
  <c r="I184" i="14"/>
  <c r="K184" i="14" s="1"/>
  <c r="J183" i="14"/>
  <c r="I183" i="14"/>
  <c r="K183" i="14" s="1"/>
  <c r="J182" i="14"/>
  <c r="I182" i="14"/>
  <c r="K182" i="14" s="1"/>
  <c r="L182" i="14" s="1"/>
  <c r="J181" i="14"/>
  <c r="I181" i="14"/>
  <c r="K181" i="14" s="1"/>
  <c r="J180" i="14"/>
  <c r="I180" i="14"/>
  <c r="K180" i="14" s="1"/>
  <c r="J179" i="14"/>
  <c r="I179" i="14"/>
  <c r="K179" i="14" s="1"/>
  <c r="J178" i="14"/>
  <c r="I178" i="14"/>
  <c r="K178" i="14" s="1"/>
  <c r="J177" i="14"/>
  <c r="I177" i="14"/>
  <c r="K177" i="14" s="1"/>
  <c r="J176" i="14"/>
  <c r="I176" i="14"/>
  <c r="K176" i="14" s="1"/>
  <c r="J175" i="14"/>
  <c r="I175" i="14"/>
  <c r="K175" i="14" s="1"/>
  <c r="J174" i="14"/>
  <c r="I174" i="14"/>
  <c r="K174" i="14" s="1"/>
  <c r="J173" i="14"/>
  <c r="I173" i="14"/>
  <c r="K173" i="14" s="1"/>
  <c r="L173" i="14" s="1"/>
  <c r="J172" i="14"/>
  <c r="I172" i="14"/>
  <c r="K172" i="14" s="1"/>
  <c r="J171" i="14"/>
  <c r="I171" i="14"/>
  <c r="K171" i="14" s="1"/>
  <c r="J170" i="14"/>
  <c r="I170" i="14"/>
  <c r="K170" i="14" s="1"/>
  <c r="L170" i="14" s="1"/>
  <c r="J169" i="14"/>
  <c r="I169" i="14"/>
  <c r="K169" i="14" s="1"/>
  <c r="L169" i="14" s="1"/>
  <c r="J168" i="14"/>
  <c r="I168" i="14"/>
  <c r="K168" i="14" s="1"/>
  <c r="J167" i="14"/>
  <c r="I167" i="14"/>
  <c r="K167" i="14" s="1"/>
  <c r="J166" i="14"/>
  <c r="I166" i="14"/>
  <c r="K166" i="14" s="1"/>
  <c r="J165" i="14"/>
  <c r="I165" i="14"/>
  <c r="K165" i="14" s="1"/>
  <c r="L165" i="14" s="1"/>
  <c r="J164" i="14"/>
  <c r="I164" i="14"/>
  <c r="K164" i="14" s="1"/>
  <c r="J163" i="14"/>
  <c r="I163" i="14"/>
  <c r="K163" i="14" s="1"/>
  <c r="J162" i="14"/>
  <c r="I162" i="14"/>
  <c r="K162" i="14" s="1"/>
  <c r="J161" i="14"/>
  <c r="I161" i="14"/>
  <c r="K161" i="14" s="1"/>
  <c r="J160" i="14"/>
  <c r="I160" i="14"/>
  <c r="K160" i="14" s="1"/>
  <c r="L160" i="14" s="1"/>
  <c r="J159" i="14"/>
  <c r="I159" i="14"/>
  <c r="K159" i="14" s="1"/>
  <c r="J158" i="14"/>
  <c r="I158" i="14"/>
  <c r="K158" i="14" s="1"/>
  <c r="J157" i="14"/>
  <c r="I157" i="14"/>
  <c r="K157" i="14" s="1"/>
  <c r="J156" i="14"/>
  <c r="I156" i="14"/>
  <c r="K156" i="14" s="1"/>
  <c r="L156" i="14" s="1"/>
  <c r="J155" i="14"/>
  <c r="I155" i="14"/>
  <c r="K155" i="14" s="1"/>
  <c r="J154" i="14"/>
  <c r="I154" i="14"/>
  <c r="K154" i="14" s="1"/>
  <c r="J153" i="14"/>
  <c r="I153" i="14"/>
  <c r="K153" i="14" s="1"/>
  <c r="L153" i="14" s="1"/>
  <c r="J152" i="14"/>
  <c r="I152" i="14"/>
  <c r="K152" i="14" s="1"/>
  <c r="J151" i="14"/>
  <c r="I151" i="14"/>
  <c r="K151" i="14" s="1"/>
  <c r="J150" i="14"/>
  <c r="I150" i="14"/>
  <c r="K150" i="14" s="1"/>
  <c r="J149" i="14"/>
  <c r="I149" i="14"/>
  <c r="K149" i="14" s="1"/>
  <c r="L149" i="14" s="1"/>
  <c r="J148" i="14"/>
  <c r="I148" i="14"/>
  <c r="K148" i="14" s="1"/>
  <c r="J147" i="14"/>
  <c r="I147" i="14"/>
  <c r="K147" i="14" s="1"/>
  <c r="J146" i="14"/>
  <c r="I146" i="14"/>
  <c r="K146" i="14" s="1"/>
  <c r="J145" i="14"/>
  <c r="I145" i="14"/>
  <c r="K145" i="14" s="1"/>
  <c r="J144" i="14"/>
  <c r="I144" i="14"/>
  <c r="K144" i="14" s="1"/>
  <c r="J143" i="14"/>
  <c r="I143" i="14"/>
  <c r="K143" i="14" s="1"/>
  <c r="J142" i="14"/>
  <c r="I142" i="14"/>
  <c r="K142" i="14" s="1"/>
  <c r="J141" i="14"/>
  <c r="I141" i="14"/>
  <c r="K141" i="14" s="1"/>
  <c r="J140" i="14"/>
  <c r="I140" i="14"/>
  <c r="K140" i="14" s="1"/>
  <c r="J139" i="14"/>
  <c r="I139" i="14"/>
  <c r="K139" i="14" s="1"/>
  <c r="J138" i="14"/>
  <c r="I138" i="14"/>
  <c r="K138" i="14" s="1"/>
  <c r="J137" i="14"/>
  <c r="I137" i="14"/>
  <c r="K137" i="14" s="1"/>
  <c r="J136" i="14"/>
  <c r="I136" i="14"/>
  <c r="K136" i="14" s="1"/>
  <c r="J135" i="14"/>
  <c r="I135" i="14"/>
  <c r="K135" i="14" s="1"/>
  <c r="J134" i="14"/>
  <c r="I134" i="14"/>
  <c r="K134" i="14" s="1"/>
  <c r="J133" i="14"/>
  <c r="I133" i="14"/>
  <c r="K133" i="14" s="1"/>
  <c r="J132" i="14"/>
  <c r="I132" i="14"/>
  <c r="K132" i="14" s="1"/>
  <c r="J131" i="14"/>
  <c r="I131" i="14"/>
  <c r="K131" i="14" s="1"/>
  <c r="J130" i="14"/>
  <c r="I130" i="14"/>
  <c r="K130" i="14" s="1"/>
  <c r="L130" i="14" s="1"/>
  <c r="J129" i="14"/>
  <c r="I129" i="14"/>
  <c r="K129" i="14" s="1"/>
  <c r="J128" i="14"/>
  <c r="I128" i="14"/>
  <c r="K128" i="14" s="1"/>
  <c r="L128" i="14" s="1"/>
  <c r="J127" i="14"/>
  <c r="I127" i="14"/>
  <c r="K127" i="14" s="1"/>
  <c r="J126" i="14"/>
  <c r="I126" i="14"/>
  <c r="K126" i="14" s="1"/>
  <c r="J125" i="14"/>
  <c r="I125" i="14"/>
  <c r="K125" i="14" s="1"/>
  <c r="L125" i="14" s="1"/>
  <c r="J124" i="14"/>
  <c r="I124" i="14"/>
  <c r="K124" i="14" s="1"/>
  <c r="J123" i="14"/>
  <c r="I123" i="14"/>
  <c r="K123" i="14" s="1"/>
  <c r="J122" i="14"/>
  <c r="I122" i="14"/>
  <c r="K122" i="14" s="1"/>
  <c r="L122" i="14" s="1"/>
  <c r="J121" i="14"/>
  <c r="I121" i="14"/>
  <c r="K121" i="14" s="1"/>
  <c r="L121" i="14" s="1"/>
  <c r="J120" i="14"/>
  <c r="I120" i="14"/>
  <c r="K120" i="14" s="1"/>
  <c r="J119" i="14"/>
  <c r="I119" i="14"/>
  <c r="K119" i="14" s="1"/>
  <c r="J118" i="14"/>
  <c r="I118" i="14"/>
  <c r="K118" i="14" s="1"/>
  <c r="J117" i="14"/>
  <c r="I117" i="14"/>
  <c r="K117" i="14" s="1"/>
  <c r="J116" i="14"/>
  <c r="I116" i="14"/>
  <c r="K116" i="14" s="1"/>
  <c r="J115" i="14"/>
  <c r="I115" i="14"/>
  <c r="K115" i="14" s="1"/>
  <c r="J114" i="14"/>
  <c r="I114" i="14"/>
  <c r="K114" i="14" s="1"/>
  <c r="J113" i="14"/>
  <c r="I113" i="14"/>
  <c r="K113" i="14" s="1"/>
  <c r="L113" i="14" s="1"/>
  <c r="J112" i="14"/>
  <c r="I112" i="14"/>
  <c r="K112" i="14" s="1"/>
  <c r="J111" i="14"/>
  <c r="I111" i="14"/>
  <c r="K111" i="14" s="1"/>
  <c r="J110" i="14"/>
  <c r="I110" i="14"/>
  <c r="K110" i="14" s="1"/>
  <c r="L110" i="14" s="1"/>
  <c r="J109" i="14"/>
  <c r="I109" i="14"/>
  <c r="K109" i="14" s="1"/>
  <c r="J108" i="14"/>
  <c r="I108" i="14"/>
  <c r="K108" i="14" s="1"/>
  <c r="J107" i="14"/>
  <c r="I107" i="14"/>
  <c r="K107" i="14" s="1"/>
  <c r="J106" i="14"/>
  <c r="I106" i="14"/>
  <c r="K106" i="14" s="1"/>
  <c r="J105" i="14"/>
  <c r="I105" i="14"/>
  <c r="K105" i="14" s="1"/>
  <c r="J104" i="14"/>
  <c r="I104" i="14"/>
  <c r="K104" i="14" s="1"/>
  <c r="J103" i="14"/>
  <c r="I103" i="14"/>
  <c r="K103" i="14" s="1"/>
  <c r="J102" i="14"/>
  <c r="I102" i="14"/>
  <c r="K102" i="14" s="1"/>
  <c r="J101" i="14"/>
  <c r="I101" i="14"/>
  <c r="K101" i="14" s="1"/>
  <c r="J100" i="14"/>
  <c r="I100" i="14"/>
  <c r="K100" i="14" s="1"/>
  <c r="J99" i="14"/>
  <c r="I99" i="14"/>
  <c r="K99" i="14" s="1"/>
  <c r="L99" i="14" s="1"/>
  <c r="J98" i="14"/>
  <c r="I98" i="14"/>
  <c r="K98" i="14" s="1"/>
  <c r="J97" i="14"/>
  <c r="I97" i="14"/>
  <c r="K97" i="14" s="1"/>
  <c r="J96" i="14"/>
  <c r="I96" i="14"/>
  <c r="K96" i="14" s="1"/>
  <c r="J95" i="14"/>
  <c r="I95" i="14"/>
  <c r="K95" i="14" s="1"/>
  <c r="J94" i="14"/>
  <c r="I94" i="14"/>
  <c r="K94" i="14" s="1"/>
  <c r="J93" i="14"/>
  <c r="I93" i="14"/>
  <c r="K93" i="14" s="1"/>
  <c r="J92" i="14"/>
  <c r="I92" i="14"/>
  <c r="K92" i="14" s="1"/>
  <c r="L92" i="14" s="1"/>
  <c r="J91" i="14"/>
  <c r="I91" i="14"/>
  <c r="K91" i="14" s="1"/>
  <c r="J90" i="14"/>
  <c r="I90" i="14"/>
  <c r="K90" i="14" s="1"/>
  <c r="J89" i="14"/>
  <c r="I89" i="14"/>
  <c r="K89" i="14" s="1"/>
  <c r="J88" i="14"/>
  <c r="I88" i="14"/>
  <c r="K88" i="14" s="1"/>
  <c r="L88" i="14" s="1"/>
  <c r="J87" i="14"/>
  <c r="I87" i="14"/>
  <c r="K87" i="14" s="1"/>
  <c r="J86" i="14"/>
  <c r="I86" i="14"/>
  <c r="K86" i="14" s="1"/>
  <c r="J85" i="14"/>
  <c r="I85" i="14"/>
  <c r="K85" i="14" s="1"/>
  <c r="J84" i="14"/>
  <c r="I84" i="14"/>
  <c r="K84" i="14" s="1"/>
  <c r="L84" i="14" s="1"/>
  <c r="J83" i="14"/>
  <c r="I83" i="14"/>
  <c r="K83" i="14" s="1"/>
  <c r="J82" i="14"/>
  <c r="I82" i="14"/>
  <c r="K82" i="14" s="1"/>
  <c r="J81" i="14"/>
  <c r="I81" i="14"/>
  <c r="K81" i="14" s="1"/>
  <c r="J80" i="14"/>
  <c r="I80" i="14"/>
  <c r="K80" i="14" s="1"/>
  <c r="L80" i="14" s="1"/>
  <c r="J79" i="14"/>
  <c r="I79" i="14"/>
  <c r="K79" i="14" s="1"/>
  <c r="J78" i="14"/>
  <c r="I78" i="14"/>
  <c r="K78" i="14" s="1"/>
  <c r="J77" i="14"/>
  <c r="I77" i="14"/>
  <c r="K77" i="14" s="1"/>
  <c r="J76" i="14"/>
  <c r="I76" i="14"/>
  <c r="K76" i="14" s="1"/>
  <c r="L76" i="14" s="1"/>
  <c r="J75" i="14"/>
  <c r="I75" i="14"/>
  <c r="K75" i="14" s="1"/>
  <c r="J74" i="14"/>
  <c r="I74" i="14"/>
  <c r="K74" i="14" s="1"/>
  <c r="J73" i="14"/>
  <c r="I73" i="14"/>
  <c r="K73" i="14" s="1"/>
  <c r="J72" i="14"/>
  <c r="I72" i="14"/>
  <c r="K72" i="14" s="1"/>
  <c r="J71" i="14"/>
  <c r="I71" i="14"/>
  <c r="K71" i="14" s="1"/>
  <c r="J70" i="14"/>
  <c r="I70" i="14"/>
  <c r="K70" i="14" s="1"/>
  <c r="J69" i="14"/>
  <c r="I69" i="14"/>
  <c r="K69" i="14" s="1"/>
  <c r="J68" i="14"/>
  <c r="I68" i="14"/>
  <c r="K68" i="14" s="1"/>
  <c r="J67" i="14"/>
  <c r="I67" i="14"/>
  <c r="K67" i="14" s="1"/>
  <c r="J66" i="14"/>
  <c r="I66" i="14"/>
  <c r="K66" i="14" s="1"/>
  <c r="J65" i="14"/>
  <c r="I65" i="14"/>
  <c r="K65" i="14" s="1"/>
  <c r="J64" i="14"/>
  <c r="I64" i="14"/>
  <c r="K64" i="14" s="1"/>
  <c r="J63" i="14"/>
  <c r="I63" i="14"/>
  <c r="K63" i="14" s="1"/>
  <c r="J62" i="14"/>
  <c r="I62" i="14"/>
  <c r="K62" i="14" s="1"/>
  <c r="J61" i="14"/>
  <c r="I61" i="14"/>
  <c r="K61" i="14" s="1"/>
  <c r="L61" i="14" s="1"/>
  <c r="J60" i="14"/>
  <c r="I60" i="14"/>
  <c r="K60" i="14" s="1"/>
  <c r="J59" i="14"/>
  <c r="I59" i="14"/>
  <c r="K59" i="14" s="1"/>
  <c r="J58" i="14"/>
  <c r="I58" i="14"/>
  <c r="K58" i="14" s="1"/>
  <c r="J57" i="14"/>
  <c r="I57" i="14"/>
  <c r="K57" i="14" s="1"/>
  <c r="J56" i="14"/>
  <c r="I56" i="14"/>
  <c r="K56" i="14" s="1"/>
  <c r="J55" i="14"/>
  <c r="I55" i="14"/>
  <c r="K55" i="14" s="1"/>
  <c r="J54" i="14"/>
  <c r="I54" i="14"/>
  <c r="K54" i="14" s="1"/>
  <c r="J53" i="14"/>
  <c r="I53" i="14"/>
  <c r="K53" i="14" s="1"/>
  <c r="L53" i="14" s="1"/>
  <c r="J52" i="14"/>
  <c r="I52" i="14"/>
  <c r="K52" i="14" s="1"/>
  <c r="J51" i="14"/>
  <c r="I51" i="14"/>
  <c r="K51" i="14" s="1"/>
  <c r="L51" i="14" s="1"/>
  <c r="J50" i="14"/>
  <c r="I50" i="14"/>
  <c r="K50" i="14" s="1"/>
  <c r="J49" i="14"/>
  <c r="I49" i="14"/>
  <c r="K49" i="14" s="1"/>
  <c r="J48" i="14"/>
  <c r="I48" i="14"/>
  <c r="K48" i="14" s="1"/>
  <c r="J47" i="14"/>
  <c r="I47" i="14"/>
  <c r="K47" i="14" s="1"/>
  <c r="J46" i="14"/>
  <c r="I46" i="14"/>
  <c r="K46" i="14" s="1"/>
  <c r="J45" i="14"/>
  <c r="I45" i="14"/>
  <c r="K45" i="14" s="1"/>
  <c r="J44" i="14"/>
  <c r="I44" i="14"/>
  <c r="K44" i="14" s="1"/>
  <c r="L44" i="14" s="1"/>
  <c r="J43" i="14"/>
  <c r="I43" i="14"/>
  <c r="K43" i="14" s="1"/>
  <c r="J42" i="14"/>
  <c r="I42" i="14"/>
  <c r="K42" i="14" s="1"/>
  <c r="J41" i="14"/>
  <c r="I41" i="14"/>
  <c r="K41" i="14" s="1"/>
  <c r="J40" i="14"/>
  <c r="I40" i="14"/>
  <c r="K40" i="14" s="1"/>
  <c r="L40" i="14" s="1"/>
  <c r="J39" i="14"/>
  <c r="I39" i="14"/>
  <c r="K39" i="14" s="1"/>
  <c r="L39" i="14" s="1"/>
  <c r="J38" i="14"/>
  <c r="I38" i="14"/>
  <c r="K38" i="14" s="1"/>
  <c r="L38" i="14" s="1"/>
  <c r="J37" i="14"/>
  <c r="I37" i="14"/>
  <c r="K37" i="14" s="1"/>
  <c r="J36" i="14"/>
  <c r="I36" i="14"/>
  <c r="K36" i="14" s="1"/>
  <c r="J35" i="14"/>
  <c r="I35" i="14"/>
  <c r="K35" i="14" s="1"/>
  <c r="J34" i="14"/>
  <c r="I34" i="14"/>
  <c r="K34" i="14" s="1"/>
  <c r="J33" i="14"/>
  <c r="I33" i="14"/>
  <c r="K33" i="14" s="1"/>
  <c r="J32" i="14"/>
  <c r="I32" i="14"/>
  <c r="K32" i="14" s="1"/>
  <c r="J31" i="14"/>
  <c r="I31" i="14"/>
  <c r="K31" i="14" s="1"/>
  <c r="J30" i="14"/>
  <c r="I30" i="14"/>
  <c r="K30" i="14" s="1"/>
  <c r="L30" i="14" s="1"/>
  <c r="J29" i="14"/>
  <c r="I29" i="14"/>
  <c r="K29" i="14" s="1"/>
  <c r="J28" i="14"/>
  <c r="I28" i="14"/>
  <c r="K28" i="14" s="1"/>
  <c r="J27" i="14"/>
  <c r="I27" i="14"/>
  <c r="K27" i="14" s="1"/>
  <c r="J26" i="14"/>
  <c r="I26" i="14"/>
  <c r="K26" i="14" s="1"/>
  <c r="J25" i="14"/>
  <c r="I25" i="14"/>
  <c r="K25" i="14" s="1"/>
  <c r="J24" i="14"/>
  <c r="I24" i="14"/>
  <c r="K24" i="14" s="1"/>
  <c r="L24" i="14" s="1"/>
  <c r="J23" i="14"/>
  <c r="I23" i="14"/>
  <c r="K23" i="14" s="1"/>
  <c r="J22" i="14"/>
  <c r="I22" i="14"/>
  <c r="K22" i="14" s="1"/>
  <c r="J21" i="14"/>
  <c r="I21" i="14"/>
  <c r="K21" i="14" s="1"/>
  <c r="J20" i="14"/>
  <c r="I20" i="14"/>
  <c r="K20" i="14" s="1"/>
  <c r="J19" i="14"/>
  <c r="I19" i="14"/>
  <c r="K19" i="14" s="1"/>
  <c r="L19" i="14" s="1"/>
  <c r="J18" i="14"/>
  <c r="I18" i="14"/>
  <c r="K18" i="14" s="1"/>
  <c r="L18" i="14" s="1"/>
  <c r="J17" i="14"/>
  <c r="I17" i="14"/>
  <c r="K17" i="14" s="1"/>
  <c r="J16" i="14"/>
  <c r="I16" i="14"/>
  <c r="K16" i="14" s="1"/>
  <c r="J15" i="14"/>
  <c r="I15" i="14"/>
  <c r="K15" i="14" s="1"/>
  <c r="J14" i="14"/>
  <c r="I14" i="14"/>
  <c r="K14" i="14" s="1"/>
  <c r="J13" i="14"/>
  <c r="I13" i="14"/>
  <c r="K13" i="14" s="1"/>
  <c r="J12" i="14"/>
  <c r="I12" i="14"/>
  <c r="K12" i="14" s="1"/>
  <c r="J11" i="14"/>
  <c r="I11" i="14"/>
  <c r="K11" i="14" s="1"/>
  <c r="J10" i="14"/>
  <c r="I10" i="14"/>
  <c r="K10" i="14" s="1"/>
  <c r="L10" i="14" s="1"/>
  <c r="J9" i="14"/>
  <c r="I9" i="14"/>
  <c r="K9" i="14" s="1"/>
  <c r="J8" i="14"/>
  <c r="I8" i="14"/>
  <c r="K8" i="14" s="1"/>
  <c r="L8" i="14" s="1"/>
  <c r="J7" i="14"/>
  <c r="I7" i="14"/>
  <c r="K7" i="14" s="1"/>
  <c r="J6" i="14"/>
  <c r="I6" i="14"/>
  <c r="K6" i="14" s="1"/>
  <c r="L6" i="14" s="1"/>
  <c r="J5" i="14"/>
  <c r="I5" i="14"/>
  <c r="K5" i="14" s="1"/>
  <c r="J4" i="14"/>
  <c r="I4" i="14"/>
  <c r="K4" i="14" s="1"/>
  <c r="J3" i="14"/>
  <c r="I3" i="14"/>
  <c r="K3" i="14" s="1"/>
  <c r="L3" i="14" s="1"/>
  <c r="J2" i="14"/>
  <c r="I2" i="14"/>
  <c r="K2" i="14" s="1"/>
  <c r="L193" i="15" l="1"/>
  <c r="L225" i="15"/>
  <c r="L229" i="15"/>
  <c r="L233" i="15"/>
  <c r="L245" i="15"/>
  <c r="L249" i="15"/>
  <c r="L264" i="15"/>
  <c r="L268" i="15"/>
  <c r="L276" i="15"/>
  <c r="L280" i="15"/>
  <c r="L284" i="15"/>
  <c r="L288" i="15"/>
  <c r="L292" i="15"/>
  <c r="L300" i="15"/>
  <c r="L98" i="15"/>
  <c r="L105" i="15"/>
  <c r="L109" i="15"/>
  <c r="L258" i="15"/>
  <c r="L35" i="15"/>
  <c r="L95" i="15"/>
  <c r="L99" i="15"/>
  <c r="L106" i="15"/>
  <c r="L110" i="15"/>
  <c r="L114" i="15"/>
  <c r="L196" i="15"/>
  <c r="L4" i="15"/>
  <c r="L12" i="15"/>
  <c r="L103" i="15"/>
  <c r="L118" i="15"/>
  <c r="L122" i="15"/>
  <c r="L126" i="15"/>
  <c r="L130" i="15"/>
  <c r="L134" i="15"/>
  <c r="L138" i="15"/>
  <c r="L142" i="15"/>
  <c r="L146" i="15"/>
  <c r="L150" i="15"/>
  <c r="L154" i="15"/>
  <c r="L189" i="15"/>
  <c r="L200" i="15"/>
  <c r="L216" i="15"/>
  <c r="L220" i="15"/>
  <c r="L224" i="15"/>
  <c r="L228" i="15"/>
  <c r="L232" i="15"/>
  <c r="L236" i="15"/>
  <c r="L240" i="15"/>
  <c r="L244" i="15"/>
  <c r="L248" i="15"/>
  <c r="L252" i="15"/>
  <c r="L263" i="15"/>
  <c r="L283" i="15"/>
  <c r="L291" i="15"/>
  <c r="L299" i="15"/>
  <c r="L303" i="15"/>
  <c r="V85" i="15" s="1"/>
  <c r="L307" i="15"/>
  <c r="V89" i="15" s="1"/>
  <c r="L315" i="15"/>
  <c r="V97" i="15" s="1"/>
  <c r="L5" i="15"/>
  <c r="L9" i="15"/>
  <c r="L13" i="15"/>
  <c r="L17" i="15"/>
  <c r="L44" i="15"/>
  <c r="L48" i="15"/>
  <c r="L83" i="15"/>
  <c r="L87" i="15"/>
  <c r="L102" i="15"/>
  <c r="L129" i="15"/>
  <c r="L180" i="15"/>
  <c r="L209" i="15"/>
  <c r="L167" i="14"/>
  <c r="L248" i="14"/>
  <c r="L252" i="14"/>
  <c r="L256" i="14"/>
  <c r="L260" i="14"/>
  <c r="L264" i="14"/>
  <c r="L268" i="14"/>
  <c r="L272" i="14"/>
  <c r="L276" i="14"/>
  <c r="L230" i="14"/>
  <c r="L234" i="14"/>
  <c r="L238" i="14"/>
  <c r="L246" i="14"/>
  <c r="L274" i="14"/>
  <c r="L282" i="14"/>
  <c r="L290" i="14"/>
  <c r="L306" i="14"/>
  <c r="V88" i="14" s="1"/>
  <c r="L314" i="14"/>
  <c r="V96" i="14" s="1"/>
  <c r="L322" i="14"/>
  <c r="L125" i="15"/>
  <c r="L133" i="15"/>
  <c r="L171" i="15"/>
  <c r="L302" i="15"/>
  <c r="V84" i="15" s="1"/>
  <c r="L306" i="15"/>
  <c r="V88" i="15" s="1"/>
  <c r="L260" i="15"/>
  <c r="L2" i="15"/>
  <c r="L6" i="15"/>
  <c r="L28" i="15"/>
  <c r="L61" i="15"/>
  <c r="L65" i="15"/>
  <c r="L72" i="15"/>
  <c r="L92" i="15"/>
  <c r="L96" i="15"/>
  <c r="L119" i="15"/>
  <c r="L147" i="15"/>
  <c r="L158" i="15"/>
  <c r="L176" i="15"/>
  <c r="L183" i="15"/>
  <c r="L204" i="15"/>
  <c r="L211" i="15"/>
  <c r="L222" i="15"/>
  <c r="L226" i="15"/>
  <c r="L241" i="15"/>
  <c r="L259" i="15"/>
  <c r="L274" i="15"/>
  <c r="L293" i="15"/>
  <c r="L311" i="15"/>
  <c r="V93" i="15" s="1"/>
  <c r="L184" i="15"/>
  <c r="L212" i="15"/>
  <c r="L7" i="15"/>
  <c r="L29" i="15"/>
  <c r="L33" i="15"/>
  <c r="L40" i="15"/>
  <c r="L51" i="15"/>
  <c r="L62" i="15"/>
  <c r="V64" i="15" s="1"/>
  <c r="L66" i="15"/>
  <c r="V68" i="15" s="1"/>
  <c r="L69" i="15"/>
  <c r="V71" i="15" s="1"/>
  <c r="L93" i="15"/>
  <c r="L120" i="15"/>
  <c r="L152" i="15"/>
  <c r="L173" i="15"/>
  <c r="L177" i="15"/>
  <c r="L205" i="15"/>
  <c r="L223" i="15"/>
  <c r="L227" i="15"/>
  <c r="L238" i="15"/>
  <c r="L242" i="15"/>
  <c r="L275" i="15"/>
  <c r="L308" i="15"/>
  <c r="V90" i="15" s="1"/>
  <c r="L148" i="15"/>
  <c r="L170" i="15"/>
  <c r="L221" i="15"/>
  <c r="L231" i="15"/>
  <c r="L234" i="15"/>
  <c r="L237" i="15"/>
  <c r="L247" i="15"/>
  <c r="L250" i="15"/>
  <c r="L253" i="15"/>
  <c r="L267" i="15"/>
  <c r="L270" i="15"/>
  <c r="L273" i="15"/>
  <c r="L287" i="15"/>
  <c r="L297" i="15"/>
  <c r="L310" i="15"/>
  <c r="V92" i="15" s="1"/>
  <c r="L313" i="15"/>
  <c r="V95" i="15" s="1"/>
  <c r="L3" i="15"/>
  <c r="L10" i="15"/>
  <c r="L23" i="15"/>
  <c r="L39" i="15"/>
  <c r="L55" i="15"/>
  <c r="L73" i="15"/>
  <c r="V75" i="15" s="1"/>
  <c r="L89" i="15"/>
  <c r="L108" i="15"/>
  <c r="L131" i="15"/>
  <c r="L151" i="15"/>
  <c r="L167" i="15"/>
  <c r="L174" i="15"/>
  <c r="L186" i="15"/>
  <c r="L192" i="15"/>
  <c r="L202" i="15"/>
  <c r="L208" i="15"/>
  <c r="L277" i="15"/>
  <c r="L294" i="15"/>
  <c r="L20" i="15"/>
  <c r="L36" i="15"/>
  <c r="L52" i="15"/>
  <c r="L117" i="15"/>
  <c r="L137" i="15"/>
  <c r="L161" i="15"/>
  <c r="L187" i="15"/>
  <c r="L203" i="15"/>
  <c r="L261" i="15"/>
  <c r="L278" i="15"/>
  <c r="L295" i="15"/>
  <c r="L112" i="15"/>
  <c r="L15" i="15"/>
  <c r="L31" i="15"/>
  <c r="L47" i="15"/>
  <c r="L71" i="15"/>
  <c r="L77" i="15"/>
  <c r="V79" i="15" s="1"/>
  <c r="L85" i="15"/>
  <c r="L90" i="15"/>
  <c r="L94" i="15"/>
  <c r="L97" i="15"/>
  <c r="L101" i="15"/>
  <c r="L115" i="15"/>
  <c r="L121" i="15"/>
  <c r="L124" i="15"/>
  <c r="L135" i="15"/>
  <c r="L144" i="15"/>
  <c r="L159" i="15"/>
  <c r="L162" i="15"/>
  <c r="L181" i="15"/>
  <c r="L197" i="15"/>
  <c r="L262" i="15"/>
  <c r="L279" i="15"/>
  <c r="L289" i="15"/>
  <c r="L81" i="15"/>
  <c r="V83" i="15" s="1"/>
  <c r="L107" i="15"/>
  <c r="L113" i="15"/>
  <c r="L185" i="15"/>
  <c r="L195" i="15"/>
  <c r="L201" i="15"/>
  <c r="L272" i="15"/>
  <c r="L296" i="15"/>
  <c r="L312" i="15"/>
  <c r="V94" i="15" s="1"/>
  <c r="V81" i="15"/>
  <c r="V66" i="15"/>
  <c r="L32" i="15"/>
  <c r="L56" i="15"/>
  <c r="L16" i="15"/>
  <c r="L8" i="15"/>
  <c r="V67" i="15"/>
  <c r="V73" i="15"/>
  <c r="L24" i="15"/>
  <c r="V76" i="15"/>
  <c r="V65" i="15"/>
  <c r="V77" i="15"/>
  <c r="V74" i="15"/>
  <c r="L104" i="15"/>
  <c r="L136" i="15"/>
  <c r="L166" i="15"/>
  <c r="V69" i="15"/>
  <c r="L128" i="15"/>
  <c r="L141" i="15"/>
  <c r="V72" i="15"/>
  <c r="L145" i="15"/>
  <c r="L149" i="15"/>
  <c r="L80" i="15"/>
  <c r="V96" i="15"/>
  <c r="L78" i="15"/>
  <c r="L116" i="15"/>
  <c r="L198" i="15"/>
  <c r="L255" i="15"/>
  <c r="L271" i="15"/>
  <c r="L70" i="14"/>
  <c r="V72" i="14" s="1"/>
  <c r="L74" i="14"/>
  <c r="L100" i="14"/>
  <c r="L172" i="14"/>
  <c r="L176" i="14"/>
  <c r="L180" i="14"/>
  <c r="L192" i="14"/>
  <c r="L196" i="14"/>
  <c r="L212" i="14"/>
  <c r="L220" i="14"/>
  <c r="L224" i="14"/>
  <c r="L228" i="14"/>
  <c r="L67" i="14"/>
  <c r="L71" i="14"/>
  <c r="V73" i="14" s="1"/>
  <c r="L90" i="14"/>
  <c r="L97" i="14"/>
  <c r="L292" i="14"/>
  <c r="L304" i="14"/>
  <c r="V86" i="14" s="1"/>
  <c r="L308" i="14"/>
  <c r="V90" i="14" s="1"/>
  <c r="L316" i="14"/>
  <c r="V98" i="14" s="1"/>
  <c r="L320" i="14"/>
  <c r="V102" i="14" s="1"/>
  <c r="L72" i="14"/>
  <c r="V74" i="14" s="1"/>
  <c r="L91" i="14"/>
  <c r="L98" i="14"/>
  <c r="L245" i="14"/>
  <c r="L249" i="14"/>
  <c r="L265" i="14"/>
  <c r="L273" i="14"/>
  <c r="L281" i="14"/>
  <c r="L289" i="14"/>
  <c r="L297" i="14"/>
  <c r="L305" i="14"/>
  <c r="V87" i="14" s="1"/>
  <c r="L313" i="14"/>
  <c r="V95" i="14" s="1"/>
  <c r="L321" i="14"/>
  <c r="V103" i="14" s="1"/>
  <c r="L54" i="14"/>
  <c r="L58" i="14"/>
  <c r="L77" i="14"/>
  <c r="V79" i="14" s="1"/>
  <c r="L175" i="14"/>
  <c r="L179" i="14"/>
  <c r="L195" i="14"/>
  <c r="L199" i="14"/>
  <c r="L203" i="14"/>
  <c r="L207" i="14"/>
  <c r="L211" i="14"/>
  <c r="L219" i="14"/>
  <c r="L223" i="14"/>
  <c r="L227" i="14"/>
  <c r="L235" i="14"/>
  <c r="L239" i="14"/>
  <c r="L57" i="14"/>
  <c r="L65" i="14"/>
  <c r="L73" i="14"/>
  <c r="V75" i="14" s="1"/>
  <c r="L60" i="14"/>
  <c r="L28" i="14"/>
  <c r="L134" i="14"/>
  <c r="L138" i="14"/>
  <c r="L142" i="14"/>
  <c r="L146" i="14"/>
  <c r="L150" i="14"/>
  <c r="L154" i="14"/>
  <c r="L162" i="14"/>
  <c r="L166" i="14"/>
  <c r="L209" i="14"/>
  <c r="L243" i="14"/>
  <c r="L298" i="14"/>
  <c r="L2" i="14"/>
  <c r="L13" i="14"/>
  <c r="L17" i="14"/>
  <c r="L21" i="14"/>
  <c r="L29" i="14"/>
  <c r="L37" i="14"/>
  <c r="L83" i="14"/>
  <c r="L116" i="14"/>
  <c r="L120" i="14"/>
  <c r="L131" i="14"/>
  <c r="L143" i="14"/>
  <c r="L147" i="14"/>
  <c r="L163" i="14"/>
  <c r="L210" i="14"/>
  <c r="L217" i="14"/>
  <c r="L244" i="14"/>
  <c r="L299" i="14"/>
  <c r="L240" i="14"/>
  <c r="L36" i="14"/>
  <c r="L300" i="14"/>
  <c r="L257" i="14"/>
  <c r="L106" i="14"/>
  <c r="L126" i="14"/>
  <c r="L177" i="14"/>
  <c r="L208" i="14"/>
  <c r="L23" i="14"/>
  <c r="L27" i="14"/>
  <c r="L34" i="14"/>
  <c r="L64" i="14"/>
  <c r="V66" i="14" s="1"/>
  <c r="L82" i="14"/>
  <c r="L112" i="14"/>
  <c r="L118" i="14"/>
  <c r="L144" i="14"/>
  <c r="L181" i="14"/>
  <c r="L191" i="14"/>
  <c r="L194" i="14"/>
  <c r="L197" i="14"/>
  <c r="L204" i="14"/>
  <c r="L232" i="14"/>
  <c r="L258" i="14"/>
  <c r="L284" i="14"/>
  <c r="L288" i="14"/>
  <c r="L9" i="14"/>
  <c r="L16" i="14"/>
  <c r="L20" i="14"/>
  <c r="L46" i="14"/>
  <c r="L68" i="14"/>
  <c r="V70" i="14" s="1"/>
  <c r="L86" i="14"/>
  <c r="L93" i="14"/>
  <c r="L103" i="14"/>
  <c r="L109" i="14"/>
  <c r="L115" i="14"/>
  <c r="L133" i="14"/>
  <c r="L141" i="14"/>
  <c r="L155" i="14"/>
  <c r="L161" i="14"/>
  <c r="L164" i="14"/>
  <c r="L171" i="14"/>
  <c r="L178" i="14"/>
  <c r="L185" i="14"/>
  <c r="L188" i="14"/>
  <c r="L201" i="14"/>
  <c r="L222" i="14"/>
  <c r="L229" i="14"/>
  <c r="L236" i="14"/>
  <c r="L266" i="14"/>
  <c r="L296" i="14"/>
  <c r="L5" i="14"/>
  <c r="L12" i="14"/>
  <c r="L50" i="14"/>
  <c r="L105" i="14"/>
  <c r="L108" i="14"/>
  <c r="L114" i="14"/>
  <c r="L159" i="14"/>
  <c r="L263" i="14"/>
  <c r="L270" i="14"/>
  <c r="L277" i="14"/>
  <c r="L280" i="14"/>
  <c r="L295" i="14"/>
  <c r="L302" i="14"/>
  <c r="V84" i="14" s="1"/>
  <c r="L309" i="14"/>
  <c r="V91" i="14" s="1"/>
  <c r="L312" i="14"/>
  <c r="V94" i="14" s="1"/>
  <c r="L41" i="14"/>
  <c r="L48" i="14"/>
  <c r="L55" i="14"/>
  <c r="L62" i="14"/>
  <c r="V64" i="14" s="1"/>
  <c r="L75" i="14"/>
  <c r="V77" i="14" s="1"/>
  <c r="L78" i="14"/>
  <c r="V80" i="14" s="1"/>
  <c r="L89" i="14"/>
  <c r="L96" i="14"/>
  <c r="L129" i="14"/>
  <c r="L135" i="14"/>
  <c r="L250" i="14"/>
  <c r="L253" i="14"/>
  <c r="L271" i="14"/>
  <c r="L278" i="14"/>
  <c r="L285" i="14"/>
  <c r="L303" i="14"/>
  <c r="V85" i="14" s="1"/>
  <c r="L310" i="14"/>
  <c r="V92" i="14" s="1"/>
  <c r="L317" i="14"/>
  <c r="V99" i="14" s="1"/>
  <c r="L7" i="14"/>
  <c r="L14" i="14"/>
  <c r="L35" i="14"/>
  <c r="L45" i="14"/>
  <c r="L52" i="14"/>
  <c r="L59" i="14"/>
  <c r="L66" i="14"/>
  <c r="V68" i="14" s="1"/>
  <c r="L69" i="14"/>
  <c r="V71" i="14" s="1"/>
  <c r="L81" i="14"/>
  <c r="V83" i="14" s="1"/>
  <c r="L94" i="14"/>
  <c r="L101" i="14"/>
  <c r="L119" i="14"/>
  <c r="L145" i="14"/>
  <c r="L151" i="14"/>
  <c r="L221" i="14"/>
  <c r="L4" i="14"/>
  <c r="L25" i="14"/>
  <c r="L32" i="14"/>
  <c r="L42" i="14"/>
  <c r="L49" i="14"/>
  <c r="L56" i="14"/>
  <c r="L79" i="14"/>
  <c r="L87" i="14"/>
  <c r="L104" i="14"/>
  <c r="L107" i="14"/>
  <c r="L123" i="14"/>
  <c r="L136" i="14"/>
  <c r="L139" i="14"/>
  <c r="L158" i="14"/>
  <c r="L183" i="14"/>
  <c r="L215" i="14"/>
  <c r="L225" i="14"/>
  <c r="L241" i="14"/>
  <c r="L254" i="14"/>
  <c r="L261" i="14"/>
  <c r="L279" i="14"/>
  <c r="L286" i="14"/>
  <c r="L293" i="14"/>
  <c r="L311" i="14"/>
  <c r="V93" i="14" s="1"/>
  <c r="L318" i="14"/>
  <c r="V100" i="14" s="1"/>
  <c r="L22" i="14"/>
  <c r="L26" i="14"/>
  <c r="L43" i="14"/>
  <c r="L85" i="14"/>
  <c r="L102" i="14"/>
  <c r="L111" i="14"/>
  <c r="L117" i="14"/>
  <c r="L124" i="14"/>
  <c r="L127" i="14"/>
  <c r="L137" i="14"/>
  <c r="L140" i="14"/>
  <c r="L168" i="14"/>
  <c r="L174" i="14"/>
  <c r="L184" i="14"/>
  <c r="L187" i="14"/>
  <c r="L200" i="14"/>
  <c r="L206" i="14"/>
  <c r="L216" i="14"/>
  <c r="L226" i="14"/>
  <c r="L242" i="14"/>
  <c r="L255" i="14"/>
  <c r="L262" i="14"/>
  <c r="L269" i="14"/>
  <c r="L287" i="14"/>
  <c r="L294" i="14"/>
  <c r="L301" i="14"/>
  <c r="L319" i="14"/>
  <c r="V101" i="14" s="1"/>
  <c r="V69" i="14"/>
  <c r="V78" i="14"/>
  <c r="L157" i="14"/>
  <c r="L31" i="14"/>
  <c r="V81" i="14"/>
  <c r="V82" i="14"/>
  <c r="V67" i="14"/>
  <c r="L231" i="14"/>
  <c r="L63" i="14"/>
  <c r="L132" i="14"/>
  <c r="V76" i="14"/>
  <c r="L15" i="14"/>
  <c r="L95" i="14"/>
  <c r="L11" i="14"/>
  <c r="L33" i="14"/>
  <c r="L47" i="14"/>
  <c r="L251" i="14"/>
  <c r="V89" i="14"/>
  <c r="L189" i="14"/>
  <c r="L148" i="14"/>
  <c r="L152" i="14"/>
  <c r="V97" i="14"/>
  <c r="V80" i="15" l="1"/>
  <c r="V82" i="15"/>
  <c r="N2" i="15"/>
  <c r="V65" i="14"/>
  <c r="I314" i="12"/>
  <c r="K314" i="12" s="1"/>
  <c r="J314" i="12"/>
  <c r="I315" i="12"/>
  <c r="K315" i="12" s="1"/>
  <c r="J315" i="12"/>
  <c r="I316" i="12"/>
  <c r="K316" i="12" s="1"/>
  <c r="J316" i="12"/>
  <c r="I317" i="12"/>
  <c r="K317" i="12" s="1"/>
  <c r="J317" i="12"/>
  <c r="I318" i="12"/>
  <c r="K318" i="12" s="1"/>
  <c r="J318" i="12"/>
  <c r="I319" i="12"/>
  <c r="K319" i="12" s="1"/>
  <c r="J319" i="12"/>
  <c r="I320" i="12"/>
  <c r="K320" i="12" s="1"/>
  <c r="J320" i="12"/>
  <c r="I321" i="12"/>
  <c r="K321" i="12" s="1"/>
  <c r="J321" i="12"/>
  <c r="I322" i="12"/>
  <c r="K322" i="12" s="1"/>
  <c r="J322" i="12"/>
  <c r="I320" i="13"/>
  <c r="K320" i="13" s="1"/>
  <c r="J320" i="13"/>
  <c r="I321" i="13"/>
  <c r="K321" i="13" s="1"/>
  <c r="J321" i="13"/>
  <c r="I322" i="13"/>
  <c r="K322" i="13" s="1"/>
  <c r="J322" i="13"/>
  <c r="J319" i="13"/>
  <c r="I319" i="13"/>
  <c r="K319" i="13" s="1"/>
  <c r="J318" i="13"/>
  <c r="I318" i="13"/>
  <c r="K318" i="13" s="1"/>
  <c r="L318" i="13" s="1"/>
  <c r="J317" i="13"/>
  <c r="I317" i="13"/>
  <c r="K317" i="13" s="1"/>
  <c r="J316" i="13"/>
  <c r="I316" i="13"/>
  <c r="K316" i="13" s="1"/>
  <c r="J315" i="13"/>
  <c r="I315" i="13"/>
  <c r="K315" i="13" s="1"/>
  <c r="J314" i="13"/>
  <c r="I314" i="13"/>
  <c r="K314" i="13" s="1"/>
  <c r="J313" i="13"/>
  <c r="I313" i="13"/>
  <c r="K313" i="13" s="1"/>
  <c r="J312" i="13"/>
  <c r="I312" i="13"/>
  <c r="K312" i="13" s="1"/>
  <c r="J311" i="13"/>
  <c r="I311" i="13"/>
  <c r="K311" i="13" s="1"/>
  <c r="J310" i="13"/>
  <c r="I310" i="13"/>
  <c r="K310" i="13" s="1"/>
  <c r="J309" i="13"/>
  <c r="I309" i="13"/>
  <c r="K309" i="13" s="1"/>
  <c r="J308" i="13"/>
  <c r="I308" i="13"/>
  <c r="K308" i="13" s="1"/>
  <c r="J307" i="13"/>
  <c r="I307" i="13"/>
  <c r="K307" i="13" s="1"/>
  <c r="J306" i="13"/>
  <c r="I306" i="13"/>
  <c r="K306" i="13" s="1"/>
  <c r="J305" i="13"/>
  <c r="I305" i="13"/>
  <c r="K305" i="13" s="1"/>
  <c r="J304" i="13"/>
  <c r="I304" i="13"/>
  <c r="K304" i="13" s="1"/>
  <c r="J303" i="13"/>
  <c r="I303" i="13"/>
  <c r="K303" i="13" s="1"/>
  <c r="J302" i="13"/>
  <c r="I302" i="13"/>
  <c r="K302" i="13" s="1"/>
  <c r="L302" i="13" s="1"/>
  <c r="J301" i="13"/>
  <c r="I301" i="13"/>
  <c r="K301" i="13" s="1"/>
  <c r="J300" i="13"/>
  <c r="I300" i="13"/>
  <c r="K300" i="13" s="1"/>
  <c r="J299" i="13"/>
  <c r="I299" i="13"/>
  <c r="K299" i="13" s="1"/>
  <c r="J298" i="13"/>
  <c r="I298" i="13"/>
  <c r="K298" i="13" s="1"/>
  <c r="L298" i="13" s="1"/>
  <c r="J297" i="13"/>
  <c r="I297" i="13"/>
  <c r="K297" i="13" s="1"/>
  <c r="L297" i="13" s="1"/>
  <c r="J296" i="13"/>
  <c r="I296" i="13"/>
  <c r="K296" i="13" s="1"/>
  <c r="J295" i="13"/>
  <c r="I295" i="13"/>
  <c r="K295" i="13" s="1"/>
  <c r="J294" i="13"/>
  <c r="I294" i="13"/>
  <c r="K294" i="13" s="1"/>
  <c r="L294" i="13" s="1"/>
  <c r="J293" i="13"/>
  <c r="I293" i="13"/>
  <c r="K293" i="13" s="1"/>
  <c r="J292" i="13"/>
  <c r="I292" i="13"/>
  <c r="K292" i="13" s="1"/>
  <c r="J291" i="13"/>
  <c r="I291" i="13"/>
  <c r="K291" i="13" s="1"/>
  <c r="J290" i="13"/>
  <c r="I290" i="13"/>
  <c r="K290" i="13" s="1"/>
  <c r="J289" i="13"/>
  <c r="I289" i="13"/>
  <c r="K289" i="13" s="1"/>
  <c r="L289" i="13" s="1"/>
  <c r="J288" i="13"/>
  <c r="I288" i="13"/>
  <c r="K288" i="13" s="1"/>
  <c r="J287" i="13"/>
  <c r="I287" i="13"/>
  <c r="K287" i="13" s="1"/>
  <c r="J286" i="13"/>
  <c r="I286" i="13"/>
  <c r="K286" i="13" s="1"/>
  <c r="J285" i="13"/>
  <c r="I285" i="13"/>
  <c r="K285" i="13" s="1"/>
  <c r="J284" i="13"/>
  <c r="I284" i="13"/>
  <c r="K284" i="13" s="1"/>
  <c r="J283" i="13"/>
  <c r="I283" i="13"/>
  <c r="K283" i="13" s="1"/>
  <c r="J282" i="13"/>
  <c r="I282" i="13"/>
  <c r="K282" i="13" s="1"/>
  <c r="J281" i="13"/>
  <c r="I281" i="13"/>
  <c r="K281" i="13" s="1"/>
  <c r="L281" i="13" s="1"/>
  <c r="J280" i="13"/>
  <c r="I280" i="13"/>
  <c r="K280" i="13" s="1"/>
  <c r="J279" i="13"/>
  <c r="I279" i="13"/>
  <c r="K279" i="13" s="1"/>
  <c r="J278" i="13"/>
  <c r="I278" i="13"/>
  <c r="K278" i="13" s="1"/>
  <c r="J277" i="13"/>
  <c r="I277" i="13"/>
  <c r="K277" i="13" s="1"/>
  <c r="J276" i="13"/>
  <c r="I276" i="13"/>
  <c r="K276" i="13" s="1"/>
  <c r="J275" i="13"/>
  <c r="I275" i="13"/>
  <c r="K275" i="13" s="1"/>
  <c r="J274" i="13"/>
  <c r="I274" i="13"/>
  <c r="K274" i="13" s="1"/>
  <c r="J273" i="13"/>
  <c r="I273" i="13"/>
  <c r="K273" i="13" s="1"/>
  <c r="L273" i="13" s="1"/>
  <c r="J272" i="13"/>
  <c r="I272" i="13"/>
  <c r="K272" i="13" s="1"/>
  <c r="J271" i="13"/>
  <c r="I271" i="13"/>
  <c r="K271" i="13" s="1"/>
  <c r="J270" i="13"/>
  <c r="I270" i="13"/>
  <c r="K270" i="13" s="1"/>
  <c r="J269" i="13"/>
  <c r="I269" i="13"/>
  <c r="K269" i="13" s="1"/>
  <c r="J268" i="13"/>
  <c r="I268" i="13"/>
  <c r="K268" i="13" s="1"/>
  <c r="J267" i="13"/>
  <c r="I267" i="13"/>
  <c r="K267" i="13" s="1"/>
  <c r="J266" i="13"/>
  <c r="I266" i="13"/>
  <c r="K266" i="13" s="1"/>
  <c r="J265" i="13"/>
  <c r="I265" i="13"/>
  <c r="K265" i="13" s="1"/>
  <c r="J264" i="13"/>
  <c r="I264" i="13"/>
  <c r="K264" i="13" s="1"/>
  <c r="J263" i="13"/>
  <c r="I263" i="13"/>
  <c r="K263" i="13" s="1"/>
  <c r="J262" i="13"/>
  <c r="I262" i="13"/>
  <c r="K262" i="13" s="1"/>
  <c r="J261" i="13"/>
  <c r="I261" i="13"/>
  <c r="K261" i="13" s="1"/>
  <c r="J260" i="13"/>
  <c r="I260" i="13"/>
  <c r="K260" i="13" s="1"/>
  <c r="J259" i="13"/>
  <c r="I259" i="13"/>
  <c r="K259" i="13" s="1"/>
  <c r="J258" i="13"/>
  <c r="I258" i="13"/>
  <c r="K258" i="13" s="1"/>
  <c r="J257" i="13"/>
  <c r="I257" i="13"/>
  <c r="K257" i="13" s="1"/>
  <c r="J256" i="13"/>
  <c r="I256" i="13"/>
  <c r="K256" i="13" s="1"/>
  <c r="J255" i="13"/>
  <c r="I255" i="13"/>
  <c r="K255" i="13" s="1"/>
  <c r="J254" i="13"/>
  <c r="I254" i="13"/>
  <c r="K254" i="13" s="1"/>
  <c r="J253" i="13"/>
  <c r="I253" i="13"/>
  <c r="K253" i="13" s="1"/>
  <c r="L253" i="13" s="1"/>
  <c r="J252" i="13"/>
  <c r="I252" i="13"/>
  <c r="K252" i="13" s="1"/>
  <c r="J251" i="13"/>
  <c r="I251" i="13"/>
  <c r="K251" i="13" s="1"/>
  <c r="J250" i="13"/>
  <c r="I250" i="13"/>
  <c r="K250" i="13" s="1"/>
  <c r="J249" i="13"/>
  <c r="I249" i="13"/>
  <c r="K249" i="13" s="1"/>
  <c r="L249" i="13" s="1"/>
  <c r="J248" i="13"/>
  <c r="I248" i="13"/>
  <c r="K248" i="13" s="1"/>
  <c r="J247" i="13"/>
  <c r="I247" i="13"/>
  <c r="K247" i="13" s="1"/>
  <c r="J246" i="13"/>
  <c r="I246" i="13"/>
  <c r="K246" i="13" s="1"/>
  <c r="J245" i="13"/>
  <c r="I245" i="13"/>
  <c r="K245" i="13" s="1"/>
  <c r="J244" i="13"/>
  <c r="I244" i="13"/>
  <c r="K244" i="13" s="1"/>
  <c r="J243" i="13"/>
  <c r="I243" i="13"/>
  <c r="K243" i="13" s="1"/>
  <c r="J242" i="13"/>
  <c r="I242" i="13"/>
  <c r="K242" i="13" s="1"/>
  <c r="J241" i="13"/>
  <c r="I241" i="13"/>
  <c r="K241" i="13" s="1"/>
  <c r="J240" i="13"/>
  <c r="I240" i="13"/>
  <c r="K240" i="13" s="1"/>
  <c r="J239" i="13"/>
  <c r="I239" i="13"/>
  <c r="K239" i="13" s="1"/>
  <c r="J238" i="13"/>
  <c r="I238" i="13"/>
  <c r="K238" i="13" s="1"/>
  <c r="L238" i="13" s="1"/>
  <c r="J237" i="13"/>
  <c r="I237" i="13"/>
  <c r="K237" i="13" s="1"/>
  <c r="J236" i="13"/>
  <c r="I236" i="13"/>
  <c r="K236" i="13" s="1"/>
  <c r="J235" i="13"/>
  <c r="I235" i="13"/>
  <c r="K235" i="13" s="1"/>
  <c r="J234" i="13"/>
  <c r="I234" i="13"/>
  <c r="K234" i="13" s="1"/>
  <c r="J233" i="13"/>
  <c r="I233" i="13"/>
  <c r="K233" i="13" s="1"/>
  <c r="J232" i="13"/>
  <c r="I232" i="13"/>
  <c r="K232" i="13" s="1"/>
  <c r="J231" i="13"/>
  <c r="I231" i="13"/>
  <c r="K231" i="13" s="1"/>
  <c r="J230" i="13"/>
  <c r="I230" i="13"/>
  <c r="K230" i="13" s="1"/>
  <c r="J229" i="13"/>
  <c r="I229" i="13"/>
  <c r="K229" i="13" s="1"/>
  <c r="J228" i="13"/>
  <c r="I228" i="13"/>
  <c r="K228" i="13" s="1"/>
  <c r="J227" i="13"/>
  <c r="I227" i="13"/>
  <c r="K227" i="13" s="1"/>
  <c r="J226" i="13"/>
  <c r="I226" i="13"/>
  <c r="K226" i="13" s="1"/>
  <c r="L226" i="13" s="1"/>
  <c r="J225" i="13"/>
  <c r="I225" i="13"/>
  <c r="K225" i="13" s="1"/>
  <c r="J224" i="13"/>
  <c r="I224" i="13"/>
  <c r="K224" i="13" s="1"/>
  <c r="J223" i="13"/>
  <c r="I223" i="13"/>
  <c r="K223" i="13" s="1"/>
  <c r="J222" i="13"/>
  <c r="I222" i="13"/>
  <c r="K222" i="13" s="1"/>
  <c r="L222" i="13" s="1"/>
  <c r="J221" i="13"/>
  <c r="I221" i="13"/>
  <c r="K221" i="13" s="1"/>
  <c r="J220" i="13"/>
  <c r="I220" i="13"/>
  <c r="K220" i="13" s="1"/>
  <c r="J219" i="13"/>
  <c r="I219" i="13"/>
  <c r="K219" i="13" s="1"/>
  <c r="J218" i="13"/>
  <c r="I218" i="13"/>
  <c r="K218" i="13" s="1"/>
  <c r="J217" i="13"/>
  <c r="I217" i="13"/>
  <c r="K217" i="13" s="1"/>
  <c r="J216" i="13"/>
  <c r="I216" i="13"/>
  <c r="K216" i="13" s="1"/>
  <c r="J215" i="13"/>
  <c r="I215" i="13"/>
  <c r="K215" i="13" s="1"/>
  <c r="J214" i="13"/>
  <c r="I214" i="13"/>
  <c r="K214" i="13" s="1"/>
  <c r="J213" i="13"/>
  <c r="I213" i="13"/>
  <c r="K213" i="13" s="1"/>
  <c r="J212" i="13"/>
  <c r="I212" i="13"/>
  <c r="K212" i="13" s="1"/>
  <c r="J211" i="13"/>
  <c r="I211" i="13"/>
  <c r="K211" i="13" s="1"/>
  <c r="J210" i="13"/>
  <c r="I210" i="13"/>
  <c r="K210" i="13" s="1"/>
  <c r="J209" i="13"/>
  <c r="I209" i="13"/>
  <c r="K209" i="13" s="1"/>
  <c r="J208" i="13"/>
  <c r="I208" i="13"/>
  <c r="K208" i="13" s="1"/>
  <c r="J207" i="13"/>
  <c r="I207" i="13"/>
  <c r="K207" i="13" s="1"/>
  <c r="J206" i="13"/>
  <c r="I206" i="13"/>
  <c r="K206" i="13" s="1"/>
  <c r="L206" i="13" s="1"/>
  <c r="J205" i="13"/>
  <c r="I205" i="13"/>
  <c r="K205" i="13" s="1"/>
  <c r="J204" i="13"/>
  <c r="I204" i="13"/>
  <c r="K204" i="13" s="1"/>
  <c r="J203" i="13"/>
  <c r="I203" i="13"/>
  <c r="K203" i="13" s="1"/>
  <c r="J202" i="13"/>
  <c r="I202" i="13"/>
  <c r="K202" i="13" s="1"/>
  <c r="L202" i="13" s="1"/>
  <c r="J201" i="13"/>
  <c r="I201" i="13"/>
  <c r="K201" i="13" s="1"/>
  <c r="J200" i="13"/>
  <c r="I200" i="13"/>
  <c r="K200" i="13" s="1"/>
  <c r="J199" i="13"/>
  <c r="I199" i="13"/>
  <c r="K199" i="13" s="1"/>
  <c r="J198" i="13"/>
  <c r="I198" i="13"/>
  <c r="K198" i="13" s="1"/>
  <c r="J197" i="13"/>
  <c r="I197" i="13"/>
  <c r="K197" i="13" s="1"/>
  <c r="J196" i="13"/>
  <c r="I196" i="13"/>
  <c r="K196" i="13" s="1"/>
  <c r="J195" i="13"/>
  <c r="I195" i="13"/>
  <c r="K195" i="13" s="1"/>
  <c r="J194" i="13"/>
  <c r="I194" i="13"/>
  <c r="K194" i="13" s="1"/>
  <c r="L194" i="13" s="1"/>
  <c r="J193" i="13"/>
  <c r="I193" i="13"/>
  <c r="K193" i="13" s="1"/>
  <c r="J192" i="13"/>
  <c r="I192" i="13"/>
  <c r="K192" i="13" s="1"/>
  <c r="J191" i="13"/>
  <c r="I191" i="13"/>
  <c r="K191" i="13" s="1"/>
  <c r="J190" i="13"/>
  <c r="I190" i="13"/>
  <c r="K190" i="13" s="1"/>
  <c r="J189" i="13"/>
  <c r="I189" i="13"/>
  <c r="K189" i="13" s="1"/>
  <c r="J188" i="13"/>
  <c r="I188" i="13"/>
  <c r="K188" i="13" s="1"/>
  <c r="J187" i="13"/>
  <c r="I187" i="13"/>
  <c r="K187" i="13" s="1"/>
  <c r="J186" i="13"/>
  <c r="I186" i="13"/>
  <c r="K186" i="13" s="1"/>
  <c r="L186" i="13" s="1"/>
  <c r="J185" i="13"/>
  <c r="I185" i="13"/>
  <c r="K185" i="13" s="1"/>
  <c r="J184" i="13"/>
  <c r="I184" i="13"/>
  <c r="K184" i="13" s="1"/>
  <c r="J183" i="13"/>
  <c r="I183" i="13"/>
  <c r="K183" i="13" s="1"/>
  <c r="J182" i="13"/>
  <c r="I182" i="13"/>
  <c r="K182" i="13" s="1"/>
  <c r="J181" i="13"/>
  <c r="I181" i="13"/>
  <c r="K181" i="13" s="1"/>
  <c r="J180" i="13"/>
  <c r="I180" i="13"/>
  <c r="K180" i="13" s="1"/>
  <c r="J179" i="13"/>
  <c r="I179" i="13"/>
  <c r="K179" i="13" s="1"/>
  <c r="J178" i="13"/>
  <c r="I178" i="13"/>
  <c r="K178" i="13" s="1"/>
  <c r="J177" i="13"/>
  <c r="I177" i="13"/>
  <c r="K177" i="13" s="1"/>
  <c r="J176" i="13"/>
  <c r="I176" i="13"/>
  <c r="K176" i="13" s="1"/>
  <c r="J175" i="13"/>
  <c r="I175" i="13"/>
  <c r="K175" i="13" s="1"/>
  <c r="J174" i="13"/>
  <c r="I174" i="13"/>
  <c r="K174" i="13" s="1"/>
  <c r="J173" i="13"/>
  <c r="I173" i="13"/>
  <c r="K173" i="13" s="1"/>
  <c r="J172" i="13"/>
  <c r="I172" i="13"/>
  <c r="K172" i="13" s="1"/>
  <c r="J171" i="13"/>
  <c r="I171" i="13"/>
  <c r="K171" i="13" s="1"/>
  <c r="J170" i="13"/>
  <c r="I170" i="13"/>
  <c r="K170" i="13" s="1"/>
  <c r="J169" i="13"/>
  <c r="I169" i="13"/>
  <c r="K169" i="13" s="1"/>
  <c r="J168" i="13"/>
  <c r="I168" i="13"/>
  <c r="K168" i="13" s="1"/>
  <c r="J167" i="13"/>
  <c r="I167" i="13"/>
  <c r="K167" i="13" s="1"/>
  <c r="J166" i="13"/>
  <c r="I166" i="13"/>
  <c r="K166" i="13" s="1"/>
  <c r="J165" i="13"/>
  <c r="I165" i="13"/>
  <c r="K165" i="13" s="1"/>
  <c r="J164" i="13"/>
  <c r="I164" i="13"/>
  <c r="K164" i="13" s="1"/>
  <c r="J163" i="13"/>
  <c r="I163" i="13"/>
  <c r="K163" i="13" s="1"/>
  <c r="J162" i="13"/>
  <c r="I162" i="13"/>
  <c r="K162" i="13" s="1"/>
  <c r="J161" i="13"/>
  <c r="I161" i="13"/>
  <c r="K161" i="13" s="1"/>
  <c r="J160" i="13"/>
  <c r="I160" i="13"/>
  <c r="K160" i="13" s="1"/>
  <c r="J159" i="13"/>
  <c r="I159" i="13"/>
  <c r="K159" i="13" s="1"/>
  <c r="J158" i="13"/>
  <c r="I158" i="13"/>
  <c r="K158" i="13" s="1"/>
  <c r="J157" i="13"/>
  <c r="I157" i="13"/>
  <c r="K157" i="13" s="1"/>
  <c r="J156" i="13"/>
  <c r="I156" i="13"/>
  <c r="K156" i="13" s="1"/>
  <c r="J155" i="13"/>
  <c r="I155" i="13"/>
  <c r="K155" i="13" s="1"/>
  <c r="J154" i="13"/>
  <c r="I154" i="13"/>
  <c r="K154" i="13" s="1"/>
  <c r="J153" i="13"/>
  <c r="I153" i="13"/>
  <c r="K153" i="13" s="1"/>
  <c r="J152" i="13"/>
  <c r="I152" i="13"/>
  <c r="K152" i="13" s="1"/>
  <c r="J151" i="13"/>
  <c r="I151" i="13"/>
  <c r="K151" i="13" s="1"/>
  <c r="J150" i="13"/>
  <c r="I150" i="13"/>
  <c r="K150" i="13" s="1"/>
  <c r="J149" i="13"/>
  <c r="I149" i="13"/>
  <c r="K149" i="13" s="1"/>
  <c r="J148" i="13"/>
  <c r="I148" i="13"/>
  <c r="K148" i="13" s="1"/>
  <c r="J147" i="13"/>
  <c r="I147" i="13"/>
  <c r="K147" i="13" s="1"/>
  <c r="J146" i="13"/>
  <c r="I146" i="13"/>
  <c r="K146" i="13" s="1"/>
  <c r="J145" i="13"/>
  <c r="I145" i="13"/>
  <c r="K145" i="13" s="1"/>
  <c r="J144" i="13"/>
  <c r="I144" i="13"/>
  <c r="K144" i="13" s="1"/>
  <c r="J143" i="13"/>
  <c r="I143" i="13"/>
  <c r="K143" i="13" s="1"/>
  <c r="J142" i="13"/>
  <c r="I142" i="13"/>
  <c r="K142" i="13" s="1"/>
  <c r="J141" i="13"/>
  <c r="I141" i="13"/>
  <c r="K141" i="13" s="1"/>
  <c r="J140" i="13"/>
  <c r="I140" i="13"/>
  <c r="K140" i="13" s="1"/>
  <c r="J139" i="13"/>
  <c r="I139" i="13"/>
  <c r="K139" i="13" s="1"/>
  <c r="J138" i="13"/>
  <c r="I138" i="13"/>
  <c r="K138" i="13" s="1"/>
  <c r="J137" i="13"/>
  <c r="I137" i="13"/>
  <c r="K137" i="13" s="1"/>
  <c r="J136" i="13"/>
  <c r="I136" i="13"/>
  <c r="K136" i="13" s="1"/>
  <c r="J135" i="13"/>
  <c r="I135" i="13"/>
  <c r="K135" i="13" s="1"/>
  <c r="J134" i="13"/>
  <c r="I134" i="13"/>
  <c r="K134" i="13" s="1"/>
  <c r="J133" i="13"/>
  <c r="I133" i="13"/>
  <c r="K133" i="13" s="1"/>
  <c r="J132" i="13"/>
  <c r="I132" i="13"/>
  <c r="K132" i="13" s="1"/>
  <c r="J131" i="13"/>
  <c r="I131" i="13"/>
  <c r="K131" i="13" s="1"/>
  <c r="J130" i="13"/>
  <c r="I130" i="13"/>
  <c r="K130" i="13" s="1"/>
  <c r="J129" i="13"/>
  <c r="I129" i="13"/>
  <c r="K129" i="13" s="1"/>
  <c r="J128" i="13"/>
  <c r="I128" i="13"/>
  <c r="K128" i="13" s="1"/>
  <c r="J127" i="13"/>
  <c r="I127" i="13"/>
  <c r="K127" i="13" s="1"/>
  <c r="J126" i="13"/>
  <c r="I126" i="13"/>
  <c r="K126" i="13" s="1"/>
  <c r="J125" i="13"/>
  <c r="I125" i="13"/>
  <c r="K125" i="13" s="1"/>
  <c r="J124" i="13"/>
  <c r="I124" i="13"/>
  <c r="K124" i="13" s="1"/>
  <c r="J123" i="13"/>
  <c r="I123" i="13"/>
  <c r="K123" i="13" s="1"/>
  <c r="J122" i="13"/>
  <c r="I122" i="13"/>
  <c r="K122" i="13" s="1"/>
  <c r="J121" i="13"/>
  <c r="I121" i="13"/>
  <c r="K121" i="13" s="1"/>
  <c r="J120" i="13"/>
  <c r="I120" i="13"/>
  <c r="K120" i="13" s="1"/>
  <c r="J119" i="13"/>
  <c r="I119" i="13"/>
  <c r="K119" i="13" s="1"/>
  <c r="J118" i="13"/>
  <c r="I118" i="13"/>
  <c r="K118" i="13" s="1"/>
  <c r="J117" i="13"/>
  <c r="I117" i="13"/>
  <c r="K117" i="13" s="1"/>
  <c r="J116" i="13"/>
  <c r="I116" i="13"/>
  <c r="K116" i="13" s="1"/>
  <c r="J115" i="13"/>
  <c r="I115" i="13"/>
  <c r="K115" i="13" s="1"/>
  <c r="J114" i="13"/>
  <c r="I114" i="13"/>
  <c r="K114" i="13" s="1"/>
  <c r="J113" i="13"/>
  <c r="I113" i="13"/>
  <c r="K113" i="13" s="1"/>
  <c r="J112" i="13"/>
  <c r="I112" i="13"/>
  <c r="K112" i="13" s="1"/>
  <c r="J111" i="13"/>
  <c r="I111" i="13"/>
  <c r="K111" i="13" s="1"/>
  <c r="J110" i="13"/>
  <c r="I110" i="13"/>
  <c r="K110" i="13" s="1"/>
  <c r="J109" i="13"/>
  <c r="I109" i="13"/>
  <c r="K109" i="13" s="1"/>
  <c r="J108" i="13"/>
  <c r="I108" i="13"/>
  <c r="K108" i="13" s="1"/>
  <c r="J107" i="13"/>
  <c r="I107" i="13"/>
  <c r="K107" i="13" s="1"/>
  <c r="J106" i="13"/>
  <c r="I106" i="13"/>
  <c r="K106" i="13" s="1"/>
  <c r="J105" i="13"/>
  <c r="I105" i="13"/>
  <c r="K105" i="13" s="1"/>
  <c r="J104" i="13"/>
  <c r="I104" i="13"/>
  <c r="K104" i="13" s="1"/>
  <c r="J103" i="13"/>
  <c r="I103" i="13"/>
  <c r="K103" i="13" s="1"/>
  <c r="J102" i="13"/>
  <c r="I102" i="13"/>
  <c r="K102" i="13" s="1"/>
  <c r="J101" i="13"/>
  <c r="I101" i="13"/>
  <c r="K101" i="13" s="1"/>
  <c r="J100" i="13"/>
  <c r="I100" i="13"/>
  <c r="K100" i="13" s="1"/>
  <c r="J99" i="13"/>
  <c r="I99" i="13"/>
  <c r="K99" i="13" s="1"/>
  <c r="J98" i="13"/>
  <c r="I98" i="13"/>
  <c r="K98" i="13" s="1"/>
  <c r="J97" i="13"/>
  <c r="I97" i="13"/>
  <c r="K97" i="13" s="1"/>
  <c r="J96" i="13"/>
  <c r="I96" i="13"/>
  <c r="K96" i="13" s="1"/>
  <c r="J95" i="13"/>
  <c r="I95" i="13"/>
  <c r="K95" i="13" s="1"/>
  <c r="J94" i="13"/>
  <c r="I94" i="13"/>
  <c r="K94" i="13" s="1"/>
  <c r="J93" i="13"/>
  <c r="I93" i="13"/>
  <c r="K93" i="13" s="1"/>
  <c r="J92" i="13"/>
  <c r="I92" i="13"/>
  <c r="K92" i="13" s="1"/>
  <c r="J91" i="13"/>
  <c r="I91" i="13"/>
  <c r="K91" i="13" s="1"/>
  <c r="J90" i="13"/>
  <c r="I90" i="13"/>
  <c r="K90" i="13" s="1"/>
  <c r="J89" i="13"/>
  <c r="I89" i="13"/>
  <c r="K89" i="13" s="1"/>
  <c r="J88" i="13"/>
  <c r="I88" i="13"/>
  <c r="K88" i="13" s="1"/>
  <c r="J87" i="13"/>
  <c r="I87" i="13"/>
  <c r="K87" i="13" s="1"/>
  <c r="J86" i="13"/>
  <c r="I86" i="13"/>
  <c r="K86" i="13" s="1"/>
  <c r="J85" i="13"/>
  <c r="I85" i="13"/>
  <c r="K85" i="13" s="1"/>
  <c r="J84" i="13"/>
  <c r="I84" i="13"/>
  <c r="K84" i="13" s="1"/>
  <c r="J83" i="13"/>
  <c r="I83" i="13"/>
  <c r="K83" i="13" s="1"/>
  <c r="J82" i="13"/>
  <c r="I82" i="13"/>
  <c r="K82" i="13" s="1"/>
  <c r="J81" i="13"/>
  <c r="I81" i="13"/>
  <c r="K81" i="13" s="1"/>
  <c r="J80" i="13"/>
  <c r="I80" i="13"/>
  <c r="K80" i="13" s="1"/>
  <c r="J79" i="13"/>
  <c r="I79" i="13"/>
  <c r="K79" i="13" s="1"/>
  <c r="J78" i="13"/>
  <c r="I78" i="13"/>
  <c r="K78" i="13" s="1"/>
  <c r="J77" i="13"/>
  <c r="I77" i="13"/>
  <c r="K77" i="13" s="1"/>
  <c r="J76" i="13"/>
  <c r="I76" i="13"/>
  <c r="K76" i="13" s="1"/>
  <c r="J75" i="13"/>
  <c r="I75" i="13"/>
  <c r="K75" i="13" s="1"/>
  <c r="J74" i="13"/>
  <c r="I74" i="13"/>
  <c r="K74" i="13" s="1"/>
  <c r="J73" i="13"/>
  <c r="I73" i="13"/>
  <c r="K73" i="13" s="1"/>
  <c r="J72" i="13"/>
  <c r="I72" i="13"/>
  <c r="K72" i="13" s="1"/>
  <c r="J71" i="13"/>
  <c r="I71" i="13"/>
  <c r="K71" i="13" s="1"/>
  <c r="J70" i="13"/>
  <c r="I70" i="13"/>
  <c r="K70" i="13" s="1"/>
  <c r="J69" i="13"/>
  <c r="I69" i="13"/>
  <c r="K69" i="13" s="1"/>
  <c r="J68" i="13"/>
  <c r="I68" i="13"/>
  <c r="K68" i="13" s="1"/>
  <c r="J67" i="13"/>
  <c r="I67" i="13"/>
  <c r="K67" i="13" s="1"/>
  <c r="J66" i="13"/>
  <c r="I66" i="13"/>
  <c r="K66" i="13" s="1"/>
  <c r="J65" i="13"/>
  <c r="I65" i="13"/>
  <c r="K65" i="13" s="1"/>
  <c r="J64" i="13"/>
  <c r="I64" i="13"/>
  <c r="K64" i="13" s="1"/>
  <c r="J63" i="13"/>
  <c r="I63" i="13"/>
  <c r="K63" i="13" s="1"/>
  <c r="J62" i="13"/>
  <c r="I62" i="13"/>
  <c r="K62" i="13" s="1"/>
  <c r="J61" i="13"/>
  <c r="I61" i="13"/>
  <c r="K61" i="13" s="1"/>
  <c r="J60" i="13"/>
  <c r="I60" i="13"/>
  <c r="K60" i="13" s="1"/>
  <c r="J59" i="13"/>
  <c r="I59" i="13"/>
  <c r="K59" i="13" s="1"/>
  <c r="J58" i="13"/>
  <c r="I58" i="13"/>
  <c r="K58" i="13" s="1"/>
  <c r="J57" i="13"/>
  <c r="I57" i="13"/>
  <c r="K57" i="13" s="1"/>
  <c r="J56" i="13"/>
  <c r="I56" i="13"/>
  <c r="K56" i="13" s="1"/>
  <c r="J55" i="13"/>
  <c r="I55" i="13"/>
  <c r="K55" i="13" s="1"/>
  <c r="J54" i="13"/>
  <c r="I54" i="13"/>
  <c r="K54" i="13" s="1"/>
  <c r="J53" i="13"/>
  <c r="I53" i="13"/>
  <c r="K53" i="13" s="1"/>
  <c r="J52" i="13"/>
  <c r="I52" i="13"/>
  <c r="K52" i="13" s="1"/>
  <c r="J51" i="13"/>
  <c r="I51" i="13"/>
  <c r="K51" i="13" s="1"/>
  <c r="J50" i="13"/>
  <c r="I50" i="13"/>
  <c r="K50" i="13" s="1"/>
  <c r="J49" i="13"/>
  <c r="I49" i="13"/>
  <c r="K49" i="13" s="1"/>
  <c r="J48" i="13"/>
  <c r="I48" i="13"/>
  <c r="K48" i="13" s="1"/>
  <c r="J47" i="13"/>
  <c r="I47" i="13"/>
  <c r="K47" i="13" s="1"/>
  <c r="J46" i="13"/>
  <c r="I46" i="13"/>
  <c r="K46" i="13" s="1"/>
  <c r="J45" i="13"/>
  <c r="I45" i="13"/>
  <c r="K45" i="13" s="1"/>
  <c r="J44" i="13"/>
  <c r="I44" i="13"/>
  <c r="K44" i="13" s="1"/>
  <c r="J43" i="13"/>
  <c r="I43" i="13"/>
  <c r="K43" i="13" s="1"/>
  <c r="J42" i="13"/>
  <c r="I42" i="13"/>
  <c r="K42" i="13" s="1"/>
  <c r="J41" i="13"/>
  <c r="I41" i="13"/>
  <c r="K41" i="13" s="1"/>
  <c r="J40" i="13"/>
  <c r="I40" i="13"/>
  <c r="K40" i="13" s="1"/>
  <c r="J39" i="13"/>
  <c r="I39" i="13"/>
  <c r="K39" i="13" s="1"/>
  <c r="J38" i="13"/>
  <c r="I38" i="13"/>
  <c r="K38" i="13" s="1"/>
  <c r="J37" i="13"/>
  <c r="I37" i="13"/>
  <c r="K37" i="13" s="1"/>
  <c r="J36" i="13"/>
  <c r="I36" i="13"/>
  <c r="K36" i="13" s="1"/>
  <c r="J35" i="13"/>
  <c r="I35" i="13"/>
  <c r="K35" i="13" s="1"/>
  <c r="J34" i="13"/>
  <c r="I34" i="13"/>
  <c r="K34" i="13" s="1"/>
  <c r="J33" i="13"/>
  <c r="I33" i="13"/>
  <c r="K33" i="13" s="1"/>
  <c r="J32" i="13"/>
  <c r="I32" i="13"/>
  <c r="K32" i="13" s="1"/>
  <c r="J31" i="13"/>
  <c r="I31" i="13"/>
  <c r="K31" i="13" s="1"/>
  <c r="J30" i="13"/>
  <c r="I30" i="13"/>
  <c r="K30" i="13" s="1"/>
  <c r="J29" i="13"/>
  <c r="I29" i="13"/>
  <c r="K29" i="13" s="1"/>
  <c r="J28" i="13"/>
  <c r="I28" i="13"/>
  <c r="K28" i="13" s="1"/>
  <c r="J27" i="13"/>
  <c r="I27" i="13"/>
  <c r="K27" i="13" s="1"/>
  <c r="J26" i="13"/>
  <c r="I26" i="13"/>
  <c r="K26" i="13" s="1"/>
  <c r="J25" i="13"/>
  <c r="I25" i="13"/>
  <c r="K25" i="13" s="1"/>
  <c r="J24" i="13"/>
  <c r="I24" i="13"/>
  <c r="K24" i="13" s="1"/>
  <c r="J23" i="13"/>
  <c r="I23" i="13"/>
  <c r="K23" i="13" s="1"/>
  <c r="J22" i="13"/>
  <c r="I22" i="13"/>
  <c r="K22" i="13" s="1"/>
  <c r="J21" i="13"/>
  <c r="I21" i="13"/>
  <c r="K21" i="13" s="1"/>
  <c r="J20" i="13"/>
  <c r="I20" i="13"/>
  <c r="K20" i="13" s="1"/>
  <c r="J19" i="13"/>
  <c r="I19" i="13"/>
  <c r="K19" i="13" s="1"/>
  <c r="J18" i="13"/>
  <c r="I18" i="13"/>
  <c r="K18" i="13" s="1"/>
  <c r="J17" i="13"/>
  <c r="I17" i="13"/>
  <c r="K17" i="13" s="1"/>
  <c r="J16" i="13"/>
  <c r="I16" i="13"/>
  <c r="K16" i="13" s="1"/>
  <c r="J15" i="13"/>
  <c r="I15" i="13"/>
  <c r="K15" i="13" s="1"/>
  <c r="J14" i="13"/>
  <c r="I14" i="13"/>
  <c r="K14" i="13" s="1"/>
  <c r="J13" i="13"/>
  <c r="I13" i="13"/>
  <c r="K13" i="13" s="1"/>
  <c r="J12" i="13"/>
  <c r="I12" i="13"/>
  <c r="K12" i="13" s="1"/>
  <c r="J11" i="13"/>
  <c r="I11" i="13"/>
  <c r="K11" i="13" s="1"/>
  <c r="J10" i="13"/>
  <c r="I10" i="13"/>
  <c r="K10" i="13" s="1"/>
  <c r="J9" i="13"/>
  <c r="I9" i="13"/>
  <c r="K9" i="13" s="1"/>
  <c r="J8" i="13"/>
  <c r="I8" i="13"/>
  <c r="K8" i="13" s="1"/>
  <c r="J7" i="13"/>
  <c r="I7" i="13"/>
  <c r="K7" i="13" s="1"/>
  <c r="J6" i="13"/>
  <c r="I6" i="13"/>
  <c r="K6" i="13" s="1"/>
  <c r="J5" i="13"/>
  <c r="I5" i="13"/>
  <c r="K5" i="13" s="1"/>
  <c r="J4" i="13"/>
  <c r="I4" i="13"/>
  <c r="K4" i="13" s="1"/>
  <c r="J3" i="13"/>
  <c r="I3" i="13"/>
  <c r="K3" i="13" s="1"/>
  <c r="J2" i="13"/>
  <c r="I2" i="13"/>
  <c r="K2" i="13" s="1"/>
  <c r="J313" i="12"/>
  <c r="I313" i="12"/>
  <c r="K313" i="12" s="1"/>
  <c r="J312" i="12"/>
  <c r="I312" i="12"/>
  <c r="K312" i="12" s="1"/>
  <c r="J311" i="12"/>
  <c r="I311" i="12"/>
  <c r="K311" i="12" s="1"/>
  <c r="L311" i="12" s="1"/>
  <c r="V93" i="12" s="1"/>
  <c r="J310" i="12"/>
  <c r="I310" i="12"/>
  <c r="K310" i="12" s="1"/>
  <c r="J309" i="12"/>
  <c r="I309" i="12"/>
  <c r="K309" i="12" s="1"/>
  <c r="J308" i="12"/>
  <c r="I308" i="12"/>
  <c r="K308" i="12" s="1"/>
  <c r="J307" i="12"/>
  <c r="I307" i="12"/>
  <c r="K307" i="12" s="1"/>
  <c r="L307" i="12" s="1"/>
  <c r="V89" i="12" s="1"/>
  <c r="J306" i="12"/>
  <c r="I306" i="12"/>
  <c r="K306" i="12" s="1"/>
  <c r="J305" i="12"/>
  <c r="I305" i="12"/>
  <c r="K305" i="12" s="1"/>
  <c r="J304" i="12"/>
  <c r="I304" i="12"/>
  <c r="K304" i="12" s="1"/>
  <c r="J303" i="12"/>
  <c r="I303" i="12"/>
  <c r="K303" i="12" s="1"/>
  <c r="L303" i="12" s="1"/>
  <c r="V85" i="12" s="1"/>
  <c r="J302" i="12"/>
  <c r="I302" i="12"/>
  <c r="K302" i="12" s="1"/>
  <c r="J301" i="12"/>
  <c r="I301" i="12"/>
  <c r="K301" i="12" s="1"/>
  <c r="J300" i="12"/>
  <c r="I300" i="12"/>
  <c r="K300" i="12" s="1"/>
  <c r="J299" i="12"/>
  <c r="I299" i="12"/>
  <c r="K299" i="12" s="1"/>
  <c r="J298" i="12"/>
  <c r="I298" i="12"/>
  <c r="K298" i="12" s="1"/>
  <c r="J297" i="12"/>
  <c r="I297" i="12"/>
  <c r="K297" i="12" s="1"/>
  <c r="J296" i="12"/>
  <c r="I296" i="12"/>
  <c r="K296" i="12" s="1"/>
  <c r="J295" i="12"/>
  <c r="I295" i="12"/>
  <c r="K295" i="12" s="1"/>
  <c r="J294" i="12"/>
  <c r="I294" i="12"/>
  <c r="K294" i="12" s="1"/>
  <c r="J293" i="12"/>
  <c r="I293" i="12"/>
  <c r="K293" i="12" s="1"/>
  <c r="J292" i="12"/>
  <c r="I292" i="12"/>
  <c r="K292" i="12" s="1"/>
  <c r="J291" i="12"/>
  <c r="I291" i="12"/>
  <c r="K291" i="12" s="1"/>
  <c r="J290" i="12"/>
  <c r="I290" i="12"/>
  <c r="K290" i="12" s="1"/>
  <c r="J289" i="12"/>
  <c r="I289" i="12"/>
  <c r="K289" i="12" s="1"/>
  <c r="J288" i="12"/>
  <c r="I288" i="12"/>
  <c r="K288" i="12" s="1"/>
  <c r="J287" i="12"/>
  <c r="I287" i="12"/>
  <c r="K287" i="12" s="1"/>
  <c r="J286" i="12"/>
  <c r="I286" i="12"/>
  <c r="K286" i="12" s="1"/>
  <c r="J285" i="12"/>
  <c r="I285" i="12"/>
  <c r="K285" i="12" s="1"/>
  <c r="J284" i="12"/>
  <c r="I284" i="12"/>
  <c r="K284" i="12" s="1"/>
  <c r="J283" i="12"/>
  <c r="I283" i="12"/>
  <c r="K283" i="12" s="1"/>
  <c r="J282" i="12"/>
  <c r="I282" i="12"/>
  <c r="K282" i="12" s="1"/>
  <c r="J281" i="12"/>
  <c r="I281" i="12"/>
  <c r="K281" i="12" s="1"/>
  <c r="J280" i="12"/>
  <c r="I280" i="12"/>
  <c r="K280" i="12" s="1"/>
  <c r="J279" i="12"/>
  <c r="I279" i="12"/>
  <c r="K279" i="12" s="1"/>
  <c r="J278" i="12"/>
  <c r="I278" i="12"/>
  <c r="K278" i="12" s="1"/>
  <c r="J277" i="12"/>
  <c r="I277" i="12"/>
  <c r="K277" i="12" s="1"/>
  <c r="J276" i="12"/>
  <c r="I276" i="12"/>
  <c r="K276" i="12" s="1"/>
  <c r="L276" i="12" s="1"/>
  <c r="J275" i="12"/>
  <c r="I275" i="12"/>
  <c r="K275" i="12" s="1"/>
  <c r="L275" i="12" s="1"/>
  <c r="J274" i="12"/>
  <c r="I274" i="12"/>
  <c r="K274" i="12" s="1"/>
  <c r="J273" i="12"/>
  <c r="I273" i="12"/>
  <c r="K273" i="12" s="1"/>
  <c r="J272" i="12"/>
  <c r="I272" i="12"/>
  <c r="K272" i="12" s="1"/>
  <c r="L272" i="12" s="1"/>
  <c r="J271" i="12"/>
  <c r="I271" i="12"/>
  <c r="K271" i="12" s="1"/>
  <c r="L271" i="12" s="1"/>
  <c r="J270" i="12"/>
  <c r="I270" i="12"/>
  <c r="K270" i="12" s="1"/>
  <c r="J269" i="12"/>
  <c r="I269" i="12"/>
  <c r="K269" i="12" s="1"/>
  <c r="J268" i="12"/>
  <c r="I268" i="12"/>
  <c r="K268" i="12" s="1"/>
  <c r="L268" i="12" s="1"/>
  <c r="J267" i="12"/>
  <c r="I267" i="12"/>
  <c r="K267" i="12" s="1"/>
  <c r="J266" i="12"/>
  <c r="I266" i="12"/>
  <c r="K266" i="12" s="1"/>
  <c r="J265" i="12"/>
  <c r="I265" i="12"/>
  <c r="K265" i="12" s="1"/>
  <c r="J264" i="12"/>
  <c r="I264" i="12"/>
  <c r="K264" i="12" s="1"/>
  <c r="J263" i="12"/>
  <c r="I263" i="12"/>
  <c r="K263" i="12" s="1"/>
  <c r="L263" i="12" s="1"/>
  <c r="J262" i="12"/>
  <c r="I262" i="12"/>
  <c r="K262" i="12" s="1"/>
  <c r="J261" i="12"/>
  <c r="I261" i="12"/>
  <c r="K261" i="12" s="1"/>
  <c r="J260" i="12"/>
  <c r="I260" i="12"/>
  <c r="K260" i="12" s="1"/>
  <c r="L260" i="12" s="1"/>
  <c r="J259" i="12"/>
  <c r="I259" i="12"/>
  <c r="K259" i="12" s="1"/>
  <c r="L259" i="12" s="1"/>
  <c r="J258" i="12"/>
  <c r="I258" i="12"/>
  <c r="K258" i="12" s="1"/>
  <c r="J257" i="12"/>
  <c r="I257" i="12"/>
  <c r="K257" i="12" s="1"/>
  <c r="J256" i="12"/>
  <c r="I256" i="12"/>
  <c r="K256" i="12" s="1"/>
  <c r="L256" i="12" s="1"/>
  <c r="J255" i="12"/>
  <c r="I255" i="12"/>
  <c r="K255" i="12" s="1"/>
  <c r="L255" i="12" s="1"/>
  <c r="J254" i="12"/>
  <c r="I254" i="12"/>
  <c r="K254" i="12" s="1"/>
  <c r="J253" i="12"/>
  <c r="I253" i="12"/>
  <c r="K253" i="12" s="1"/>
  <c r="J252" i="12"/>
  <c r="I252" i="12"/>
  <c r="K252" i="12" s="1"/>
  <c r="L252" i="12" s="1"/>
  <c r="J251" i="12"/>
  <c r="I251" i="12"/>
  <c r="K251" i="12" s="1"/>
  <c r="J250" i="12"/>
  <c r="I250" i="12"/>
  <c r="K250" i="12" s="1"/>
  <c r="J249" i="12"/>
  <c r="I249" i="12"/>
  <c r="K249" i="12" s="1"/>
  <c r="J248" i="12"/>
  <c r="I248" i="12"/>
  <c r="K248" i="12" s="1"/>
  <c r="L248" i="12" s="1"/>
  <c r="J247" i="12"/>
  <c r="I247" i="12"/>
  <c r="K247" i="12" s="1"/>
  <c r="L247" i="12" s="1"/>
  <c r="J246" i="12"/>
  <c r="I246" i="12"/>
  <c r="K246" i="12" s="1"/>
  <c r="J245" i="12"/>
  <c r="I245" i="12"/>
  <c r="K245" i="12" s="1"/>
  <c r="J244" i="12"/>
  <c r="I244" i="12"/>
  <c r="K244" i="12" s="1"/>
  <c r="L244" i="12" s="1"/>
  <c r="J243" i="12"/>
  <c r="I243" i="12"/>
  <c r="K243" i="12" s="1"/>
  <c r="J242" i="12"/>
  <c r="I242" i="12"/>
  <c r="K242" i="12" s="1"/>
  <c r="J241" i="12"/>
  <c r="I241" i="12"/>
  <c r="K241" i="12" s="1"/>
  <c r="J240" i="12"/>
  <c r="I240" i="12"/>
  <c r="K240" i="12" s="1"/>
  <c r="L240" i="12" s="1"/>
  <c r="J239" i="12"/>
  <c r="I239" i="12"/>
  <c r="K239" i="12" s="1"/>
  <c r="J238" i="12"/>
  <c r="I238" i="12"/>
  <c r="K238" i="12" s="1"/>
  <c r="J237" i="12"/>
  <c r="I237" i="12"/>
  <c r="K237" i="12" s="1"/>
  <c r="J236" i="12"/>
  <c r="I236" i="12"/>
  <c r="K236" i="12" s="1"/>
  <c r="L236" i="12" s="1"/>
  <c r="J235" i="12"/>
  <c r="I235" i="12"/>
  <c r="K235" i="12" s="1"/>
  <c r="J234" i="12"/>
  <c r="I234" i="12"/>
  <c r="K234" i="12" s="1"/>
  <c r="J233" i="12"/>
  <c r="I233" i="12"/>
  <c r="K233" i="12" s="1"/>
  <c r="J232" i="12"/>
  <c r="I232" i="12"/>
  <c r="K232" i="12" s="1"/>
  <c r="J231" i="12"/>
  <c r="I231" i="12"/>
  <c r="K231" i="12" s="1"/>
  <c r="L231" i="12" s="1"/>
  <c r="J230" i="12"/>
  <c r="I230" i="12"/>
  <c r="K230" i="12" s="1"/>
  <c r="J229" i="12"/>
  <c r="I229" i="12"/>
  <c r="K229" i="12" s="1"/>
  <c r="J228" i="12"/>
  <c r="I228" i="12"/>
  <c r="K228" i="12" s="1"/>
  <c r="L228" i="12" s="1"/>
  <c r="J227" i="12"/>
  <c r="I227" i="12"/>
  <c r="K227" i="12" s="1"/>
  <c r="L227" i="12" s="1"/>
  <c r="J226" i="12"/>
  <c r="I226" i="12"/>
  <c r="K226" i="12" s="1"/>
  <c r="J225" i="12"/>
  <c r="I225" i="12"/>
  <c r="K225" i="12" s="1"/>
  <c r="J224" i="12"/>
  <c r="I224" i="12"/>
  <c r="K224" i="12" s="1"/>
  <c r="J223" i="12"/>
  <c r="I223" i="12"/>
  <c r="K223" i="12" s="1"/>
  <c r="L223" i="12" s="1"/>
  <c r="J222" i="12"/>
  <c r="I222" i="12"/>
  <c r="K222" i="12" s="1"/>
  <c r="J221" i="12"/>
  <c r="I221" i="12"/>
  <c r="K221" i="12" s="1"/>
  <c r="J220" i="12"/>
  <c r="I220" i="12"/>
  <c r="K220" i="12" s="1"/>
  <c r="L220" i="12" s="1"/>
  <c r="J219" i="12"/>
  <c r="I219" i="12"/>
  <c r="K219" i="12" s="1"/>
  <c r="J218" i="12"/>
  <c r="I218" i="12"/>
  <c r="K218" i="12" s="1"/>
  <c r="J217" i="12"/>
  <c r="I217" i="12"/>
  <c r="K217" i="12" s="1"/>
  <c r="J216" i="12"/>
  <c r="I216" i="12"/>
  <c r="K216" i="12" s="1"/>
  <c r="L216" i="12" s="1"/>
  <c r="J215" i="12"/>
  <c r="I215" i="12"/>
  <c r="K215" i="12" s="1"/>
  <c r="L215" i="12" s="1"/>
  <c r="J214" i="12"/>
  <c r="I214" i="12"/>
  <c r="K214" i="12" s="1"/>
  <c r="J213" i="12"/>
  <c r="I213" i="12"/>
  <c r="K213" i="12" s="1"/>
  <c r="J212" i="12"/>
  <c r="I212" i="12"/>
  <c r="K212" i="12" s="1"/>
  <c r="L212" i="12" s="1"/>
  <c r="J211" i="12"/>
  <c r="I211" i="12"/>
  <c r="K211" i="12" s="1"/>
  <c r="L211" i="12" s="1"/>
  <c r="J210" i="12"/>
  <c r="I210" i="12"/>
  <c r="K210" i="12" s="1"/>
  <c r="J209" i="12"/>
  <c r="I209" i="12"/>
  <c r="K209" i="12" s="1"/>
  <c r="J208" i="12"/>
  <c r="I208" i="12"/>
  <c r="K208" i="12" s="1"/>
  <c r="L208" i="12" s="1"/>
  <c r="J207" i="12"/>
  <c r="I207" i="12"/>
  <c r="K207" i="12" s="1"/>
  <c r="L207" i="12" s="1"/>
  <c r="J206" i="12"/>
  <c r="I206" i="12"/>
  <c r="K206" i="12" s="1"/>
  <c r="J205" i="12"/>
  <c r="I205" i="12"/>
  <c r="K205" i="12" s="1"/>
  <c r="J204" i="12"/>
  <c r="I204" i="12"/>
  <c r="K204" i="12" s="1"/>
  <c r="L204" i="12" s="1"/>
  <c r="J203" i="12"/>
  <c r="I203" i="12"/>
  <c r="K203" i="12" s="1"/>
  <c r="J202" i="12"/>
  <c r="I202" i="12"/>
  <c r="K202" i="12" s="1"/>
  <c r="J201" i="12"/>
  <c r="I201" i="12"/>
  <c r="K201" i="12" s="1"/>
  <c r="J200" i="12"/>
  <c r="I200" i="12"/>
  <c r="K200" i="12" s="1"/>
  <c r="L200" i="12" s="1"/>
  <c r="J199" i="12"/>
  <c r="I199" i="12"/>
  <c r="K199" i="12" s="1"/>
  <c r="L199" i="12" s="1"/>
  <c r="J198" i="12"/>
  <c r="I198" i="12"/>
  <c r="K198" i="12" s="1"/>
  <c r="J197" i="12"/>
  <c r="I197" i="12"/>
  <c r="K197" i="12" s="1"/>
  <c r="J196" i="12"/>
  <c r="I196" i="12"/>
  <c r="K196" i="12" s="1"/>
  <c r="L196" i="12" s="1"/>
  <c r="J195" i="12"/>
  <c r="I195" i="12"/>
  <c r="K195" i="12" s="1"/>
  <c r="J194" i="12"/>
  <c r="I194" i="12"/>
  <c r="K194" i="12" s="1"/>
  <c r="J193" i="12"/>
  <c r="I193" i="12"/>
  <c r="K193" i="12" s="1"/>
  <c r="J192" i="12"/>
  <c r="I192" i="12"/>
  <c r="K192" i="12" s="1"/>
  <c r="L192" i="12" s="1"/>
  <c r="J191" i="12"/>
  <c r="I191" i="12"/>
  <c r="K191" i="12" s="1"/>
  <c r="J190" i="12"/>
  <c r="I190" i="12"/>
  <c r="K190" i="12" s="1"/>
  <c r="J189" i="12"/>
  <c r="I189" i="12"/>
  <c r="K189" i="12" s="1"/>
  <c r="J188" i="12"/>
  <c r="I188" i="12"/>
  <c r="K188" i="12" s="1"/>
  <c r="L188" i="12" s="1"/>
  <c r="J187" i="12"/>
  <c r="I187" i="12"/>
  <c r="K187" i="12" s="1"/>
  <c r="J186" i="12"/>
  <c r="I186" i="12"/>
  <c r="K186" i="12" s="1"/>
  <c r="J185" i="12"/>
  <c r="I185" i="12"/>
  <c r="K185" i="12" s="1"/>
  <c r="J184" i="12"/>
  <c r="I184" i="12"/>
  <c r="K184" i="12" s="1"/>
  <c r="J183" i="12"/>
  <c r="I183" i="12"/>
  <c r="K183" i="12" s="1"/>
  <c r="L183" i="12" s="1"/>
  <c r="J182" i="12"/>
  <c r="I182" i="12"/>
  <c r="K182" i="12" s="1"/>
  <c r="J181" i="12"/>
  <c r="I181" i="12"/>
  <c r="K181" i="12" s="1"/>
  <c r="J180" i="12"/>
  <c r="I180" i="12"/>
  <c r="K180" i="12" s="1"/>
  <c r="J179" i="12"/>
  <c r="I179" i="12"/>
  <c r="K179" i="12" s="1"/>
  <c r="J178" i="12"/>
  <c r="I178" i="12"/>
  <c r="K178" i="12" s="1"/>
  <c r="L178" i="12" s="1"/>
  <c r="J177" i="12"/>
  <c r="I177" i="12"/>
  <c r="K177" i="12" s="1"/>
  <c r="J176" i="12"/>
  <c r="I176" i="12"/>
  <c r="K176" i="12" s="1"/>
  <c r="J175" i="12"/>
  <c r="I175" i="12"/>
  <c r="K175" i="12" s="1"/>
  <c r="J174" i="12"/>
  <c r="I174" i="12"/>
  <c r="K174" i="12" s="1"/>
  <c r="L174" i="12" s="1"/>
  <c r="J173" i="12"/>
  <c r="I173" i="12"/>
  <c r="K173" i="12" s="1"/>
  <c r="J172" i="12"/>
  <c r="I172" i="12"/>
  <c r="K172" i="12" s="1"/>
  <c r="J171" i="12"/>
  <c r="I171" i="12"/>
  <c r="K171" i="12" s="1"/>
  <c r="J170" i="12"/>
  <c r="I170" i="12"/>
  <c r="K170" i="12" s="1"/>
  <c r="J169" i="12"/>
  <c r="I169" i="12"/>
  <c r="K169" i="12" s="1"/>
  <c r="J168" i="12"/>
  <c r="I168" i="12"/>
  <c r="K168" i="12" s="1"/>
  <c r="J167" i="12"/>
  <c r="I167" i="12"/>
  <c r="K167" i="12" s="1"/>
  <c r="J166" i="12"/>
  <c r="I166" i="12"/>
  <c r="K166" i="12" s="1"/>
  <c r="J165" i="12"/>
  <c r="I165" i="12"/>
  <c r="K165" i="12" s="1"/>
  <c r="J164" i="12"/>
  <c r="I164" i="12"/>
  <c r="K164" i="12" s="1"/>
  <c r="J163" i="12"/>
  <c r="I163" i="12"/>
  <c r="K163" i="12" s="1"/>
  <c r="J162" i="12"/>
  <c r="I162" i="12"/>
  <c r="K162" i="12" s="1"/>
  <c r="J161" i="12"/>
  <c r="I161" i="12"/>
  <c r="K161" i="12" s="1"/>
  <c r="J160" i="12"/>
  <c r="I160" i="12"/>
  <c r="K160" i="12" s="1"/>
  <c r="L160" i="12" s="1"/>
  <c r="J159" i="12"/>
  <c r="I159" i="12"/>
  <c r="K159" i="12" s="1"/>
  <c r="J158" i="12"/>
  <c r="I158" i="12"/>
  <c r="K158" i="12" s="1"/>
  <c r="J157" i="12"/>
  <c r="I157" i="12"/>
  <c r="K157" i="12" s="1"/>
  <c r="J156" i="12"/>
  <c r="I156" i="12"/>
  <c r="K156" i="12" s="1"/>
  <c r="J155" i="12"/>
  <c r="I155" i="12"/>
  <c r="K155" i="12" s="1"/>
  <c r="J154" i="12"/>
  <c r="I154" i="12"/>
  <c r="K154" i="12" s="1"/>
  <c r="J153" i="12"/>
  <c r="I153" i="12"/>
  <c r="K153" i="12" s="1"/>
  <c r="J152" i="12"/>
  <c r="I152" i="12"/>
  <c r="K152" i="12" s="1"/>
  <c r="L152" i="12" s="1"/>
  <c r="J151" i="12"/>
  <c r="I151" i="12"/>
  <c r="K151" i="12" s="1"/>
  <c r="L151" i="12" s="1"/>
  <c r="J150" i="12"/>
  <c r="I150" i="12"/>
  <c r="K150" i="12" s="1"/>
  <c r="J149" i="12"/>
  <c r="I149" i="12"/>
  <c r="K149" i="12" s="1"/>
  <c r="J148" i="12"/>
  <c r="I148" i="12"/>
  <c r="K148" i="12" s="1"/>
  <c r="J147" i="12"/>
  <c r="I147" i="12"/>
  <c r="K147" i="12" s="1"/>
  <c r="L147" i="12" s="1"/>
  <c r="J146" i="12"/>
  <c r="I146" i="12"/>
  <c r="K146" i="12" s="1"/>
  <c r="J145" i="12"/>
  <c r="I145" i="12"/>
  <c r="K145" i="12" s="1"/>
  <c r="J144" i="12"/>
  <c r="I144" i="12"/>
  <c r="K144" i="12" s="1"/>
  <c r="L144" i="12" s="1"/>
  <c r="J143" i="12"/>
  <c r="I143" i="12"/>
  <c r="K143" i="12" s="1"/>
  <c r="L143" i="12" s="1"/>
  <c r="J142" i="12"/>
  <c r="I142" i="12"/>
  <c r="K142" i="12" s="1"/>
  <c r="J141" i="12"/>
  <c r="I141" i="12"/>
  <c r="K141" i="12" s="1"/>
  <c r="J140" i="12"/>
  <c r="I140" i="12"/>
  <c r="K140" i="12" s="1"/>
  <c r="L140" i="12" s="1"/>
  <c r="J139" i="12"/>
  <c r="I139" i="12"/>
  <c r="K139" i="12" s="1"/>
  <c r="J138" i="12"/>
  <c r="I138" i="12"/>
  <c r="K138" i="12" s="1"/>
  <c r="L138" i="12" s="1"/>
  <c r="J137" i="12"/>
  <c r="I137" i="12"/>
  <c r="K137" i="12" s="1"/>
  <c r="J136" i="12"/>
  <c r="I136" i="12"/>
  <c r="K136" i="12" s="1"/>
  <c r="J135" i="12"/>
  <c r="I135" i="12"/>
  <c r="K135" i="12" s="1"/>
  <c r="L135" i="12" s="1"/>
  <c r="J134" i="12"/>
  <c r="I134" i="12"/>
  <c r="K134" i="12" s="1"/>
  <c r="J133" i="12"/>
  <c r="I133" i="12"/>
  <c r="K133" i="12" s="1"/>
  <c r="J132" i="12"/>
  <c r="I132" i="12"/>
  <c r="K132" i="12" s="1"/>
  <c r="J131" i="12"/>
  <c r="I131" i="12"/>
  <c r="K131" i="12" s="1"/>
  <c r="L131" i="12" s="1"/>
  <c r="J130" i="12"/>
  <c r="I130" i="12"/>
  <c r="K130" i="12" s="1"/>
  <c r="J129" i="12"/>
  <c r="I129" i="12"/>
  <c r="K129" i="12" s="1"/>
  <c r="J128" i="12"/>
  <c r="I128" i="12"/>
  <c r="K128" i="12" s="1"/>
  <c r="L128" i="12" s="1"/>
  <c r="J127" i="12"/>
  <c r="I127" i="12"/>
  <c r="K127" i="12" s="1"/>
  <c r="L127" i="12" s="1"/>
  <c r="J126" i="12"/>
  <c r="I126" i="12"/>
  <c r="K126" i="12" s="1"/>
  <c r="J125" i="12"/>
  <c r="I125" i="12"/>
  <c r="K125" i="12" s="1"/>
  <c r="J124" i="12"/>
  <c r="I124" i="12"/>
  <c r="K124" i="12" s="1"/>
  <c r="L124" i="12" s="1"/>
  <c r="J123" i="12"/>
  <c r="I123" i="12"/>
  <c r="K123" i="12" s="1"/>
  <c r="L123" i="12" s="1"/>
  <c r="J122" i="12"/>
  <c r="I122" i="12"/>
  <c r="K122" i="12" s="1"/>
  <c r="J121" i="12"/>
  <c r="I121" i="12"/>
  <c r="K121" i="12" s="1"/>
  <c r="J120" i="12"/>
  <c r="I120" i="12"/>
  <c r="K120" i="12" s="1"/>
  <c r="J119" i="12"/>
  <c r="I119" i="12"/>
  <c r="K119" i="12" s="1"/>
  <c r="L119" i="12" s="1"/>
  <c r="J118" i="12"/>
  <c r="I118" i="12"/>
  <c r="K118" i="12" s="1"/>
  <c r="J117" i="12"/>
  <c r="I117" i="12"/>
  <c r="K117" i="12" s="1"/>
  <c r="J116" i="12"/>
  <c r="I116" i="12"/>
  <c r="K116" i="12" s="1"/>
  <c r="J115" i="12"/>
  <c r="I115" i="12"/>
  <c r="K115" i="12" s="1"/>
  <c r="L115" i="12" s="1"/>
  <c r="J114" i="12"/>
  <c r="I114" i="12"/>
  <c r="K114" i="12" s="1"/>
  <c r="L114" i="12" s="1"/>
  <c r="J113" i="12"/>
  <c r="I113" i="12"/>
  <c r="K113" i="12" s="1"/>
  <c r="J112" i="12"/>
  <c r="I112" i="12"/>
  <c r="K112" i="12" s="1"/>
  <c r="L112" i="12" s="1"/>
  <c r="J111" i="12"/>
  <c r="I111" i="12"/>
  <c r="K111" i="12" s="1"/>
  <c r="L111" i="12" s="1"/>
  <c r="J110" i="12"/>
  <c r="I110" i="12"/>
  <c r="K110" i="12" s="1"/>
  <c r="L110" i="12" s="1"/>
  <c r="J109" i="12"/>
  <c r="I109" i="12"/>
  <c r="K109" i="12" s="1"/>
  <c r="J108" i="12"/>
  <c r="I108" i="12"/>
  <c r="K108" i="12" s="1"/>
  <c r="L108" i="12" s="1"/>
  <c r="J107" i="12"/>
  <c r="I107" i="12"/>
  <c r="K107" i="12" s="1"/>
  <c r="L107" i="12" s="1"/>
  <c r="J106" i="12"/>
  <c r="I106" i="12"/>
  <c r="K106" i="12" s="1"/>
  <c r="J105" i="12"/>
  <c r="I105" i="12"/>
  <c r="K105" i="12" s="1"/>
  <c r="J104" i="12"/>
  <c r="I104" i="12"/>
  <c r="K104" i="12" s="1"/>
  <c r="J103" i="12"/>
  <c r="I103" i="12"/>
  <c r="K103" i="12" s="1"/>
  <c r="J102" i="12"/>
  <c r="I102" i="12"/>
  <c r="K102" i="12" s="1"/>
  <c r="J101" i="12"/>
  <c r="I101" i="12"/>
  <c r="K101" i="12" s="1"/>
  <c r="J100" i="12"/>
  <c r="I100" i="12"/>
  <c r="K100" i="12" s="1"/>
  <c r="J99" i="12"/>
  <c r="I99" i="12"/>
  <c r="K99" i="12" s="1"/>
  <c r="J98" i="12"/>
  <c r="I98" i="12"/>
  <c r="K98" i="12" s="1"/>
  <c r="L98" i="12" s="1"/>
  <c r="J97" i="12"/>
  <c r="I97" i="12"/>
  <c r="K97" i="12" s="1"/>
  <c r="J96" i="12"/>
  <c r="I96" i="12"/>
  <c r="K96" i="12" s="1"/>
  <c r="J95" i="12"/>
  <c r="I95" i="12"/>
  <c r="K95" i="12" s="1"/>
  <c r="J94" i="12"/>
  <c r="I94" i="12"/>
  <c r="K94" i="12" s="1"/>
  <c r="L94" i="12" s="1"/>
  <c r="J93" i="12"/>
  <c r="I93" i="12"/>
  <c r="K93" i="12" s="1"/>
  <c r="J92" i="12"/>
  <c r="I92" i="12"/>
  <c r="K92" i="12" s="1"/>
  <c r="J91" i="12"/>
  <c r="I91" i="12"/>
  <c r="K91" i="12" s="1"/>
  <c r="J90" i="12"/>
  <c r="I90" i="12"/>
  <c r="K90" i="12" s="1"/>
  <c r="J89" i="12"/>
  <c r="I89" i="12"/>
  <c r="K89" i="12" s="1"/>
  <c r="J88" i="12"/>
  <c r="I88" i="12"/>
  <c r="K88" i="12" s="1"/>
  <c r="L88" i="12" s="1"/>
  <c r="J87" i="12"/>
  <c r="I87" i="12"/>
  <c r="K87" i="12" s="1"/>
  <c r="J86" i="12"/>
  <c r="I86" i="12"/>
  <c r="K86" i="12" s="1"/>
  <c r="L86" i="12" s="1"/>
  <c r="J85" i="12"/>
  <c r="I85" i="12"/>
  <c r="K85" i="12" s="1"/>
  <c r="J84" i="12"/>
  <c r="I84" i="12"/>
  <c r="K84" i="12" s="1"/>
  <c r="L84" i="12" s="1"/>
  <c r="J83" i="12"/>
  <c r="I83" i="12"/>
  <c r="K83" i="12" s="1"/>
  <c r="J82" i="12"/>
  <c r="I82" i="12"/>
  <c r="K82" i="12" s="1"/>
  <c r="L82" i="12" s="1"/>
  <c r="J81" i="12"/>
  <c r="I81" i="12"/>
  <c r="K81" i="12" s="1"/>
  <c r="J80" i="12"/>
  <c r="I80" i="12"/>
  <c r="K80" i="12" s="1"/>
  <c r="J79" i="12"/>
  <c r="I79" i="12"/>
  <c r="K79" i="12" s="1"/>
  <c r="J78" i="12"/>
  <c r="I78" i="12"/>
  <c r="K78" i="12" s="1"/>
  <c r="L78" i="12" s="1"/>
  <c r="V80" i="12" s="1"/>
  <c r="J77" i="12"/>
  <c r="I77" i="12"/>
  <c r="K77" i="12" s="1"/>
  <c r="J76" i="12"/>
  <c r="I76" i="12"/>
  <c r="K76" i="12" s="1"/>
  <c r="J75" i="12"/>
  <c r="I75" i="12"/>
  <c r="K75" i="12" s="1"/>
  <c r="J74" i="12"/>
  <c r="I74" i="12"/>
  <c r="K74" i="12" s="1"/>
  <c r="L74" i="12" s="1"/>
  <c r="J73" i="12"/>
  <c r="I73" i="12"/>
  <c r="K73" i="12" s="1"/>
  <c r="J72" i="12"/>
  <c r="I72" i="12"/>
  <c r="K72" i="12" s="1"/>
  <c r="J71" i="12"/>
  <c r="I71" i="12"/>
  <c r="K71" i="12" s="1"/>
  <c r="J70" i="12"/>
  <c r="I70" i="12"/>
  <c r="K70" i="12" s="1"/>
  <c r="L70" i="12" s="1"/>
  <c r="V72" i="12" s="1"/>
  <c r="J69" i="12"/>
  <c r="I69" i="12"/>
  <c r="K69" i="12" s="1"/>
  <c r="J68" i="12"/>
  <c r="I68" i="12"/>
  <c r="K68" i="12" s="1"/>
  <c r="J67" i="12"/>
  <c r="I67" i="12"/>
  <c r="K67" i="12" s="1"/>
  <c r="J66" i="12"/>
  <c r="I66" i="12"/>
  <c r="K66" i="12" s="1"/>
  <c r="L66" i="12" s="1"/>
  <c r="J65" i="12"/>
  <c r="I65" i="12"/>
  <c r="K65" i="12" s="1"/>
  <c r="J64" i="12"/>
  <c r="I64" i="12"/>
  <c r="K64" i="12" s="1"/>
  <c r="L64" i="12" s="1"/>
  <c r="J63" i="12"/>
  <c r="I63" i="12"/>
  <c r="K63" i="12" s="1"/>
  <c r="L63" i="12" s="1"/>
  <c r="V65" i="12" s="1"/>
  <c r="J62" i="12"/>
  <c r="I62" i="12"/>
  <c r="K62" i="12" s="1"/>
  <c r="L62" i="12" s="1"/>
  <c r="J61" i="12"/>
  <c r="I61" i="12"/>
  <c r="K61" i="12" s="1"/>
  <c r="J60" i="12"/>
  <c r="I60" i="12"/>
  <c r="K60" i="12" s="1"/>
  <c r="L60" i="12" s="1"/>
  <c r="J59" i="12"/>
  <c r="I59" i="12"/>
  <c r="K59" i="12" s="1"/>
  <c r="L59" i="12" s="1"/>
  <c r="J58" i="12"/>
  <c r="I58" i="12"/>
  <c r="K58" i="12" s="1"/>
  <c r="L58" i="12" s="1"/>
  <c r="J57" i="12"/>
  <c r="I57" i="12"/>
  <c r="K57" i="12" s="1"/>
  <c r="J56" i="12"/>
  <c r="I56" i="12"/>
  <c r="K56" i="12" s="1"/>
  <c r="L56" i="12" s="1"/>
  <c r="J55" i="12"/>
  <c r="I55" i="12"/>
  <c r="K55" i="12" s="1"/>
  <c r="L55" i="12" s="1"/>
  <c r="J54" i="12"/>
  <c r="I54" i="12"/>
  <c r="K54" i="12" s="1"/>
  <c r="L54" i="12" s="1"/>
  <c r="J53" i="12"/>
  <c r="I53" i="12"/>
  <c r="K53" i="12" s="1"/>
  <c r="J52" i="12"/>
  <c r="I52" i="12"/>
  <c r="K52" i="12" s="1"/>
  <c r="J51" i="12"/>
  <c r="I51" i="12"/>
  <c r="K51" i="12" s="1"/>
  <c r="J50" i="12"/>
  <c r="I50" i="12"/>
  <c r="K50" i="12" s="1"/>
  <c r="L50" i="12" s="1"/>
  <c r="J49" i="12"/>
  <c r="I49" i="12"/>
  <c r="K49" i="12" s="1"/>
  <c r="J48" i="12"/>
  <c r="I48" i="12"/>
  <c r="K48" i="12" s="1"/>
  <c r="J47" i="12"/>
  <c r="I47" i="12"/>
  <c r="K47" i="12" s="1"/>
  <c r="J46" i="12"/>
  <c r="I46" i="12"/>
  <c r="K46" i="12" s="1"/>
  <c r="L46" i="12" s="1"/>
  <c r="J45" i="12"/>
  <c r="I45" i="12"/>
  <c r="K45" i="12" s="1"/>
  <c r="J44" i="12"/>
  <c r="I44" i="12"/>
  <c r="K44" i="12" s="1"/>
  <c r="J43" i="12"/>
  <c r="I43" i="12"/>
  <c r="K43" i="12" s="1"/>
  <c r="J42" i="12"/>
  <c r="I42" i="12"/>
  <c r="K42" i="12" s="1"/>
  <c r="J41" i="12"/>
  <c r="I41" i="12"/>
  <c r="K41" i="12" s="1"/>
  <c r="J40" i="12"/>
  <c r="I40" i="12"/>
  <c r="K40" i="12" s="1"/>
  <c r="J39" i="12"/>
  <c r="I39" i="12"/>
  <c r="K39" i="12" s="1"/>
  <c r="J38" i="12"/>
  <c r="I38" i="12"/>
  <c r="K38" i="12" s="1"/>
  <c r="J37" i="12"/>
  <c r="I37" i="12"/>
  <c r="K37" i="12" s="1"/>
  <c r="J36" i="12"/>
  <c r="I36" i="12"/>
  <c r="K36" i="12" s="1"/>
  <c r="J35" i="12"/>
  <c r="I35" i="12"/>
  <c r="K35" i="12" s="1"/>
  <c r="J34" i="12"/>
  <c r="I34" i="12"/>
  <c r="K34" i="12" s="1"/>
  <c r="L34" i="12" s="1"/>
  <c r="J33" i="12"/>
  <c r="I33" i="12"/>
  <c r="K33" i="12" s="1"/>
  <c r="J32" i="12"/>
  <c r="I32" i="12"/>
  <c r="K32" i="12" s="1"/>
  <c r="J31" i="12"/>
  <c r="I31" i="12"/>
  <c r="K31" i="12" s="1"/>
  <c r="J30" i="12"/>
  <c r="I30" i="12"/>
  <c r="K30" i="12" s="1"/>
  <c r="L30" i="12" s="1"/>
  <c r="J29" i="12"/>
  <c r="I29" i="12"/>
  <c r="K29" i="12" s="1"/>
  <c r="J28" i="12"/>
  <c r="I28" i="12"/>
  <c r="K28" i="12" s="1"/>
  <c r="J27" i="12"/>
  <c r="I27" i="12"/>
  <c r="K27" i="12" s="1"/>
  <c r="J26" i="12"/>
  <c r="I26" i="12"/>
  <c r="K26" i="12" s="1"/>
  <c r="J25" i="12"/>
  <c r="I25" i="12"/>
  <c r="K25" i="12" s="1"/>
  <c r="J24" i="12"/>
  <c r="I24" i="12"/>
  <c r="K24" i="12" s="1"/>
  <c r="J23" i="12"/>
  <c r="I23" i="12"/>
  <c r="K23" i="12" s="1"/>
  <c r="J22" i="12"/>
  <c r="I22" i="12"/>
  <c r="K22" i="12" s="1"/>
  <c r="L22" i="12" s="1"/>
  <c r="J21" i="12"/>
  <c r="I21" i="12"/>
  <c r="K21" i="12" s="1"/>
  <c r="J20" i="12"/>
  <c r="I20" i="12"/>
  <c r="K20" i="12" s="1"/>
  <c r="J19" i="12"/>
  <c r="I19" i="12"/>
  <c r="K19" i="12" s="1"/>
  <c r="J18" i="12"/>
  <c r="I18" i="12"/>
  <c r="K18" i="12" s="1"/>
  <c r="J17" i="12"/>
  <c r="I17" i="12"/>
  <c r="K17" i="12" s="1"/>
  <c r="J16" i="12"/>
  <c r="I16" i="12"/>
  <c r="K16" i="12" s="1"/>
  <c r="J15" i="12"/>
  <c r="I15" i="12"/>
  <c r="K15" i="12" s="1"/>
  <c r="J14" i="12"/>
  <c r="I14" i="12"/>
  <c r="K14" i="12" s="1"/>
  <c r="L14" i="12" s="1"/>
  <c r="J13" i="12"/>
  <c r="I13" i="12"/>
  <c r="K13" i="12" s="1"/>
  <c r="J12" i="12"/>
  <c r="I12" i="12"/>
  <c r="K12" i="12" s="1"/>
  <c r="J11" i="12"/>
  <c r="I11" i="12"/>
  <c r="K11" i="12" s="1"/>
  <c r="J10" i="12"/>
  <c r="I10" i="12"/>
  <c r="K10" i="12" s="1"/>
  <c r="J9" i="12"/>
  <c r="I9" i="12"/>
  <c r="K9" i="12" s="1"/>
  <c r="J8" i="12"/>
  <c r="I8" i="12"/>
  <c r="K8" i="12" s="1"/>
  <c r="J7" i="12"/>
  <c r="I7" i="12"/>
  <c r="K7" i="12" s="1"/>
  <c r="J6" i="12"/>
  <c r="I6" i="12"/>
  <c r="K6" i="12" s="1"/>
  <c r="L6" i="12" s="1"/>
  <c r="J5" i="12"/>
  <c r="I5" i="12"/>
  <c r="K5" i="12" s="1"/>
  <c r="J4" i="12"/>
  <c r="I4" i="12"/>
  <c r="K4" i="12" s="1"/>
  <c r="J3" i="12"/>
  <c r="I3" i="12"/>
  <c r="K3" i="12" s="1"/>
  <c r="J2" i="12"/>
  <c r="I2" i="12"/>
  <c r="K2" i="12" s="1"/>
  <c r="L2" i="12" s="1"/>
  <c r="L320" i="13" l="1"/>
  <c r="N5" i="15"/>
  <c r="M185" i="15"/>
  <c r="M169" i="15"/>
  <c r="M273" i="15"/>
  <c r="M257" i="15"/>
  <c r="M205" i="15"/>
  <c r="M293" i="15"/>
  <c r="M228" i="15"/>
  <c r="M157" i="15"/>
  <c r="M248" i="15"/>
  <c r="M216" i="15"/>
  <c r="M316" i="15"/>
  <c r="M236" i="15"/>
  <c r="M173" i="15"/>
  <c r="M134" i="15"/>
  <c r="M68" i="15"/>
  <c r="M101" i="15"/>
  <c r="M224" i="15"/>
  <c r="M252" i="15"/>
  <c r="M240" i="15"/>
  <c r="M154" i="15"/>
  <c r="M285" i="15"/>
  <c r="M244" i="15"/>
  <c r="M212" i="15"/>
  <c r="M189" i="15"/>
  <c r="M180" i="15"/>
  <c r="M150" i="15"/>
  <c r="M110" i="15"/>
  <c r="M100" i="15"/>
  <c r="M122" i="15"/>
  <c r="M232" i="15"/>
  <c r="M268" i="15"/>
  <c r="M220" i="15"/>
  <c r="M29" i="15"/>
  <c r="M25" i="15"/>
  <c r="M89" i="15"/>
  <c r="M171" i="15"/>
  <c r="M48" i="15"/>
  <c r="M187" i="15"/>
  <c r="M35" i="15"/>
  <c r="M126" i="15"/>
  <c r="M40" i="15"/>
  <c r="M27" i="15"/>
  <c r="M20" i="15"/>
  <c r="M52" i="15"/>
  <c r="M81" i="15"/>
  <c r="M275" i="15"/>
  <c r="M123" i="15"/>
  <c r="M230" i="15"/>
  <c r="M304" i="15"/>
  <c r="M132" i="15"/>
  <c r="M201" i="15"/>
  <c r="M272" i="15"/>
  <c r="M300" i="15"/>
  <c r="M115" i="15"/>
  <c r="M207" i="15"/>
  <c r="M308" i="15"/>
  <c r="M124" i="15"/>
  <c r="M234" i="15"/>
  <c r="M62" i="15"/>
  <c r="M176" i="15"/>
  <c r="M264" i="15"/>
  <c r="M235" i="15"/>
  <c r="M278" i="15"/>
  <c r="M306" i="15"/>
  <c r="M321" i="15"/>
  <c r="M313" i="15"/>
  <c r="M21" i="15"/>
  <c r="M51" i="15"/>
  <c r="M203" i="15"/>
  <c r="M65" i="15"/>
  <c r="M6" i="15"/>
  <c r="M146" i="15"/>
  <c r="M14" i="15"/>
  <c r="M99" i="15"/>
  <c r="M43" i="15"/>
  <c r="M23" i="15"/>
  <c r="M55" i="15"/>
  <c r="M83" i="15"/>
  <c r="M155" i="15"/>
  <c r="M82" i="15"/>
  <c r="M153" i="15"/>
  <c r="M210" i="15"/>
  <c r="M289" i="15"/>
  <c r="M127" i="15"/>
  <c r="M213" i="15"/>
  <c r="M177" i="15"/>
  <c r="M139" i="15"/>
  <c r="M243" i="15"/>
  <c r="M87" i="15"/>
  <c r="M193" i="15"/>
  <c r="M280" i="15"/>
  <c r="M161" i="15"/>
  <c r="M135" i="15"/>
  <c r="M249" i="15"/>
  <c r="M283" i="15"/>
  <c r="M258" i="15"/>
  <c r="M254" i="15"/>
  <c r="M322" i="15"/>
  <c r="M37" i="15"/>
  <c r="M57" i="15"/>
  <c r="M79" i="15"/>
  <c r="M64" i="15"/>
  <c r="M61" i="15"/>
  <c r="M76" i="15"/>
  <c r="M30" i="15"/>
  <c r="M38" i="15"/>
  <c r="M106" i="15"/>
  <c r="M3" i="15"/>
  <c r="M28" i="15"/>
  <c r="M60" i="15"/>
  <c r="M113" i="15"/>
  <c r="M183" i="15"/>
  <c r="M143" i="15"/>
  <c r="M253" i="15"/>
  <c r="M182" i="15"/>
  <c r="M156" i="15"/>
  <c r="M219" i="15"/>
  <c r="M305" i="15"/>
  <c r="M158" i="15"/>
  <c r="M222" i="15"/>
  <c r="M206" i="15"/>
  <c r="M261" i="15"/>
  <c r="M96" i="15"/>
  <c r="M199" i="15"/>
  <c r="M287" i="15"/>
  <c r="M209" i="15"/>
  <c r="M147" i="15"/>
  <c r="M265" i="15"/>
  <c r="M286" i="15"/>
  <c r="M274" i="15"/>
  <c r="M270" i="15"/>
  <c r="M178" i="15"/>
  <c r="M22" i="15"/>
  <c r="M148" i="15"/>
  <c r="M247" i="15"/>
  <c r="M233" i="15"/>
  <c r="M320" i="15"/>
  <c r="M151" i="15"/>
  <c r="M238" i="15"/>
  <c r="M179" i="15"/>
  <c r="M202" i="15"/>
  <c r="M314" i="15"/>
  <c r="M281" i="15"/>
  <c r="M303" i="15"/>
  <c r="M282" i="15"/>
  <c r="M108" i="15"/>
  <c r="M312" i="15"/>
  <c r="M309" i="15"/>
  <c r="M266" i="15"/>
  <c r="M7" i="15"/>
  <c r="M11" i="15"/>
  <c r="M44" i="15"/>
  <c r="M288" i="15"/>
  <c r="M256" i="15"/>
  <c r="M276" i="15"/>
  <c r="M217" i="15"/>
  <c r="M298" i="15"/>
  <c r="M5" i="15"/>
  <c r="M121" i="15"/>
  <c r="M63" i="15"/>
  <c r="M15" i="15"/>
  <c r="M196" i="15"/>
  <c r="M295" i="15"/>
  <c r="M267" i="15"/>
  <c r="M292" i="15"/>
  <c r="M186" i="15"/>
  <c r="M259" i="15"/>
  <c r="M315" i="15"/>
  <c r="M41" i="15"/>
  <c r="M239" i="15"/>
  <c r="M191" i="15"/>
  <c r="M159" i="15"/>
  <c r="M231" i="15"/>
  <c r="M107" i="15"/>
  <c r="M296" i="15"/>
  <c r="M291" i="15"/>
  <c r="M194" i="15"/>
  <c r="M245" i="15"/>
  <c r="M302" i="15"/>
  <c r="M17" i="15"/>
  <c r="M18" i="15"/>
  <c r="M102" i="15"/>
  <c r="M70" i="15"/>
  <c r="M237" i="15"/>
  <c r="M310" i="15"/>
  <c r="M34" i="15"/>
  <c r="M47" i="15"/>
  <c r="M192" i="15"/>
  <c r="M174" i="15"/>
  <c r="M297" i="15"/>
  <c r="M92" i="15"/>
  <c r="M144" i="15"/>
  <c r="M299" i="15"/>
  <c r="M294" i="15"/>
  <c r="M301" i="15"/>
  <c r="M19" i="15"/>
  <c r="M73" i="15"/>
  <c r="M97" i="15"/>
  <c r="M72" i="15"/>
  <c r="M175" i="15"/>
  <c r="M211" i="15"/>
  <c r="M262" i="15"/>
  <c r="M77" i="15"/>
  <c r="M226" i="15"/>
  <c r="M53" i="15"/>
  <c r="M13" i="15"/>
  <c r="M93" i="15"/>
  <c r="M4" i="15"/>
  <c r="M59" i="15"/>
  <c r="M50" i="15"/>
  <c r="M114" i="15"/>
  <c r="M130" i="15"/>
  <c r="M46" i="15"/>
  <c r="M31" i="15"/>
  <c r="M118" i="15"/>
  <c r="M218" i="15"/>
  <c r="M263" i="15"/>
  <c r="M197" i="15"/>
  <c r="M277" i="15"/>
  <c r="M152" i="15"/>
  <c r="M120" i="15"/>
  <c r="M290" i="15"/>
  <c r="M311" i="15"/>
  <c r="M142" i="15"/>
  <c r="M109" i="15"/>
  <c r="M12" i="15"/>
  <c r="M200" i="15"/>
  <c r="M215" i="15"/>
  <c r="M165" i="15"/>
  <c r="M317" i="15"/>
  <c r="M195" i="15"/>
  <c r="M246" i="15"/>
  <c r="M33" i="15"/>
  <c r="M49" i="15"/>
  <c r="M98" i="15"/>
  <c r="M26" i="15"/>
  <c r="M84" i="15"/>
  <c r="M2" i="15"/>
  <c r="M129" i="15"/>
  <c r="M71" i="15"/>
  <c r="M42" i="15"/>
  <c r="M75" i="15"/>
  <c r="M54" i="15"/>
  <c r="M36" i="15"/>
  <c r="M66" i="15"/>
  <c r="M138" i="15"/>
  <c r="M250" i="15"/>
  <c r="M269" i="15"/>
  <c r="M284" i="15"/>
  <c r="M167" i="15"/>
  <c r="M242" i="15"/>
  <c r="M112" i="15"/>
  <c r="M227" i="15"/>
  <c r="M162" i="15"/>
  <c r="M184" i="15"/>
  <c r="M214" i="15"/>
  <c r="M168" i="15"/>
  <c r="M67" i="15"/>
  <c r="M86" i="15"/>
  <c r="M188" i="15"/>
  <c r="M164" i="15"/>
  <c r="M119" i="15"/>
  <c r="M111" i="15"/>
  <c r="M103" i="15"/>
  <c r="M307" i="15"/>
  <c r="M45" i="15"/>
  <c r="M9" i="15"/>
  <c r="M105" i="15"/>
  <c r="M163" i="15"/>
  <c r="M91" i="15"/>
  <c r="M10" i="15"/>
  <c r="M90" i="15"/>
  <c r="M125" i="15"/>
  <c r="M74" i="15"/>
  <c r="M85" i="15"/>
  <c r="M39" i="15"/>
  <c r="M133" i="15"/>
  <c r="M69" i="15"/>
  <c r="M172" i="15"/>
  <c r="M279" i="15"/>
  <c r="M95" i="15"/>
  <c r="M170" i="15"/>
  <c r="M251" i="15"/>
  <c r="M131" i="15"/>
  <c r="M241" i="15"/>
  <c r="M181" i="15"/>
  <c r="M260" i="15"/>
  <c r="M204" i="15"/>
  <c r="M88" i="15"/>
  <c r="M223" i="15"/>
  <c r="M140" i="15"/>
  <c r="M208" i="15"/>
  <c r="M318" i="15"/>
  <c r="M117" i="15"/>
  <c r="M160" i="15"/>
  <c r="M190" i="15"/>
  <c r="M94" i="15"/>
  <c r="M319" i="15"/>
  <c r="M137" i="15"/>
  <c r="M58" i="15"/>
  <c r="M221" i="15"/>
  <c r="M229" i="15"/>
  <c r="M225" i="15"/>
  <c r="M141" i="15"/>
  <c r="M166" i="15"/>
  <c r="M255" i="15"/>
  <c r="M16" i="15"/>
  <c r="M56" i="15"/>
  <c r="M80" i="15"/>
  <c r="M145" i="15"/>
  <c r="M149" i="15"/>
  <c r="M198" i="15"/>
  <c r="M78" i="15"/>
  <c r="M128" i="15"/>
  <c r="M116" i="15"/>
  <c r="M24" i="15"/>
  <c r="M32" i="15"/>
  <c r="M8" i="15"/>
  <c r="M136" i="15"/>
  <c r="M104" i="15"/>
  <c r="M271" i="15"/>
  <c r="L19" i="13"/>
  <c r="L23" i="13"/>
  <c r="L27" i="13"/>
  <c r="L31" i="13"/>
  <c r="L59" i="13"/>
  <c r="L63" i="13"/>
  <c r="L67" i="13"/>
  <c r="V69" i="13" s="1"/>
  <c r="L71" i="13"/>
  <c r="V73" i="13" s="1"/>
  <c r="L75" i="13"/>
  <c r="L83" i="13"/>
  <c r="L87" i="13"/>
  <c r="L95" i="13"/>
  <c r="L99" i="13"/>
  <c r="L103" i="13"/>
  <c r="L107" i="13"/>
  <c r="L111" i="13"/>
  <c r="L119" i="13"/>
  <c r="L127" i="13"/>
  <c r="L131" i="13"/>
  <c r="L187" i="13"/>
  <c r="L195" i="13"/>
  <c r="L199" i="13"/>
  <c r="L203" i="13"/>
  <c r="L16" i="13"/>
  <c r="L24" i="13"/>
  <c r="L32" i="13"/>
  <c r="L40" i="13"/>
  <c r="L44" i="13"/>
  <c r="L48" i="13"/>
  <c r="L52" i="13"/>
  <c r="L64" i="13"/>
  <c r="V66" i="13" s="1"/>
  <c r="L100" i="13"/>
  <c r="L120" i="13"/>
  <c r="L128" i="13"/>
  <c r="L132" i="13"/>
  <c r="L136" i="13"/>
  <c r="L140" i="13"/>
  <c r="L144" i="13"/>
  <c r="L148" i="13"/>
  <c r="L152" i="13"/>
  <c r="L156" i="13"/>
  <c r="L160" i="13"/>
  <c r="L168" i="13"/>
  <c r="L61" i="13"/>
  <c r="L65" i="13"/>
  <c r="V67" i="13" s="1"/>
  <c r="L77" i="13"/>
  <c r="V79" i="13" s="1"/>
  <c r="L81" i="13"/>
  <c r="V83" i="13" s="1"/>
  <c r="L89" i="13"/>
  <c r="L93" i="13"/>
  <c r="L105" i="13"/>
  <c r="L322" i="13"/>
  <c r="L3" i="12"/>
  <c r="L39" i="12"/>
  <c r="L47" i="12"/>
  <c r="L4" i="12"/>
  <c r="L8" i="12"/>
  <c r="L16" i="12"/>
  <c r="L24" i="12"/>
  <c r="L32" i="12"/>
  <c r="L36" i="12"/>
  <c r="L40" i="12"/>
  <c r="L44" i="12"/>
  <c r="L48" i="12"/>
  <c r="L322" i="12"/>
  <c r="N5" i="14"/>
  <c r="N2" i="14"/>
  <c r="L52" i="12"/>
  <c r="L321" i="12"/>
  <c r="L73" i="12"/>
  <c r="V75" i="12" s="1"/>
  <c r="L77" i="12"/>
  <c r="V79" i="12" s="1"/>
  <c r="L85" i="12"/>
  <c r="L89" i="12"/>
  <c r="L93" i="12"/>
  <c r="L101" i="12"/>
  <c r="L109" i="12"/>
  <c r="L113" i="12"/>
  <c r="L125" i="12"/>
  <c r="L161" i="12"/>
  <c r="L165" i="12"/>
  <c r="L169" i="12"/>
  <c r="L173" i="12"/>
  <c r="L189" i="12"/>
  <c r="L197" i="12"/>
  <c r="L205" i="12"/>
  <c r="L229" i="12"/>
  <c r="L277" i="12"/>
  <c r="L281" i="12"/>
  <c r="L285" i="12"/>
  <c r="L293" i="12"/>
  <c r="L297" i="12"/>
  <c r="L301" i="12"/>
  <c r="L309" i="12"/>
  <c r="V91" i="12" s="1"/>
  <c r="L318" i="12"/>
  <c r="L314" i="12"/>
  <c r="V96" i="12" s="1"/>
  <c r="L320" i="12"/>
  <c r="V102" i="12" s="1"/>
  <c r="L317" i="12"/>
  <c r="V99" i="12" s="1"/>
  <c r="L142" i="12"/>
  <c r="L146" i="12"/>
  <c r="L158" i="12"/>
  <c r="L181" i="12"/>
  <c r="L185" i="12"/>
  <c r="L51" i="12"/>
  <c r="L155" i="12"/>
  <c r="L182" i="12"/>
  <c r="L92" i="12"/>
  <c r="L100" i="12"/>
  <c r="L104" i="12"/>
  <c r="L163" i="12"/>
  <c r="L167" i="12"/>
  <c r="L171" i="12"/>
  <c r="L175" i="12"/>
  <c r="L179" i="12"/>
  <c r="L194" i="12"/>
  <c r="L234" i="12"/>
  <c r="L242" i="12"/>
  <c r="L246" i="12"/>
  <c r="L258" i="12"/>
  <c r="L262" i="12"/>
  <c r="L266" i="12"/>
  <c r="L274" i="12"/>
  <c r="L278" i="12"/>
  <c r="L282" i="12"/>
  <c r="L290" i="12"/>
  <c r="L294" i="12"/>
  <c r="L298" i="12"/>
  <c r="L319" i="12"/>
  <c r="V101" i="12" s="1"/>
  <c r="L316" i="12"/>
  <c r="V98" i="12" s="1"/>
  <c r="L53" i="12"/>
  <c r="L187" i="12"/>
  <c r="L90" i="12"/>
  <c r="L221" i="12"/>
  <c r="L232" i="12"/>
  <c r="L279" i="12"/>
  <c r="L287" i="12"/>
  <c r="L315" i="12"/>
  <c r="V97" i="12" s="1"/>
  <c r="L102" i="12"/>
  <c r="L180" i="12"/>
  <c r="L68" i="12"/>
  <c r="V70" i="12" s="1"/>
  <c r="L75" i="12"/>
  <c r="V77" i="12" s="1"/>
  <c r="L79" i="12"/>
  <c r="V81" i="12" s="1"/>
  <c r="L83" i="12"/>
  <c r="L87" i="12"/>
  <c r="L118" i="12"/>
  <c r="L122" i="12"/>
  <c r="L126" i="12"/>
  <c r="L130" i="12"/>
  <c r="L137" i="12"/>
  <c r="L198" i="12"/>
  <c r="L210" i="12"/>
  <c r="L214" i="12"/>
  <c r="L218" i="12"/>
  <c r="L226" i="12"/>
  <c r="L233" i="12"/>
  <c r="L284" i="12"/>
  <c r="L288" i="12"/>
  <c r="L292" i="12"/>
  <c r="L296" i="12"/>
  <c r="L5" i="12"/>
  <c r="L9" i="12"/>
  <c r="L13" i="12"/>
  <c r="L17" i="12"/>
  <c r="L21" i="12"/>
  <c r="L25" i="12"/>
  <c r="L29" i="12"/>
  <c r="L33" i="12"/>
  <c r="L45" i="12"/>
  <c r="L95" i="12"/>
  <c r="L103" i="12"/>
  <c r="L134" i="12"/>
  <c r="L164" i="12"/>
  <c r="L168" i="12"/>
  <c r="L176" i="12"/>
  <c r="L230" i="12"/>
  <c r="L237" i="12"/>
  <c r="L245" i="12"/>
  <c r="L253" i="12"/>
  <c r="L269" i="12"/>
  <c r="L300" i="12"/>
  <c r="L304" i="12"/>
  <c r="V86" i="12" s="1"/>
  <c r="L308" i="12"/>
  <c r="V90" i="12" s="1"/>
  <c r="L312" i="12"/>
  <c r="V94" i="12" s="1"/>
  <c r="L18" i="13"/>
  <c r="L22" i="13"/>
  <c r="L26" i="13"/>
  <c r="L30" i="13"/>
  <c r="L34" i="13"/>
  <c r="L38" i="13"/>
  <c r="L189" i="13"/>
  <c r="L193" i="13"/>
  <c r="L197" i="13"/>
  <c r="L205" i="13"/>
  <c r="L209" i="13"/>
  <c r="L288" i="13"/>
  <c r="L292" i="13"/>
  <c r="L296" i="13"/>
  <c r="L304" i="13"/>
  <c r="V86" i="13" s="1"/>
  <c r="L312" i="13"/>
  <c r="V94" i="13" s="1"/>
  <c r="L316" i="13"/>
  <c r="V98" i="13" s="1"/>
  <c r="L58" i="13"/>
  <c r="L62" i="13"/>
  <c r="V64" i="13" s="1"/>
  <c r="L70" i="13"/>
  <c r="V72" i="13" s="1"/>
  <c r="L102" i="13"/>
  <c r="L106" i="13"/>
  <c r="L134" i="13"/>
  <c r="L138" i="13"/>
  <c r="L154" i="13"/>
  <c r="L158" i="13"/>
  <c r="L162" i="13"/>
  <c r="L174" i="13"/>
  <c r="L182" i="13"/>
  <c r="L237" i="13"/>
  <c r="L241" i="13"/>
  <c r="L176" i="13"/>
  <c r="L239" i="13"/>
  <c r="L243" i="13"/>
  <c r="L29" i="13"/>
  <c r="L33" i="13"/>
  <c r="L37" i="13"/>
  <c r="L192" i="13"/>
  <c r="L196" i="13"/>
  <c r="L204" i="13"/>
  <c r="L208" i="13"/>
  <c r="L212" i="13"/>
  <c r="L216" i="13"/>
  <c r="L228" i="13"/>
  <c r="L232" i="13"/>
  <c r="L255" i="13"/>
  <c r="L259" i="13"/>
  <c r="L263" i="13"/>
  <c r="L267" i="13"/>
  <c r="L271" i="13"/>
  <c r="L275" i="13"/>
  <c r="L279" i="13"/>
  <c r="L283" i="13"/>
  <c r="L287" i="13"/>
  <c r="L121" i="13"/>
  <c r="L125" i="13"/>
  <c r="L240" i="13"/>
  <c r="L244" i="13"/>
  <c r="L321" i="13"/>
  <c r="V103" i="13" s="1"/>
  <c r="L2" i="13"/>
  <c r="L6" i="13"/>
  <c r="L10" i="13"/>
  <c r="L53" i="13"/>
  <c r="L80" i="13"/>
  <c r="V82" i="13" s="1"/>
  <c r="L84" i="13"/>
  <c r="L88" i="13"/>
  <c r="L155" i="13"/>
  <c r="L159" i="13"/>
  <c r="L163" i="13"/>
  <c r="L167" i="13"/>
  <c r="L171" i="13"/>
  <c r="L175" i="13"/>
  <c r="L179" i="13"/>
  <c r="L183" i="13"/>
  <c r="L217" i="13"/>
  <c r="L221" i="13"/>
  <c r="L225" i="13"/>
  <c r="L233" i="13"/>
  <c r="L248" i="13"/>
  <c r="L252" i="13"/>
  <c r="L256" i="13"/>
  <c r="L260" i="13"/>
  <c r="L268" i="13"/>
  <c r="L272" i="13"/>
  <c r="L284" i="13"/>
  <c r="L303" i="13"/>
  <c r="V85" i="13" s="1"/>
  <c r="L307" i="13"/>
  <c r="V89" i="13" s="1"/>
  <c r="L311" i="13"/>
  <c r="V93" i="13" s="1"/>
  <c r="L315" i="13"/>
  <c r="V97" i="13" s="1"/>
  <c r="L319" i="13"/>
  <c r="V101" i="13" s="1"/>
  <c r="L3" i="13"/>
  <c r="L46" i="13"/>
  <c r="L54" i="13"/>
  <c r="L116" i="13"/>
  <c r="L234" i="13"/>
  <c r="L74" i="13"/>
  <c r="V76" i="13" s="1"/>
  <c r="L133" i="13"/>
  <c r="L207" i="13"/>
  <c r="L242" i="13"/>
  <c r="L8" i="13"/>
  <c r="L43" i="13"/>
  <c r="L51" i="13"/>
  <c r="L55" i="13"/>
  <c r="L78" i="13"/>
  <c r="V80" i="13" s="1"/>
  <c r="L82" i="13"/>
  <c r="L90" i="13"/>
  <c r="L141" i="13"/>
  <c r="L145" i="13"/>
  <c r="L149" i="13"/>
  <c r="L153" i="13"/>
  <c r="L157" i="13"/>
  <c r="L161" i="13"/>
  <c r="L165" i="13"/>
  <c r="L169" i="13"/>
  <c r="L211" i="13"/>
  <c r="L215" i="13"/>
  <c r="L223" i="13"/>
  <c r="L227" i="13"/>
  <c r="L250" i="13"/>
  <c r="L254" i="13"/>
  <c r="L258" i="13"/>
  <c r="L262" i="13"/>
  <c r="L266" i="13"/>
  <c r="L270" i="13"/>
  <c r="L274" i="13"/>
  <c r="L278" i="13"/>
  <c r="L286" i="13"/>
  <c r="L301" i="13"/>
  <c r="L317" i="13"/>
  <c r="V99" i="13" s="1"/>
  <c r="V103" i="12"/>
  <c r="L11" i="13"/>
  <c r="L235" i="13"/>
  <c r="L137" i="13"/>
  <c r="L181" i="13"/>
  <c r="L218" i="13"/>
  <c r="L247" i="13"/>
  <c r="L251" i="13"/>
  <c r="L285" i="13"/>
  <c r="L300" i="13"/>
  <c r="L184" i="13"/>
  <c r="L210" i="13"/>
  <c r="L191" i="13"/>
  <c r="L118" i="13"/>
  <c r="L49" i="13"/>
  <c r="L56" i="13"/>
  <c r="L115" i="13"/>
  <c r="L150" i="13"/>
  <c r="L172" i="13"/>
  <c r="L313" i="13"/>
  <c r="V95" i="13" s="1"/>
  <c r="L97" i="13"/>
  <c r="L135" i="13"/>
  <c r="L166" i="13"/>
  <c r="L299" i="13"/>
  <c r="L7" i="13"/>
  <c r="L21" i="13"/>
  <c r="L36" i="13"/>
  <c r="L68" i="13"/>
  <c r="V70" i="13" s="1"/>
  <c r="L101" i="13"/>
  <c r="L104" i="13"/>
  <c r="L108" i="13"/>
  <c r="L112" i="13"/>
  <c r="L139" i="13"/>
  <c r="L143" i="13"/>
  <c r="L147" i="13"/>
  <c r="L151" i="13"/>
  <c r="L170" i="13"/>
  <c r="L173" i="13"/>
  <c r="L180" i="13"/>
  <c r="L224" i="13"/>
  <c r="L231" i="13"/>
  <c r="L257" i="13"/>
  <c r="L261" i="13"/>
  <c r="L265" i="13"/>
  <c r="L269" i="13"/>
  <c r="L276" i="13"/>
  <c r="L280" i="13"/>
  <c r="L291" i="13"/>
  <c r="L295" i="13"/>
  <c r="L310" i="13"/>
  <c r="V92" i="13" s="1"/>
  <c r="L314" i="13"/>
  <c r="V96" i="13" s="1"/>
  <c r="L39" i="13"/>
  <c r="L94" i="13"/>
  <c r="L28" i="13"/>
  <c r="L66" i="13"/>
  <c r="V68" i="13" s="1"/>
  <c r="L98" i="13"/>
  <c r="L124" i="13"/>
  <c r="L190" i="13"/>
  <c r="L282" i="13"/>
  <c r="L246" i="13"/>
  <c r="L92" i="13"/>
  <c r="L13" i="13"/>
  <c r="L72" i="13"/>
  <c r="V74" i="13" s="1"/>
  <c r="L85" i="13"/>
  <c r="L177" i="13"/>
  <c r="L200" i="13"/>
  <c r="L213" i="13"/>
  <c r="L229" i="13"/>
  <c r="L245" i="13"/>
  <c r="L305" i="13"/>
  <c r="V87" i="13" s="1"/>
  <c r="L308" i="13"/>
  <c r="V90" i="13" s="1"/>
  <c r="L17" i="13"/>
  <c r="L123" i="13"/>
  <c r="L4" i="13"/>
  <c r="L41" i="13"/>
  <c r="L219" i="13"/>
  <c r="L214" i="13"/>
  <c r="L230" i="13"/>
  <c r="L114" i="13"/>
  <c r="L14" i="13"/>
  <c r="L20" i="13"/>
  <c r="L35" i="13"/>
  <c r="L42" i="13"/>
  <c r="L45" i="13"/>
  <c r="L60" i="13"/>
  <c r="L73" i="13"/>
  <c r="V75" i="13" s="1"/>
  <c r="L76" i="13"/>
  <c r="V78" i="13" s="1"/>
  <c r="L79" i="13"/>
  <c r="V81" i="13" s="1"/>
  <c r="L91" i="13"/>
  <c r="L96" i="13"/>
  <c r="L110" i="13"/>
  <c r="L122" i="13"/>
  <c r="L129" i="13"/>
  <c r="L178" i="13"/>
  <c r="L185" i="13"/>
  <c r="L188" i="13"/>
  <c r="L198" i="13"/>
  <c r="L201" i="13"/>
  <c r="L220" i="13"/>
  <c r="L236" i="13"/>
  <c r="L264" i="13"/>
  <c r="L277" i="13"/>
  <c r="L290" i="13"/>
  <c r="L293" i="13"/>
  <c r="L306" i="13"/>
  <c r="V88" i="13" s="1"/>
  <c r="L309" i="13"/>
  <c r="V91" i="13" s="1"/>
  <c r="V65" i="13"/>
  <c r="L5" i="13"/>
  <c r="L12" i="13"/>
  <c r="L47" i="13"/>
  <c r="L50" i="13"/>
  <c r="L57" i="13"/>
  <c r="L15" i="13"/>
  <c r="L25" i="13"/>
  <c r="L86" i="13"/>
  <c r="L9" i="13"/>
  <c r="L69" i="13"/>
  <c r="V77" i="13"/>
  <c r="L130" i="13"/>
  <c r="L146" i="13"/>
  <c r="L164" i="13"/>
  <c r="L109" i="13"/>
  <c r="L113" i="13"/>
  <c r="L117" i="13"/>
  <c r="L126" i="13"/>
  <c r="L142" i="13"/>
  <c r="V102" i="13"/>
  <c r="V100" i="13"/>
  <c r="V84" i="13"/>
  <c r="L69" i="12"/>
  <c r="V71" i="12" s="1"/>
  <c r="L105" i="12"/>
  <c r="L120" i="12"/>
  <c r="L149" i="12"/>
  <c r="L201" i="12"/>
  <c r="L249" i="12"/>
  <c r="L264" i="12"/>
  <c r="L313" i="12"/>
  <c r="V95" i="12" s="1"/>
  <c r="L106" i="12"/>
  <c r="L136" i="12"/>
  <c r="L150" i="12"/>
  <c r="L49" i="12"/>
  <c r="L72" i="12"/>
  <c r="V74" i="12" s="1"/>
  <c r="L153" i="12"/>
  <c r="L224" i="12"/>
  <c r="L291" i="12"/>
  <c r="L306" i="12"/>
  <c r="V88" i="12" s="1"/>
  <c r="L7" i="12"/>
  <c r="L15" i="12"/>
  <c r="L23" i="12"/>
  <c r="L31" i="12"/>
  <c r="L38" i="12"/>
  <c r="L57" i="12"/>
  <c r="L61" i="12"/>
  <c r="L65" i="12"/>
  <c r="V67" i="12" s="1"/>
  <c r="L76" i="12"/>
  <c r="V78" i="12" s="1"/>
  <c r="L80" i="12"/>
  <c r="V82" i="12" s="1"/>
  <c r="L96" i="12"/>
  <c r="L157" i="12"/>
  <c r="L170" i="12"/>
  <c r="L177" i="12"/>
  <c r="L191" i="12"/>
  <c r="L195" i="12"/>
  <c r="L202" i="12"/>
  <c r="L213" i="12"/>
  <c r="L217" i="12"/>
  <c r="L239" i="12"/>
  <c r="L243" i="12"/>
  <c r="L250" i="12"/>
  <c r="L261" i="12"/>
  <c r="L265" i="12"/>
  <c r="L280" i="12"/>
  <c r="L295" i="12"/>
  <c r="L310" i="12"/>
  <c r="V92" i="12" s="1"/>
  <c r="L20" i="12"/>
  <c r="L27" i="12"/>
  <c r="L37" i="12"/>
  <c r="L41" i="12"/>
  <c r="L116" i="12"/>
  <c r="L148" i="12"/>
  <c r="L166" i="12"/>
  <c r="L172" i="12"/>
  <c r="L184" i="12"/>
  <c r="L203" i="12"/>
  <c r="L219" i="12"/>
  <c r="L235" i="12"/>
  <c r="L251" i="12"/>
  <c r="L267" i="12"/>
  <c r="L283" i="12"/>
  <c r="L299" i="12"/>
  <c r="L10" i="12"/>
  <c r="L28" i="12"/>
  <c r="L35" i="12"/>
  <c r="L42" i="12"/>
  <c r="L129" i="12"/>
  <c r="L71" i="12"/>
  <c r="V73" i="12" s="1"/>
  <c r="L141" i="12"/>
  <c r="L186" i="12"/>
  <c r="L11" i="12"/>
  <c r="L18" i="12"/>
  <c r="L43" i="12"/>
  <c r="L121" i="12"/>
  <c r="L132" i="12"/>
  <c r="L156" i="12"/>
  <c r="L159" i="12"/>
  <c r="L162" i="12"/>
  <c r="L133" i="12"/>
  <c r="L12" i="12"/>
  <c r="L19" i="12"/>
  <c r="L26" i="12"/>
  <c r="L81" i="12"/>
  <c r="V83" i="12" s="1"/>
  <c r="L97" i="12"/>
  <c r="L139" i="12"/>
  <c r="L145" i="12"/>
  <c r="L154" i="12"/>
  <c r="L190" i="12"/>
  <c r="L193" i="12"/>
  <c r="L206" i="12"/>
  <c r="L209" i="12"/>
  <c r="L222" i="12"/>
  <c r="L225" i="12"/>
  <c r="L238" i="12"/>
  <c r="L241" i="12"/>
  <c r="L254" i="12"/>
  <c r="L257" i="12"/>
  <c r="L270" i="12"/>
  <c r="L273" i="12"/>
  <c r="L286" i="12"/>
  <c r="L289" i="12"/>
  <c r="L302" i="12"/>
  <c r="V84" i="12" s="1"/>
  <c r="L305" i="12"/>
  <c r="V87" i="12" s="1"/>
  <c r="V100" i="12"/>
  <c r="V66" i="12"/>
  <c r="V64" i="12"/>
  <c r="V76" i="12"/>
  <c r="L67" i="12"/>
  <c r="L91" i="12"/>
  <c r="V68" i="12"/>
  <c r="L99" i="12"/>
  <c r="L117" i="12"/>
  <c r="O2" i="15" l="1"/>
  <c r="P204" i="15" s="1"/>
  <c r="P12" i="15"/>
  <c r="P197" i="15"/>
  <c r="P33" i="15"/>
  <c r="P30" i="15"/>
  <c r="M313" i="14"/>
  <c r="M281" i="14"/>
  <c r="M225" i="14"/>
  <c r="M297" i="14"/>
  <c r="M241" i="14"/>
  <c r="M253" i="14"/>
  <c r="M114" i="14"/>
  <c r="M111" i="14"/>
  <c r="M249" i="14"/>
  <c r="M130" i="14"/>
  <c r="M265" i="14"/>
  <c r="M150" i="14"/>
  <c r="M123" i="14"/>
  <c r="M64" i="14"/>
  <c r="M285" i="14"/>
  <c r="M245" i="14"/>
  <c r="M139" i="14"/>
  <c r="M16" i="14"/>
  <c r="M186" i="14"/>
  <c r="M167" i="14"/>
  <c r="M88" i="14"/>
  <c r="M98" i="14"/>
  <c r="M240" i="14"/>
  <c r="M145" i="14"/>
  <c r="M56" i="14"/>
  <c r="M12" i="14"/>
  <c r="M21" i="14"/>
  <c r="M54" i="14"/>
  <c r="M72" i="14"/>
  <c r="M137" i="14"/>
  <c r="M109" i="14"/>
  <c r="M185" i="14"/>
  <c r="M138" i="14"/>
  <c r="M144" i="14"/>
  <c r="M220" i="14"/>
  <c r="M160" i="14"/>
  <c r="M46" i="14"/>
  <c r="M198" i="14"/>
  <c r="M293" i="14"/>
  <c r="M55" i="14"/>
  <c r="M127" i="14"/>
  <c r="M86" i="14"/>
  <c r="M175" i="14"/>
  <c r="M62" i="14"/>
  <c r="M122" i="14"/>
  <c r="M192" i="14"/>
  <c r="M301" i="14"/>
  <c r="M314" i="14"/>
  <c r="M254" i="14"/>
  <c r="M278" i="14"/>
  <c r="M203" i="14"/>
  <c r="M279" i="14"/>
  <c r="M283" i="14"/>
  <c r="M250" i="14"/>
  <c r="M296" i="14"/>
  <c r="M67" i="14"/>
  <c r="M129" i="14"/>
  <c r="M53" i="14"/>
  <c r="M182" i="14"/>
  <c r="M84" i="14"/>
  <c r="M50" i="14"/>
  <c r="M99" i="14"/>
  <c r="M9" i="14"/>
  <c r="M180" i="14"/>
  <c r="M124" i="14"/>
  <c r="M191" i="14"/>
  <c r="M232" i="14"/>
  <c r="M310" i="14"/>
  <c r="M79" i="14"/>
  <c r="M174" i="14"/>
  <c r="M80" i="14"/>
  <c r="M119" i="14"/>
  <c r="M206" i="14"/>
  <c r="M40" i="14"/>
  <c r="M73" i="14"/>
  <c r="M135" i="14"/>
  <c r="M110" i="14"/>
  <c r="M178" i="14"/>
  <c r="M104" i="14"/>
  <c r="M74" i="14"/>
  <c r="M2" i="14"/>
  <c r="M78" i="14"/>
  <c r="M201" i="14"/>
  <c r="M168" i="14"/>
  <c r="M320" i="14"/>
  <c r="M257" i="14"/>
  <c r="M284" i="14"/>
  <c r="M223" i="14"/>
  <c r="M282" i="14"/>
  <c r="M286" i="14"/>
  <c r="M258" i="14"/>
  <c r="M303" i="14"/>
  <c r="M141" i="14"/>
  <c r="M121" i="14"/>
  <c r="M214" i="14"/>
  <c r="M87" i="14"/>
  <c r="M37" i="14"/>
  <c r="M113" i="14"/>
  <c r="M51" i="14"/>
  <c r="M106" i="14"/>
  <c r="M195" i="14"/>
  <c r="M131" i="14"/>
  <c r="M211" i="14"/>
  <c r="M217" i="14"/>
  <c r="M166" i="14"/>
  <c r="M20" i="14"/>
  <c r="M177" i="14"/>
  <c r="M159" i="14"/>
  <c r="M27" i="14"/>
  <c r="M212" i="14"/>
  <c r="M196" i="14"/>
  <c r="M155" i="14"/>
  <c r="M120" i="14"/>
  <c r="M210" i="14"/>
  <c r="M190" i="14"/>
  <c r="M29" i="14"/>
  <c r="M13" i="14"/>
  <c r="M115" i="14"/>
  <c r="M204" i="14"/>
  <c r="M200" i="14"/>
  <c r="M273" i="14"/>
  <c r="M291" i="14"/>
  <c r="M295" i="14"/>
  <c r="M242" i="14"/>
  <c r="M184" i="14"/>
  <c r="M288" i="14"/>
  <c r="M292" i="14"/>
  <c r="M264" i="14"/>
  <c r="M306" i="14"/>
  <c r="M5" i="14"/>
  <c r="M60" i="14"/>
  <c r="M105" i="14"/>
  <c r="M4" i="14"/>
  <c r="M154" i="14"/>
  <c r="M41" i="14"/>
  <c r="M116" i="14"/>
  <c r="M34" i="14"/>
  <c r="M18" i="14"/>
  <c r="M26" i="14"/>
  <c r="M149" i="14"/>
  <c r="M227" i="14"/>
  <c r="M7" i="14"/>
  <c r="M317" i="14"/>
  <c r="M81" i="14"/>
  <c r="M209" i="14"/>
  <c r="M14" i="14"/>
  <c r="M49" i="14"/>
  <c r="M221" i="14"/>
  <c r="M71" i="14"/>
  <c r="M58" i="14"/>
  <c r="M42" i="14"/>
  <c r="M219" i="14"/>
  <c r="M238" i="14"/>
  <c r="M10" i="14"/>
  <c r="M30" i="14"/>
  <c r="M128" i="14"/>
  <c r="M207" i="14"/>
  <c r="M246" i="14"/>
  <c r="M162" i="14"/>
  <c r="M321" i="14"/>
  <c r="M298" i="14"/>
  <c r="M216" i="14"/>
  <c r="M309" i="14"/>
  <c r="M299" i="14"/>
  <c r="M271" i="14"/>
  <c r="M312" i="14"/>
  <c r="M108" i="14"/>
  <c r="M134" i="14"/>
  <c r="M25" i="14"/>
  <c r="M163" i="14"/>
  <c r="M125" i="14"/>
  <c r="M161" i="14"/>
  <c r="M52" i="14"/>
  <c r="M277" i="14"/>
  <c r="M230" i="14"/>
  <c r="M218" i="14"/>
  <c r="M274" i="14"/>
  <c r="M83" i="14"/>
  <c r="M85" i="14"/>
  <c r="M76" i="14"/>
  <c r="M170" i="14"/>
  <c r="M97" i="14"/>
  <c r="M103" i="14"/>
  <c r="M235" i="14"/>
  <c r="M188" i="14"/>
  <c r="M244" i="14"/>
  <c r="M57" i="14"/>
  <c r="M22" i="14"/>
  <c r="M256" i="14"/>
  <c r="M151" i="14"/>
  <c r="M69" i="14"/>
  <c r="M197" i="14"/>
  <c r="M136" i="14"/>
  <c r="M93" i="14"/>
  <c r="M215" i="14"/>
  <c r="M187" i="14"/>
  <c r="M82" i="14"/>
  <c r="M224" i="14"/>
  <c r="M96" i="14"/>
  <c r="M39" i="14"/>
  <c r="M59" i="14"/>
  <c r="M147" i="14"/>
  <c r="M228" i="14"/>
  <c r="M36" i="14"/>
  <c r="M222" i="14"/>
  <c r="M181" i="14"/>
  <c r="M255" i="14"/>
  <c r="M302" i="14"/>
  <c r="M319" i="14"/>
  <c r="M146" i="14"/>
  <c r="M176" i="14"/>
  <c r="M133" i="14"/>
  <c r="M28" i="14"/>
  <c r="M202" i="14"/>
  <c r="M260" i="14"/>
  <c r="M193" i="14"/>
  <c r="M143" i="14"/>
  <c r="M233" i="14"/>
  <c r="M304" i="14"/>
  <c r="M44" i="14"/>
  <c r="M316" i="14"/>
  <c r="M243" i="14"/>
  <c r="M38" i="14"/>
  <c r="M118" i="14"/>
  <c r="M179" i="14"/>
  <c r="M248" i="14"/>
  <c r="M75" i="14"/>
  <c r="M269" i="14"/>
  <c r="M164" i="14"/>
  <c r="M213" i="14"/>
  <c r="M275" i="14"/>
  <c r="M267" i="14"/>
  <c r="M290" i="14"/>
  <c r="M48" i="14"/>
  <c r="M247" i="14"/>
  <c r="M35" i="14"/>
  <c r="M65" i="14"/>
  <c r="M272" i="14"/>
  <c r="M229" i="14"/>
  <c r="M239" i="14"/>
  <c r="M305" i="14"/>
  <c r="M270" i="14"/>
  <c r="M322" i="14"/>
  <c r="M91" i="14"/>
  <c r="M19" i="14"/>
  <c r="M94" i="14"/>
  <c r="M3" i="14"/>
  <c r="M226" i="14"/>
  <c r="M77" i="14"/>
  <c r="M89" i="14"/>
  <c r="M263" i="14"/>
  <c r="M234" i="14"/>
  <c r="M276" i="14"/>
  <c r="M6" i="14"/>
  <c r="M90" i="14"/>
  <c r="M112" i="14"/>
  <c r="M101" i="14"/>
  <c r="M252" i="14"/>
  <c r="M165" i="14"/>
  <c r="M23" i="14"/>
  <c r="M266" i="14"/>
  <c r="M308" i="14"/>
  <c r="M24" i="14"/>
  <c r="M66" i="14"/>
  <c r="M102" i="14"/>
  <c r="M126" i="14"/>
  <c r="M107" i="14"/>
  <c r="M140" i="14"/>
  <c r="M43" i="14"/>
  <c r="M153" i="14"/>
  <c r="M17" i="14"/>
  <c r="M294" i="14"/>
  <c r="M261" i="14"/>
  <c r="M315" i="14"/>
  <c r="M8" i="14"/>
  <c r="M158" i="14"/>
  <c r="M183" i="14"/>
  <c r="M169" i="14"/>
  <c r="M300" i="14"/>
  <c r="M307" i="14"/>
  <c r="M237" i="14"/>
  <c r="M318" i="14"/>
  <c r="M68" i="14"/>
  <c r="M199" i="14"/>
  <c r="M100" i="14"/>
  <c r="M205" i="14"/>
  <c r="M289" i="14"/>
  <c r="M61" i="14"/>
  <c r="M172" i="14"/>
  <c r="M142" i="14"/>
  <c r="M311" i="14"/>
  <c r="M262" i="14"/>
  <c r="M280" i="14"/>
  <c r="M32" i="14"/>
  <c r="M92" i="14"/>
  <c r="M173" i="14"/>
  <c r="M208" i="14"/>
  <c r="M45" i="14"/>
  <c r="M236" i="14"/>
  <c r="M117" i="14"/>
  <c r="M259" i="14"/>
  <c r="M70" i="14"/>
  <c r="M171" i="14"/>
  <c r="M268" i="14"/>
  <c r="M287" i="14"/>
  <c r="M194" i="14"/>
  <c r="M156" i="14"/>
  <c r="M231" i="14"/>
  <c r="M31" i="14"/>
  <c r="M11" i="14"/>
  <c r="M15" i="14"/>
  <c r="M95" i="14"/>
  <c r="M63" i="14"/>
  <c r="M132" i="14"/>
  <c r="M33" i="14"/>
  <c r="M152" i="14"/>
  <c r="M47" i="14"/>
  <c r="M251" i="14"/>
  <c r="M157" i="14"/>
  <c r="M189" i="14"/>
  <c r="M148" i="14"/>
  <c r="V71" i="13"/>
  <c r="N5" i="13" s="1"/>
  <c r="V69" i="12"/>
  <c r="N2" i="12" s="1"/>
  <c r="P152" i="15" l="1"/>
  <c r="P258" i="15"/>
  <c r="P125" i="15"/>
  <c r="P174" i="15"/>
  <c r="P308" i="15"/>
  <c r="P280" i="15"/>
  <c r="P227" i="15"/>
  <c r="P4" i="15"/>
  <c r="P251" i="15"/>
  <c r="P235" i="15"/>
  <c r="P190" i="15"/>
  <c r="P87" i="15"/>
  <c r="P71" i="15"/>
  <c r="P225" i="15"/>
  <c r="P209" i="15"/>
  <c r="P20" i="15"/>
  <c r="P95" i="15"/>
  <c r="P254" i="15"/>
  <c r="P196" i="15"/>
  <c r="P217" i="15"/>
  <c r="P8" i="15"/>
  <c r="P224" i="15"/>
  <c r="P282" i="15"/>
  <c r="P207" i="15"/>
  <c r="P150" i="15"/>
  <c r="P170" i="15"/>
  <c r="P37" i="15"/>
  <c r="P230" i="15"/>
  <c r="P215" i="15"/>
  <c r="P205" i="15"/>
  <c r="P164" i="15"/>
  <c r="P148" i="15"/>
  <c r="P180" i="15"/>
  <c r="P288" i="15"/>
  <c r="P278" i="15"/>
  <c r="P25" i="15"/>
  <c r="P223" i="15"/>
  <c r="P276" i="15"/>
  <c r="P100" i="15"/>
  <c r="P131" i="15"/>
  <c r="P264" i="15"/>
  <c r="P32" i="15"/>
  <c r="P297" i="15"/>
  <c r="P29" i="15"/>
  <c r="P41" i="15"/>
  <c r="P147" i="15"/>
  <c r="P193" i="15"/>
  <c r="P149" i="15"/>
  <c r="P295" i="15"/>
  <c r="P171" i="15"/>
  <c r="P208" i="15"/>
  <c r="P203" i="15"/>
  <c r="P212" i="15"/>
  <c r="P97" i="15"/>
  <c r="P40" i="15"/>
  <c r="P59" i="15"/>
  <c r="P247" i="15"/>
  <c r="P322" i="15"/>
  <c r="P126" i="15"/>
  <c r="P277" i="15"/>
  <c r="P161" i="15"/>
  <c r="P92" i="15"/>
  <c r="P287" i="15"/>
  <c r="P279" i="15"/>
  <c r="P162" i="15"/>
  <c r="P153" i="15"/>
  <c r="P263" i="15"/>
  <c r="P157" i="15"/>
  <c r="P256" i="15"/>
  <c r="P89" i="15"/>
  <c r="P200" i="15"/>
  <c r="P57" i="15"/>
  <c r="P93" i="15"/>
  <c r="P22" i="15"/>
  <c r="P293" i="15"/>
  <c r="P119" i="15"/>
  <c r="P140" i="15"/>
  <c r="P267" i="15"/>
  <c r="P76" i="15"/>
  <c r="P73" i="15"/>
  <c r="P65" i="15"/>
  <c r="P68" i="15"/>
  <c r="P15" i="15"/>
  <c r="P109" i="15"/>
  <c r="P88" i="15"/>
  <c r="P6" i="15"/>
  <c r="P11" i="15"/>
  <c r="P146" i="15"/>
  <c r="P103" i="15"/>
  <c r="P27" i="15"/>
  <c r="P38" i="15"/>
  <c r="P239" i="15"/>
  <c r="P49" i="15"/>
  <c r="P319" i="15"/>
  <c r="P144" i="15"/>
  <c r="P201" i="15"/>
  <c r="P106" i="15"/>
  <c r="P191" i="15"/>
  <c r="P98" i="15"/>
  <c r="P137" i="15"/>
  <c r="P291" i="15"/>
  <c r="P52" i="15"/>
  <c r="P3" i="15"/>
  <c r="P159" i="15"/>
  <c r="P26" i="15"/>
  <c r="P58" i="15"/>
  <c r="P311" i="15"/>
  <c r="P222" i="15"/>
  <c r="P173" i="15"/>
  <c r="P55" i="15"/>
  <c r="P202" i="15"/>
  <c r="P53" i="15"/>
  <c r="P163" i="15"/>
  <c r="P121" i="15"/>
  <c r="P134" i="15"/>
  <c r="P83" i="15"/>
  <c r="P314" i="15"/>
  <c r="P13" i="15"/>
  <c r="P91" i="15"/>
  <c r="P259" i="15"/>
  <c r="P182" i="15"/>
  <c r="P302" i="15"/>
  <c r="P54" i="15"/>
  <c r="P16" i="15"/>
  <c r="P269" i="15"/>
  <c r="P272" i="15"/>
  <c r="P156" i="15"/>
  <c r="P17" i="15"/>
  <c r="P36" i="15"/>
  <c r="P56" i="15"/>
  <c r="P10" i="15"/>
  <c r="P233" i="15"/>
  <c r="P285" i="15"/>
  <c r="P213" i="15"/>
  <c r="P266" i="15"/>
  <c r="P46" i="15"/>
  <c r="P133" i="15"/>
  <c r="P195" i="15"/>
  <c r="P244" i="15"/>
  <c r="P177" i="15"/>
  <c r="P7" i="15"/>
  <c r="P31" i="15"/>
  <c r="P69" i="15"/>
  <c r="P184" i="15"/>
  <c r="P304" i="15"/>
  <c r="P139" i="15"/>
  <c r="P234" i="15"/>
  <c r="P128" i="15"/>
  <c r="P96" i="15"/>
  <c r="P116" i="15"/>
  <c r="P198" i="15"/>
  <c r="P199" i="15"/>
  <c r="P192" i="15"/>
  <c r="P112" i="15"/>
  <c r="P24" i="15"/>
  <c r="P160" i="15"/>
  <c r="P315" i="15"/>
  <c r="P122" i="15"/>
  <c r="P135" i="15"/>
  <c r="P298" i="15"/>
  <c r="P241" i="15"/>
  <c r="P260" i="15"/>
  <c r="P232" i="15"/>
  <c r="P249" i="15"/>
  <c r="P5" i="15"/>
  <c r="P290" i="15"/>
  <c r="P181" i="15"/>
  <c r="P220" i="15"/>
  <c r="P243" i="15"/>
  <c r="P75" i="15"/>
  <c r="P124" i="15"/>
  <c r="P206" i="15"/>
  <c r="P284" i="15"/>
  <c r="P78" i="15"/>
  <c r="P283" i="15"/>
  <c r="P111" i="15"/>
  <c r="P265" i="15"/>
  <c r="P169" i="15"/>
  <c r="P313" i="15"/>
  <c r="P274" i="15"/>
  <c r="P294" i="15"/>
  <c r="P67" i="15"/>
  <c r="P35" i="15"/>
  <c r="P316" i="15"/>
  <c r="P21" i="15"/>
  <c r="P270" i="15"/>
  <c r="P301" i="15"/>
  <c r="P86" i="15"/>
  <c r="P123" i="15"/>
  <c r="P257" i="15"/>
  <c r="P51" i="15"/>
  <c r="P178" i="15"/>
  <c r="P19" i="15"/>
  <c r="P188" i="15"/>
  <c r="P268" i="15"/>
  <c r="P101" i="15"/>
  <c r="P175" i="15"/>
  <c r="P48" i="15"/>
  <c r="P79" i="15"/>
  <c r="P292" i="15"/>
  <c r="P165" i="15"/>
  <c r="P318" i="15"/>
  <c r="P189" i="15"/>
  <c r="P187" i="15"/>
  <c r="P64" i="15"/>
  <c r="P186" i="15"/>
  <c r="P317" i="15"/>
  <c r="P117" i="15"/>
  <c r="P63" i="15"/>
  <c r="P72" i="15"/>
  <c r="P255" i="15"/>
  <c r="P286" i="15"/>
  <c r="P99" i="15"/>
  <c r="P296" i="15"/>
  <c r="P43" i="15"/>
  <c r="P238" i="15"/>
  <c r="P77" i="15"/>
  <c r="P9" i="15"/>
  <c r="P236" i="15"/>
  <c r="P23" i="15"/>
  <c r="P179" i="15"/>
  <c r="P226" i="15"/>
  <c r="P105" i="15"/>
  <c r="P158" i="15"/>
  <c r="P306" i="15"/>
  <c r="P246" i="15"/>
  <c r="P81" i="15"/>
  <c r="P28" i="15"/>
  <c r="P231" i="15"/>
  <c r="P84" i="15"/>
  <c r="P221" i="15"/>
  <c r="P44" i="15"/>
  <c r="P275" i="15"/>
  <c r="P60" i="15"/>
  <c r="P107" i="15"/>
  <c r="P2" i="15"/>
  <c r="P229" i="15"/>
  <c r="P142" i="15"/>
  <c r="P94" i="15"/>
  <c r="P155" i="15"/>
  <c r="P141" i="15"/>
  <c r="P132" i="15"/>
  <c r="P253" i="15"/>
  <c r="P245" i="15"/>
  <c r="P90" i="15"/>
  <c r="P143" i="15"/>
  <c r="P194" i="15"/>
  <c r="P42" i="15"/>
  <c r="P166" i="15"/>
  <c r="P118" i="15"/>
  <c r="P183" i="15"/>
  <c r="P104" i="15"/>
  <c r="P261" i="15"/>
  <c r="P34" i="15"/>
  <c r="P167" i="15"/>
  <c r="P273" i="15"/>
  <c r="P62" i="15"/>
  <c r="P47" i="15"/>
  <c r="P242" i="15"/>
  <c r="P176" i="15"/>
  <c r="P120" i="15"/>
  <c r="P310" i="15"/>
  <c r="P185" i="15"/>
  <c r="P321" i="15"/>
  <c r="P299" i="15"/>
  <c r="P168" i="15"/>
  <c r="P271" i="15"/>
  <c r="P61" i="15"/>
  <c r="P172" i="15"/>
  <c r="P303" i="15"/>
  <c r="P216" i="15"/>
  <c r="P151" i="15"/>
  <c r="P262" i="15"/>
  <c r="P45" i="15"/>
  <c r="P240" i="15"/>
  <c r="P70" i="15"/>
  <c r="P248" i="15"/>
  <c r="P14" i="15"/>
  <c r="P320" i="15"/>
  <c r="P211" i="15"/>
  <c r="P307" i="15"/>
  <c r="P228" i="15"/>
  <c r="P113" i="15"/>
  <c r="P136" i="15"/>
  <c r="P237" i="15"/>
  <c r="P252" i="15"/>
  <c r="P210" i="15"/>
  <c r="P108" i="15"/>
  <c r="P50" i="15"/>
  <c r="P74" i="15"/>
  <c r="P250" i="15"/>
  <c r="P110" i="15"/>
  <c r="P289" i="15"/>
  <c r="P312" i="15"/>
  <c r="P114" i="15"/>
  <c r="P85" i="15"/>
  <c r="P129" i="15"/>
  <c r="P154" i="15"/>
  <c r="P127" i="15"/>
  <c r="P309" i="15"/>
  <c r="P130" i="15"/>
  <c r="P39" i="15"/>
  <c r="P281" i="15"/>
  <c r="P82" i="15"/>
  <c r="P214" i="15"/>
  <c r="P300" i="15"/>
  <c r="P219" i="15"/>
  <c r="P18" i="15"/>
  <c r="P66" i="15"/>
  <c r="P80" i="15"/>
  <c r="P218" i="15"/>
  <c r="P115" i="15"/>
  <c r="P305" i="15"/>
  <c r="P102" i="15"/>
  <c r="P138" i="15"/>
  <c r="P145" i="15"/>
  <c r="O2" i="14"/>
  <c r="P189" i="14" s="1"/>
  <c r="P35" i="14"/>
  <c r="P236" i="14"/>
  <c r="P171" i="14"/>
  <c r="P82" i="14"/>
  <c r="P65" i="14"/>
  <c r="P265" i="14"/>
  <c r="P274" i="14"/>
  <c r="P166" i="14"/>
  <c r="P37" i="14"/>
  <c r="P139" i="14"/>
  <c r="M318" i="12"/>
  <c r="M322" i="12"/>
  <c r="M315" i="12"/>
  <c r="M316" i="12"/>
  <c r="M314" i="12"/>
  <c r="M319" i="12"/>
  <c r="M321" i="12"/>
  <c r="M320" i="12"/>
  <c r="M317" i="12"/>
  <c r="N2" i="13"/>
  <c r="M180" i="13" s="1"/>
  <c r="M268" i="12"/>
  <c r="M187" i="12"/>
  <c r="M288" i="12"/>
  <c r="M256" i="12"/>
  <c r="M224" i="12"/>
  <c r="M192" i="12"/>
  <c r="M176" i="12"/>
  <c r="M296" i="12"/>
  <c r="M264" i="12"/>
  <c r="M232" i="12"/>
  <c r="M200" i="12"/>
  <c r="M184" i="12"/>
  <c r="M164" i="12"/>
  <c r="M312" i="12"/>
  <c r="M280" i="12"/>
  <c r="M248" i="12"/>
  <c r="M216" i="12"/>
  <c r="M168" i="12"/>
  <c r="M70" i="12"/>
  <c r="M51" i="12"/>
  <c r="M47" i="12"/>
  <c r="M93" i="12"/>
  <c r="M59" i="12"/>
  <c r="M78" i="12"/>
  <c r="M55" i="12"/>
  <c r="M63" i="12"/>
  <c r="M107" i="12"/>
  <c r="M23" i="12"/>
  <c r="M31" i="12"/>
  <c r="M40" i="12"/>
  <c r="M54" i="12"/>
  <c r="M17" i="12"/>
  <c r="M106" i="12"/>
  <c r="M58" i="12"/>
  <c r="M101" i="12"/>
  <c r="M92" i="12"/>
  <c r="M62" i="12"/>
  <c r="M170" i="12"/>
  <c r="M75" i="12"/>
  <c r="M76" i="12"/>
  <c r="M135" i="12"/>
  <c r="M188" i="12"/>
  <c r="M159" i="12"/>
  <c r="M144" i="12"/>
  <c r="M151" i="12"/>
  <c r="M139" i="12"/>
  <c r="M205" i="12"/>
  <c r="M295" i="12"/>
  <c r="M226" i="12"/>
  <c r="M313" i="12"/>
  <c r="M255" i="12"/>
  <c r="M203" i="12"/>
  <c r="M282" i="12"/>
  <c r="M215" i="12"/>
  <c r="M294" i="12"/>
  <c r="M242" i="12"/>
  <c r="M190" i="12"/>
  <c r="M277" i="12"/>
  <c r="M193" i="12"/>
  <c r="M283" i="12"/>
  <c r="M13" i="12"/>
  <c r="M252" i="12"/>
  <c r="M208" i="12"/>
  <c r="M173" i="12"/>
  <c r="M293" i="12"/>
  <c r="M161" i="12"/>
  <c r="M291" i="12"/>
  <c r="M234" i="12"/>
  <c r="M28" i="12"/>
  <c r="M302" i="12"/>
  <c r="M245" i="12"/>
  <c r="M35" i="12"/>
  <c r="M290" i="12"/>
  <c r="M254" i="12"/>
  <c r="M16" i="12"/>
  <c r="M198" i="12"/>
  <c r="M53" i="12"/>
  <c r="M38" i="12"/>
  <c r="M2" i="12"/>
  <c r="M102" i="12"/>
  <c r="M32" i="12"/>
  <c r="M20" i="12"/>
  <c r="M8" i="12"/>
  <c r="M50" i="12"/>
  <c r="M77" i="12"/>
  <c r="M73" i="12"/>
  <c r="M182" i="12"/>
  <c r="M71" i="12"/>
  <c r="M141" i="12"/>
  <c r="M204" i="12"/>
  <c r="M136" i="12"/>
  <c r="M96" i="12"/>
  <c r="M82" i="12"/>
  <c r="M79" i="12"/>
  <c r="M157" i="12"/>
  <c r="M196" i="12"/>
  <c r="M72" i="12"/>
  <c r="M145" i="12"/>
  <c r="M214" i="12"/>
  <c r="M301" i="12"/>
  <c r="M243" i="12"/>
  <c r="M169" i="12"/>
  <c r="M261" i="12"/>
  <c r="M209" i="12"/>
  <c r="M299" i="12"/>
  <c r="M221" i="12"/>
  <c r="M311" i="12"/>
  <c r="M259" i="12"/>
  <c r="M207" i="12"/>
  <c r="M286" i="12"/>
  <c r="M202" i="12"/>
  <c r="M289" i="12"/>
  <c r="M34" i="12"/>
  <c r="M100" i="12"/>
  <c r="M201" i="12"/>
  <c r="M3" i="12"/>
  <c r="M178" i="12"/>
  <c r="M7" i="12"/>
  <c r="M267" i="12"/>
  <c r="M257" i="12"/>
  <c r="M42" i="12"/>
  <c r="M273" i="12"/>
  <c r="M266" i="12"/>
  <c r="M86" i="12"/>
  <c r="M48" i="12"/>
  <c r="M37" i="12"/>
  <c r="M111" i="12"/>
  <c r="M39" i="12"/>
  <c r="M4" i="12"/>
  <c r="M68" i="12"/>
  <c r="M15" i="12"/>
  <c r="M12" i="12"/>
  <c r="M90" i="12"/>
  <c r="M98" i="12"/>
  <c r="M84" i="12"/>
  <c r="M88" i="12"/>
  <c r="M103" i="12"/>
  <c r="M80" i="12"/>
  <c r="M146" i="12"/>
  <c r="M220" i="12"/>
  <c r="M160" i="12"/>
  <c r="M109" i="12"/>
  <c r="M125" i="12"/>
  <c r="M171" i="12"/>
  <c r="M228" i="12"/>
  <c r="M95" i="12"/>
  <c r="M150" i="12"/>
  <c r="M231" i="12"/>
  <c r="M310" i="12"/>
  <c r="M249" i="12"/>
  <c r="M191" i="12"/>
  <c r="M270" i="12"/>
  <c r="M218" i="12"/>
  <c r="M305" i="12"/>
  <c r="M230" i="12"/>
  <c r="M265" i="12"/>
  <c r="M213" i="12"/>
  <c r="M303" i="12"/>
  <c r="M219" i="12"/>
  <c r="M298" i="12"/>
  <c r="M137" i="12"/>
  <c r="M180" i="12"/>
  <c r="M206" i="12"/>
  <c r="M253" i="12"/>
  <c r="M64" i="12"/>
  <c r="M281" i="12"/>
  <c r="M110" i="12"/>
  <c r="M166" i="12"/>
  <c r="M14" i="12"/>
  <c r="M217" i="12"/>
  <c r="M185" i="12"/>
  <c r="M5" i="12"/>
  <c r="M57" i="12"/>
  <c r="M10" i="12"/>
  <c r="M60" i="12"/>
  <c r="M45" i="12"/>
  <c r="M11" i="12"/>
  <c r="M94" i="12"/>
  <c r="M22" i="12"/>
  <c r="M19" i="12"/>
  <c r="M175" i="12"/>
  <c r="M113" i="12"/>
  <c r="M105" i="12"/>
  <c r="M120" i="12"/>
  <c r="M142" i="12"/>
  <c r="M83" i="12"/>
  <c r="M152" i="12"/>
  <c r="M236" i="12"/>
  <c r="M244" i="12"/>
  <c r="M126" i="12"/>
  <c r="M260" i="12"/>
  <c r="M81" i="12"/>
  <c r="M183" i="12"/>
  <c r="M112" i="12"/>
  <c r="M97" i="12"/>
  <c r="M154" i="12"/>
  <c r="M237" i="12"/>
  <c r="M158" i="12"/>
  <c r="M258" i="12"/>
  <c r="M197" i="12"/>
  <c r="M287" i="12"/>
  <c r="M235" i="12"/>
  <c r="M247" i="12"/>
  <c r="M195" i="12"/>
  <c r="M274" i="12"/>
  <c r="M222" i="12"/>
  <c r="M309" i="12"/>
  <c r="M225" i="12"/>
  <c r="M41" i="12"/>
  <c r="M52" i="12"/>
  <c r="M18" i="12"/>
  <c r="M115" i="12"/>
  <c r="M25" i="12"/>
  <c r="M26" i="12"/>
  <c r="M276" i="12"/>
  <c r="M123" i="12"/>
  <c r="M130" i="12"/>
  <c r="M129" i="12"/>
  <c r="M44" i="12"/>
  <c r="M167" i="12"/>
  <c r="M132" i="12"/>
  <c r="M116" i="12"/>
  <c r="M131" i="12"/>
  <c r="M246" i="12"/>
  <c r="M275" i="12"/>
  <c r="M241" i="12"/>
  <c r="M239" i="12"/>
  <c r="M6" i="12"/>
  <c r="M61" i="12"/>
  <c r="M21" i="12"/>
  <c r="M33" i="12"/>
  <c r="M49" i="12"/>
  <c r="M29" i="12"/>
  <c r="M308" i="12"/>
  <c r="M128" i="12"/>
  <c r="M212" i="12"/>
  <c r="M134" i="12"/>
  <c r="M108" i="12"/>
  <c r="M174" i="12"/>
  <c r="M284" i="12"/>
  <c r="M147" i="12"/>
  <c r="M66" i="12"/>
  <c r="M127" i="12"/>
  <c r="M240" i="12"/>
  <c r="M163" i="12"/>
  <c r="M104" i="12"/>
  <c r="M162" i="12"/>
  <c r="M263" i="12"/>
  <c r="M194" i="12"/>
  <c r="M223" i="12"/>
  <c r="M250" i="12"/>
  <c r="M262" i="12"/>
  <c r="M210" i="12"/>
  <c r="M297" i="12"/>
  <c r="M251" i="12"/>
  <c r="M9" i="12"/>
  <c r="M114" i="12"/>
  <c r="M36" i="12"/>
  <c r="M119" i="12"/>
  <c r="M56" i="12"/>
  <c r="M46" i="12"/>
  <c r="M155" i="12"/>
  <c r="M143" i="12"/>
  <c r="M292" i="12"/>
  <c r="M140" i="12"/>
  <c r="M74" i="12"/>
  <c r="M118" i="12"/>
  <c r="M179" i="12"/>
  <c r="M300" i="12"/>
  <c r="M87" i="12"/>
  <c r="M153" i="12"/>
  <c r="M148" i="12"/>
  <c r="M133" i="12"/>
  <c r="M272" i="12"/>
  <c r="M177" i="12"/>
  <c r="M269" i="12"/>
  <c r="M211" i="12"/>
  <c r="M229" i="12"/>
  <c r="M189" i="12"/>
  <c r="M279" i="12"/>
  <c r="M227" i="12"/>
  <c r="M306" i="12"/>
  <c r="M24" i="12"/>
  <c r="M30" i="12"/>
  <c r="M43" i="12"/>
  <c r="M27" i="12"/>
  <c r="M85" i="12"/>
  <c r="M172" i="12"/>
  <c r="M149" i="12"/>
  <c r="M122" i="12"/>
  <c r="M121" i="12"/>
  <c r="M186" i="12"/>
  <c r="M89" i="12"/>
  <c r="M156" i="12"/>
  <c r="M69" i="12"/>
  <c r="M138" i="12"/>
  <c r="M304" i="12"/>
  <c r="M65" i="12"/>
  <c r="M124" i="12"/>
  <c r="M199" i="12"/>
  <c r="M278" i="12"/>
  <c r="M307" i="12"/>
  <c r="M238" i="12"/>
  <c r="M165" i="12"/>
  <c r="M285" i="12"/>
  <c r="M233" i="12"/>
  <c r="M271" i="12"/>
  <c r="M181" i="12"/>
  <c r="M117" i="12"/>
  <c r="M67" i="12"/>
  <c r="M99" i="12"/>
  <c r="M91" i="12"/>
  <c r="N5" i="12"/>
  <c r="P21" i="14" l="1"/>
  <c r="P28" i="14"/>
  <c r="P208" i="14"/>
  <c r="P16" i="14"/>
  <c r="P123" i="14"/>
  <c r="P319" i="14"/>
  <c r="P245" i="14"/>
  <c r="P287" i="14"/>
  <c r="P12" i="14"/>
  <c r="P244" i="14"/>
  <c r="P271" i="14"/>
  <c r="P107" i="14"/>
  <c r="P295" i="14"/>
  <c r="P116" i="14"/>
  <c r="P143" i="14"/>
  <c r="P68" i="14"/>
  <c r="P247" i="14"/>
  <c r="P167" i="14"/>
  <c r="P282" i="14"/>
  <c r="P216" i="14"/>
  <c r="P260" i="14"/>
  <c r="P300" i="14"/>
  <c r="P141" i="14"/>
  <c r="P266" i="14"/>
  <c r="P120" i="14"/>
  <c r="P135" i="14"/>
  <c r="P238" i="14"/>
  <c r="P302" i="14"/>
  <c r="P165" i="14"/>
  <c r="P181" i="14"/>
  <c r="P191" i="14"/>
  <c r="P248" i="14"/>
  <c r="P220" i="14"/>
  <c r="P156" i="14"/>
  <c r="P43" i="14"/>
  <c r="P180" i="14"/>
  <c r="P210" i="14"/>
  <c r="P164" i="14"/>
  <c r="P145" i="14"/>
  <c r="P100" i="14"/>
  <c r="P4" i="14"/>
  <c r="P56" i="14"/>
  <c r="P290" i="14"/>
  <c r="P40" i="14"/>
  <c r="P48" i="14"/>
  <c r="P177" i="14"/>
  <c r="P168" i="14"/>
  <c r="P280" i="14"/>
  <c r="P155" i="14"/>
  <c r="P233" i="14"/>
  <c r="P8" i="14"/>
  <c r="P267" i="14"/>
  <c r="P71" i="14"/>
  <c r="P138" i="14"/>
  <c r="P209" i="14"/>
  <c r="P305" i="14"/>
  <c r="P286" i="14"/>
  <c r="P270" i="14"/>
  <c r="P60" i="14"/>
  <c r="P22" i="14"/>
  <c r="P47" i="14"/>
  <c r="P218" i="14"/>
  <c r="P252" i="14"/>
  <c r="P311" i="14"/>
  <c r="P259" i="14"/>
  <c r="P66" i="14"/>
  <c r="P6" i="14"/>
  <c r="P303" i="14"/>
  <c r="P219" i="14"/>
  <c r="P127" i="14"/>
  <c r="P261" i="14"/>
  <c r="P113" i="14"/>
  <c r="P89" i="14"/>
  <c r="P26" i="14"/>
  <c r="P36" i="14"/>
  <c r="P214" i="14"/>
  <c r="P268" i="14"/>
  <c r="P232" i="14"/>
  <c r="P128" i="14"/>
  <c r="P9" i="14"/>
  <c r="P173" i="14"/>
  <c r="P251" i="14"/>
  <c r="P276" i="14"/>
  <c r="P254" i="14"/>
  <c r="P298" i="14"/>
  <c r="P237" i="14"/>
  <c r="P18" i="14"/>
  <c r="P126" i="14"/>
  <c r="P30" i="14"/>
  <c r="P234" i="14"/>
  <c r="P42" i="14"/>
  <c r="P281" i="14"/>
  <c r="P201" i="14"/>
  <c r="P161" i="14"/>
  <c r="P211" i="14"/>
  <c r="P225" i="14"/>
  <c r="P157" i="14"/>
  <c r="P55" i="14"/>
  <c r="P115" i="14"/>
  <c r="P2" i="14"/>
  <c r="P25" i="14"/>
  <c r="P172" i="14"/>
  <c r="P10" i="14"/>
  <c r="P194" i="14"/>
  <c r="P263" i="14"/>
  <c r="P199" i="14"/>
  <c r="P230" i="14"/>
  <c r="P130" i="14"/>
  <c r="P51" i="14"/>
  <c r="P91" i="14"/>
  <c r="P317" i="14"/>
  <c r="P175" i="14"/>
  <c r="P87" i="14"/>
  <c r="P223" i="14"/>
  <c r="P288" i="14"/>
  <c r="P150" i="14"/>
  <c r="P159" i="14"/>
  <c r="P241" i="14"/>
  <c r="P227" i="14"/>
  <c r="P307" i="14"/>
  <c r="P277" i="14"/>
  <c r="P192" i="14"/>
  <c r="P97" i="14"/>
  <c r="P179" i="14"/>
  <c r="P278" i="14"/>
  <c r="P163" i="14"/>
  <c r="P132" i="14"/>
  <c r="P125" i="14"/>
  <c r="P269" i="14"/>
  <c r="P114" i="14"/>
  <c r="P81" i="14"/>
  <c r="P14" i="14"/>
  <c r="P49" i="14"/>
  <c r="P187" i="14"/>
  <c r="P70" i="14"/>
  <c r="P67" i="14"/>
  <c r="P29" i="14"/>
  <c r="P301" i="14"/>
  <c r="P54" i="14"/>
  <c r="P31" i="14"/>
  <c r="P88" i="14"/>
  <c r="P11" i="14"/>
  <c r="P250" i="14"/>
  <c r="P243" i="14"/>
  <c r="P83" i="14"/>
  <c r="P304" i="14"/>
  <c r="P44" i="14"/>
  <c r="P240" i="14"/>
  <c r="P217" i="14"/>
  <c r="P76" i="14"/>
  <c r="P90" i="14"/>
  <c r="P160" i="14"/>
  <c r="P213" i="14"/>
  <c r="P79" i="14"/>
  <c r="P293" i="14"/>
  <c r="P99" i="14"/>
  <c r="P169" i="14"/>
  <c r="P3" i="14"/>
  <c r="P110" i="14"/>
  <c r="P284" i="14"/>
  <c r="P174" i="14"/>
  <c r="P38" i="14"/>
  <c r="P140" i="14"/>
  <c r="P314" i="14"/>
  <c r="P310" i="14"/>
  <c r="P15" i="14"/>
  <c r="P320" i="14"/>
  <c r="P292" i="14"/>
  <c r="P212" i="14"/>
  <c r="P289" i="14"/>
  <c r="P185" i="14"/>
  <c r="P153" i="14"/>
  <c r="P72" i="14"/>
  <c r="P170" i="14"/>
  <c r="P253" i="14"/>
  <c r="P154" i="14"/>
  <c r="P74" i="14"/>
  <c r="P221" i="14"/>
  <c r="P285" i="14"/>
  <c r="P264" i="14"/>
  <c r="P46" i="14"/>
  <c r="P195" i="14"/>
  <c r="P316" i="14"/>
  <c r="P96" i="14"/>
  <c r="P64" i="14"/>
  <c r="P178" i="14"/>
  <c r="P7" i="14"/>
  <c r="P109" i="14"/>
  <c r="P134" i="14"/>
  <c r="P63" i="14"/>
  <c r="P142" i="14"/>
  <c r="P133" i="14"/>
  <c r="P193" i="14"/>
  <c r="P129" i="14"/>
  <c r="P273" i="14"/>
  <c r="P188" i="14"/>
  <c r="P77" i="14"/>
  <c r="P20" i="14"/>
  <c r="P93" i="14"/>
  <c r="P315" i="14"/>
  <c r="P182" i="14"/>
  <c r="P215" i="14"/>
  <c r="P242" i="14"/>
  <c r="P117" i="14"/>
  <c r="P224" i="14"/>
  <c r="P275" i="14"/>
  <c r="P118" i="14"/>
  <c r="P86" i="14"/>
  <c r="P309" i="14"/>
  <c r="P33" i="14"/>
  <c r="P23" i="14"/>
  <c r="P151" i="14"/>
  <c r="P162" i="14"/>
  <c r="P200" i="14"/>
  <c r="P190" i="14"/>
  <c r="P231" i="14"/>
  <c r="P104" i="14"/>
  <c r="P39" i="14"/>
  <c r="P62" i="14"/>
  <c r="P80" i="14"/>
  <c r="P197" i="14"/>
  <c r="P122" i="14"/>
  <c r="P27" i="14"/>
  <c r="P183" i="14"/>
  <c r="P24" i="14"/>
  <c r="P98" i="14"/>
  <c r="P257" i="14"/>
  <c r="P58" i="14"/>
  <c r="P296" i="14"/>
  <c r="P313" i="14"/>
  <c r="P124" i="14"/>
  <c r="P306" i="14"/>
  <c r="P136" i="14"/>
  <c r="P101" i="14"/>
  <c r="P148" i="14"/>
  <c r="P291" i="14"/>
  <c r="P147" i="14"/>
  <c r="P318" i="14"/>
  <c r="P73" i="14"/>
  <c r="P176" i="14"/>
  <c r="P149" i="14"/>
  <c r="P207" i="14"/>
  <c r="P94" i="14"/>
  <c r="P17" i="14"/>
  <c r="P239" i="14"/>
  <c r="P53" i="14"/>
  <c r="P186" i="14"/>
  <c r="P57" i="14"/>
  <c r="P106" i="14"/>
  <c r="P262" i="14"/>
  <c r="P272" i="14"/>
  <c r="P255" i="14"/>
  <c r="P321" i="14"/>
  <c r="P85" i="14"/>
  <c r="P52" i="14"/>
  <c r="P204" i="14"/>
  <c r="P294" i="14"/>
  <c r="P279" i="14"/>
  <c r="P158" i="14"/>
  <c r="P41" i="14"/>
  <c r="P226" i="14"/>
  <c r="P283" i="14"/>
  <c r="P13" i="14"/>
  <c r="P202" i="14"/>
  <c r="P111" i="14"/>
  <c r="P137" i="14"/>
  <c r="P121" i="14"/>
  <c r="P246" i="14"/>
  <c r="P196" i="14"/>
  <c r="P112" i="14"/>
  <c r="P249" i="14"/>
  <c r="P206" i="14"/>
  <c r="P34" i="14"/>
  <c r="P59" i="14"/>
  <c r="P102" i="14"/>
  <c r="P144" i="14"/>
  <c r="P5" i="14"/>
  <c r="P146" i="14"/>
  <c r="P45" i="14"/>
  <c r="P258" i="14"/>
  <c r="P75" i="14"/>
  <c r="P299" i="14"/>
  <c r="P256" i="14"/>
  <c r="P32" i="14"/>
  <c r="P92" i="14"/>
  <c r="P61" i="14"/>
  <c r="P78" i="14"/>
  <c r="P203" i="14"/>
  <c r="P228" i="14"/>
  <c r="P105" i="14"/>
  <c r="P152" i="14"/>
  <c r="P205" i="14"/>
  <c r="P229" i="14"/>
  <c r="P235" i="14"/>
  <c r="P322" i="14"/>
  <c r="P19" i="14"/>
  <c r="P103" i="14"/>
  <c r="P297" i="14"/>
  <c r="P84" i="14"/>
  <c r="P222" i="14"/>
  <c r="P69" i="14"/>
  <c r="P95" i="14"/>
  <c r="P50" i="14"/>
  <c r="P184" i="14"/>
  <c r="P308" i="14"/>
  <c r="P119" i="14"/>
  <c r="P198" i="14"/>
  <c r="P131" i="14"/>
  <c r="P312" i="14"/>
  <c r="P108" i="14"/>
  <c r="M146" i="13"/>
  <c r="M229" i="13"/>
  <c r="M266" i="13"/>
  <c r="M221" i="13"/>
  <c r="M78" i="13"/>
  <c r="M142" i="13"/>
  <c r="M238" i="13"/>
  <c r="M183" i="13"/>
  <c r="M100" i="13"/>
  <c r="M47" i="13"/>
  <c r="M137" i="13"/>
  <c r="M268" i="13"/>
  <c r="M110" i="13"/>
  <c r="M282" i="13"/>
  <c r="M272" i="13"/>
  <c r="M135" i="13"/>
  <c r="M263" i="13"/>
  <c r="M230" i="13"/>
  <c r="M107" i="13"/>
  <c r="M200" i="13"/>
  <c r="M320" i="13"/>
  <c r="M321" i="13"/>
  <c r="M322" i="13"/>
  <c r="M218" i="13"/>
  <c r="M236" i="13"/>
  <c r="M21" i="13"/>
  <c r="M66" i="13"/>
  <c r="M68" i="13"/>
  <c r="M209" i="13"/>
  <c r="M295" i="13"/>
  <c r="M259" i="13"/>
  <c r="M19" i="13"/>
  <c r="M284" i="13"/>
  <c r="M121" i="13"/>
  <c r="M303" i="13"/>
  <c r="M99" i="13"/>
  <c r="M287" i="13"/>
  <c r="M34" i="13"/>
  <c r="M134" i="13"/>
  <c r="M242" i="13"/>
  <c r="M215" i="13"/>
  <c r="M203" i="13"/>
  <c r="M136" i="13"/>
  <c r="M158" i="13"/>
  <c r="M77" i="13"/>
  <c r="M155" i="13"/>
  <c r="M167" i="13"/>
  <c r="M20" i="13"/>
  <c r="M58" i="13"/>
  <c r="M17" i="13"/>
  <c r="M177" i="13"/>
  <c r="M75" i="13"/>
  <c r="M22" i="13"/>
  <c r="M62" i="13"/>
  <c r="M106" i="13"/>
  <c r="M211" i="13"/>
  <c r="M195" i="13"/>
  <c r="M226" i="13"/>
  <c r="M7" i="13"/>
  <c r="M32" i="13"/>
  <c r="M84" i="13"/>
  <c r="M151" i="13"/>
  <c r="M280" i="13"/>
  <c r="M13" i="13"/>
  <c r="M228" i="13"/>
  <c r="M102" i="13"/>
  <c r="M5" i="13"/>
  <c r="M25" i="13"/>
  <c r="M149" i="13"/>
  <c r="M63" i="13"/>
  <c r="M85" i="13"/>
  <c r="M122" i="13"/>
  <c r="M172" i="13"/>
  <c r="M43" i="13"/>
  <c r="M174" i="13"/>
  <c r="M306" i="13"/>
  <c r="M297" i="13"/>
  <c r="M257" i="13"/>
  <c r="M288" i="13"/>
  <c r="M194" i="13"/>
  <c r="M283" i="13"/>
  <c r="M175" i="13"/>
  <c r="M55" i="13"/>
  <c r="M262" i="13"/>
  <c r="M274" i="13"/>
  <c r="M292" i="13"/>
  <c r="M3" i="13"/>
  <c r="M273" i="13"/>
  <c r="M291" i="13"/>
  <c r="M275" i="13"/>
  <c r="M207" i="13"/>
  <c r="M315" i="13"/>
  <c r="M214" i="13"/>
  <c r="M193" i="13"/>
  <c r="M256" i="13"/>
  <c r="M198" i="13"/>
  <c r="M132" i="13"/>
  <c r="M70" i="13"/>
  <c r="M239" i="13"/>
  <c r="M15" i="13"/>
  <c r="M300" i="13"/>
  <c r="M129" i="13"/>
  <c r="M59" i="13"/>
  <c r="M281" i="13"/>
  <c r="M299" i="13"/>
  <c r="M76" i="13"/>
  <c r="M105" i="13"/>
  <c r="M61" i="13"/>
  <c r="M197" i="13"/>
  <c r="M244" i="13"/>
  <c r="M254" i="13"/>
  <c r="M83" i="13"/>
  <c r="M150" i="13"/>
  <c r="M310" i="13"/>
  <c r="M141" i="13"/>
  <c r="M144" i="13"/>
  <c r="M60" i="13"/>
  <c r="M289" i="13"/>
  <c r="M298" i="13"/>
  <c r="M45" i="13"/>
  <c r="M233" i="13"/>
  <c r="M108" i="13"/>
  <c r="M10" i="13"/>
  <c r="M205" i="13"/>
  <c r="M305" i="13"/>
  <c r="M269" i="13"/>
  <c r="M103" i="13"/>
  <c r="M31" i="13"/>
  <c r="M87" i="13"/>
  <c r="M264" i="13"/>
  <c r="M86" i="13"/>
  <c r="M286" i="13"/>
  <c r="M294" i="13"/>
  <c r="M52" i="13"/>
  <c r="M185" i="13"/>
  <c r="M79" i="13"/>
  <c r="M14" i="13"/>
  <c r="M243" i="13"/>
  <c r="M161" i="13"/>
  <c r="M82" i="13"/>
  <c r="M179" i="13"/>
  <c r="M41" i="13"/>
  <c r="M115" i="13"/>
  <c r="M112" i="13"/>
  <c r="M97" i="13"/>
  <c r="M245" i="13"/>
  <c r="M237" i="13"/>
  <c r="M71" i="13"/>
  <c r="M72" i="13"/>
  <c r="M277" i="13"/>
  <c r="M249" i="13"/>
  <c r="M313" i="13"/>
  <c r="M276" i="13"/>
  <c r="M39" i="13"/>
  <c r="M36" i="13"/>
  <c r="M293" i="13"/>
  <c r="M208" i="13"/>
  <c r="M27" i="13"/>
  <c r="M29" i="13"/>
  <c r="M26" i="13"/>
  <c r="M159" i="13"/>
  <c r="M12" i="13"/>
  <c r="M64" i="13"/>
  <c r="M56" i="13"/>
  <c r="M138" i="13"/>
  <c r="M192" i="13"/>
  <c r="M33" i="13"/>
  <c r="M181" i="13"/>
  <c r="M42" i="13"/>
  <c r="M30" i="13"/>
  <c r="M44" i="13"/>
  <c r="M46" i="13"/>
  <c r="M48" i="13"/>
  <c r="M311" i="13"/>
  <c r="M251" i="13"/>
  <c r="M319" i="13"/>
  <c r="M190" i="13"/>
  <c r="M163" i="13"/>
  <c r="M89" i="13"/>
  <c r="M24" i="13"/>
  <c r="M301" i="13"/>
  <c r="M169" i="13"/>
  <c r="M309" i="13"/>
  <c r="M227" i="13"/>
  <c r="M53" i="13"/>
  <c r="M145" i="13"/>
  <c r="M92" i="13"/>
  <c r="M240" i="13"/>
  <c r="M316" i="13"/>
  <c r="M235" i="13"/>
  <c r="M67" i="13"/>
  <c r="M232" i="13"/>
  <c r="M248" i="13"/>
  <c r="M9" i="13"/>
  <c r="M124" i="13"/>
  <c r="M290" i="13"/>
  <c r="M279" i="13"/>
  <c r="M222" i="13"/>
  <c r="M148" i="13"/>
  <c r="M152" i="13"/>
  <c r="M2" i="13"/>
  <c r="M128" i="13"/>
  <c r="M120" i="13"/>
  <c r="M162" i="13"/>
  <c r="M225" i="13"/>
  <c r="M189" i="13"/>
  <c r="M96" i="13"/>
  <c r="M139" i="13"/>
  <c r="M153" i="13"/>
  <c r="M111" i="13"/>
  <c r="M88" i="13"/>
  <c r="M307" i="13"/>
  <c r="M217" i="13"/>
  <c r="M16" i="13"/>
  <c r="M302" i="13"/>
  <c r="M246" i="13"/>
  <c r="M49" i="13"/>
  <c r="M199" i="13"/>
  <c r="M304" i="13"/>
  <c r="M318" i="13"/>
  <c r="M224" i="13"/>
  <c r="M165" i="13"/>
  <c r="M104" i="13"/>
  <c r="M184" i="13"/>
  <c r="M312" i="13"/>
  <c r="M164" i="13"/>
  <c r="M109" i="13"/>
  <c r="M219" i="13"/>
  <c r="M18" i="13"/>
  <c r="M241" i="13"/>
  <c r="M253" i="13"/>
  <c r="M267" i="13"/>
  <c r="M73" i="13"/>
  <c r="M231" i="13"/>
  <c r="M65" i="13"/>
  <c r="M91" i="13"/>
  <c r="M188" i="13"/>
  <c r="M213" i="13"/>
  <c r="M250" i="13"/>
  <c r="M8" i="13"/>
  <c r="M11" i="13"/>
  <c r="M37" i="13"/>
  <c r="M317" i="13"/>
  <c r="M258" i="13"/>
  <c r="M116" i="13"/>
  <c r="M94" i="13"/>
  <c r="M265" i="13"/>
  <c r="M204" i="13"/>
  <c r="M176" i="13"/>
  <c r="M271" i="13"/>
  <c r="M191" i="13"/>
  <c r="M125" i="13"/>
  <c r="M220" i="13"/>
  <c r="M118" i="13"/>
  <c r="M4" i="13"/>
  <c r="M196" i="13"/>
  <c r="M216" i="13"/>
  <c r="M126" i="13"/>
  <c r="M74" i="13"/>
  <c r="M171" i="13"/>
  <c r="M90" i="13"/>
  <c r="M247" i="13"/>
  <c r="M160" i="13"/>
  <c r="M157" i="13"/>
  <c r="M234" i="13"/>
  <c r="M127" i="13"/>
  <c r="M168" i="13"/>
  <c r="M51" i="13"/>
  <c r="M261" i="13"/>
  <c r="M133" i="13"/>
  <c r="M285" i="13"/>
  <c r="M314" i="13"/>
  <c r="M143" i="13"/>
  <c r="M98" i="13"/>
  <c r="M23" i="13"/>
  <c r="M101" i="13"/>
  <c r="M260" i="13"/>
  <c r="M130" i="13"/>
  <c r="M117" i="13"/>
  <c r="M113" i="13"/>
  <c r="M93" i="13"/>
  <c r="M186" i="13"/>
  <c r="M270" i="13"/>
  <c r="M119" i="13"/>
  <c r="M154" i="13"/>
  <c r="M140" i="13"/>
  <c r="M6" i="13"/>
  <c r="M182" i="13"/>
  <c r="M80" i="13"/>
  <c r="M210" i="13"/>
  <c r="M28" i="13"/>
  <c r="M187" i="13"/>
  <c r="M173" i="13"/>
  <c r="M147" i="13"/>
  <c r="M308" i="13"/>
  <c r="M35" i="13"/>
  <c r="M255" i="13"/>
  <c r="M278" i="13"/>
  <c r="M223" i="13"/>
  <c r="M123" i="13"/>
  <c r="M95" i="13"/>
  <c r="M202" i="13"/>
  <c r="M170" i="13"/>
  <c r="M131" i="13"/>
  <c r="M156" i="13"/>
  <c r="M212" i="13"/>
  <c r="M114" i="13"/>
  <c r="M38" i="13"/>
  <c r="M166" i="13"/>
  <c r="M252" i="13"/>
  <c r="M201" i="13"/>
  <c r="M206" i="13"/>
  <c r="M81" i="13"/>
  <c r="M40" i="13"/>
  <c r="M54" i="13"/>
  <c r="M178" i="13"/>
  <c r="M296" i="13"/>
  <c r="M50" i="13"/>
  <c r="M57" i="13"/>
  <c r="M69" i="13"/>
  <c r="O2" i="12"/>
  <c r="P140" i="12" s="1"/>
  <c r="P66" i="12" l="1"/>
  <c r="P277" i="12"/>
  <c r="P121" i="12"/>
  <c r="P281" i="12"/>
  <c r="P98" i="12"/>
  <c r="P232" i="12"/>
  <c r="P317" i="12"/>
  <c r="P119" i="12"/>
  <c r="P319" i="12"/>
  <c r="P65" i="12"/>
  <c r="P19" i="12"/>
  <c r="P291" i="12"/>
  <c r="P36" i="12"/>
  <c r="P16" i="12"/>
  <c r="P141" i="12"/>
  <c r="P300" i="12"/>
  <c r="P322" i="12"/>
  <c r="P315" i="12"/>
  <c r="P267" i="12"/>
  <c r="P101" i="12"/>
  <c r="P164" i="12"/>
  <c r="P316" i="12"/>
  <c r="P321" i="12"/>
  <c r="P295" i="12"/>
  <c r="P290" i="12"/>
  <c r="P113" i="12"/>
  <c r="P97" i="12"/>
  <c r="P320" i="12"/>
  <c r="P219" i="12"/>
  <c r="P32" i="12"/>
  <c r="P56" i="12"/>
  <c r="P318" i="12"/>
  <c r="P314" i="12"/>
  <c r="P47" i="12"/>
  <c r="P31" i="12"/>
  <c r="P71" i="12"/>
  <c r="P74" i="12"/>
  <c r="P72" i="12"/>
  <c r="P68" i="12"/>
  <c r="P8" i="12"/>
  <c r="P104" i="12"/>
  <c r="P196" i="12"/>
  <c r="P272" i="12"/>
  <c r="P175" i="12"/>
  <c r="P137" i="12"/>
  <c r="P136" i="12"/>
  <c r="P207" i="12"/>
  <c r="P209" i="12"/>
  <c r="P304" i="12"/>
  <c r="P127" i="12"/>
  <c r="P10" i="12"/>
  <c r="P222" i="12"/>
  <c r="P265" i="12"/>
  <c r="P59" i="12"/>
  <c r="P216" i="12"/>
  <c r="P5" i="12"/>
  <c r="P172" i="12"/>
  <c r="P298" i="12"/>
  <c r="P107" i="12"/>
  <c r="P262" i="12"/>
  <c r="P258" i="12"/>
  <c r="P309" i="12"/>
  <c r="P54" i="12"/>
  <c r="P242" i="12"/>
  <c r="P154" i="12"/>
  <c r="P149" i="12"/>
  <c r="P57" i="12"/>
  <c r="P313" i="12"/>
  <c r="P179" i="12"/>
  <c r="P46" i="12"/>
  <c r="P297" i="12"/>
  <c r="P310" i="12"/>
  <c r="O2" i="13"/>
  <c r="P77" i="13" s="1"/>
  <c r="P155" i="12"/>
  <c r="P253" i="12"/>
  <c r="P75" i="12"/>
  <c r="P168" i="12"/>
  <c r="P299" i="12"/>
  <c r="P18" i="12"/>
  <c r="P233" i="12"/>
  <c r="P204" i="12"/>
  <c r="P126" i="12"/>
  <c r="P263" i="12"/>
  <c r="P266" i="12"/>
  <c r="P211" i="12"/>
  <c r="P50" i="12"/>
  <c r="P152" i="12"/>
  <c r="P33" i="12"/>
  <c r="P235" i="12"/>
  <c r="P55" i="12"/>
  <c r="P289" i="12"/>
  <c r="P247" i="12"/>
  <c r="P285" i="12"/>
  <c r="P63" i="12"/>
  <c r="P34" i="12"/>
  <c r="P44" i="12"/>
  <c r="P249" i="12"/>
  <c r="P145" i="12"/>
  <c r="P158" i="12"/>
  <c r="P227" i="12"/>
  <c r="P230" i="12"/>
  <c r="P181" i="12"/>
  <c r="P86" i="12"/>
  <c r="P93" i="12"/>
  <c r="P153" i="12"/>
  <c r="P284" i="12"/>
  <c r="P106" i="12"/>
  <c r="P257" i="12"/>
  <c r="P241" i="12"/>
  <c r="P109" i="12"/>
  <c r="P58" i="12"/>
  <c r="P228" i="12"/>
  <c r="P239" i="12"/>
  <c r="P125" i="12"/>
  <c r="P100" i="12"/>
  <c r="P212" i="12"/>
  <c r="P256" i="12"/>
  <c r="P105" i="12"/>
  <c r="P117" i="12"/>
  <c r="P12" i="12"/>
  <c r="P40" i="12"/>
  <c r="P189" i="12"/>
  <c r="P296" i="12"/>
  <c r="P135" i="12"/>
  <c r="P88" i="12"/>
  <c r="P308" i="12"/>
  <c r="P49" i="12"/>
  <c r="P188" i="12"/>
  <c r="P218" i="12"/>
  <c r="P128" i="12"/>
  <c r="P70" i="12"/>
  <c r="P273" i="12"/>
  <c r="P240" i="12"/>
  <c r="P184" i="12"/>
  <c r="P260" i="12"/>
  <c r="P224" i="12"/>
  <c r="P220" i="12"/>
  <c r="P170" i="12"/>
  <c r="P85" i="12"/>
  <c r="P248" i="12"/>
  <c r="P231" i="12"/>
  <c r="P87" i="12"/>
  <c r="P151" i="12"/>
  <c r="P14" i="12"/>
  <c r="P156" i="12"/>
  <c r="P73" i="12"/>
  <c r="P78" i="12"/>
  <c r="P194" i="12"/>
  <c r="P161" i="12"/>
  <c r="P80" i="12"/>
  <c r="P274" i="12"/>
  <c r="P124" i="12"/>
  <c r="P51" i="12"/>
  <c r="P15" i="12"/>
  <c r="P25" i="12"/>
  <c r="P213" i="12"/>
  <c r="P283" i="12"/>
  <c r="P120" i="12"/>
  <c r="P246" i="12"/>
  <c r="P77" i="12"/>
  <c r="P225" i="12"/>
  <c r="P9" i="12"/>
  <c r="P79" i="12"/>
  <c r="P245" i="12"/>
  <c r="P35" i="12"/>
  <c r="P171" i="12"/>
  <c r="P52" i="12"/>
  <c r="P306" i="12"/>
  <c r="P185" i="12"/>
  <c r="P226" i="12"/>
  <c r="P42" i="12"/>
  <c r="P237" i="12"/>
  <c r="P118" i="12"/>
  <c r="P288" i="12"/>
  <c r="P254" i="12"/>
  <c r="P95" i="12"/>
  <c r="P115" i="12"/>
  <c r="P271" i="12"/>
  <c r="P23" i="12"/>
  <c r="P146" i="12"/>
  <c r="P163" i="12"/>
  <c r="P234" i="12"/>
  <c r="P81" i="12"/>
  <c r="P292" i="12"/>
  <c r="P82" i="12"/>
  <c r="P276" i="12"/>
  <c r="P99" i="12"/>
  <c r="P169" i="12"/>
  <c r="P2" i="12"/>
  <c r="P264" i="12"/>
  <c r="P102" i="12"/>
  <c r="P270" i="12"/>
  <c r="P129" i="12"/>
  <c r="P122" i="12"/>
  <c r="P29" i="12"/>
  <c r="P190" i="12"/>
  <c r="P103" i="12"/>
  <c r="P195" i="12"/>
  <c r="P177" i="12"/>
  <c r="P200" i="12"/>
  <c r="P20" i="12"/>
  <c r="P305" i="12"/>
  <c r="P167" i="12"/>
  <c r="P278" i="12"/>
  <c r="P193" i="12"/>
  <c r="P150" i="12"/>
  <c r="P210" i="12"/>
  <c r="P148" i="12"/>
  <c r="P198" i="12"/>
  <c r="P197" i="12"/>
  <c r="P111" i="12"/>
  <c r="P243" i="12"/>
  <c r="P131" i="12"/>
  <c r="P261" i="12"/>
  <c r="P112" i="12"/>
  <c r="P202" i="12"/>
  <c r="P139" i="12"/>
  <c r="P286" i="12"/>
  <c r="P279" i="12"/>
  <c r="P17" i="12"/>
  <c r="P191" i="12"/>
  <c r="P96" i="12"/>
  <c r="P26" i="12"/>
  <c r="P229" i="12"/>
  <c r="P147" i="12"/>
  <c r="P282" i="12"/>
  <c r="P178" i="12"/>
  <c r="P11" i="12"/>
  <c r="P174" i="12"/>
  <c r="P307" i="12"/>
  <c r="P114" i="12"/>
  <c r="P215" i="12"/>
  <c r="P7" i="12"/>
  <c r="P84" i="12"/>
  <c r="P76" i="12"/>
  <c r="P303" i="12"/>
  <c r="P269" i="12"/>
  <c r="P238" i="12"/>
  <c r="P92" i="12"/>
  <c r="P214" i="12"/>
  <c r="P180" i="12"/>
  <c r="P132" i="12"/>
  <c r="P43" i="12"/>
  <c r="P182" i="12"/>
  <c r="P62" i="12"/>
  <c r="P301" i="12"/>
  <c r="P206" i="12"/>
  <c r="P116" i="12"/>
  <c r="P27" i="12"/>
  <c r="P165" i="12"/>
  <c r="P13" i="12"/>
  <c r="P48" i="12"/>
  <c r="P142" i="12"/>
  <c r="P162" i="12"/>
  <c r="P67" i="12"/>
  <c r="P91" i="12"/>
  <c r="P252" i="12"/>
  <c r="P37" i="12"/>
  <c r="P22" i="12"/>
  <c r="P205" i="12"/>
  <c r="P64" i="12"/>
  <c r="P30" i="12"/>
  <c r="P157" i="12"/>
  <c r="P159" i="12"/>
  <c r="P311" i="12"/>
  <c r="P61" i="12"/>
  <c r="P41" i="12"/>
  <c r="P144" i="12"/>
  <c r="P259" i="12"/>
  <c r="P166" i="12"/>
  <c r="P21" i="12"/>
  <c r="P89" i="12"/>
  <c r="P192" i="12"/>
  <c r="P28" i="12"/>
  <c r="P90" i="12"/>
  <c r="P183" i="12"/>
  <c r="P251" i="12"/>
  <c r="P217" i="12"/>
  <c r="P176" i="12"/>
  <c r="P302" i="12"/>
  <c r="P275" i="12"/>
  <c r="P294" i="12"/>
  <c r="P268" i="12"/>
  <c r="P173" i="12"/>
  <c r="P39" i="12"/>
  <c r="P236" i="12"/>
  <c r="P223" i="12"/>
  <c r="P24" i="12"/>
  <c r="P187" i="12"/>
  <c r="P293" i="12"/>
  <c r="P4" i="12"/>
  <c r="P244" i="12"/>
  <c r="P250" i="12"/>
  <c r="P69" i="12"/>
  <c r="P221" i="12"/>
  <c r="P110" i="12"/>
  <c r="P6" i="12"/>
  <c r="P186" i="12"/>
  <c r="P130" i="12"/>
  <c r="P255" i="12"/>
  <c r="P201" i="12"/>
  <c r="P60" i="12"/>
  <c r="P134" i="12"/>
  <c r="P199" i="12"/>
  <c r="P133" i="12"/>
  <c r="P203" i="12"/>
  <c r="P3" i="12"/>
  <c r="P45" i="12"/>
  <c r="P108" i="12"/>
  <c r="P94" i="12"/>
  <c r="P312" i="12"/>
  <c r="P53" i="12"/>
  <c r="P160" i="12"/>
  <c r="P287" i="12"/>
  <c r="P143" i="12"/>
  <c r="P123" i="12"/>
  <c r="P280" i="12"/>
  <c r="P38" i="12"/>
  <c r="P83" i="12"/>
  <c r="P138" i="12"/>
  <c r="P208" i="12"/>
  <c r="P307" i="13" l="1"/>
  <c r="P275" i="13"/>
  <c r="P198" i="13"/>
  <c r="P267" i="13"/>
  <c r="P165" i="13"/>
  <c r="P305" i="13"/>
  <c r="P239" i="13"/>
  <c r="P91" i="13"/>
  <c r="P21" i="13"/>
  <c r="P246" i="13"/>
  <c r="P30" i="13"/>
  <c r="P277" i="13"/>
  <c r="P214" i="13"/>
  <c r="P82" i="13"/>
  <c r="P102" i="13"/>
  <c r="P185" i="13"/>
  <c r="P59" i="13"/>
  <c r="P210" i="13"/>
  <c r="P311" i="13"/>
  <c r="P172" i="13"/>
  <c r="P243" i="13"/>
  <c r="P176" i="13"/>
  <c r="P226" i="13"/>
  <c r="P284" i="13"/>
  <c r="P121" i="13"/>
  <c r="P282" i="13"/>
  <c r="P41" i="13"/>
  <c r="P183" i="13"/>
  <c r="P278" i="13"/>
  <c r="P3" i="13"/>
  <c r="P125" i="13"/>
  <c r="P205" i="13"/>
  <c r="P236" i="13"/>
  <c r="P228" i="13"/>
  <c r="P180" i="13"/>
  <c r="P115" i="13"/>
  <c r="P32" i="13"/>
  <c r="P12" i="13"/>
  <c r="P186" i="13"/>
  <c r="P301" i="13"/>
  <c r="P317" i="13"/>
  <c r="P230" i="13"/>
  <c r="P196" i="13"/>
  <c r="P235" i="13"/>
  <c r="P208" i="13"/>
  <c r="P131" i="13"/>
  <c r="P124" i="13"/>
  <c r="P302" i="13"/>
  <c r="P67" i="13"/>
  <c r="P177" i="13"/>
  <c r="P266" i="13"/>
  <c r="P96" i="13"/>
  <c r="P169" i="13"/>
  <c r="P308" i="13"/>
  <c r="P254" i="13"/>
  <c r="P92" i="13"/>
  <c r="P313" i="13"/>
  <c r="P223" i="13"/>
  <c r="P167" i="13"/>
  <c r="P191" i="13"/>
  <c r="P240" i="13"/>
  <c r="P189" i="13"/>
  <c r="P174" i="13"/>
  <c r="P260" i="13"/>
  <c r="P56" i="13"/>
  <c r="P225" i="13"/>
  <c r="P114" i="13"/>
  <c r="P279" i="13"/>
  <c r="P94" i="13"/>
  <c r="P288" i="13"/>
  <c r="P85" i="13"/>
  <c r="P122" i="13"/>
  <c r="P101" i="13"/>
  <c r="P209" i="13"/>
  <c r="P274" i="13"/>
  <c r="P259" i="13"/>
  <c r="P93" i="13"/>
  <c r="P4" i="13"/>
  <c r="P262" i="13"/>
  <c r="P141" i="13"/>
  <c r="P212" i="13"/>
  <c r="P72" i="13"/>
  <c r="P245" i="13"/>
  <c r="P136" i="13"/>
  <c r="P48" i="13"/>
  <c r="P26" i="13"/>
  <c r="P281" i="13"/>
  <c r="P298" i="13"/>
  <c r="P195" i="13"/>
  <c r="P15" i="13"/>
  <c r="P280" i="13"/>
  <c r="P173" i="13"/>
  <c r="P64" i="13"/>
  <c r="P312" i="13"/>
  <c r="P147" i="13"/>
  <c r="P73" i="13"/>
  <c r="P201" i="13"/>
  <c r="P25" i="13"/>
  <c r="P148" i="13"/>
  <c r="P161" i="13"/>
  <c r="P58" i="13"/>
  <c r="P304" i="13"/>
  <c r="P129" i="13"/>
  <c r="P109" i="13"/>
  <c r="P159" i="13"/>
  <c r="P107" i="13"/>
  <c r="P211" i="13"/>
  <c r="P100" i="13"/>
  <c r="P80" i="13"/>
  <c r="P134" i="13"/>
  <c r="P233" i="13"/>
  <c r="P204" i="13"/>
  <c r="P216" i="13"/>
  <c r="P49" i="13"/>
  <c r="P116" i="13"/>
  <c r="P286" i="13"/>
  <c r="P60" i="13"/>
  <c r="P27" i="13"/>
  <c r="P315" i="13"/>
  <c r="P119" i="13"/>
  <c r="P200" i="13"/>
  <c r="P24" i="13"/>
  <c r="P7" i="13"/>
  <c r="P95" i="13"/>
  <c r="P150" i="13"/>
  <c r="P272" i="13"/>
  <c r="P202" i="13"/>
  <c r="P55" i="13"/>
  <c r="P264" i="13"/>
  <c r="P164" i="13"/>
  <c r="P146" i="13"/>
  <c r="P227" i="13"/>
  <c r="P9" i="13"/>
  <c r="P126" i="13"/>
  <c r="P19" i="13"/>
  <c r="P291" i="13"/>
  <c r="P110" i="13"/>
  <c r="P310" i="13"/>
  <c r="P257" i="13"/>
  <c r="P255" i="13"/>
  <c r="P188" i="13"/>
  <c r="P103" i="13"/>
  <c r="P43" i="13"/>
  <c r="P268" i="13"/>
  <c r="P104" i="13"/>
  <c r="P52" i="13"/>
  <c r="P190" i="13"/>
  <c r="P47" i="13"/>
  <c r="P70" i="13"/>
  <c r="P187" i="13"/>
  <c r="P224" i="13"/>
  <c r="P145" i="13"/>
  <c r="P219" i="13"/>
  <c r="P166" i="13"/>
  <c r="P69" i="13"/>
  <c r="P290" i="13"/>
  <c r="P252" i="13"/>
  <c r="P16" i="13"/>
  <c r="P142" i="13"/>
  <c r="P170" i="13"/>
  <c r="P97" i="13"/>
  <c r="P322" i="13"/>
  <c r="P39" i="13"/>
  <c r="P13" i="13"/>
  <c r="P154" i="13"/>
  <c r="P140" i="13"/>
  <c r="P135" i="13"/>
  <c r="P57" i="13"/>
  <c r="P113" i="13"/>
  <c r="P10" i="13"/>
  <c r="P256" i="13"/>
  <c r="P182" i="13"/>
  <c r="P250" i="13"/>
  <c r="P309" i="13"/>
  <c r="P66" i="13"/>
  <c r="P156" i="13"/>
  <c r="P88" i="13"/>
  <c r="P75" i="13"/>
  <c r="P283" i="13"/>
  <c r="P89" i="13"/>
  <c r="P193" i="13"/>
  <c r="P276" i="13"/>
  <c r="P270" i="13"/>
  <c r="P87" i="13"/>
  <c r="P258" i="13"/>
  <c r="P207" i="13"/>
  <c r="P123" i="13"/>
  <c r="P112" i="13"/>
  <c r="P232" i="13"/>
  <c r="P65" i="13"/>
  <c r="P192" i="13"/>
  <c r="P120" i="13"/>
  <c r="P79" i="13"/>
  <c r="P318" i="13"/>
  <c r="P78" i="13"/>
  <c r="P237" i="13"/>
  <c r="P238" i="13"/>
  <c r="P321" i="13"/>
  <c r="P137" i="13"/>
  <c r="P35" i="13"/>
  <c r="P287" i="13"/>
  <c r="P316" i="13"/>
  <c r="P299" i="13"/>
  <c r="P68" i="13"/>
  <c r="P84" i="13"/>
  <c r="P139" i="13"/>
  <c r="P130" i="13"/>
  <c r="P53" i="13"/>
  <c r="P31" i="13"/>
  <c r="P29" i="13"/>
  <c r="P28" i="13"/>
  <c r="P151" i="13"/>
  <c r="P271" i="13"/>
  <c r="P118" i="13"/>
  <c r="P38" i="13"/>
  <c r="P62" i="13"/>
  <c r="P242" i="13"/>
  <c r="P37" i="13"/>
  <c r="P83" i="13"/>
  <c r="P50" i="13"/>
  <c r="P111" i="13"/>
  <c r="P175" i="13"/>
  <c r="P152" i="13"/>
  <c r="P6" i="13"/>
  <c r="P293" i="13"/>
  <c r="P106" i="13"/>
  <c r="P320" i="13"/>
  <c r="P46" i="13"/>
  <c r="P269" i="13"/>
  <c r="P289" i="13"/>
  <c r="P221" i="13"/>
  <c r="P295" i="13"/>
  <c r="P220" i="13"/>
  <c r="P138" i="13"/>
  <c r="P265" i="13"/>
  <c r="P99" i="13"/>
  <c r="P215" i="13"/>
  <c r="P74" i="13"/>
  <c r="P231" i="13"/>
  <c r="P171" i="13"/>
  <c r="P206" i="13"/>
  <c r="P144" i="13"/>
  <c r="P300" i="13"/>
  <c r="P128" i="13"/>
  <c r="P90" i="13"/>
  <c r="P81" i="13"/>
  <c r="P108" i="13"/>
  <c r="P63" i="13"/>
  <c r="P44" i="13"/>
  <c r="P247" i="13"/>
  <c r="P248" i="13"/>
  <c r="P17" i="13"/>
  <c r="P179" i="13"/>
  <c r="P160" i="13"/>
  <c r="P54" i="13"/>
  <c r="P117" i="13"/>
  <c r="P229" i="13"/>
  <c r="P244" i="13"/>
  <c r="P157" i="13"/>
  <c r="P178" i="13"/>
  <c r="P18" i="13"/>
  <c r="P253" i="13"/>
  <c r="P194" i="13"/>
  <c r="P234" i="13"/>
  <c r="P296" i="13"/>
  <c r="P162" i="13"/>
  <c r="P263" i="13"/>
  <c r="P127" i="13"/>
  <c r="P5" i="13"/>
  <c r="P149" i="13"/>
  <c r="P181" i="13"/>
  <c r="P86" i="13"/>
  <c r="P303" i="13"/>
  <c r="P218" i="13"/>
  <c r="P8" i="13"/>
  <c r="P34" i="13"/>
  <c r="P40" i="13"/>
  <c r="P11" i="13"/>
  <c r="P51" i="13"/>
  <c r="P197" i="13"/>
  <c r="P158" i="13"/>
  <c r="P61" i="13"/>
  <c r="P153" i="13"/>
  <c r="P261" i="13"/>
  <c r="P319" i="13"/>
  <c r="P241" i="13"/>
  <c r="P297" i="13"/>
  <c r="P163" i="13"/>
  <c r="P133" i="13"/>
  <c r="P273" i="13"/>
  <c r="P222" i="13"/>
  <c r="P203" i="13"/>
  <c r="P71" i="13"/>
  <c r="P285" i="13"/>
  <c r="P36" i="13"/>
  <c r="P33" i="13"/>
  <c r="P155" i="13"/>
  <c r="P292" i="13"/>
  <c r="P314" i="13"/>
  <c r="P184" i="13"/>
  <c r="P14" i="13"/>
  <c r="P213" i="13"/>
  <c r="P20" i="13"/>
  <c r="P143" i="13"/>
  <c r="P294" i="13"/>
  <c r="P105" i="13"/>
  <c r="P217" i="13"/>
  <c r="P98" i="13"/>
  <c r="P2" i="13"/>
  <c r="P306" i="13"/>
  <c r="P251" i="13"/>
  <c r="P45" i="13"/>
  <c r="P22" i="13"/>
  <c r="P76" i="13"/>
  <c r="P249" i="13"/>
  <c r="P42" i="13"/>
  <c r="P199" i="13"/>
  <c r="P23" i="13"/>
  <c r="P168" i="13"/>
  <c r="P132" i="13"/>
</calcChain>
</file>

<file path=xl/sharedStrings.xml><?xml version="1.0" encoding="utf-8"?>
<sst xmlns="http://schemas.openxmlformats.org/spreadsheetml/2006/main" count="84" uniqueCount="19">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</sst>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'240816A010'!$J$2:$J$321</c:f>
              <c:numCache>
                <c:formatCode>0.0</c:formatCode>
                <c:ptCount val="320"/>
                <c:pt idx="0">
                  <c:v>772.95769183357004</c:v>
                </c:pt>
                <c:pt idx="1">
                  <c:v>775.18320908837995</c:v>
                </c:pt>
                <c:pt idx="2">
                  <c:v>785.65126807715001</c:v>
                </c:pt>
                <c:pt idx="3">
                  <c:v>780.07382356566995</c:v>
                </c:pt>
                <c:pt idx="4">
                  <c:v>776.17613328921993</c:v>
                </c:pt>
                <c:pt idx="5">
                  <c:v>779.3143326131601</c:v>
                </c:pt>
                <c:pt idx="6">
                  <c:v>780.34607638957004</c:v>
                </c:pt>
                <c:pt idx="7">
                  <c:v>771.39753196955996</c:v>
                </c:pt>
                <c:pt idx="8">
                  <c:v>767.24957341483002</c:v>
                </c:pt>
                <c:pt idx="9">
                  <c:v>747.53017433221999</c:v>
                </c:pt>
                <c:pt idx="10">
                  <c:v>724.39783625617008</c:v>
                </c:pt>
                <c:pt idx="11">
                  <c:v>714.92630684287997</c:v>
                </c:pt>
                <c:pt idx="12">
                  <c:v>756.97643669139006</c:v>
                </c:pt>
                <c:pt idx="13">
                  <c:v>756.07731839410008</c:v>
                </c:pt>
                <c:pt idx="14">
                  <c:v>737.78614523239003</c:v>
                </c:pt>
                <c:pt idx="15">
                  <c:v>735.40028583388994</c:v>
                </c:pt>
                <c:pt idx="16">
                  <c:v>723.75822181233002</c:v>
                </c:pt>
                <c:pt idx="17">
                  <c:v>739.87579896131001</c:v>
                </c:pt>
                <c:pt idx="18">
                  <c:v>725.77169263373003</c:v>
                </c:pt>
                <c:pt idx="19">
                  <c:v>732.49161662939002</c:v>
                </c:pt>
                <c:pt idx="20">
                  <c:v>756.66250616788</c:v>
                </c:pt>
                <c:pt idx="21">
                  <c:v>748.44411984799001</c:v>
                </c:pt>
                <c:pt idx="22">
                  <c:v>675.46381159237001</c:v>
                </c:pt>
                <c:pt idx="23">
                  <c:v>590.68042387820992</c:v>
                </c:pt>
                <c:pt idx="24">
                  <c:v>672.19427872260007</c:v>
                </c:pt>
                <c:pt idx="25">
                  <c:v>708.35743359290007</c:v>
                </c:pt>
                <c:pt idx="26">
                  <c:v>705.51929518717998</c:v>
                </c:pt>
                <c:pt idx="27">
                  <c:v>705.52672490606005</c:v>
                </c:pt>
                <c:pt idx="28">
                  <c:v>694.24940340138994</c:v>
                </c:pt>
                <c:pt idx="29">
                  <c:v>709.95301883317006</c:v>
                </c:pt>
                <c:pt idx="30">
                  <c:v>716.42427796462994</c:v>
                </c:pt>
                <c:pt idx="31">
                  <c:v>717.3525600390301</c:v>
                </c:pt>
                <c:pt idx="32">
                  <c:v>720.42825725979992</c:v>
                </c:pt>
                <c:pt idx="33">
                  <c:v>718.31453313252996</c:v>
                </c:pt>
                <c:pt idx="34">
                  <c:v>723.91914774482996</c:v>
                </c:pt>
                <c:pt idx="35">
                  <c:v>723.00277262897998</c:v>
                </c:pt>
                <c:pt idx="36">
                  <c:v>707.43097775718002</c:v>
                </c:pt>
                <c:pt idx="37">
                  <c:v>722.08148198610002</c:v>
                </c:pt>
                <c:pt idx="38">
                  <c:v>709.19311060667997</c:v>
                </c:pt>
                <c:pt idx="39">
                  <c:v>724.51615350290001</c:v>
                </c:pt>
                <c:pt idx="40">
                  <c:v>717.97004442892</c:v>
                </c:pt>
                <c:pt idx="41">
                  <c:v>713.89906575039004</c:v>
                </c:pt>
                <c:pt idx="42">
                  <c:v>721.89962453557996</c:v>
                </c:pt>
                <c:pt idx="43">
                  <c:v>707.45514719578</c:v>
                </c:pt>
                <c:pt idx="44">
                  <c:v>706.46274536713997</c:v>
                </c:pt>
                <c:pt idx="45">
                  <c:v>718.68013667573996</c:v>
                </c:pt>
                <c:pt idx="46">
                  <c:v>712.39612701818999</c:v>
                </c:pt>
                <c:pt idx="47">
                  <c:v>698.37728891273991</c:v>
                </c:pt>
                <c:pt idx="48">
                  <c:v>713.12861033836998</c:v>
                </c:pt>
                <c:pt idx="49">
                  <c:v>706.89240372592997</c:v>
                </c:pt>
                <c:pt idx="50">
                  <c:v>705.65769562563003</c:v>
                </c:pt>
                <c:pt idx="51">
                  <c:v>704.15041081462005</c:v>
                </c:pt>
                <c:pt idx="52">
                  <c:v>697.39275751437003</c:v>
                </c:pt>
                <c:pt idx="53">
                  <c:v>735.89159402885002</c:v>
                </c:pt>
                <c:pt idx="54">
                  <c:v>749.66840545461991</c:v>
                </c:pt>
                <c:pt idx="55">
                  <c:v>734.18227054558997</c:v>
                </c:pt>
                <c:pt idx="56">
                  <c:v>722.44488644786998</c:v>
                </c:pt>
                <c:pt idx="57">
                  <c:v>725.84370096758994</c:v>
                </c:pt>
                <c:pt idx="58">
                  <c:v>720.99594525776001</c:v>
                </c:pt>
                <c:pt idx="59">
                  <c:v>679.59378509221995</c:v>
                </c:pt>
                <c:pt idx="60">
                  <c:v>691.72629052797004</c:v>
                </c:pt>
                <c:pt idx="61">
                  <c:v>694.98762856302994</c:v>
                </c:pt>
                <c:pt idx="62">
                  <c:v>690.89305514742</c:v>
                </c:pt>
                <c:pt idx="63">
                  <c:v>695.04834076565999</c:v>
                </c:pt>
                <c:pt idx="64">
                  <c:v>700.91836632243007</c:v>
                </c:pt>
                <c:pt idx="65">
                  <c:v>713.93985557614997</c:v>
                </c:pt>
                <c:pt idx="66">
                  <c:v>712.59370366079997</c:v>
                </c:pt>
                <c:pt idx="67">
                  <c:v>704.14982236638991</c:v>
                </c:pt>
                <c:pt idx="68">
                  <c:v>701.77578197405001</c:v>
                </c:pt>
                <c:pt idx="69">
                  <c:v>711.52013722906997</c:v>
                </c:pt>
                <c:pt idx="70">
                  <c:v>714.35139749280006</c:v>
                </c:pt>
                <c:pt idx="71">
                  <c:v>718.06286431322997</c:v>
                </c:pt>
                <c:pt idx="72">
                  <c:v>725.50486273817</c:v>
                </c:pt>
                <c:pt idx="73">
                  <c:v>716.28664903516005</c:v>
                </c:pt>
                <c:pt idx="74">
                  <c:v>719.77565992124005</c:v>
                </c:pt>
                <c:pt idx="75">
                  <c:v>714.86056406563</c:v>
                </c:pt>
                <c:pt idx="76">
                  <c:v>714.96167747915001</c:v>
                </c:pt>
                <c:pt idx="77">
                  <c:v>716.37866079703008</c:v>
                </c:pt>
                <c:pt idx="78">
                  <c:v>707.80832947173997</c:v>
                </c:pt>
                <c:pt idx="79">
                  <c:v>704.19024945937008</c:v>
                </c:pt>
                <c:pt idx="80">
                  <c:v>702.02260194625001</c:v>
                </c:pt>
                <c:pt idx="81">
                  <c:v>721.36219445282995</c:v>
                </c:pt>
                <c:pt idx="82">
                  <c:v>710.76450030893</c:v>
                </c:pt>
                <c:pt idx="83">
                  <c:v>708.86178560396002</c:v>
                </c:pt>
                <c:pt idx="84">
                  <c:v>694.87342446709999</c:v>
                </c:pt>
                <c:pt idx="85">
                  <c:v>661.51610866543001</c:v>
                </c:pt>
                <c:pt idx="86">
                  <c:v>667.22465902255999</c:v>
                </c:pt>
                <c:pt idx="87">
                  <c:v>700.79293599518996</c:v>
                </c:pt>
                <c:pt idx="88">
                  <c:v>699.78770541100994</c:v>
                </c:pt>
                <c:pt idx="89">
                  <c:v>710.66916361097003</c:v>
                </c:pt>
                <c:pt idx="90">
                  <c:v>703.63529480239993</c:v>
                </c:pt>
                <c:pt idx="91">
                  <c:v>684.56240226606997</c:v>
                </c:pt>
                <c:pt idx="92">
                  <c:v>681.58110897696997</c:v>
                </c:pt>
                <c:pt idx="93">
                  <c:v>645.38573812156994</c:v>
                </c:pt>
                <c:pt idx="94">
                  <c:v>648.88647148982</c:v>
                </c:pt>
                <c:pt idx="95">
                  <c:v>644.11020701161988</c:v>
                </c:pt>
                <c:pt idx="96">
                  <c:v>644.71439905965008</c:v>
                </c:pt>
                <c:pt idx="97">
                  <c:v>644.16880802824994</c:v>
                </c:pt>
                <c:pt idx="98">
                  <c:v>656.43348869932004</c:v>
                </c:pt>
                <c:pt idx="99">
                  <c:v>663.09128468640995</c:v>
                </c:pt>
                <c:pt idx="100">
                  <c:v>657.20791664234002</c:v>
                </c:pt>
                <c:pt idx="101">
                  <c:v>629.95544439470007</c:v>
                </c:pt>
                <c:pt idx="102">
                  <c:v>619.95294716831995</c:v>
                </c:pt>
                <c:pt idx="103">
                  <c:v>610.88012599672004</c:v>
                </c:pt>
                <c:pt idx="104">
                  <c:v>634.54138414120996</c:v>
                </c:pt>
                <c:pt idx="105">
                  <c:v>611.06646634653998</c:v>
                </c:pt>
                <c:pt idx="106">
                  <c:v>635.76850952195991</c:v>
                </c:pt>
                <c:pt idx="107">
                  <c:v>649.00912682989997</c:v>
                </c:pt>
                <c:pt idx="108">
                  <c:v>661.36625733084998</c:v>
                </c:pt>
                <c:pt idx="109">
                  <c:v>661.54582596626005</c:v>
                </c:pt>
                <c:pt idx="110">
                  <c:v>666.23793715357999</c:v>
                </c:pt>
                <c:pt idx="111">
                  <c:v>662.22378720977997</c:v>
                </c:pt>
                <c:pt idx="112">
                  <c:v>659.85576425249008</c:v>
                </c:pt>
                <c:pt idx="113">
                  <c:v>667.25668554670995</c:v>
                </c:pt>
                <c:pt idx="114">
                  <c:v>652.72567771083993</c:v>
                </c:pt>
                <c:pt idx="115">
                  <c:v>668.86841168848991</c:v>
                </c:pt>
                <c:pt idx="116">
                  <c:v>669.28245798727994</c:v>
                </c:pt>
                <c:pt idx="117">
                  <c:v>669.40284243771998</c:v>
                </c:pt>
                <c:pt idx="118">
                  <c:v>655.35606893594002</c:v>
                </c:pt>
                <c:pt idx="119">
                  <c:v>649.31099353092998</c:v>
                </c:pt>
                <c:pt idx="120">
                  <c:v>660.53922681015001</c:v>
                </c:pt>
                <c:pt idx="121">
                  <c:v>675.02311381447998</c:v>
                </c:pt>
                <c:pt idx="122">
                  <c:v>679.12261903593992</c:v>
                </c:pt>
                <c:pt idx="123">
                  <c:v>686.37762702560008</c:v>
                </c:pt>
                <c:pt idx="124">
                  <c:v>680.11255166060005</c:v>
                </c:pt>
                <c:pt idx="125">
                  <c:v>669.06485262537001</c:v>
                </c:pt>
                <c:pt idx="126">
                  <c:v>669.47493618196995</c:v>
                </c:pt>
                <c:pt idx="127">
                  <c:v>681.0782043152301</c:v>
                </c:pt>
                <c:pt idx="128">
                  <c:v>678.09599206542998</c:v>
                </c:pt>
                <c:pt idx="129">
                  <c:v>673.12854657496996</c:v>
                </c:pt>
                <c:pt idx="130">
                  <c:v>669.02546417554004</c:v>
                </c:pt>
                <c:pt idx="131">
                  <c:v>679.71838852996007</c:v>
                </c:pt>
                <c:pt idx="132">
                  <c:v>658.35073821856997</c:v>
                </c:pt>
                <c:pt idx="133">
                  <c:v>646.36666666665997</c:v>
                </c:pt>
                <c:pt idx="134">
                  <c:v>642.85151038938</c:v>
                </c:pt>
                <c:pt idx="135">
                  <c:v>631.40839687251002</c:v>
                </c:pt>
                <c:pt idx="136">
                  <c:v>620.70505791281005</c:v>
                </c:pt>
                <c:pt idx="137">
                  <c:v>619.10782453486001</c:v>
                </c:pt>
                <c:pt idx="138">
                  <c:v>612.54400597558993</c:v>
                </c:pt>
                <c:pt idx="139">
                  <c:v>637.50967523941995</c:v>
                </c:pt>
                <c:pt idx="140">
                  <c:v>615.8636044176701</c:v>
                </c:pt>
                <c:pt idx="141">
                  <c:v>614.22632066727999</c:v>
                </c:pt>
                <c:pt idx="142">
                  <c:v>641.08831286685006</c:v>
                </c:pt>
                <c:pt idx="143">
                  <c:v>643.31323756564007</c:v>
                </c:pt>
                <c:pt idx="144">
                  <c:v>664.14518265368997</c:v>
                </c:pt>
                <c:pt idx="145">
                  <c:v>665.28388168056995</c:v>
                </c:pt>
                <c:pt idx="146">
                  <c:v>684.91659973226001</c:v>
                </c:pt>
                <c:pt idx="147">
                  <c:v>738.27323981918005</c:v>
                </c:pt>
                <c:pt idx="148">
                  <c:v>726.00796459889</c:v>
                </c:pt>
                <c:pt idx="149">
                  <c:v>694.58553113018002</c:v>
                </c:pt>
                <c:pt idx="150">
                  <c:v>703.56851844676999</c:v>
                </c:pt>
                <c:pt idx="151">
                  <c:v>722.25127842560005</c:v>
                </c:pt>
                <c:pt idx="152">
                  <c:v>716.5272429524</c:v>
                </c:pt>
                <c:pt idx="153">
                  <c:v>690.10949313935998</c:v>
                </c:pt>
                <c:pt idx="154">
                  <c:v>695.43264416493992</c:v>
                </c:pt>
                <c:pt idx="155">
                  <c:v>673.00102700634</c:v>
                </c:pt>
                <c:pt idx="156">
                  <c:v>649.96976922903991</c:v>
                </c:pt>
                <c:pt idx="157">
                  <c:v>692.63345076590997</c:v>
                </c:pt>
                <c:pt idx="158">
                  <c:v>699.88573291551006</c:v>
                </c:pt>
                <c:pt idx="159">
                  <c:v>685.18265086068004</c:v>
                </c:pt>
                <c:pt idx="160">
                  <c:v>655.98191213967993</c:v>
                </c:pt>
                <c:pt idx="161">
                  <c:v>686.91948148004008</c:v>
                </c:pt>
                <c:pt idx="162">
                  <c:v>677.29461561918993</c:v>
                </c:pt>
                <c:pt idx="163">
                  <c:v>697.44039096613005</c:v>
                </c:pt>
                <c:pt idx="164">
                  <c:v>693.02646670147999</c:v>
                </c:pt>
                <c:pt idx="165">
                  <c:v>703.07894628272004</c:v>
                </c:pt>
                <c:pt idx="166">
                  <c:v>703.14440426230999</c:v>
                </c:pt>
                <c:pt idx="167">
                  <c:v>714.05728808954996</c:v>
                </c:pt>
                <c:pt idx="168">
                  <c:v>709.98595153560996</c:v>
                </c:pt>
                <c:pt idx="169">
                  <c:v>714.87300118347002</c:v>
                </c:pt>
                <c:pt idx="170">
                  <c:v>678.02478735621003</c:v>
                </c:pt>
                <c:pt idx="171">
                  <c:v>679.8816908993</c:v>
                </c:pt>
                <c:pt idx="172">
                  <c:v>707.18568101160997</c:v>
                </c:pt>
                <c:pt idx="173">
                  <c:v>709.36622548350999</c:v>
                </c:pt>
                <c:pt idx="174">
                  <c:v>709.36208952503989</c:v>
                </c:pt>
                <c:pt idx="175">
                  <c:v>724.09336470681001</c:v>
                </c:pt>
                <c:pt idx="176">
                  <c:v>731.28847838680008</c:v>
                </c:pt>
                <c:pt idx="177">
                  <c:v>726.15359487910996</c:v>
                </c:pt>
                <c:pt idx="178">
                  <c:v>748.11521060086</c:v>
                </c:pt>
                <c:pt idx="179">
                  <c:v>747.77330772364996</c:v>
                </c:pt>
                <c:pt idx="180">
                  <c:v>719.37469685505005</c:v>
                </c:pt>
                <c:pt idx="181">
                  <c:v>756.66152842883002</c:v>
                </c:pt>
                <c:pt idx="182">
                  <c:v>751.05538746626007</c:v>
                </c:pt>
                <c:pt idx="183">
                  <c:v>719.45174920461</c:v>
                </c:pt>
                <c:pt idx="184">
                  <c:v>720.27833071416001</c:v>
                </c:pt>
                <c:pt idx="185">
                  <c:v>733.40248142327994</c:v>
                </c:pt>
                <c:pt idx="186">
                  <c:v>725.53895582329005</c:v>
                </c:pt>
                <c:pt idx="187">
                  <c:v>723.08273092370007</c:v>
                </c:pt>
                <c:pt idx="188">
                  <c:v>727.72289156626005</c:v>
                </c:pt>
                <c:pt idx="189">
                  <c:v>703.35662650602001</c:v>
                </c:pt>
                <c:pt idx="190">
                  <c:v>737.41603467513005</c:v>
                </c:pt>
                <c:pt idx="191">
                  <c:v>701.12821609016009</c:v>
                </c:pt>
                <c:pt idx="192">
                  <c:v>712.09512890269991</c:v>
                </c:pt>
                <c:pt idx="193">
                  <c:v>678.67060823941006</c:v>
                </c:pt>
                <c:pt idx="194">
                  <c:v>667.03900440471</c:v>
                </c:pt>
                <c:pt idx="195">
                  <c:v>688.01266279693004</c:v>
                </c:pt>
                <c:pt idx="196">
                  <c:v>662.23052534022997</c:v>
                </c:pt>
                <c:pt idx="197">
                  <c:v>689.91721935974999</c:v>
                </c:pt>
                <c:pt idx="198">
                  <c:v>679.10022856699993</c:v>
                </c:pt>
                <c:pt idx="199">
                  <c:v>668.89336058058007</c:v>
                </c:pt>
                <c:pt idx="200">
                  <c:v>648.47539676389988</c:v>
                </c:pt>
                <c:pt idx="201">
                  <c:v>639.84797195211002</c:v>
                </c:pt>
                <c:pt idx="202">
                  <c:v>627.42574865376992</c:v>
                </c:pt>
                <c:pt idx="203">
                  <c:v>674.59025179879995</c:v>
                </c:pt>
                <c:pt idx="204">
                  <c:v>675.44783917576001</c:v>
                </c:pt>
                <c:pt idx="205">
                  <c:v>668.79939986116005</c:v>
                </c:pt>
                <c:pt idx="206">
                  <c:v>669.90860177382001</c:v>
                </c:pt>
                <c:pt idx="207">
                  <c:v>662.92255574865999</c:v>
                </c:pt>
                <c:pt idx="208">
                  <c:v>663.87284296108999</c:v>
                </c:pt>
                <c:pt idx="209">
                  <c:v>675.56041083650007</c:v>
                </c:pt>
                <c:pt idx="210">
                  <c:v>711.90809006196002</c:v>
                </c:pt>
                <c:pt idx="211">
                  <c:v>726.33412476312003</c:v>
                </c:pt>
                <c:pt idx="212">
                  <c:v>727.56009072966003</c:v>
                </c:pt>
                <c:pt idx="213">
                  <c:v>728.04297483332005</c:v>
                </c:pt>
                <c:pt idx="214">
                  <c:v>717.00820143002011</c:v>
                </c:pt>
                <c:pt idx="215">
                  <c:v>708.62194845350996</c:v>
                </c:pt>
                <c:pt idx="216">
                  <c:v>701.80651229213004</c:v>
                </c:pt>
                <c:pt idx="217">
                  <c:v>701.13417146847996</c:v>
                </c:pt>
                <c:pt idx="218">
                  <c:v>663.05847350755005</c:v>
                </c:pt>
                <c:pt idx="219">
                  <c:v>674.31677474177002</c:v>
                </c:pt>
                <c:pt idx="220">
                  <c:v>676.49126578720006</c:v>
                </c:pt>
                <c:pt idx="221">
                  <c:v>707.77154174046996</c:v>
                </c:pt>
                <c:pt idx="222">
                  <c:v>728.86277590360999</c:v>
                </c:pt>
                <c:pt idx="223">
                  <c:v>687.17351967870991</c:v>
                </c:pt>
                <c:pt idx="224">
                  <c:v>729.18787469878998</c:v>
                </c:pt>
                <c:pt idx="225">
                  <c:v>715.53937028112</c:v>
                </c:pt>
                <c:pt idx="226">
                  <c:v>708.63182117536996</c:v>
                </c:pt>
                <c:pt idx="227">
                  <c:v>689.44495990391999</c:v>
                </c:pt>
                <c:pt idx="228">
                  <c:v>720.30924671923992</c:v>
                </c:pt>
                <c:pt idx="229">
                  <c:v>696.88190455978997</c:v>
                </c:pt>
                <c:pt idx="230">
                  <c:v>700.76464191433001</c:v>
                </c:pt>
                <c:pt idx="231">
                  <c:v>725.51845449431005</c:v>
                </c:pt>
                <c:pt idx="232">
                  <c:v>729.45997516635998</c:v>
                </c:pt>
                <c:pt idx="233">
                  <c:v>733.85430223308003</c:v>
                </c:pt>
                <c:pt idx="234">
                  <c:v>696.99934423684999</c:v>
                </c:pt>
                <c:pt idx="235">
                  <c:v>719.03399297673991</c:v>
                </c:pt>
                <c:pt idx="236">
                  <c:v>745.09598714858998</c:v>
                </c:pt>
                <c:pt idx="237">
                  <c:v>727.40584560464004</c:v>
                </c:pt>
                <c:pt idx="238">
                  <c:v>695.28673728730996</c:v>
                </c:pt>
                <c:pt idx="239">
                  <c:v>726.29005684573997</c:v>
                </c:pt>
                <c:pt idx="240">
                  <c:v>740.18213745671005</c:v>
                </c:pt>
                <c:pt idx="241">
                  <c:v>714.95143395968989</c:v>
                </c:pt>
                <c:pt idx="242">
                  <c:v>694.43893530326</c:v>
                </c:pt>
                <c:pt idx="243">
                  <c:v>689.42109264307999</c:v>
                </c:pt>
                <c:pt idx="244">
                  <c:v>685.94050557460992</c:v>
                </c:pt>
                <c:pt idx="245">
                  <c:v>707.03485670175007</c:v>
                </c:pt>
                <c:pt idx="246">
                  <c:v>737.02137742322998</c:v>
                </c:pt>
                <c:pt idx="247">
                  <c:v>687.28567153228005</c:v>
                </c:pt>
                <c:pt idx="248">
                  <c:v>679.49995559158992</c:v>
                </c:pt>
                <c:pt idx="249">
                  <c:v>641.82315043696008</c:v>
                </c:pt>
                <c:pt idx="250">
                  <c:v>647.38496538658001</c:v>
                </c:pt>
                <c:pt idx="251">
                  <c:v>663.37444057328003</c:v>
                </c:pt>
                <c:pt idx="252">
                  <c:v>680.47777215485996</c:v>
                </c:pt>
                <c:pt idx="253">
                  <c:v>672.4970259065301</c:v>
                </c:pt>
                <c:pt idx="254">
                  <c:v>670.67377908086996</c:v>
                </c:pt>
                <c:pt idx="255">
                  <c:v>669.91547042318996</c:v>
                </c:pt>
                <c:pt idx="256">
                  <c:v>707.58042257669001</c:v>
                </c:pt>
                <c:pt idx="257">
                  <c:v>695.94178478147001</c:v>
                </c:pt>
                <c:pt idx="258">
                  <c:v>647.52605552078012</c:v>
                </c:pt>
                <c:pt idx="259">
                  <c:v>642.21536796537009</c:v>
                </c:pt>
                <c:pt idx="260">
                  <c:v>673.72402820054003</c:v>
                </c:pt>
                <c:pt idx="261">
                  <c:v>678.59587375476008</c:v>
                </c:pt>
                <c:pt idx="262">
                  <c:v>675.18080112658993</c:v>
                </c:pt>
                <c:pt idx="263">
                  <c:v>691.34644813017997</c:v>
                </c:pt>
                <c:pt idx="264">
                  <c:v>709.25564987222003</c:v>
                </c:pt>
                <c:pt idx="265">
                  <c:v>710.19658101431992</c:v>
                </c:pt>
                <c:pt idx="266">
                  <c:v>671.06787697853997</c:v>
                </c:pt>
                <c:pt idx="267">
                  <c:v>676.01146374378004</c:v>
                </c:pt>
                <c:pt idx="268">
                  <c:v>658.43353753450992</c:v>
                </c:pt>
                <c:pt idx="269">
                  <c:v>668.59506468893005</c:v>
                </c:pt>
                <c:pt idx="270">
                  <c:v>669.78031419417005</c:v>
                </c:pt>
                <c:pt idx="271">
                  <c:v>706.12899237398995</c:v>
                </c:pt>
                <c:pt idx="272">
                  <c:v>664.85512949128997</c:v>
                </c:pt>
                <c:pt idx="273">
                  <c:v>650.79874485817004</c:v>
                </c:pt>
                <c:pt idx="274">
                  <c:v>669.98362686465998</c:v>
                </c:pt>
                <c:pt idx="275">
                  <c:v>678.91296675033993</c:v>
                </c:pt>
                <c:pt idx="276">
                  <c:v>680.84070085652002</c:v>
                </c:pt>
                <c:pt idx="277">
                  <c:v>674.70038480551</c:v>
                </c:pt>
                <c:pt idx="278">
                  <c:v>679.78250895779001</c:v>
                </c:pt>
                <c:pt idx="279">
                  <c:v>695.67702473869997</c:v>
                </c:pt>
                <c:pt idx="280">
                  <c:v>693.68316172606001</c:v>
                </c:pt>
                <c:pt idx="281">
                  <c:v>681.75972711524003</c:v>
                </c:pt>
                <c:pt idx="282">
                  <c:v>677.32474842829004</c:v>
                </c:pt>
                <c:pt idx="283">
                  <c:v>678.07427642718994</c:v>
                </c:pt>
                <c:pt idx="284">
                  <c:v>672.49587582341996</c:v>
                </c:pt>
                <c:pt idx="285">
                  <c:v>658.48331076935006</c:v>
                </c:pt>
                <c:pt idx="286">
                  <c:v>681.85832185187996</c:v>
                </c:pt>
                <c:pt idx="287">
                  <c:v>679.99080311512989</c:v>
                </c:pt>
                <c:pt idx="288">
                  <c:v>660.90099375604007</c:v>
                </c:pt>
                <c:pt idx="289">
                  <c:v>647.15283713931001</c:v>
                </c:pt>
                <c:pt idx="290">
                  <c:v>689.13763556249</c:v>
                </c:pt>
                <c:pt idx="291">
                  <c:v>679.60072516788</c:v>
                </c:pt>
                <c:pt idx="292">
                  <c:v>704.50482090305002</c:v>
                </c:pt>
                <c:pt idx="293">
                  <c:v>707.15767686128993</c:v>
                </c:pt>
                <c:pt idx="294">
                  <c:v>706.33804685624</c:v>
                </c:pt>
                <c:pt idx="295">
                  <c:v>710.83912580856997</c:v>
                </c:pt>
                <c:pt idx="296">
                  <c:v>698.44696654145002</c:v>
                </c:pt>
                <c:pt idx="297">
                  <c:v>718.87206272587002</c:v>
                </c:pt>
                <c:pt idx="298">
                  <c:v>697.92678803089007</c:v>
                </c:pt>
                <c:pt idx="299">
                  <c:v>709.32015515274998</c:v>
                </c:pt>
                <c:pt idx="300">
                  <c:v>675.85237483702008</c:v>
                </c:pt>
                <c:pt idx="301">
                  <c:v>679.89547449357997</c:v>
                </c:pt>
                <c:pt idx="302">
                  <c:v>666.56534290130003</c:v>
                </c:pt>
                <c:pt idx="303">
                  <c:v>698.45637590361002</c:v>
                </c:pt>
                <c:pt idx="304">
                  <c:v>732.47852625074995</c:v>
                </c:pt>
                <c:pt idx="305">
                  <c:v>729.29934827593002</c:v>
                </c:pt>
                <c:pt idx="306">
                  <c:v>718.15908771522993</c:v>
                </c:pt>
                <c:pt idx="307">
                  <c:v>721.05585423555999</c:v>
                </c:pt>
                <c:pt idx="308">
                  <c:v>713.19602855867993</c:v>
                </c:pt>
                <c:pt idx="309">
                  <c:v>724.09485090118994</c:v>
                </c:pt>
                <c:pt idx="310">
                  <c:v>729.13046793916999</c:v>
                </c:pt>
                <c:pt idx="311">
                  <c:v>701.21983084826991</c:v>
                </c:pt>
                <c:pt idx="312">
                  <c:v>720.56077858786989</c:v>
                </c:pt>
                <c:pt idx="313">
                  <c:v>708.92338664449005</c:v>
                </c:pt>
                <c:pt idx="314">
                  <c:v>736.29579465801999</c:v>
                </c:pt>
                <c:pt idx="315">
                  <c:v>720.97184534419</c:v>
                </c:pt>
                <c:pt idx="316">
                  <c:v>731.05780665100997</c:v>
                </c:pt>
                <c:pt idx="317">
                  <c:v>733.87053533455003</c:v>
                </c:pt>
                <c:pt idx="318">
                  <c:v>723.12978744244992</c:v>
                </c:pt>
                <c:pt idx="319">
                  <c:v>723.76283671271005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6-C746-A28A-B4707AB9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E-844F-BDB6-DAAD7D18C89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'240816A010'!$A$2:$A$321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'240816A010'!$P$2:$P$321</c:f>
              <c:numCache>
                <c:formatCode>General</c:formatCode>
                <c:ptCount val="320"/>
                <c:pt idx="0">
                  <c:v>-1.9597417298807092</c:v>
                </c:pt>
                <c:pt idx="1">
                  <c:v>-2.7879965860590286</c:v>
                </c:pt>
                <c:pt idx="2">
                  <c:v>-3.981526332145485</c:v>
                </c:pt>
                <c:pt idx="3">
                  <c:v>-4.3857804300102172</c:v>
                </c:pt>
                <c:pt idx="4">
                  <c:v>-5.173130397508988</c:v>
                </c:pt>
                <c:pt idx="5">
                  <c:v>-4.8191881939239778</c:v>
                </c:pt>
                <c:pt idx="6">
                  <c:v>-5.7518000565201168</c:v>
                </c:pt>
                <c:pt idx="7">
                  <c:v>-5.6547106434717991</c:v>
                </c:pt>
                <c:pt idx="8">
                  <c:v>-4.4663686679592276</c:v>
                </c:pt>
                <c:pt idx="9">
                  <c:v>-5.3899382044614388</c:v>
                </c:pt>
                <c:pt idx="10">
                  <c:v>-5.822670601206414</c:v>
                </c:pt>
                <c:pt idx="11">
                  <c:v>-4.5116896788375094</c:v>
                </c:pt>
                <c:pt idx="12">
                  <c:v>-4.2823432968497546</c:v>
                </c:pt>
                <c:pt idx="13">
                  <c:v>-4.403961486885807</c:v>
                </c:pt>
                <c:pt idx="14">
                  <c:v>-3.5170823661720183</c:v>
                </c:pt>
                <c:pt idx="15">
                  <c:v>-3.7651715105573378</c:v>
                </c:pt>
                <c:pt idx="16">
                  <c:v>-2.5485115820092883</c:v>
                </c:pt>
                <c:pt idx="17">
                  <c:v>-2.6315406937128358</c:v>
                </c:pt>
                <c:pt idx="18">
                  <c:v>-2.7078564788734929</c:v>
                </c:pt>
                <c:pt idx="19">
                  <c:v>-3.008070428283363</c:v>
                </c:pt>
                <c:pt idx="20">
                  <c:v>-2.7427893248777671</c:v>
                </c:pt>
                <c:pt idx="21">
                  <c:v>-3.357110178926006</c:v>
                </c:pt>
                <c:pt idx="22">
                  <c:v>-1.4101697593658529</c:v>
                </c:pt>
                <c:pt idx="23">
                  <c:v>2.1763119157201505</c:v>
                </c:pt>
                <c:pt idx="24">
                  <c:v>-1.0950120855113041</c:v>
                </c:pt>
                <c:pt idx="25">
                  <c:v>-1.5537811374832491</c:v>
                </c:pt>
                <c:pt idx="26">
                  <c:v>-1.7381145495921499</c:v>
                </c:pt>
                <c:pt idx="27">
                  <c:v>-2.0875500811675645</c:v>
                </c:pt>
                <c:pt idx="28">
                  <c:v>-1.4044578543038833</c:v>
                </c:pt>
                <c:pt idx="29">
                  <c:v>-2.272344538951653</c:v>
                </c:pt>
                <c:pt idx="30">
                  <c:v>-2.7053550594578883</c:v>
                </c:pt>
                <c:pt idx="31">
                  <c:v>-2.9090865200546436</c:v>
                </c:pt>
                <c:pt idx="32">
                  <c:v>-3.03583741607408</c:v>
                </c:pt>
                <c:pt idx="33">
                  <c:v>-2.7376139705119185</c:v>
                </c:pt>
                <c:pt idx="34">
                  <c:v>-3.6106685148623736</c:v>
                </c:pt>
                <c:pt idx="35">
                  <c:v>-3.2810772105899231</c:v>
                </c:pt>
                <c:pt idx="36">
                  <c:v>-3.5056828428013298</c:v>
                </c:pt>
                <c:pt idx="37">
                  <c:v>-3.5805740385878591</c:v>
                </c:pt>
                <c:pt idx="38">
                  <c:v>-3.3191248849842889</c:v>
                </c:pt>
                <c:pt idx="39">
                  <c:v>-3.8189580787400894</c:v>
                </c:pt>
                <c:pt idx="40">
                  <c:v>-3.3170441557331118</c:v>
                </c:pt>
                <c:pt idx="41">
                  <c:v>-2.5638590689498084</c:v>
                </c:pt>
                <c:pt idx="42">
                  <c:v>-2.7406958551822851</c:v>
                </c:pt>
                <c:pt idx="43">
                  <c:v>-2.403860519720959</c:v>
                </c:pt>
                <c:pt idx="44">
                  <c:v>-1.0873560846605912</c:v>
                </c:pt>
                <c:pt idx="45">
                  <c:v>-1.919499699834057</c:v>
                </c:pt>
                <c:pt idx="46">
                  <c:v>-0.42697700351259527</c:v>
                </c:pt>
                <c:pt idx="47">
                  <c:v>-1.5640388567832051</c:v>
                </c:pt>
                <c:pt idx="48">
                  <c:v>-0.84532992277539243</c:v>
                </c:pt>
                <c:pt idx="49">
                  <c:v>-0.44023079046108621</c:v>
                </c:pt>
                <c:pt idx="50">
                  <c:v>0.17132096106361636</c:v>
                </c:pt>
                <c:pt idx="51">
                  <c:v>1.9023806633061326</c:v>
                </c:pt>
                <c:pt idx="52">
                  <c:v>4.2282253452255185</c:v>
                </c:pt>
                <c:pt idx="53">
                  <c:v>2.884010165333593</c:v>
                </c:pt>
                <c:pt idx="54">
                  <c:v>1.8751056173786078</c:v>
                </c:pt>
                <c:pt idx="55">
                  <c:v>0.29407155391746254</c:v>
                </c:pt>
                <c:pt idx="56">
                  <c:v>1.0474687463061909</c:v>
                </c:pt>
                <c:pt idx="57">
                  <c:v>-0.30603109667955086</c:v>
                </c:pt>
                <c:pt idx="58">
                  <c:v>-0.75241922351206636</c:v>
                </c:pt>
                <c:pt idx="59">
                  <c:v>-0.70664777360220676</c:v>
                </c:pt>
                <c:pt idx="60">
                  <c:v>-0.50129631610271752</c:v>
                </c:pt>
                <c:pt idx="61">
                  <c:v>-0.53058829045683076</c:v>
                </c:pt>
                <c:pt idx="62">
                  <c:v>-0.67647805300747532</c:v>
                </c:pt>
                <c:pt idx="63">
                  <c:v>-1.5197899073810539</c:v>
                </c:pt>
                <c:pt idx="64">
                  <c:v>-1.5259833627030353</c:v>
                </c:pt>
                <c:pt idx="65">
                  <c:v>-0.47724688879951249</c:v>
                </c:pt>
                <c:pt idx="66">
                  <c:v>-1.1724047511177913</c:v>
                </c:pt>
                <c:pt idx="67">
                  <c:v>-0.80561015732216568</c:v>
                </c:pt>
                <c:pt idx="68">
                  <c:v>-1.6519301192137958</c:v>
                </c:pt>
                <c:pt idx="69">
                  <c:v>-1.5206963623158927</c:v>
                </c:pt>
                <c:pt idx="70">
                  <c:v>-1.4539499235957041</c:v>
                </c:pt>
                <c:pt idx="71">
                  <c:v>-1.1340929282217331</c:v>
                </c:pt>
                <c:pt idx="72">
                  <c:v>-1.4493270326431571</c:v>
                </c:pt>
                <c:pt idx="73">
                  <c:v>0.90437846348038597</c:v>
                </c:pt>
                <c:pt idx="74">
                  <c:v>3.6690708500700562</c:v>
                </c:pt>
                <c:pt idx="75">
                  <c:v>3.3316545159546802</c:v>
                </c:pt>
                <c:pt idx="76">
                  <c:v>2.1800907694143805</c:v>
                </c:pt>
                <c:pt idx="77">
                  <c:v>2.1523604020147689</c:v>
                </c:pt>
                <c:pt idx="78">
                  <c:v>0.67185555981467293</c:v>
                </c:pt>
                <c:pt idx="79">
                  <c:v>1.5099835321320438</c:v>
                </c:pt>
                <c:pt idx="80">
                  <c:v>0.83777729691188585</c:v>
                </c:pt>
                <c:pt idx="81">
                  <c:v>2.9927272068338433</c:v>
                </c:pt>
                <c:pt idx="82">
                  <c:v>10.095147202583084</c:v>
                </c:pt>
                <c:pt idx="83">
                  <c:v>26.998684948522509</c:v>
                </c:pt>
                <c:pt idx="84">
                  <c:v>32.27894215758915</c:v>
                </c:pt>
                <c:pt idx="85">
                  <c:v>25.321497791883264</c:v>
                </c:pt>
                <c:pt idx="86">
                  <c:v>19.992274897523235</c:v>
                </c:pt>
                <c:pt idx="87">
                  <c:v>17.172689237514358</c:v>
                </c:pt>
                <c:pt idx="88">
                  <c:v>14.237191959547665</c:v>
                </c:pt>
                <c:pt idx="89">
                  <c:v>13.021747837701799</c:v>
                </c:pt>
                <c:pt idx="90">
                  <c:v>11.963207702591024</c:v>
                </c:pt>
                <c:pt idx="91">
                  <c:v>9.9411102207178352</c:v>
                </c:pt>
                <c:pt idx="92">
                  <c:v>8.8355826898282501</c:v>
                </c:pt>
                <c:pt idx="93">
                  <c:v>8.4296223018861269</c:v>
                </c:pt>
                <c:pt idx="94">
                  <c:v>6.1921452564730997</c:v>
                </c:pt>
                <c:pt idx="95">
                  <c:v>6.3965394599742753</c:v>
                </c:pt>
                <c:pt idx="96">
                  <c:v>8.1593716776901974</c:v>
                </c:pt>
                <c:pt idx="97">
                  <c:v>6.4001104053888263</c:v>
                </c:pt>
                <c:pt idx="98">
                  <c:v>16.108124239238442</c:v>
                </c:pt>
                <c:pt idx="99">
                  <c:v>12.797835752268483</c:v>
                </c:pt>
                <c:pt idx="100">
                  <c:v>10.352670874856075</c:v>
                </c:pt>
                <c:pt idx="101">
                  <c:v>10.689838402355242</c:v>
                </c:pt>
                <c:pt idx="102">
                  <c:v>15.445370957255127</c:v>
                </c:pt>
                <c:pt idx="103">
                  <c:v>16.564991697919158</c:v>
                </c:pt>
                <c:pt idx="104">
                  <c:v>15.307509407224726</c:v>
                </c:pt>
                <c:pt idx="105">
                  <c:v>15.450393162114597</c:v>
                </c:pt>
                <c:pt idx="106">
                  <c:v>10.896607394967328</c:v>
                </c:pt>
                <c:pt idx="107">
                  <c:v>9.2343344042524222</c:v>
                </c:pt>
                <c:pt idx="108">
                  <c:v>8.7795263130573851</c:v>
                </c:pt>
                <c:pt idx="109">
                  <c:v>8.7094966688648849</c:v>
                </c:pt>
                <c:pt idx="110">
                  <c:v>7.5453460674354291</c:v>
                </c:pt>
                <c:pt idx="111">
                  <c:v>5.9391642984364168</c:v>
                </c:pt>
                <c:pt idx="112">
                  <c:v>7.0837737734305701</c:v>
                </c:pt>
                <c:pt idx="113">
                  <c:v>7.2208144222149757</c:v>
                </c:pt>
                <c:pt idx="114">
                  <c:v>8.9551868614967631</c:v>
                </c:pt>
                <c:pt idx="115">
                  <c:v>8.5681773607672529</c:v>
                </c:pt>
                <c:pt idx="116">
                  <c:v>17.00418353960654</c:v>
                </c:pt>
                <c:pt idx="117">
                  <c:v>14.303827415624356</c:v>
                </c:pt>
                <c:pt idx="118">
                  <c:v>14.923024573020921</c:v>
                </c:pt>
                <c:pt idx="119">
                  <c:v>21.071396204455915</c:v>
                </c:pt>
                <c:pt idx="120">
                  <c:v>22.287569976355307</c:v>
                </c:pt>
                <c:pt idx="121">
                  <c:v>23.23119577632264</c:v>
                </c:pt>
                <c:pt idx="122">
                  <c:v>26.845466881325731</c:v>
                </c:pt>
                <c:pt idx="123">
                  <c:v>38.985678538062771</c:v>
                </c:pt>
                <c:pt idx="124">
                  <c:v>34.748573992181839</c:v>
                </c:pt>
                <c:pt idx="125">
                  <c:v>42.985631861303325</c:v>
                </c:pt>
                <c:pt idx="126">
                  <c:v>60.094074064508561</c:v>
                </c:pt>
                <c:pt idx="127">
                  <c:v>67.285500318186209</c:v>
                </c:pt>
                <c:pt idx="128">
                  <c:v>58.96466984638181</c:v>
                </c:pt>
                <c:pt idx="129">
                  <c:v>48.118262506114718</c:v>
                </c:pt>
                <c:pt idx="130">
                  <c:v>49.461678866873335</c:v>
                </c:pt>
                <c:pt idx="131">
                  <c:v>54.576445672779606</c:v>
                </c:pt>
                <c:pt idx="132">
                  <c:v>51.345520440540362</c:v>
                </c:pt>
                <c:pt idx="133">
                  <c:v>44.440662683909309</c:v>
                </c:pt>
                <c:pt idx="134">
                  <c:v>42.49696846568358</c:v>
                </c:pt>
                <c:pt idx="135">
                  <c:v>39.262829385692349</c:v>
                </c:pt>
                <c:pt idx="136">
                  <c:v>34.018938325425943</c:v>
                </c:pt>
                <c:pt idx="137">
                  <c:v>30.14779945997801</c:v>
                </c:pt>
                <c:pt idx="138">
                  <c:v>26.147069776369658</c:v>
                </c:pt>
                <c:pt idx="139">
                  <c:v>21.649064157677632</c:v>
                </c:pt>
                <c:pt idx="140">
                  <c:v>17.30690112148142</c:v>
                </c:pt>
                <c:pt idx="141">
                  <c:v>15.058382331655789</c:v>
                </c:pt>
                <c:pt idx="142">
                  <c:v>12.869878389383938</c:v>
                </c:pt>
                <c:pt idx="143">
                  <c:v>10.645772648904677</c:v>
                </c:pt>
                <c:pt idx="144">
                  <c:v>12.925951993944572</c:v>
                </c:pt>
                <c:pt idx="145">
                  <c:v>9.9213984047810726</c:v>
                </c:pt>
                <c:pt idx="146">
                  <c:v>9.894442109238641</c:v>
                </c:pt>
                <c:pt idx="147">
                  <c:v>15.827266644490631</c:v>
                </c:pt>
                <c:pt idx="148">
                  <c:v>18.248659181438871</c:v>
                </c:pt>
                <c:pt idx="149">
                  <c:v>14.360495832125514</c:v>
                </c:pt>
                <c:pt idx="150">
                  <c:v>11.321868628151631</c:v>
                </c:pt>
                <c:pt idx="151">
                  <c:v>34.494114257877222</c:v>
                </c:pt>
                <c:pt idx="152">
                  <c:v>29.595545573420047</c:v>
                </c:pt>
                <c:pt idx="153">
                  <c:v>30.762516462656421</c:v>
                </c:pt>
                <c:pt idx="154">
                  <c:v>33.062110789005672</c:v>
                </c:pt>
                <c:pt idx="155">
                  <c:v>28.065437556104715</c:v>
                </c:pt>
                <c:pt idx="156">
                  <c:v>24.178467676095764</c:v>
                </c:pt>
                <c:pt idx="157">
                  <c:v>32.042186582719303</c:v>
                </c:pt>
                <c:pt idx="158">
                  <c:v>42.365631273272179</c:v>
                </c:pt>
                <c:pt idx="159">
                  <c:v>41.676847143704492</c:v>
                </c:pt>
                <c:pt idx="160">
                  <c:v>36.580831294019866</c:v>
                </c:pt>
                <c:pt idx="161">
                  <c:v>31.55595834365214</c:v>
                </c:pt>
                <c:pt idx="162">
                  <c:v>26.140033234897626</c:v>
                </c:pt>
                <c:pt idx="163">
                  <c:v>19.480370451519999</c:v>
                </c:pt>
                <c:pt idx="164">
                  <c:v>23.833786351697558</c:v>
                </c:pt>
                <c:pt idx="165">
                  <c:v>29.981176298174933</c:v>
                </c:pt>
                <c:pt idx="166">
                  <c:v>30.755465652665119</c:v>
                </c:pt>
                <c:pt idx="167">
                  <c:v>30.496194483495277</c:v>
                </c:pt>
                <c:pt idx="168">
                  <c:v>24.725091600847151</c:v>
                </c:pt>
                <c:pt idx="169">
                  <c:v>20.043694386798382</c:v>
                </c:pt>
                <c:pt idx="170">
                  <c:v>19.382243521834756</c:v>
                </c:pt>
                <c:pt idx="171">
                  <c:v>22.782746642643104</c:v>
                </c:pt>
                <c:pt idx="172">
                  <c:v>22.569365015266388</c:v>
                </c:pt>
                <c:pt idx="173">
                  <c:v>22.091668974992462</c:v>
                </c:pt>
                <c:pt idx="174">
                  <c:v>26.656343800371602</c:v>
                </c:pt>
                <c:pt idx="175">
                  <c:v>24.772686195447672</c:v>
                </c:pt>
                <c:pt idx="176">
                  <c:v>29.851598657082757</c:v>
                </c:pt>
                <c:pt idx="177">
                  <c:v>30.734862653669147</c:v>
                </c:pt>
                <c:pt idx="178">
                  <c:v>25.425082564884775</c:v>
                </c:pt>
                <c:pt idx="179">
                  <c:v>20.646599046345134</c:v>
                </c:pt>
                <c:pt idx="180">
                  <c:v>16.778104116696184</c:v>
                </c:pt>
                <c:pt idx="181">
                  <c:v>15.067556284857689</c:v>
                </c:pt>
                <c:pt idx="182">
                  <c:v>14.260190298448535</c:v>
                </c:pt>
                <c:pt idx="183">
                  <c:v>17.449204427309351</c:v>
                </c:pt>
                <c:pt idx="184">
                  <c:v>28.266540574678295</c:v>
                </c:pt>
                <c:pt idx="185">
                  <c:v>31.296092609908825</c:v>
                </c:pt>
                <c:pt idx="186">
                  <c:v>31.930343043318516</c:v>
                </c:pt>
                <c:pt idx="187">
                  <c:v>24.924215642061316</c:v>
                </c:pt>
                <c:pt idx="188">
                  <c:v>23.078802718302065</c:v>
                </c:pt>
                <c:pt idx="189">
                  <c:v>20.635135882661899</c:v>
                </c:pt>
                <c:pt idx="190">
                  <c:v>17.073445376865578</c:v>
                </c:pt>
                <c:pt idx="191">
                  <c:v>14.687980698567257</c:v>
                </c:pt>
                <c:pt idx="192">
                  <c:v>11.70109588973696</c:v>
                </c:pt>
                <c:pt idx="193">
                  <c:v>8.6328499793417883</c:v>
                </c:pt>
                <c:pt idx="194">
                  <c:v>7.5686464170066765</c:v>
                </c:pt>
                <c:pt idx="195">
                  <c:v>13.319637330047884</c:v>
                </c:pt>
                <c:pt idx="196">
                  <c:v>15.256426812744317</c:v>
                </c:pt>
                <c:pt idx="197">
                  <c:v>11.880063657234189</c:v>
                </c:pt>
                <c:pt idx="198">
                  <c:v>12.284798962666793</c:v>
                </c:pt>
                <c:pt idx="199">
                  <c:v>10.806015353326085</c:v>
                </c:pt>
                <c:pt idx="200">
                  <c:v>9.3956922373366645</c:v>
                </c:pt>
                <c:pt idx="201">
                  <c:v>6.6634068253202656</c:v>
                </c:pt>
                <c:pt idx="202">
                  <c:v>5.4993572585449835</c:v>
                </c:pt>
                <c:pt idx="203">
                  <c:v>3.5573817803293313</c:v>
                </c:pt>
                <c:pt idx="204">
                  <c:v>2.2443078978011268</c:v>
                </c:pt>
                <c:pt idx="205">
                  <c:v>0.41388899843135291</c:v>
                </c:pt>
                <c:pt idx="206">
                  <c:v>9.2620115398171457E-2</c:v>
                </c:pt>
                <c:pt idx="207">
                  <c:v>1.2666240797455388</c:v>
                </c:pt>
                <c:pt idx="208">
                  <c:v>2.0766779266879698E-2</c:v>
                </c:pt>
                <c:pt idx="209">
                  <c:v>6.6453376593083924E-2</c:v>
                </c:pt>
                <c:pt idx="210">
                  <c:v>8.0420166568704303</c:v>
                </c:pt>
                <c:pt idx="211">
                  <c:v>14.83918944122915</c:v>
                </c:pt>
                <c:pt idx="212">
                  <c:v>12.517676324450978</c:v>
                </c:pt>
                <c:pt idx="213">
                  <c:v>12.933939946204026</c:v>
                </c:pt>
                <c:pt idx="214">
                  <c:v>19.289334297897412</c:v>
                </c:pt>
                <c:pt idx="215">
                  <c:v>16.131653124566132</c:v>
                </c:pt>
                <c:pt idx="216">
                  <c:v>14.886015473390154</c:v>
                </c:pt>
                <c:pt idx="217">
                  <c:v>15.223536061730275</c:v>
                </c:pt>
                <c:pt idx="218">
                  <c:v>16.510874705907359</c:v>
                </c:pt>
                <c:pt idx="219">
                  <c:v>29.980137828060567</c:v>
                </c:pt>
                <c:pt idx="220">
                  <c:v>36.078402410089502</c:v>
                </c:pt>
                <c:pt idx="221">
                  <c:v>40.628284004118598</c:v>
                </c:pt>
                <c:pt idx="222">
                  <c:v>33.053842725396699</c:v>
                </c:pt>
                <c:pt idx="223">
                  <c:v>37.447832554636037</c:v>
                </c:pt>
                <c:pt idx="224">
                  <c:v>35.457721657401962</c:v>
                </c:pt>
                <c:pt idx="225">
                  <c:v>29.642944207945789</c:v>
                </c:pt>
                <c:pt idx="226">
                  <c:v>36.558882863299672</c:v>
                </c:pt>
                <c:pt idx="227">
                  <c:v>42.083009315599959</c:v>
                </c:pt>
                <c:pt idx="228">
                  <c:v>50.365615480767133</c:v>
                </c:pt>
                <c:pt idx="229">
                  <c:v>49.540953490947999</c:v>
                </c:pt>
                <c:pt idx="230">
                  <c:v>41.200234821958453</c:v>
                </c:pt>
                <c:pt idx="231">
                  <c:v>31.255253777194053</c:v>
                </c:pt>
                <c:pt idx="232">
                  <c:v>38.787796209091383</c:v>
                </c:pt>
                <c:pt idx="233">
                  <c:v>38.356702211991696</c:v>
                </c:pt>
                <c:pt idx="234">
                  <c:v>39.819215506037288</c:v>
                </c:pt>
                <c:pt idx="235">
                  <c:v>49.045938969366318</c:v>
                </c:pt>
                <c:pt idx="236">
                  <c:v>46.094440576645837</c:v>
                </c:pt>
                <c:pt idx="237">
                  <c:v>45.597097786053062</c:v>
                </c:pt>
                <c:pt idx="238">
                  <c:v>53.27286022544714</c:v>
                </c:pt>
                <c:pt idx="239">
                  <c:v>55.990294489772637</c:v>
                </c:pt>
                <c:pt idx="240">
                  <c:v>46.753302949478822</c:v>
                </c:pt>
                <c:pt idx="241">
                  <c:v>50.871724934176832</c:v>
                </c:pt>
                <c:pt idx="242">
                  <c:v>54.722877268055356</c:v>
                </c:pt>
                <c:pt idx="243">
                  <c:v>55.008382378783402</c:v>
                </c:pt>
                <c:pt idx="244">
                  <c:v>57.717563539766168</c:v>
                </c:pt>
                <c:pt idx="245">
                  <c:v>57.657334696081897</c:v>
                </c:pt>
                <c:pt idx="246">
                  <c:v>56.374868312996362</c:v>
                </c:pt>
                <c:pt idx="247">
                  <c:v>47.631037839721252</c:v>
                </c:pt>
                <c:pt idx="248">
                  <c:v>47.660587079725872</c:v>
                </c:pt>
                <c:pt idx="249">
                  <c:v>43.015551449856581</c:v>
                </c:pt>
                <c:pt idx="250">
                  <c:v>43.296080576125377</c:v>
                </c:pt>
                <c:pt idx="251">
                  <c:v>35.182333019296799</c:v>
                </c:pt>
                <c:pt idx="252">
                  <c:v>32.680519932048732</c:v>
                </c:pt>
                <c:pt idx="253">
                  <c:v>30.44984410048216</c:v>
                </c:pt>
                <c:pt idx="254">
                  <c:v>26.691690339113094</c:v>
                </c:pt>
                <c:pt idx="255">
                  <c:v>23.696305793563972</c:v>
                </c:pt>
                <c:pt idx="256">
                  <c:v>19.238590967217341</c:v>
                </c:pt>
                <c:pt idx="257">
                  <c:v>14.908530124939917</c:v>
                </c:pt>
                <c:pt idx="258">
                  <c:v>13.530344983943559</c:v>
                </c:pt>
                <c:pt idx="259">
                  <c:v>16.238500419107613</c:v>
                </c:pt>
                <c:pt idx="260">
                  <c:v>16.988543873394757</c:v>
                </c:pt>
                <c:pt idx="261">
                  <c:v>15.733788522619857</c:v>
                </c:pt>
                <c:pt idx="262">
                  <c:v>12.197386671023803</c:v>
                </c:pt>
                <c:pt idx="263">
                  <c:v>7.8876170618649422</c:v>
                </c:pt>
                <c:pt idx="264">
                  <c:v>4.7088791174138374</c:v>
                </c:pt>
                <c:pt idx="265">
                  <c:v>3.4869427977361083</c:v>
                </c:pt>
                <c:pt idx="266">
                  <c:v>1.5697317004982214</c:v>
                </c:pt>
                <c:pt idx="267">
                  <c:v>7.9051990253376125</c:v>
                </c:pt>
                <c:pt idx="268">
                  <c:v>12.864035056189261</c:v>
                </c:pt>
                <c:pt idx="269">
                  <c:v>15.258000869150875</c:v>
                </c:pt>
                <c:pt idx="270">
                  <c:v>13.093013949229531</c:v>
                </c:pt>
                <c:pt idx="271">
                  <c:v>16.95418928127603</c:v>
                </c:pt>
                <c:pt idx="272">
                  <c:v>15.553731983062145</c:v>
                </c:pt>
                <c:pt idx="273">
                  <c:v>16.646130460087903</c:v>
                </c:pt>
                <c:pt idx="274">
                  <c:v>14.463372106847222</c:v>
                </c:pt>
                <c:pt idx="275">
                  <c:v>10.193129470125516</c:v>
                </c:pt>
                <c:pt idx="276">
                  <c:v>5.8899256228614565</c:v>
                </c:pt>
                <c:pt idx="277">
                  <c:v>5.1180137106047381</c:v>
                </c:pt>
                <c:pt idx="278">
                  <c:v>3.9488237444130272</c:v>
                </c:pt>
                <c:pt idx="279">
                  <c:v>2.0462827570397097</c:v>
                </c:pt>
                <c:pt idx="280">
                  <c:v>0.53155570285651133</c:v>
                </c:pt>
                <c:pt idx="281">
                  <c:v>7.0796170264802161</c:v>
                </c:pt>
                <c:pt idx="282">
                  <c:v>16.126643217881607</c:v>
                </c:pt>
                <c:pt idx="283">
                  <c:v>26.148073520014169</c:v>
                </c:pt>
                <c:pt idx="284">
                  <c:v>30.409857025557013</c:v>
                </c:pt>
                <c:pt idx="285">
                  <c:v>45.218573251984765</c:v>
                </c:pt>
                <c:pt idx="286">
                  <c:v>52.36319391572367</c:v>
                </c:pt>
                <c:pt idx="287">
                  <c:v>56.764020679086755</c:v>
                </c:pt>
                <c:pt idx="288">
                  <c:v>53.089950425793333</c:v>
                </c:pt>
                <c:pt idx="289">
                  <c:v>51.608503705242846</c:v>
                </c:pt>
                <c:pt idx="290">
                  <c:v>48.687604587195253</c:v>
                </c:pt>
                <c:pt idx="291">
                  <c:v>48.092661113874065</c:v>
                </c:pt>
                <c:pt idx="292">
                  <c:v>43.221170279941518</c:v>
                </c:pt>
                <c:pt idx="293">
                  <c:v>33.895128570955684</c:v>
                </c:pt>
                <c:pt idx="294">
                  <c:v>30.092844561330935</c:v>
                </c:pt>
                <c:pt idx="295">
                  <c:v>25.628286881470313</c:v>
                </c:pt>
                <c:pt idx="296">
                  <c:v>19.475043303464894</c:v>
                </c:pt>
                <c:pt idx="297">
                  <c:v>14.080202664916744</c:v>
                </c:pt>
                <c:pt idx="298">
                  <c:v>11.465376557753546</c:v>
                </c:pt>
                <c:pt idx="299">
                  <c:v>9.0428011710532559</c:v>
                </c:pt>
                <c:pt idx="300">
                  <c:v>13.247845799460139</c:v>
                </c:pt>
                <c:pt idx="301">
                  <c:v>10.630332904730196</c:v>
                </c:pt>
                <c:pt idx="302">
                  <c:v>7.9224555611247265</c:v>
                </c:pt>
                <c:pt idx="303">
                  <c:v>5.8239503292909349</c:v>
                </c:pt>
                <c:pt idx="304">
                  <c:v>2.7006010259587288</c:v>
                </c:pt>
                <c:pt idx="305">
                  <c:v>0.60366677574407657</c:v>
                </c:pt>
                <c:pt idx="306">
                  <c:v>5.9708028697371469E-2</c:v>
                </c:pt>
                <c:pt idx="307">
                  <c:v>1.3892344476290923</c:v>
                </c:pt>
                <c:pt idx="308">
                  <c:v>1.4800921864719205</c:v>
                </c:pt>
                <c:pt idx="309">
                  <c:v>-0.98080511740168352</c:v>
                </c:pt>
                <c:pt idx="310">
                  <c:v>-0.71800363274966994</c:v>
                </c:pt>
                <c:pt idx="311">
                  <c:v>-2.3896628832822451</c:v>
                </c:pt>
                <c:pt idx="312">
                  <c:v>-3.2225831742781526</c:v>
                </c:pt>
                <c:pt idx="313">
                  <c:v>-3.3484028824439847</c:v>
                </c:pt>
                <c:pt idx="314">
                  <c:v>-3.753085894923748</c:v>
                </c:pt>
                <c:pt idx="315">
                  <c:v>-2.8363931279109997</c:v>
                </c:pt>
                <c:pt idx="316">
                  <c:v>-4.5460932360768407</c:v>
                </c:pt>
                <c:pt idx="317">
                  <c:v>-5.256072277475023</c:v>
                </c:pt>
                <c:pt idx="318">
                  <c:v>-6.115297635503592</c:v>
                </c:pt>
                <c:pt idx="319">
                  <c:v>-6.9172993694925218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E-844F-BDB6-DAAD7D18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'240814A011'!$J$2:$J$321</c:f>
              <c:numCache>
                <c:formatCode>0.0</c:formatCode>
                <c:ptCount val="320"/>
                <c:pt idx="0">
                  <c:v>1138.1636905503101</c:v>
                </c:pt>
                <c:pt idx="1">
                  <c:v>1123.3713237075599</c:v>
                </c:pt>
                <c:pt idx="2">
                  <c:v>1081.90340485614</c:v>
                </c:pt>
                <c:pt idx="3">
                  <c:v>1162.79166246418</c:v>
                </c:pt>
                <c:pt idx="4">
                  <c:v>1179.9150030323699</c:v>
                </c:pt>
                <c:pt idx="5">
                  <c:v>1172.2934098206001</c:v>
                </c:pt>
                <c:pt idx="6">
                  <c:v>1126.3967471533099</c:v>
                </c:pt>
                <c:pt idx="7">
                  <c:v>1038.9330588298499</c:v>
                </c:pt>
                <c:pt idx="8">
                  <c:v>1048.74932869553</c:v>
                </c:pt>
                <c:pt idx="9">
                  <c:v>1110.88401889344</c:v>
                </c:pt>
                <c:pt idx="10">
                  <c:v>1111.26080931154</c:v>
                </c:pt>
                <c:pt idx="11">
                  <c:v>1074.2079704468699</c:v>
                </c:pt>
                <c:pt idx="12">
                  <c:v>1052.0664922148299</c:v>
                </c:pt>
                <c:pt idx="13">
                  <c:v>1049.2310947567198</c:v>
                </c:pt>
                <c:pt idx="14">
                  <c:v>1067.6794871627399</c:v>
                </c:pt>
                <c:pt idx="15">
                  <c:v>1087.1171075882</c:v>
                </c:pt>
                <c:pt idx="16">
                  <c:v>1100.8962553000499</c:v>
                </c:pt>
                <c:pt idx="17">
                  <c:v>1064.76827880154</c:v>
                </c:pt>
                <c:pt idx="18">
                  <c:v>1075.4415228328799</c:v>
                </c:pt>
                <c:pt idx="19">
                  <c:v>1072.81831226854</c:v>
                </c:pt>
                <c:pt idx="20">
                  <c:v>1010.50139140131</c:v>
                </c:pt>
                <c:pt idx="21">
                  <c:v>992.11922334334986</c:v>
                </c:pt>
                <c:pt idx="22">
                  <c:v>1027.5693840634001</c:v>
                </c:pt>
                <c:pt idx="23">
                  <c:v>1026.15039413758</c:v>
                </c:pt>
                <c:pt idx="24">
                  <c:v>1026.9501643222502</c:v>
                </c:pt>
                <c:pt idx="25">
                  <c:v>1013.67294145305</c:v>
                </c:pt>
                <c:pt idx="26">
                  <c:v>953.01270664717003</c:v>
                </c:pt>
                <c:pt idx="27">
                  <c:v>953.35429385977</c:v>
                </c:pt>
                <c:pt idx="28">
                  <c:v>961.72655346402996</c:v>
                </c:pt>
                <c:pt idx="29">
                  <c:v>959.16711518542002</c:v>
                </c:pt>
                <c:pt idx="30">
                  <c:v>995.53701670989005</c:v>
                </c:pt>
                <c:pt idx="31">
                  <c:v>989.72966045745011</c:v>
                </c:pt>
                <c:pt idx="32">
                  <c:v>952.84706505698</c:v>
                </c:pt>
                <c:pt idx="33">
                  <c:v>913.40360755737993</c:v>
                </c:pt>
                <c:pt idx="34">
                  <c:v>986.29554031168993</c:v>
                </c:pt>
                <c:pt idx="35">
                  <c:v>1002.9752622672199</c:v>
                </c:pt>
                <c:pt idx="36">
                  <c:v>997.37786188550012</c:v>
                </c:pt>
                <c:pt idx="37">
                  <c:v>1010.3625754644801</c:v>
                </c:pt>
                <c:pt idx="38">
                  <c:v>1006.8501347193201</c:v>
                </c:pt>
                <c:pt idx="39">
                  <c:v>985.55427087172006</c:v>
                </c:pt>
                <c:pt idx="40">
                  <c:v>974.61112511939007</c:v>
                </c:pt>
                <c:pt idx="41">
                  <c:v>963.1520435817099</c:v>
                </c:pt>
                <c:pt idx="42">
                  <c:v>970.84111697203002</c:v>
                </c:pt>
                <c:pt idx="43">
                  <c:v>924.8313879694299</c:v>
                </c:pt>
                <c:pt idx="44">
                  <c:v>934.16136488963002</c:v>
                </c:pt>
                <c:pt idx="45">
                  <c:v>972.72147578259012</c:v>
                </c:pt>
                <c:pt idx="46">
                  <c:v>974.35348305493994</c:v>
                </c:pt>
                <c:pt idx="47">
                  <c:v>963.16493393708004</c:v>
                </c:pt>
                <c:pt idx="48">
                  <c:v>989.14830228745006</c:v>
                </c:pt>
                <c:pt idx="49">
                  <c:v>946.66798427903996</c:v>
                </c:pt>
                <c:pt idx="50">
                  <c:v>938.51024279610988</c:v>
                </c:pt>
                <c:pt idx="51">
                  <c:v>997.86033821957005</c:v>
                </c:pt>
                <c:pt idx="52">
                  <c:v>1019.32809890514</c:v>
                </c:pt>
                <c:pt idx="53">
                  <c:v>1014.4687060786799</c:v>
                </c:pt>
                <c:pt idx="54">
                  <c:v>990.82931871443998</c:v>
                </c:pt>
                <c:pt idx="55">
                  <c:v>1013.8249195416701</c:v>
                </c:pt>
                <c:pt idx="56">
                  <c:v>1022.1231388493899</c:v>
                </c:pt>
                <c:pt idx="57">
                  <c:v>1035.8442020253101</c:v>
                </c:pt>
                <c:pt idx="58">
                  <c:v>1032.8522226399</c:v>
                </c:pt>
                <c:pt idx="59">
                  <c:v>1021.9569559584701</c:v>
                </c:pt>
                <c:pt idx="60">
                  <c:v>1005.53163415804</c:v>
                </c:pt>
                <c:pt idx="61">
                  <c:v>1038.7467250166601</c:v>
                </c:pt>
                <c:pt idx="62">
                  <c:v>1045.7050314432599</c:v>
                </c:pt>
                <c:pt idx="63">
                  <c:v>1043.87982012969</c:v>
                </c:pt>
                <c:pt idx="64">
                  <c:v>1046.5073286798602</c:v>
                </c:pt>
                <c:pt idx="65">
                  <c:v>1047.89914682117</c:v>
                </c:pt>
                <c:pt idx="66">
                  <c:v>1039.06532512745</c:v>
                </c:pt>
                <c:pt idx="67">
                  <c:v>1026.0724867998301</c:v>
                </c:pt>
                <c:pt idx="68">
                  <c:v>1017.2922456804301</c:v>
                </c:pt>
                <c:pt idx="69">
                  <c:v>1013.5244914787</c:v>
                </c:pt>
                <c:pt idx="70">
                  <c:v>1053.10182837138</c:v>
                </c:pt>
                <c:pt idx="71">
                  <c:v>1064.16798755369</c:v>
                </c:pt>
                <c:pt idx="72">
                  <c:v>1054.06980321937</c:v>
                </c:pt>
                <c:pt idx="73">
                  <c:v>1044.3221177461101</c:v>
                </c:pt>
                <c:pt idx="74">
                  <c:v>1041.88163003199</c:v>
                </c:pt>
                <c:pt idx="75">
                  <c:v>1041.85547535555</c:v>
                </c:pt>
                <c:pt idx="76">
                  <c:v>1078.04332304216</c:v>
                </c:pt>
                <c:pt idx="77">
                  <c:v>1090.0289427183898</c:v>
                </c:pt>
                <c:pt idx="78">
                  <c:v>1087.0356989883999</c:v>
                </c:pt>
                <c:pt idx="79">
                  <c:v>1078.1344373945301</c:v>
                </c:pt>
                <c:pt idx="80">
                  <c:v>1103.07596972383</c:v>
                </c:pt>
                <c:pt idx="81">
                  <c:v>1056.2841746361401</c:v>
                </c:pt>
                <c:pt idx="82">
                  <c:v>1113.8311214124401</c:v>
                </c:pt>
                <c:pt idx="83">
                  <c:v>1144.3747666808199</c:v>
                </c:pt>
                <c:pt idx="84">
                  <c:v>1141.8242956034098</c:v>
                </c:pt>
                <c:pt idx="85">
                  <c:v>1103.3569692528602</c:v>
                </c:pt>
                <c:pt idx="86">
                  <c:v>1072.44896881472</c:v>
                </c:pt>
                <c:pt idx="87">
                  <c:v>1142.7349742415799</c:v>
                </c:pt>
                <c:pt idx="88">
                  <c:v>1066.7349742415799</c:v>
                </c:pt>
                <c:pt idx="89">
                  <c:v>1124.42129364625</c:v>
                </c:pt>
                <c:pt idx="90">
                  <c:v>1018.49055523753</c:v>
                </c:pt>
                <c:pt idx="91">
                  <c:v>1120.3823697767698</c:v>
                </c:pt>
                <c:pt idx="92">
                  <c:v>1084.4344590727001</c:v>
                </c:pt>
                <c:pt idx="93">
                  <c:v>1101.3835145964799</c:v>
                </c:pt>
                <c:pt idx="94">
                  <c:v>1063.4539210074599</c:v>
                </c:pt>
                <c:pt idx="95">
                  <c:v>1071.75443617627</c:v>
                </c:pt>
                <c:pt idx="96">
                  <c:v>1070.2066399542</c:v>
                </c:pt>
                <c:pt idx="97">
                  <c:v>1056.8855180309399</c:v>
                </c:pt>
                <c:pt idx="98">
                  <c:v>1085.2461362336001</c:v>
                </c:pt>
                <c:pt idx="99">
                  <c:v>1067.0772753291001</c:v>
                </c:pt>
                <c:pt idx="100">
                  <c:v>1074.51230681169</c:v>
                </c:pt>
                <c:pt idx="101">
                  <c:v>1084.1431024613901</c:v>
                </c:pt>
                <c:pt idx="102">
                  <c:v>1077.5781339438799</c:v>
                </c:pt>
                <c:pt idx="103">
                  <c:v>1080.3142530052</c:v>
                </c:pt>
                <c:pt idx="104">
                  <c:v>1074.8838008014</c:v>
                </c:pt>
                <c:pt idx="105">
                  <c:v>1065.3257012020599</c:v>
                </c:pt>
                <c:pt idx="106">
                  <c:v>1056.3560389239201</c:v>
                </c:pt>
                <c:pt idx="107">
                  <c:v>1044.3789353177101</c:v>
                </c:pt>
                <c:pt idx="108">
                  <c:v>1043.9170005723699</c:v>
                </c:pt>
                <c:pt idx="109">
                  <c:v>1028.40418295994</c:v>
                </c:pt>
                <c:pt idx="110">
                  <c:v>991.22213739660003</c:v>
                </c:pt>
                <c:pt idx="111">
                  <c:v>1011.2405757738699</c:v>
                </c:pt>
                <c:pt idx="112">
                  <c:v>1028.81593991918</c:v>
                </c:pt>
                <c:pt idx="113">
                  <c:v>1022.4792993651101</c:v>
                </c:pt>
                <c:pt idx="114">
                  <c:v>1037.96048253238</c:v>
                </c:pt>
                <c:pt idx="115">
                  <c:v>1010.76515582199</c:v>
                </c:pt>
                <c:pt idx="116">
                  <c:v>1008.27829582248</c:v>
                </c:pt>
                <c:pt idx="117">
                  <c:v>1025.5451405142001</c:v>
                </c:pt>
                <c:pt idx="118">
                  <c:v>993.31213222017004</c:v>
                </c:pt>
                <c:pt idx="119">
                  <c:v>961.37557420275004</c:v>
                </c:pt>
                <c:pt idx="120">
                  <c:v>1004.5907217449799</c:v>
                </c:pt>
                <c:pt idx="121">
                  <c:v>998.44791759664986</c:v>
                </c:pt>
                <c:pt idx="122">
                  <c:v>1006.4742002016601</c:v>
                </c:pt>
                <c:pt idx="123">
                  <c:v>992.87711076129995</c:v>
                </c:pt>
                <c:pt idx="124">
                  <c:v>994.96281811997005</c:v>
                </c:pt>
                <c:pt idx="125">
                  <c:v>948.73307554803</c:v>
                </c:pt>
                <c:pt idx="126">
                  <c:v>974.96823109068009</c:v>
                </c:pt>
                <c:pt idx="127">
                  <c:v>980.48765311642001</c:v>
                </c:pt>
                <c:pt idx="128">
                  <c:v>937.49059270317014</c:v>
                </c:pt>
                <c:pt idx="129">
                  <c:v>919.34419424276996</c:v>
                </c:pt>
                <c:pt idx="130">
                  <c:v>978.40295274862012</c:v>
                </c:pt>
                <c:pt idx="131">
                  <c:v>951.41124894486006</c:v>
                </c:pt>
                <c:pt idx="132">
                  <c:v>955.66898747310006</c:v>
                </c:pt>
                <c:pt idx="133">
                  <c:v>953.57663792456992</c:v>
                </c:pt>
                <c:pt idx="134">
                  <c:v>969.40188220871005</c:v>
                </c:pt>
                <c:pt idx="135">
                  <c:v>955.36088013631002</c:v>
                </c:pt>
                <c:pt idx="136">
                  <c:v>948.70005724101998</c:v>
                </c:pt>
                <c:pt idx="137">
                  <c:v>939.57698912419994</c:v>
                </c:pt>
                <c:pt idx="138">
                  <c:v>945.29021179168012</c:v>
                </c:pt>
                <c:pt idx="139">
                  <c:v>888.56038923872995</c:v>
                </c:pt>
                <c:pt idx="140">
                  <c:v>912.86090440752002</c:v>
                </c:pt>
                <c:pt idx="141">
                  <c:v>854.85060103034004</c:v>
                </c:pt>
                <c:pt idx="142">
                  <c:v>899.57813394389996</c:v>
                </c:pt>
                <c:pt idx="143">
                  <c:v>959.19748139669002</c:v>
                </c:pt>
                <c:pt idx="144">
                  <c:v>937.05323411565996</c:v>
                </c:pt>
                <c:pt idx="145">
                  <c:v>925.7292501431499</c:v>
                </c:pt>
                <c:pt idx="146">
                  <c:v>914.72295363480998</c:v>
                </c:pt>
                <c:pt idx="147">
                  <c:v>929.85746994854003</c:v>
                </c:pt>
                <c:pt idx="148">
                  <c:v>907.8586147681699</c:v>
                </c:pt>
                <c:pt idx="149">
                  <c:v>928.81110475097989</c:v>
                </c:pt>
                <c:pt idx="150">
                  <c:v>933.20606754438995</c:v>
                </c:pt>
                <c:pt idx="151">
                  <c:v>914.75157412707995</c:v>
                </c:pt>
                <c:pt idx="152">
                  <c:v>904.69834001146</c:v>
                </c:pt>
                <c:pt idx="153">
                  <c:v>881.71265025762011</c:v>
                </c:pt>
                <c:pt idx="154">
                  <c:v>898.78534630793001</c:v>
                </c:pt>
                <c:pt idx="155">
                  <c:v>845.31482541499997</c:v>
                </c:pt>
                <c:pt idx="156">
                  <c:v>803.69490555237996</c:v>
                </c:pt>
                <c:pt idx="157">
                  <c:v>814.26903262736005</c:v>
                </c:pt>
                <c:pt idx="158">
                  <c:v>867.17744705206997</c:v>
                </c:pt>
                <c:pt idx="159">
                  <c:v>839.48769318833001</c:v>
                </c:pt>
                <c:pt idx="160">
                  <c:v>829.79965655409001</c:v>
                </c:pt>
                <c:pt idx="161">
                  <c:v>849.22209502009002</c:v>
                </c:pt>
                <c:pt idx="162">
                  <c:v>823.40812821980001</c:v>
                </c:pt>
                <c:pt idx="163">
                  <c:v>915.54595248050998</c:v>
                </c:pt>
                <c:pt idx="164">
                  <c:v>931.65071950053004</c:v>
                </c:pt>
                <c:pt idx="165">
                  <c:v>972.56696982701999</c:v>
                </c:pt>
                <c:pt idx="166">
                  <c:v>969.6025811728199</c:v>
                </c:pt>
                <c:pt idx="167">
                  <c:v>952.39282941430997</c:v>
                </c:pt>
                <c:pt idx="168">
                  <c:v>921.45693670180992</c:v>
                </c:pt>
                <c:pt idx="169">
                  <c:v>945.43643782582001</c:v>
                </c:pt>
                <c:pt idx="170">
                  <c:v>926.96849195991001</c:v>
                </c:pt>
                <c:pt idx="171">
                  <c:v>971.61109605532999</c:v>
                </c:pt>
                <c:pt idx="172">
                  <c:v>968.66797875252007</c:v>
                </c:pt>
                <c:pt idx="173">
                  <c:v>994.41284643304994</c:v>
                </c:pt>
                <c:pt idx="174">
                  <c:v>994.22302898634996</c:v>
                </c:pt>
                <c:pt idx="175">
                  <c:v>956.85340848651992</c:v>
                </c:pt>
                <c:pt idx="176">
                  <c:v>942.68567104294993</c:v>
                </c:pt>
                <c:pt idx="177">
                  <c:v>958.90848450903991</c:v>
                </c:pt>
                <c:pt idx="178">
                  <c:v>939.69266872071012</c:v>
                </c:pt>
                <c:pt idx="179">
                  <c:v>940.61411068505004</c:v>
                </c:pt>
                <c:pt idx="180">
                  <c:v>930.62019889612009</c:v>
                </c:pt>
                <c:pt idx="181">
                  <c:v>921.18775271503011</c:v>
                </c:pt>
                <c:pt idx="182">
                  <c:v>844.76430265426995</c:v>
                </c:pt>
                <c:pt idx="183">
                  <c:v>904.95595394760994</c:v>
                </c:pt>
                <c:pt idx="184">
                  <c:v>893.45110682297991</c:v>
                </c:pt>
                <c:pt idx="185">
                  <c:v>921.08559068046009</c:v>
                </c:pt>
                <c:pt idx="186">
                  <c:v>922.49156826530987</c:v>
                </c:pt>
                <c:pt idx="187">
                  <c:v>898.68092463798007</c:v>
                </c:pt>
                <c:pt idx="188">
                  <c:v>864.78312429918003</c:v>
                </c:pt>
                <c:pt idx="189">
                  <c:v>884.44797083672006</c:v>
                </c:pt>
                <c:pt idx="190">
                  <c:v>908.65284098634993</c:v>
                </c:pt>
                <c:pt idx="191">
                  <c:v>908.39380648606993</c:v>
                </c:pt>
                <c:pt idx="192">
                  <c:v>897.97805970135005</c:v>
                </c:pt>
                <c:pt idx="193">
                  <c:v>934.22663294351003</c:v>
                </c:pt>
                <c:pt idx="194">
                  <c:v>914.50704188829002</c:v>
                </c:pt>
                <c:pt idx="195">
                  <c:v>899.44425962199011</c:v>
                </c:pt>
                <c:pt idx="196">
                  <c:v>867.69345753847006</c:v>
                </c:pt>
                <c:pt idx="197">
                  <c:v>901.03502024339991</c:v>
                </c:pt>
                <c:pt idx="198">
                  <c:v>870.01330068764992</c:v>
                </c:pt>
                <c:pt idx="199">
                  <c:v>897.07286593325</c:v>
                </c:pt>
                <c:pt idx="200">
                  <c:v>907.04059082420008</c:v>
                </c:pt>
                <c:pt idx="201">
                  <c:v>900.25001902045005</c:v>
                </c:pt>
                <c:pt idx="202">
                  <c:v>888.60536471779994</c:v>
                </c:pt>
                <c:pt idx="203">
                  <c:v>864.88801240563998</c:v>
                </c:pt>
                <c:pt idx="204">
                  <c:v>896.08407077768004</c:v>
                </c:pt>
                <c:pt idx="205">
                  <c:v>932.24563696672999</c:v>
                </c:pt>
                <c:pt idx="206">
                  <c:v>917.64989970585998</c:v>
                </c:pt>
                <c:pt idx="207">
                  <c:v>900.36719422197996</c:v>
                </c:pt>
                <c:pt idx="208">
                  <c:v>905.27636260813995</c:v>
                </c:pt>
                <c:pt idx="209">
                  <c:v>881.11089240755007</c:v>
                </c:pt>
                <c:pt idx="210">
                  <c:v>930.08233742599009</c:v>
                </c:pt>
                <c:pt idx="211">
                  <c:v>945.56797358769995</c:v>
                </c:pt>
                <c:pt idx="212">
                  <c:v>999.75713500566985</c:v>
                </c:pt>
                <c:pt idx="213">
                  <c:v>961.76302232397995</c:v>
                </c:pt>
                <c:pt idx="214">
                  <c:v>951.83171150546002</c:v>
                </c:pt>
                <c:pt idx="215">
                  <c:v>967.18832283918994</c:v>
                </c:pt>
                <c:pt idx="216">
                  <c:v>949.37836290782991</c:v>
                </c:pt>
                <c:pt idx="217">
                  <c:v>922.30623926736007</c:v>
                </c:pt>
                <c:pt idx="218">
                  <c:v>942.0492272467601</c:v>
                </c:pt>
                <c:pt idx="219">
                  <c:v>940.16256439614995</c:v>
                </c:pt>
                <c:pt idx="220">
                  <c:v>940.73382942191006</c:v>
                </c:pt>
                <c:pt idx="221">
                  <c:v>951.79793932460007</c:v>
                </c:pt>
                <c:pt idx="222">
                  <c:v>944.80309101315993</c:v>
                </c:pt>
                <c:pt idx="223">
                  <c:v>938.80938752149996</c:v>
                </c:pt>
                <c:pt idx="224">
                  <c:v>954.80995993133001</c:v>
                </c:pt>
                <c:pt idx="225">
                  <c:v>951.8036634230499</c:v>
                </c:pt>
                <c:pt idx="226">
                  <c:v>946.50601030337998</c:v>
                </c:pt>
                <c:pt idx="227">
                  <c:v>907.0269032627599</c:v>
                </c:pt>
                <c:pt idx="228">
                  <c:v>879.27933600456004</c:v>
                </c:pt>
                <c:pt idx="229">
                  <c:v>891.70569022244001</c:v>
                </c:pt>
                <c:pt idx="230">
                  <c:v>857.40729189619992</c:v>
                </c:pt>
                <c:pt idx="231">
                  <c:v>911.87401483838005</c:v>
                </c:pt>
                <c:pt idx="232">
                  <c:v>932.4295415219799</c:v>
                </c:pt>
                <c:pt idx="233">
                  <c:v>910.8489191671099</c:v>
                </c:pt>
                <c:pt idx="234">
                  <c:v>892.24271454563996</c:v>
                </c:pt>
                <c:pt idx="235">
                  <c:v>895.61819579935991</c:v>
                </c:pt>
                <c:pt idx="236">
                  <c:v>806.81093553377002</c:v>
                </c:pt>
                <c:pt idx="237">
                  <c:v>840.73581717387003</c:v>
                </c:pt>
                <c:pt idx="238">
                  <c:v>833.83818542157996</c:v>
                </c:pt>
                <c:pt idx="239">
                  <c:v>811.90813769463</c:v>
                </c:pt>
                <c:pt idx="240">
                  <c:v>880.97529578883007</c:v>
                </c:pt>
                <c:pt idx="241">
                  <c:v>915.34337960745995</c:v>
                </c:pt>
                <c:pt idx="242">
                  <c:v>920.86219486036009</c:v>
                </c:pt>
                <c:pt idx="243">
                  <c:v>917.26935066907004</c:v>
                </c:pt>
                <c:pt idx="244">
                  <c:v>926.27257778060005</c:v>
                </c:pt>
                <c:pt idx="245">
                  <c:v>928.87764045672998</c:v>
                </c:pt>
                <c:pt idx="246">
                  <c:v>910.49783656505997</c:v>
                </c:pt>
                <c:pt idx="247">
                  <c:v>910.95523872558988</c:v>
                </c:pt>
                <c:pt idx="248">
                  <c:v>904.69994132233001</c:v>
                </c:pt>
                <c:pt idx="249">
                  <c:v>904.51748070443</c:v>
                </c:pt>
                <c:pt idx="250">
                  <c:v>902.75915063910008</c:v>
                </c:pt>
                <c:pt idx="251">
                  <c:v>895.18233359711007</c:v>
                </c:pt>
                <c:pt idx="252">
                  <c:v>890.95425847781996</c:v>
                </c:pt>
                <c:pt idx="253">
                  <c:v>891.73165733380995</c:v>
                </c:pt>
                <c:pt idx="254">
                  <c:v>880.86539160437997</c:v>
                </c:pt>
                <c:pt idx="255">
                  <c:v>874.01592788352991</c:v>
                </c:pt>
                <c:pt idx="256">
                  <c:v>869.14738165759991</c:v>
                </c:pt>
                <c:pt idx="257">
                  <c:v>865.06089226060999</c:v>
                </c:pt>
                <c:pt idx="258">
                  <c:v>856.28106792806</c:v>
                </c:pt>
                <c:pt idx="259">
                  <c:v>860.60442822528</c:v>
                </c:pt>
                <c:pt idx="260">
                  <c:v>844.07309745934003</c:v>
                </c:pt>
                <c:pt idx="261">
                  <c:v>786.20142032475007</c:v>
                </c:pt>
                <c:pt idx="262">
                  <c:v>801.96819285223</c:v>
                </c:pt>
                <c:pt idx="263">
                  <c:v>862.28479818612004</c:v>
                </c:pt>
                <c:pt idx="264">
                  <c:v>861.62470526144</c:v>
                </c:pt>
                <c:pt idx="265">
                  <c:v>862.16499319932996</c:v>
                </c:pt>
                <c:pt idx="266">
                  <c:v>833.00718203683005</c:v>
                </c:pt>
                <c:pt idx="267">
                  <c:v>818.79232583510998</c:v>
                </c:pt>
                <c:pt idx="268">
                  <c:v>847.23245714802999</c:v>
                </c:pt>
                <c:pt idx="269">
                  <c:v>717.60734653902</c:v>
                </c:pt>
                <c:pt idx="270">
                  <c:v>847.60619712430002</c:v>
                </c:pt>
                <c:pt idx="271">
                  <c:v>857.63147637102998</c:v>
                </c:pt>
                <c:pt idx="272">
                  <c:v>833.54274234205002</c:v>
                </c:pt>
                <c:pt idx="273">
                  <c:v>830.98098870672004</c:v>
                </c:pt>
                <c:pt idx="274">
                  <c:v>812.77672865147997</c:v>
                </c:pt>
                <c:pt idx="275">
                  <c:v>791.60653092063001</c:v>
                </c:pt>
                <c:pt idx="276">
                  <c:v>862.90434355356001</c:v>
                </c:pt>
                <c:pt idx="277">
                  <c:v>873.35990006460997</c:v>
                </c:pt>
                <c:pt idx="278">
                  <c:v>888.42203443122003</c:v>
                </c:pt>
                <c:pt idx="279">
                  <c:v>893.57094796848992</c:v>
                </c:pt>
                <c:pt idx="280">
                  <c:v>918.27412589339997</c:v>
                </c:pt>
                <c:pt idx="281">
                  <c:v>929.48493518382998</c:v>
                </c:pt>
                <c:pt idx="282">
                  <c:v>891.93564360662003</c:v>
                </c:pt>
                <c:pt idx="283">
                  <c:v>871.48587979129002</c:v>
                </c:pt>
                <c:pt idx="284">
                  <c:v>831.47140445218997</c:v>
                </c:pt>
                <c:pt idx="285">
                  <c:v>916.8487607195799</c:v>
                </c:pt>
                <c:pt idx="286">
                  <c:v>923.82060432564992</c:v>
                </c:pt>
                <c:pt idx="287">
                  <c:v>902.83326790883007</c:v>
                </c:pt>
                <c:pt idx="288">
                  <c:v>933.30485058264992</c:v>
                </c:pt>
                <c:pt idx="289">
                  <c:v>944.00246631717005</c:v>
                </c:pt>
                <c:pt idx="290">
                  <c:v>960.35670228042</c:v>
                </c:pt>
                <c:pt idx="291">
                  <c:v>941.14567634986997</c:v>
                </c:pt>
                <c:pt idx="292">
                  <c:v>943.52337916089004</c:v>
                </c:pt>
                <c:pt idx="293">
                  <c:v>942.51525180927013</c:v>
                </c:pt>
                <c:pt idx="294">
                  <c:v>936.39060207702005</c:v>
                </c:pt>
                <c:pt idx="295">
                  <c:v>947.11641677364992</c:v>
                </c:pt>
                <c:pt idx="296">
                  <c:v>942.02140628490986</c:v>
                </c:pt>
                <c:pt idx="297">
                  <c:v>913.36028147161994</c:v>
                </c:pt>
                <c:pt idx="298">
                  <c:v>864.90868433616993</c:v>
                </c:pt>
                <c:pt idx="299">
                  <c:v>910.47429317837009</c:v>
                </c:pt>
                <c:pt idx="300">
                  <c:v>860.42019881443002</c:v>
                </c:pt>
                <c:pt idx="301">
                  <c:v>932.91626316996997</c:v>
                </c:pt>
                <c:pt idx="302">
                  <c:v>937.37591677057003</c:v>
                </c:pt>
                <c:pt idx="303">
                  <c:v>897.40124786653996</c:v>
                </c:pt>
                <c:pt idx="304">
                  <c:v>884.87239083045006</c:v>
                </c:pt>
                <c:pt idx="305">
                  <c:v>911.11829966829987</c:v>
                </c:pt>
                <c:pt idx="306">
                  <c:v>920.51566318514006</c:v>
                </c:pt>
                <c:pt idx="307">
                  <c:v>931.67800933368994</c:v>
                </c:pt>
                <c:pt idx="308">
                  <c:v>923.55386402782995</c:v>
                </c:pt>
                <c:pt idx="309">
                  <c:v>924.18554802366998</c:v>
                </c:pt>
                <c:pt idx="310">
                  <c:v>896.0748572896</c:v>
                </c:pt>
                <c:pt idx="311">
                  <c:v>891.70530106408</c:v>
                </c:pt>
                <c:pt idx="312">
                  <c:v>881.27955392545994</c:v>
                </c:pt>
                <c:pt idx="313">
                  <c:v>880.62844230032999</c:v>
                </c:pt>
                <c:pt idx="314">
                  <c:v>895.97442190528989</c:v>
                </c:pt>
                <c:pt idx="315">
                  <c:v>848.64991975807004</c:v>
                </c:pt>
                <c:pt idx="316">
                  <c:v>899.19571908011017</c:v>
                </c:pt>
                <c:pt idx="317">
                  <c:v>894.06102470506994</c:v>
                </c:pt>
                <c:pt idx="318">
                  <c:v>886.27694148872001</c:v>
                </c:pt>
                <c:pt idx="319">
                  <c:v>894.24274588139997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C2-154C-B0D4-2B94B21B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E8-4F4E-AC84-069F64BCAEF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'240814A011'!$P$2:$P$321</c:f>
              <c:numCache>
                <c:formatCode>General</c:formatCode>
                <c:ptCount val="320"/>
                <c:pt idx="0">
                  <c:v>-22.777013146196026</c:v>
                </c:pt>
                <c:pt idx="1">
                  <c:v>-23.329583096047841</c:v>
                </c:pt>
                <c:pt idx="2">
                  <c:v>-23.274272823752895</c:v>
                </c:pt>
                <c:pt idx="3">
                  <c:v>-23.240502370085835</c:v>
                </c:pt>
                <c:pt idx="4">
                  <c:v>-23.434206337518944</c:v>
                </c:pt>
                <c:pt idx="5">
                  <c:v>-23.928231622687626</c:v>
                </c:pt>
                <c:pt idx="6">
                  <c:v>-23.80833841670988</c:v>
                </c:pt>
                <c:pt idx="7">
                  <c:v>-23.77711414451948</c:v>
                </c:pt>
                <c:pt idx="8">
                  <c:v>-23.919654532562472</c:v>
                </c:pt>
                <c:pt idx="9">
                  <c:v>-23.243609108273187</c:v>
                </c:pt>
                <c:pt idx="10">
                  <c:v>-23.416568680975878</c:v>
                </c:pt>
                <c:pt idx="11">
                  <c:v>-23.447831182585254</c:v>
                </c:pt>
                <c:pt idx="12">
                  <c:v>-23.520329091248296</c:v>
                </c:pt>
                <c:pt idx="13">
                  <c:v>-23.269389473095142</c:v>
                </c:pt>
                <c:pt idx="14">
                  <c:v>-23.285973396386115</c:v>
                </c:pt>
                <c:pt idx="15">
                  <c:v>-23.372004683564349</c:v>
                </c:pt>
                <c:pt idx="16">
                  <c:v>-22.922490415331904</c:v>
                </c:pt>
                <c:pt idx="17">
                  <c:v>-23.030123200548964</c:v>
                </c:pt>
                <c:pt idx="18">
                  <c:v>-23.111393634798066</c:v>
                </c:pt>
                <c:pt idx="19">
                  <c:v>-23.393637988945322</c:v>
                </c:pt>
                <c:pt idx="20">
                  <c:v>-21.613974588118872</c:v>
                </c:pt>
                <c:pt idx="21">
                  <c:v>-21.783282378848398</c:v>
                </c:pt>
                <c:pt idx="22">
                  <c:v>-22.400398156233738</c:v>
                </c:pt>
                <c:pt idx="23">
                  <c:v>-22.571519662963389</c:v>
                </c:pt>
                <c:pt idx="24">
                  <c:v>-22.664685170742946</c:v>
                </c:pt>
                <c:pt idx="25">
                  <c:v>-22.646290542420751</c:v>
                </c:pt>
                <c:pt idx="26">
                  <c:v>-22.192277061518489</c:v>
                </c:pt>
                <c:pt idx="27">
                  <c:v>-21.898894671608552</c:v>
                </c:pt>
                <c:pt idx="28">
                  <c:v>-21.806751484169631</c:v>
                </c:pt>
                <c:pt idx="29">
                  <c:v>-21.598675504515192</c:v>
                </c:pt>
                <c:pt idx="30">
                  <c:v>-21.760146978110591</c:v>
                </c:pt>
                <c:pt idx="31">
                  <c:v>-21.868673557160463</c:v>
                </c:pt>
                <c:pt idx="32">
                  <c:v>-21.721433227798652</c:v>
                </c:pt>
                <c:pt idx="33">
                  <c:v>-21.461756478537179</c:v>
                </c:pt>
                <c:pt idx="34">
                  <c:v>-21.370588718087539</c:v>
                </c:pt>
                <c:pt idx="35">
                  <c:v>-21.34145270160699</c:v>
                </c:pt>
                <c:pt idx="36">
                  <c:v>-21.168877211199383</c:v>
                </c:pt>
                <c:pt idx="37">
                  <c:v>-21.056140328060195</c:v>
                </c:pt>
                <c:pt idx="38">
                  <c:v>-20.812429603995035</c:v>
                </c:pt>
                <c:pt idx="39">
                  <c:v>-20.043557261673666</c:v>
                </c:pt>
                <c:pt idx="40">
                  <c:v>-20.638882879528147</c:v>
                </c:pt>
                <c:pt idx="41">
                  <c:v>-20.166575939109205</c:v>
                </c:pt>
                <c:pt idx="42">
                  <c:v>-20.381799691322058</c:v>
                </c:pt>
                <c:pt idx="43">
                  <c:v>-19.575694545710832</c:v>
                </c:pt>
                <c:pt idx="44">
                  <c:v>-19.667859284721619</c:v>
                </c:pt>
                <c:pt idx="45">
                  <c:v>-19.776783754873534</c:v>
                </c:pt>
                <c:pt idx="46">
                  <c:v>-19.522040799670144</c:v>
                </c:pt>
                <c:pt idx="47">
                  <c:v>-18.734370475259198</c:v>
                </c:pt>
                <c:pt idx="48">
                  <c:v>-19.220976769994188</c:v>
                </c:pt>
                <c:pt idx="49">
                  <c:v>-18.66253524676257</c:v>
                </c:pt>
                <c:pt idx="50">
                  <c:v>-17.453508618670458</c:v>
                </c:pt>
                <c:pt idx="51">
                  <c:v>-18.097912104875526</c:v>
                </c:pt>
                <c:pt idx="52">
                  <c:v>-17.794994794799639</c:v>
                </c:pt>
                <c:pt idx="53">
                  <c:v>-16.018259998138021</c:v>
                </c:pt>
                <c:pt idx="54">
                  <c:v>-15.982120915383518</c:v>
                </c:pt>
                <c:pt idx="55">
                  <c:v>-15.049889797805005</c:v>
                </c:pt>
                <c:pt idx="56">
                  <c:v>-15.274844762476757</c:v>
                </c:pt>
                <c:pt idx="57">
                  <c:v>-15.919235776752011</c:v>
                </c:pt>
                <c:pt idx="58">
                  <c:v>-15.186152820267743</c:v>
                </c:pt>
                <c:pt idx="59">
                  <c:v>-13.654428347210215</c:v>
                </c:pt>
                <c:pt idx="60">
                  <c:v>-10.712332364111973</c:v>
                </c:pt>
                <c:pt idx="61">
                  <c:v>-10.84291640199759</c:v>
                </c:pt>
                <c:pt idx="62">
                  <c:v>-12.364761995145564</c:v>
                </c:pt>
                <c:pt idx="63">
                  <c:v>-10.933793446644053</c:v>
                </c:pt>
                <c:pt idx="64">
                  <c:v>-11.446442642366119</c:v>
                </c:pt>
                <c:pt idx="65">
                  <c:v>-5.4742574405984028</c:v>
                </c:pt>
                <c:pt idx="66">
                  <c:v>-5.1239892469934638</c:v>
                </c:pt>
                <c:pt idx="67">
                  <c:v>-4.0823116304517733</c:v>
                </c:pt>
                <c:pt idx="68">
                  <c:v>-3.7869142966511187</c:v>
                </c:pt>
                <c:pt idx="69">
                  <c:v>-0.61010030924038361</c:v>
                </c:pt>
                <c:pt idx="70">
                  <c:v>1.8507769547569244</c:v>
                </c:pt>
                <c:pt idx="71">
                  <c:v>-0.3159051728694251</c:v>
                </c:pt>
                <c:pt idx="72">
                  <c:v>7.735438385340915</c:v>
                </c:pt>
                <c:pt idx="73">
                  <c:v>8.198864190208571</c:v>
                </c:pt>
                <c:pt idx="74">
                  <c:v>7.0009066114345613</c:v>
                </c:pt>
                <c:pt idx="75">
                  <c:v>8.0159185425211099</c:v>
                </c:pt>
                <c:pt idx="76">
                  <c:v>11.918475664469591</c:v>
                </c:pt>
                <c:pt idx="77">
                  <c:v>9.5994501705921689</c:v>
                </c:pt>
                <c:pt idx="78">
                  <c:v>8.7721805454433319</c:v>
                </c:pt>
                <c:pt idx="79">
                  <c:v>12.601713882302922</c:v>
                </c:pt>
                <c:pt idx="80">
                  <c:v>17.056947769422166</c:v>
                </c:pt>
                <c:pt idx="81">
                  <c:v>15.956211983099472</c:v>
                </c:pt>
                <c:pt idx="82">
                  <c:v>22.464221681455353</c:v>
                </c:pt>
                <c:pt idx="83">
                  <c:v>38.432369576906346</c:v>
                </c:pt>
                <c:pt idx="84">
                  <c:v>42.194628665933806</c:v>
                </c:pt>
                <c:pt idx="85">
                  <c:v>39.439950350276064</c:v>
                </c:pt>
                <c:pt idx="86">
                  <c:v>40.07323319311805</c:v>
                </c:pt>
                <c:pt idx="87">
                  <c:v>46.202993998136741</c:v>
                </c:pt>
                <c:pt idx="88">
                  <c:v>45.27470871131186</c:v>
                </c:pt>
                <c:pt idx="89">
                  <c:v>41.537095825646816</c:v>
                </c:pt>
                <c:pt idx="90">
                  <c:v>49.413072526528815</c:v>
                </c:pt>
                <c:pt idx="91">
                  <c:v>50.30257591519841</c:v>
                </c:pt>
                <c:pt idx="92">
                  <c:v>54.939200954312618</c:v>
                </c:pt>
                <c:pt idx="93">
                  <c:v>53.222333256046916</c:v>
                </c:pt>
                <c:pt idx="94">
                  <c:v>61.123444081549493</c:v>
                </c:pt>
                <c:pt idx="95">
                  <c:v>56.195073778613327</c:v>
                </c:pt>
                <c:pt idx="96">
                  <c:v>56.184873229135277</c:v>
                </c:pt>
                <c:pt idx="97">
                  <c:v>56.931131198512453</c:v>
                </c:pt>
                <c:pt idx="98">
                  <c:v>59.340300664996306</c:v>
                </c:pt>
                <c:pt idx="99">
                  <c:v>57.23549614866775</c:v>
                </c:pt>
                <c:pt idx="100">
                  <c:v>52.98177686251011</c:v>
                </c:pt>
                <c:pt idx="101">
                  <c:v>50.965323265701493</c:v>
                </c:pt>
                <c:pt idx="102">
                  <c:v>51.596686371294084</c:v>
                </c:pt>
                <c:pt idx="103">
                  <c:v>46.829873292143255</c:v>
                </c:pt>
                <c:pt idx="104">
                  <c:v>43.070197672643936</c:v>
                </c:pt>
                <c:pt idx="105">
                  <c:v>42.636462245045344</c:v>
                </c:pt>
                <c:pt idx="106">
                  <c:v>39.107355139379344</c:v>
                </c:pt>
                <c:pt idx="107">
                  <c:v>33.072246895189849</c:v>
                </c:pt>
                <c:pt idx="108">
                  <c:v>31.808953628488496</c:v>
                </c:pt>
                <c:pt idx="109">
                  <c:v>32.159132226633091</c:v>
                </c:pt>
                <c:pt idx="110">
                  <c:v>27.017148479462318</c:v>
                </c:pt>
                <c:pt idx="111">
                  <c:v>29.64236213124008</c:v>
                </c:pt>
                <c:pt idx="112">
                  <c:v>31.230724614351036</c:v>
                </c:pt>
                <c:pt idx="113">
                  <c:v>27.476449412002086</c:v>
                </c:pt>
                <c:pt idx="114">
                  <c:v>26.029001116425597</c:v>
                </c:pt>
                <c:pt idx="115">
                  <c:v>30.235768185240136</c:v>
                </c:pt>
                <c:pt idx="116">
                  <c:v>24.028907884458491</c:v>
                </c:pt>
                <c:pt idx="117">
                  <c:v>21.862973810682586</c:v>
                </c:pt>
                <c:pt idx="118">
                  <c:v>32.631276077051922</c:v>
                </c:pt>
                <c:pt idx="119">
                  <c:v>27.769755592244156</c:v>
                </c:pt>
                <c:pt idx="120">
                  <c:v>30.445076634491269</c:v>
                </c:pt>
                <c:pt idx="121">
                  <c:v>29.677995802477547</c:v>
                </c:pt>
                <c:pt idx="122">
                  <c:v>31.03257735823415</c:v>
                </c:pt>
                <c:pt idx="123">
                  <c:v>32.640017142183645</c:v>
                </c:pt>
                <c:pt idx="124">
                  <c:v>40.404578874776462</c:v>
                </c:pt>
                <c:pt idx="125">
                  <c:v>40.482245039170714</c:v>
                </c:pt>
                <c:pt idx="126">
                  <c:v>35.600748067614049</c:v>
                </c:pt>
                <c:pt idx="127">
                  <c:v>41.208990518740173</c:v>
                </c:pt>
                <c:pt idx="128">
                  <c:v>41.337540279903926</c:v>
                </c:pt>
                <c:pt idx="129">
                  <c:v>32.791508928212757</c:v>
                </c:pt>
                <c:pt idx="130">
                  <c:v>39.182899831388681</c:v>
                </c:pt>
                <c:pt idx="131">
                  <c:v>45.312867918582427</c:v>
                </c:pt>
                <c:pt idx="132">
                  <c:v>34.877555160796256</c:v>
                </c:pt>
                <c:pt idx="133">
                  <c:v>27.983772387427063</c:v>
                </c:pt>
                <c:pt idx="134">
                  <c:v>34.614357831724142</c:v>
                </c:pt>
                <c:pt idx="135">
                  <c:v>34.336783816331121</c:v>
                </c:pt>
                <c:pt idx="136">
                  <c:v>26.771168841080673</c:v>
                </c:pt>
                <c:pt idx="137">
                  <c:v>28.28770167702222</c:v>
                </c:pt>
                <c:pt idx="138">
                  <c:v>29.678310472015106</c:v>
                </c:pt>
                <c:pt idx="139">
                  <c:v>24.407028873283178</c:v>
                </c:pt>
                <c:pt idx="140">
                  <c:v>18.309435863414514</c:v>
                </c:pt>
                <c:pt idx="141">
                  <c:v>14.257890607417526</c:v>
                </c:pt>
                <c:pt idx="142">
                  <c:v>11.306774402517007</c:v>
                </c:pt>
                <c:pt idx="143">
                  <c:v>7.3052405116711112</c:v>
                </c:pt>
                <c:pt idx="144">
                  <c:v>10.573533077013149</c:v>
                </c:pt>
                <c:pt idx="145">
                  <c:v>9.7332392216318713</c:v>
                </c:pt>
                <c:pt idx="146">
                  <c:v>6.7320897556192287</c:v>
                </c:pt>
                <c:pt idx="147">
                  <c:v>3.7097851404840072</c:v>
                </c:pt>
                <c:pt idx="148">
                  <c:v>2.6043528233859821</c:v>
                </c:pt>
                <c:pt idx="149">
                  <c:v>1.7734678615262134</c:v>
                </c:pt>
                <c:pt idx="150">
                  <c:v>-0.26537345020999881</c:v>
                </c:pt>
                <c:pt idx="151">
                  <c:v>-1.2978528960720215</c:v>
                </c:pt>
                <c:pt idx="152">
                  <c:v>-2.463694121897019</c:v>
                </c:pt>
                <c:pt idx="153">
                  <c:v>-4.3200003567650826</c:v>
                </c:pt>
                <c:pt idx="154">
                  <c:v>-5.9447552727078339</c:v>
                </c:pt>
                <c:pt idx="155">
                  <c:v>-6.6666187761732392</c:v>
                </c:pt>
                <c:pt idx="156">
                  <c:v>-8.5678352581629298</c:v>
                </c:pt>
                <c:pt idx="157">
                  <c:v>-9.8377321435721576</c:v>
                </c:pt>
                <c:pt idx="158">
                  <c:v>-4.1826956524247008</c:v>
                </c:pt>
                <c:pt idx="159">
                  <c:v>-3.7617608872454862</c:v>
                </c:pt>
                <c:pt idx="160">
                  <c:v>-3.1318419068073569</c:v>
                </c:pt>
                <c:pt idx="161">
                  <c:v>-3.2881157587391003</c:v>
                </c:pt>
                <c:pt idx="162">
                  <c:v>-4.2033836171933352</c:v>
                </c:pt>
                <c:pt idx="163">
                  <c:v>-5.3312722903077399</c:v>
                </c:pt>
                <c:pt idx="164">
                  <c:v>-7.2560773677124155</c:v>
                </c:pt>
                <c:pt idx="165">
                  <c:v>-8.19284079043498</c:v>
                </c:pt>
                <c:pt idx="166">
                  <c:v>-6.4865715154071566</c:v>
                </c:pt>
                <c:pt idx="167">
                  <c:v>-4.7159436259125762</c:v>
                </c:pt>
                <c:pt idx="168">
                  <c:v>-6.6172754893011554</c:v>
                </c:pt>
                <c:pt idx="169">
                  <c:v>-5.3670144994214386</c:v>
                </c:pt>
                <c:pt idx="170">
                  <c:v>-6.0455913275274007</c:v>
                </c:pt>
                <c:pt idx="171">
                  <c:v>-2.0135111540208617</c:v>
                </c:pt>
                <c:pt idx="172">
                  <c:v>2.0419616431108825</c:v>
                </c:pt>
                <c:pt idx="173">
                  <c:v>3.6828882368748705</c:v>
                </c:pt>
                <c:pt idx="174">
                  <c:v>8.3210343916066556</c:v>
                </c:pt>
                <c:pt idx="175">
                  <c:v>9.717952963597499</c:v>
                </c:pt>
                <c:pt idx="176">
                  <c:v>12.753782148784287</c:v>
                </c:pt>
                <c:pt idx="177">
                  <c:v>17.300929330257524</c:v>
                </c:pt>
                <c:pt idx="178">
                  <c:v>21.178389932196222</c:v>
                </c:pt>
                <c:pt idx="179">
                  <c:v>22.645999889025813</c:v>
                </c:pt>
                <c:pt idx="180">
                  <c:v>23.269545846140012</c:v>
                </c:pt>
                <c:pt idx="181">
                  <c:v>24.225803581948842</c:v>
                </c:pt>
                <c:pt idx="182">
                  <c:v>17.933123629258667</c:v>
                </c:pt>
                <c:pt idx="183">
                  <c:v>14.936594167660683</c:v>
                </c:pt>
                <c:pt idx="184">
                  <c:v>14.001622922498051</c:v>
                </c:pt>
                <c:pt idx="185">
                  <c:v>17.429257021303556</c:v>
                </c:pt>
                <c:pt idx="186">
                  <c:v>18.297412659094103</c:v>
                </c:pt>
                <c:pt idx="187">
                  <c:v>27.762332009075504</c:v>
                </c:pt>
                <c:pt idx="188">
                  <c:v>29.919862467421225</c:v>
                </c:pt>
                <c:pt idx="189">
                  <c:v>25.658356780082404</c:v>
                </c:pt>
                <c:pt idx="190">
                  <c:v>21.00636929760898</c:v>
                </c:pt>
                <c:pt idx="191">
                  <c:v>31.229478755895379</c:v>
                </c:pt>
                <c:pt idx="192">
                  <c:v>33.933482845373561</c:v>
                </c:pt>
                <c:pt idx="193">
                  <c:v>35.565336941096739</c:v>
                </c:pt>
                <c:pt idx="194">
                  <c:v>33.294172910910888</c:v>
                </c:pt>
                <c:pt idx="195">
                  <c:v>35.253394945923269</c:v>
                </c:pt>
                <c:pt idx="196">
                  <c:v>33.167126610880167</c:v>
                </c:pt>
                <c:pt idx="197">
                  <c:v>29.172910291094965</c:v>
                </c:pt>
                <c:pt idx="198">
                  <c:v>25.437436887817672</c:v>
                </c:pt>
                <c:pt idx="199">
                  <c:v>34.326098531316603</c:v>
                </c:pt>
                <c:pt idx="200">
                  <c:v>41.04438845650899</c:v>
                </c:pt>
                <c:pt idx="201">
                  <c:v>44.609101862840632</c:v>
                </c:pt>
                <c:pt idx="202">
                  <c:v>45.560578532900173</c:v>
                </c:pt>
                <c:pt idx="203">
                  <c:v>43.340243059354187</c:v>
                </c:pt>
                <c:pt idx="204">
                  <c:v>38.216812527672076</c:v>
                </c:pt>
                <c:pt idx="205">
                  <c:v>34.974808674944363</c:v>
                </c:pt>
                <c:pt idx="206">
                  <c:v>39.960396023690883</c:v>
                </c:pt>
                <c:pt idx="207">
                  <c:v>37.990312198302419</c:v>
                </c:pt>
                <c:pt idx="208">
                  <c:v>38.626487927936701</c:v>
                </c:pt>
                <c:pt idx="209">
                  <c:v>40.470215016337221</c:v>
                </c:pt>
                <c:pt idx="210">
                  <c:v>35.634074822162034</c:v>
                </c:pt>
                <c:pt idx="211">
                  <c:v>28.871510587054384</c:v>
                </c:pt>
                <c:pt idx="212">
                  <c:v>34.894436940771989</c:v>
                </c:pt>
                <c:pt idx="213">
                  <c:v>35.403939172608681</c:v>
                </c:pt>
                <c:pt idx="214">
                  <c:v>37.93089694245031</c:v>
                </c:pt>
                <c:pt idx="215">
                  <c:v>39.455934371413683</c:v>
                </c:pt>
                <c:pt idx="216">
                  <c:v>42.199300958650753</c:v>
                </c:pt>
                <c:pt idx="217">
                  <c:v>40.99789600795841</c:v>
                </c:pt>
                <c:pt idx="218">
                  <c:v>41.182227932054111</c:v>
                </c:pt>
                <c:pt idx="219">
                  <c:v>40.325888976671628</c:v>
                </c:pt>
                <c:pt idx="220">
                  <c:v>40.832064337588243</c:v>
                </c:pt>
                <c:pt idx="221">
                  <c:v>38.945014754621155</c:v>
                </c:pt>
                <c:pt idx="222">
                  <c:v>39.149440281314561</c:v>
                </c:pt>
                <c:pt idx="223">
                  <c:v>34.036051512478842</c:v>
                </c:pt>
                <c:pt idx="224">
                  <c:v>28.519650602453211</c:v>
                </c:pt>
                <c:pt idx="225">
                  <c:v>27.975396550173453</c:v>
                </c:pt>
                <c:pt idx="226">
                  <c:v>26.251491588216723</c:v>
                </c:pt>
                <c:pt idx="227">
                  <c:v>22.854468152993348</c:v>
                </c:pt>
                <c:pt idx="228">
                  <c:v>17.416657289564647</c:v>
                </c:pt>
                <c:pt idx="229">
                  <c:v>14.500323916925087</c:v>
                </c:pt>
                <c:pt idx="230">
                  <c:v>10.362174890923839</c:v>
                </c:pt>
                <c:pt idx="231">
                  <c:v>8.6410822727936605</c:v>
                </c:pt>
                <c:pt idx="232">
                  <c:v>10.492126011706949</c:v>
                </c:pt>
                <c:pt idx="233">
                  <c:v>13.612165774300358</c:v>
                </c:pt>
                <c:pt idx="234">
                  <c:v>13.117972411885953</c:v>
                </c:pt>
                <c:pt idx="235">
                  <c:v>11.945542095754808</c:v>
                </c:pt>
                <c:pt idx="236">
                  <c:v>9.7256417969590885</c:v>
                </c:pt>
                <c:pt idx="237">
                  <c:v>7.9906319418502587</c:v>
                </c:pt>
                <c:pt idx="238">
                  <c:v>5.6575978939208831</c:v>
                </c:pt>
                <c:pt idx="239">
                  <c:v>3.9590738545784223</c:v>
                </c:pt>
                <c:pt idx="240">
                  <c:v>1.5636175260759659</c:v>
                </c:pt>
                <c:pt idx="241">
                  <c:v>1.1905058036368998</c:v>
                </c:pt>
                <c:pt idx="242">
                  <c:v>-9.6653971457350274E-2</c:v>
                </c:pt>
                <c:pt idx="243">
                  <c:v>-1.0981597291114518</c:v>
                </c:pt>
                <c:pt idx="244">
                  <c:v>-1.0382274682523775</c:v>
                </c:pt>
                <c:pt idx="245">
                  <c:v>0.87238168411488348</c:v>
                </c:pt>
                <c:pt idx="246">
                  <c:v>1.0520580789986946</c:v>
                </c:pt>
                <c:pt idx="247">
                  <c:v>1.8910238748014265</c:v>
                </c:pt>
                <c:pt idx="248">
                  <c:v>-0.37169879730243099</c:v>
                </c:pt>
                <c:pt idx="249">
                  <c:v>-1.6449322254471581</c:v>
                </c:pt>
                <c:pt idx="250">
                  <c:v>-2.5824713957804777</c:v>
                </c:pt>
                <c:pt idx="251">
                  <c:v>-3.3421098103045277</c:v>
                </c:pt>
                <c:pt idx="252">
                  <c:v>-2.8108065047879496</c:v>
                </c:pt>
                <c:pt idx="253">
                  <c:v>-3.4065861773862656</c:v>
                </c:pt>
                <c:pt idx="254">
                  <c:v>-3.7341958472500094</c:v>
                </c:pt>
                <c:pt idx="255">
                  <c:v>-2.882948656517629</c:v>
                </c:pt>
                <c:pt idx="256">
                  <c:v>-3.1934807043614679</c:v>
                </c:pt>
                <c:pt idx="257">
                  <c:v>-1.8334256313365807</c:v>
                </c:pt>
                <c:pt idx="258">
                  <c:v>-2.4739593510644213</c:v>
                </c:pt>
                <c:pt idx="259">
                  <c:v>-1.1507823260071146</c:v>
                </c:pt>
                <c:pt idx="260">
                  <c:v>1.2953255665884049</c:v>
                </c:pt>
                <c:pt idx="261">
                  <c:v>0.78085645626752909</c:v>
                </c:pt>
                <c:pt idx="262">
                  <c:v>-0.56769738556636584</c:v>
                </c:pt>
                <c:pt idx="263">
                  <c:v>-1.9765240319683328</c:v>
                </c:pt>
                <c:pt idx="264">
                  <c:v>-0.34320738280843632</c:v>
                </c:pt>
                <c:pt idx="265">
                  <c:v>4.9215243822587761E-2</c:v>
                </c:pt>
                <c:pt idx="266">
                  <c:v>-1.1510716556667486</c:v>
                </c:pt>
                <c:pt idx="267">
                  <c:v>-1.8621650432947581</c:v>
                </c:pt>
                <c:pt idx="268">
                  <c:v>-2.4944382035248323</c:v>
                </c:pt>
                <c:pt idx="269">
                  <c:v>-3.5063974565864622</c:v>
                </c:pt>
                <c:pt idx="270">
                  <c:v>-3.7883400524536315</c:v>
                </c:pt>
                <c:pt idx="271">
                  <c:v>-3.5757010519137662</c:v>
                </c:pt>
                <c:pt idx="272">
                  <c:v>-4.0119626947278659</c:v>
                </c:pt>
                <c:pt idx="273">
                  <c:v>-4.1930619903964299</c:v>
                </c:pt>
                <c:pt idx="274">
                  <c:v>-4.5782187987123653</c:v>
                </c:pt>
                <c:pt idx="275">
                  <c:v>-5.0660972624582019</c:v>
                </c:pt>
                <c:pt idx="276">
                  <c:v>-4.734847308746212</c:v>
                </c:pt>
                <c:pt idx="277">
                  <c:v>-4.2940884831609436</c:v>
                </c:pt>
                <c:pt idx="278">
                  <c:v>-1.4501521450595198</c:v>
                </c:pt>
                <c:pt idx="279">
                  <c:v>-2.0423780943407706</c:v>
                </c:pt>
                <c:pt idx="280">
                  <c:v>-2.9063568597356966</c:v>
                </c:pt>
                <c:pt idx="281">
                  <c:v>-2.7405998688621973</c:v>
                </c:pt>
                <c:pt idx="282">
                  <c:v>-1.8935472933550537</c:v>
                </c:pt>
                <c:pt idx="283">
                  <c:v>-2.8302036488170272</c:v>
                </c:pt>
                <c:pt idx="284">
                  <c:v>-3.1741421935382532</c:v>
                </c:pt>
                <c:pt idx="285">
                  <c:v>-3.5757477946488256</c:v>
                </c:pt>
                <c:pt idx="286">
                  <c:v>-2.9702603361792765</c:v>
                </c:pt>
                <c:pt idx="287">
                  <c:v>-3.2323253933663998</c:v>
                </c:pt>
                <c:pt idx="288">
                  <c:v>-2.5551527607428617</c:v>
                </c:pt>
                <c:pt idx="289">
                  <c:v>-3.2814739122317422</c:v>
                </c:pt>
                <c:pt idx="290">
                  <c:v>-2.8059654527322238</c:v>
                </c:pt>
                <c:pt idx="291">
                  <c:v>-2.7897864874595162</c:v>
                </c:pt>
                <c:pt idx="292">
                  <c:v>-1.9028354130228353</c:v>
                </c:pt>
                <c:pt idx="293">
                  <c:v>-2.2236804045100231</c:v>
                </c:pt>
                <c:pt idx="294">
                  <c:v>-1.9547734881838099</c:v>
                </c:pt>
                <c:pt idx="295">
                  <c:v>-2.4424271683706329</c:v>
                </c:pt>
                <c:pt idx="296">
                  <c:v>-1.9945416248925183</c:v>
                </c:pt>
                <c:pt idx="297">
                  <c:v>-1.6840180521229136</c:v>
                </c:pt>
                <c:pt idx="298">
                  <c:v>-1.4716426076114226</c:v>
                </c:pt>
                <c:pt idx="299">
                  <c:v>-1.4929876556688786</c:v>
                </c:pt>
                <c:pt idx="300">
                  <c:v>-1.3195101793637249</c:v>
                </c:pt>
                <c:pt idx="301">
                  <c:v>-0.88260594097790934</c:v>
                </c:pt>
                <c:pt idx="302">
                  <c:v>-1.042491362636941</c:v>
                </c:pt>
                <c:pt idx="303">
                  <c:v>-0.44200171378462261</c:v>
                </c:pt>
                <c:pt idx="304">
                  <c:v>-0.31107338556926917</c:v>
                </c:pt>
                <c:pt idx="305">
                  <c:v>-0.36587658277865098</c:v>
                </c:pt>
                <c:pt idx="306">
                  <c:v>-0.64020932926703555</c:v>
                </c:pt>
                <c:pt idx="307">
                  <c:v>-0.52673802368797873</c:v>
                </c:pt>
                <c:pt idx="308">
                  <c:v>-0.8072198737884686</c:v>
                </c:pt>
                <c:pt idx="309">
                  <c:v>-0.75296707558642728</c:v>
                </c:pt>
                <c:pt idx="310">
                  <c:v>-0.51271777856630152</c:v>
                </c:pt>
                <c:pt idx="311">
                  <c:v>-0.43066356432997394</c:v>
                </c:pt>
                <c:pt idx="312">
                  <c:v>-1.9456985714128433E-2</c:v>
                </c:pt>
                <c:pt idx="313">
                  <c:v>0.17164265841991608</c:v>
                </c:pt>
                <c:pt idx="314">
                  <c:v>-6.9095443758737732E-2</c:v>
                </c:pt>
                <c:pt idx="315">
                  <c:v>-0.74647729817822039</c:v>
                </c:pt>
                <c:pt idx="316">
                  <c:v>-0.36567830596345868</c:v>
                </c:pt>
                <c:pt idx="317">
                  <c:v>0.11432234906338223</c:v>
                </c:pt>
                <c:pt idx="318">
                  <c:v>0.13988809831692803</c:v>
                </c:pt>
                <c:pt idx="319">
                  <c:v>0.58426051956006841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E8-4F4E-AC84-069F64BC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'240814A012'!$J$2:$J$321</c:f>
              <c:numCache>
                <c:formatCode>0.0</c:formatCode>
                <c:ptCount val="320"/>
                <c:pt idx="0">
                  <c:v>261.08429898724</c:v>
                </c:pt>
                <c:pt idx="1">
                  <c:v>255.19592402576998</c:v>
                </c:pt>
                <c:pt idx="2">
                  <c:v>253.23216762051999</c:v>
                </c:pt>
                <c:pt idx="3">
                  <c:v>248.23113311595003</c:v>
                </c:pt>
                <c:pt idx="4">
                  <c:v>218.60713021591002</c:v>
                </c:pt>
                <c:pt idx="5">
                  <c:v>251.27012709872</c:v>
                </c:pt>
                <c:pt idx="6">
                  <c:v>251.88776822309001</c:v>
                </c:pt>
                <c:pt idx="7">
                  <c:v>230.06309280959999</c:v>
                </c:pt>
                <c:pt idx="8">
                  <c:v>231.35627226109</c:v>
                </c:pt>
                <c:pt idx="9">
                  <c:v>268.50966774735002</c:v>
                </c:pt>
                <c:pt idx="10">
                  <c:v>291.95346875297002</c:v>
                </c:pt>
                <c:pt idx="11">
                  <c:v>292.11129810639</c:v>
                </c:pt>
                <c:pt idx="12">
                  <c:v>288.75742606089</c:v>
                </c:pt>
                <c:pt idx="13">
                  <c:v>281.24269568132001</c:v>
                </c:pt>
                <c:pt idx="14">
                  <c:v>278.46476443219001</c:v>
                </c:pt>
                <c:pt idx="15">
                  <c:v>267.38378751789003</c:v>
                </c:pt>
                <c:pt idx="16">
                  <c:v>273.66172525438998</c:v>
                </c:pt>
                <c:pt idx="17">
                  <c:v>287.95876088581002</c:v>
                </c:pt>
                <c:pt idx="18">
                  <c:v>281.89865937278</c:v>
                </c:pt>
                <c:pt idx="19">
                  <c:v>278.00339986400002</c:v>
                </c:pt>
                <c:pt idx="20">
                  <c:v>272.18279694343994</c:v>
                </c:pt>
                <c:pt idx="21">
                  <c:v>277.57261794634002</c:v>
                </c:pt>
                <c:pt idx="22">
                  <c:v>268.92691951896995</c:v>
                </c:pt>
                <c:pt idx="23">
                  <c:v>255.91859389454001</c:v>
                </c:pt>
                <c:pt idx="24">
                  <c:v>272.34596911481003</c:v>
                </c:pt>
                <c:pt idx="25">
                  <c:v>273.86138237170002</c:v>
                </c:pt>
                <c:pt idx="26">
                  <c:v>287.24470222513003</c:v>
                </c:pt>
                <c:pt idx="27">
                  <c:v>285.61755764709994</c:v>
                </c:pt>
                <c:pt idx="28">
                  <c:v>285.74892683464998</c:v>
                </c:pt>
                <c:pt idx="29">
                  <c:v>288.94140237123003</c:v>
                </c:pt>
                <c:pt idx="30">
                  <c:v>284.91474424801999</c:v>
                </c:pt>
                <c:pt idx="31">
                  <c:v>277.62861774267003</c:v>
                </c:pt>
                <c:pt idx="32">
                  <c:v>274.95907628852001</c:v>
                </c:pt>
                <c:pt idx="33">
                  <c:v>275.73685680095997</c:v>
                </c:pt>
                <c:pt idx="34">
                  <c:v>272.74752904632999</c:v>
                </c:pt>
                <c:pt idx="35">
                  <c:v>274.50359928370995</c:v>
                </c:pt>
                <c:pt idx="36">
                  <c:v>274.33452121294999</c:v>
                </c:pt>
                <c:pt idx="37">
                  <c:v>272.10699657979001</c:v>
                </c:pt>
                <c:pt idx="38">
                  <c:v>261.79886530480002</c:v>
                </c:pt>
                <c:pt idx="39">
                  <c:v>266.54660906907998</c:v>
                </c:pt>
                <c:pt idx="40">
                  <c:v>267.88607388673995</c:v>
                </c:pt>
                <c:pt idx="41">
                  <c:v>268.17513515348003</c:v>
                </c:pt>
                <c:pt idx="42">
                  <c:v>272.15694268814002</c:v>
                </c:pt>
                <c:pt idx="43">
                  <c:v>275.71774011491004</c:v>
                </c:pt>
                <c:pt idx="44">
                  <c:v>275.88013901500995</c:v>
                </c:pt>
                <c:pt idx="45">
                  <c:v>277.19800897911</c:v>
                </c:pt>
                <c:pt idx="46">
                  <c:v>276.29616902459998</c:v>
                </c:pt>
                <c:pt idx="47">
                  <c:v>279.00121107707002</c:v>
                </c:pt>
                <c:pt idx="48">
                  <c:v>283.39904013442998</c:v>
                </c:pt>
                <c:pt idx="49">
                  <c:v>276.19144692732004</c:v>
                </c:pt>
                <c:pt idx="50">
                  <c:v>277.4238464215</c:v>
                </c:pt>
                <c:pt idx="51">
                  <c:v>280.51776133210001</c:v>
                </c:pt>
                <c:pt idx="52">
                  <c:v>277.37230478065999</c:v>
                </c:pt>
                <c:pt idx="53">
                  <c:v>281.07452240110001</c:v>
                </c:pt>
                <c:pt idx="54">
                  <c:v>277.49742423342002</c:v>
                </c:pt>
                <c:pt idx="55">
                  <c:v>282.03053917117001</c:v>
                </c:pt>
                <c:pt idx="56">
                  <c:v>284.53227558581</c:v>
                </c:pt>
                <c:pt idx="57">
                  <c:v>284.22710707890997</c:v>
                </c:pt>
                <c:pt idx="58">
                  <c:v>277.26219182035004</c:v>
                </c:pt>
                <c:pt idx="59">
                  <c:v>278.63415882337995</c:v>
                </c:pt>
                <c:pt idx="60">
                  <c:v>279.76335027878997</c:v>
                </c:pt>
                <c:pt idx="61">
                  <c:v>276.95663121982</c:v>
                </c:pt>
                <c:pt idx="62">
                  <c:v>277.21056021862</c:v>
                </c:pt>
                <c:pt idx="63">
                  <c:v>284.00717480416995</c:v>
                </c:pt>
                <c:pt idx="64">
                  <c:v>284.95837018051998</c:v>
                </c:pt>
                <c:pt idx="65">
                  <c:v>281.29783075474</c:v>
                </c:pt>
                <c:pt idx="66">
                  <c:v>280.00620984646997</c:v>
                </c:pt>
                <c:pt idx="67">
                  <c:v>276.78099109726998</c:v>
                </c:pt>
                <c:pt idx="68">
                  <c:v>274.15788048781997</c:v>
                </c:pt>
                <c:pt idx="69">
                  <c:v>275.38197812084002</c:v>
                </c:pt>
                <c:pt idx="70">
                  <c:v>278.65859508271001</c:v>
                </c:pt>
                <c:pt idx="71">
                  <c:v>281.40833206853006</c:v>
                </c:pt>
                <c:pt idx="72">
                  <c:v>279.68069928800998</c:v>
                </c:pt>
                <c:pt idx="73">
                  <c:v>275.27142519189999</c:v>
                </c:pt>
                <c:pt idx="74">
                  <c:v>280.76503237742997</c:v>
                </c:pt>
                <c:pt idx="75">
                  <c:v>278.60499537465</c:v>
                </c:pt>
                <c:pt idx="76">
                  <c:v>274.25346901017002</c:v>
                </c:pt>
                <c:pt idx="77">
                  <c:v>273.11655874191001</c:v>
                </c:pt>
                <c:pt idx="78">
                  <c:v>269.72802960221998</c:v>
                </c:pt>
                <c:pt idx="79">
                  <c:v>266.44773358001999</c:v>
                </c:pt>
                <c:pt idx="80">
                  <c:v>268.11378353376995</c:v>
                </c:pt>
                <c:pt idx="81">
                  <c:v>273.56244218315999</c:v>
                </c:pt>
                <c:pt idx="82">
                  <c:v>272.07493061979</c:v>
                </c:pt>
                <c:pt idx="83">
                  <c:v>280.34769722581996</c:v>
                </c:pt>
                <c:pt idx="84">
                  <c:v>281.28077647796999</c:v>
                </c:pt>
                <c:pt idx="85">
                  <c:v>289.00850842764999</c:v>
                </c:pt>
                <c:pt idx="86">
                  <c:v>287.94409925651996</c:v>
                </c:pt>
                <c:pt idx="87">
                  <c:v>278.23570546539997</c:v>
                </c:pt>
                <c:pt idx="88">
                  <c:v>272.69078173042999</c:v>
                </c:pt>
                <c:pt idx="89">
                  <c:v>268.94137544112004</c:v>
                </c:pt>
                <c:pt idx="90">
                  <c:v>263.49849162297994</c:v>
                </c:pt>
                <c:pt idx="91">
                  <c:v>268.12008305978998</c:v>
                </c:pt>
                <c:pt idx="92">
                  <c:v>252.43846324023002</c:v>
                </c:pt>
                <c:pt idx="93">
                  <c:v>262.18560363967998</c:v>
                </c:pt>
                <c:pt idx="94">
                  <c:v>275.1596948888</c:v>
                </c:pt>
                <c:pt idx="95">
                  <c:v>271.53383763709002</c:v>
                </c:pt>
                <c:pt idx="96">
                  <c:v>253.27841086235</c:v>
                </c:pt>
                <c:pt idx="97">
                  <c:v>254.96762257170002</c:v>
                </c:pt>
                <c:pt idx="98">
                  <c:v>251.82978723404003</c:v>
                </c:pt>
                <c:pt idx="99">
                  <c:v>249.43385753931</c:v>
                </c:pt>
                <c:pt idx="100">
                  <c:v>242.25994449582998</c:v>
                </c:pt>
                <c:pt idx="101">
                  <c:v>244.54856614245998</c:v>
                </c:pt>
                <c:pt idx="102">
                  <c:v>244.35337650324001</c:v>
                </c:pt>
                <c:pt idx="103">
                  <c:v>242.62072155412</c:v>
                </c:pt>
                <c:pt idx="104">
                  <c:v>243.44909728931</c:v>
                </c:pt>
                <c:pt idx="105">
                  <c:v>240.97079631065</c:v>
                </c:pt>
                <c:pt idx="106">
                  <c:v>242.40982109636002</c:v>
                </c:pt>
                <c:pt idx="107">
                  <c:v>240.53792955136001</c:v>
                </c:pt>
                <c:pt idx="108">
                  <c:v>238.32689340539</c:v>
                </c:pt>
                <c:pt idx="109">
                  <c:v>243.29798157371002</c:v>
                </c:pt>
                <c:pt idx="110">
                  <c:v>239.54932138822002</c:v>
                </c:pt>
                <c:pt idx="111">
                  <c:v>236.57168519650003</c:v>
                </c:pt>
                <c:pt idx="112">
                  <c:v>237.27875736897997</c:v>
                </c:pt>
                <c:pt idx="113">
                  <c:v>240.86905489314</c:v>
                </c:pt>
                <c:pt idx="114">
                  <c:v>241.86648876433</c:v>
                </c:pt>
                <c:pt idx="115">
                  <c:v>239.72381473352002</c:v>
                </c:pt>
                <c:pt idx="116">
                  <c:v>239.46400421914004</c:v>
                </c:pt>
                <c:pt idx="117">
                  <c:v>232.32420097558997</c:v>
                </c:pt>
                <c:pt idx="118">
                  <c:v>236.05919763834999</c:v>
                </c:pt>
                <c:pt idx="119">
                  <c:v>246.57228015457002</c:v>
                </c:pt>
                <c:pt idx="120">
                  <c:v>251.47249526106</c:v>
                </c:pt>
                <c:pt idx="121">
                  <c:v>247.76994196828002</c:v>
                </c:pt>
                <c:pt idx="122">
                  <c:v>238.66897324106998</c:v>
                </c:pt>
                <c:pt idx="123">
                  <c:v>247.18257575499001</c:v>
                </c:pt>
                <c:pt idx="124">
                  <c:v>246.14675235790003</c:v>
                </c:pt>
                <c:pt idx="125">
                  <c:v>244.94065475114002</c:v>
                </c:pt>
                <c:pt idx="126">
                  <c:v>242.69716506567002</c:v>
                </c:pt>
                <c:pt idx="127">
                  <c:v>232.34028222339001</c:v>
                </c:pt>
                <c:pt idx="128">
                  <c:v>241.70333934598997</c:v>
                </c:pt>
                <c:pt idx="129">
                  <c:v>244.12856147420999</c:v>
                </c:pt>
                <c:pt idx="130">
                  <c:v>243.90047780949001</c:v>
                </c:pt>
                <c:pt idx="131">
                  <c:v>239.99389267155001</c:v>
                </c:pt>
                <c:pt idx="132">
                  <c:v>240.09970173314002</c:v>
                </c:pt>
                <c:pt idx="133">
                  <c:v>239.03282118852999</c:v>
                </c:pt>
                <c:pt idx="134">
                  <c:v>237.33549467317002</c:v>
                </c:pt>
                <c:pt idx="135">
                  <c:v>238.17628033356999</c:v>
                </c:pt>
                <c:pt idx="136">
                  <c:v>236.60484091196</c:v>
                </c:pt>
                <c:pt idx="137">
                  <c:v>234.19646821118002</c:v>
                </c:pt>
                <c:pt idx="138">
                  <c:v>238.91336120467003</c:v>
                </c:pt>
                <c:pt idx="139">
                  <c:v>238.54413671265002</c:v>
                </c:pt>
                <c:pt idx="140">
                  <c:v>235.93255937566002</c:v>
                </c:pt>
                <c:pt idx="141">
                  <c:v>238.72490450622001</c:v>
                </c:pt>
                <c:pt idx="142">
                  <c:v>236.29396981065</c:v>
                </c:pt>
                <c:pt idx="143">
                  <c:v>240.56562872289001</c:v>
                </c:pt>
                <c:pt idx="144">
                  <c:v>238.02355513380002</c:v>
                </c:pt>
                <c:pt idx="145">
                  <c:v>236.68724889145003</c:v>
                </c:pt>
                <c:pt idx="146">
                  <c:v>234.82805315565</c:v>
                </c:pt>
                <c:pt idx="147">
                  <c:v>236.08041276527999</c:v>
                </c:pt>
                <c:pt idx="148">
                  <c:v>236.45622561451998</c:v>
                </c:pt>
                <c:pt idx="149">
                  <c:v>234.09298398025001</c:v>
                </c:pt>
                <c:pt idx="150">
                  <c:v>235.42525371137</c:v>
                </c:pt>
                <c:pt idx="151">
                  <c:v>234.58744380459001</c:v>
                </c:pt>
                <c:pt idx="152">
                  <c:v>233.23466125734001</c:v>
                </c:pt>
                <c:pt idx="153">
                  <c:v>233.99274793395998</c:v>
                </c:pt>
                <c:pt idx="154">
                  <c:v>233.36107062274002</c:v>
                </c:pt>
                <c:pt idx="155">
                  <c:v>234.12656724162002</c:v>
                </c:pt>
                <c:pt idx="156">
                  <c:v>239.32693778141001</c:v>
                </c:pt>
                <c:pt idx="157">
                  <c:v>232.71716686408999</c:v>
                </c:pt>
                <c:pt idx="158">
                  <c:v>236.01699430963001</c:v>
                </c:pt>
                <c:pt idx="159">
                  <c:v>235.30981887756002</c:v>
                </c:pt>
                <c:pt idx="160">
                  <c:v>230.96809790716003</c:v>
                </c:pt>
                <c:pt idx="161">
                  <c:v>241.74808131386001</c:v>
                </c:pt>
                <c:pt idx="162">
                  <c:v>242.01527944697003</c:v>
                </c:pt>
                <c:pt idx="163">
                  <c:v>242.70029631262</c:v>
                </c:pt>
                <c:pt idx="164">
                  <c:v>245.33637589763001</c:v>
                </c:pt>
                <c:pt idx="165">
                  <c:v>246.28625644152999</c:v>
                </c:pt>
                <c:pt idx="166">
                  <c:v>245.27050212903001</c:v>
                </c:pt>
                <c:pt idx="167">
                  <c:v>233.97745999930999</c:v>
                </c:pt>
                <c:pt idx="168">
                  <c:v>239.31699697753999</c:v>
                </c:pt>
                <c:pt idx="169">
                  <c:v>239.88243433926002</c:v>
                </c:pt>
                <c:pt idx="170">
                  <c:v>239.84216952217</c:v>
                </c:pt>
                <c:pt idx="171">
                  <c:v>235.03609987338999</c:v>
                </c:pt>
                <c:pt idx="172">
                  <c:v>236.53745166832996</c:v>
                </c:pt>
                <c:pt idx="173">
                  <c:v>235.95935918695997</c:v>
                </c:pt>
                <c:pt idx="174">
                  <c:v>239.42635753289002</c:v>
                </c:pt>
                <c:pt idx="175">
                  <c:v>231.48469177356998</c:v>
                </c:pt>
                <c:pt idx="176">
                  <c:v>235.27782660089002</c:v>
                </c:pt>
                <c:pt idx="177">
                  <c:v>237.25294223455998</c:v>
                </c:pt>
                <c:pt idx="178">
                  <c:v>238.11175780313999</c:v>
                </c:pt>
                <c:pt idx="179">
                  <c:v>241.25827423167001</c:v>
                </c:pt>
                <c:pt idx="180">
                  <c:v>229.95176362763999</c:v>
                </c:pt>
                <c:pt idx="181">
                  <c:v>240.93702504539002</c:v>
                </c:pt>
                <c:pt idx="182">
                  <c:v>240.07031897763</c:v>
                </c:pt>
                <c:pt idx="183">
                  <c:v>239.41911084508001</c:v>
                </c:pt>
                <c:pt idx="184">
                  <c:v>235.47346547314999</c:v>
                </c:pt>
                <c:pt idx="185">
                  <c:v>239.76147270358999</c:v>
                </c:pt>
                <c:pt idx="186">
                  <c:v>234.98649603517001</c:v>
                </c:pt>
                <c:pt idx="187">
                  <c:v>221.53225624763002</c:v>
                </c:pt>
                <c:pt idx="188">
                  <c:v>234.12144072095998</c:v>
                </c:pt>
                <c:pt idx="189">
                  <c:v>229.14873666216002</c:v>
                </c:pt>
                <c:pt idx="190">
                  <c:v>222.69386598004002</c:v>
                </c:pt>
                <c:pt idx="191">
                  <c:v>232.93820655574999</c:v>
                </c:pt>
                <c:pt idx="192">
                  <c:v>232.28964534473002</c:v>
                </c:pt>
                <c:pt idx="193">
                  <c:v>231.12489712003998</c:v>
                </c:pt>
                <c:pt idx="194">
                  <c:v>218.61512522447001</c:v>
                </c:pt>
                <c:pt idx="195">
                  <c:v>225.81232175361998</c:v>
                </c:pt>
                <c:pt idx="196">
                  <c:v>230.08406194981004</c:v>
                </c:pt>
                <c:pt idx="197">
                  <c:v>235.06982525993001</c:v>
                </c:pt>
                <c:pt idx="198">
                  <c:v>239.20765328195</c:v>
                </c:pt>
                <c:pt idx="199">
                  <c:v>234.51547140065003</c:v>
                </c:pt>
                <c:pt idx="200">
                  <c:v>236.96910029102</c:v>
                </c:pt>
                <c:pt idx="201">
                  <c:v>228.70906439866997</c:v>
                </c:pt>
                <c:pt idx="202">
                  <c:v>238.69614463228999</c:v>
                </c:pt>
                <c:pt idx="203">
                  <c:v>233.84769356776997</c:v>
                </c:pt>
                <c:pt idx="204">
                  <c:v>230.81070276203999</c:v>
                </c:pt>
                <c:pt idx="205">
                  <c:v>232.85846438483</c:v>
                </c:pt>
                <c:pt idx="206">
                  <c:v>229.33487511563001</c:v>
                </c:pt>
                <c:pt idx="207">
                  <c:v>235.96392229417</c:v>
                </c:pt>
                <c:pt idx="208">
                  <c:v>237.51615126883999</c:v>
                </c:pt>
                <c:pt idx="209">
                  <c:v>235.46733311450001</c:v>
                </c:pt>
                <c:pt idx="210">
                  <c:v>228.92699710542999</c:v>
                </c:pt>
                <c:pt idx="211">
                  <c:v>226.22429394185997</c:v>
                </c:pt>
                <c:pt idx="212">
                  <c:v>229.70084620402</c:v>
                </c:pt>
                <c:pt idx="213">
                  <c:v>228.85203238168998</c:v>
                </c:pt>
                <c:pt idx="214">
                  <c:v>232.67825149098002</c:v>
                </c:pt>
                <c:pt idx="215">
                  <c:v>234.78786240766001</c:v>
                </c:pt>
                <c:pt idx="216">
                  <c:v>239.00349139087999</c:v>
                </c:pt>
                <c:pt idx="217">
                  <c:v>237.9766396535</c:v>
                </c:pt>
                <c:pt idx="218">
                  <c:v>234.20189276868001</c:v>
                </c:pt>
                <c:pt idx="219">
                  <c:v>232.86571232473997</c:v>
                </c:pt>
                <c:pt idx="220">
                  <c:v>230.13204534119001</c:v>
                </c:pt>
                <c:pt idx="221">
                  <c:v>229.68432369755001</c:v>
                </c:pt>
                <c:pt idx="222">
                  <c:v>230.30397337298001</c:v>
                </c:pt>
                <c:pt idx="223">
                  <c:v>230.30982164968</c:v>
                </c:pt>
                <c:pt idx="224">
                  <c:v>226.03090004058998</c:v>
                </c:pt>
                <c:pt idx="225">
                  <c:v>229.78919056002999</c:v>
                </c:pt>
                <c:pt idx="226">
                  <c:v>234.92709993727999</c:v>
                </c:pt>
                <c:pt idx="227">
                  <c:v>231.76688166515001</c:v>
                </c:pt>
                <c:pt idx="228">
                  <c:v>232.24775179205</c:v>
                </c:pt>
                <c:pt idx="229">
                  <c:v>234.05033670994001</c:v>
                </c:pt>
                <c:pt idx="230">
                  <c:v>240.42462889116001</c:v>
                </c:pt>
                <c:pt idx="231">
                  <c:v>246.50456302554997</c:v>
                </c:pt>
                <c:pt idx="232">
                  <c:v>242.63507920746997</c:v>
                </c:pt>
                <c:pt idx="233">
                  <c:v>235.37216448429001</c:v>
                </c:pt>
                <c:pt idx="234">
                  <c:v>232.22053535316999</c:v>
                </c:pt>
                <c:pt idx="235">
                  <c:v>233.22053111361998</c:v>
                </c:pt>
                <c:pt idx="236">
                  <c:v>236.03459113886998</c:v>
                </c:pt>
                <c:pt idx="237">
                  <c:v>229.57087059307</c:v>
                </c:pt>
                <c:pt idx="238">
                  <c:v>234.33894542090997</c:v>
                </c:pt>
                <c:pt idx="239">
                  <c:v>233.82808442115001</c:v>
                </c:pt>
                <c:pt idx="240">
                  <c:v>241.40818686400999</c:v>
                </c:pt>
                <c:pt idx="241">
                  <c:v>243.13981030093001</c:v>
                </c:pt>
                <c:pt idx="242">
                  <c:v>241.88064724078001</c:v>
                </c:pt>
                <c:pt idx="243">
                  <c:v>243.40262490573997</c:v>
                </c:pt>
                <c:pt idx="244">
                  <c:v>234.99134692496</c:v>
                </c:pt>
                <c:pt idx="245">
                  <c:v>239.65383767628001</c:v>
                </c:pt>
                <c:pt idx="246">
                  <c:v>240.92574169373</c:v>
                </c:pt>
                <c:pt idx="247">
                  <c:v>236.17111826165001</c:v>
                </c:pt>
                <c:pt idx="248">
                  <c:v>241.56388638071999</c:v>
                </c:pt>
                <c:pt idx="249">
                  <c:v>240.31971146687002</c:v>
                </c:pt>
                <c:pt idx="250">
                  <c:v>242.12664855108</c:v>
                </c:pt>
                <c:pt idx="251">
                  <c:v>240.25485533770001</c:v>
                </c:pt>
                <c:pt idx="252">
                  <c:v>243.67421303146998</c:v>
                </c:pt>
                <c:pt idx="253">
                  <c:v>243.10748165817998</c:v>
                </c:pt>
                <c:pt idx="254">
                  <c:v>240.88920797988001</c:v>
                </c:pt>
                <c:pt idx="255">
                  <c:v>227.77701382132003</c:v>
                </c:pt>
                <c:pt idx="256">
                  <c:v>232.16093730113997</c:v>
                </c:pt>
                <c:pt idx="257">
                  <c:v>242.88277466397997</c:v>
                </c:pt>
                <c:pt idx="258">
                  <c:v>237.05676678048999</c:v>
                </c:pt>
                <c:pt idx="259">
                  <c:v>237.55012097388001</c:v>
                </c:pt>
                <c:pt idx="260">
                  <c:v>229.02552007263</c:v>
                </c:pt>
                <c:pt idx="261">
                  <c:v>233.68663918347002</c:v>
                </c:pt>
                <c:pt idx="262">
                  <c:v>227.77278562589999</c:v>
                </c:pt>
                <c:pt idx="263">
                  <c:v>228.35606479789001</c:v>
                </c:pt>
                <c:pt idx="264">
                  <c:v>228.60167717229999</c:v>
                </c:pt>
                <c:pt idx="265">
                  <c:v>221.17771830562003</c:v>
                </c:pt>
                <c:pt idx="266">
                  <c:v>226.49609196659998</c:v>
                </c:pt>
                <c:pt idx="267">
                  <c:v>226.58952568392999</c:v>
                </c:pt>
                <c:pt idx="268">
                  <c:v>220.69106102550998</c:v>
                </c:pt>
                <c:pt idx="269">
                  <c:v>225.25013824838001</c:v>
                </c:pt>
                <c:pt idx="270">
                  <c:v>218.28342282497999</c:v>
                </c:pt>
                <c:pt idx="271">
                  <c:v>226.61804286752999</c:v>
                </c:pt>
                <c:pt idx="272">
                  <c:v>222.27058492914003</c:v>
                </c:pt>
                <c:pt idx="273">
                  <c:v>229.78075855689002</c:v>
                </c:pt>
                <c:pt idx="274">
                  <c:v>227.12118408881</c:v>
                </c:pt>
                <c:pt idx="275">
                  <c:v>228.51988899168001</c:v>
                </c:pt>
                <c:pt idx="276">
                  <c:v>227.70860314523998</c:v>
                </c:pt>
                <c:pt idx="277">
                  <c:v>229.57816836263001</c:v>
                </c:pt>
                <c:pt idx="278">
                  <c:v>231.83626271970002</c:v>
                </c:pt>
                <c:pt idx="279">
                  <c:v>231.42183163738002</c:v>
                </c:pt>
                <c:pt idx="280">
                  <c:v>236.59141119163002</c:v>
                </c:pt>
                <c:pt idx="281">
                  <c:v>224.54479233817003</c:v>
                </c:pt>
                <c:pt idx="282">
                  <c:v>225.19248282808002</c:v>
                </c:pt>
                <c:pt idx="283">
                  <c:v>230.59564807010003</c:v>
                </c:pt>
                <c:pt idx="284">
                  <c:v>230.15628713742998</c:v>
                </c:pt>
                <c:pt idx="285">
                  <c:v>226.73906887748998</c:v>
                </c:pt>
                <c:pt idx="286">
                  <c:v>225.93617701475</c:v>
                </c:pt>
                <c:pt idx="287">
                  <c:v>220.70288267943997</c:v>
                </c:pt>
                <c:pt idx="288">
                  <c:v>220.4352322952</c:v>
                </c:pt>
                <c:pt idx="289">
                  <c:v>221.32750282660001</c:v>
                </c:pt>
                <c:pt idx="290">
                  <c:v>227.81079534454003</c:v>
                </c:pt>
                <c:pt idx="291">
                  <c:v>222.90235828152001</c:v>
                </c:pt>
                <c:pt idx="292">
                  <c:v>217.66790009251</c:v>
                </c:pt>
                <c:pt idx="293">
                  <c:v>217.77803374496</c:v>
                </c:pt>
                <c:pt idx="294">
                  <c:v>224.91969492355997</c:v>
                </c:pt>
                <c:pt idx="295">
                  <c:v>219.66790009249999</c:v>
                </c:pt>
                <c:pt idx="296">
                  <c:v>221.62534690101003</c:v>
                </c:pt>
                <c:pt idx="297">
                  <c:v>218.88344125810002</c:v>
                </c:pt>
                <c:pt idx="298">
                  <c:v>229.55041628121998</c:v>
                </c:pt>
                <c:pt idx="299">
                  <c:v>225.72332631907</c:v>
                </c:pt>
                <c:pt idx="300">
                  <c:v>220.19148936169998</c:v>
                </c:pt>
                <c:pt idx="301">
                  <c:v>221.84366327474001</c:v>
                </c:pt>
                <c:pt idx="302">
                  <c:v>220.29417206290998</c:v>
                </c:pt>
                <c:pt idx="303">
                  <c:v>219.94079555965999</c:v>
                </c:pt>
                <c:pt idx="304">
                  <c:v>219.80380321500002</c:v>
                </c:pt>
                <c:pt idx="305">
                  <c:v>217.79018793785002</c:v>
                </c:pt>
                <c:pt idx="306">
                  <c:v>218.66790009251</c:v>
                </c:pt>
                <c:pt idx="307">
                  <c:v>222.14616096207001</c:v>
                </c:pt>
                <c:pt idx="308">
                  <c:v>225.74653098981997</c:v>
                </c:pt>
                <c:pt idx="309">
                  <c:v>226.36725254394</c:v>
                </c:pt>
                <c:pt idx="310">
                  <c:v>230.07886152403003</c:v>
                </c:pt>
                <c:pt idx="311">
                  <c:v>233.90286771506999</c:v>
                </c:pt>
                <c:pt idx="312">
                  <c:v>233.23512466125001</c:v>
                </c:pt>
                <c:pt idx="313">
                  <c:v>221.36494072861998</c:v>
                </c:pt>
                <c:pt idx="314">
                  <c:v>224.29864537891001</c:v>
                </c:pt>
                <c:pt idx="315">
                  <c:v>208.03865248227001</c:v>
                </c:pt>
                <c:pt idx="316">
                  <c:v>205.79416394826001</c:v>
                </c:pt>
                <c:pt idx="317">
                  <c:v>211.55880426026999</c:v>
                </c:pt>
                <c:pt idx="318">
                  <c:v>201.31472431993001</c:v>
                </c:pt>
                <c:pt idx="319">
                  <c:v>200.89264070152001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6-3F46-B396-3A87CC56F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1-C743-A3EA-6D203E3A2DB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'240814A012'!$P$2:$P$321</c:f>
              <c:numCache>
                <c:formatCode>General</c:formatCode>
                <c:ptCount val="320"/>
                <c:pt idx="0">
                  <c:v>-24.084851406807505</c:v>
                </c:pt>
                <c:pt idx="1">
                  <c:v>-24.230336699804901</c:v>
                </c:pt>
                <c:pt idx="2">
                  <c:v>-27.859840565399409</c:v>
                </c:pt>
                <c:pt idx="3">
                  <c:v>-30.957139329503068</c:v>
                </c:pt>
                <c:pt idx="4">
                  <c:v>-26.691355755001524</c:v>
                </c:pt>
                <c:pt idx="5">
                  <c:v>-30.423061444687661</c:v>
                </c:pt>
                <c:pt idx="6">
                  <c:v>-24.455551414059258</c:v>
                </c:pt>
                <c:pt idx="7">
                  <c:v>-25.639098436655217</c:v>
                </c:pt>
                <c:pt idx="8">
                  <c:v>-28.262746249620989</c:v>
                </c:pt>
                <c:pt idx="9">
                  <c:v>-30.315967934319684</c:v>
                </c:pt>
                <c:pt idx="10">
                  <c:v>-26.574769128457476</c:v>
                </c:pt>
                <c:pt idx="11">
                  <c:v>-22.884073426076647</c:v>
                </c:pt>
                <c:pt idx="12">
                  <c:v>-24.463094529225511</c:v>
                </c:pt>
                <c:pt idx="13">
                  <c:v>-26.883667228465193</c:v>
                </c:pt>
                <c:pt idx="14">
                  <c:v>-30.773580021128989</c:v>
                </c:pt>
                <c:pt idx="15">
                  <c:v>-26.605108713468599</c:v>
                </c:pt>
                <c:pt idx="16">
                  <c:v>-21.914953411376842</c:v>
                </c:pt>
                <c:pt idx="17">
                  <c:v>-16.699473797347721</c:v>
                </c:pt>
                <c:pt idx="18">
                  <c:v>-10.769616312423876</c:v>
                </c:pt>
                <c:pt idx="19">
                  <c:v>-11.097114785839365</c:v>
                </c:pt>
                <c:pt idx="20">
                  <c:v>-16.10331299065124</c:v>
                </c:pt>
                <c:pt idx="21">
                  <c:v>-21.652815603677759</c:v>
                </c:pt>
                <c:pt idx="22">
                  <c:v>-23.339382363512492</c:v>
                </c:pt>
                <c:pt idx="23">
                  <c:v>-21.365985583965426</c:v>
                </c:pt>
                <c:pt idx="24">
                  <c:v>-17.716990345910755</c:v>
                </c:pt>
                <c:pt idx="25">
                  <c:v>-16.126945434900705</c:v>
                </c:pt>
                <c:pt idx="26">
                  <c:v>-10.175399291264462</c:v>
                </c:pt>
                <c:pt idx="27">
                  <c:v>-8.5060621745347262</c:v>
                </c:pt>
                <c:pt idx="28">
                  <c:v>-1.6776358807797511</c:v>
                </c:pt>
                <c:pt idx="29">
                  <c:v>5.4405047040649244</c:v>
                </c:pt>
                <c:pt idx="30">
                  <c:v>0.10034432746068582</c:v>
                </c:pt>
                <c:pt idx="31">
                  <c:v>-5.2974009361270333</c:v>
                </c:pt>
                <c:pt idx="32">
                  <c:v>-12.389599021693179</c:v>
                </c:pt>
                <c:pt idx="33">
                  <c:v>-16.132461819976577</c:v>
                </c:pt>
                <c:pt idx="34">
                  <c:v>-18.29510631730539</c:v>
                </c:pt>
                <c:pt idx="35">
                  <c:v>-22.286870028986026</c:v>
                </c:pt>
                <c:pt idx="36">
                  <c:v>-24.354625382474126</c:v>
                </c:pt>
                <c:pt idx="37">
                  <c:v>-26.661804808642504</c:v>
                </c:pt>
                <c:pt idx="38">
                  <c:v>-26.78065403631782</c:v>
                </c:pt>
                <c:pt idx="39">
                  <c:v>-28.150982453742412</c:v>
                </c:pt>
                <c:pt idx="40">
                  <c:v>-25.724228177577334</c:v>
                </c:pt>
                <c:pt idx="41">
                  <c:v>-28.80547078023632</c:v>
                </c:pt>
                <c:pt idx="42">
                  <c:v>-26.972296061921693</c:v>
                </c:pt>
                <c:pt idx="43">
                  <c:v>-27.300003167703412</c:v>
                </c:pt>
                <c:pt idx="44">
                  <c:v>-21.657277377691262</c:v>
                </c:pt>
                <c:pt idx="45">
                  <c:v>-24.422750195205438</c:v>
                </c:pt>
                <c:pt idx="46">
                  <c:v>-19.51296893388632</c:v>
                </c:pt>
                <c:pt idx="47">
                  <c:v>-18.278995297750036</c:v>
                </c:pt>
                <c:pt idx="48">
                  <c:v>-12.928498312263633</c:v>
                </c:pt>
                <c:pt idx="49">
                  <c:v>-14.260478062305296</c:v>
                </c:pt>
                <c:pt idx="50">
                  <c:v>-11.459565724968998</c:v>
                </c:pt>
                <c:pt idx="51">
                  <c:v>-8.6958548268987474</c:v>
                </c:pt>
                <c:pt idx="52">
                  <c:v>-2.5671918514629595</c:v>
                </c:pt>
                <c:pt idx="53">
                  <c:v>0.8975414134823676</c:v>
                </c:pt>
                <c:pt idx="54">
                  <c:v>0.8980294513318936</c:v>
                </c:pt>
                <c:pt idx="55">
                  <c:v>0.96269909647968122</c:v>
                </c:pt>
                <c:pt idx="56">
                  <c:v>2.6864020783438503</c:v>
                </c:pt>
                <c:pt idx="57">
                  <c:v>-2.0224005752497853</c:v>
                </c:pt>
                <c:pt idx="58">
                  <c:v>-1.9819332460217689</c:v>
                </c:pt>
                <c:pt idx="59">
                  <c:v>-1.9979276861789246</c:v>
                </c:pt>
                <c:pt idx="60">
                  <c:v>1.9086641839002656</c:v>
                </c:pt>
                <c:pt idx="61">
                  <c:v>-0.52387905710971516</c:v>
                </c:pt>
                <c:pt idx="62">
                  <c:v>2.6871617480998533</c:v>
                </c:pt>
                <c:pt idx="63">
                  <c:v>3.2673376703370769</c:v>
                </c:pt>
                <c:pt idx="64">
                  <c:v>8.9392582222071528</c:v>
                </c:pt>
                <c:pt idx="65">
                  <c:v>7.3928464829007501</c:v>
                </c:pt>
                <c:pt idx="66">
                  <c:v>3.7074218372268355</c:v>
                </c:pt>
                <c:pt idx="67">
                  <c:v>-0.68280896788241663</c:v>
                </c:pt>
                <c:pt idx="68">
                  <c:v>-1.5399633117788571</c:v>
                </c:pt>
                <c:pt idx="69">
                  <c:v>-3.7249658898033342</c:v>
                </c:pt>
                <c:pt idx="70">
                  <c:v>-2.7375977591376652</c:v>
                </c:pt>
                <c:pt idx="71">
                  <c:v>2.7518504887393673</c:v>
                </c:pt>
                <c:pt idx="72">
                  <c:v>2.0819979705699656</c:v>
                </c:pt>
                <c:pt idx="73">
                  <c:v>-0.7172568659223858</c:v>
                </c:pt>
                <c:pt idx="74">
                  <c:v>1.5330993699910711</c:v>
                </c:pt>
                <c:pt idx="75">
                  <c:v>6.0987728910271803</c:v>
                </c:pt>
                <c:pt idx="76">
                  <c:v>-5.2561450206395461</c:v>
                </c:pt>
                <c:pt idx="77">
                  <c:v>-7.0673710614829135</c:v>
                </c:pt>
                <c:pt idx="78">
                  <c:v>-9.9877679875575449</c:v>
                </c:pt>
                <c:pt idx="79">
                  <c:v>-8.1306549436853217</c:v>
                </c:pt>
                <c:pt idx="80">
                  <c:v>-12.73617463887056</c:v>
                </c:pt>
                <c:pt idx="81">
                  <c:v>-4.2740182729585845</c:v>
                </c:pt>
                <c:pt idx="82">
                  <c:v>-9.4101495855719079</c:v>
                </c:pt>
                <c:pt idx="83">
                  <c:v>-4.0866198927543129</c:v>
                </c:pt>
                <c:pt idx="84">
                  <c:v>9.6582760277106736</c:v>
                </c:pt>
                <c:pt idx="85">
                  <c:v>16.185325046427174</c:v>
                </c:pt>
                <c:pt idx="86">
                  <c:v>16.6079805594715</c:v>
                </c:pt>
                <c:pt idx="87">
                  <c:v>14.882730318195216</c:v>
                </c:pt>
                <c:pt idx="88">
                  <c:v>5.7147308499054015</c:v>
                </c:pt>
                <c:pt idx="89">
                  <c:v>1.9875737749495723</c:v>
                </c:pt>
                <c:pt idx="90">
                  <c:v>3.8565526923236164</c:v>
                </c:pt>
                <c:pt idx="91">
                  <c:v>-0.43549562474594411</c:v>
                </c:pt>
                <c:pt idx="92">
                  <c:v>-5.683504488496995</c:v>
                </c:pt>
                <c:pt idx="93">
                  <c:v>-2.1307696887164713</c:v>
                </c:pt>
                <c:pt idx="94">
                  <c:v>1.6574711350440556</c:v>
                </c:pt>
                <c:pt idx="95">
                  <c:v>2.5961418290602389</c:v>
                </c:pt>
                <c:pt idx="96">
                  <c:v>-3.9456810793299408</c:v>
                </c:pt>
                <c:pt idx="97">
                  <c:v>-10.033426633764297</c:v>
                </c:pt>
                <c:pt idx="98">
                  <c:v>-9.7377396889515637</c:v>
                </c:pt>
                <c:pt idx="99">
                  <c:v>-13.515097262287783</c:v>
                </c:pt>
                <c:pt idx="100">
                  <c:v>-14.00603032657764</c:v>
                </c:pt>
                <c:pt idx="101">
                  <c:v>-7.7066971018521491</c:v>
                </c:pt>
                <c:pt idx="102">
                  <c:v>-8.6773584197444436</c:v>
                </c:pt>
                <c:pt idx="103">
                  <c:v>-10.612214928308356</c:v>
                </c:pt>
                <c:pt idx="104">
                  <c:v>-12.615706457967841</c:v>
                </c:pt>
                <c:pt idx="105">
                  <c:v>-16.512647515460515</c:v>
                </c:pt>
                <c:pt idx="106">
                  <c:v>-14.927442370882984</c:v>
                </c:pt>
                <c:pt idx="107">
                  <c:v>-14.769777600294479</c:v>
                </c:pt>
                <c:pt idx="108">
                  <c:v>-16.003310716818536</c:v>
                </c:pt>
                <c:pt idx="109">
                  <c:v>-17.609657680062398</c:v>
                </c:pt>
                <c:pt idx="110">
                  <c:v>-19.618600239422147</c:v>
                </c:pt>
                <c:pt idx="111">
                  <c:v>-21.695126570603342</c:v>
                </c:pt>
                <c:pt idx="112">
                  <c:v>-19.386298966238748</c:v>
                </c:pt>
                <c:pt idx="113">
                  <c:v>-16.296566901609623</c:v>
                </c:pt>
                <c:pt idx="114">
                  <c:v>-17.489417005780716</c:v>
                </c:pt>
                <c:pt idx="115">
                  <c:v>-19.80067363240023</c:v>
                </c:pt>
                <c:pt idx="116">
                  <c:v>-21.350821214524494</c:v>
                </c:pt>
                <c:pt idx="117">
                  <c:v>-23.546366599552652</c:v>
                </c:pt>
                <c:pt idx="118">
                  <c:v>-21.194248087721725</c:v>
                </c:pt>
                <c:pt idx="119">
                  <c:v>-20.887327521251674</c:v>
                </c:pt>
                <c:pt idx="120">
                  <c:v>-18.765467194954006</c:v>
                </c:pt>
                <c:pt idx="121">
                  <c:v>-17.84928752044237</c:v>
                </c:pt>
                <c:pt idx="122">
                  <c:v>-19.877978265129027</c:v>
                </c:pt>
                <c:pt idx="123">
                  <c:v>-19.872546886574234</c:v>
                </c:pt>
                <c:pt idx="124">
                  <c:v>-14.760986035790841</c:v>
                </c:pt>
                <c:pt idx="125">
                  <c:v>-17.507108925182642</c:v>
                </c:pt>
                <c:pt idx="126">
                  <c:v>-18.848391377292483</c:v>
                </c:pt>
                <c:pt idx="127">
                  <c:v>-19.342247404398783</c:v>
                </c:pt>
                <c:pt idx="128">
                  <c:v>-21.330161929772718</c:v>
                </c:pt>
                <c:pt idx="129">
                  <c:v>-13.524878410503508</c:v>
                </c:pt>
                <c:pt idx="130">
                  <c:v>-12.709919326026373</c:v>
                </c:pt>
                <c:pt idx="131">
                  <c:v>-14.824465651965371</c:v>
                </c:pt>
                <c:pt idx="132">
                  <c:v>-15.439262045769219</c:v>
                </c:pt>
                <c:pt idx="133">
                  <c:v>-18.416019737435558</c:v>
                </c:pt>
                <c:pt idx="134">
                  <c:v>-20.563587762838026</c:v>
                </c:pt>
                <c:pt idx="135">
                  <c:v>-18.551092391690933</c:v>
                </c:pt>
                <c:pt idx="136">
                  <c:v>-19.036216051369465</c:v>
                </c:pt>
                <c:pt idx="137">
                  <c:v>-15.447641990125593</c:v>
                </c:pt>
                <c:pt idx="138">
                  <c:v>-11.929132250526447</c:v>
                </c:pt>
                <c:pt idx="139">
                  <c:v>-11.222383677324256</c:v>
                </c:pt>
                <c:pt idx="140">
                  <c:v>-14.2861580445485</c:v>
                </c:pt>
                <c:pt idx="141">
                  <c:v>-16.50158811137894</c:v>
                </c:pt>
                <c:pt idx="142">
                  <c:v>-18.869008730666415</c:v>
                </c:pt>
                <c:pt idx="143">
                  <c:v>-19.748973464466367</c:v>
                </c:pt>
                <c:pt idx="144">
                  <c:v>-19.887083062974536</c:v>
                </c:pt>
                <c:pt idx="145">
                  <c:v>-19.652621913947566</c:v>
                </c:pt>
                <c:pt idx="146">
                  <c:v>-20.77825448257591</c:v>
                </c:pt>
                <c:pt idx="147">
                  <c:v>-22.19045256628695</c:v>
                </c:pt>
                <c:pt idx="148">
                  <c:v>-23.093803176281742</c:v>
                </c:pt>
                <c:pt idx="149">
                  <c:v>-22.39738921199211</c:v>
                </c:pt>
                <c:pt idx="150">
                  <c:v>-22.508456317255039</c:v>
                </c:pt>
                <c:pt idx="151">
                  <c:v>-22.572993737243277</c:v>
                </c:pt>
                <c:pt idx="152">
                  <c:v>-22.52539753547903</c:v>
                </c:pt>
                <c:pt idx="153">
                  <c:v>-22.590426186581041</c:v>
                </c:pt>
                <c:pt idx="154">
                  <c:v>-22.291208793924341</c:v>
                </c:pt>
                <c:pt idx="155">
                  <c:v>-22.490057672778374</c:v>
                </c:pt>
                <c:pt idx="156">
                  <c:v>-22.715643976626211</c:v>
                </c:pt>
                <c:pt idx="157">
                  <c:v>-20.915711698687343</c:v>
                </c:pt>
                <c:pt idx="158">
                  <c:v>-21.155994295974445</c:v>
                </c:pt>
                <c:pt idx="159">
                  <c:v>-21.558185238821796</c:v>
                </c:pt>
                <c:pt idx="160">
                  <c:v>-20.409023281382169</c:v>
                </c:pt>
                <c:pt idx="161">
                  <c:v>-21.245546400986974</c:v>
                </c:pt>
                <c:pt idx="162">
                  <c:v>-21.238154695854607</c:v>
                </c:pt>
                <c:pt idx="163">
                  <c:v>-20.673638723021256</c:v>
                </c:pt>
                <c:pt idx="164">
                  <c:v>-19.910592086691015</c:v>
                </c:pt>
                <c:pt idx="165">
                  <c:v>-20.562351115046631</c:v>
                </c:pt>
                <c:pt idx="166">
                  <c:v>-18.829681918459428</c:v>
                </c:pt>
                <c:pt idx="167">
                  <c:v>-17.35438691596622</c:v>
                </c:pt>
                <c:pt idx="168">
                  <c:v>-15.491165122649061</c:v>
                </c:pt>
                <c:pt idx="169">
                  <c:v>-15.029450001582315</c:v>
                </c:pt>
                <c:pt idx="170">
                  <c:v>-16.273774172836617</c:v>
                </c:pt>
                <c:pt idx="171">
                  <c:v>-15.977049217088849</c:v>
                </c:pt>
                <c:pt idx="172">
                  <c:v>-14.265555740193136</c:v>
                </c:pt>
                <c:pt idx="173">
                  <c:v>-14.637484627773448</c:v>
                </c:pt>
                <c:pt idx="174">
                  <c:v>-14.595530991059876</c:v>
                </c:pt>
                <c:pt idx="175">
                  <c:v>-14.668737239972845</c:v>
                </c:pt>
                <c:pt idx="176">
                  <c:v>-12.637070743069842</c:v>
                </c:pt>
                <c:pt idx="177">
                  <c:v>-13.156978484837357</c:v>
                </c:pt>
                <c:pt idx="178">
                  <c:v>-9.9605897067427343</c:v>
                </c:pt>
                <c:pt idx="179">
                  <c:v>-7.3636086093563522</c:v>
                </c:pt>
                <c:pt idx="180">
                  <c:v>-5.5774475177467258</c:v>
                </c:pt>
                <c:pt idx="181">
                  <c:v>-7.747781940577358</c:v>
                </c:pt>
                <c:pt idx="182">
                  <c:v>-6.2357598592165848</c:v>
                </c:pt>
                <c:pt idx="183">
                  <c:v>-7.2861359061340156</c:v>
                </c:pt>
                <c:pt idx="184">
                  <c:v>-9.119399184677679</c:v>
                </c:pt>
                <c:pt idx="185">
                  <c:v>-8.9491744218167657</c:v>
                </c:pt>
                <c:pt idx="186">
                  <c:v>-6.9529574350514975</c:v>
                </c:pt>
                <c:pt idx="187">
                  <c:v>-8.2708458141231365</c:v>
                </c:pt>
                <c:pt idx="188">
                  <c:v>-8.3416822121256331</c:v>
                </c:pt>
                <c:pt idx="189">
                  <c:v>-10.448625070137807</c:v>
                </c:pt>
                <c:pt idx="190">
                  <c:v>-9.3645035416360436</c:v>
                </c:pt>
                <c:pt idx="191">
                  <c:v>-5.8666289326265444</c:v>
                </c:pt>
                <c:pt idx="192">
                  <c:v>-1.7772080944610784</c:v>
                </c:pt>
                <c:pt idx="193">
                  <c:v>-1.062503537068338</c:v>
                </c:pt>
                <c:pt idx="194">
                  <c:v>-3.32004004165311</c:v>
                </c:pt>
                <c:pt idx="195">
                  <c:v>-6.1269954578419856</c:v>
                </c:pt>
                <c:pt idx="196">
                  <c:v>-1.4554522268407555</c:v>
                </c:pt>
                <c:pt idx="197">
                  <c:v>3.8957547681452454</c:v>
                </c:pt>
                <c:pt idx="198">
                  <c:v>0.3343885831332824</c:v>
                </c:pt>
                <c:pt idx="199">
                  <c:v>2.0184189497561658</c:v>
                </c:pt>
                <c:pt idx="200">
                  <c:v>0.30719785627585561</c:v>
                </c:pt>
                <c:pt idx="201">
                  <c:v>-0.68021913552740165</c:v>
                </c:pt>
                <c:pt idx="202">
                  <c:v>-2.1534171687016301</c:v>
                </c:pt>
                <c:pt idx="203">
                  <c:v>-4.699722134113272</c:v>
                </c:pt>
                <c:pt idx="204">
                  <c:v>-6.1765434814412767</c:v>
                </c:pt>
                <c:pt idx="205">
                  <c:v>-8.1971846497991425</c:v>
                </c:pt>
                <c:pt idx="206">
                  <c:v>-9.3270189728072364</c:v>
                </c:pt>
                <c:pt idx="207">
                  <c:v>-9.6014818781868811</c:v>
                </c:pt>
                <c:pt idx="208">
                  <c:v>-7.2788087510425497</c:v>
                </c:pt>
                <c:pt idx="209">
                  <c:v>-9.0508866254989719</c:v>
                </c:pt>
                <c:pt idx="210">
                  <c:v>-9.4066671891381048</c:v>
                </c:pt>
                <c:pt idx="211">
                  <c:v>-8.1779102019857</c:v>
                </c:pt>
                <c:pt idx="212">
                  <c:v>-8.3757655301285681</c:v>
                </c:pt>
                <c:pt idx="213">
                  <c:v>-2.0780981879279792</c:v>
                </c:pt>
                <c:pt idx="214">
                  <c:v>5.5776652987530833</c:v>
                </c:pt>
                <c:pt idx="215">
                  <c:v>9.098436620795411</c:v>
                </c:pt>
                <c:pt idx="216">
                  <c:v>10.186427588984305</c:v>
                </c:pt>
                <c:pt idx="217">
                  <c:v>13.305639222315923</c:v>
                </c:pt>
                <c:pt idx="218">
                  <c:v>6.8464606064641522</c:v>
                </c:pt>
                <c:pt idx="219">
                  <c:v>1.8692912515397633</c:v>
                </c:pt>
                <c:pt idx="220">
                  <c:v>0.48892189947236564</c:v>
                </c:pt>
                <c:pt idx="221">
                  <c:v>-2.4758184673197734</c:v>
                </c:pt>
                <c:pt idx="222">
                  <c:v>-5.5201593578534309</c:v>
                </c:pt>
                <c:pt idx="223">
                  <c:v>-7.8837187958431638</c:v>
                </c:pt>
                <c:pt idx="224">
                  <c:v>-6.4552105878074357</c:v>
                </c:pt>
                <c:pt idx="225">
                  <c:v>-8.3518052165308774</c:v>
                </c:pt>
                <c:pt idx="226">
                  <c:v>-10.962356806633922</c:v>
                </c:pt>
                <c:pt idx="227">
                  <c:v>-10.044676856054537</c:v>
                </c:pt>
                <c:pt idx="228">
                  <c:v>-9.4697208902258794</c:v>
                </c:pt>
                <c:pt idx="229">
                  <c:v>-9.2774967917322329</c:v>
                </c:pt>
                <c:pt idx="230">
                  <c:v>-11.150377057684615</c:v>
                </c:pt>
                <c:pt idx="231">
                  <c:v>-10.880841193261043</c:v>
                </c:pt>
                <c:pt idx="232">
                  <c:v>-9.1119183914673183</c:v>
                </c:pt>
                <c:pt idx="233">
                  <c:v>-8.3677126705848046</c:v>
                </c:pt>
                <c:pt idx="234">
                  <c:v>-8.6619207112299534</c:v>
                </c:pt>
                <c:pt idx="235">
                  <c:v>-7.7285909390433529</c:v>
                </c:pt>
                <c:pt idx="236">
                  <c:v>-7.3886682370065611</c:v>
                </c:pt>
                <c:pt idx="237">
                  <c:v>-6.3235465386068208</c:v>
                </c:pt>
                <c:pt idx="238">
                  <c:v>-8.0307329379673895</c:v>
                </c:pt>
                <c:pt idx="239">
                  <c:v>-8.2680189493207319</c:v>
                </c:pt>
                <c:pt idx="240">
                  <c:v>-9.104183503541174</c:v>
                </c:pt>
                <c:pt idx="241">
                  <c:v>-10.346311448573969</c:v>
                </c:pt>
                <c:pt idx="242">
                  <c:v>-9.4609611427053348</c:v>
                </c:pt>
                <c:pt idx="243">
                  <c:v>-10.282244454680979</c:v>
                </c:pt>
                <c:pt idx="244">
                  <c:v>-8.5214006344310302</c:v>
                </c:pt>
                <c:pt idx="245">
                  <c:v>-1.6002846769053523</c:v>
                </c:pt>
                <c:pt idx="246">
                  <c:v>-0.42259501755854861</c:v>
                </c:pt>
                <c:pt idx="247">
                  <c:v>5.5892033337074238</c:v>
                </c:pt>
                <c:pt idx="248">
                  <c:v>8.4945938469558371</c:v>
                </c:pt>
                <c:pt idx="249">
                  <c:v>9.7669493324686769</c:v>
                </c:pt>
                <c:pt idx="250">
                  <c:v>12.685498204686189</c:v>
                </c:pt>
                <c:pt idx="251">
                  <c:v>13.935128612656349</c:v>
                </c:pt>
                <c:pt idx="252">
                  <c:v>5.4788607045146103</c:v>
                </c:pt>
                <c:pt idx="253">
                  <c:v>2.4552475797712034</c:v>
                </c:pt>
                <c:pt idx="254">
                  <c:v>-0.52709823790931865</c:v>
                </c:pt>
                <c:pt idx="255">
                  <c:v>-1.3209573408944739</c:v>
                </c:pt>
                <c:pt idx="256">
                  <c:v>1.6072220413687166</c:v>
                </c:pt>
                <c:pt idx="257">
                  <c:v>-1.8023034269649352</c:v>
                </c:pt>
                <c:pt idx="258">
                  <c:v>-5.4578463859760573</c:v>
                </c:pt>
                <c:pt idx="259">
                  <c:v>-2.7943304203925829</c:v>
                </c:pt>
                <c:pt idx="260">
                  <c:v>-2.6438309260529151</c:v>
                </c:pt>
                <c:pt idx="261">
                  <c:v>-0.11894304594130166</c:v>
                </c:pt>
                <c:pt idx="262">
                  <c:v>0.86378420949461554</c:v>
                </c:pt>
                <c:pt idx="263">
                  <c:v>-1.0356999379757366</c:v>
                </c:pt>
                <c:pt idx="264">
                  <c:v>-3.2119694992516843</c:v>
                </c:pt>
                <c:pt idx="265">
                  <c:v>-4.5036505840319796</c:v>
                </c:pt>
                <c:pt idx="266">
                  <c:v>-1.2124381256308479</c:v>
                </c:pt>
                <c:pt idx="267">
                  <c:v>-1.1260995039490544</c:v>
                </c:pt>
                <c:pt idx="268">
                  <c:v>-1.0624570633330392</c:v>
                </c:pt>
                <c:pt idx="269">
                  <c:v>-1.7515670653581326</c:v>
                </c:pt>
                <c:pt idx="270">
                  <c:v>-2.5489067190115944</c:v>
                </c:pt>
                <c:pt idx="271">
                  <c:v>0.73203678850934428</c:v>
                </c:pt>
                <c:pt idx="272">
                  <c:v>5.3833272817534521</c:v>
                </c:pt>
                <c:pt idx="273">
                  <c:v>3.763302709765795</c:v>
                </c:pt>
                <c:pt idx="274">
                  <c:v>6.4854444360008827</c:v>
                </c:pt>
                <c:pt idx="275">
                  <c:v>7.7530501688815363</c:v>
                </c:pt>
                <c:pt idx="276">
                  <c:v>5.6607129800046714</c:v>
                </c:pt>
                <c:pt idx="277">
                  <c:v>6.6951155614495441</c:v>
                </c:pt>
                <c:pt idx="278">
                  <c:v>7.7554896682392362</c:v>
                </c:pt>
                <c:pt idx="279">
                  <c:v>6.9273246194350877</c:v>
                </c:pt>
                <c:pt idx="280">
                  <c:v>3.6426905025679792</c:v>
                </c:pt>
                <c:pt idx="281">
                  <c:v>1.6232654159063189</c:v>
                </c:pt>
                <c:pt idx="282">
                  <c:v>-0.86141810729833534</c:v>
                </c:pt>
                <c:pt idx="283">
                  <c:v>-0.56421321067139296</c:v>
                </c:pt>
                <c:pt idx="284">
                  <c:v>-9.9940603782481985E-2</c:v>
                </c:pt>
                <c:pt idx="285">
                  <c:v>-1.2360070493435842</c:v>
                </c:pt>
                <c:pt idx="286">
                  <c:v>-2.5408432327417687</c:v>
                </c:pt>
                <c:pt idx="287">
                  <c:v>-2.3751881572949065</c:v>
                </c:pt>
                <c:pt idx="288">
                  <c:v>-3.0745957986242503</c:v>
                </c:pt>
                <c:pt idx="289">
                  <c:v>-1.5436734159886085</c:v>
                </c:pt>
                <c:pt idx="290">
                  <c:v>-3.5972032644895178</c:v>
                </c:pt>
                <c:pt idx="291">
                  <c:v>-3.2027691668005418</c:v>
                </c:pt>
                <c:pt idx="292">
                  <c:v>-3.6826743002155151</c:v>
                </c:pt>
                <c:pt idx="293">
                  <c:v>-3.2663411543850369</c:v>
                </c:pt>
                <c:pt idx="294">
                  <c:v>-4.0525567660013966</c:v>
                </c:pt>
                <c:pt idx="295">
                  <c:v>-3.8665404337133129</c:v>
                </c:pt>
                <c:pt idx="296">
                  <c:v>-3.6317425530102985</c:v>
                </c:pt>
                <c:pt idx="297">
                  <c:v>-3.9060853494404446</c:v>
                </c:pt>
                <c:pt idx="298">
                  <c:v>-4.1102630640847257</c:v>
                </c:pt>
                <c:pt idx="299">
                  <c:v>-1.9601464279198166</c:v>
                </c:pt>
                <c:pt idx="300">
                  <c:v>-3.460936788879266E-2</c:v>
                </c:pt>
                <c:pt idx="301">
                  <c:v>-1.3577143005740742</c:v>
                </c:pt>
                <c:pt idx="302">
                  <c:v>-1.5175019527863518</c:v>
                </c:pt>
                <c:pt idx="303">
                  <c:v>-1.8146970293759164</c:v>
                </c:pt>
                <c:pt idx="304">
                  <c:v>-0.48461906740693822</c:v>
                </c:pt>
                <c:pt idx="305">
                  <c:v>-0.49248014707254817</c:v>
                </c:pt>
                <c:pt idx="306">
                  <c:v>-1.6189569513083837</c:v>
                </c:pt>
                <c:pt idx="307">
                  <c:v>-0.83356049677696487</c:v>
                </c:pt>
                <c:pt idx="308">
                  <c:v>-5.2509777939068426E-3</c:v>
                </c:pt>
                <c:pt idx="309">
                  <c:v>-0.5116537780308118</c:v>
                </c:pt>
                <c:pt idx="310">
                  <c:v>-0.47756594356732618</c:v>
                </c:pt>
                <c:pt idx="311">
                  <c:v>0.96767702145002055</c:v>
                </c:pt>
                <c:pt idx="312">
                  <c:v>0.10689798642084865</c:v>
                </c:pt>
                <c:pt idx="313">
                  <c:v>0.22901378173624379</c:v>
                </c:pt>
                <c:pt idx="314">
                  <c:v>-0.45541456843615641</c:v>
                </c:pt>
                <c:pt idx="315">
                  <c:v>-0.15570096371509726</c:v>
                </c:pt>
                <c:pt idx="316">
                  <c:v>2.590891044338596</c:v>
                </c:pt>
                <c:pt idx="317">
                  <c:v>2.4100913191774245</c:v>
                </c:pt>
                <c:pt idx="318">
                  <c:v>1.675126231396467</c:v>
                </c:pt>
                <c:pt idx="319">
                  <c:v>3.5918421250081636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1-C743-A3EA-6D203E3A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'240814A013'!$A$2:$A$321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'240814A013'!$J$2:$J$321</c:f>
              <c:numCache>
                <c:formatCode>0.0</c:formatCode>
                <c:ptCount val="320"/>
                <c:pt idx="0">
                  <c:v>1271.2450824764801</c:v>
                </c:pt>
                <c:pt idx="1">
                  <c:v>1129.0570996049701</c:v>
                </c:pt>
                <c:pt idx="2">
                  <c:v>1216.5739382399699</c:v>
                </c:pt>
                <c:pt idx="3">
                  <c:v>1237.29420866292</c:v>
                </c:pt>
                <c:pt idx="4">
                  <c:v>1232.660479074</c:v>
                </c:pt>
                <c:pt idx="5">
                  <c:v>1176.30174212765</c:v>
                </c:pt>
                <c:pt idx="6">
                  <c:v>1072.2769754071398</c:v>
                </c:pt>
                <c:pt idx="7">
                  <c:v>1205.04856583994</c:v>
                </c:pt>
                <c:pt idx="8">
                  <c:v>1359.1187674458201</c:v>
                </c:pt>
                <c:pt idx="9">
                  <c:v>1542.42416668901</c:v>
                </c:pt>
                <c:pt idx="10">
                  <c:v>1579.2651078035001</c:v>
                </c:pt>
                <c:pt idx="11">
                  <c:v>1580.8388706565502</c:v>
                </c:pt>
                <c:pt idx="12">
                  <c:v>1586.3363216002799</c:v>
                </c:pt>
                <c:pt idx="13">
                  <c:v>1475.6046183252899</c:v>
                </c:pt>
                <c:pt idx="14">
                  <c:v>1652.4761925225598</c:v>
                </c:pt>
                <c:pt idx="15">
                  <c:v>1593.27677555534</c:v>
                </c:pt>
                <c:pt idx="16">
                  <c:v>1561.18001117534</c:v>
                </c:pt>
                <c:pt idx="17">
                  <c:v>1532.8481499086399</c:v>
                </c:pt>
                <c:pt idx="18">
                  <c:v>1478.02034171172</c:v>
                </c:pt>
                <c:pt idx="19">
                  <c:v>1490.3377944895499</c:v>
                </c:pt>
                <c:pt idx="20">
                  <c:v>1516.3398725443999</c:v>
                </c:pt>
                <c:pt idx="21">
                  <c:v>1503.94135011808</c:v>
                </c:pt>
                <c:pt idx="22">
                  <c:v>1465.7063555068901</c:v>
                </c:pt>
                <c:pt idx="23">
                  <c:v>1465.7211956198998</c:v>
                </c:pt>
                <c:pt idx="24">
                  <c:v>1476.8323196561</c:v>
                </c:pt>
                <c:pt idx="25">
                  <c:v>1525.39389427263</c:v>
                </c:pt>
                <c:pt idx="26">
                  <c:v>1356.54703866152</c:v>
                </c:pt>
                <c:pt idx="27">
                  <c:v>1305.92153749965</c:v>
                </c:pt>
                <c:pt idx="28">
                  <c:v>1374.34970684014</c:v>
                </c:pt>
                <c:pt idx="29">
                  <c:v>1425.1932013769801</c:v>
                </c:pt>
                <c:pt idx="30">
                  <c:v>1510.8613137869399</c:v>
                </c:pt>
                <c:pt idx="31">
                  <c:v>1480.8716907739802</c:v>
                </c:pt>
                <c:pt idx="32">
                  <c:v>1530.4127736497001</c:v>
                </c:pt>
                <c:pt idx="33">
                  <c:v>1567.45117036599</c:v>
                </c:pt>
                <c:pt idx="34">
                  <c:v>1590.04690189332</c:v>
                </c:pt>
                <c:pt idx="35">
                  <c:v>1589.6054216867301</c:v>
                </c:pt>
                <c:pt idx="36">
                  <c:v>1611.53055077454</c:v>
                </c:pt>
                <c:pt idx="37">
                  <c:v>1560.8296041307999</c:v>
                </c:pt>
                <c:pt idx="38">
                  <c:v>1560.2326370026099</c:v>
                </c:pt>
                <c:pt idx="39">
                  <c:v>1400.78543785536</c:v>
                </c:pt>
                <c:pt idx="40">
                  <c:v>1371.6518932874501</c:v>
                </c:pt>
                <c:pt idx="41">
                  <c:v>1358.03400128313</c:v>
                </c:pt>
                <c:pt idx="42">
                  <c:v>1350.5930497535799</c:v>
                </c:pt>
                <c:pt idx="43">
                  <c:v>1372.2705495795899</c:v>
                </c:pt>
                <c:pt idx="44">
                  <c:v>1161.2525544795999</c:v>
                </c:pt>
                <c:pt idx="45">
                  <c:v>1256.0389373927499</c:v>
                </c:pt>
                <c:pt idx="46">
                  <c:v>1271.09670788942</c:v>
                </c:pt>
                <c:pt idx="47">
                  <c:v>1269.75460889533</c:v>
                </c:pt>
                <c:pt idx="48">
                  <c:v>1282.79646936739</c:v>
                </c:pt>
                <c:pt idx="49">
                  <c:v>1248.2111020315001</c:v>
                </c:pt>
                <c:pt idx="50">
                  <c:v>1275.4668214532899</c:v>
                </c:pt>
                <c:pt idx="51">
                  <c:v>1251.6845955249801</c:v>
                </c:pt>
                <c:pt idx="52">
                  <c:v>1251.02796901891</c:v>
                </c:pt>
                <c:pt idx="53">
                  <c:v>1190.6703958692101</c:v>
                </c:pt>
                <c:pt idx="54">
                  <c:v>1179.6673838210299</c:v>
                </c:pt>
                <c:pt idx="55">
                  <c:v>1247.1191910499601</c:v>
                </c:pt>
                <c:pt idx="56">
                  <c:v>1249.7276774813299</c:v>
                </c:pt>
                <c:pt idx="57">
                  <c:v>1361.07743040169</c:v>
                </c:pt>
                <c:pt idx="58">
                  <c:v>1364.1591315629398</c:v>
                </c:pt>
                <c:pt idx="59">
                  <c:v>1298.5014650748499</c:v>
                </c:pt>
                <c:pt idx="60">
                  <c:v>1299.71402311885</c:v>
                </c:pt>
                <c:pt idx="61">
                  <c:v>1308.27828857995</c:v>
                </c:pt>
                <c:pt idx="62">
                  <c:v>1275.8432908096199</c:v>
                </c:pt>
                <c:pt idx="63">
                  <c:v>1221.2034816202702</c:v>
                </c:pt>
                <c:pt idx="64">
                  <c:v>1261.3095051765299</c:v>
                </c:pt>
                <c:pt idx="65">
                  <c:v>1267.69626022429</c:v>
                </c:pt>
                <c:pt idx="66">
                  <c:v>1273.5237765910199</c:v>
                </c:pt>
                <c:pt idx="67">
                  <c:v>1308.2584863572299</c:v>
                </c:pt>
                <c:pt idx="68">
                  <c:v>1343.1408171959699</c:v>
                </c:pt>
                <c:pt idx="69">
                  <c:v>1301.3670291870499</c:v>
                </c:pt>
                <c:pt idx="70">
                  <c:v>1339.9972232477398</c:v>
                </c:pt>
                <c:pt idx="71">
                  <c:v>1329.67550098217</c:v>
                </c:pt>
                <c:pt idx="72">
                  <c:v>1332.6054231660401</c:v>
                </c:pt>
                <c:pt idx="73">
                  <c:v>1316.8213692143399</c:v>
                </c:pt>
                <c:pt idx="74">
                  <c:v>1250.9006016703399</c:v>
                </c:pt>
                <c:pt idx="75">
                  <c:v>1167.50169455433</c:v>
                </c:pt>
                <c:pt idx="76">
                  <c:v>1211.18599212761</c:v>
                </c:pt>
                <c:pt idx="77">
                  <c:v>1247.4699302284901</c:v>
                </c:pt>
                <c:pt idx="78">
                  <c:v>1232.9696177629298</c:v>
                </c:pt>
                <c:pt idx="79">
                  <c:v>1219.80235027757</c:v>
                </c:pt>
                <c:pt idx="80">
                  <c:v>1255.82844972361</c:v>
                </c:pt>
                <c:pt idx="81">
                  <c:v>1313.02323635794</c:v>
                </c:pt>
                <c:pt idx="82">
                  <c:v>1305.89911100168</c:v>
                </c:pt>
                <c:pt idx="83">
                  <c:v>1333.2539405743498</c:v>
                </c:pt>
                <c:pt idx="84">
                  <c:v>1370.7441916068099</c:v>
                </c:pt>
                <c:pt idx="85">
                  <c:v>1307.59610151213</c:v>
                </c:pt>
                <c:pt idx="86">
                  <c:v>1203.9227144000401</c:v>
                </c:pt>
                <c:pt idx="87">
                  <c:v>1323.2033349718299</c:v>
                </c:pt>
                <c:pt idx="88">
                  <c:v>1226.8263570738</c:v>
                </c:pt>
                <c:pt idx="89">
                  <c:v>1281.4298765814899</c:v>
                </c:pt>
                <c:pt idx="90">
                  <c:v>1214.7698375826301</c:v>
                </c:pt>
                <c:pt idx="91">
                  <c:v>1275.10072035542</c:v>
                </c:pt>
                <c:pt idx="92">
                  <c:v>1257.05998605118</c:v>
                </c:pt>
                <c:pt idx="93">
                  <c:v>1311.89123175805</c:v>
                </c:pt>
                <c:pt idx="94">
                  <c:v>1339.0939837102201</c:v>
                </c:pt>
                <c:pt idx="95">
                  <c:v>1364.0804485063099</c:v>
                </c:pt>
                <c:pt idx="96">
                  <c:v>1390.7793827317898</c:v>
                </c:pt>
                <c:pt idx="97">
                  <c:v>1403.8168318773598</c:v>
                </c:pt>
                <c:pt idx="98">
                  <c:v>1404.25464775203</c:v>
                </c:pt>
                <c:pt idx="99">
                  <c:v>1408.7407013417301</c:v>
                </c:pt>
                <c:pt idx="100">
                  <c:v>1379.0666352861301</c:v>
                </c:pt>
                <c:pt idx="101">
                  <c:v>1412.2274045403401</c:v>
                </c:pt>
                <c:pt idx="102">
                  <c:v>1391.41754937521</c:v>
                </c:pt>
                <c:pt idx="103">
                  <c:v>1377.7319853674501</c:v>
                </c:pt>
                <c:pt idx="104">
                  <c:v>1393.1511309595198</c:v>
                </c:pt>
                <c:pt idx="105">
                  <c:v>1411.6154917931901</c:v>
                </c:pt>
                <c:pt idx="106">
                  <c:v>1446.1673937805899</c:v>
                </c:pt>
                <c:pt idx="107">
                  <c:v>1437.39185620078</c:v>
                </c:pt>
                <c:pt idx="108">
                  <c:v>1426.6289747195299</c:v>
                </c:pt>
                <c:pt idx="109">
                  <c:v>1408.5349613200201</c:v>
                </c:pt>
                <c:pt idx="110">
                  <c:v>1429.86518041915</c:v>
                </c:pt>
                <c:pt idx="111">
                  <c:v>1410.8484285094401</c:v>
                </c:pt>
                <c:pt idx="112">
                  <c:v>1376.8331778474098</c:v>
                </c:pt>
                <c:pt idx="113">
                  <c:v>1446.55010592391</c:v>
                </c:pt>
                <c:pt idx="114">
                  <c:v>1433.1605917949701</c:v>
                </c:pt>
                <c:pt idx="115">
                  <c:v>1406.0341647135001</c:v>
                </c:pt>
                <c:pt idx="116">
                  <c:v>1462.52837225606</c:v>
                </c:pt>
                <c:pt idx="117">
                  <c:v>1387.7244982143402</c:v>
                </c:pt>
                <c:pt idx="118">
                  <c:v>1409.1647624770098</c:v>
                </c:pt>
                <c:pt idx="119">
                  <c:v>1318.76242093982</c:v>
                </c:pt>
                <c:pt idx="120">
                  <c:v>1377.9480797589599</c:v>
                </c:pt>
                <c:pt idx="121">
                  <c:v>1417.3160224641999</c:v>
                </c:pt>
                <c:pt idx="122">
                  <c:v>1416.3732271536701</c:v>
                </c:pt>
                <c:pt idx="123">
                  <c:v>1382.08586810513</c:v>
                </c:pt>
                <c:pt idx="124">
                  <c:v>1269.3196700164401</c:v>
                </c:pt>
                <c:pt idx="125">
                  <c:v>1196.43174411937</c:v>
                </c:pt>
                <c:pt idx="126">
                  <c:v>1274.3959743077401</c:v>
                </c:pt>
                <c:pt idx="127">
                  <c:v>1352.7747220802999</c:v>
                </c:pt>
                <c:pt idx="128">
                  <c:v>1372.4080417812502</c:v>
                </c:pt>
                <c:pt idx="129">
                  <c:v>1328.1503103791902</c:v>
                </c:pt>
                <c:pt idx="130">
                  <c:v>1372.29667705571</c:v>
                </c:pt>
                <c:pt idx="131">
                  <c:v>1369.3966522460501</c:v>
                </c:pt>
                <c:pt idx="132">
                  <c:v>1346.2350646165798</c:v>
                </c:pt>
                <c:pt idx="133">
                  <c:v>1347.30066621163</c:v>
                </c:pt>
                <c:pt idx="134">
                  <c:v>1338.91900335335</c:v>
                </c:pt>
                <c:pt idx="135">
                  <c:v>1288.0303166256899</c:v>
                </c:pt>
                <c:pt idx="136">
                  <c:v>1234.7157182308501</c:v>
                </c:pt>
                <c:pt idx="137">
                  <c:v>1219.4387288181299</c:v>
                </c:pt>
                <c:pt idx="138">
                  <c:v>1289.14700245519</c:v>
                </c:pt>
                <c:pt idx="139">
                  <c:v>1265.8691318522801</c:v>
                </c:pt>
                <c:pt idx="140">
                  <c:v>1245.97541200982</c:v>
                </c:pt>
                <c:pt idx="141">
                  <c:v>1267.2184069201401</c:v>
                </c:pt>
                <c:pt idx="142">
                  <c:v>1280.3490105117201</c:v>
                </c:pt>
                <c:pt idx="143">
                  <c:v>1272.1335233022601</c:v>
                </c:pt>
                <c:pt idx="144">
                  <c:v>1220.98875071098</c:v>
                </c:pt>
                <c:pt idx="145">
                  <c:v>1364.8985239659701</c:v>
                </c:pt>
                <c:pt idx="146">
                  <c:v>1357.7714937672799</c:v>
                </c:pt>
                <c:pt idx="147">
                  <c:v>1456.88697908519</c:v>
                </c:pt>
                <c:pt idx="148">
                  <c:v>1417.41894591349</c:v>
                </c:pt>
                <c:pt idx="149">
                  <c:v>1413.36321650236</c:v>
                </c:pt>
                <c:pt idx="150">
                  <c:v>1468.76672664681</c:v>
                </c:pt>
                <c:pt idx="151">
                  <c:v>1508.5307098524299</c:v>
                </c:pt>
                <c:pt idx="152">
                  <c:v>1471.7789469566499</c:v>
                </c:pt>
                <c:pt idx="153">
                  <c:v>1506.9592602215</c:v>
                </c:pt>
                <c:pt idx="154">
                  <c:v>1537.0270516026701</c:v>
                </c:pt>
                <c:pt idx="155">
                  <c:v>1588.58466484676</c:v>
                </c:pt>
                <c:pt idx="156">
                  <c:v>1525.4782298664102</c:v>
                </c:pt>
                <c:pt idx="157">
                  <c:v>1579.9860162324301</c:v>
                </c:pt>
                <c:pt idx="158">
                  <c:v>1593.06963618023</c:v>
                </c:pt>
                <c:pt idx="159">
                  <c:v>1596.44692934303</c:v>
                </c:pt>
                <c:pt idx="160">
                  <c:v>1675.9626165654299</c:v>
                </c:pt>
                <c:pt idx="161">
                  <c:v>1695.3334838334401</c:v>
                </c:pt>
                <c:pt idx="162">
                  <c:v>1645.6580810921998</c:v>
                </c:pt>
                <c:pt idx="163">
                  <c:v>1680.9825976766001</c:v>
                </c:pt>
                <c:pt idx="164">
                  <c:v>1678.8236675104301</c:v>
                </c:pt>
                <c:pt idx="165">
                  <c:v>1672.2019868439399</c:v>
                </c:pt>
                <c:pt idx="166">
                  <c:v>1747.7344091208299</c:v>
                </c:pt>
                <c:pt idx="167">
                  <c:v>1733.4357950098899</c:v>
                </c:pt>
                <c:pt idx="168">
                  <c:v>1731.90952665951</c:v>
                </c:pt>
                <c:pt idx="169">
                  <c:v>1759.3968392545798</c:v>
                </c:pt>
                <c:pt idx="170">
                  <c:v>1757.6596882390099</c:v>
                </c:pt>
                <c:pt idx="171">
                  <c:v>1777.0947948871099</c:v>
                </c:pt>
                <c:pt idx="172">
                  <c:v>1796.4271096584</c:v>
                </c:pt>
                <c:pt idx="173">
                  <c:v>1729.49129636265</c:v>
                </c:pt>
                <c:pt idx="174">
                  <c:v>1675.2474113790399</c:v>
                </c:pt>
                <c:pt idx="175">
                  <c:v>1682.0553737774601</c:v>
                </c:pt>
                <c:pt idx="176">
                  <c:v>1702.4718777160199</c:v>
                </c:pt>
                <c:pt idx="177">
                  <c:v>1692.11910551094</c:v>
                </c:pt>
                <c:pt idx="178">
                  <c:v>1660.9981457896001</c:v>
                </c:pt>
                <c:pt idx="179">
                  <c:v>1661.9474491942999</c:v>
                </c:pt>
                <c:pt idx="180">
                  <c:v>1691.8293829540999</c:v>
                </c:pt>
                <c:pt idx="181">
                  <c:v>1710.4241291538501</c:v>
                </c:pt>
                <c:pt idx="182">
                  <c:v>1742.1934107786199</c:v>
                </c:pt>
                <c:pt idx="183">
                  <c:v>1620.0523481893601</c:v>
                </c:pt>
                <c:pt idx="184">
                  <c:v>1613.26976047416</c:v>
                </c:pt>
                <c:pt idx="185">
                  <c:v>1528.32478723387</c:v>
                </c:pt>
                <c:pt idx="186">
                  <c:v>1560.13135269185</c:v>
                </c:pt>
                <c:pt idx="187">
                  <c:v>1481.2233677567101</c:v>
                </c:pt>
                <c:pt idx="188">
                  <c:v>1594.8729551342999</c:v>
                </c:pt>
                <c:pt idx="189">
                  <c:v>1543.8923447841701</c:v>
                </c:pt>
                <c:pt idx="190">
                  <c:v>1496.4966513863301</c:v>
                </c:pt>
                <c:pt idx="191">
                  <c:v>1474.78667735673</c:v>
                </c:pt>
                <c:pt idx="192">
                  <c:v>1509.1435041575601</c:v>
                </c:pt>
                <c:pt idx="193">
                  <c:v>1499.7229787000299</c:v>
                </c:pt>
                <c:pt idx="194">
                  <c:v>1535.5427494682999</c:v>
                </c:pt>
                <c:pt idx="195">
                  <c:v>1502.5003069039799</c:v>
                </c:pt>
                <c:pt idx="196">
                  <c:v>1546.1764296266799</c:v>
                </c:pt>
                <c:pt idx="197">
                  <c:v>1597.5013219565099</c:v>
                </c:pt>
                <c:pt idx="198">
                  <c:v>1562.71020033949</c:v>
                </c:pt>
                <c:pt idx="199">
                  <c:v>1563.3377075430901</c:v>
                </c:pt>
                <c:pt idx="200">
                  <c:v>1512.01645471457</c:v>
                </c:pt>
                <c:pt idx="201">
                  <c:v>1536.8312120662999</c:v>
                </c:pt>
                <c:pt idx="202">
                  <c:v>1574.3790461983501</c:v>
                </c:pt>
                <c:pt idx="203">
                  <c:v>1557.3010796433</c:v>
                </c:pt>
                <c:pt idx="204">
                  <c:v>1510.7030187251</c:v>
                </c:pt>
                <c:pt idx="205">
                  <c:v>1507.4013020060102</c:v>
                </c:pt>
                <c:pt idx="206">
                  <c:v>1546.93047486668</c:v>
                </c:pt>
                <c:pt idx="207">
                  <c:v>1497.8538213557401</c:v>
                </c:pt>
                <c:pt idx="208">
                  <c:v>1493.64218759198</c:v>
                </c:pt>
                <c:pt idx="209">
                  <c:v>1544.4719425826199</c:v>
                </c:pt>
                <c:pt idx="210">
                  <c:v>1536.0679862306699</c:v>
                </c:pt>
                <c:pt idx="211">
                  <c:v>1535.5404475043299</c:v>
                </c:pt>
                <c:pt idx="212">
                  <c:v>1540.2237521515201</c:v>
                </c:pt>
                <c:pt idx="213">
                  <c:v>1460.9268502582299</c:v>
                </c:pt>
                <c:pt idx="214">
                  <c:v>1498.7448994674601</c:v>
                </c:pt>
                <c:pt idx="215">
                  <c:v>1526.57909344776</c:v>
                </c:pt>
                <c:pt idx="216">
                  <c:v>1497.4498760060499</c:v>
                </c:pt>
                <c:pt idx="217">
                  <c:v>1540.8234896618301</c:v>
                </c:pt>
                <c:pt idx="218">
                  <c:v>1576.0857888007502</c:v>
                </c:pt>
                <c:pt idx="219">
                  <c:v>1520.1236039992</c:v>
                </c:pt>
                <c:pt idx="220">
                  <c:v>1531.57235073271</c:v>
                </c:pt>
                <c:pt idx="221">
                  <c:v>1516.02004328318</c:v>
                </c:pt>
                <c:pt idx="222">
                  <c:v>1517.0555217445599</c:v>
                </c:pt>
                <c:pt idx="223">
                  <c:v>1479.05598224604</c:v>
                </c:pt>
                <c:pt idx="224">
                  <c:v>1457.55069274162</c:v>
                </c:pt>
                <c:pt idx="225">
                  <c:v>1527.37730302658</c:v>
                </c:pt>
                <c:pt idx="226">
                  <c:v>1337.3099549665601</c:v>
                </c:pt>
                <c:pt idx="227">
                  <c:v>1396.66190736971</c:v>
                </c:pt>
                <c:pt idx="228">
                  <c:v>1428.52469879522</c:v>
                </c:pt>
                <c:pt idx="229">
                  <c:v>1443.31855995412</c:v>
                </c:pt>
                <c:pt idx="230">
                  <c:v>1488.5990725010599</c:v>
                </c:pt>
                <c:pt idx="231">
                  <c:v>1438.6808039315799</c:v>
                </c:pt>
                <c:pt idx="232">
                  <c:v>1430.9201782135901</c:v>
                </c:pt>
                <c:pt idx="233">
                  <c:v>1410.2393761407702</c:v>
                </c:pt>
                <c:pt idx="234">
                  <c:v>1240.05447188319</c:v>
                </c:pt>
                <c:pt idx="235">
                  <c:v>1283.3769059778801</c:v>
                </c:pt>
                <c:pt idx="236">
                  <c:v>1289.2554465496999</c:v>
                </c:pt>
                <c:pt idx="237">
                  <c:v>1427.9697020778199</c:v>
                </c:pt>
                <c:pt idx="238">
                  <c:v>1454.2248500630301</c:v>
                </c:pt>
                <c:pt idx="239">
                  <c:v>1428.3334730674999</c:v>
                </c:pt>
                <c:pt idx="240">
                  <c:v>1479.2406134109101</c:v>
                </c:pt>
                <c:pt idx="241">
                  <c:v>1516.26651377233</c:v>
                </c:pt>
                <c:pt idx="242">
                  <c:v>1529.5500905664999</c:v>
                </c:pt>
                <c:pt idx="243">
                  <c:v>1568.5230345285099</c:v>
                </c:pt>
                <c:pt idx="244">
                  <c:v>1556.05519066805</c:v>
                </c:pt>
                <c:pt idx="245">
                  <c:v>1569.98419797765</c:v>
                </c:pt>
                <c:pt idx="246">
                  <c:v>1523.8510437658899</c:v>
                </c:pt>
                <c:pt idx="247">
                  <c:v>1544.1265060241399</c:v>
                </c:pt>
                <c:pt idx="248">
                  <c:v>1480.4866609294399</c:v>
                </c:pt>
                <c:pt idx="249">
                  <c:v>1493.7950737971901</c:v>
                </c:pt>
                <c:pt idx="250">
                  <c:v>1450.515009923</c:v>
                </c:pt>
                <c:pt idx="251">
                  <c:v>1445.9638554216501</c:v>
                </c:pt>
                <c:pt idx="252">
                  <c:v>1456.9362571277202</c:v>
                </c:pt>
                <c:pt idx="253">
                  <c:v>1465.14290117103</c:v>
                </c:pt>
                <c:pt idx="254">
                  <c:v>1437.6600854961698</c:v>
                </c:pt>
                <c:pt idx="255">
                  <c:v>1450.3706863771899</c:v>
                </c:pt>
                <c:pt idx="256">
                  <c:v>1431.2871696159998</c:v>
                </c:pt>
                <c:pt idx="257">
                  <c:v>1404.3243676949899</c:v>
                </c:pt>
                <c:pt idx="258">
                  <c:v>1432.8998777842999</c:v>
                </c:pt>
                <c:pt idx="259">
                  <c:v>1446.8324226121199</c:v>
                </c:pt>
                <c:pt idx="260">
                  <c:v>1450.8971876682999</c:v>
                </c:pt>
                <c:pt idx="261">
                  <c:v>1443.63006709825</c:v>
                </c:pt>
                <c:pt idx="262">
                  <c:v>1456.9188365911</c:v>
                </c:pt>
                <c:pt idx="263">
                  <c:v>1459.2119190123901</c:v>
                </c:pt>
                <c:pt idx="264">
                  <c:v>1442.6234384064899</c:v>
                </c:pt>
                <c:pt idx="265">
                  <c:v>1463.26253684262</c:v>
                </c:pt>
                <c:pt idx="266">
                  <c:v>1459.6008989975601</c:v>
                </c:pt>
                <c:pt idx="267">
                  <c:v>1453.87742053434</c:v>
                </c:pt>
                <c:pt idx="268">
                  <c:v>1453.7674436556399</c:v>
                </c:pt>
                <c:pt idx="269">
                  <c:v>1442.41870941766</c:v>
                </c:pt>
                <c:pt idx="270">
                  <c:v>1429.3309720980199</c:v>
                </c:pt>
                <c:pt idx="271">
                  <c:v>1375.0079302074</c:v>
                </c:pt>
                <c:pt idx="272">
                  <c:v>1479.30323328859</c:v>
                </c:pt>
                <c:pt idx="273">
                  <c:v>1487.3001972685599</c:v>
                </c:pt>
                <c:pt idx="274">
                  <c:v>1460.8685177423502</c:v>
                </c:pt>
                <c:pt idx="275">
                  <c:v>1435.23870166085</c:v>
                </c:pt>
                <c:pt idx="276">
                  <c:v>1510.3481688700901</c:v>
                </c:pt>
                <c:pt idx="277">
                  <c:v>1514.28053671507</c:v>
                </c:pt>
                <c:pt idx="278">
                  <c:v>1481.64092027116</c:v>
                </c:pt>
                <c:pt idx="279">
                  <c:v>1459.1196213425701</c:v>
                </c:pt>
                <c:pt idx="280">
                  <c:v>1480.8111015490999</c:v>
                </c:pt>
                <c:pt idx="281">
                  <c:v>1477.61833046469</c:v>
                </c:pt>
                <c:pt idx="282">
                  <c:v>1463.55076932676</c:v>
                </c:pt>
                <c:pt idx="283">
                  <c:v>1433.11987743807</c:v>
                </c:pt>
                <c:pt idx="284">
                  <c:v>1525.0814643558501</c:v>
                </c:pt>
                <c:pt idx="285">
                  <c:v>1467.70883956176</c:v>
                </c:pt>
                <c:pt idx="286">
                  <c:v>1460.33480730112</c:v>
                </c:pt>
                <c:pt idx="287">
                  <c:v>1451.5013301806698</c:v>
                </c:pt>
                <c:pt idx="288">
                  <c:v>1424.6263756941501</c:v>
                </c:pt>
                <c:pt idx="289">
                  <c:v>1434.7406143932701</c:v>
                </c:pt>
                <c:pt idx="290">
                  <c:v>1432.3663553086499</c:v>
                </c:pt>
                <c:pt idx="291">
                  <c:v>1475.9734011574801</c:v>
                </c:pt>
                <c:pt idx="292">
                  <c:v>1471.21982621903</c:v>
                </c:pt>
                <c:pt idx="293">
                  <c:v>1447.3652000350501</c:v>
                </c:pt>
                <c:pt idx="294">
                  <c:v>1482.0396591905101</c:v>
                </c:pt>
                <c:pt idx="295">
                  <c:v>1405.71003208103</c:v>
                </c:pt>
                <c:pt idx="296">
                  <c:v>1383.5727194492099</c:v>
                </c:pt>
                <c:pt idx="297">
                  <c:v>1418.39328743544</c:v>
                </c:pt>
                <c:pt idx="298">
                  <c:v>1469.5163511188</c:v>
                </c:pt>
                <c:pt idx="299">
                  <c:v>1457.2370912220499</c:v>
                </c:pt>
                <c:pt idx="300">
                  <c:v>1456.8197317572199</c:v>
                </c:pt>
                <c:pt idx="301">
                  <c:v>1466.25435366892</c:v>
                </c:pt>
                <c:pt idx="302">
                  <c:v>1477.5979771601201</c:v>
                </c:pt>
                <c:pt idx="303">
                  <c:v>1461.25677223768</c:v>
                </c:pt>
                <c:pt idx="304">
                  <c:v>1452.96089811105</c:v>
                </c:pt>
                <c:pt idx="305">
                  <c:v>1443.05718661008</c:v>
                </c:pt>
                <c:pt idx="306">
                  <c:v>1418.1069942309</c:v>
                </c:pt>
                <c:pt idx="307">
                  <c:v>1485.4289809215002</c:v>
                </c:pt>
                <c:pt idx="308">
                  <c:v>1491.8792333771898</c:v>
                </c:pt>
                <c:pt idx="309">
                  <c:v>1484.3249593107198</c:v>
                </c:pt>
                <c:pt idx="310">
                  <c:v>1478.2738922890699</c:v>
                </c:pt>
                <c:pt idx="311">
                  <c:v>1483.5962438445802</c:v>
                </c:pt>
                <c:pt idx="312">
                  <c:v>1479.72628320794</c:v>
                </c:pt>
                <c:pt idx="313">
                  <c:v>1486.08627821601</c:v>
                </c:pt>
                <c:pt idx="314">
                  <c:v>1469.62721841186</c:v>
                </c:pt>
                <c:pt idx="315">
                  <c:v>1462.0447322306302</c:v>
                </c:pt>
                <c:pt idx="316">
                  <c:v>1469.2417945411798</c:v>
                </c:pt>
                <c:pt idx="317">
                  <c:v>1454.42489769177</c:v>
                </c:pt>
                <c:pt idx="318">
                  <c:v>1440.2403411661801</c:v>
                </c:pt>
                <c:pt idx="319">
                  <c:v>1451.55052363096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D-2C41-B5CC-B6091EFC8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3-1946-9C72-9E80F1CDF3FE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'240814A013'!$A$2:$A$321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'240814A013'!$P$2:$P$321</c:f>
              <c:numCache>
                <c:formatCode>General</c:formatCode>
                <c:ptCount val="320"/>
                <c:pt idx="0">
                  <c:v>-0.27021775671427989</c:v>
                </c:pt>
                <c:pt idx="1">
                  <c:v>2.167580910000785</c:v>
                </c:pt>
                <c:pt idx="2">
                  <c:v>0.77098389455074801</c:v>
                </c:pt>
                <c:pt idx="3">
                  <c:v>0.42926046821330854</c:v>
                </c:pt>
                <c:pt idx="4">
                  <c:v>-0.53961905886149986</c:v>
                </c:pt>
                <c:pt idx="5">
                  <c:v>7.4737012273201439E-2</c:v>
                </c:pt>
                <c:pt idx="6">
                  <c:v>3.1172562886857755</c:v>
                </c:pt>
                <c:pt idx="7">
                  <c:v>2.5008121575640172</c:v>
                </c:pt>
                <c:pt idx="8">
                  <c:v>-0.14010596295243763</c:v>
                </c:pt>
                <c:pt idx="9">
                  <c:v>-2.7173073219996717</c:v>
                </c:pt>
                <c:pt idx="10">
                  <c:v>-3.6142421802465665</c:v>
                </c:pt>
                <c:pt idx="11">
                  <c:v>-3.9324350469518237</c:v>
                </c:pt>
                <c:pt idx="12">
                  <c:v>-5.7697188198932015</c:v>
                </c:pt>
                <c:pt idx="13">
                  <c:v>-3.4149816635877817</c:v>
                </c:pt>
                <c:pt idx="14">
                  <c:v>-8.7825656959415568</c:v>
                </c:pt>
                <c:pt idx="15">
                  <c:v>-8.7629928149077383</c:v>
                </c:pt>
                <c:pt idx="16">
                  <c:v>-10.515730756873054</c:v>
                </c:pt>
                <c:pt idx="17">
                  <c:v>-9.5750149774935593</c:v>
                </c:pt>
                <c:pt idx="18">
                  <c:v>-10.333520904134271</c:v>
                </c:pt>
                <c:pt idx="19">
                  <c:v>-9.8299376774979361</c:v>
                </c:pt>
                <c:pt idx="20">
                  <c:v>-10.321545537329687</c:v>
                </c:pt>
                <c:pt idx="21">
                  <c:v>-11.753359680721708</c:v>
                </c:pt>
                <c:pt idx="22">
                  <c:v>-11.207756246540121</c:v>
                </c:pt>
                <c:pt idx="23">
                  <c:v>-12.250518245722152</c:v>
                </c:pt>
                <c:pt idx="24">
                  <c:v>-10.483890254235996</c:v>
                </c:pt>
                <c:pt idx="25">
                  <c:v>-8.1054962668945905</c:v>
                </c:pt>
                <c:pt idx="26">
                  <c:v>-7.3341001038720224</c:v>
                </c:pt>
                <c:pt idx="27">
                  <c:v>-7.1104314546827547</c:v>
                </c:pt>
                <c:pt idx="28">
                  <c:v>-7.3787110805984639</c:v>
                </c:pt>
                <c:pt idx="29">
                  <c:v>-3.5376830348395711</c:v>
                </c:pt>
                <c:pt idx="30">
                  <c:v>-4.2780393724294736</c:v>
                </c:pt>
                <c:pt idx="31">
                  <c:v>-5.8451954894683578</c:v>
                </c:pt>
                <c:pt idx="32">
                  <c:v>-5.6994867823007276</c:v>
                </c:pt>
                <c:pt idx="33">
                  <c:v>-6.7268079517470341</c:v>
                </c:pt>
                <c:pt idx="34">
                  <c:v>-7.1107039301463963</c:v>
                </c:pt>
                <c:pt idx="35">
                  <c:v>-6.538716824725638</c:v>
                </c:pt>
                <c:pt idx="36">
                  <c:v>-5.5787735255559792</c:v>
                </c:pt>
                <c:pt idx="37">
                  <c:v>-5.1956249311779734</c:v>
                </c:pt>
                <c:pt idx="38">
                  <c:v>-5.6555778043950022</c:v>
                </c:pt>
                <c:pt idx="39">
                  <c:v>-5.1884332384110738</c:v>
                </c:pt>
                <c:pt idx="40">
                  <c:v>-6.0820353698162215</c:v>
                </c:pt>
                <c:pt idx="41">
                  <c:v>-4.990297671250155</c:v>
                </c:pt>
                <c:pt idx="42">
                  <c:v>-3.9445810897370093</c:v>
                </c:pt>
                <c:pt idx="43">
                  <c:v>-5.1325282071539924</c:v>
                </c:pt>
                <c:pt idx="44">
                  <c:v>-3.8785497006430907</c:v>
                </c:pt>
                <c:pt idx="45">
                  <c:v>-3.4676790909648663</c:v>
                </c:pt>
                <c:pt idx="46">
                  <c:v>-3.2369771805528433</c:v>
                </c:pt>
                <c:pt idx="47">
                  <c:v>-3.8281289335853943</c:v>
                </c:pt>
                <c:pt idx="48">
                  <c:v>-4.5347860186775524</c:v>
                </c:pt>
                <c:pt idx="49">
                  <c:v>-4.5636809378658567</c:v>
                </c:pt>
                <c:pt idx="50">
                  <c:v>-2.6019752656846662</c:v>
                </c:pt>
                <c:pt idx="51">
                  <c:v>-2.7868649882592438</c:v>
                </c:pt>
                <c:pt idx="52">
                  <c:v>-2.1815178113062776</c:v>
                </c:pt>
                <c:pt idx="53">
                  <c:v>-2.1029996456294637</c:v>
                </c:pt>
                <c:pt idx="54">
                  <c:v>-2.4264948718717942</c:v>
                </c:pt>
                <c:pt idx="55">
                  <c:v>-2.8279361167121078</c:v>
                </c:pt>
                <c:pt idx="56">
                  <c:v>-2.2013407706983572</c:v>
                </c:pt>
                <c:pt idx="57">
                  <c:v>-3.2556357545574337</c:v>
                </c:pt>
                <c:pt idx="58">
                  <c:v>-2.067700432230807</c:v>
                </c:pt>
                <c:pt idx="59">
                  <c:v>-2.06932048514309</c:v>
                </c:pt>
                <c:pt idx="60">
                  <c:v>-2.5104146360384045</c:v>
                </c:pt>
                <c:pt idx="61">
                  <c:v>-3.378817142790874</c:v>
                </c:pt>
                <c:pt idx="62">
                  <c:v>-4.0404130415360733</c:v>
                </c:pt>
                <c:pt idx="63">
                  <c:v>-2.4040720287750772</c:v>
                </c:pt>
                <c:pt idx="64">
                  <c:v>-0.87704927205629613</c:v>
                </c:pt>
                <c:pt idx="65">
                  <c:v>-0.88633518194468719</c:v>
                </c:pt>
                <c:pt idx="66">
                  <c:v>0.29778398884520474</c:v>
                </c:pt>
                <c:pt idx="67">
                  <c:v>-0.14163999307120603</c:v>
                </c:pt>
                <c:pt idx="68">
                  <c:v>0.26272344226768668</c:v>
                </c:pt>
                <c:pt idx="69">
                  <c:v>0.52181317052207843</c:v>
                </c:pt>
                <c:pt idx="70">
                  <c:v>-0.28328548527113612</c:v>
                </c:pt>
                <c:pt idx="71">
                  <c:v>-1.017165793336174</c:v>
                </c:pt>
                <c:pt idx="72">
                  <c:v>-1.2415318475697219</c:v>
                </c:pt>
                <c:pt idx="73">
                  <c:v>-1.5373713421063893</c:v>
                </c:pt>
                <c:pt idx="74">
                  <c:v>-0.56115635241949213</c:v>
                </c:pt>
                <c:pt idx="75">
                  <c:v>1.1489728584834122</c:v>
                </c:pt>
                <c:pt idx="76">
                  <c:v>1.7950883798123738</c:v>
                </c:pt>
                <c:pt idx="77">
                  <c:v>4.8778070829159326</c:v>
                </c:pt>
                <c:pt idx="78">
                  <c:v>4.4766679206070057</c:v>
                </c:pt>
                <c:pt idx="79">
                  <c:v>5.4983952734615285</c:v>
                </c:pt>
                <c:pt idx="80">
                  <c:v>5.4772731264860104</c:v>
                </c:pt>
                <c:pt idx="81">
                  <c:v>6.6251670464255978</c:v>
                </c:pt>
                <c:pt idx="82">
                  <c:v>5.8814021114619806</c:v>
                </c:pt>
                <c:pt idx="83">
                  <c:v>4.1259930685786674</c:v>
                </c:pt>
                <c:pt idx="84">
                  <c:v>4.674032358282183</c:v>
                </c:pt>
                <c:pt idx="85">
                  <c:v>4.0013263074497507</c:v>
                </c:pt>
                <c:pt idx="86">
                  <c:v>4.1275625201222983</c:v>
                </c:pt>
                <c:pt idx="87">
                  <c:v>2.9905362889570832</c:v>
                </c:pt>
                <c:pt idx="88">
                  <c:v>2.9233498036539207</c:v>
                </c:pt>
                <c:pt idx="89">
                  <c:v>1.8994928117815428</c:v>
                </c:pt>
                <c:pt idx="90">
                  <c:v>0.13545758778467526</c:v>
                </c:pt>
                <c:pt idx="91">
                  <c:v>0.18041284608463393</c:v>
                </c:pt>
                <c:pt idx="92">
                  <c:v>-0.70111471460540631</c:v>
                </c:pt>
                <c:pt idx="93">
                  <c:v>0.98518071143759123</c:v>
                </c:pt>
                <c:pt idx="94">
                  <c:v>3.4123209356131334</c:v>
                </c:pt>
                <c:pt idx="95">
                  <c:v>6.783305525650106</c:v>
                </c:pt>
                <c:pt idx="96">
                  <c:v>12.170832596793195</c:v>
                </c:pt>
                <c:pt idx="97">
                  <c:v>14.346899581518333</c:v>
                </c:pt>
                <c:pt idx="98">
                  <c:v>18.184051704174131</c:v>
                </c:pt>
                <c:pt idx="99">
                  <c:v>19.784405685738776</c:v>
                </c:pt>
                <c:pt idx="100">
                  <c:v>21.039628741360669</c:v>
                </c:pt>
                <c:pt idx="101">
                  <c:v>20.422746932182974</c:v>
                </c:pt>
                <c:pt idx="102">
                  <c:v>22.313697773644769</c:v>
                </c:pt>
                <c:pt idx="103">
                  <c:v>21.117173656487168</c:v>
                </c:pt>
                <c:pt idx="104">
                  <c:v>19.434889563905884</c:v>
                </c:pt>
                <c:pt idx="105">
                  <c:v>17.240849617000404</c:v>
                </c:pt>
                <c:pt idx="106">
                  <c:v>18.092769423425036</c:v>
                </c:pt>
                <c:pt idx="107">
                  <c:v>17.516326100412581</c:v>
                </c:pt>
                <c:pt idx="108">
                  <c:v>16.080436347803722</c:v>
                </c:pt>
                <c:pt idx="109">
                  <c:v>16.710531188288975</c:v>
                </c:pt>
                <c:pt idx="110">
                  <c:v>19.775714356989514</c:v>
                </c:pt>
                <c:pt idx="111">
                  <c:v>19.781623504919285</c:v>
                </c:pt>
                <c:pt idx="112">
                  <c:v>20.741620299262681</c:v>
                </c:pt>
                <c:pt idx="113">
                  <c:v>19.781742121103832</c:v>
                </c:pt>
                <c:pt idx="114">
                  <c:v>17.726244774307848</c:v>
                </c:pt>
                <c:pt idx="115">
                  <c:v>16.240734006032369</c:v>
                </c:pt>
                <c:pt idx="116">
                  <c:v>13.083342810431443</c:v>
                </c:pt>
                <c:pt idx="117">
                  <c:v>13.487331755620072</c:v>
                </c:pt>
                <c:pt idx="118">
                  <c:v>13.381680256158878</c:v>
                </c:pt>
                <c:pt idx="119">
                  <c:v>13.062064363813469</c:v>
                </c:pt>
                <c:pt idx="120">
                  <c:v>13.625536801912331</c:v>
                </c:pt>
                <c:pt idx="121">
                  <c:v>14.262530282039146</c:v>
                </c:pt>
                <c:pt idx="122">
                  <c:v>12.38668832195045</c:v>
                </c:pt>
                <c:pt idx="123">
                  <c:v>11.477823616270587</c:v>
                </c:pt>
                <c:pt idx="124">
                  <c:v>13.41768314975347</c:v>
                </c:pt>
                <c:pt idx="125">
                  <c:v>19.986302585731131</c:v>
                </c:pt>
                <c:pt idx="126">
                  <c:v>18.246581567722249</c:v>
                </c:pt>
                <c:pt idx="127">
                  <c:v>19.124257405377147</c:v>
                </c:pt>
                <c:pt idx="128">
                  <c:v>19.345466320156724</c:v>
                </c:pt>
                <c:pt idx="129">
                  <c:v>18.805826404275074</c:v>
                </c:pt>
                <c:pt idx="130">
                  <c:v>17.403374028179826</c:v>
                </c:pt>
                <c:pt idx="131">
                  <c:v>14.685357805437018</c:v>
                </c:pt>
                <c:pt idx="132">
                  <c:v>13.519150146535704</c:v>
                </c:pt>
                <c:pt idx="133">
                  <c:v>12.873585198010144</c:v>
                </c:pt>
                <c:pt idx="134">
                  <c:v>12.363416487844002</c:v>
                </c:pt>
                <c:pt idx="135">
                  <c:v>14.539405459965465</c:v>
                </c:pt>
                <c:pt idx="136">
                  <c:v>14.309518792661866</c:v>
                </c:pt>
                <c:pt idx="137">
                  <c:v>13.19247480582311</c:v>
                </c:pt>
                <c:pt idx="138">
                  <c:v>10.125013773769094</c:v>
                </c:pt>
                <c:pt idx="139">
                  <c:v>8.659032969763711</c:v>
                </c:pt>
                <c:pt idx="140">
                  <c:v>7.2569027964559867</c:v>
                </c:pt>
                <c:pt idx="141">
                  <c:v>6.01553294544693</c:v>
                </c:pt>
                <c:pt idx="142">
                  <c:v>4.8464118893411907</c:v>
                </c:pt>
                <c:pt idx="143">
                  <c:v>4.3339027316635148</c:v>
                </c:pt>
                <c:pt idx="144">
                  <c:v>3.7289411205122378</c:v>
                </c:pt>
                <c:pt idx="145">
                  <c:v>3.3401207085054017</c:v>
                </c:pt>
                <c:pt idx="146">
                  <c:v>2.3625595327846942</c:v>
                </c:pt>
                <c:pt idx="147">
                  <c:v>4.1458836756476627</c:v>
                </c:pt>
                <c:pt idx="148">
                  <c:v>7.2855483616258754</c:v>
                </c:pt>
                <c:pt idx="149">
                  <c:v>7.9018341012913327</c:v>
                </c:pt>
                <c:pt idx="150">
                  <c:v>7.7736489194900988</c:v>
                </c:pt>
                <c:pt idx="151">
                  <c:v>7.1629685745441858</c:v>
                </c:pt>
                <c:pt idx="152">
                  <c:v>6.8711231863198314</c:v>
                </c:pt>
                <c:pt idx="153">
                  <c:v>6.5454960515419911</c:v>
                </c:pt>
                <c:pt idx="154">
                  <c:v>7.9694729593641895</c:v>
                </c:pt>
                <c:pt idx="155">
                  <c:v>11.025612927348128</c:v>
                </c:pt>
                <c:pt idx="156">
                  <c:v>9.2782449883158549</c:v>
                </c:pt>
                <c:pt idx="157">
                  <c:v>9.5715467316666327</c:v>
                </c:pt>
                <c:pt idx="158">
                  <c:v>8.0942056809662351</c:v>
                </c:pt>
                <c:pt idx="159">
                  <c:v>8.3518248552332341</c:v>
                </c:pt>
                <c:pt idx="160">
                  <c:v>13.697128263059341</c:v>
                </c:pt>
                <c:pt idx="161">
                  <c:v>14.524875367048452</c:v>
                </c:pt>
                <c:pt idx="162">
                  <c:v>13.878927174359438</c:v>
                </c:pt>
                <c:pt idx="163">
                  <c:v>13.494412383926257</c:v>
                </c:pt>
                <c:pt idx="164">
                  <c:v>18.165947932808752</c:v>
                </c:pt>
                <c:pt idx="165">
                  <c:v>19.025479246161169</c:v>
                </c:pt>
                <c:pt idx="166">
                  <c:v>24.407245638198425</c:v>
                </c:pt>
                <c:pt idx="167">
                  <c:v>21.36103786783886</c:v>
                </c:pt>
                <c:pt idx="168">
                  <c:v>19.911730246551564</c:v>
                </c:pt>
                <c:pt idx="169">
                  <c:v>22.988810951801234</c:v>
                </c:pt>
                <c:pt idx="170">
                  <c:v>25.392810853844299</c:v>
                </c:pt>
                <c:pt idx="171">
                  <c:v>25.780756906276096</c:v>
                </c:pt>
                <c:pt idx="172">
                  <c:v>26.425660102095222</c:v>
                </c:pt>
                <c:pt idx="173">
                  <c:v>24.709031682126721</c:v>
                </c:pt>
                <c:pt idx="174">
                  <c:v>21.777734368865676</c:v>
                </c:pt>
                <c:pt idx="175">
                  <c:v>23.526857554687393</c:v>
                </c:pt>
                <c:pt idx="176">
                  <c:v>22.796645257033198</c:v>
                </c:pt>
                <c:pt idx="177">
                  <c:v>25.959937520423843</c:v>
                </c:pt>
                <c:pt idx="178">
                  <c:v>23.84907125071144</c:v>
                </c:pt>
                <c:pt idx="179">
                  <c:v>23.399006017840648</c:v>
                </c:pt>
                <c:pt idx="180">
                  <c:v>24.639088109968409</c:v>
                </c:pt>
                <c:pt idx="181">
                  <c:v>26.016703267105797</c:v>
                </c:pt>
                <c:pt idx="182">
                  <c:v>27.765974979979241</c:v>
                </c:pt>
                <c:pt idx="183">
                  <c:v>26.010738467499994</c:v>
                </c:pt>
                <c:pt idx="184">
                  <c:v>25.487445172864543</c:v>
                </c:pt>
                <c:pt idx="185">
                  <c:v>23.863080201937851</c:v>
                </c:pt>
                <c:pt idx="186">
                  <c:v>24.072864600150403</c:v>
                </c:pt>
                <c:pt idx="187">
                  <c:v>21.870010466788088</c:v>
                </c:pt>
                <c:pt idx="188">
                  <c:v>21.277394397220821</c:v>
                </c:pt>
                <c:pt idx="189">
                  <c:v>20.104893845322891</c:v>
                </c:pt>
                <c:pt idx="190">
                  <c:v>18.824121397656889</c:v>
                </c:pt>
                <c:pt idx="191">
                  <c:v>19.415298411193028</c:v>
                </c:pt>
                <c:pt idx="192">
                  <c:v>20.723349197806616</c:v>
                </c:pt>
                <c:pt idx="193">
                  <c:v>19.804738463124625</c:v>
                </c:pt>
                <c:pt idx="194">
                  <c:v>20.177233447085506</c:v>
                </c:pt>
                <c:pt idx="195">
                  <c:v>23.347131574823045</c:v>
                </c:pt>
                <c:pt idx="196">
                  <c:v>22.365821075894992</c:v>
                </c:pt>
                <c:pt idx="197">
                  <c:v>22.1345723687778</c:v>
                </c:pt>
                <c:pt idx="198">
                  <c:v>21.168895992587291</c:v>
                </c:pt>
                <c:pt idx="199">
                  <c:v>19.379931564656854</c:v>
                </c:pt>
                <c:pt idx="200">
                  <c:v>18.093392832548226</c:v>
                </c:pt>
                <c:pt idx="201">
                  <c:v>16.458847203705474</c:v>
                </c:pt>
                <c:pt idx="202">
                  <c:v>19.029999106271589</c:v>
                </c:pt>
                <c:pt idx="203">
                  <c:v>19.491840246663656</c:v>
                </c:pt>
                <c:pt idx="204">
                  <c:v>18.355853194564215</c:v>
                </c:pt>
                <c:pt idx="205">
                  <c:v>16.77693749737265</c:v>
                </c:pt>
                <c:pt idx="206">
                  <c:v>18.160006947169663</c:v>
                </c:pt>
                <c:pt idx="207">
                  <c:v>19.032446647146323</c:v>
                </c:pt>
                <c:pt idx="208">
                  <c:v>19.895906511958952</c:v>
                </c:pt>
                <c:pt idx="209">
                  <c:v>17.425749738049394</c:v>
                </c:pt>
                <c:pt idx="210">
                  <c:v>15.19123886495753</c:v>
                </c:pt>
                <c:pt idx="211">
                  <c:v>13.109442535887608</c:v>
                </c:pt>
                <c:pt idx="212">
                  <c:v>13.090077302051181</c:v>
                </c:pt>
                <c:pt idx="213">
                  <c:v>13.986000779010849</c:v>
                </c:pt>
                <c:pt idx="214">
                  <c:v>15.29142509079526</c:v>
                </c:pt>
                <c:pt idx="215">
                  <c:v>18.508273021598487</c:v>
                </c:pt>
                <c:pt idx="216">
                  <c:v>19.904223130343738</c:v>
                </c:pt>
                <c:pt idx="217">
                  <c:v>16.332551119173019</c:v>
                </c:pt>
                <c:pt idx="218">
                  <c:v>15.817599236513708</c:v>
                </c:pt>
                <c:pt idx="219">
                  <c:v>14.379082358182012</c:v>
                </c:pt>
                <c:pt idx="220">
                  <c:v>13.39391270200829</c:v>
                </c:pt>
                <c:pt idx="221">
                  <c:v>12.233728369776758</c:v>
                </c:pt>
                <c:pt idx="222">
                  <c:v>11.853937482037638</c:v>
                </c:pt>
                <c:pt idx="223">
                  <c:v>10.109450218264531</c:v>
                </c:pt>
                <c:pt idx="224">
                  <c:v>8.4741492978104773</c:v>
                </c:pt>
                <c:pt idx="225">
                  <c:v>10.218317099417021</c:v>
                </c:pt>
                <c:pt idx="226">
                  <c:v>10.730107737045937</c:v>
                </c:pt>
                <c:pt idx="227">
                  <c:v>13.698185958009738</c:v>
                </c:pt>
                <c:pt idx="228">
                  <c:v>15.479808824533068</c:v>
                </c:pt>
                <c:pt idx="229">
                  <c:v>17.459340448807971</c:v>
                </c:pt>
                <c:pt idx="230">
                  <c:v>15.602783694419056</c:v>
                </c:pt>
                <c:pt idx="231">
                  <c:v>14.117532688673476</c:v>
                </c:pt>
                <c:pt idx="232">
                  <c:v>11.735449116545533</c:v>
                </c:pt>
                <c:pt idx="233">
                  <c:v>10.196972703095415</c:v>
                </c:pt>
                <c:pt idx="234">
                  <c:v>8.3305297226227459</c:v>
                </c:pt>
                <c:pt idx="235">
                  <c:v>8.0410286153869226</c:v>
                </c:pt>
                <c:pt idx="236">
                  <c:v>10.037864106253688</c:v>
                </c:pt>
                <c:pt idx="237">
                  <c:v>12.898719488398038</c:v>
                </c:pt>
                <c:pt idx="238">
                  <c:v>12.124391606654976</c:v>
                </c:pt>
                <c:pt idx="239">
                  <c:v>10.015703086793119</c:v>
                </c:pt>
                <c:pt idx="240">
                  <c:v>11.087936660770247</c:v>
                </c:pt>
                <c:pt idx="241">
                  <c:v>10.817254791931882</c:v>
                </c:pt>
                <c:pt idx="242">
                  <c:v>10.020423616881134</c:v>
                </c:pt>
                <c:pt idx="243">
                  <c:v>9.7825834894535681</c:v>
                </c:pt>
                <c:pt idx="244">
                  <c:v>8.0064320044691577</c:v>
                </c:pt>
                <c:pt idx="245">
                  <c:v>8.6889277313689295</c:v>
                </c:pt>
                <c:pt idx="246">
                  <c:v>8.6932904450998638</c:v>
                </c:pt>
                <c:pt idx="247">
                  <c:v>5.8985562584778526</c:v>
                </c:pt>
                <c:pt idx="248">
                  <c:v>4.7802991037125047</c:v>
                </c:pt>
                <c:pt idx="249">
                  <c:v>4.0167433321851593</c:v>
                </c:pt>
                <c:pt idx="250">
                  <c:v>3.4491316519000268</c:v>
                </c:pt>
                <c:pt idx="251">
                  <c:v>1.918274462527243</c:v>
                </c:pt>
                <c:pt idx="252">
                  <c:v>3.545554804830457</c:v>
                </c:pt>
                <c:pt idx="253">
                  <c:v>4.2187614254739616</c:v>
                </c:pt>
                <c:pt idx="254">
                  <c:v>4.4476976705248212</c:v>
                </c:pt>
                <c:pt idx="255">
                  <c:v>2.3598607543732983</c:v>
                </c:pt>
                <c:pt idx="256">
                  <c:v>1.6066131608426399</c:v>
                </c:pt>
                <c:pt idx="257">
                  <c:v>1.174962265768025</c:v>
                </c:pt>
                <c:pt idx="258">
                  <c:v>6.3560037469568051E-2</c:v>
                </c:pt>
                <c:pt idx="259">
                  <c:v>1.1328655021125791</c:v>
                </c:pt>
                <c:pt idx="260">
                  <c:v>1.5282987962277135</c:v>
                </c:pt>
                <c:pt idx="261">
                  <c:v>0.68550663927438527</c:v>
                </c:pt>
                <c:pt idx="262">
                  <c:v>3.9960769230650999</c:v>
                </c:pt>
                <c:pt idx="263">
                  <c:v>2.3014986309699439</c:v>
                </c:pt>
                <c:pt idx="264">
                  <c:v>0.92421253388003044</c:v>
                </c:pt>
                <c:pt idx="265">
                  <c:v>0.60090174299821775</c:v>
                </c:pt>
                <c:pt idx="266">
                  <c:v>1.2837557680684772</c:v>
                </c:pt>
                <c:pt idx="267">
                  <c:v>0.60826548344057108</c:v>
                </c:pt>
                <c:pt idx="268">
                  <c:v>-0.6508945176576092</c:v>
                </c:pt>
                <c:pt idx="269">
                  <c:v>-0.63208371170981037</c:v>
                </c:pt>
                <c:pt idx="270">
                  <c:v>0.14715078062264569</c:v>
                </c:pt>
                <c:pt idx="271">
                  <c:v>-0.42152231938046719</c:v>
                </c:pt>
                <c:pt idx="272">
                  <c:v>0.82957584054552946</c:v>
                </c:pt>
                <c:pt idx="273">
                  <c:v>3.0823059014589371</c:v>
                </c:pt>
                <c:pt idx="274">
                  <c:v>2.1981062226505537</c:v>
                </c:pt>
                <c:pt idx="275">
                  <c:v>3.7698753767727062</c:v>
                </c:pt>
                <c:pt idx="276">
                  <c:v>7.5126066071009108</c:v>
                </c:pt>
                <c:pt idx="277">
                  <c:v>4.6513423375515801</c:v>
                </c:pt>
                <c:pt idx="278">
                  <c:v>3.6054505499839018</c:v>
                </c:pt>
                <c:pt idx="279">
                  <c:v>6.1549168586207497</c:v>
                </c:pt>
                <c:pt idx="280">
                  <c:v>7.6605550694281686</c:v>
                </c:pt>
                <c:pt idx="281">
                  <c:v>7.2686351945643644</c:v>
                </c:pt>
                <c:pt idx="282">
                  <c:v>6.6057792334307033</c:v>
                </c:pt>
                <c:pt idx="283">
                  <c:v>4.9176945734732174</c:v>
                </c:pt>
                <c:pt idx="284">
                  <c:v>7.6878308197745895</c:v>
                </c:pt>
                <c:pt idx="285">
                  <c:v>5.5943946464676886</c:v>
                </c:pt>
                <c:pt idx="286">
                  <c:v>5.2185191223201084</c:v>
                </c:pt>
                <c:pt idx="287">
                  <c:v>4.3215966640856296</c:v>
                </c:pt>
                <c:pt idx="288">
                  <c:v>3.6457101799340226</c:v>
                </c:pt>
                <c:pt idx="289">
                  <c:v>3.0512722863930573</c:v>
                </c:pt>
                <c:pt idx="290">
                  <c:v>3.59910714294731</c:v>
                </c:pt>
                <c:pt idx="291">
                  <c:v>2.5191899108028322</c:v>
                </c:pt>
                <c:pt idx="292">
                  <c:v>2.8620590120736162</c:v>
                </c:pt>
                <c:pt idx="293">
                  <c:v>6.0113271378889035</c:v>
                </c:pt>
                <c:pt idx="294">
                  <c:v>5.1215855394553884</c:v>
                </c:pt>
                <c:pt idx="295">
                  <c:v>3.9973203186429154</c:v>
                </c:pt>
                <c:pt idx="296">
                  <c:v>5.0315389925178948</c:v>
                </c:pt>
                <c:pt idx="297">
                  <c:v>7.62597969150029</c:v>
                </c:pt>
                <c:pt idx="298">
                  <c:v>10.249632128616886</c:v>
                </c:pt>
                <c:pt idx="299">
                  <c:v>9.1673884076364907</c:v>
                </c:pt>
                <c:pt idx="300">
                  <c:v>8.1343139867005831</c:v>
                </c:pt>
                <c:pt idx="301">
                  <c:v>6.8356124379340146</c:v>
                </c:pt>
                <c:pt idx="302">
                  <c:v>8.2604199719569511</c:v>
                </c:pt>
                <c:pt idx="303">
                  <c:v>7.8487146134339572</c:v>
                </c:pt>
                <c:pt idx="304">
                  <c:v>7.6188922134999126</c:v>
                </c:pt>
                <c:pt idx="305">
                  <c:v>6.0932502846265786</c:v>
                </c:pt>
                <c:pt idx="306">
                  <c:v>6.4973520562739449</c:v>
                </c:pt>
                <c:pt idx="307">
                  <c:v>8.0135236914632433</c:v>
                </c:pt>
                <c:pt idx="308">
                  <c:v>9.955479351060438</c:v>
                </c:pt>
                <c:pt idx="309">
                  <c:v>9.8832851142064069</c:v>
                </c:pt>
                <c:pt idx="310">
                  <c:v>9.2553509144466535</c:v>
                </c:pt>
                <c:pt idx="311">
                  <c:v>7.5167905163503068</c:v>
                </c:pt>
                <c:pt idx="312">
                  <c:v>8.7476591223834763</c:v>
                </c:pt>
                <c:pt idx="313">
                  <c:v>8.1331452366914352</c:v>
                </c:pt>
                <c:pt idx="314">
                  <c:v>7.2537243528296091</c:v>
                </c:pt>
                <c:pt idx="315">
                  <c:v>7.0319559681177379</c:v>
                </c:pt>
                <c:pt idx="316">
                  <c:v>5.4320407346205331</c:v>
                </c:pt>
                <c:pt idx="317">
                  <c:v>5.0860874043694198</c:v>
                </c:pt>
                <c:pt idx="318">
                  <c:v>5.441569619769961</c:v>
                </c:pt>
                <c:pt idx="319">
                  <c:v>5.3161850038247627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E3-1946-9C72-9E80F1CDF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816BE62-5AB0-3648-9468-BB7D61C1E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39E0B-9E04-1242-AA40-00FF194A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174117E-4268-AB4C-BFAD-C305A545D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008E2-EDCD-6244-B1B4-3C7C61798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287E4F8-8163-C143-BEC6-236535908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BB4E40-9D9C-374E-9C4C-CBFBF2DDF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2D05F64-ABE3-214A-B587-1BCCC7449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1F7554-D8BC-814E-8519-F131101B0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/UCLA%20::%202019-2027/Hallem%20Lab/Data/Calcium%20Imaging%20Data/Analysis%20Worksheets/2024-0705_Walsh_CI_DataWorksheet.xlsx" TargetMode="External"/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1329-F3E7-AF4F-A36D-9C37DB66BD25}">
  <dimension ref="A1:Y798"/>
  <sheetViews>
    <sheetView topLeftCell="D1" zoomScale="75" zoomScaleNormal="70" workbookViewId="0">
      <selection activeCell="P6" sqref="P6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917.76090468498001</v>
      </c>
      <c r="E2">
        <v>308.01534733441002</v>
      </c>
      <c r="F2">
        <v>144.80321285141</v>
      </c>
      <c r="G2">
        <v>121.29959839356999</v>
      </c>
      <c r="H2" s="4"/>
      <c r="I2" s="5">
        <f>E2-G2</f>
        <v>186.71574894084003</v>
      </c>
      <c r="J2" s="5">
        <f>D2-F2</f>
        <v>772.95769183357004</v>
      </c>
      <c r="K2" s="9">
        <f>I2*1</f>
        <v>186.71574894084003</v>
      </c>
      <c r="L2" s="6">
        <f t="shared" ref="L2:L65" si="0">K2/J2</f>
        <v>0.2415601150147334</v>
      </c>
      <c r="M2" s="6">
        <f>L2+ABS($N$2)*A2</f>
        <v>0.2415601150147334</v>
      </c>
      <c r="N2" s="4">
        <f>LINEST(V64:V103,U64:U103)</f>
        <v>-5.2968628337544238E-5</v>
      </c>
      <c r="O2" s="7">
        <f>AVERAGE(M62:M81)</f>
        <v>0.24638869713010139</v>
      </c>
      <c r="P2" s="4">
        <f>(M2-$O$2)/$O$2*100</f>
        <v>-1.9597417298807092</v>
      </c>
    </row>
    <row r="3" spans="1:16" x14ac:dyDescent="0.2">
      <c r="A3" s="8">
        <v>0.5</v>
      </c>
      <c r="B3" s="8">
        <v>1</v>
      </c>
      <c r="D3">
        <v>919.87075928918</v>
      </c>
      <c r="E3">
        <v>306.7633279483</v>
      </c>
      <c r="F3">
        <v>144.68755020079999</v>
      </c>
      <c r="G3">
        <v>121.11244979919999</v>
      </c>
      <c r="I3" s="9">
        <f t="shared" ref="I3:I66" si="1">E3-G3</f>
        <v>185.65087814910001</v>
      </c>
      <c r="J3" s="9">
        <f t="shared" ref="J3:J66" si="2">D3-F3</f>
        <v>775.18320908837995</v>
      </c>
      <c r="K3" s="9">
        <f t="shared" ref="K3:K66" si="3">I3*1</f>
        <v>185.65087814910001</v>
      </c>
      <c r="L3" s="10">
        <f t="shared" si="0"/>
        <v>0.23949290435151008</v>
      </c>
      <c r="M3" s="10">
        <f t="shared" ref="M3:M66" si="4">L3+ABS($N$2)*A3</f>
        <v>0.23951938866567885</v>
      </c>
      <c r="P3" s="8">
        <f t="shared" ref="P3:P66" si="5">(M3-$O$2)/$O$2*100</f>
        <v>-2.7879965860590286</v>
      </c>
    </row>
    <row r="4" spans="1:16" ht="16" x14ac:dyDescent="0.2">
      <c r="A4" s="8">
        <v>1</v>
      </c>
      <c r="B4" s="8">
        <v>2</v>
      </c>
      <c r="D4">
        <v>930.68982229402002</v>
      </c>
      <c r="E4">
        <v>306.89418416800999</v>
      </c>
      <c r="F4">
        <v>145.03855421687001</v>
      </c>
      <c r="G4">
        <v>121.06746987952</v>
      </c>
      <c r="I4" s="9">
        <f t="shared" si="1"/>
        <v>185.82671428849</v>
      </c>
      <c r="J4" s="9">
        <f t="shared" si="2"/>
        <v>785.65126807715001</v>
      </c>
      <c r="K4" s="9">
        <f t="shared" si="3"/>
        <v>185.82671428849</v>
      </c>
      <c r="L4" s="10">
        <f t="shared" si="0"/>
        <v>0.23652569764609868</v>
      </c>
      <c r="M4" s="10">
        <f t="shared" si="4"/>
        <v>0.23657866627443622</v>
      </c>
      <c r="N4" s="1" t="s">
        <v>7</v>
      </c>
      <c r="P4" s="8">
        <f t="shared" si="5"/>
        <v>-3.981526332145485</v>
      </c>
    </row>
    <row r="5" spans="1:16" x14ac:dyDescent="0.2">
      <c r="A5" s="8">
        <v>1.5</v>
      </c>
      <c r="B5" s="8">
        <v>3</v>
      </c>
      <c r="D5">
        <v>926.13004846526997</v>
      </c>
      <c r="E5">
        <v>305.11147011308998</v>
      </c>
      <c r="F5">
        <v>146.05622489960001</v>
      </c>
      <c r="G5">
        <v>121.4016064257</v>
      </c>
      <c r="I5" s="9">
        <f t="shared" si="1"/>
        <v>183.70986368739</v>
      </c>
      <c r="J5" s="9">
        <f t="shared" si="2"/>
        <v>780.07382356566995</v>
      </c>
      <c r="K5" s="9">
        <f t="shared" si="3"/>
        <v>183.70986368739</v>
      </c>
      <c r="L5" s="10">
        <f t="shared" si="0"/>
        <v>0.23550317692710596</v>
      </c>
      <c r="M5" s="10">
        <f t="shared" si="4"/>
        <v>0.23558262986961226</v>
      </c>
      <c r="N5" s="8">
        <f>RSQ(V64:V83,U64:U83)</f>
        <v>0.40164648093874827</v>
      </c>
      <c r="P5" s="8">
        <f t="shared" si="5"/>
        <v>-4.3857804300102172</v>
      </c>
    </row>
    <row r="6" spans="1:16" x14ac:dyDescent="0.2">
      <c r="A6" s="8">
        <v>2</v>
      </c>
      <c r="B6" s="8">
        <v>4</v>
      </c>
      <c r="D6">
        <v>921.61227786753</v>
      </c>
      <c r="E6">
        <v>302.53392568659001</v>
      </c>
      <c r="F6">
        <v>145.43614457831001</v>
      </c>
      <c r="G6">
        <v>121.26827309236999</v>
      </c>
      <c r="I6" s="9">
        <f t="shared" si="1"/>
        <v>181.26565259422</v>
      </c>
      <c r="J6" s="9">
        <f t="shared" si="2"/>
        <v>776.17613328921993</v>
      </c>
      <c r="K6" s="9">
        <f t="shared" si="3"/>
        <v>181.26565259422</v>
      </c>
      <c r="L6" s="10">
        <f t="shared" si="0"/>
        <v>0.23353675128616266</v>
      </c>
      <c r="M6" s="10">
        <f t="shared" si="4"/>
        <v>0.23364268854283776</v>
      </c>
      <c r="P6" s="8">
        <f t="shared" si="5"/>
        <v>-5.173130397508988</v>
      </c>
    </row>
    <row r="7" spans="1:16" x14ac:dyDescent="0.2">
      <c r="A7" s="8">
        <v>2.5</v>
      </c>
      <c r="B7" s="8">
        <v>5</v>
      </c>
      <c r="D7">
        <v>924.90630048465005</v>
      </c>
      <c r="E7">
        <v>303.80129240711</v>
      </c>
      <c r="F7">
        <v>145.59196787149</v>
      </c>
      <c r="G7">
        <v>121.14377510040001</v>
      </c>
      <c r="I7" s="9">
        <f t="shared" si="1"/>
        <v>182.65751730670999</v>
      </c>
      <c r="J7" s="9">
        <f t="shared" si="2"/>
        <v>779.3143326131601</v>
      </c>
      <c r="K7" s="9">
        <f t="shared" si="3"/>
        <v>182.65751730670999</v>
      </c>
      <c r="L7" s="10">
        <f t="shared" si="0"/>
        <v>0.23438234055600057</v>
      </c>
      <c r="M7" s="10">
        <f t="shared" si="4"/>
        <v>0.23451476212684444</v>
      </c>
      <c r="P7" s="8">
        <f t="shared" si="5"/>
        <v>-4.8191881939239778</v>
      </c>
    </row>
    <row r="8" spans="1:16" x14ac:dyDescent="0.2">
      <c r="A8" s="8">
        <v>3</v>
      </c>
      <c r="B8" s="8">
        <v>6</v>
      </c>
      <c r="D8">
        <v>926.12358642973004</v>
      </c>
      <c r="E8">
        <v>302.21647819063003</v>
      </c>
      <c r="F8">
        <v>145.77751004016</v>
      </c>
      <c r="G8">
        <v>121.13092369477999</v>
      </c>
      <c r="I8" s="9">
        <f t="shared" si="1"/>
        <v>181.08555449585003</v>
      </c>
      <c r="J8" s="9">
        <f t="shared" si="2"/>
        <v>780.34607638957004</v>
      </c>
      <c r="K8" s="9">
        <f t="shared" si="3"/>
        <v>181.08555449585003</v>
      </c>
      <c r="L8" s="10">
        <f t="shared" si="0"/>
        <v>0.23205800602430041</v>
      </c>
      <c r="M8" s="10">
        <f t="shared" si="4"/>
        <v>0.23221691190931304</v>
      </c>
      <c r="P8" s="8">
        <f t="shared" si="5"/>
        <v>-5.7518000565201168</v>
      </c>
    </row>
    <row r="9" spans="1:16" x14ac:dyDescent="0.2">
      <c r="A9" s="8">
        <v>3.5</v>
      </c>
      <c r="B9" s="8">
        <v>7</v>
      </c>
      <c r="D9">
        <v>917.13247172859997</v>
      </c>
      <c r="E9">
        <v>300.63974151858002</v>
      </c>
      <c r="F9">
        <v>145.73493975904</v>
      </c>
      <c r="G9">
        <v>121.46666666666999</v>
      </c>
      <c r="I9" s="9">
        <f t="shared" si="1"/>
        <v>179.17307485191003</v>
      </c>
      <c r="J9" s="9">
        <f t="shared" si="2"/>
        <v>771.39753196955996</v>
      </c>
      <c r="K9" s="9">
        <f t="shared" si="3"/>
        <v>179.17307485191003</v>
      </c>
      <c r="L9" s="10">
        <f t="shared" si="0"/>
        <v>0.23227073904999265</v>
      </c>
      <c r="M9" s="10">
        <f t="shared" si="4"/>
        <v>0.23245612924917405</v>
      </c>
      <c r="P9" s="8">
        <f t="shared" si="5"/>
        <v>-5.6547106434717991</v>
      </c>
    </row>
    <row r="10" spans="1:16" x14ac:dyDescent="0.2">
      <c r="A10" s="8">
        <v>4</v>
      </c>
      <c r="B10" s="8">
        <v>8</v>
      </c>
      <c r="D10">
        <v>913.24555735057004</v>
      </c>
      <c r="E10">
        <v>301.64701130856002</v>
      </c>
      <c r="F10">
        <v>145.99598393574001</v>
      </c>
      <c r="G10">
        <v>121.21124497992</v>
      </c>
      <c r="I10" s="9">
        <f t="shared" si="1"/>
        <v>180.43576632864003</v>
      </c>
      <c r="J10" s="9">
        <f t="shared" si="2"/>
        <v>767.24957341483002</v>
      </c>
      <c r="K10" s="9">
        <f t="shared" si="3"/>
        <v>180.43576632864003</v>
      </c>
      <c r="L10" s="10">
        <f t="shared" si="0"/>
        <v>0.23517219504673942</v>
      </c>
      <c r="M10" s="10">
        <f t="shared" si="4"/>
        <v>0.23538406956008959</v>
      </c>
      <c r="P10" s="8">
        <f t="shared" si="5"/>
        <v>-4.4663686679592276</v>
      </c>
    </row>
    <row r="11" spans="1:16" x14ac:dyDescent="0.2">
      <c r="A11" s="8">
        <v>4.5</v>
      </c>
      <c r="B11" s="8">
        <v>9</v>
      </c>
      <c r="D11">
        <v>892.86672051695996</v>
      </c>
      <c r="E11">
        <v>295.63327948303998</v>
      </c>
      <c r="F11">
        <v>145.33654618474</v>
      </c>
      <c r="G11">
        <v>121.55582329316999</v>
      </c>
      <c r="I11" s="9">
        <f t="shared" si="1"/>
        <v>174.07745618986999</v>
      </c>
      <c r="J11" s="9">
        <f t="shared" si="2"/>
        <v>747.53017433221999</v>
      </c>
      <c r="K11" s="9">
        <f t="shared" si="3"/>
        <v>174.07745618986999</v>
      </c>
      <c r="L11" s="10">
        <f t="shared" si="0"/>
        <v>0.23287013978449234</v>
      </c>
      <c r="M11" s="10">
        <f t="shared" si="4"/>
        <v>0.23310849861201127</v>
      </c>
      <c r="P11" s="8">
        <f t="shared" si="5"/>
        <v>-5.3899382044614388</v>
      </c>
    </row>
    <row r="12" spans="1:16" x14ac:dyDescent="0.2">
      <c r="A12" s="8">
        <v>5</v>
      </c>
      <c r="B12" s="8">
        <v>10</v>
      </c>
      <c r="D12">
        <v>870.18659127625006</v>
      </c>
      <c r="E12">
        <v>289.76575121163</v>
      </c>
      <c r="F12">
        <v>145.78875502008</v>
      </c>
      <c r="G12">
        <v>121.86666666667</v>
      </c>
      <c r="I12" s="9">
        <f t="shared" si="1"/>
        <v>167.89908454496</v>
      </c>
      <c r="J12" s="9">
        <f t="shared" si="2"/>
        <v>724.39783625617008</v>
      </c>
      <c r="K12" s="9">
        <f t="shared" si="3"/>
        <v>167.89908454496</v>
      </c>
      <c r="L12" s="10">
        <f t="shared" si="0"/>
        <v>0.23177745175592374</v>
      </c>
      <c r="M12" s="10">
        <f t="shared" si="4"/>
        <v>0.23204229489761147</v>
      </c>
      <c r="P12" s="8">
        <f t="shared" si="5"/>
        <v>-5.822670601206414</v>
      </c>
    </row>
    <row r="13" spans="1:16" x14ac:dyDescent="0.2">
      <c r="A13" s="8">
        <v>5.5</v>
      </c>
      <c r="B13" s="8">
        <v>11</v>
      </c>
      <c r="D13">
        <v>861.60743134086999</v>
      </c>
      <c r="E13">
        <v>289.53150242326001</v>
      </c>
      <c r="F13">
        <v>146.68112449799</v>
      </c>
      <c r="G13">
        <v>121.53734939759001</v>
      </c>
      <c r="I13" s="9">
        <f t="shared" si="1"/>
        <v>167.99415302567002</v>
      </c>
      <c r="J13" s="9">
        <f t="shared" si="2"/>
        <v>714.92630684287997</v>
      </c>
      <c r="K13" s="9">
        <f t="shared" si="3"/>
        <v>167.99415302567002</v>
      </c>
      <c r="L13" s="10">
        <f t="shared" si="0"/>
        <v>0.2349810762560039</v>
      </c>
      <c r="M13" s="10">
        <f t="shared" si="4"/>
        <v>0.2352724037118604</v>
      </c>
      <c r="P13" s="8">
        <f t="shared" si="5"/>
        <v>-4.5116896788375094</v>
      </c>
    </row>
    <row r="14" spans="1:16" x14ac:dyDescent="0.2">
      <c r="A14" s="8">
        <v>6</v>
      </c>
      <c r="B14" s="8">
        <v>12</v>
      </c>
      <c r="D14">
        <v>904.80374592834005</v>
      </c>
      <c r="E14">
        <v>299.94951140065001</v>
      </c>
      <c r="F14">
        <v>147.82730923694999</v>
      </c>
      <c r="G14">
        <v>121.66666666667</v>
      </c>
      <c r="I14" s="9">
        <f t="shared" si="1"/>
        <v>178.28284473398003</v>
      </c>
      <c r="J14" s="9">
        <f t="shared" si="2"/>
        <v>756.97643669139006</v>
      </c>
      <c r="K14" s="9">
        <f t="shared" si="3"/>
        <v>178.28284473398003</v>
      </c>
      <c r="L14" s="10">
        <f t="shared" si="0"/>
        <v>0.23551967550432978</v>
      </c>
      <c r="M14" s="10">
        <f t="shared" si="4"/>
        <v>0.23583748727435505</v>
      </c>
      <c r="P14" s="8">
        <f t="shared" si="5"/>
        <v>-4.2823432968497546</v>
      </c>
    </row>
    <row r="15" spans="1:16" x14ac:dyDescent="0.2">
      <c r="A15" s="8">
        <v>6.5</v>
      </c>
      <c r="B15" s="8">
        <v>13</v>
      </c>
      <c r="D15">
        <v>903.54478827362004</v>
      </c>
      <c r="E15">
        <v>299.97068403908997</v>
      </c>
      <c r="F15">
        <v>147.46746987952</v>
      </c>
      <c r="G15">
        <v>122.14618473896</v>
      </c>
      <c r="I15" s="9">
        <f t="shared" si="1"/>
        <v>177.82449930012996</v>
      </c>
      <c r="J15" s="9">
        <f t="shared" si="2"/>
        <v>756.07731839410008</v>
      </c>
      <c r="K15" s="9">
        <f t="shared" si="3"/>
        <v>177.82449930012996</v>
      </c>
      <c r="L15" s="10">
        <f t="shared" si="0"/>
        <v>0.23519353771625798</v>
      </c>
      <c r="M15" s="10">
        <f t="shared" si="4"/>
        <v>0.23553783380045201</v>
      </c>
      <c r="P15" s="8">
        <f t="shared" si="5"/>
        <v>-4.403961486885807</v>
      </c>
    </row>
    <row r="16" spans="1:16" x14ac:dyDescent="0.2">
      <c r="A16" s="8">
        <v>7</v>
      </c>
      <c r="B16" s="8">
        <v>14</v>
      </c>
      <c r="D16">
        <v>884.98534201953998</v>
      </c>
      <c r="E16">
        <v>297.02361563518002</v>
      </c>
      <c r="F16">
        <v>147.19919678714999</v>
      </c>
      <c r="G16">
        <v>121.90843373494</v>
      </c>
      <c r="I16" s="9">
        <f t="shared" si="1"/>
        <v>175.11518190024003</v>
      </c>
      <c r="J16" s="9">
        <f t="shared" si="2"/>
        <v>737.78614523239003</v>
      </c>
      <c r="K16" s="9">
        <f t="shared" si="3"/>
        <v>175.11518190024003</v>
      </c>
      <c r="L16" s="10">
        <f t="shared" si="0"/>
        <v>0.23735222331273481</v>
      </c>
      <c r="M16" s="10">
        <f t="shared" si="4"/>
        <v>0.23772300371109761</v>
      </c>
      <c r="P16" s="8">
        <f t="shared" si="5"/>
        <v>-3.5170823661720183</v>
      </c>
    </row>
    <row r="17" spans="1:16" x14ac:dyDescent="0.2">
      <c r="A17" s="8">
        <v>7.5</v>
      </c>
      <c r="B17" s="8">
        <v>15</v>
      </c>
      <c r="D17">
        <v>882.84446254071997</v>
      </c>
      <c r="E17">
        <v>295.85097719869998</v>
      </c>
      <c r="F17">
        <v>147.44417670683001</v>
      </c>
      <c r="G17">
        <v>121.77108433735</v>
      </c>
      <c r="I17" s="9">
        <f t="shared" si="1"/>
        <v>174.07989286134998</v>
      </c>
      <c r="J17" s="9">
        <f t="shared" si="2"/>
        <v>735.40028583388994</v>
      </c>
      <c r="K17" s="9">
        <f t="shared" si="3"/>
        <v>174.07989286134998</v>
      </c>
      <c r="L17" s="10">
        <f t="shared" si="0"/>
        <v>0.23671447538799384</v>
      </c>
      <c r="M17" s="10">
        <f t="shared" si="4"/>
        <v>0.23711174010052541</v>
      </c>
      <c r="P17" s="8">
        <f t="shared" si="5"/>
        <v>-3.7651715105573378</v>
      </c>
    </row>
    <row r="18" spans="1:16" x14ac:dyDescent="0.2">
      <c r="A18" s="8">
        <v>8</v>
      </c>
      <c r="B18" s="8">
        <v>16</v>
      </c>
      <c r="D18">
        <v>871.99918566775</v>
      </c>
      <c r="E18">
        <v>295.98534201953998</v>
      </c>
      <c r="F18">
        <v>148.24096385542001</v>
      </c>
      <c r="G18">
        <v>122.51084337349</v>
      </c>
      <c r="I18" s="9">
        <f t="shared" si="1"/>
        <v>173.47449864604999</v>
      </c>
      <c r="J18" s="9">
        <f t="shared" si="2"/>
        <v>723.75822181233002</v>
      </c>
      <c r="K18" s="9">
        <f t="shared" si="3"/>
        <v>173.47449864604999</v>
      </c>
      <c r="L18" s="10">
        <f t="shared" si="0"/>
        <v>0.23968570362027861</v>
      </c>
      <c r="M18" s="10">
        <f t="shared" si="4"/>
        <v>0.24010945264697897</v>
      </c>
      <c r="P18" s="8">
        <f t="shared" si="5"/>
        <v>-2.5485115820092883</v>
      </c>
    </row>
    <row r="19" spans="1:16" x14ac:dyDescent="0.2">
      <c r="A19" s="8">
        <v>8.5</v>
      </c>
      <c r="B19" s="8">
        <v>17</v>
      </c>
      <c r="D19">
        <v>887.84527687295997</v>
      </c>
      <c r="E19">
        <v>299.32573289902001</v>
      </c>
      <c r="F19">
        <v>147.96947791164999</v>
      </c>
      <c r="G19">
        <v>122.15903614458</v>
      </c>
      <c r="I19" s="9">
        <f t="shared" si="1"/>
        <v>177.16669675444001</v>
      </c>
      <c r="J19" s="9">
        <f t="shared" si="2"/>
        <v>739.87579896131001</v>
      </c>
      <c r="K19" s="9">
        <f t="shared" si="3"/>
        <v>177.16669675444001</v>
      </c>
      <c r="L19" s="10">
        <f t="shared" si="0"/>
        <v>0.23945464495954477</v>
      </c>
      <c r="M19" s="10">
        <f t="shared" si="4"/>
        <v>0.2399048783004139</v>
      </c>
      <c r="P19" s="8">
        <f t="shared" si="5"/>
        <v>-2.6315406937128358</v>
      </c>
    </row>
    <row r="20" spans="1:16" x14ac:dyDescent="0.2">
      <c r="A20" s="8">
        <v>9</v>
      </c>
      <c r="B20" s="8">
        <v>18</v>
      </c>
      <c r="D20">
        <v>873.8680781759</v>
      </c>
      <c r="E20">
        <v>295.76302931596001</v>
      </c>
      <c r="F20">
        <v>148.09638554217</v>
      </c>
      <c r="G20">
        <v>122.12931726908</v>
      </c>
      <c r="I20" s="9">
        <f t="shared" si="1"/>
        <v>173.63371204688002</v>
      </c>
      <c r="J20" s="9">
        <f t="shared" si="2"/>
        <v>725.77169263373003</v>
      </c>
      <c r="K20" s="9">
        <f t="shared" si="3"/>
        <v>173.63371204688002</v>
      </c>
      <c r="L20" s="10">
        <f t="shared" si="0"/>
        <v>0.23924012717661405</v>
      </c>
      <c r="M20" s="10">
        <f t="shared" si="4"/>
        <v>0.23971684483165195</v>
      </c>
      <c r="P20" s="8">
        <f t="shared" si="5"/>
        <v>-2.7078564788734929</v>
      </c>
    </row>
    <row r="21" spans="1:16" x14ac:dyDescent="0.2">
      <c r="A21" s="8">
        <v>9.5</v>
      </c>
      <c r="B21" s="8">
        <v>19</v>
      </c>
      <c r="D21">
        <v>881.12133550489</v>
      </c>
      <c r="E21">
        <v>297.16530944624998</v>
      </c>
      <c r="F21">
        <v>148.6297188755</v>
      </c>
      <c r="G21">
        <v>122.48514056225</v>
      </c>
      <c r="I21" s="9">
        <f t="shared" si="1"/>
        <v>174.68016888399998</v>
      </c>
      <c r="J21" s="9">
        <f t="shared" si="2"/>
        <v>732.49161662939002</v>
      </c>
      <c r="K21" s="9">
        <f t="shared" si="3"/>
        <v>174.68016888399998</v>
      </c>
      <c r="L21" s="10">
        <f t="shared" si="0"/>
        <v>0.23847394962389148</v>
      </c>
      <c r="M21" s="10">
        <f t="shared" si="4"/>
        <v>0.23897715159309815</v>
      </c>
      <c r="P21" s="8">
        <f t="shared" si="5"/>
        <v>-3.008070428283363</v>
      </c>
    </row>
    <row r="22" spans="1:16" x14ac:dyDescent="0.2">
      <c r="A22" s="8">
        <v>10</v>
      </c>
      <c r="B22" s="8">
        <v>20</v>
      </c>
      <c r="D22">
        <v>905.05126118795999</v>
      </c>
      <c r="E22">
        <v>303.49633848656998</v>
      </c>
      <c r="F22">
        <v>148.38875502008</v>
      </c>
      <c r="G22">
        <v>122.57751004016001</v>
      </c>
      <c r="I22" s="9">
        <f t="shared" si="1"/>
        <v>180.91882844640998</v>
      </c>
      <c r="J22" s="9">
        <f t="shared" si="2"/>
        <v>756.66250616788</v>
      </c>
      <c r="K22" s="9">
        <f t="shared" si="3"/>
        <v>180.91882844640998</v>
      </c>
      <c r="L22" s="10">
        <f t="shared" si="0"/>
        <v>0.23910108796413612</v>
      </c>
      <c r="M22" s="10">
        <f t="shared" si="4"/>
        <v>0.23963077424751156</v>
      </c>
      <c r="P22" s="8">
        <f t="shared" si="5"/>
        <v>-2.7427893248777671</v>
      </c>
    </row>
    <row r="23" spans="1:16" x14ac:dyDescent="0.2">
      <c r="A23" s="8">
        <v>10.5</v>
      </c>
      <c r="B23" s="8">
        <v>21</v>
      </c>
      <c r="D23">
        <v>897.18307567127999</v>
      </c>
      <c r="E23">
        <v>300.89991863303999</v>
      </c>
      <c r="F23">
        <v>148.73895582329001</v>
      </c>
      <c r="G23">
        <v>123.09879518072</v>
      </c>
      <c r="I23" s="9">
        <f t="shared" si="1"/>
        <v>177.80112345231998</v>
      </c>
      <c r="J23" s="9">
        <f t="shared" si="2"/>
        <v>748.44411984799001</v>
      </c>
      <c r="K23" s="9">
        <f t="shared" si="3"/>
        <v>177.80112345231998</v>
      </c>
      <c r="L23" s="10">
        <f t="shared" si="0"/>
        <v>0.23756098650147939</v>
      </c>
      <c r="M23" s="10">
        <f t="shared" si="4"/>
        <v>0.23811715709902359</v>
      </c>
      <c r="P23" s="8">
        <f t="shared" si="5"/>
        <v>-3.357110178926006</v>
      </c>
    </row>
    <row r="24" spans="1:16" x14ac:dyDescent="0.2">
      <c r="A24" s="8">
        <v>11</v>
      </c>
      <c r="B24" s="8">
        <v>22</v>
      </c>
      <c r="D24">
        <v>824.68067906224996</v>
      </c>
      <c r="E24">
        <v>287.03799514956</v>
      </c>
      <c r="F24">
        <v>149.21686746987999</v>
      </c>
      <c r="G24">
        <v>123.35180722891999</v>
      </c>
      <c r="I24" s="9">
        <f t="shared" si="1"/>
        <v>163.68618792064001</v>
      </c>
      <c r="J24" s="9">
        <f t="shared" si="2"/>
        <v>675.46381159237001</v>
      </c>
      <c r="K24" s="9">
        <f t="shared" si="3"/>
        <v>163.68618792064001</v>
      </c>
      <c r="L24" s="10">
        <f t="shared" si="0"/>
        <v>0.24233154332096418</v>
      </c>
      <c r="M24" s="10">
        <f t="shared" si="4"/>
        <v>0.24291419823267718</v>
      </c>
      <c r="P24" s="8">
        <f t="shared" si="5"/>
        <v>-1.4101697593658529</v>
      </c>
    </row>
    <row r="25" spans="1:16" x14ac:dyDescent="0.2">
      <c r="A25" s="8">
        <v>11.5</v>
      </c>
      <c r="B25" s="8">
        <v>23</v>
      </c>
      <c r="D25">
        <v>741.26596604688996</v>
      </c>
      <c r="E25">
        <v>271.73969280517002</v>
      </c>
      <c r="F25">
        <v>150.58554216868001</v>
      </c>
      <c r="G25">
        <v>123.39518072289</v>
      </c>
      <c r="I25" s="9">
        <f t="shared" si="1"/>
        <v>148.34451208228</v>
      </c>
      <c r="J25" s="9">
        <f t="shared" si="2"/>
        <v>590.68042387820992</v>
      </c>
      <c r="K25" s="9">
        <f t="shared" si="3"/>
        <v>148.34451208228</v>
      </c>
      <c r="L25" s="10">
        <f t="shared" si="0"/>
        <v>0.25114174447884968</v>
      </c>
      <c r="M25" s="10">
        <f t="shared" si="4"/>
        <v>0.25175088370473142</v>
      </c>
      <c r="P25" s="8">
        <f t="shared" si="5"/>
        <v>2.1763119157201505</v>
      </c>
    </row>
    <row r="26" spans="1:16" x14ac:dyDescent="0.2">
      <c r="A26" s="8">
        <v>12</v>
      </c>
      <c r="B26" s="8">
        <v>24</v>
      </c>
      <c r="D26">
        <v>823.87700964630005</v>
      </c>
      <c r="E26">
        <v>287.39790996785001</v>
      </c>
      <c r="F26">
        <v>151.68273092370001</v>
      </c>
      <c r="G26">
        <v>124.01767068273</v>
      </c>
      <c r="I26" s="9">
        <f t="shared" si="1"/>
        <v>163.38023928512001</v>
      </c>
      <c r="J26" s="9">
        <f t="shared" si="2"/>
        <v>672.19427872260007</v>
      </c>
      <c r="K26" s="9">
        <f t="shared" si="3"/>
        <v>163.38023928512001</v>
      </c>
      <c r="L26" s="10">
        <f t="shared" si="0"/>
        <v>0.2430550875791424</v>
      </c>
      <c r="M26" s="10">
        <f t="shared" si="4"/>
        <v>0.24369071111919294</v>
      </c>
      <c r="P26" s="8">
        <f t="shared" si="5"/>
        <v>-1.0950120855113041</v>
      </c>
    </row>
    <row r="27" spans="1:16" x14ac:dyDescent="0.2">
      <c r="A27" s="8">
        <v>12.5</v>
      </c>
      <c r="B27" s="8">
        <v>25</v>
      </c>
      <c r="D27">
        <v>858.00482315113004</v>
      </c>
      <c r="E27">
        <v>294.27572347266999</v>
      </c>
      <c r="F27">
        <v>149.64738955823</v>
      </c>
      <c r="G27">
        <v>122.92530120482</v>
      </c>
      <c r="I27" s="9">
        <f t="shared" si="1"/>
        <v>171.35042226784998</v>
      </c>
      <c r="J27" s="9">
        <f t="shared" si="2"/>
        <v>708.35743359290007</v>
      </c>
      <c r="K27" s="9">
        <f t="shared" si="3"/>
        <v>171.35042226784998</v>
      </c>
      <c r="L27" s="10">
        <f t="shared" si="0"/>
        <v>0.24189824817498384</v>
      </c>
      <c r="M27" s="10">
        <f t="shared" si="4"/>
        <v>0.24256035602920314</v>
      </c>
      <c r="P27" s="8">
        <f t="shared" si="5"/>
        <v>-1.5537811374832491</v>
      </c>
    </row>
    <row r="28" spans="1:16" x14ac:dyDescent="0.2">
      <c r="A28" s="8">
        <v>13</v>
      </c>
      <c r="B28" s="8">
        <v>26</v>
      </c>
      <c r="D28">
        <v>854.52250803858999</v>
      </c>
      <c r="E28">
        <v>293.33360128616999</v>
      </c>
      <c r="F28">
        <v>149.00321285141001</v>
      </c>
      <c r="G28">
        <v>123.00883534137</v>
      </c>
      <c r="I28" s="9">
        <f t="shared" si="1"/>
        <v>170.32476594479999</v>
      </c>
      <c r="J28" s="9">
        <f t="shared" si="2"/>
        <v>705.51929518717998</v>
      </c>
      <c r="K28" s="9">
        <f t="shared" si="3"/>
        <v>170.32476594479999</v>
      </c>
      <c r="L28" s="10">
        <f t="shared" si="0"/>
        <v>0.24141758716834449</v>
      </c>
      <c r="M28" s="10">
        <f t="shared" si="4"/>
        <v>0.24210617933673256</v>
      </c>
      <c r="P28" s="8">
        <f t="shared" si="5"/>
        <v>-1.7381145495921499</v>
      </c>
    </row>
    <row r="29" spans="1:16" x14ac:dyDescent="0.2">
      <c r="A29" s="8">
        <v>13.5</v>
      </c>
      <c r="B29" s="8">
        <v>27</v>
      </c>
      <c r="D29">
        <v>856.77250803858999</v>
      </c>
      <c r="E29">
        <v>293.04421221864999</v>
      </c>
      <c r="F29">
        <v>151.24578313252999</v>
      </c>
      <c r="G29">
        <v>123.34377510039999</v>
      </c>
      <c r="I29" s="9">
        <f t="shared" si="1"/>
        <v>169.70043711824999</v>
      </c>
      <c r="J29" s="9">
        <f t="shared" si="2"/>
        <v>705.52672490606005</v>
      </c>
      <c r="K29" s="9">
        <f t="shared" si="3"/>
        <v>169.70043711824999</v>
      </c>
      <c r="L29" s="10">
        <f t="shared" si="0"/>
        <v>0.24053013320061742</v>
      </c>
      <c r="M29" s="10">
        <f t="shared" si="4"/>
        <v>0.24124520968317426</v>
      </c>
      <c r="P29" s="8">
        <f t="shared" si="5"/>
        <v>-2.0875500811675645</v>
      </c>
    </row>
    <row r="30" spans="1:16" x14ac:dyDescent="0.2">
      <c r="A30" s="8">
        <v>14</v>
      </c>
      <c r="B30" s="8">
        <v>28</v>
      </c>
      <c r="D30">
        <v>845.50723472668994</v>
      </c>
      <c r="E30">
        <v>291.78456591640003</v>
      </c>
      <c r="F30">
        <v>151.2578313253</v>
      </c>
      <c r="G30">
        <v>123.64658634538</v>
      </c>
      <c r="I30" s="9">
        <f t="shared" si="1"/>
        <v>168.13797957102003</v>
      </c>
      <c r="J30" s="9">
        <f t="shared" si="2"/>
        <v>694.24940340138994</v>
      </c>
      <c r="K30" s="9">
        <f t="shared" si="3"/>
        <v>168.13797957102003</v>
      </c>
      <c r="L30" s="10">
        <f t="shared" si="0"/>
        <v>0.24218671092441504</v>
      </c>
      <c r="M30" s="10">
        <f t="shared" si="4"/>
        <v>0.24292827172114068</v>
      </c>
      <c r="P30" s="8">
        <f t="shared" si="5"/>
        <v>-1.4044578543038833</v>
      </c>
    </row>
    <row r="31" spans="1:16" x14ac:dyDescent="0.2">
      <c r="A31" s="8">
        <v>14.5</v>
      </c>
      <c r="B31" s="8">
        <v>29</v>
      </c>
      <c r="D31">
        <v>861.25422365245004</v>
      </c>
      <c r="E31">
        <v>294.13837489944001</v>
      </c>
      <c r="F31">
        <v>151.30120481928</v>
      </c>
      <c r="G31">
        <v>123.73413654619</v>
      </c>
      <c r="I31" s="9">
        <f t="shared" si="1"/>
        <v>170.40423835325001</v>
      </c>
      <c r="J31" s="9">
        <f t="shared" si="2"/>
        <v>709.95301883317006</v>
      </c>
      <c r="K31" s="9">
        <f t="shared" si="3"/>
        <v>170.40423835325001</v>
      </c>
      <c r="L31" s="10">
        <f t="shared" si="0"/>
        <v>0.240021851915377</v>
      </c>
      <c r="M31" s="10">
        <f t="shared" si="4"/>
        <v>0.2407898970262714</v>
      </c>
      <c r="P31" s="8">
        <f t="shared" si="5"/>
        <v>-2.272344538951653</v>
      </c>
    </row>
    <row r="32" spans="1:16" x14ac:dyDescent="0.2">
      <c r="A32" s="8">
        <v>15</v>
      </c>
      <c r="B32" s="8">
        <v>30</v>
      </c>
      <c r="D32">
        <v>867.61303298471</v>
      </c>
      <c r="E32">
        <v>294.91633145614998</v>
      </c>
      <c r="F32">
        <v>151.18875502008001</v>
      </c>
      <c r="G32">
        <v>123.7421686747</v>
      </c>
      <c r="I32" s="9">
        <f t="shared" si="1"/>
        <v>171.17416278144998</v>
      </c>
      <c r="J32" s="9">
        <f t="shared" si="2"/>
        <v>716.42427796462994</v>
      </c>
      <c r="K32" s="9">
        <f t="shared" si="3"/>
        <v>171.17416278144998</v>
      </c>
      <c r="L32" s="10">
        <f t="shared" si="0"/>
        <v>0.23892847862129665</v>
      </c>
      <c r="M32" s="10">
        <f t="shared" si="4"/>
        <v>0.23972300804635982</v>
      </c>
      <c r="P32" s="8">
        <f t="shared" si="5"/>
        <v>-2.7053550594578883</v>
      </c>
    </row>
    <row r="33" spans="1:16" x14ac:dyDescent="0.2">
      <c r="A33" s="8">
        <v>15.5</v>
      </c>
      <c r="B33" s="8">
        <v>31</v>
      </c>
      <c r="D33">
        <v>867.96862429606006</v>
      </c>
      <c r="E33">
        <v>294.49959774739</v>
      </c>
      <c r="F33">
        <v>150.61606425702999</v>
      </c>
      <c r="G33">
        <v>123.4827309237</v>
      </c>
      <c r="I33" s="9">
        <f t="shared" si="1"/>
        <v>171.01686682369001</v>
      </c>
      <c r="J33" s="9">
        <f t="shared" si="2"/>
        <v>717.3525600390301</v>
      </c>
      <c r="K33" s="9">
        <f t="shared" si="3"/>
        <v>171.01686682369001</v>
      </c>
      <c r="L33" s="10">
        <f t="shared" si="0"/>
        <v>0.23840002301571941</v>
      </c>
      <c r="M33" s="10">
        <f t="shared" si="4"/>
        <v>0.23922103675495135</v>
      </c>
      <c r="P33" s="8">
        <f t="shared" si="5"/>
        <v>-2.9090865200546436</v>
      </c>
    </row>
    <row r="34" spans="1:16" x14ac:dyDescent="0.2">
      <c r="A34" s="8">
        <v>16</v>
      </c>
      <c r="B34" s="8">
        <v>32</v>
      </c>
      <c r="D34">
        <v>870.93990384614995</v>
      </c>
      <c r="E34">
        <v>294.65865384615</v>
      </c>
      <c r="F34">
        <v>150.51164658635</v>
      </c>
      <c r="G34">
        <v>123.15261044176999</v>
      </c>
      <c r="I34" s="9">
        <f t="shared" si="1"/>
        <v>171.50604340438002</v>
      </c>
      <c r="J34" s="9">
        <f t="shared" si="2"/>
        <v>720.42825725979992</v>
      </c>
      <c r="K34" s="9">
        <f t="shared" si="3"/>
        <v>171.50604340438002</v>
      </c>
      <c r="L34" s="10">
        <f t="shared" si="0"/>
        <v>0.23806123882024763</v>
      </c>
      <c r="M34" s="10">
        <f t="shared" si="4"/>
        <v>0.23890873687364833</v>
      </c>
      <c r="P34" s="8">
        <f t="shared" si="5"/>
        <v>-3.03583741607408</v>
      </c>
    </row>
    <row r="35" spans="1:16" x14ac:dyDescent="0.2">
      <c r="A35" s="8">
        <v>16.5</v>
      </c>
      <c r="B35" s="8">
        <v>33</v>
      </c>
      <c r="D35">
        <v>869.46875</v>
      </c>
      <c r="E35">
        <v>295.00560897435997</v>
      </c>
      <c r="F35">
        <v>151.15421686747001</v>
      </c>
      <c r="G35">
        <v>123.49397590361001</v>
      </c>
      <c r="I35" s="9">
        <f t="shared" si="1"/>
        <v>171.51163307074995</v>
      </c>
      <c r="J35" s="9">
        <f t="shared" si="2"/>
        <v>718.31453313252996</v>
      </c>
      <c r="K35" s="9">
        <f t="shared" si="3"/>
        <v>171.51163307074995</v>
      </c>
      <c r="L35" s="10">
        <f t="shared" si="0"/>
        <v>0.23876954336813597</v>
      </c>
      <c r="M35" s="10">
        <f t="shared" si="4"/>
        <v>0.23964352573570544</v>
      </c>
      <c r="P35" s="8">
        <f t="shared" si="5"/>
        <v>-2.7376139705119185</v>
      </c>
    </row>
    <row r="36" spans="1:16" x14ac:dyDescent="0.2">
      <c r="A36" s="8">
        <v>17</v>
      </c>
      <c r="B36" s="8">
        <v>34</v>
      </c>
      <c r="D36">
        <v>874.88701923076997</v>
      </c>
      <c r="E36">
        <v>294.85416666666998</v>
      </c>
      <c r="F36">
        <v>150.96787148594001</v>
      </c>
      <c r="G36">
        <v>123.58072289157001</v>
      </c>
      <c r="I36" s="9">
        <f t="shared" si="1"/>
        <v>171.27344377509996</v>
      </c>
      <c r="J36" s="9">
        <f t="shared" si="2"/>
        <v>723.91914774482996</v>
      </c>
      <c r="K36" s="9">
        <f t="shared" si="3"/>
        <v>171.27344377509996</v>
      </c>
      <c r="L36" s="10">
        <f t="shared" si="0"/>
        <v>0.23659195133690694</v>
      </c>
      <c r="M36" s="10">
        <f t="shared" si="4"/>
        <v>0.23749241801864521</v>
      </c>
      <c r="P36" s="8">
        <f t="shared" si="5"/>
        <v>-3.6106685148623736</v>
      </c>
    </row>
    <row r="37" spans="1:16" x14ac:dyDescent="0.2">
      <c r="A37" s="8">
        <v>17.5</v>
      </c>
      <c r="B37" s="8">
        <v>35</v>
      </c>
      <c r="D37">
        <v>874.84935897436003</v>
      </c>
      <c r="E37">
        <v>295.11538461538998</v>
      </c>
      <c r="F37">
        <v>151.84658634537999</v>
      </c>
      <c r="G37">
        <v>123.49076305221</v>
      </c>
      <c r="I37" s="9">
        <f t="shared" si="1"/>
        <v>171.62462156317997</v>
      </c>
      <c r="J37" s="9">
        <f t="shared" si="2"/>
        <v>723.00277262897998</v>
      </c>
      <c r="K37" s="9">
        <f t="shared" si="3"/>
        <v>171.62462156317997</v>
      </c>
      <c r="L37" s="10">
        <f t="shared" si="0"/>
        <v>0.23737754274318917</v>
      </c>
      <c r="M37" s="10">
        <f t="shared" si="4"/>
        <v>0.23830449373909621</v>
      </c>
      <c r="P37" s="8">
        <f t="shared" si="5"/>
        <v>-3.2810772105899231</v>
      </c>
    </row>
    <row r="38" spans="1:16" x14ac:dyDescent="0.2">
      <c r="A38" s="8">
        <v>18</v>
      </c>
      <c r="B38" s="8">
        <v>36</v>
      </c>
      <c r="D38">
        <v>858.14423076923003</v>
      </c>
      <c r="E38">
        <v>290.69791666666998</v>
      </c>
      <c r="F38">
        <v>150.71325301204999</v>
      </c>
      <c r="G38">
        <v>123.17991967872</v>
      </c>
      <c r="I38" s="9">
        <f t="shared" si="1"/>
        <v>167.51799698794997</v>
      </c>
      <c r="J38" s="9">
        <f t="shared" si="2"/>
        <v>707.43097775718002</v>
      </c>
      <c r="K38" s="9">
        <f t="shared" si="3"/>
        <v>167.51799698794997</v>
      </c>
      <c r="L38" s="10">
        <f t="shared" si="0"/>
        <v>0.23679765553813389</v>
      </c>
      <c r="M38" s="10">
        <f t="shared" si="4"/>
        <v>0.2377510908482097</v>
      </c>
      <c r="P38" s="8">
        <f t="shared" si="5"/>
        <v>-3.5056828428013298</v>
      </c>
    </row>
    <row r="39" spans="1:16" x14ac:dyDescent="0.2">
      <c r="A39" s="8">
        <v>18.5</v>
      </c>
      <c r="B39" s="8">
        <v>37</v>
      </c>
      <c r="D39">
        <v>872.77786752827001</v>
      </c>
      <c r="E39">
        <v>293.91033925686997</v>
      </c>
      <c r="F39">
        <v>150.69638554216999</v>
      </c>
      <c r="G39">
        <v>123.07550200803</v>
      </c>
      <c r="I39" s="9">
        <f t="shared" si="1"/>
        <v>170.83483724883996</v>
      </c>
      <c r="J39" s="9">
        <f t="shared" si="2"/>
        <v>722.08148198610002</v>
      </c>
      <c r="K39" s="9">
        <f t="shared" si="3"/>
        <v>170.83483724883996</v>
      </c>
      <c r="L39" s="10">
        <f t="shared" si="0"/>
        <v>0.23658664778240154</v>
      </c>
      <c r="M39" s="10">
        <f t="shared" si="4"/>
        <v>0.23756656740664611</v>
      </c>
      <c r="P39" s="8">
        <f t="shared" si="5"/>
        <v>-3.5805740385878591</v>
      </c>
    </row>
    <row r="40" spans="1:16" x14ac:dyDescent="0.2">
      <c r="A40" s="8">
        <v>19</v>
      </c>
      <c r="B40" s="8">
        <v>38</v>
      </c>
      <c r="D40">
        <v>860.47423510467002</v>
      </c>
      <c r="E40">
        <v>292.16344605475001</v>
      </c>
      <c r="F40">
        <v>151.28112449798999</v>
      </c>
      <c r="G40">
        <v>123.93975903614999</v>
      </c>
      <c r="I40" s="9">
        <f t="shared" si="1"/>
        <v>168.2236870186</v>
      </c>
      <c r="J40" s="9">
        <f t="shared" si="2"/>
        <v>709.19311060667997</v>
      </c>
      <c r="K40" s="9">
        <f t="shared" si="3"/>
        <v>168.2236870186</v>
      </c>
      <c r="L40" s="10">
        <f t="shared" si="0"/>
        <v>0.23720434463145429</v>
      </c>
      <c r="M40" s="10">
        <f t="shared" si="4"/>
        <v>0.23821074856986763</v>
      </c>
      <c r="P40" s="8">
        <f t="shared" si="5"/>
        <v>-3.3191248849842889</v>
      </c>
    </row>
    <row r="41" spans="1:16" x14ac:dyDescent="0.2">
      <c r="A41" s="8">
        <v>19.5</v>
      </c>
      <c r="B41" s="8">
        <v>39</v>
      </c>
      <c r="D41">
        <v>876.53703703704002</v>
      </c>
      <c r="E41">
        <v>294.97423510467002</v>
      </c>
      <c r="F41">
        <v>152.02088353414001</v>
      </c>
      <c r="G41">
        <v>124.02730923695</v>
      </c>
      <c r="I41" s="9">
        <f t="shared" si="1"/>
        <v>170.94692586772001</v>
      </c>
      <c r="J41" s="9">
        <f t="shared" si="2"/>
        <v>724.51615350290001</v>
      </c>
      <c r="K41" s="9">
        <f t="shared" si="3"/>
        <v>170.94692586772001</v>
      </c>
      <c r="L41" s="10">
        <f t="shared" si="0"/>
        <v>0.23594632782336683</v>
      </c>
      <c r="M41" s="10">
        <f t="shared" si="4"/>
        <v>0.23697921607594893</v>
      </c>
      <c r="P41" s="8">
        <f t="shared" si="5"/>
        <v>-3.8189580787400894</v>
      </c>
    </row>
    <row r="42" spans="1:16" x14ac:dyDescent="0.2">
      <c r="A42" s="8">
        <v>20</v>
      </c>
      <c r="B42" s="8">
        <v>40</v>
      </c>
      <c r="D42">
        <v>869.56843800321997</v>
      </c>
      <c r="E42">
        <v>293.90821256038998</v>
      </c>
      <c r="F42">
        <v>151.59839357429999</v>
      </c>
      <c r="G42">
        <v>123.63694779117</v>
      </c>
      <c r="I42" s="9">
        <f t="shared" si="1"/>
        <v>170.27126476921998</v>
      </c>
      <c r="J42" s="9">
        <f t="shared" si="2"/>
        <v>717.97004442892</v>
      </c>
      <c r="K42" s="9">
        <f t="shared" si="3"/>
        <v>170.27126476921998</v>
      </c>
      <c r="L42" s="10">
        <f t="shared" si="0"/>
        <v>0.23715650268480953</v>
      </c>
      <c r="M42" s="10">
        <f t="shared" si="4"/>
        <v>0.2382158752515604</v>
      </c>
      <c r="P42" s="8">
        <f t="shared" si="5"/>
        <v>-3.3170441557331118</v>
      </c>
    </row>
    <row r="43" spans="1:16" x14ac:dyDescent="0.2">
      <c r="A43" s="8">
        <v>20.5</v>
      </c>
      <c r="B43" s="8">
        <v>41</v>
      </c>
      <c r="D43">
        <v>864.64605370219999</v>
      </c>
      <c r="E43">
        <v>294.03742880391002</v>
      </c>
      <c r="F43">
        <v>150.74698795181001</v>
      </c>
      <c r="G43">
        <v>123.42570281125001</v>
      </c>
      <c r="I43" s="9">
        <f t="shared" si="1"/>
        <v>170.61172599266001</v>
      </c>
      <c r="J43" s="9">
        <f t="shared" si="2"/>
        <v>713.89906575039004</v>
      </c>
      <c r="K43" s="9">
        <f t="shared" si="3"/>
        <v>170.61172599266001</v>
      </c>
      <c r="L43" s="10">
        <f t="shared" si="0"/>
        <v>0.23898578129294434</v>
      </c>
      <c r="M43" s="10">
        <f t="shared" si="4"/>
        <v>0.24007163817386401</v>
      </c>
      <c r="P43" s="8">
        <f t="shared" si="5"/>
        <v>-2.5638590689498084</v>
      </c>
    </row>
    <row r="44" spans="1:16" x14ac:dyDescent="0.2">
      <c r="A44" s="8">
        <v>21</v>
      </c>
      <c r="B44" s="8">
        <v>42</v>
      </c>
      <c r="D44">
        <v>872.50203417413002</v>
      </c>
      <c r="E44">
        <v>295.35394629780001</v>
      </c>
      <c r="F44">
        <v>150.60240963855</v>
      </c>
      <c r="G44">
        <v>123.16385542169</v>
      </c>
      <c r="I44" s="9">
        <f t="shared" si="1"/>
        <v>172.19009087610999</v>
      </c>
      <c r="J44" s="9">
        <f t="shared" si="2"/>
        <v>721.89962453557996</v>
      </c>
      <c r="K44" s="9">
        <f t="shared" si="3"/>
        <v>172.19009087610999</v>
      </c>
      <c r="L44" s="10">
        <f t="shared" si="0"/>
        <v>0.23852359112513064</v>
      </c>
      <c r="M44" s="10">
        <f t="shared" si="4"/>
        <v>0.23963593232021907</v>
      </c>
      <c r="P44" s="8">
        <f t="shared" si="5"/>
        <v>-2.7406958551822851</v>
      </c>
    </row>
    <row r="45" spans="1:16" x14ac:dyDescent="0.2">
      <c r="A45" s="8">
        <v>21.5</v>
      </c>
      <c r="B45" s="8">
        <v>43</v>
      </c>
      <c r="D45">
        <v>859.22864117168001</v>
      </c>
      <c r="E45">
        <v>293.05370219691002</v>
      </c>
      <c r="F45">
        <v>151.77349397590001</v>
      </c>
      <c r="G45">
        <v>123.74056224900001</v>
      </c>
      <c r="I45" s="9">
        <f t="shared" si="1"/>
        <v>169.31313994791003</v>
      </c>
      <c r="J45" s="9">
        <f t="shared" si="2"/>
        <v>707.45514719578</v>
      </c>
      <c r="K45" s="9">
        <f t="shared" si="3"/>
        <v>169.31313994791003</v>
      </c>
      <c r="L45" s="10">
        <f t="shared" si="0"/>
        <v>0.23932703100547884</v>
      </c>
      <c r="M45" s="10">
        <f t="shared" si="4"/>
        <v>0.24046585651473604</v>
      </c>
      <c r="P45" s="8">
        <f t="shared" si="5"/>
        <v>-2.403860519720959</v>
      </c>
    </row>
    <row r="46" spans="1:16" x14ac:dyDescent="0.2">
      <c r="A46" s="8">
        <v>22</v>
      </c>
      <c r="B46" s="8">
        <v>44</v>
      </c>
      <c r="D46">
        <v>858.69487388120001</v>
      </c>
      <c r="E46">
        <v>295.24165988609002</v>
      </c>
      <c r="F46">
        <v>152.23212851406001</v>
      </c>
      <c r="G46">
        <v>123.89317269076</v>
      </c>
      <c r="I46" s="9">
        <f t="shared" si="1"/>
        <v>171.34848719533002</v>
      </c>
      <c r="J46" s="9">
        <f t="shared" si="2"/>
        <v>706.46274536713997</v>
      </c>
      <c r="K46" s="9">
        <f t="shared" si="3"/>
        <v>171.34848719533002</v>
      </c>
      <c r="L46" s="10">
        <f t="shared" si="0"/>
        <v>0.24254426481651531</v>
      </c>
      <c r="M46" s="10">
        <f t="shared" si="4"/>
        <v>0.24370957463994128</v>
      </c>
      <c r="P46" s="8">
        <f t="shared" si="5"/>
        <v>-1.0873560846605912</v>
      </c>
    </row>
    <row r="47" spans="1:16" x14ac:dyDescent="0.2">
      <c r="A47" s="8">
        <v>22.5</v>
      </c>
      <c r="B47" s="8">
        <v>45</v>
      </c>
      <c r="D47">
        <v>870.95403225807001</v>
      </c>
      <c r="E47">
        <v>296.77983870968001</v>
      </c>
      <c r="F47">
        <v>152.27389558233</v>
      </c>
      <c r="G47">
        <v>123.96064257028</v>
      </c>
      <c r="I47" s="9">
        <f t="shared" si="1"/>
        <v>172.81919613939999</v>
      </c>
      <c r="J47" s="9">
        <f t="shared" si="2"/>
        <v>718.68013667573996</v>
      </c>
      <c r="K47" s="9">
        <f t="shared" si="3"/>
        <v>172.81919613939999</v>
      </c>
      <c r="L47" s="10">
        <f t="shared" si="0"/>
        <v>0.24046747269066931</v>
      </c>
      <c r="M47" s="10">
        <f t="shared" si="4"/>
        <v>0.24165926682826405</v>
      </c>
      <c r="P47" s="8">
        <f t="shared" si="5"/>
        <v>-1.919499699834057</v>
      </c>
    </row>
    <row r="48" spans="1:16" x14ac:dyDescent="0.2">
      <c r="A48" s="8">
        <v>23</v>
      </c>
      <c r="B48" s="8">
        <v>46</v>
      </c>
      <c r="D48">
        <v>863.41781376517997</v>
      </c>
      <c r="E48">
        <v>297.47044534412998</v>
      </c>
      <c r="F48">
        <v>151.02168674699001</v>
      </c>
      <c r="G48">
        <v>123.56144578313</v>
      </c>
      <c r="I48" s="9">
        <f t="shared" si="1"/>
        <v>173.90899956099997</v>
      </c>
      <c r="J48" s="9">
        <f t="shared" si="2"/>
        <v>712.39612701818999</v>
      </c>
      <c r="K48" s="9">
        <f t="shared" si="3"/>
        <v>173.90899956099997</v>
      </c>
      <c r="L48" s="10">
        <f t="shared" si="0"/>
        <v>0.24411839560233806</v>
      </c>
      <c r="M48" s="10">
        <f t="shared" si="4"/>
        <v>0.24533667405410156</v>
      </c>
      <c r="P48" s="8">
        <f t="shared" si="5"/>
        <v>-0.42697700351259527</v>
      </c>
    </row>
    <row r="49" spans="1:25" x14ac:dyDescent="0.2">
      <c r="A49" s="8">
        <v>23.5</v>
      </c>
      <c r="B49" s="8">
        <v>47</v>
      </c>
      <c r="D49">
        <v>849.37246963562995</v>
      </c>
      <c r="E49">
        <v>291.804048583</v>
      </c>
      <c r="F49">
        <v>150.99518072289001</v>
      </c>
      <c r="G49">
        <v>123.29236947791</v>
      </c>
      <c r="I49" s="9">
        <f t="shared" si="1"/>
        <v>168.51167910509</v>
      </c>
      <c r="J49" s="9">
        <f t="shared" si="2"/>
        <v>698.37728891273991</v>
      </c>
      <c r="K49" s="9">
        <f t="shared" si="3"/>
        <v>168.51167910509</v>
      </c>
      <c r="L49" s="10">
        <f t="shared" si="0"/>
        <v>0.24129031940233242</v>
      </c>
      <c r="M49" s="10">
        <f t="shared" si="4"/>
        <v>0.24253508216826472</v>
      </c>
      <c r="P49" s="8">
        <f t="shared" si="5"/>
        <v>-1.5640388567832051</v>
      </c>
    </row>
    <row r="50" spans="1:25" x14ac:dyDescent="0.2">
      <c r="A50" s="8">
        <v>24</v>
      </c>
      <c r="B50" s="8">
        <v>48</v>
      </c>
      <c r="D50">
        <v>864.55993563957998</v>
      </c>
      <c r="E50">
        <v>297.06516492357002</v>
      </c>
      <c r="F50">
        <v>151.43132530120999</v>
      </c>
      <c r="G50">
        <v>123.75020080321001</v>
      </c>
      <c r="I50" s="9">
        <f t="shared" si="1"/>
        <v>173.31496412036</v>
      </c>
      <c r="J50" s="9">
        <f t="shared" si="2"/>
        <v>713.12861033836998</v>
      </c>
      <c r="K50" s="9">
        <f t="shared" si="3"/>
        <v>173.31496412036</v>
      </c>
      <c r="L50" s="10">
        <f t="shared" si="0"/>
        <v>0.24303465266682314</v>
      </c>
      <c r="M50" s="10">
        <f t="shared" si="4"/>
        <v>0.24430589974692421</v>
      </c>
      <c r="P50" s="8">
        <f t="shared" si="5"/>
        <v>-0.84532992277539243</v>
      </c>
    </row>
    <row r="51" spans="1:25" x14ac:dyDescent="0.2">
      <c r="A51" s="8">
        <v>24.5</v>
      </c>
      <c r="B51" s="8">
        <v>49</v>
      </c>
      <c r="D51">
        <v>857.52131938857997</v>
      </c>
      <c r="E51">
        <v>296.15366049878998</v>
      </c>
      <c r="F51">
        <v>150.62891566265</v>
      </c>
      <c r="G51">
        <v>123.66746987952</v>
      </c>
      <c r="I51" s="9">
        <f t="shared" si="1"/>
        <v>172.48619061926996</v>
      </c>
      <c r="J51" s="9">
        <f t="shared" si="2"/>
        <v>706.89240372592997</v>
      </c>
      <c r="K51" s="9">
        <f t="shared" si="3"/>
        <v>172.48619061926996</v>
      </c>
      <c r="L51" s="10">
        <f t="shared" si="0"/>
        <v>0.24400628682684894</v>
      </c>
      <c r="M51" s="10">
        <f t="shared" si="4"/>
        <v>0.24530401822111877</v>
      </c>
      <c r="P51" s="8">
        <f t="shared" si="5"/>
        <v>-0.44023079046108621</v>
      </c>
    </row>
    <row r="52" spans="1:25" x14ac:dyDescent="0.2">
      <c r="A52" s="8">
        <v>25</v>
      </c>
      <c r="B52" s="8">
        <v>50</v>
      </c>
      <c r="D52">
        <v>855.91552695093003</v>
      </c>
      <c r="E52">
        <v>296.36765888977999</v>
      </c>
      <c r="F52">
        <v>150.2578313253</v>
      </c>
      <c r="G52">
        <v>123.13815261044</v>
      </c>
      <c r="I52" s="9">
        <f t="shared" si="1"/>
        <v>173.22950627934</v>
      </c>
      <c r="J52" s="9">
        <f t="shared" si="2"/>
        <v>705.65769562563003</v>
      </c>
      <c r="K52" s="9">
        <f t="shared" si="3"/>
        <v>173.22950627934</v>
      </c>
      <c r="L52" s="10">
        <f t="shared" si="0"/>
        <v>0.2454865969055382</v>
      </c>
      <c r="M52" s="10">
        <f t="shared" si="4"/>
        <v>0.2468108126139768</v>
      </c>
      <c r="P52" s="8">
        <f t="shared" si="5"/>
        <v>0.17132096106361636</v>
      </c>
    </row>
    <row r="53" spans="1:25" x14ac:dyDescent="0.2">
      <c r="A53" s="8">
        <v>25.5</v>
      </c>
      <c r="B53" s="8">
        <v>51</v>
      </c>
      <c r="D53">
        <v>854.63073209976005</v>
      </c>
      <c r="E53">
        <v>299.47465808528</v>
      </c>
      <c r="F53">
        <v>150.48032128514001</v>
      </c>
      <c r="G53">
        <v>123.63052208835001</v>
      </c>
      <c r="I53" s="9">
        <f t="shared" si="1"/>
        <v>175.84413599692999</v>
      </c>
      <c r="J53" s="9">
        <f t="shared" si="2"/>
        <v>704.15041081462005</v>
      </c>
      <c r="K53" s="9">
        <f t="shared" si="3"/>
        <v>175.84413599692999</v>
      </c>
      <c r="L53" s="10">
        <f t="shared" si="0"/>
        <v>0.24972524803826898</v>
      </c>
      <c r="M53" s="10">
        <f t="shared" si="4"/>
        <v>0.25107594806087635</v>
      </c>
      <c r="P53" s="8">
        <f t="shared" si="5"/>
        <v>1.9023806633061326</v>
      </c>
      <c r="S53" s="11"/>
      <c r="U53" s="12"/>
    </row>
    <row r="54" spans="1:25" x14ac:dyDescent="0.2">
      <c r="A54" s="8">
        <v>26</v>
      </c>
      <c r="B54" s="8">
        <v>52</v>
      </c>
      <c r="D54">
        <v>847.49155269509004</v>
      </c>
      <c r="E54">
        <v>301.78921962993002</v>
      </c>
      <c r="F54">
        <v>150.09879518072</v>
      </c>
      <c r="G54">
        <v>123.6546184739</v>
      </c>
      <c r="I54" s="9">
        <f t="shared" si="1"/>
        <v>178.13460115603002</v>
      </c>
      <c r="J54" s="9">
        <f t="shared" si="2"/>
        <v>697.39275751437003</v>
      </c>
      <c r="K54" s="9">
        <f t="shared" si="3"/>
        <v>178.13460115603002</v>
      </c>
      <c r="L54" s="10">
        <f t="shared" si="0"/>
        <v>0.25542938213315114</v>
      </c>
      <c r="M54" s="10">
        <f t="shared" si="4"/>
        <v>0.25680656646992728</v>
      </c>
      <c r="P54" s="8">
        <f t="shared" si="5"/>
        <v>4.2282253452255185</v>
      </c>
      <c r="S54" s="11"/>
    </row>
    <row r="55" spans="1:25" x14ac:dyDescent="0.2">
      <c r="A55" s="8">
        <v>26.5</v>
      </c>
      <c r="B55" s="8">
        <v>53</v>
      </c>
      <c r="D55">
        <v>886.03456591639997</v>
      </c>
      <c r="E55">
        <v>308.91318327974</v>
      </c>
      <c r="F55">
        <v>150.14297188755</v>
      </c>
      <c r="G55">
        <v>123.4016064257</v>
      </c>
      <c r="I55" s="9">
        <f t="shared" si="1"/>
        <v>185.51157685404002</v>
      </c>
      <c r="J55" s="9">
        <f t="shared" si="2"/>
        <v>735.89159402885002</v>
      </c>
      <c r="K55" s="9">
        <f t="shared" si="3"/>
        <v>185.51157685404002</v>
      </c>
      <c r="L55" s="10">
        <f t="shared" si="0"/>
        <v>0.25209090355062158</v>
      </c>
      <c r="M55" s="10">
        <f t="shared" si="4"/>
        <v>0.25349457220156651</v>
      </c>
      <c r="P55" s="8">
        <f t="shared" si="5"/>
        <v>2.884010165333593</v>
      </c>
      <c r="S55" s="11"/>
    </row>
    <row r="56" spans="1:25" x14ac:dyDescent="0.2">
      <c r="A56" s="8">
        <v>27</v>
      </c>
      <c r="B56" s="8">
        <v>54</v>
      </c>
      <c r="D56">
        <v>900.16479099678997</v>
      </c>
      <c r="E56">
        <v>309.97588424436998</v>
      </c>
      <c r="F56">
        <v>150.49638554217</v>
      </c>
      <c r="G56">
        <v>122.87469879518</v>
      </c>
      <c r="I56" s="9">
        <f t="shared" si="1"/>
        <v>187.10118544918998</v>
      </c>
      <c r="J56" s="9">
        <f t="shared" si="2"/>
        <v>749.66840545461991</v>
      </c>
      <c r="K56" s="9">
        <f t="shared" si="3"/>
        <v>187.10118544918998</v>
      </c>
      <c r="L56" s="10">
        <f t="shared" si="0"/>
        <v>0.24957859246546021</v>
      </c>
      <c r="M56" s="10">
        <f t="shared" si="4"/>
        <v>0.25100874543057389</v>
      </c>
      <c r="P56" s="8">
        <f t="shared" si="5"/>
        <v>1.8751056173786078</v>
      </c>
      <c r="S56" s="11"/>
    </row>
    <row r="57" spans="1:25" x14ac:dyDescent="0.2">
      <c r="A57" s="8">
        <v>27.5</v>
      </c>
      <c r="B57" s="8">
        <v>55</v>
      </c>
      <c r="D57">
        <v>885.52845528454998</v>
      </c>
      <c r="E57">
        <v>303.94227642276002</v>
      </c>
      <c r="F57">
        <v>151.34618473896001</v>
      </c>
      <c r="G57">
        <v>123.58554216868001</v>
      </c>
      <c r="I57" s="9">
        <f t="shared" si="1"/>
        <v>180.35673425408001</v>
      </c>
      <c r="J57" s="9">
        <f t="shared" si="2"/>
        <v>734.18227054558997</v>
      </c>
      <c r="K57" s="9">
        <f t="shared" si="3"/>
        <v>180.35673425408001</v>
      </c>
      <c r="L57" s="10">
        <f t="shared" si="0"/>
        <v>0.2456566189211464</v>
      </c>
      <c r="M57" s="10">
        <f t="shared" si="4"/>
        <v>0.24711325620042887</v>
      </c>
      <c r="P57" s="8">
        <f t="shared" si="5"/>
        <v>0.29407155391746254</v>
      </c>
      <c r="S57" s="11"/>
    </row>
    <row r="58" spans="1:25" x14ac:dyDescent="0.2">
      <c r="A58" s="8">
        <v>28</v>
      </c>
      <c r="B58" s="8">
        <v>56</v>
      </c>
      <c r="D58">
        <v>875.11637239164997</v>
      </c>
      <c r="E58">
        <v>302.85313001604999</v>
      </c>
      <c r="F58">
        <v>152.67148594378</v>
      </c>
      <c r="G58">
        <v>124.0578313253</v>
      </c>
      <c r="I58" s="9">
        <f t="shared" si="1"/>
        <v>178.79529869074997</v>
      </c>
      <c r="J58" s="9">
        <f t="shared" si="2"/>
        <v>722.44488644786998</v>
      </c>
      <c r="K58" s="9">
        <f t="shared" si="3"/>
        <v>178.79529869074997</v>
      </c>
      <c r="L58" s="10">
        <f t="shared" si="0"/>
        <v>0.24748642013351899</v>
      </c>
      <c r="M58" s="10">
        <f t="shared" si="4"/>
        <v>0.24896954172697022</v>
      </c>
      <c r="P58" s="8">
        <f t="shared" si="5"/>
        <v>1.0474687463061909</v>
      </c>
      <c r="S58" s="11"/>
    </row>
    <row r="59" spans="1:25" x14ac:dyDescent="0.2">
      <c r="A59" s="8">
        <v>28.5</v>
      </c>
      <c r="B59" s="8">
        <v>57</v>
      </c>
      <c r="D59">
        <v>877.59229534509996</v>
      </c>
      <c r="E59">
        <v>301.18218298555001</v>
      </c>
      <c r="F59">
        <v>151.74859437750999</v>
      </c>
      <c r="G59">
        <v>123.98554216868</v>
      </c>
      <c r="I59" s="9">
        <f t="shared" si="1"/>
        <v>177.19664081687</v>
      </c>
      <c r="J59" s="9">
        <f t="shared" si="2"/>
        <v>725.84370096758994</v>
      </c>
      <c r="K59" s="9">
        <f t="shared" si="3"/>
        <v>177.19664081687</v>
      </c>
      <c r="L59" s="10">
        <f t="shared" si="0"/>
        <v>0.24412506519055968</v>
      </c>
      <c r="M59" s="10">
        <f t="shared" si="4"/>
        <v>0.24563467109817969</v>
      </c>
      <c r="P59" s="8">
        <f t="shared" si="5"/>
        <v>-0.30603109667955086</v>
      </c>
      <c r="R59" s="1"/>
      <c r="S59" s="11"/>
    </row>
    <row r="60" spans="1:25" x14ac:dyDescent="0.2">
      <c r="A60" s="8">
        <v>29</v>
      </c>
      <c r="B60" s="8">
        <v>58</v>
      </c>
      <c r="D60">
        <v>873.04815409310004</v>
      </c>
      <c r="E60">
        <v>299.63081861958</v>
      </c>
      <c r="F60">
        <v>152.05220883534</v>
      </c>
      <c r="G60">
        <v>124.4297188755</v>
      </c>
      <c r="I60" s="9">
        <f t="shared" si="1"/>
        <v>175.20109974408001</v>
      </c>
      <c r="J60" s="9">
        <f t="shared" si="2"/>
        <v>720.99594525776001</v>
      </c>
      <c r="K60" s="9">
        <f t="shared" si="3"/>
        <v>175.20109974408001</v>
      </c>
      <c r="L60" s="10">
        <f t="shared" si="0"/>
        <v>0.24299873098654481</v>
      </c>
      <c r="M60" s="10">
        <f t="shared" si="4"/>
        <v>0.24453482120833359</v>
      </c>
      <c r="P60" s="8">
        <f t="shared" si="5"/>
        <v>-0.75241922351206636</v>
      </c>
      <c r="S60" s="11"/>
    </row>
    <row r="61" spans="1:25" x14ac:dyDescent="0.2">
      <c r="A61" s="8">
        <v>29.5</v>
      </c>
      <c r="B61" s="8">
        <v>59</v>
      </c>
      <c r="C61" s="2"/>
      <c r="D61">
        <v>833.73756019261998</v>
      </c>
      <c r="E61">
        <v>290.15730337078998</v>
      </c>
      <c r="F61">
        <v>154.14377510040001</v>
      </c>
      <c r="G61">
        <v>124.95823293173</v>
      </c>
      <c r="I61" s="9">
        <f t="shared" si="1"/>
        <v>165.19907043905999</v>
      </c>
      <c r="J61" s="9">
        <f t="shared" si="2"/>
        <v>679.59378509221995</v>
      </c>
      <c r="K61" s="9">
        <f t="shared" si="3"/>
        <v>165.19907043905999</v>
      </c>
      <c r="L61" s="10">
        <f t="shared" si="0"/>
        <v>0.24308502235146648</v>
      </c>
      <c r="M61" s="10">
        <f t="shared" si="4"/>
        <v>0.24464759688742405</v>
      </c>
      <c r="P61" s="8">
        <f t="shared" si="5"/>
        <v>-0.70664777360220676</v>
      </c>
      <c r="S61" s="11"/>
    </row>
    <row r="62" spans="1:25" x14ac:dyDescent="0.2">
      <c r="A62" s="8">
        <v>30</v>
      </c>
      <c r="B62" s="8">
        <v>60</v>
      </c>
      <c r="D62">
        <v>844.74878048781</v>
      </c>
      <c r="E62">
        <v>293.37073170731998</v>
      </c>
      <c r="F62">
        <v>153.02248995983999</v>
      </c>
      <c r="G62">
        <v>124.89076305221</v>
      </c>
      <c r="I62" s="9">
        <f t="shared" si="1"/>
        <v>168.47996865510999</v>
      </c>
      <c r="J62" s="9">
        <f t="shared" si="2"/>
        <v>691.72629052797004</v>
      </c>
      <c r="K62" s="9">
        <f t="shared" si="3"/>
        <v>168.47996865510999</v>
      </c>
      <c r="L62" s="10">
        <f t="shared" si="0"/>
        <v>0.24356450081796838</v>
      </c>
      <c r="M62" s="10">
        <f t="shared" si="4"/>
        <v>0.24515355966809471</v>
      </c>
      <c r="P62" s="8">
        <f t="shared" si="5"/>
        <v>-0.50129631610271752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848.43983739836995</v>
      </c>
      <c r="E63">
        <v>293.47723577236002</v>
      </c>
      <c r="F63">
        <v>153.45220883534</v>
      </c>
      <c r="G63">
        <v>124.27148594377999</v>
      </c>
      <c r="I63" s="9">
        <f t="shared" si="1"/>
        <v>169.20574982858002</v>
      </c>
      <c r="J63" s="9">
        <f t="shared" si="2"/>
        <v>694.98762856302994</v>
      </c>
      <c r="K63" s="9">
        <f t="shared" si="3"/>
        <v>169.20574982858002</v>
      </c>
      <c r="L63" s="10">
        <f t="shared" si="0"/>
        <v>0.24346584438982483</v>
      </c>
      <c r="M63" s="10">
        <f t="shared" si="4"/>
        <v>0.24508138755411993</v>
      </c>
      <c r="P63" s="8">
        <f t="shared" si="5"/>
        <v>-0.53058829045683076</v>
      </c>
    </row>
    <row r="64" spans="1:25" x14ac:dyDescent="0.2">
      <c r="A64" s="8">
        <v>31</v>
      </c>
      <c r="B64" s="8">
        <v>62</v>
      </c>
      <c r="D64">
        <v>845.39024390244003</v>
      </c>
      <c r="E64">
        <v>292.87073170731998</v>
      </c>
      <c r="F64">
        <v>154.49718875502001</v>
      </c>
      <c r="G64">
        <v>124.92851405623</v>
      </c>
      <c r="I64" s="9">
        <f t="shared" si="1"/>
        <v>167.94221765108998</v>
      </c>
      <c r="J64" s="9">
        <f t="shared" si="2"/>
        <v>690.89305514742</v>
      </c>
      <c r="K64" s="9">
        <f t="shared" si="3"/>
        <v>167.94221765108998</v>
      </c>
      <c r="L64" s="10">
        <f t="shared" si="0"/>
        <v>0.24307990419046133</v>
      </c>
      <c r="M64" s="10">
        <f t="shared" si="4"/>
        <v>0.2447219316689252</v>
      </c>
      <c r="P64" s="8">
        <f t="shared" si="5"/>
        <v>-0.67647805300747532</v>
      </c>
      <c r="U64" s="8">
        <v>30.5</v>
      </c>
      <c r="V64" s="10">
        <f>L62</f>
        <v>0.24356450081796838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849.16801948052</v>
      </c>
      <c r="E65">
        <v>292.58928571428999</v>
      </c>
      <c r="F65">
        <v>154.11967871485999</v>
      </c>
      <c r="G65">
        <v>125.09959839357001</v>
      </c>
      <c r="I65" s="9">
        <f t="shared" si="1"/>
        <v>167.48968732071998</v>
      </c>
      <c r="J65" s="9">
        <f t="shared" si="2"/>
        <v>695.04834076565999</v>
      </c>
      <c r="K65" s="9">
        <f t="shared" si="3"/>
        <v>167.48968732071998</v>
      </c>
      <c r="L65" s="10">
        <f t="shared" si="0"/>
        <v>0.2409755947855578</v>
      </c>
      <c r="M65" s="10">
        <f t="shared" si="4"/>
        <v>0.24264410657819044</v>
      </c>
      <c r="P65" s="8">
        <f t="shared" si="5"/>
        <v>-1.5197899073810539</v>
      </c>
      <c r="U65" s="8">
        <v>31</v>
      </c>
      <c r="V65" s="10">
        <f t="shared" ref="V65:V83" si="6">L63</f>
        <v>0.24346584438982483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854.25892857143003</v>
      </c>
      <c r="E66">
        <v>293.33279220779002</v>
      </c>
      <c r="F66">
        <v>153.34056224899999</v>
      </c>
      <c r="G66">
        <v>124.45783132530001</v>
      </c>
      <c r="I66" s="9">
        <f t="shared" si="1"/>
        <v>168.87496088249003</v>
      </c>
      <c r="J66" s="9">
        <f t="shared" si="2"/>
        <v>700.91836632243007</v>
      </c>
      <c r="K66" s="9">
        <f t="shared" si="3"/>
        <v>168.87496088249003</v>
      </c>
      <c r="L66" s="10">
        <f t="shared" ref="L66:L129" si="7">K66/J66</f>
        <v>0.24093385049751387</v>
      </c>
      <c r="M66" s="10">
        <f t="shared" si="4"/>
        <v>0.24262884660431527</v>
      </c>
      <c r="P66" s="8">
        <f t="shared" si="5"/>
        <v>-1.5259833627030353</v>
      </c>
      <c r="U66" s="8">
        <v>31.5</v>
      </c>
      <c r="V66" s="10">
        <f t="shared" si="6"/>
        <v>0.24307990419046133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866.29326923076997</v>
      </c>
      <c r="E67">
        <v>298.49358974359001</v>
      </c>
      <c r="F67">
        <v>152.35341365462</v>
      </c>
      <c r="G67">
        <v>124.65542168675</v>
      </c>
      <c r="I67" s="9">
        <f t="shared" ref="I67:I130" si="8">E67-G67</f>
        <v>173.83816805684</v>
      </c>
      <c r="J67" s="9">
        <f t="shared" ref="J67:J130" si="9">D67-F67</f>
        <v>713.93985557614997</v>
      </c>
      <c r="K67" s="9">
        <f t="shared" ref="K67:K130" si="10">I67*1</f>
        <v>173.83816805684</v>
      </c>
      <c r="L67" s="10">
        <f t="shared" si="7"/>
        <v>0.24349133431772413</v>
      </c>
      <c r="M67" s="10">
        <f t="shared" ref="M67:M130" si="11">L67+ABS($N$2)*A67</f>
        <v>0.24521281473869433</v>
      </c>
      <c r="P67" s="8">
        <f t="shared" ref="P67:P130" si="12">(M67-$O$2)/$O$2*100</f>
        <v>-0.47724688879951249</v>
      </c>
      <c r="U67" s="8">
        <v>32</v>
      </c>
      <c r="V67" s="10">
        <f t="shared" si="6"/>
        <v>0.2409755947855578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864.61298076923003</v>
      </c>
      <c r="E68">
        <v>296.20352564103001</v>
      </c>
      <c r="F68">
        <v>152.01927710843</v>
      </c>
      <c r="G68">
        <v>123.93253012048</v>
      </c>
      <c r="I68" s="9">
        <f t="shared" si="8"/>
        <v>172.27099552055</v>
      </c>
      <c r="J68" s="9">
        <f t="shared" si="9"/>
        <v>712.59370366079997</v>
      </c>
      <c r="K68" s="9">
        <f t="shared" si="10"/>
        <v>172.27099552055</v>
      </c>
      <c r="L68" s="10">
        <f t="shared" si="7"/>
        <v>0.24175205960359189</v>
      </c>
      <c r="M68" s="10">
        <f t="shared" si="11"/>
        <v>0.24350002433873086</v>
      </c>
      <c r="P68" s="8">
        <f t="shared" si="12"/>
        <v>-1.1724047511177913</v>
      </c>
      <c r="U68" s="8">
        <v>32.5</v>
      </c>
      <c r="V68" s="10">
        <f t="shared" si="6"/>
        <v>0.24093385049751387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855.82371794871995</v>
      </c>
      <c r="E69">
        <v>295</v>
      </c>
      <c r="F69">
        <v>151.67389558233</v>
      </c>
      <c r="G69">
        <v>124.15261044176999</v>
      </c>
      <c r="I69" s="9">
        <f t="shared" si="8"/>
        <v>170.84738955823002</v>
      </c>
      <c r="J69" s="9">
        <f t="shared" si="9"/>
        <v>704.14982236638991</v>
      </c>
      <c r="K69" s="9">
        <f t="shared" si="10"/>
        <v>170.84738955823002</v>
      </c>
      <c r="L69" s="10">
        <f t="shared" si="7"/>
        <v>0.24262931571021981</v>
      </c>
      <c r="M69" s="10">
        <f t="shared" si="11"/>
        <v>0.24440376475952755</v>
      </c>
      <c r="P69" s="8">
        <f t="shared" si="12"/>
        <v>-0.80561015732216568</v>
      </c>
      <c r="U69" s="8">
        <v>33</v>
      </c>
      <c r="V69" s="10">
        <f t="shared" si="6"/>
        <v>0.24349133431772413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853.05048076923003</v>
      </c>
      <c r="E70">
        <v>292.72275641025999</v>
      </c>
      <c r="F70">
        <v>151.27469879518</v>
      </c>
      <c r="G70">
        <v>123.93333333333</v>
      </c>
      <c r="I70" s="9">
        <f t="shared" si="8"/>
        <v>168.78942307693001</v>
      </c>
      <c r="J70" s="9">
        <f t="shared" si="9"/>
        <v>701.77578197405001</v>
      </c>
      <c r="K70" s="9">
        <f t="shared" si="10"/>
        <v>168.78942307693001</v>
      </c>
      <c r="L70" s="10">
        <f t="shared" si="7"/>
        <v>0.24051759466839429</v>
      </c>
      <c r="M70" s="10">
        <f t="shared" si="11"/>
        <v>0.24231852803187079</v>
      </c>
      <c r="P70" s="8">
        <f t="shared" si="12"/>
        <v>-1.6519301192137958</v>
      </c>
      <c r="U70" s="8">
        <v>33.5</v>
      </c>
      <c r="V70" s="10">
        <f t="shared" si="6"/>
        <v>0.24175205960359189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865.15708502023995</v>
      </c>
      <c r="E71">
        <v>295.86963562752999</v>
      </c>
      <c r="F71">
        <v>153.63694779117</v>
      </c>
      <c r="G71">
        <v>124.52530120482</v>
      </c>
      <c r="I71" s="9">
        <f t="shared" si="8"/>
        <v>171.34433442271001</v>
      </c>
      <c r="J71" s="9">
        <f t="shared" si="9"/>
        <v>711.52013722906997</v>
      </c>
      <c r="K71" s="9">
        <f t="shared" si="10"/>
        <v>171.34433442271001</v>
      </c>
      <c r="L71" s="10">
        <f t="shared" si="7"/>
        <v>0.24081445549804115</v>
      </c>
      <c r="M71" s="10">
        <f t="shared" si="11"/>
        <v>0.24264187317568642</v>
      </c>
      <c r="P71" s="8">
        <f t="shared" si="12"/>
        <v>-1.5206963623158927</v>
      </c>
      <c r="U71" s="8">
        <v>34</v>
      </c>
      <c r="V71" s="10">
        <f t="shared" si="6"/>
        <v>0.24262931571021981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867.74898785425</v>
      </c>
      <c r="E72">
        <v>297.12550607287</v>
      </c>
      <c r="F72">
        <v>153.39759036145</v>
      </c>
      <c r="G72">
        <v>125.00080321285</v>
      </c>
      <c r="I72" s="9">
        <f t="shared" si="8"/>
        <v>172.12470286001999</v>
      </c>
      <c r="J72" s="9">
        <f t="shared" si="9"/>
        <v>714.35139749280006</v>
      </c>
      <c r="K72" s="9">
        <f t="shared" si="10"/>
        <v>172.12470286001999</v>
      </c>
      <c r="L72" s="10">
        <f t="shared" si="7"/>
        <v>0.24095242686461579</v>
      </c>
      <c r="M72" s="10">
        <f t="shared" si="11"/>
        <v>0.24280632885642983</v>
      </c>
      <c r="P72" s="8">
        <f t="shared" si="12"/>
        <v>-1.4539499235957041</v>
      </c>
      <c r="U72" s="8">
        <v>34.5</v>
      </c>
      <c r="V72" s="10">
        <f t="shared" si="6"/>
        <v>0.24051759466839429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871.82912937346998</v>
      </c>
      <c r="E73">
        <v>298.09438567940998</v>
      </c>
      <c r="F73">
        <v>153.76626506023999</v>
      </c>
      <c r="G73">
        <v>124.52851405622999</v>
      </c>
      <c r="I73" s="9">
        <f t="shared" si="8"/>
        <v>173.56587162317999</v>
      </c>
      <c r="J73" s="9">
        <f t="shared" si="9"/>
        <v>718.06286431322997</v>
      </c>
      <c r="K73" s="9">
        <f t="shared" si="10"/>
        <v>173.56587162317999</v>
      </c>
      <c r="L73" s="10">
        <f t="shared" si="7"/>
        <v>0.24171403403402841</v>
      </c>
      <c r="M73" s="10">
        <f t="shared" si="11"/>
        <v>0.24359442034001125</v>
      </c>
      <c r="P73" s="8">
        <f t="shared" si="12"/>
        <v>-1.1340929282217331</v>
      </c>
      <c r="U73" s="8">
        <v>35</v>
      </c>
      <c r="V73" s="10">
        <f t="shared" si="6"/>
        <v>0.24081445549804115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878.22213181448001</v>
      </c>
      <c r="E74">
        <v>299.22375915378001</v>
      </c>
      <c r="F74">
        <v>152.71726907631</v>
      </c>
      <c r="G74">
        <v>124.44176706827</v>
      </c>
      <c r="I74" s="9">
        <f t="shared" si="8"/>
        <v>174.78199208551001</v>
      </c>
      <c r="J74" s="9">
        <f t="shared" si="9"/>
        <v>725.50486273817</v>
      </c>
      <c r="K74" s="9">
        <f t="shared" si="10"/>
        <v>174.78199208551001</v>
      </c>
      <c r="L74" s="10">
        <f t="shared" si="7"/>
        <v>0.24091084851706596</v>
      </c>
      <c r="M74" s="10">
        <f t="shared" si="11"/>
        <v>0.24281771913721756</v>
      </c>
      <c r="P74" s="8">
        <f t="shared" si="12"/>
        <v>-1.4493270326431571</v>
      </c>
      <c r="U74" s="8">
        <v>35.5</v>
      </c>
      <c r="V74" s="10">
        <f t="shared" si="6"/>
        <v>0.24095242686461579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870.52520325203</v>
      </c>
      <c r="E75">
        <v>301.85040650407001</v>
      </c>
      <c r="F75">
        <v>154.23855421687</v>
      </c>
      <c r="G75">
        <v>125.15421686747</v>
      </c>
      <c r="I75" s="9">
        <f t="shared" si="8"/>
        <v>176.69618963660002</v>
      </c>
      <c r="J75" s="9">
        <f t="shared" si="9"/>
        <v>716.28664903516005</v>
      </c>
      <c r="K75" s="9">
        <f t="shared" si="10"/>
        <v>176.69618963660002</v>
      </c>
      <c r="L75" s="10">
        <f t="shared" si="7"/>
        <v>0.24668362850907558</v>
      </c>
      <c r="M75" s="10">
        <f t="shared" si="11"/>
        <v>0.24861698344339594</v>
      </c>
      <c r="P75" s="8">
        <f t="shared" si="12"/>
        <v>0.90437846348038597</v>
      </c>
      <c r="U75" s="8">
        <v>36</v>
      </c>
      <c r="V75" s="10">
        <f t="shared" si="6"/>
        <v>0.24171403403402841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873.85517799352999</v>
      </c>
      <c r="E76">
        <v>307.98300970873998</v>
      </c>
      <c r="F76">
        <v>154.07951807229</v>
      </c>
      <c r="G76">
        <v>125.54216867469999</v>
      </c>
      <c r="I76" s="9">
        <f t="shared" si="8"/>
        <v>182.44084103403998</v>
      </c>
      <c r="J76" s="9">
        <f t="shared" si="9"/>
        <v>719.77565992124005</v>
      </c>
      <c r="K76" s="9">
        <f t="shared" si="10"/>
        <v>182.44084103403998</v>
      </c>
      <c r="L76" s="10">
        <f t="shared" si="7"/>
        <v>0.2534690337458802</v>
      </c>
      <c r="M76" s="10">
        <f t="shared" si="11"/>
        <v>0.25542887299436934</v>
      </c>
      <c r="P76" s="8">
        <f t="shared" si="12"/>
        <v>3.6690708500700562</v>
      </c>
      <c r="U76" s="8">
        <v>36.5</v>
      </c>
      <c r="V76" s="10">
        <f t="shared" si="6"/>
        <v>0.24091084851706596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868.20032310177999</v>
      </c>
      <c r="E77">
        <v>306.04523424879</v>
      </c>
      <c r="F77">
        <v>153.33975903615001</v>
      </c>
      <c r="G77">
        <v>125.46345381526</v>
      </c>
      <c r="I77" s="9">
        <f t="shared" si="8"/>
        <v>180.58178043353001</v>
      </c>
      <c r="J77" s="9">
        <f t="shared" si="9"/>
        <v>714.86056406563</v>
      </c>
      <c r="K77" s="9">
        <f t="shared" si="10"/>
        <v>180.58178043353001</v>
      </c>
      <c r="L77" s="10">
        <f t="shared" si="7"/>
        <v>0.25261119372218038</v>
      </c>
      <c r="M77" s="10">
        <f t="shared" si="11"/>
        <v>0.25459751728483832</v>
      </c>
      <c r="P77" s="8">
        <f t="shared" si="12"/>
        <v>3.3316545159546802</v>
      </c>
      <c r="U77" s="8">
        <v>37</v>
      </c>
      <c r="V77" s="10">
        <f t="shared" si="6"/>
        <v>0.24668362850907558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867.23717948718001</v>
      </c>
      <c r="E78">
        <v>303.34535256409998</v>
      </c>
      <c r="F78">
        <v>152.27550200803</v>
      </c>
      <c r="G78">
        <v>124.78554216868</v>
      </c>
      <c r="I78" s="9">
        <f t="shared" si="8"/>
        <v>178.55981039541999</v>
      </c>
      <c r="J78" s="9">
        <f t="shared" si="9"/>
        <v>714.96167747915001</v>
      </c>
      <c r="K78" s="9">
        <f t="shared" si="10"/>
        <v>178.55981039541999</v>
      </c>
      <c r="L78" s="10">
        <f t="shared" si="7"/>
        <v>0.24974738649628841</v>
      </c>
      <c r="M78" s="10">
        <f t="shared" si="11"/>
        <v>0.25176019437311509</v>
      </c>
      <c r="P78" s="8">
        <f t="shared" si="12"/>
        <v>2.1800907694143805</v>
      </c>
      <c r="U78" s="8">
        <v>37.5</v>
      </c>
      <c r="V78" s="10">
        <f t="shared" si="6"/>
        <v>0.2534690337458802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869.18910256410004</v>
      </c>
      <c r="E79">
        <v>303.00160256409998</v>
      </c>
      <c r="F79">
        <v>152.81044176706999</v>
      </c>
      <c r="G79">
        <v>124.15582329317</v>
      </c>
      <c r="I79" s="9">
        <f t="shared" si="8"/>
        <v>178.84577927093</v>
      </c>
      <c r="J79" s="9">
        <f t="shared" si="9"/>
        <v>716.37866079703008</v>
      </c>
      <c r="K79" s="9">
        <f t="shared" si="10"/>
        <v>178.84577927093</v>
      </c>
      <c r="L79" s="10">
        <f t="shared" si="7"/>
        <v>0.24965257769117435</v>
      </c>
      <c r="M79" s="10">
        <f t="shared" si="11"/>
        <v>0.25169186988216979</v>
      </c>
      <c r="P79" s="8">
        <f t="shared" si="12"/>
        <v>2.1523604020147689</v>
      </c>
      <c r="U79" s="8">
        <v>38</v>
      </c>
      <c r="V79" s="10">
        <f t="shared" si="6"/>
        <v>0.25261119372218038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860.20993589744</v>
      </c>
      <c r="E80">
        <v>298.55608974359001</v>
      </c>
      <c r="F80">
        <v>152.40160642570001</v>
      </c>
      <c r="G80">
        <v>124.45060240964</v>
      </c>
      <c r="I80" s="9">
        <f t="shared" si="8"/>
        <v>174.10548733395001</v>
      </c>
      <c r="J80" s="9">
        <f t="shared" si="9"/>
        <v>707.80832947173997</v>
      </c>
      <c r="K80" s="9">
        <f t="shared" si="10"/>
        <v>174.10548733395001</v>
      </c>
      <c r="L80" s="10">
        <f t="shared" si="7"/>
        <v>0.24597829678536068</v>
      </c>
      <c r="M80" s="10">
        <f t="shared" si="11"/>
        <v>0.24804407329052491</v>
      </c>
      <c r="P80" s="8">
        <f t="shared" si="12"/>
        <v>0.67185555981467293</v>
      </c>
      <c r="U80" s="8">
        <v>38.5</v>
      </c>
      <c r="V80" s="10">
        <f t="shared" si="6"/>
        <v>0.24974738649628841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856.04647435897004</v>
      </c>
      <c r="E81">
        <v>298.81089743590002</v>
      </c>
      <c r="F81">
        <v>151.85622489959999</v>
      </c>
      <c r="G81">
        <v>124.15983935743</v>
      </c>
      <c r="I81" s="9">
        <f t="shared" si="8"/>
        <v>174.65105807847002</v>
      </c>
      <c r="J81" s="9">
        <f t="shared" si="9"/>
        <v>704.19024945937008</v>
      </c>
      <c r="K81" s="9">
        <f t="shared" si="10"/>
        <v>174.65105807847002</v>
      </c>
      <c r="L81" s="10">
        <f t="shared" si="7"/>
        <v>0.24801686506246765</v>
      </c>
      <c r="M81" s="10">
        <f t="shared" si="11"/>
        <v>0.25010912588180062</v>
      </c>
      <c r="P81" s="8">
        <f t="shared" si="12"/>
        <v>1.5099835321320438</v>
      </c>
      <c r="U81" s="8">
        <v>39</v>
      </c>
      <c r="V81" s="10">
        <f t="shared" si="6"/>
        <v>0.24965257769117435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854.95352564102996</v>
      </c>
      <c r="E82">
        <v>297.16426282050998</v>
      </c>
      <c r="F82">
        <v>152.93092369478001</v>
      </c>
      <c r="G82">
        <v>124.23212851405999</v>
      </c>
      <c r="H82" s="13"/>
      <c r="I82" s="14">
        <f t="shared" si="8"/>
        <v>172.93213430645</v>
      </c>
      <c r="J82" s="14">
        <f t="shared" si="9"/>
        <v>702.02260194625001</v>
      </c>
      <c r="K82" s="9">
        <f t="shared" si="10"/>
        <v>172.93213430645</v>
      </c>
      <c r="L82" s="15">
        <f t="shared" si="7"/>
        <v>0.2463341405633126</v>
      </c>
      <c r="M82" s="15">
        <f t="shared" si="11"/>
        <v>0.24845288569681437</v>
      </c>
      <c r="N82" s="13"/>
      <c r="O82" s="13"/>
      <c r="P82" s="13">
        <f t="shared" si="12"/>
        <v>0.83777729691188585</v>
      </c>
      <c r="U82" s="8">
        <v>39.5</v>
      </c>
      <c r="V82" s="10">
        <f t="shared" si="6"/>
        <v>0.24597829678536068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874.49151172191</v>
      </c>
      <c r="E83">
        <v>305.92400970089</v>
      </c>
      <c r="F83">
        <v>153.12931726907999</v>
      </c>
      <c r="G83">
        <v>124.41686746988</v>
      </c>
      <c r="I83" s="9">
        <f t="shared" si="8"/>
        <v>181.50714223100999</v>
      </c>
      <c r="J83" s="9">
        <f t="shared" si="9"/>
        <v>721.36219445282995</v>
      </c>
      <c r="K83" s="9">
        <f t="shared" si="10"/>
        <v>181.50714223100999</v>
      </c>
      <c r="L83" s="10">
        <f t="shared" si="7"/>
        <v>0.25161720925600684</v>
      </c>
      <c r="M83" s="10">
        <f t="shared" si="11"/>
        <v>0.25376243870367737</v>
      </c>
      <c r="P83" s="8">
        <f t="shared" si="12"/>
        <v>2.9927272068338433</v>
      </c>
      <c r="U83" s="8">
        <v>40</v>
      </c>
      <c r="V83" s="10">
        <f t="shared" si="6"/>
        <v>0.24801686506246765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863.06570512820997</v>
      </c>
      <c r="E84">
        <v>316.17387820512999</v>
      </c>
      <c r="F84">
        <v>152.30120481928</v>
      </c>
      <c r="G84">
        <v>124.91405622489999</v>
      </c>
      <c r="I84" s="9">
        <f t="shared" si="8"/>
        <v>191.25982198023002</v>
      </c>
      <c r="J84" s="9">
        <f t="shared" si="9"/>
        <v>710.76450030893</v>
      </c>
      <c r="K84" s="9">
        <f t="shared" si="10"/>
        <v>191.25982198023002</v>
      </c>
      <c r="L84" s="10">
        <f t="shared" si="7"/>
        <v>0.2690902850340724</v>
      </c>
      <c r="M84" s="10">
        <f t="shared" si="11"/>
        <v>0.27126199879591173</v>
      </c>
      <c r="P84" s="8">
        <f t="shared" si="12"/>
        <v>10.095147202583084</v>
      </c>
      <c r="U84" s="8">
        <v>150.5</v>
      </c>
      <c r="V84" s="10">
        <f>L302</f>
        <v>0.27108459754256448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860.69230769231001</v>
      </c>
      <c r="E85">
        <v>345.41586538462002</v>
      </c>
      <c r="F85">
        <v>151.83052208834999</v>
      </c>
      <c r="G85">
        <v>125.16385542169</v>
      </c>
      <c r="I85" s="9">
        <f t="shared" si="8"/>
        <v>220.25200996293</v>
      </c>
      <c r="J85" s="9">
        <f t="shared" si="9"/>
        <v>708.86178560396002</v>
      </c>
      <c r="K85" s="9">
        <f t="shared" si="10"/>
        <v>220.25200996293</v>
      </c>
      <c r="L85" s="10">
        <f t="shared" si="7"/>
        <v>0.31071220714101871</v>
      </c>
      <c r="M85" s="10">
        <f t="shared" si="11"/>
        <v>0.31291040521702679</v>
      </c>
      <c r="P85" s="8">
        <f t="shared" si="12"/>
        <v>26.998684948522509</v>
      </c>
      <c r="U85" s="8">
        <v>151</v>
      </c>
      <c r="V85" s="10">
        <f t="shared" ref="V85:V103" si="13">L303</f>
        <v>0.26460885730985817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846.86217948718001</v>
      </c>
      <c r="E86">
        <v>350.07692307692002</v>
      </c>
      <c r="F86">
        <v>151.98875502007999</v>
      </c>
      <c r="G86">
        <v>125.14939759036</v>
      </c>
      <c r="I86" s="9">
        <f t="shared" si="8"/>
        <v>224.92752548656003</v>
      </c>
      <c r="J86" s="9">
        <f t="shared" si="9"/>
        <v>694.87342446709999</v>
      </c>
      <c r="K86" s="9">
        <f t="shared" si="10"/>
        <v>224.92752548656003</v>
      </c>
      <c r="L86" s="10">
        <f t="shared" si="7"/>
        <v>0.32369567976938746</v>
      </c>
      <c r="M86" s="10">
        <f t="shared" si="11"/>
        <v>0.32592036215956433</v>
      </c>
      <c r="P86" s="8">
        <f t="shared" si="12"/>
        <v>32.27894215758915</v>
      </c>
      <c r="U86" s="8">
        <v>151.5</v>
      </c>
      <c r="V86" s="10">
        <f t="shared" si="13"/>
        <v>0.25791046928889871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813.81490384614995</v>
      </c>
      <c r="E87">
        <v>327.77003205128</v>
      </c>
      <c r="F87">
        <v>152.29879518071999</v>
      </c>
      <c r="G87">
        <v>124.99759036144999</v>
      </c>
      <c r="I87" s="9">
        <f t="shared" si="8"/>
        <v>202.77244168983</v>
      </c>
      <c r="J87" s="9">
        <f t="shared" si="9"/>
        <v>661.51610866543001</v>
      </c>
      <c r="K87" s="9">
        <f t="shared" si="10"/>
        <v>202.77244168983</v>
      </c>
      <c r="L87" s="10">
        <f t="shared" si="7"/>
        <v>0.30652683892900434</v>
      </c>
      <c r="M87" s="10">
        <f t="shared" si="11"/>
        <v>0.30877800563334995</v>
      </c>
      <c r="P87" s="8">
        <f t="shared" si="12"/>
        <v>25.321497791883264</v>
      </c>
      <c r="U87" s="8">
        <v>152</v>
      </c>
      <c r="V87" s="10">
        <f t="shared" si="13"/>
        <v>0.25271350527480763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820.23349436393005</v>
      </c>
      <c r="E88">
        <v>320.56602254427997</v>
      </c>
      <c r="F88">
        <v>153.00883534137</v>
      </c>
      <c r="G88">
        <v>124.82248995984</v>
      </c>
      <c r="I88" s="9">
        <f t="shared" si="8"/>
        <v>195.74353258443998</v>
      </c>
      <c r="J88" s="9">
        <f t="shared" si="9"/>
        <v>667.22465902255999</v>
      </c>
      <c r="K88" s="9">
        <f t="shared" si="10"/>
        <v>195.74353258443998</v>
      </c>
      <c r="L88" s="10">
        <f t="shared" si="7"/>
        <v>0.2933697517582628</v>
      </c>
      <c r="M88" s="10">
        <f t="shared" si="11"/>
        <v>0.2956474027767772</v>
      </c>
      <c r="P88" s="8">
        <f t="shared" si="12"/>
        <v>19.992274897523235</v>
      </c>
      <c r="U88" s="8">
        <v>152.5</v>
      </c>
      <c r="V88" s="10">
        <f t="shared" si="13"/>
        <v>0.24499144130533654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852.73510466989001</v>
      </c>
      <c r="E89">
        <v>324.98550724638</v>
      </c>
      <c r="F89">
        <v>151.94216867470001</v>
      </c>
      <c r="G89">
        <v>124.28112449799001</v>
      </c>
      <c r="I89" s="9">
        <f t="shared" si="8"/>
        <v>200.70438274839</v>
      </c>
      <c r="J89" s="9">
        <f t="shared" si="9"/>
        <v>700.79293599518996</v>
      </c>
      <c r="K89" s="9">
        <f t="shared" si="10"/>
        <v>200.70438274839</v>
      </c>
      <c r="L89" s="10">
        <f t="shared" si="7"/>
        <v>0.28639612707193096</v>
      </c>
      <c r="M89" s="10">
        <f t="shared" si="11"/>
        <v>0.28870026240461416</v>
      </c>
      <c r="P89" s="8">
        <f t="shared" si="12"/>
        <v>17.172689237514358</v>
      </c>
      <c r="U89" s="8">
        <v>153</v>
      </c>
      <c r="V89" s="10">
        <f t="shared" si="13"/>
        <v>0.23979834801238903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851.23107890499</v>
      </c>
      <c r="E90">
        <v>319.67954911432997</v>
      </c>
      <c r="F90">
        <v>151.44337349398</v>
      </c>
      <c r="G90">
        <v>124.34297188754999</v>
      </c>
      <c r="I90" s="9">
        <f t="shared" si="8"/>
        <v>195.33657722677998</v>
      </c>
      <c r="J90" s="9">
        <f t="shared" si="9"/>
        <v>699.78770541100994</v>
      </c>
      <c r="K90" s="9">
        <f t="shared" si="10"/>
        <v>195.33657722677998</v>
      </c>
      <c r="L90" s="10">
        <f t="shared" si="7"/>
        <v>0.2791369092602905</v>
      </c>
      <c r="M90" s="10">
        <f t="shared" si="11"/>
        <v>0.28146752890714244</v>
      </c>
      <c r="P90" s="8">
        <f t="shared" si="12"/>
        <v>14.237191959547665</v>
      </c>
      <c r="U90" s="8">
        <v>153.5</v>
      </c>
      <c r="V90" s="10">
        <f t="shared" si="13"/>
        <v>0.23843161082844663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861.03623188406004</v>
      </c>
      <c r="E91">
        <v>319.83816425121</v>
      </c>
      <c r="F91">
        <v>150.36706827309001</v>
      </c>
      <c r="G91">
        <v>123.61124497992</v>
      </c>
      <c r="I91" s="9">
        <f t="shared" si="8"/>
        <v>196.22691927129</v>
      </c>
      <c r="J91" s="9">
        <f t="shared" si="9"/>
        <v>710.66916361097003</v>
      </c>
      <c r="K91" s="9">
        <f t="shared" si="10"/>
        <v>196.22691927129</v>
      </c>
      <c r="L91" s="10">
        <f t="shared" si="7"/>
        <v>0.27611570800996127</v>
      </c>
      <c r="M91" s="10">
        <f t="shared" si="11"/>
        <v>0.278472811970982</v>
      </c>
      <c r="P91" s="8">
        <f t="shared" si="12"/>
        <v>13.021747837701799</v>
      </c>
      <c r="U91" s="8">
        <v>154</v>
      </c>
      <c r="V91" s="10">
        <f t="shared" si="13"/>
        <v>0.24168092933588423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853.98067632849995</v>
      </c>
      <c r="E92">
        <v>315.84621578100001</v>
      </c>
      <c r="F92">
        <v>150.3453815261</v>
      </c>
      <c r="G92">
        <v>123.41526104418</v>
      </c>
      <c r="I92" s="9">
        <f t="shared" si="8"/>
        <v>192.43095473682001</v>
      </c>
      <c r="J92" s="9">
        <f t="shared" si="9"/>
        <v>703.63529480239993</v>
      </c>
      <c r="K92" s="9">
        <f t="shared" si="10"/>
        <v>192.43095473682001</v>
      </c>
      <c r="L92" s="10">
        <f t="shared" si="7"/>
        <v>0.27348110044829388</v>
      </c>
      <c r="M92" s="10">
        <f t="shared" si="11"/>
        <v>0.27586468872348335</v>
      </c>
      <c r="P92" s="8">
        <f t="shared" si="12"/>
        <v>11.963207702591024</v>
      </c>
      <c r="U92" s="8">
        <v>154.5</v>
      </c>
      <c r="V92" s="10">
        <f t="shared" si="13"/>
        <v>0.2418783082206922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835.39694041867995</v>
      </c>
      <c r="E93">
        <v>307.90177133654998</v>
      </c>
      <c r="F93">
        <v>150.83453815261001</v>
      </c>
      <c r="G93">
        <v>124.1156626506</v>
      </c>
      <c r="I93" s="9">
        <f t="shared" si="8"/>
        <v>183.78610868594998</v>
      </c>
      <c r="J93" s="9">
        <f t="shared" si="9"/>
        <v>684.56240226606997</v>
      </c>
      <c r="K93" s="9">
        <f t="shared" si="10"/>
        <v>183.78610868594998</v>
      </c>
      <c r="L93" s="10">
        <f t="shared" si="7"/>
        <v>0.26847239649383714</v>
      </c>
      <c r="M93" s="10">
        <f t="shared" si="11"/>
        <v>0.27088246908319541</v>
      </c>
      <c r="P93" s="8">
        <f t="shared" si="12"/>
        <v>9.9411102207178352</v>
      </c>
      <c r="U93" s="8">
        <v>155</v>
      </c>
      <c r="V93" s="10">
        <f t="shared" si="13"/>
        <v>0.23578845110179944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832.82689210950002</v>
      </c>
      <c r="E94">
        <v>305.44283413849001</v>
      </c>
      <c r="F94">
        <v>151.24578313252999</v>
      </c>
      <c r="G94">
        <v>124.33172690763</v>
      </c>
      <c r="I94" s="9">
        <f t="shared" si="8"/>
        <v>181.11110723086</v>
      </c>
      <c r="J94" s="9">
        <f t="shared" si="9"/>
        <v>681.58110897696997</v>
      </c>
      <c r="K94" s="9">
        <f t="shared" si="10"/>
        <v>181.11110723086</v>
      </c>
      <c r="L94" s="10">
        <f t="shared" si="7"/>
        <v>0.26572201729989497</v>
      </c>
      <c r="M94" s="10">
        <f t="shared" si="11"/>
        <v>0.26815857420342198</v>
      </c>
      <c r="P94" s="8">
        <f t="shared" si="12"/>
        <v>8.8355826898282501</v>
      </c>
      <c r="U94" s="8">
        <v>155.5</v>
      </c>
      <c r="V94" s="10">
        <f t="shared" si="13"/>
        <v>0.23640947994170333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797.08132045088996</v>
      </c>
      <c r="E95">
        <v>295.35185185184997</v>
      </c>
      <c r="F95">
        <v>151.69558232931999</v>
      </c>
      <c r="G95">
        <v>124.52128514056</v>
      </c>
      <c r="I95" s="9">
        <f t="shared" si="8"/>
        <v>170.83056671128998</v>
      </c>
      <c r="J95" s="9">
        <f t="shared" si="9"/>
        <v>645.38573812156994</v>
      </c>
      <c r="K95" s="9">
        <f t="shared" si="10"/>
        <v>170.83056671128998</v>
      </c>
      <c r="L95" s="10">
        <f t="shared" si="7"/>
        <v>0.26469529247501128</v>
      </c>
      <c r="M95" s="10">
        <f t="shared" si="11"/>
        <v>0.26715833369270708</v>
      </c>
      <c r="P95" s="8">
        <f t="shared" si="12"/>
        <v>8.4296223018861269</v>
      </c>
      <c r="U95" s="8">
        <v>156</v>
      </c>
      <c r="V95" s="10">
        <f t="shared" si="13"/>
        <v>0.23226421617969253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800.55233494363995</v>
      </c>
      <c r="E96">
        <v>292.54911433171998</v>
      </c>
      <c r="F96">
        <v>151.66586345382001</v>
      </c>
      <c r="G96">
        <v>124.38634538153001</v>
      </c>
      <c r="I96" s="9">
        <f t="shared" si="8"/>
        <v>168.16276895018996</v>
      </c>
      <c r="J96" s="9">
        <f t="shared" si="9"/>
        <v>648.88647148982</v>
      </c>
      <c r="K96" s="9">
        <f t="shared" si="10"/>
        <v>168.16276895018996</v>
      </c>
      <c r="L96" s="10">
        <f t="shared" si="7"/>
        <v>0.25915591762006424</v>
      </c>
      <c r="M96" s="10">
        <f t="shared" si="11"/>
        <v>0.26164544315192884</v>
      </c>
      <c r="P96" s="8">
        <f t="shared" si="12"/>
        <v>6.1921452564730997</v>
      </c>
      <c r="U96" s="8">
        <v>156.5</v>
      </c>
      <c r="V96" s="10">
        <f t="shared" si="13"/>
        <v>0.23018551041240667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796.06924315619995</v>
      </c>
      <c r="E97">
        <v>291.73349436392999</v>
      </c>
      <c r="F97">
        <v>151.95903614458001</v>
      </c>
      <c r="G97">
        <v>124.50120481928001</v>
      </c>
      <c r="I97" s="9">
        <f t="shared" si="8"/>
        <v>167.23228954464997</v>
      </c>
      <c r="J97" s="9">
        <f t="shared" si="9"/>
        <v>644.11020701161988</v>
      </c>
      <c r="K97" s="9">
        <f t="shared" si="10"/>
        <v>167.23228954464997</v>
      </c>
      <c r="L97" s="10">
        <f t="shared" si="7"/>
        <v>0.25963303752091149</v>
      </c>
      <c r="M97" s="10">
        <f t="shared" si="11"/>
        <v>0.26214904736694483</v>
      </c>
      <c r="P97" s="8">
        <f t="shared" si="12"/>
        <v>6.3965394599742753</v>
      </c>
      <c r="U97" s="8">
        <v>157</v>
      </c>
      <c r="V97" s="10">
        <f t="shared" si="13"/>
        <v>0.22984902055855522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796.82845528455005</v>
      </c>
      <c r="E98">
        <v>294.10487804877999</v>
      </c>
      <c r="F98">
        <v>152.1140562249</v>
      </c>
      <c r="G98">
        <v>123.93253012048</v>
      </c>
      <c r="I98" s="9">
        <f t="shared" si="8"/>
        <v>170.17234792829998</v>
      </c>
      <c r="J98" s="9">
        <f t="shared" si="9"/>
        <v>644.71439905965008</v>
      </c>
      <c r="K98" s="9">
        <f t="shared" si="10"/>
        <v>170.17234792829998</v>
      </c>
      <c r="L98" s="10">
        <f t="shared" si="7"/>
        <v>0.26394997254056263</v>
      </c>
      <c r="M98" s="10">
        <f t="shared" si="11"/>
        <v>0.26649246670076476</v>
      </c>
      <c r="P98" s="8">
        <f t="shared" si="12"/>
        <v>8.1593716776901974</v>
      </c>
      <c r="U98" s="8">
        <v>157.5</v>
      </c>
      <c r="V98" s="10">
        <f t="shared" si="13"/>
        <v>0.22882544304243072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797.5414987913</v>
      </c>
      <c r="E99">
        <v>292.17969379533002</v>
      </c>
      <c r="F99">
        <v>153.37269076305</v>
      </c>
      <c r="G99">
        <v>124.96064257028</v>
      </c>
      <c r="I99" s="9">
        <f t="shared" si="8"/>
        <v>167.21905122505001</v>
      </c>
      <c r="J99" s="9">
        <f t="shared" si="9"/>
        <v>644.16880802824994</v>
      </c>
      <c r="K99" s="9">
        <f t="shared" si="10"/>
        <v>167.21905122505001</v>
      </c>
      <c r="L99" s="10">
        <f t="shared" si="7"/>
        <v>0.25958886729845609</v>
      </c>
      <c r="M99" s="10">
        <f t="shared" si="11"/>
        <v>0.26215784577282697</v>
      </c>
      <c r="P99" s="8">
        <f t="shared" si="12"/>
        <v>6.4001104053888263</v>
      </c>
      <c r="U99" s="8">
        <v>158</v>
      </c>
      <c r="V99" s="10">
        <f t="shared" si="13"/>
        <v>0.23105758609359053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809.14111922141001</v>
      </c>
      <c r="E100">
        <v>311.43957826439998</v>
      </c>
      <c r="F100">
        <v>152.70763052209</v>
      </c>
      <c r="G100">
        <v>125.35261044177</v>
      </c>
      <c r="I100" s="9">
        <f t="shared" si="8"/>
        <v>186.08696782262999</v>
      </c>
      <c r="J100" s="9">
        <f t="shared" si="9"/>
        <v>656.43348869932004</v>
      </c>
      <c r="K100" s="9">
        <f t="shared" si="10"/>
        <v>186.08696782262999</v>
      </c>
      <c r="L100" s="10">
        <f t="shared" si="7"/>
        <v>0.28348183178671937</v>
      </c>
      <c r="M100" s="10">
        <f t="shared" si="11"/>
        <v>0.28607729457525904</v>
      </c>
      <c r="P100" s="8">
        <f t="shared" si="12"/>
        <v>16.108124239238442</v>
      </c>
      <c r="U100" s="8">
        <v>158.5</v>
      </c>
      <c r="V100" s="10">
        <f t="shared" si="13"/>
        <v>0.22681859395808002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815.94991922455995</v>
      </c>
      <c r="E101">
        <v>306.97980613892997</v>
      </c>
      <c r="F101">
        <v>152.85863453815</v>
      </c>
      <c r="G101">
        <v>124.43132530120999</v>
      </c>
      <c r="I101" s="9">
        <f t="shared" si="8"/>
        <v>182.54848083771998</v>
      </c>
      <c r="J101" s="9">
        <f t="shared" si="9"/>
        <v>663.09128468640995</v>
      </c>
      <c r="K101" s="9">
        <f t="shared" si="10"/>
        <v>182.54848083771998</v>
      </c>
      <c r="L101" s="10">
        <f t="shared" si="7"/>
        <v>0.27529917079825755</v>
      </c>
      <c r="M101" s="10">
        <f t="shared" si="11"/>
        <v>0.27792111790096602</v>
      </c>
      <c r="P101" s="8">
        <f t="shared" si="12"/>
        <v>12.797835752268483</v>
      </c>
      <c r="U101" s="8">
        <v>159</v>
      </c>
      <c r="V101" s="10">
        <f t="shared" si="13"/>
        <v>0.22504280153391348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809.55088852989002</v>
      </c>
      <c r="E102">
        <v>301.31421647819002</v>
      </c>
      <c r="F102">
        <v>152.34297188754999</v>
      </c>
      <c r="G102">
        <v>124.36224899598</v>
      </c>
      <c r="I102" s="9">
        <f t="shared" si="8"/>
        <v>176.95196748221002</v>
      </c>
      <c r="J102" s="9">
        <f t="shared" si="9"/>
        <v>657.20791664234002</v>
      </c>
      <c r="K102" s="9">
        <f t="shared" si="10"/>
        <v>176.95196748221002</v>
      </c>
      <c r="L102" s="10">
        <f t="shared" si="7"/>
        <v>0.26924807659994954</v>
      </c>
      <c r="M102" s="10">
        <f t="shared" si="11"/>
        <v>0.27189650801682674</v>
      </c>
      <c r="P102" s="8">
        <f t="shared" si="12"/>
        <v>10.352670874856075</v>
      </c>
      <c r="U102" s="8">
        <v>159.5</v>
      </c>
      <c r="V102" s="10">
        <f t="shared" si="13"/>
        <v>0.22289928305468665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782.50403877221004</v>
      </c>
      <c r="E103">
        <v>294.65266558965999</v>
      </c>
      <c r="F103">
        <v>152.54859437751</v>
      </c>
      <c r="G103">
        <v>124.53172690763</v>
      </c>
      <c r="I103" s="9">
        <f t="shared" si="8"/>
        <v>170.12093868202999</v>
      </c>
      <c r="J103" s="9">
        <f t="shared" si="9"/>
        <v>629.95544439470007</v>
      </c>
      <c r="K103" s="9">
        <f t="shared" si="10"/>
        <v>170.12093868202999</v>
      </c>
      <c r="L103" s="10">
        <f t="shared" si="7"/>
        <v>0.27005233496393172</v>
      </c>
      <c r="M103" s="10">
        <f t="shared" si="11"/>
        <v>0.27272725069497772</v>
      </c>
      <c r="P103" s="8">
        <f t="shared" si="12"/>
        <v>10.689838402355242</v>
      </c>
      <c r="U103" s="8">
        <v>160</v>
      </c>
      <c r="V103" s="10">
        <f t="shared" si="13"/>
        <v>0.22089675711718174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773.20274636510999</v>
      </c>
      <c r="E104">
        <v>299.83925686590999</v>
      </c>
      <c r="F104">
        <v>153.24979919679001</v>
      </c>
      <c r="G104">
        <v>125.1718875502</v>
      </c>
      <c r="I104" s="9">
        <f t="shared" si="8"/>
        <v>174.66736931571</v>
      </c>
      <c r="J104" s="9">
        <f t="shared" si="9"/>
        <v>619.95294716831995</v>
      </c>
      <c r="K104" s="9">
        <f t="shared" si="10"/>
        <v>174.66736931571</v>
      </c>
      <c r="L104" s="10">
        <f t="shared" si="7"/>
        <v>0.28174294535337863</v>
      </c>
      <c r="M104" s="10">
        <f t="shared" si="11"/>
        <v>0.28444434539859337</v>
      </c>
      <c r="P104" s="8">
        <f t="shared" si="12"/>
        <v>15.445370957255127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763.96526655897003</v>
      </c>
      <c r="E105">
        <v>298.75928917609002</v>
      </c>
      <c r="F105">
        <v>153.08514056224999</v>
      </c>
      <c r="G105">
        <v>124.97911646586</v>
      </c>
      <c r="I105" s="9">
        <f t="shared" si="8"/>
        <v>173.78017271023003</v>
      </c>
      <c r="J105" s="9">
        <f t="shared" si="9"/>
        <v>610.88012599672004</v>
      </c>
      <c r="K105" s="9">
        <f t="shared" si="10"/>
        <v>173.78017271023003</v>
      </c>
      <c r="L105" s="10">
        <f t="shared" si="7"/>
        <v>0.28447507999493032</v>
      </c>
      <c r="M105" s="10">
        <f t="shared" si="11"/>
        <v>0.28720296435431386</v>
      </c>
      <c r="P105" s="8">
        <f t="shared" si="12"/>
        <v>16.564991697919158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787.48837209301996</v>
      </c>
      <c r="E106">
        <v>303.06495589414999</v>
      </c>
      <c r="F106">
        <v>152.94698795181</v>
      </c>
      <c r="G106">
        <v>124.53654618474</v>
      </c>
      <c r="I106" s="9">
        <f t="shared" si="8"/>
        <v>178.52840970940997</v>
      </c>
      <c r="J106" s="9">
        <f t="shared" si="9"/>
        <v>634.54138414120996</v>
      </c>
      <c r="K106" s="9">
        <f t="shared" si="10"/>
        <v>178.52840970940997</v>
      </c>
      <c r="L106" s="10">
        <f t="shared" si="7"/>
        <v>0.28135030144807782</v>
      </c>
      <c r="M106" s="10">
        <f t="shared" si="11"/>
        <v>0.2841046701216301</v>
      </c>
      <c r="P106" s="8">
        <f t="shared" si="12"/>
        <v>15.307509407224726</v>
      </c>
      <c r="X106" s="8">
        <v>-13</v>
      </c>
    </row>
    <row r="107" spans="1:25" x14ac:dyDescent="0.2">
      <c r="A107" s="8">
        <v>52.5</v>
      </c>
      <c r="B107" s="8">
        <v>105</v>
      </c>
      <c r="D107">
        <v>763.62469927826999</v>
      </c>
      <c r="E107">
        <v>297.13392141139002</v>
      </c>
      <c r="F107">
        <v>152.55823293173</v>
      </c>
      <c r="G107">
        <v>125.01124497991999</v>
      </c>
      <c r="I107" s="9">
        <f t="shared" si="8"/>
        <v>172.12267643147004</v>
      </c>
      <c r="J107" s="9">
        <f t="shared" si="9"/>
        <v>611.06646634653998</v>
      </c>
      <c r="K107" s="9">
        <f t="shared" si="10"/>
        <v>172.12267643147004</v>
      </c>
      <c r="L107" s="10">
        <f t="shared" si="7"/>
        <v>0.28167586655599275</v>
      </c>
      <c r="M107" s="10">
        <f t="shared" si="11"/>
        <v>0.28445671954371382</v>
      </c>
      <c r="P107" s="8">
        <f t="shared" si="12"/>
        <v>15.450393162114597</v>
      </c>
      <c r="X107" s="8">
        <v>-13</v>
      </c>
    </row>
    <row r="108" spans="1:25" x14ac:dyDescent="0.2">
      <c r="A108" s="8">
        <v>53</v>
      </c>
      <c r="B108" s="8">
        <v>106</v>
      </c>
      <c r="D108">
        <v>789.15887096773997</v>
      </c>
      <c r="E108">
        <v>297.48870967741999</v>
      </c>
      <c r="F108">
        <v>153.39036144578</v>
      </c>
      <c r="G108">
        <v>125.55823293173</v>
      </c>
      <c r="I108" s="9">
        <f t="shared" si="8"/>
        <v>171.93047674568999</v>
      </c>
      <c r="J108" s="9">
        <f t="shared" si="9"/>
        <v>635.76850952195991</v>
      </c>
      <c r="K108" s="9">
        <f t="shared" si="10"/>
        <v>171.93047674568999</v>
      </c>
      <c r="L108" s="10">
        <f t="shared" si="7"/>
        <v>0.27042936882005381</v>
      </c>
      <c r="M108" s="10">
        <f t="shared" si="11"/>
        <v>0.27323670612194367</v>
      </c>
      <c r="P108" s="8">
        <f t="shared" si="12"/>
        <v>10.896607394967328</v>
      </c>
      <c r="X108" s="8">
        <v>-13</v>
      </c>
    </row>
    <row r="109" spans="1:25" x14ac:dyDescent="0.2">
      <c r="A109" s="8">
        <v>53.5</v>
      </c>
      <c r="B109" s="8">
        <v>107</v>
      </c>
      <c r="D109">
        <v>802.07258064515997</v>
      </c>
      <c r="E109">
        <v>297.72016129031999</v>
      </c>
      <c r="F109">
        <v>153.06345381526</v>
      </c>
      <c r="G109">
        <v>124.8843373494</v>
      </c>
      <c r="I109" s="9">
        <f t="shared" si="8"/>
        <v>172.83582394091999</v>
      </c>
      <c r="J109" s="9">
        <f t="shared" si="9"/>
        <v>649.00912682989997</v>
      </c>
      <c r="K109" s="9">
        <f t="shared" si="10"/>
        <v>172.83582394091999</v>
      </c>
      <c r="L109" s="10">
        <f t="shared" si="7"/>
        <v>0.26630723174131704</v>
      </c>
      <c r="M109" s="10">
        <f t="shared" si="11"/>
        <v>0.26914105335737565</v>
      </c>
      <c r="P109" s="8">
        <f t="shared" si="12"/>
        <v>9.2343344042524222</v>
      </c>
      <c r="X109" s="8">
        <v>-13</v>
      </c>
    </row>
    <row r="110" spans="1:25" x14ac:dyDescent="0.2">
      <c r="A110" s="8">
        <v>54</v>
      </c>
      <c r="B110" s="8">
        <v>108</v>
      </c>
      <c r="D110">
        <v>814.00481154772001</v>
      </c>
      <c r="E110">
        <v>299.93424218123999</v>
      </c>
      <c r="F110">
        <v>152.63855421687001</v>
      </c>
      <c r="G110">
        <v>124.56626506024</v>
      </c>
      <c r="I110" s="9">
        <f t="shared" si="8"/>
        <v>175.367977121</v>
      </c>
      <c r="J110" s="9">
        <f t="shared" si="9"/>
        <v>661.36625733084998</v>
      </c>
      <c r="K110" s="9">
        <f t="shared" si="10"/>
        <v>175.367977121</v>
      </c>
      <c r="L110" s="10">
        <f t="shared" si="7"/>
        <v>0.26516015169681051</v>
      </c>
      <c r="M110" s="10">
        <f t="shared" si="11"/>
        <v>0.26802045762703791</v>
      </c>
      <c r="P110" s="8">
        <f t="shared" si="12"/>
        <v>8.7795263130573851</v>
      </c>
      <c r="X110" s="8">
        <v>-13</v>
      </c>
    </row>
    <row r="111" spans="1:25" x14ac:dyDescent="0.2">
      <c r="A111" s="8">
        <v>54.5</v>
      </c>
      <c r="B111" s="8">
        <v>109</v>
      </c>
      <c r="D111">
        <v>813.72333600642003</v>
      </c>
      <c r="E111">
        <v>299.75701684042002</v>
      </c>
      <c r="F111">
        <v>152.17751004016</v>
      </c>
      <c r="G111">
        <v>124.47309236948</v>
      </c>
      <c r="I111" s="9">
        <f t="shared" si="8"/>
        <v>175.28392447094001</v>
      </c>
      <c r="J111" s="9">
        <f t="shared" si="9"/>
        <v>661.54582596626005</v>
      </c>
      <c r="K111" s="9">
        <f t="shared" si="10"/>
        <v>175.28392447094001</v>
      </c>
      <c r="L111" s="10">
        <f t="shared" si="7"/>
        <v>0.26496112225471102</v>
      </c>
      <c r="M111" s="10">
        <f t="shared" si="11"/>
        <v>0.26784791249910717</v>
      </c>
      <c r="P111" s="8">
        <f t="shared" si="12"/>
        <v>8.7094966688648849</v>
      </c>
      <c r="X111" s="8">
        <v>-13</v>
      </c>
    </row>
    <row r="112" spans="1:25" x14ac:dyDescent="0.2">
      <c r="A112" s="8">
        <v>55</v>
      </c>
      <c r="B112" s="8">
        <v>110</v>
      </c>
      <c r="D112">
        <v>818.38412189253995</v>
      </c>
      <c r="E112">
        <v>299.42582197273998</v>
      </c>
      <c r="F112">
        <v>152.14618473895999</v>
      </c>
      <c r="G112">
        <v>124.82730923695</v>
      </c>
      <c r="I112" s="9">
        <f t="shared" si="8"/>
        <v>174.59851273579</v>
      </c>
      <c r="J112" s="9">
        <f t="shared" si="9"/>
        <v>666.23793715357999</v>
      </c>
      <c r="K112" s="9">
        <f t="shared" si="10"/>
        <v>174.59851273579</v>
      </c>
      <c r="L112" s="10">
        <f t="shared" si="7"/>
        <v>0.26206630244104795</v>
      </c>
      <c r="M112" s="10">
        <f t="shared" si="11"/>
        <v>0.26497957699961289</v>
      </c>
      <c r="P112" s="8">
        <f t="shared" si="12"/>
        <v>7.5453460674354291</v>
      </c>
      <c r="X112" s="8">
        <v>-13</v>
      </c>
    </row>
    <row r="113" spans="1:24" x14ac:dyDescent="0.2">
      <c r="A113" s="8">
        <v>55.5</v>
      </c>
      <c r="B113" s="8">
        <v>111</v>
      </c>
      <c r="D113">
        <v>814.19246190857996</v>
      </c>
      <c r="E113">
        <v>295.09382518042997</v>
      </c>
      <c r="F113">
        <v>151.96867469879999</v>
      </c>
      <c r="G113">
        <v>124.18554216868</v>
      </c>
      <c r="I113" s="9">
        <f t="shared" si="8"/>
        <v>170.90828301174997</v>
      </c>
      <c r="J113" s="9">
        <f t="shared" si="9"/>
        <v>662.22378720977997</v>
      </c>
      <c r="K113" s="9">
        <f t="shared" si="10"/>
        <v>170.90828301174997</v>
      </c>
      <c r="L113" s="10">
        <f t="shared" si="7"/>
        <v>0.25808236779270127</v>
      </c>
      <c r="M113" s="10">
        <f t="shared" si="11"/>
        <v>0.26102212666543501</v>
      </c>
      <c r="P113" s="8">
        <f t="shared" si="12"/>
        <v>5.9391642984364168</v>
      </c>
      <c r="X113" s="8">
        <v>-13</v>
      </c>
    </row>
    <row r="114" spans="1:24" x14ac:dyDescent="0.2">
      <c r="A114" s="8">
        <v>56</v>
      </c>
      <c r="B114" s="8">
        <v>112</v>
      </c>
      <c r="D114">
        <v>811.48949919225004</v>
      </c>
      <c r="E114">
        <v>296.86025848141998</v>
      </c>
      <c r="F114">
        <v>151.63373493975999</v>
      </c>
      <c r="G114">
        <v>124.71967871486</v>
      </c>
      <c r="I114" s="9">
        <f t="shared" si="8"/>
        <v>172.14057976655999</v>
      </c>
      <c r="J114" s="9">
        <f t="shared" si="9"/>
        <v>659.85576425249008</v>
      </c>
      <c r="K114" s="9">
        <f t="shared" si="10"/>
        <v>172.14057976655999</v>
      </c>
      <c r="L114" s="10">
        <f t="shared" si="7"/>
        <v>0.26087607185119832</v>
      </c>
      <c r="M114" s="10">
        <f t="shared" si="11"/>
        <v>0.26384231503810079</v>
      </c>
      <c r="P114" s="8">
        <f t="shared" si="12"/>
        <v>7.0837737734305701</v>
      </c>
      <c r="X114" s="8">
        <v>-13</v>
      </c>
    </row>
    <row r="115" spans="1:24" x14ac:dyDescent="0.2">
      <c r="A115" s="8">
        <v>56.5</v>
      </c>
      <c r="B115" s="8">
        <v>113</v>
      </c>
      <c r="D115">
        <v>819.51050080774996</v>
      </c>
      <c r="E115">
        <v>298.89579967690003</v>
      </c>
      <c r="F115">
        <v>152.25381526103999</v>
      </c>
      <c r="G115">
        <v>124.61686746988001</v>
      </c>
      <c r="I115" s="9">
        <f t="shared" si="8"/>
        <v>174.27893220702003</v>
      </c>
      <c r="J115" s="9">
        <f t="shared" si="9"/>
        <v>667.25668554670995</v>
      </c>
      <c r="K115" s="9">
        <f t="shared" si="10"/>
        <v>174.27893220702003</v>
      </c>
      <c r="L115" s="10">
        <f t="shared" si="7"/>
        <v>0.26118724020610806</v>
      </c>
      <c r="M115" s="10">
        <f t="shared" si="11"/>
        <v>0.26417996770717933</v>
      </c>
      <c r="P115" s="8">
        <f t="shared" si="12"/>
        <v>7.2208144222149757</v>
      </c>
      <c r="X115" s="8">
        <v>-13</v>
      </c>
    </row>
    <row r="116" spans="1:24" x14ac:dyDescent="0.2">
      <c r="A116" s="8">
        <v>57</v>
      </c>
      <c r="B116" s="8">
        <v>114</v>
      </c>
      <c r="D116">
        <v>806.17708333332996</v>
      </c>
      <c r="E116">
        <v>298.25</v>
      </c>
      <c r="F116">
        <v>153.45140562249</v>
      </c>
      <c r="G116">
        <v>124.99437751004</v>
      </c>
      <c r="I116" s="9">
        <f t="shared" si="8"/>
        <v>173.25562248995999</v>
      </c>
      <c r="J116" s="9">
        <f t="shared" si="9"/>
        <v>652.72567771083993</v>
      </c>
      <c r="K116" s="9">
        <f t="shared" si="10"/>
        <v>173.25562248995999</v>
      </c>
      <c r="L116" s="10">
        <f t="shared" si="7"/>
        <v>0.26543405354846927</v>
      </c>
      <c r="M116" s="10">
        <f t="shared" si="11"/>
        <v>0.26845326536370928</v>
      </c>
      <c r="P116" s="8">
        <f t="shared" si="12"/>
        <v>8.9551868614967631</v>
      </c>
      <c r="X116" s="8">
        <v>-13</v>
      </c>
    </row>
    <row r="117" spans="1:24" x14ac:dyDescent="0.2">
      <c r="A117" s="8">
        <v>57.5</v>
      </c>
      <c r="B117" s="8">
        <v>115</v>
      </c>
      <c r="D117">
        <v>821.82744783306998</v>
      </c>
      <c r="E117">
        <v>302.24799357945</v>
      </c>
      <c r="F117">
        <v>152.95903614458001</v>
      </c>
      <c r="G117">
        <v>125.36305220884</v>
      </c>
      <c r="I117" s="9">
        <f t="shared" si="8"/>
        <v>176.88494137060999</v>
      </c>
      <c r="J117" s="9">
        <f t="shared" si="9"/>
        <v>668.86841168848991</v>
      </c>
      <c r="K117" s="9">
        <f t="shared" si="10"/>
        <v>176.88494137060999</v>
      </c>
      <c r="L117" s="10">
        <f t="shared" si="7"/>
        <v>0.26445402156768333</v>
      </c>
      <c r="M117" s="10">
        <f t="shared" si="11"/>
        <v>0.26749971769709213</v>
      </c>
      <c r="P117" s="8">
        <f t="shared" si="12"/>
        <v>8.5681773607672529</v>
      </c>
      <c r="X117" s="8">
        <v>-13</v>
      </c>
    </row>
    <row r="118" spans="1:24" x14ac:dyDescent="0.2">
      <c r="A118" s="8">
        <v>58</v>
      </c>
      <c r="B118" s="8">
        <v>116</v>
      </c>
      <c r="D118">
        <v>821.85113268607995</v>
      </c>
      <c r="E118">
        <v>316.17233009709003</v>
      </c>
      <c r="F118">
        <v>152.56867469880001</v>
      </c>
      <c r="G118">
        <v>125.2843373494</v>
      </c>
      <c r="I118" s="9">
        <f t="shared" si="8"/>
        <v>190.88799274769002</v>
      </c>
      <c r="J118" s="9">
        <f t="shared" si="9"/>
        <v>669.28245798727994</v>
      </c>
      <c r="K118" s="9">
        <f t="shared" si="10"/>
        <v>190.88799274769002</v>
      </c>
      <c r="L118" s="10">
        <f t="shared" si="7"/>
        <v>0.28521290296737156</v>
      </c>
      <c r="M118" s="10">
        <f t="shared" si="11"/>
        <v>0.28828508341094911</v>
      </c>
      <c r="P118" s="8">
        <f t="shared" si="12"/>
        <v>17.00418353960654</v>
      </c>
      <c r="X118" s="8">
        <v>-13</v>
      </c>
    </row>
    <row r="119" spans="1:24" x14ac:dyDescent="0.2">
      <c r="A119" s="8">
        <v>58.5</v>
      </c>
      <c r="B119" s="8">
        <v>117</v>
      </c>
      <c r="D119">
        <v>822.39320388349995</v>
      </c>
      <c r="E119">
        <v>311.02912621359002</v>
      </c>
      <c r="F119">
        <v>152.99036144578</v>
      </c>
      <c r="G119">
        <v>124.57831325300999</v>
      </c>
      <c r="I119" s="9">
        <f t="shared" si="8"/>
        <v>186.45081296058004</v>
      </c>
      <c r="J119" s="9">
        <f t="shared" si="9"/>
        <v>669.40284243771998</v>
      </c>
      <c r="K119" s="9">
        <f t="shared" si="10"/>
        <v>186.45081296058004</v>
      </c>
      <c r="L119" s="10">
        <f t="shared" si="7"/>
        <v>0.27853304638145016</v>
      </c>
      <c r="M119" s="10">
        <f t="shared" si="11"/>
        <v>0.28163171113919649</v>
      </c>
      <c r="P119" s="8">
        <f t="shared" si="12"/>
        <v>14.303827415624356</v>
      </c>
      <c r="X119" s="8">
        <v>-13</v>
      </c>
    </row>
    <row r="120" spans="1:24" x14ac:dyDescent="0.2">
      <c r="A120" s="8">
        <v>59</v>
      </c>
      <c r="B120" s="8">
        <v>118</v>
      </c>
      <c r="D120">
        <v>808.36731391586</v>
      </c>
      <c r="E120">
        <v>308.04368932039</v>
      </c>
      <c r="F120">
        <v>153.01124497992001</v>
      </c>
      <c r="G120">
        <v>124.52289156627</v>
      </c>
      <c r="I120" s="9">
        <f t="shared" si="8"/>
        <v>183.52079775412</v>
      </c>
      <c r="J120" s="9">
        <f t="shared" si="9"/>
        <v>655.35606893594002</v>
      </c>
      <c r="K120" s="9">
        <f t="shared" si="10"/>
        <v>183.52079775412</v>
      </c>
      <c r="L120" s="10">
        <f t="shared" si="7"/>
        <v>0.28003219387605738</v>
      </c>
      <c r="M120" s="10">
        <f t="shared" si="11"/>
        <v>0.28315734294797251</v>
      </c>
      <c r="P120" s="8">
        <f t="shared" si="12"/>
        <v>14.923024573020921</v>
      </c>
      <c r="X120" s="8">
        <v>-13</v>
      </c>
    </row>
    <row r="121" spans="1:24" x14ac:dyDescent="0.2">
      <c r="A121" s="8">
        <v>59.5</v>
      </c>
      <c r="B121" s="8">
        <v>119</v>
      </c>
      <c r="D121">
        <v>802.04673650281995</v>
      </c>
      <c r="E121">
        <v>316.91861402094997</v>
      </c>
      <c r="F121">
        <v>152.73574297189001</v>
      </c>
      <c r="G121">
        <v>125.27148594377999</v>
      </c>
      <c r="I121" s="9">
        <f t="shared" si="8"/>
        <v>191.64712807716998</v>
      </c>
      <c r="J121" s="9">
        <f t="shared" si="9"/>
        <v>649.31099353092998</v>
      </c>
      <c r="K121" s="9">
        <f t="shared" si="10"/>
        <v>191.64712807716998</v>
      </c>
      <c r="L121" s="10">
        <f t="shared" si="7"/>
        <v>0.29515460231929808</v>
      </c>
      <c r="M121" s="10">
        <f t="shared" si="11"/>
        <v>0.29830623570538195</v>
      </c>
      <c r="P121" s="8">
        <f t="shared" si="12"/>
        <v>21.071396204455915</v>
      </c>
      <c r="X121" s="8">
        <v>-13</v>
      </c>
    </row>
    <row r="122" spans="1:24" x14ac:dyDescent="0.2">
      <c r="A122" s="8">
        <v>60</v>
      </c>
      <c r="B122" s="8">
        <v>120</v>
      </c>
      <c r="D122">
        <v>812.92637540452995</v>
      </c>
      <c r="E122">
        <v>322.01699029126002</v>
      </c>
      <c r="F122">
        <v>152.38714859437999</v>
      </c>
      <c r="G122">
        <v>125.09397590361</v>
      </c>
      <c r="I122" s="9">
        <f t="shared" si="8"/>
        <v>196.92301438765003</v>
      </c>
      <c r="J122" s="9">
        <f t="shared" si="9"/>
        <v>660.53922681015001</v>
      </c>
      <c r="K122" s="9">
        <f t="shared" si="10"/>
        <v>196.92301438765003</v>
      </c>
      <c r="L122" s="10">
        <f t="shared" si="7"/>
        <v>0.29812463271655021</v>
      </c>
      <c r="M122" s="10">
        <f t="shared" si="11"/>
        <v>0.30130275041680288</v>
      </c>
      <c r="P122" s="8">
        <f t="shared" si="12"/>
        <v>22.287569976355307</v>
      </c>
      <c r="X122" s="8">
        <v>-13</v>
      </c>
    </row>
    <row r="123" spans="1:24" x14ac:dyDescent="0.2">
      <c r="A123" s="8">
        <v>60.5</v>
      </c>
      <c r="B123" s="8">
        <v>121</v>
      </c>
      <c r="D123">
        <v>827.53074433657002</v>
      </c>
      <c r="E123">
        <v>327.97087378640998</v>
      </c>
      <c r="F123">
        <v>152.50763052209001</v>
      </c>
      <c r="G123">
        <v>125.17831325301</v>
      </c>
      <c r="I123" s="9">
        <f t="shared" si="8"/>
        <v>202.79256053339998</v>
      </c>
      <c r="J123" s="9">
        <f t="shared" si="9"/>
        <v>675.02311381447998</v>
      </c>
      <c r="K123" s="9">
        <f t="shared" si="10"/>
        <v>202.79256053339998</v>
      </c>
      <c r="L123" s="10">
        <f t="shared" si="7"/>
        <v>0.30042313571670448</v>
      </c>
      <c r="M123" s="10">
        <f t="shared" si="11"/>
        <v>0.30362773773112589</v>
      </c>
      <c r="P123" s="8">
        <f t="shared" si="12"/>
        <v>23.23119577632264</v>
      </c>
      <c r="X123" s="8">
        <v>-13</v>
      </c>
    </row>
    <row r="124" spans="1:24" x14ac:dyDescent="0.2">
      <c r="A124" s="8">
        <v>61</v>
      </c>
      <c r="B124" s="8">
        <v>122</v>
      </c>
      <c r="D124">
        <v>832.29129373473995</v>
      </c>
      <c r="E124">
        <v>334.87794955248</v>
      </c>
      <c r="F124">
        <v>153.1686746988</v>
      </c>
      <c r="G124">
        <v>124.82409638554</v>
      </c>
      <c r="I124" s="9">
        <f t="shared" si="8"/>
        <v>210.05385316694</v>
      </c>
      <c r="J124" s="9">
        <f t="shared" si="9"/>
        <v>679.12261903593992</v>
      </c>
      <c r="K124" s="9">
        <f t="shared" si="10"/>
        <v>210.05385316694</v>
      </c>
      <c r="L124" s="10">
        <f t="shared" si="7"/>
        <v>0.30930180688890252</v>
      </c>
      <c r="M124" s="10">
        <f t="shared" si="11"/>
        <v>0.31253289321749272</v>
      </c>
      <c r="P124" s="8">
        <f t="shared" si="12"/>
        <v>26.845466881325731</v>
      </c>
      <c r="X124" s="8">
        <v>-13</v>
      </c>
    </row>
    <row r="125" spans="1:24" x14ac:dyDescent="0.2">
      <c r="A125" s="8">
        <v>61.5</v>
      </c>
      <c r="B125" s="8">
        <v>123</v>
      </c>
      <c r="D125">
        <v>840.07160292921003</v>
      </c>
      <c r="E125">
        <v>358.45484133442</v>
      </c>
      <c r="F125">
        <v>153.69397590361001</v>
      </c>
      <c r="G125">
        <v>125.64417670683</v>
      </c>
      <c r="I125" s="9">
        <f t="shared" si="8"/>
        <v>232.81066462759</v>
      </c>
      <c r="J125" s="9">
        <f t="shared" si="9"/>
        <v>686.37762702560008</v>
      </c>
      <c r="K125" s="9">
        <f t="shared" si="10"/>
        <v>232.81066462759</v>
      </c>
      <c r="L125" s="10">
        <f t="shared" si="7"/>
        <v>0.33918743190460487</v>
      </c>
      <c r="M125" s="10">
        <f t="shared" si="11"/>
        <v>0.34244500254736382</v>
      </c>
      <c r="P125" s="8">
        <f t="shared" si="12"/>
        <v>38.985678538062771</v>
      </c>
      <c r="X125" s="8">
        <v>-13</v>
      </c>
    </row>
    <row r="126" spans="1:24" x14ac:dyDescent="0.2">
      <c r="A126" s="8">
        <v>62</v>
      </c>
      <c r="B126" s="8">
        <v>124</v>
      </c>
      <c r="D126">
        <v>832.44668820678999</v>
      </c>
      <c r="E126">
        <v>348.34733441034001</v>
      </c>
      <c r="F126">
        <v>152.33413654619</v>
      </c>
      <c r="G126">
        <v>124.77991967872001</v>
      </c>
      <c r="I126" s="9">
        <f t="shared" si="8"/>
        <v>223.56741473162</v>
      </c>
      <c r="J126" s="9">
        <f t="shared" si="9"/>
        <v>680.11255166060005</v>
      </c>
      <c r="K126" s="9">
        <f t="shared" si="10"/>
        <v>223.56741473162</v>
      </c>
      <c r="L126" s="10">
        <f t="shared" si="7"/>
        <v>0.32872120090379975</v>
      </c>
      <c r="M126" s="10">
        <f t="shared" si="11"/>
        <v>0.33200525586072749</v>
      </c>
      <c r="P126" s="8">
        <f t="shared" si="12"/>
        <v>34.748573992181839</v>
      </c>
      <c r="X126" s="8">
        <v>-13</v>
      </c>
    </row>
    <row r="127" spans="1:24" x14ac:dyDescent="0.2">
      <c r="A127" s="8">
        <v>62.5</v>
      </c>
      <c r="B127" s="8">
        <v>125</v>
      </c>
      <c r="D127">
        <v>822.24878836834</v>
      </c>
      <c r="E127">
        <v>358.51534733441002</v>
      </c>
      <c r="F127">
        <v>153.18393574296999</v>
      </c>
      <c r="G127">
        <v>125.01847389558</v>
      </c>
      <c r="I127" s="9">
        <f t="shared" si="8"/>
        <v>233.49687343883002</v>
      </c>
      <c r="J127" s="9">
        <f t="shared" si="9"/>
        <v>669.06485262537001</v>
      </c>
      <c r="K127" s="9">
        <f t="shared" si="10"/>
        <v>233.49687343883002</v>
      </c>
      <c r="L127" s="10">
        <f t="shared" si="7"/>
        <v>0.34898989615521187</v>
      </c>
      <c r="M127" s="10">
        <f t="shared" si="11"/>
        <v>0.3523004354263084</v>
      </c>
      <c r="P127" s="8">
        <f t="shared" si="12"/>
        <v>42.985631861303325</v>
      </c>
      <c r="X127" s="8">
        <v>-13</v>
      </c>
    </row>
    <row r="128" spans="1:24" x14ac:dyDescent="0.2">
      <c r="A128" s="8">
        <v>63</v>
      </c>
      <c r="B128" s="8">
        <v>126</v>
      </c>
      <c r="D128">
        <v>823.52955465587002</v>
      </c>
      <c r="E128">
        <v>388.13036437247001</v>
      </c>
      <c r="F128">
        <v>154.05461847390001</v>
      </c>
      <c r="G128">
        <v>126.2875502008</v>
      </c>
      <c r="I128" s="9">
        <f t="shared" si="8"/>
        <v>261.84281417167</v>
      </c>
      <c r="J128" s="9">
        <f t="shared" si="9"/>
        <v>669.47493618196995</v>
      </c>
      <c r="K128" s="9">
        <f t="shared" si="10"/>
        <v>261.84281417167</v>
      </c>
      <c r="L128" s="10">
        <f t="shared" si="7"/>
        <v>0.39111667968477692</v>
      </c>
      <c r="M128" s="10">
        <f t="shared" si="11"/>
        <v>0.3944537032700422</v>
      </c>
      <c r="P128" s="8">
        <f t="shared" si="12"/>
        <v>60.094074064508561</v>
      </c>
      <c r="X128" s="8">
        <v>-13</v>
      </c>
    </row>
    <row r="129" spans="1:24" x14ac:dyDescent="0.2">
      <c r="A129" s="8">
        <v>63.5</v>
      </c>
      <c r="B129" s="8">
        <v>127</v>
      </c>
      <c r="D129">
        <v>835.83643724696003</v>
      </c>
      <c r="E129">
        <v>404.65182186235</v>
      </c>
      <c r="F129">
        <v>154.75823293172999</v>
      </c>
      <c r="G129">
        <v>126.22088353414</v>
      </c>
      <c r="I129" s="9">
        <f t="shared" si="8"/>
        <v>278.43093832821</v>
      </c>
      <c r="J129" s="9">
        <f t="shared" si="9"/>
        <v>681.0782043152301</v>
      </c>
      <c r="K129" s="9">
        <f t="shared" si="10"/>
        <v>278.43093832821</v>
      </c>
      <c r="L129" s="10">
        <f t="shared" si="7"/>
        <v>0.40880905682211655</v>
      </c>
      <c r="M129" s="10">
        <f t="shared" si="11"/>
        <v>0.41217256472155062</v>
      </c>
      <c r="P129" s="8">
        <f t="shared" si="12"/>
        <v>67.285500318186209</v>
      </c>
      <c r="X129" s="8">
        <v>-13</v>
      </c>
    </row>
    <row r="130" spans="1:24" x14ac:dyDescent="0.2">
      <c r="A130" s="8">
        <v>64</v>
      </c>
      <c r="B130" s="8">
        <v>128</v>
      </c>
      <c r="D130">
        <v>832.65101214574997</v>
      </c>
      <c r="E130">
        <v>389.22672064776998</v>
      </c>
      <c r="F130">
        <v>154.55502008031999</v>
      </c>
      <c r="G130">
        <v>125.93493975904001</v>
      </c>
      <c r="I130" s="9">
        <f t="shared" si="8"/>
        <v>263.29178088872999</v>
      </c>
      <c r="J130" s="9">
        <f t="shared" si="9"/>
        <v>678.09599206542998</v>
      </c>
      <c r="K130" s="9">
        <f t="shared" si="10"/>
        <v>263.29178088872999</v>
      </c>
      <c r="L130" s="10">
        <f t="shared" ref="L130:L193" si="14">K130/J130</f>
        <v>0.38828098671806449</v>
      </c>
      <c r="M130" s="10">
        <f t="shared" si="11"/>
        <v>0.3916709789316673</v>
      </c>
      <c r="P130" s="8">
        <f t="shared" si="12"/>
        <v>58.96466984638181</v>
      </c>
      <c r="X130" s="8">
        <v>-13</v>
      </c>
    </row>
    <row r="131" spans="1:24" x14ac:dyDescent="0.2">
      <c r="A131" s="8">
        <v>64.5</v>
      </c>
      <c r="B131" s="8">
        <v>129</v>
      </c>
      <c r="D131">
        <v>828.00404858299999</v>
      </c>
      <c r="E131">
        <v>369.05748987854003</v>
      </c>
      <c r="F131">
        <v>154.87550200803</v>
      </c>
      <c r="G131">
        <v>125.70120481927999</v>
      </c>
      <c r="I131" s="9">
        <f t="shared" ref="I131:I194" si="15">E131-G131</f>
        <v>243.35628505926002</v>
      </c>
      <c r="J131" s="9">
        <f t="shared" ref="J131:J194" si="16">D131-F131</f>
        <v>673.12854657496996</v>
      </c>
      <c r="K131" s="9">
        <f t="shared" ref="K131:K194" si="17">I131*1</f>
        <v>243.35628505926002</v>
      </c>
      <c r="L131" s="10">
        <f t="shared" si="14"/>
        <v>0.36153018067278792</v>
      </c>
      <c r="M131" s="10">
        <f t="shared" ref="M131:M181" si="18">L131+ABS($N$2)*A131</f>
        <v>0.36494665720055952</v>
      </c>
      <c r="P131" s="8">
        <f t="shared" ref="P131:P194" si="19">(M131-$O$2)/$O$2*100</f>
        <v>48.118262506114718</v>
      </c>
      <c r="X131" s="8">
        <v>-13</v>
      </c>
    </row>
    <row r="132" spans="1:24" x14ac:dyDescent="0.2">
      <c r="A132" s="8">
        <v>65</v>
      </c>
      <c r="B132" s="8">
        <v>130</v>
      </c>
      <c r="D132">
        <v>825.56763285023999</v>
      </c>
      <c r="E132">
        <v>370.91304347826002</v>
      </c>
      <c r="F132">
        <v>156.54216867470001</v>
      </c>
      <c r="G132">
        <v>126.84337349398</v>
      </c>
      <c r="I132" s="9">
        <f t="shared" si="15"/>
        <v>244.06966998428004</v>
      </c>
      <c r="J132" s="9">
        <f t="shared" si="16"/>
        <v>669.02546417554004</v>
      </c>
      <c r="K132" s="9">
        <f t="shared" si="17"/>
        <v>244.06966998428004</v>
      </c>
      <c r="L132" s="10">
        <f t="shared" si="14"/>
        <v>0.36481372242692489</v>
      </c>
      <c r="M132" s="10">
        <f t="shared" si="18"/>
        <v>0.36825668326886529</v>
      </c>
      <c r="P132" s="8">
        <f t="shared" si="19"/>
        <v>49.461678866873335</v>
      </c>
      <c r="X132" s="8">
        <v>-13</v>
      </c>
    </row>
    <row r="133" spans="1:24" x14ac:dyDescent="0.2">
      <c r="A133" s="8">
        <v>65.5</v>
      </c>
      <c r="B133" s="8">
        <v>131</v>
      </c>
      <c r="D133">
        <v>835.46457326892005</v>
      </c>
      <c r="E133">
        <v>382.86312399356001</v>
      </c>
      <c r="F133">
        <v>155.74618473896001</v>
      </c>
      <c r="G133">
        <v>126.34457831325</v>
      </c>
      <c r="I133" s="9">
        <f t="shared" si="15"/>
        <v>256.51854568031001</v>
      </c>
      <c r="J133" s="9">
        <f t="shared" si="16"/>
        <v>679.71838852996007</v>
      </c>
      <c r="K133" s="9">
        <f t="shared" si="17"/>
        <v>256.51854568031001</v>
      </c>
      <c r="L133" s="10">
        <f t="shared" si="14"/>
        <v>0.37738944540707153</v>
      </c>
      <c r="M133" s="10">
        <f t="shared" si="18"/>
        <v>0.38085889056318067</v>
      </c>
      <c r="P133" s="8">
        <f t="shared" si="19"/>
        <v>54.576445672779606</v>
      </c>
      <c r="X133" s="8">
        <v>-13</v>
      </c>
    </row>
    <row r="134" spans="1:24" x14ac:dyDescent="0.2">
      <c r="A134" s="8">
        <v>66</v>
      </c>
      <c r="B134" s="8">
        <v>132</v>
      </c>
      <c r="D134">
        <v>814.22302737519999</v>
      </c>
      <c r="E134">
        <v>369.46215780998</v>
      </c>
      <c r="F134">
        <v>155.87228915662999</v>
      </c>
      <c r="G134">
        <v>126.26586345382</v>
      </c>
      <c r="I134" s="9">
        <f t="shared" si="15"/>
        <v>243.19629435616</v>
      </c>
      <c r="J134" s="9">
        <f t="shared" si="16"/>
        <v>658.35073821856997</v>
      </c>
      <c r="K134" s="9">
        <f t="shared" si="17"/>
        <v>243.19629435616</v>
      </c>
      <c r="L134" s="10">
        <f t="shared" si="14"/>
        <v>0.36940232650794075</v>
      </c>
      <c r="M134" s="10">
        <f t="shared" si="18"/>
        <v>0.37289825597821868</v>
      </c>
      <c r="P134" s="8">
        <f t="shared" si="19"/>
        <v>51.345520440540362</v>
      </c>
      <c r="X134" s="8">
        <v>-13</v>
      </c>
    </row>
    <row r="135" spans="1:24" x14ac:dyDescent="0.2">
      <c r="A135" s="8">
        <v>66.5</v>
      </c>
      <c r="B135" s="8">
        <v>133</v>
      </c>
      <c r="D135">
        <v>800.83333333332996</v>
      </c>
      <c r="E135">
        <v>352.96215780998</v>
      </c>
      <c r="F135">
        <v>154.46666666666999</v>
      </c>
      <c r="G135">
        <v>125.20642570280999</v>
      </c>
      <c r="I135" s="9">
        <f t="shared" si="15"/>
        <v>227.75573210716999</v>
      </c>
      <c r="J135" s="9">
        <f t="shared" si="16"/>
        <v>646.36666666665997</v>
      </c>
      <c r="K135" s="9">
        <f t="shared" si="17"/>
        <v>227.75573210716999</v>
      </c>
      <c r="L135" s="10">
        <f t="shared" si="14"/>
        <v>0.35236305312852201</v>
      </c>
      <c r="M135" s="10">
        <f t="shared" si="18"/>
        <v>0.35588546691296868</v>
      </c>
      <c r="P135" s="8">
        <f t="shared" si="19"/>
        <v>44.440662683909309</v>
      </c>
      <c r="X135" s="8">
        <v>-13</v>
      </c>
    </row>
    <row r="136" spans="1:24" x14ac:dyDescent="0.2">
      <c r="A136" s="8">
        <v>67</v>
      </c>
      <c r="B136" s="8">
        <v>134</v>
      </c>
      <c r="D136">
        <v>796.04347826086996</v>
      </c>
      <c r="E136">
        <v>348.5692431562</v>
      </c>
      <c r="F136">
        <v>153.19196787148999</v>
      </c>
      <c r="G136">
        <v>125.14779116466001</v>
      </c>
      <c r="I136" s="9">
        <f t="shared" si="15"/>
        <v>223.42145199153998</v>
      </c>
      <c r="J136" s="9">
        <f t="shared" si="16"/>
        <v>642.85151038938</v>
      </c>
      <c r="K136" s="9">
        <f t="shared" si="17"/>
        <v>223.42145199153998</v>
      </c>
      <c r="L136" s="10">
        <f t="shared" si="14"/>
        <v>0.34754752595387373</v>
      </c>
      <c r="M136" s="10">
        <f t="shared" si="18"/>
        <v>0.3510964240524892</v>
      </c>
      <c r="P136" s="8">
        <f t="shared" si="19"/>
        <v>42.49696846568358</v>
      </c>
      <c r="X136" s="8">
        <v>-13</v>
      </c>
    </row>
    <row r="137" spans="1:24" x14ac:dyDescent="0.2">
      <c r="A137" s="8">
        <v>67.5</v>
      </c>
      <c r="B137" s="8">
        <v>135</v>
      </c>
      <c r="D137">
        <v>785.15136876006</v>
      </c>
      <c r="E137">
        <v>339.46135265701002</v>
      </c>
      <c r="F137">
        <v>153.74297188755</v>
      </c>
      <c r="G137">
        <v>125.06506024095999</v>
      </c>
      <c r="I137" s="9">
        <f t="shared" si="15"/>
        <v>214.39629241605002</v>
      </c>
      <c r="J137" s="9">
        <f t="shared" si="16"/>
        <v>631.40839687251002</v>
      </c>
      <c r="K137" s="9">
        <f t="shared" si="17"/>
        <v>214.39629241605002</v>
      </c>
      <c r="L137" s="10">
        <f t="shared" si="14"/>
        <v>0.33955248849713915</v>
      </c>
      <c r="M137" s="10">
        <f t="shared" si="18"/>
        <v>0.34312787090992336</v>
      </c>
      <c r="P137" s="8">
        <f t="shared" si="19"/>
        <v>39.262829385692349</v>
      </c>
      <c r="X137" s="8">
        <v>-13</v>
      </c>
    </row>
    <row r="138" spans="1:24" x14ac:dyDescent="0.2">
      <c r="A138" s="8">
        <v>68</v>
      </c>
      <c r="B138" s="8">
        <v>136</v>
      </c>
      <c r="D138">
        <v>773.93236714976001</v>
      </c>
      <c r="E138">
        <v>327.86473429952002</v>
      </c>
      <c r="F138">
        <v>153.22730923694999</v>
      </c>
      <c r="G138">
        <v>125.13895582329</v>
      </c>
      <c r="I138" s="9">
        <f t="shared" si="15"/>
        <v>202.72577847623</v>
      </c>
      <c r="J138" s="9">
        <f t="shared" si="16"/>
        <v>620.70505791281005</v>
      </c>
      <c r="K138" s="9">
        <f t="shared" si="17"/>
        <v>202.72577847623</v>
      </c>
      <c r="L138" s="10">
        <f t="shared" si="14"/>
        <v>0.32660564932065811</v>
      </c>
      <c r="M138" s="10">
        <f t="shared" si="18"/>
        <v>0.33020751604761112</v>
      </c>
      <c r="P138" s="8">
        <f t="shared" si="19"/>
        <v>34.018938325425943</v>
      </c>
      <c r="X138" s="8">
        <v>-13</v>
      </c>
    </row>
    <row r="139" spans="1:24" x14ac:dyDescent="0.2">
      <c r="A139" s="8">
        <v>68.5</v>
      </c>
      <c r="B139" s="8">
        <v>137</v>
      </c>
      <c r="D139">
        <v>772.08051529790998</v>
      </c>
      <c r="E139">
        <v>321.29388083736001</v>
      </c>
      <c r="F139">
        <v>152.97269076305</v>
      </c>
      <c r="G139">
        <v>125.01124497991999</v>
      </c>
      <c r="I139" s="9">
        <f t="shared" si="15"/>
        <v>196.28263585744003</v>
      </c>
      <c r="J139" s="9">
        <f t="shared" si="16"/>
        <v>619.10782453486001</v>
      </c>
      <c r="K139" s="9">
        <f t="shared" si="17"/>
        <v>196.28263585744003</v>
      </c>
      <c r="L139" s="10">
        <f t="shared" si="14"/>
        <v>0.31704111639181515</v>
      </c>
      <c r="M139" s="10">
        <f t="shared" si="18"/>
        <v>0.32066946743293695</v>
      </c>
      <c r="P139" s="8">
        <f t="shared" si="19"/>
        <v>30.14779945997801</v>
      </c>
      <c r="X139" s="8">
        <v>-13</v>
      </c>
    </row>
    <row r="140" spans="1:24" x14ac:dyDescent="0.2">
      <c r="A140" s="8">
        <v>69</v>
      </c>
      <c r="B140" s="8">
        <v>138</v>
      </c>
      <c r="D140">
        <v>766.42914653783998</v>
      </c>
      <c r="E140">
        <v>313.15217391303997</v>
      </c>
      <c r="F140">
        <v>153.88514056225</v>
      </c>
      <c r="G140">
        <v>125.00481927711</v>
      </c>
      <c r="I140" s="9">
        <f t="shared" si="15"/>
        <v>188.14735463592996</v>
      </c>
      <c r="J140" s="9">
        <f t="shared" si="16"/>
        <v>612.54400597558993</v>
      </c>
      <c r="K140" s="9">
        <f t="shared" si="17"/>
        <v>188.14735463592996</v>
      </c>
      <c r="L140" s="10">
        <f t="shared" si="14"/>
        <v>0.30715728633450656</v>
      </c>
      <c r="M140" s="10">
        <f t="shared" si="18"/>
        <v>0.31081212168979711</v>
      </c>
      <c r="P140" s="8">
        <f t="shared" si="19"/>
        <v>26.147069776369658</v>
      </c>
      <c r="X140" s="8">
        <v>-13</v>
      </c>
    </row>
    <row r="141" spans="1:24" x14ac:dyDescent="0.2">
      <c r="A141" s="8">
        <v>69.5</v>
      </c>
      <c r="B141" s="8">
        <v>139</v>
      </c>
      <c r="D141">
        <v>790.15144230768999</v>
      </c>
      <c r="E141">
        <v>313.21955128205002</v>
      </c>
      <c r="F141">
        <v>152.64176706827001</v>
      </c>
      <c r="G141">
        <v>124.4859437751</v>
      </c>
      <c r="I141" s="9">
        <f t="shared" si="15"/>
        <v>188.73360750695002</v>
      </c>
      <c r="J141" s="9">
        <f t="shared" si="16"/>
        <v>637.50967523941995</v>
      </c>
      <c r="K141" s="9">
        <f t="shared" si="17"/>
        <v>188.73360750695002</v>
      </c>
      <c r="L141" s="10">
        <f t="shared" si="14"/>
        <v>0.29604822457960372</v>
      </c>
      <c r="M141" s="10">
        <f t="shared" si="18"/>
        <v>0.29972954424906306</v>
      </c>
      <c r="P141" s="8">
        <f t="shared" si="19"/>
        <v>21.649064157677632</v>
      </c>
      <c r="X141" s="8">
        <v>-13</v>
      </c>
    </row>
    <row r="142" spans="1:24" x14ac:dyDescent="0.2">
      <c r="A142" s="8">
        <v>70</v>
      </c>
      <c r="B142" s="8">
        <v>140</v>
      </c>
      <c r="D142">
        <v>769.60416666667004</v>
      </c>
      <c r="E142">
        <v>300.47596153846001</v>
      </c>
      <c r="F142">
        <v>153.74056224899999</v>
      </c>
      <c r="G142">
        <v>124.75582329317</v>
      </c>
      <c r="I142" s="9">
        <f t="shared" si="15"/>
        <v>175.72013824529</v>
      </c>
      <c r="J142" s="9">
        <f t="shared" si="16"/>
        <v>615.8636044176701</v>
      </c>
      <c r="K142" s="9">
        <f t="shared" si="17"/>
        <v>175.72013824529</v>
      </c>
      <c r="L142" s="10">
        <f t="shared" si="14"/>
        <v>0.28532314133328629</v>
      </c>
      <c r="M142" s="10">
        <f t="shared" si="18"/>
        <v>0.28903094531691437</v>
      </c>
      <c r="P142" s="8">
        <f t="shared" si="19"/>
        <v>17.30690112148142</v>
      </c>
      <c r="X142" s="8">
        <v>-13</v>
      </c>
    </row>
    <row r="143" spans="1:24" x14ac:dyDescent="0.2">
      <c r="A143" s="8">
        <v>70.5</v>
      </c>
      <c r="B143" s="8">
        <v>141</v>
      </c>
      <c r="D143">
        <v>767.07692307692002</v>
      </c>
      <c r="E143">
        <v>296.62179487179998</v>
      </c>
      <c r="F143">
        <v>152.85060240964</v>
      </c>
      <c r="G143">
        <v>124.78795180723</v>
      </c>
      <c r="I143" s="9">
        <f t="shared" si="15"/>
        <v>171.83384306456998</v>
      </c>
      <c r="J143" s="9">
        <f t="shared" si="16"/>
        <v>614.22632066727999</v>
      </c>
      <c r="K143" s="9">
        <f t="shared" si="17"/>
        <v>171.83384306456998</v>
      </c>
      <c r="L143" s="10">
        <f t="shared" si="14"/>
        <v>0.2797565608681406</v>
      </c>
      <c r="M143" s="10">
        <f t="shared" si="18"/>
        <v>0.28349084916593748</v>
      </c>
      <c r="P143" s="8">
        <f t="shared" si="19"/>
        <v>15.058382331655789</v>
      </c>
      <c r="X143" s="8">
        <v>-13</v>
      </c>
    </row>
    <row r="144" spans="1:24" x14ac:dyDescent="0.2">
      <c r="A144" s="8">
        <v>71</v>
      </c>
      <c r="B144" s="8">
        <v>142</v>
      </c>
      <c r="D144">
        <v>793.35016025641005</v>
      </c>
      <c r="E144">
        <v>300.29567307692002</v>
      </c>
      <c r="F144">
        <v>152.26184738955999</v>
      </c>
      <c r="G144">
        <v>124.42088353414</v>
      </c>
      <c r="I144" s="9">
        <f t="shared" si="15"/>
        <v>175.87478954278004</v>
      </c>
      <c r="J144" s="9">
        <f t="shared" si="16"/>
        <v>641.08831286685006</v>
      </c>
      <c r="K144" s="9">
        <f t="shared" si="17"/>
        <v>175.87478954278004</v>
      </c>
      <c r="L144" s="10">
        <f t="shared" si="14"/>
        <v>0.27433785020396728</v>
      </c>
      <c r="M144" s="10">
        <f t="shared" si="18"/>
        <v>0.27809862281593295</v>
      </c>
      <c r="P144" s="8">
        <f t="shared" si="19"/>
        <v>12.869878389383938</v>
      </c>
    </row>
    <row r="145" spans="1:16" x14ac:dyDescent="0.2">
      <c r="A145" s="8">
        <v>71.5</v>
      </c>
      <c r="B145" s="8">
        <v>143</v>
      </c>
      <c r="D145">
        <v>796.33974358974001</v>
      </c>
      <c r="E145">
        <v>297.73317307692002</v>
      </c>
      <c r="F145">
        <v>153.0265060241</v>
      </c>
      <c r="G145">
        <v>124.79036144577999</v>
      </c>
      <c r="I145" s="9">
        <f t="shared" si="15"/>
        <v>172.94281163114005</v>
      </c>
      <c r="J145" s="9">
        <f t="shared" si="16"/>
        <v>643.31323756564007</v>
      </c>
      <c r="K145" s="9">
        <f t="shared" si="17"/>
        <v>172.94281163114005</v>
      </c>
      <c r="L145" s="10">
        <f t="shared" si="14"/>
        <v>0.2688314207330359</v>
      </c>
      <c r="M145" s="10">
        <f t="shared" si="18"/>
        <v>0.27261867765917031</v>
      </c>
      <c r="P145" s="8">
        <f t="shared" si="19"/>
        <v>10.645772648904677</v>
      </c>
    </row>
    <row r="146" spans="1:16" x14ac:dyDescent="0.2">
      <c r="A146" s="8">
        <v>72</v>
      </c>
      <c r="B146" s="8">
        <v>144</v>
      </c>
      <c r="D146">
        <v>816.74919871794998</v>
      </c>
      <c r="E146">
        <v>306.78605769231001</v>
      </c>
      <c r="F146">
        <v>152.60401606426001</v>
      </c>
      <c r="G146">
        <v>124.52931726908</v>
      </c>
      <c r="I146" s="9">
        <f t="shared" si="15"/>
        <v>182.25674042323001</v>
      </c>
      <c r="J146" s="9">
        <f t="shared" si="16"/>
        <v>664.14518265368997</v>
      </c>
      <c r="K146" s="9">
        <f t="shared" si="17"/>
        <v>182.25674042323001</v>
      </c>
      <c r="L146" s="10">
        <f t="shared" si="14"/>
        <v>0.27442304059934058</v>
      </c>
      <c r="M146" s="10">
        <f t="shared" si="18"/>
        <v>0.27823678183964379</v>
      </c>
      <c r="P146" s="8">
        <f t="shared" si="19"/>
        <v>12.925951993944572</v>
      </c>
    </row>
    <row r="147" spans="1:16" x14ac:dyDescent="0.2">
      <c r="A147" s="8">
        <v>72.5</v>
      </c>
      <c r="B147" s="8">
        <v>145</v>
      </c>
      <c r="D147">
        <v>817.52243589744</v>
      </c>
      <c r="E147">
        <v>301.63221153846001</v>
      </c>
      <c r="F147">
        <v>152.23855421687</v>
      </c>
      <c r="G147">
        <v>124.00562248996</v>
      </c>
      <c r="I147" s="9">
        <f t="shared" si="15"/>
        <v>177.62658904850002</v>
      </c>
      <c r="J147" s="9">
        <f t="shared" si="16"/>
        <v>665.28388168056995</v>
      </c>
      <c r="K147" s="9">
        <f t="shared" si="17"/>
        <v>177.62658904850002</v>
      </c>
      <c r="L147" s="10">
        <f t="shared" si="14"/>
        <v>0.2669936758422562</v>
      </c>
      <c r="M147" s="10">
        <f t="shared" si="18"/>
        <v>0.27083390139672814</v>
      </c>
      <c r="P147" s="8">
        <f t="shared" si="19"/>
        <v>9.9213984047810726</v>
      </c>
    </row>
    <row r="148" spans="1:16" x14ac:dyDescent="0.2">
      <c r="A148" s="8">
        <v>73</v>
      </c>
      <c r="B148" s="8">
        <v>146</v>
      </c>
      <c r="D148">
        <v>837.38888888889005</v>
      </c>
      <c r="E148">
        <v>307.31320450886</v>
      </c>
      <c r="F148">
        <v>152.47228915663001</v>
      </c>
      <c r="G148">
        <v>124.50843373494</v>
      </c>
      <c r="I148" s="9">
        <f t="shared" si="15"/>
        <v>182.80477077391998</v>
      </c>
      <c r="J148" s="9">
        <f t="shared" si="16"/>
        <v>684.91659973226001</v>
      </c>
      <c r="K148" s="9">
        <f t="shared" si="17"/>
        <v>182.80477077391998</v>
      </c>
      <c r="L148" s="10">
        <f t="shared" si="14"/>
        <v>0.26690077426270586</v>
      </c>
      <c r="M148" s="10">
        <f t="shared" si="18"/>
        <v>0.2707674841313466</v>
      </c>
      <c r="P148" s="8">
        <f t="shared" si="19"/>
        <v>9.894442109238641</v>
      </c>
    </row>
    <row r="149" spans="1:16" x14ac:dyDescent="0.2">
      <c r="A149" s="8">
        <v>73.5</v>
      </c>
      <c r="B149" s="8">
        <v>147</v>
      </c>
      <c r="D149">
        <v>890.39452495974001</v>
      </c>
      <c r="E149">
        <v>332.17149758454002</v>
      </c>
      <c r="F149">
        <v>152.12128514055999</v>
      </c>
      <c r="G149">
        <v>124.35341365462</v>
      </c>
      <c r="I149" s="9">
        <f t="shared" si="15"/>
        <v>207.81808392992002</v>
      </c>
      <c r="J149" s="9">
        <f t="shared" si="16"/>
        <v>738.27323981918005</v>
      </c>
      <c r="K149" s="9">
        <f t="shared" si="17"/>
        <v>207.81808392992002</v>
      </c>
      <c r="L149" s="10">
        <f t="shared" si="14"/>
        <v>0.2814920990239595</v>
      </c>
      <c r="M149" s="10">
        <f t="shared" si="18"/>
        <v>0.28538529320676898</v>
      </c>
      <c r="P149" s="8">
        <f t="shared" si="19"/>
        <v>15.827266644490631</v>
      </c>
    </row>
    <row r="150" spans="1:16" x14ac:dyDescent="0.2">
      <c r="A150" s="8">
        <v>74</v>
      </c>
      <c r="B150" s="8">
        <v>148</v>
      </c>
      <c r="D150">
        <v>876.98949070331003</v>
      </c>
      <c r="E150">
        <v>332.71220695229999</v>
      </c>
      <c r="F150">
        <v>150.98152610442</v>
      </c>
      <c r="G150">
        <v>124.03453815261</v>
      </c>
      <c r="I150" s="9">
        <f t="shared" si="15"/>
        <v>208.67766879969</v>
      </c>
      <c r="J150" s="9">
        <f t="shared" si="16"/>
        <v>726.00796459889</v>
      </c>
      <c r="K150" s="9">
        <f t="shared" si="17"/>
        <v>208.67766879969</v>
      </c>
      <c r="L150" s="10">
        <f t="shared" si="14"/>
        <v>0.28743165223398298</v>
      </c>
      <c r="M150" s="10">
        <f t="shared" si="18"/>
        <v>0.29135133073096126</v>
      </c>
      <c r="P150" s="8">
        <f t="shared" si="19"/>
        <v>18.248659181438871</v>
      </c>
    </row>
    <row r="151" spans="1:16" x14ac:dyDescent="0.2">
      <c r="A151" s="8">
        <v>74.5</v>
      </c>
      <c r="B151" s="8">
        <v>149</v>
      </c>
      <c r="D151">
        <v>846.62328213420005</v>
      </c>
      <c r="E151">
        <v>317.10185933711</v>
      </c>
      <c r="F151">
        <v>152.03775100402001</v>
      </c>
      <c r="G151">
        <v>124.12851405623</v>
      </c>
      <c r="I151" s="9">
        <f t="shared" si="15"/>
        <v>192.97334528087998</v>
      </c>
      <c r="J151" s="9">
        <f t="shared" si="16"/>
        <v>694.58553113018002</v>
      </c>
      <c r="K151" s="9">
        <f t="shared" si="17"/>
        <v>192.97334528087998</v>
      </c>
      <c r="L151" s="10">
        <f t="shared" si="14"/>
        <v>0.27782517290115089</v>
      </c>
      <c r="M151" s="10">
        <f t="shared" si="18"/>
        <v>0.28177133571229795</v>
      </c>
      <c r="P151" s="8">
        <f t="shared" si="19"/>
        <v>14.360495832125514</v>
      </c>
    </row>
    <row r="152" spans="1:16" x14ac:dyDescent="0.2">
      <c r="A152" s="8">
        <v>75</v>
      </c>
      <c r="B152" s="8">
        <v>150</v>
      </c>
      <c r="D152">
        <v>855.80546623793998</v>
      </c>
      <c r="E152">
        <v>314.72427652733001</v>
      </c>
      <c r="F152">
        <v>152.23694779117</v>
      </c>
      <c r="G152">
        <v>124.54136546185001</v>
      </c>
      <c r="I152" s="9">
        <f t="shared" si="15"/>
        <v>190.18291106548</v>
      </c>
      <c r="J152" s="9">
        <f t="shared" si="16"/>
        <v>703.56851844676999</v>
      </c>
      <c r="K152" s="9">
        <f t="shared" si="17"/>
        <v>190.18291106548</v>
      </c>
      <c r="L152" s="10">
        <f t="shared" si="14"/>
        <v>0.27031185460847007</v>
      </c>
      <c r="M152" s="10">
        <f t="shared" si="18"/>
        <v>0.27428450173378588</v>
      </c>
      <c r="P152" s="8">
        <f t="shared" si="19"/>
        <v>11.321868628151631</v>
      </c>
    </row>
    <row r="153" spans="1:16" x14ac:dyDescent="0.2">
      <c r="A153" s="8">
        <v>75.5</v>
      </c>
      <c r="B153" s="8">
        <v>151</v>
      </c>
      <c r="D153">
        <v>874.84163987138004</v>
      </c>
      <c r="E153">
        <v>361.27491961415001</v>
      </c>
      <c r="F153">
        <v>152.59036144577999</v>
      </c>
      <c r="G153">
        <v>124.82489959839</v>
      </c>
      <c r="I153" s="9">
        <f t="shared" si="15"/>
        <v>236.45002001576</v>
      </c>
      <c r="J153" s="9">
        <f t="shared" si="16"/>
        <v>722.25127842560005</v>
      </c>
      <c r="K153" s="9">
        <f t="shared" si="17"/>
        <v>236.45002001576</v>
      </c>
      <c r="L153" s="10">
        <f t="shared" si="14"/>
        <v>0.32737916439716902</v>
      </c>
      <c r="M153" s="10">
        <f t="shared" si="18"/>
        <v>0.33137829583665362</v>
      </c>
      <c r="P153" s="8">
        <f t="shared" si="19"/>
        <v>34.494114257877222</v>
      </c>
    </row>
    <row r="154" spans="1:16" x14ac:dyDescent="0.2">
      <c r="A154" s="8">
        <v>76</v>
      </c>
      <c r="B154" s="8">
        <v>152</v>
      </c>
      <c r="D154">
        <v>869.93527508090995</v>
      </c>
      <c r="E154">
        <v>350.96359223300999</v>
      </c>
      <c r="F154">
        <v>153.40803212851</v>
      </c>
      <c r="G154">
        <v>125.05461847390001</v>
      </c>
      <c r="I154" s="9">
        <f t="shared" si="15"/>
        <v>225.90897375910998</v>
      </c>
      <c r="J154" s="9">
        <f t="shared" si="16"/>
        <v>716.5272429524</v>
      </c>
      <c r="K154" s="9">
        <f t="shared" si="17"/>
        <v>225.90897375910998</v>
      </c>
      <c r="L154" s="10">
        <f t="shared" si="14"/>
        <v>0.3152831605233431</v>
      </c>
      <c r="M154" s="10">
        <f t="shared" si="18"/>
        <v>0.31930877627699644</v>
      </c>
      <c r="P154" s="8">
        <f t="shared" si="19"/>
        <v>29.595545573420047</v>
      </c>
    </row>
    <row r="155" spans="1:16" x14ac:dyDescent="0.2">
      <c r="A155" s="8">
        <v>76.5</v>
      </c>
      <c r="B155" s="8">
        <v>153</v>
      </c>
      <c r="D155">
        <v>844.51993490642997</v>
      </c>
      <c r="E155">
        <v>344.78925956062</v>
      </c>
      <c r="F155">
        <v>154.41044176707001</v>
      </c>
      <c r="G155">
        <v>125.24337349398</v>
      </c>
      <c r="I155" s="9">
        <f t="shared" si="15"/>
        <v>219.54588606663998</v>
      </c>
      <c r="J155" s="9">
        <f t="shared" si="16"/>
        <v>690.10949313935998</v>
      </c>
      <c r="K155" s="9">
        <f t="shared" si="17"/>
        <v>219.54588606663998</v>
      </c>
      <c r="L155" s="10">
        <f t="shared" si="14"/>
        <v>0.31813196057905135</v>
      </c>
      <c r="M155" s="10">
        <f t="shared" si="18"/>
        <v>0.32218406064687349</v>
      </c>
      <c r="P155" s="8">
        <f t="shared" si="19"/>
        <v>30.762516462656421</v>
      </c>
    </row>
    <row r="156" spans="1:16" x14ac:dyDescent="0.2">
      <c r="A156" s="8">
        <v>77</v>
      </c>
      <c r="B156" s="8">
        <v>154</v>
      </c>
      <c r="D156">
        <v>849.47762408461995</v>
      </c>
      <c r="E156">
        <v>350.54434499592998</v>
      </c>
      <c r="F156">
        <v>154.04497991968</v>
      </c>
      <c r="G156">
        <v>125.38313253011999</v>
      </c>
      <c r="I156" s="9">
        <f t="shared" si="15"/>
        <v>225.16121246580997</v>
      </c>
      <c r="J156" s="9">
        <f t="shared" si="16"/>
        <v>695.43264416493992</v>
      </c>
      <c r="K156" s="9">
        <f t="shared" si="17"/>
        <v>225.16121246580997</v>
      </c>
      <c r="L156" s="10">
        <f t="shared" si="14"/>
        <v>0.32377141676485227</v>
      </c>
      <c r="M156" s="10">
        <f t="shared" si="18"/>
        <v>0.32785000114684315</v>
      </c>
      <c r="P156" s="8">
        <f t="shared" si="19"/>
        <v>33.062110789005672</v>
      </c>
    </row>
    <row r="157" spans="1:16" x14ac:dyDescent="0.2">
      <c r="A157" s="8">
        <v>77.5</v>
      </c>
      <c r="B157" s="8">
        <v>155</v>
      </c>
      <c r="D157">
        <v>824.93034427542</v>
      </c>
      <c r="E157">
        <v>333.99519615692998</v>
      </c>
      <c r="F157">
        <v>151.92931726908</v>
      </c>
      <c r="G157">
        <v>124.4</v>
      </c>
      <c r="I157" s="9">
        <f t="shared" si="15"/>
        <v>209.59519615692997</v>
      </c>
      <c r="J157" s="9">
        <f t="shared" si="16"/>
        <v>673.00102700634</v>
      </c>
      <c r="K157" s="9">
        <f t="shared" si="17"/>
        <v>209.59519615692997</v>
      </c>
      <c r="L157" s="10">
        <f t="shared" si="14"/>
        <v>0.31143369437229029</v>
      </c>
      <c r="M157" s="10">
        <f t="shared" si="18"/>
        <v>0.31553876306844997</v>
      </c>
      <c r="P157" s="8">
        <f t="shared" si="19"/>
        <v>28.065437556104715</v>
      </c>
    </row>
    <row r="158" spans="1:16" x14ac:dyDescent="0.2">
      <c r="A158" s="8">
        <v>78</v>
      </c>
      <c r="B158" s="8">
        <v>156</v>
      </c>
      <c r="D158">
        <v>802.15932746196995</v>
      </c>
      <c r="E158">
        <v>320.32666132906002</v>
      </c>
      <c r="F158">
        <v>152.18955823293001</v>
      </c>
      <c r="G158">
        <v>124.14618473896</v>
      </c>
      <c r="I158" s="9">
        <f t="shared" si="15"/>
        <v>196.1804765901</v>
      </c>
      <c r="J158" s="9">
        <f t="shared" si="16"/>
        <v>649.96976922903991</v>
      </c>
      <c r="K158" s="9">
        <f t="shared" si="17"/>
        <v>196.1804765901</v>
      </c>
      <c r="L158" s="10">
        <f t="shared" si="14"/>
        <v>0.30183015561292798</v>
      </c>
      <c r="M158" s="10">
        <f t="shared" si="18"/>
        <v>0.30596170862325645</v>
      </c>
      <c r="P158" s="8">
        <f t="shared" si="19"/>
        <v>24.178467676095764</v>
      </c>
    </row>
    <row r="159" spans="1:16" x14ac:dyDescent="0.2">
      <c r="A159" s="8">
        <v>78.5</v>
      </c>
      <c r="B159" s="8">
        <v>157</v>
      </c>
      <c r="D159">
        <v>847.37802907916</v>
      </c>
      <c r="E159">
        <v>348.69143780291</v>
      </c>
      <c r="F159">
        <v>154.74457831325</v>
      </c>
      <c r="G159">
        <v>126.23212851405999</v>
      </c>
      <c r="I159" s="9">
        <f t="shared" si="15"/>
        <v>222.45930928885002</v>
      </c>
      <c r="J159" s="9">
        <f t="shared" si="16"/>
        <v>692.63345076590997</v>
      </c>
      <c r="K159" s="9">
        <f t="shared" si="17"/>
        <v>222.45930928885002</v>
      </c>
      <c r="L159" s="10">
        <f t="shared" si="14"/>
        <v>0.32117898585876242</v>
      </c>
      <c r="M159" s="10">
        <f t="shared" si="18"/>
        <v>0.32533702318325963</v>
      </c>
      <c r="P159" s="8">
        <f t="shared" si="19"/>
        <v>32.042186582719303</v>
      </c>
    </row>
    <row r="160" spans="1:16" x14ac:dyDescent="0.2">
      <c r="A160" s="8">
        <v>79</v>
      </c>
      <c r="B160" s="8">
        <v>158</v>
      </c>
      <c r="D160">
        <v>854.53392568659001</v>
      </c>
      <c r="E160">
        <v>368.62843295637998</v>
      </c>
      <c r="F160">
        <v>154.64819277108001</v>
      </c>
      <c r="G160">
        <v>126.0562248996</v>
      </c>
      <c r="I160" s="9">
        <f t="shared" si="15"/>
        <v>242.57220805677997</v>
      </c>
      <c r="J160" s="9">
        <f t="shared" si="16"/>
        <v>699.88573291551006</v>
      </c>
      <c r="K160" s="9">
        <f t="shared" si="17"/>
        <v>242.57220805677997</v>
      </c>
      <c r="L160" s="10">
        <f t="shared" si="14"/>
        <v>0.3465883024165935</v>
      </c>
      <c r="M160" s="10">
        <f t="shared" si="18"/>
        <v>0.3507728240552595</v>
      </c>
      <c r="P160" s="8">
        <f t="shared" si="19"/>
        <v>42.365631273272179</v>
      </c>
    </row>
    <row r="161" spans="1:16" x14ac:dyDescent="0.2">
      <c r="A161" s="8">
        <v>79.5</v>
      </c>
      <c r="B161" s="8">
        <v>159</v>
      </c>
      <c r="D161">
        <v>839.40032154340997</v>
      </c>
      <c r="E161">
        <v>361.68729903537002</v>
      </c>
      <c r="F161">
        <v>154.21767068272999</v>
      </c>
      <c r="G161">
        <v>125.39196787149</v>
      </c>
      <c r="I161" s="9">
        <f t="shared" si="15"/>
        <v>236.29533116388001</v>
      </c>
      <c r="J161" s="9">
        <f t="shared" si="16"/>
        <v>685.18265086068004</v>
      </c>
      <c r="K161" s="9">
        <f t="shared" si="17"/>
        <v>236.29533116388001</v>
      </c>
      <c r="L161" s="10">
        <f t="shared" si="14"/>
        <v>0.34486473185954403</v>
      </c>
      <c r="M161" s="10">
        <f t="shared" si="18"/>
        <v>0.34907573781237877</v>
      </c>
      <c r="P161" s="8">
        <f t="shared" si="19"/>
        <v>41.676847143704492</v>
      </c>
    </row>
    <row r="162" spans="1:16" x14ac:dyDescent="0.2">
      <c r="A162" s="8">
        <v>80</v>
      </c>
      <c r="B162" s="4">
        <v>160</v>
      </c>
      <c r="C162" s="4" t="s">
        <v>6</v>
      </c>
      <c r="D162">
        <v>810.06865912762999</v>
      </c>
      <c r="E162">
        <v>343.15266558965999</v>
      </c>
      <c r="F162">
        <v>154.08674698794999</v>
      </c>
      <c r="G162">
        <v>125.18152610442</v>
      </c>
      <c r="H162" s="4"/>
      <c r="I162" s="5">
        <f t="shared" si="15"/>
        <v>217.97113948523997</v>
      </c>
      <c r="J162" s="5">
        <f t="shared" si="16"/>
        <v>655.98191213967993</v>
      </c>
      <c r="K162" s="9">
        <f t="shared" si="17"/>
        <v>217.97113948523997</v>
      </c>
      <c r="L162" s="6">
        <f t="shared" si="14"/>
        <v>0.33228224048779381</v>
      </c>
      <c r="M162" s="6">
        <f t="shared" si="18"/>
        <v>0.33651973075479735</v>
      </c>
      <c r="N162" s="4"/>
      <c r="O162" s="4"/>
      <c r="P162" s="4">
        <f t="shared" si="19"/>
        <v>36.580831294019866</v>
      </c>
    </row>
    <row r="163" spans="1:16" x14ac:dyDescent="0.2">
      <c r="A163" s="8">
        <v>80.5</v>
      </c>
      <c r="B163" s="8">
        <v>161</v>
      </c>
      <c r="D163">
        <v>840.53634894992001</v>
      </c>
      <c r="E163">
        <v>344.69305331178998</v>
      </c>
      <c r="F163">
        <v>153.61686746987999</v>
      </c>
      <c r="G163">
        <v>124.96465863454</v>
      </c>
      <c r="I163" s="9">
        <f t="shared" si="15"/>
        <v>219.72839467724998</v>
      </c>
      <c r="J163" s="9">
        <f t="shared" si="16"/>
        <v>686.91948148004008</v>
      </c>
      <c r="K163" s="9">
        <f t="shared" si="17"/>
        <v>219.72839467724998</v>
      </c>
      <c r="L163" s="10">
        <f t="shared" si="14"/>
        <v>0.31987503717877108</v>
      </c>
      <c r="M163" s="10">
        <f t="shared" si="18"/>
        <v>0.32413901175994342</v>
      </c>
      <c r="P163" s="8">
        <f t="shared" si="19"/>
        <v>31.55595834365214</v>
      </c>
    </row>
    <row r="164" spans="1:16" x14ac:dyDescent="0.2">
      <c r="A164" s="8">
        <v>81</v>
      </c>
      <c r="B164" s="8">
        <v>162</v>
      </c>
      <c r="D164">
        <v>830.97092084006999</v>
      </c>
      <c r="E164">
        <v>332.17043618740001</v>
      </c>
      <c r="F164">
        <v>153.67630522088001</v>
      </c>
      <c r="G164">
        <v>124.57670682731001</v>
      </c>
      <c r="I164" s="9">
        <f t="shared" si="15"/>
        <v>207.59372936009001</v>
      </c>
      <c r="J164" s="9">
        <f t="shared" si="16"/>
        <v>677.29461561918993</v>
      </c>
      <c r="K164" s="9">
        <f t="shared" si="17"/>
        <v>207.59372936009001</v>
      </c>
      <c r="L164" s="10">
        <f t="shared" si="14"/>
        <v>0.30650432555160007</v>
      </c>
      <c r="M164" s="10">
        <f t="shared" si="18"/>
        <v>0.31079478444694114</v>
      </c>
      <c r="P164" s="8">
        <f t="shared" si="19"/>
        <v>26.140033234897626</v>
      </c>
    </row>
    <row r="165" spans="1:16" x14ac:dyDescent="0.2">
      <c r="A165" s="8">
        <v>81.5</v>
      </c>
      <c r="B165" s="8">
        <v>163</v>
      </c>
      <c r="D165">
        <v>850.75525040388004</v>
      </c>
      <c r="E165">
        <v>327.13247172860002</v>
      </c>
      <c r="F165">
        <v>153.31485943774999</v>
      </c>
      <c r="G165">
        <v>124.8265060241</v>
      </c>
      <c r="I165" s="9">
        <f t="shared" si="15"/>
        <v>202.30596570450001</v>
      </c>
      <c r="J165" s="9">
        <f t="shared" si="16"/>
        <v>697.44039096613005</v>
      </c>
      <c r="K165" s="9">
        <f t="shared" si="17"/>
        <v>202.30596570450001</v>
      </c>
      <c r="L165" s="10">
        <f t="shared" si="14"/>
        <v>0.2900691848722089</v>
      </c>
      <c r="M165" s="10">
        <f t="shared" si="18"/>
        <v>0.29438612808171877</v>
      </c>
      <c r="P165" s="8">
        <f t="shared" si="19"/>
        <v>19.480370451519999</v>
      </c>
    </row>
    <row r="166" spans="1:16" x14ac:dyDescent="0.2">
      <c r="A166" s="8">
        <v>82</v>
      </c>
      <c r="B166" s="8">
        <v>164</v>
      </c>
      <c r="D166">
        <v>848.04895666131995</v>
      </c>
      <c r="E166">
        <v>334.08587479936</v>
      </c>
      <c r="F166">
        <v>155.02248995983999</v>
      </c>
      <c r="G166">
        <v>125.64497991968</v>
      </c>
      <c r="I166" s="9">
        <f t="shared" si="15"/>
        <v>208.44089487968</v>
      </c>
      <c r="J166" s="9">
        <f t="shared" si="16"/>
        <v>693.02646670147999</v>
      </c>
      <c r="K166" s="9">
        <f t="shared" si="17"/>
        <v>208.44089487968</v>
      </c>
      <c r="L166" s="10">
        <f t="shared" si="14"/>
        <v>0.30076902527514232</v>
      </c>
      <c r="M166" s="10">
        <f t="shared" si="18"/>
        <v>0.30511245279882093</v>
      </c>
      <c r="P166" s="8">
        <f t="shared" si="19"/>
        <v>23.833786351697558</v>
      </c>
    </row>
    <row r="167" spans="1:16" x14ac:dyDescent="0.2">
      <c r="A167" s="8">
        <v>82.5</v>
      </c>
      <c r="B167" s="8">
        <v>165</v>
      </c>
      <c r="D167">
        <v>857.71187800963003</v>
      </c>
      <c r="E167">
        <v>347.82985553771999</v>
      </c>
      <c r="F167">
        <v>154.63293172690999</v>
      </c>
      <c r="G167">
        <v>125.73493975904</v>
      </c>
      <c r="I167" s="9">
        <f t="shared" si="15"/>
        <v>222.09491577867999</v>
      </c>
      <c r="J167" s="9">
        <f t="shared" si="16"/>
        <v>703.07894628272004</v>
      </c>
      <c r="K167" s="9">
        <f t="shared" si="17"/>
        <v>222.09491577867999</v>
      </c>
      <c r="L167" s="10">
        <f t="shared" si="14"/>
        <v>0.31588901495760596</v>
      </c>
      <c r="M167" s="10">
        <f t="shared" si="18"/>
        <v>0.32025892679545337</v>
      </c>
      <c r="P167" s="8">
        <f t="shared" si="19"/>
        <v>29.981176298174933</v>
      </c>
    </row>
    <row r="168" spans="1:16" x14ac:dyDescent="0.2">
      <c r="A168" s="8">
        <v>83</v>
      </c>
      <c r="B168" s="8">
        <v>166</v>
      </c>
      <c r="D168">
        <v>857.21669341894005</v>
      </c>
      <c r="E168">
        <v>348.18860353129998</v>
      </c>
      <c r="F168">
        <v>154.07228915663001</v>
      </c>
      <c r="G168">
        <v>124.75020080321001</v>
      </c>
      <c r="I168" s="9">
        <f t="shared" si="15"/>
        <v>223.43840272808995</v>
      </c>
      <c r="J168" s="9">
        <f t="shared" si="16"/>
        <v>703.14440426230999</v>
      </c>
      <c r="K168" s="9">
        <f t="shared" si="17"/>
        <v>223.43840272808995</v>
      </c>
      <c r="L168" s="10">
        <f t="shared" si="14"/>
        <v>0.31777029209598268</v>
      </c>
      <c r="M168" s="10">
        <f t="shared" si="18"/>
        <v>0.32216668824799882</v>
      </c>
      <c r="P168" s="8">
        <f t="shared" si="19"/>
        <v>30.755465652665119</v>
      </c>
    </row>
    <row r="169" spans="1:16" x14ac:dyDescent="0.2">
      <c r="A169" s="8">
        <v>83.5</v>
      </c>
      <c r="B169" s="8">
        <v>167</v>
      </c>
      <c r="D169">
        <v>866.77455716585996</v>
      </c>
      <c r="E169">
        <v>351.25281803542998</v>
      </c>
      <c r="F169">
        <v>152.71726907631</v>
      </c>
      <c r="G169">
        <v>124.82168674699</v>
      </c>
      <c r="I169" s="9">
        <f t="shared" si="15"/>
        <v>226.43113128843999</v>
      </c>
      <c r="J169" s="9">
        <f t="shared" si="16"/>
        <v>714.05728808954996</v>
      </c>
      <c r="K169" s="9">
        <f t="shared" si="17"/>
        <v>226.43113128843999</v>
      </c>
      <c r="L169" s="10">
        <f t="shared" si="14"/>
        <v>0.31710499292606231</v>
      </c>
      <c r="M169" s="10">
        <f t="shared" si="18"/>
        <v>0.32152787339224725</v>
      </c>
      <c r="P169" s="8">
        <f t="shared" si="19"/>
        <v>30.496194483495277</v>
      </c>
    </row>
    <row r="170" spans="1:16" x14ac:dyDescent="0.2">
      <c r="A170" s="8">
        <v>84</v>
      </c>
      <c r="B170" s="8">
        <v>168</v>
      </c>
      <c r="D170">
        <v>863.16988727857995</v>
      </c>
      <c r="E170">
        <v>339.68679549114</v>
      </c>
      <c r="F170">
        <v>153.18393574296999</v>
      </c>
      <c r="G170">
        <v>124.66104417671001</v>
      </c>
      <c r="I170" s="9">
        <f t="shared" si="15"/>
        <v>215.02575131443001</v>
      </c>
      <c r="J170" s="9">
        <f t="shared" si="16"/>
        <v>709.98595153560996</v>
      </c>
      <c r="K170" s="9">
        <f t="shared" si="17"/>
        <v>215.02575131443001</v>
      </c>
      <c r="L170" s="10">
        <f t="shared" si="14"/>
        <v>0.30285916340929908</v>
      </c>
      <c r="M170" s="10">
        <f t="shared" si="18"/>
        <v>0.30730852818965282</v>
      </c>
      <c r="P170" s="8">
        <f t="shared" si="19"/>
        <v>24.725091600847151</v>
      </c>
    </row>
    <row r="171" spans="1:16" x14ac:dyDescent="0.2">
      <c r="A171" s="8">
        <v>84.5</v>
      </c>
      <c r="B171" s="8">
        <v>169</v>
      </c>
      <c r="D171">
        <v>867.96215780998</v>
      </c>
      <c r="E171">
        <v>333.11916264090002</v>
      </c>
      <c r="F171">
        <v>153.08915662651</v>
      </c>
      <c r="G171">
        <v>124.87791164658999</v>
      </c>
      <c r="I171" s="9">
        <f t="shared" si="15"/>
        <v>208.24125099431001</v>
      </c>
      <c r="J171" s="9">
        <f t="shared" si="16"/>
        <v>714.87300118347002</v>
      </c>
      <c r="K171" s="9">
        <f t="shared" si="17"/>
        <v>208.24125099431001</v>
      </c>
      <c r="L171" s="10">
        <f t="shared" si="14"/>
        <v>0.29129824549195071</v>
      </c>
      <c r="M171" s="10">
        <f t="shared" si="18"/>
        <v>0.29577409458647319</v>
      </c>
      <c r="P171" s="8">
        <f t="shared" si="19"/>
        <v>20.043694386798382</v>
      </c>
    </row>
    <row r="172" spans="1:16" x14ac:dyDescent="0.2">
      <c r="A172" s="8">
        <v>85</v>
      </c>
      <c r="B172" s="8">
        <v>170</v>
      </c>
      <c r="D172">
        <v>832.26575121163</v>
      </c>
      <c r="E172">
        <v>321.66639741518998</v>
      </c>
      <c r="F172">
        <v>154.24096385542001</v>
      </c>
      <c r="G172">
        <v>125.28192771083999</v>
      </c>
      <c r="I172" s="9">
        <f t="shared" si="15"/>
        <v>196.38446970434998</v>
      </c>
      <c r="J172" s="9">
        <f t="shared" si="16"/>
        <v>678.02478735621003</v>
      </c>
      <c r="K172" s="9">
        <f t="shared" si="17"/>
        <v>196.38446970434998</v>
      </c>
      <c r="L172" s="10">
        <f t="shared" si="14"/>
        <v>0.28964202100944225</v>
      </c>
      <c r="M172" s="10">
        <f t="shared" si="18"/>
        <v>0.29414435441813352</v>
      </c>
      <c r="P172" s="8">
        <f t="shared" si="19"/>
        <v>19.382243521834756</v>
      </c>
    </row>
    <row r="173" spans="1:16" x14ac:dyDescent="0.2">
      <c r="A173" s="8">
        <v>85.5</v>
      </c>
      <c r="B173" s="8">
        <v>171</v>
      </c>
      <c r="D173">
        <v>835.81502423262998</v>
      </c>
      <c r="E173">
        <v>328.26009693052998</v>
      </c>
      <c r="F173">
        <v>155.93333333333001</v>
      </c>
      <c r="G173">
        <v>125.659437751</v>
      </c>
      <c r="I173" s="9">
        <f t="shared" si="15"/>
        <v>202.60065917953</v>
      </c>
      <c r="J173" s="9">
        <f t="shared" si="16"/>
        <v>679.8816908993</v>
      </c>
      <c r="K173" s="9">
        <f t="shared" si="17"/>
        <v>202.60065917953</v>
      </c>
      <c r="L173" s="10">
        <f t="shared" si="14"/>
        <v>0.29799399203050164</v>
      </c>
      <c r="M173" s="10">
        <f t="shared" si="18"/>
        <v>0.30252280975336165</v>
      </c>
      <c r="P173" s="8">
        <f t="shared" si="19"/>
        <v>22.782746642643104</v>
      </c>
    </row>
    <row r="174" spans="1:16" x14ac:dyDescent="0.2">
      <c r="A174" s="8">
        <v>86</v>
      </c>
      <c r="B174" s="8">
        <v>172</v>
      </c>
      <c r="D174">
        <v>860.59612277867996</v>
      </c>
      <c r="E174">
        <v>335.2084006462</v>
      </c>
      <c r="F174">
        <v>153.41044176707001</v>
      </c>
      <c r="G174">
        <v>124.86184738956</v>
      </c>
      <c r="I174" s="9">
        <f t="shared" si="15"/>
        <v>210.34655325663999</v>
      </c>
      <c r="J174" s="9">
        <f t="shared" si="16"/>
        <v>707.18568101160997</v>
      </c>
      <c r="K174" s="9">
        <f t="shared" si="17"/>
        <v>210.34655325663999</v>
      </c>
      <c r="L174" s="10">
        <f t="shared" si="14"/>
        <v>0.29744175950472435</v>
      </c>
      <c r="M174" s="10">
        <f t="shared" si="18"/>
        <v>0.30199706154175315</v>
      </c>
      <c r="P174" s="8">
        <f t="shared" si="19"/>
        <v>22.569365015266388</v>
      </c>
    </row>
    <row r="175" spans="1:16" x14ac:dyDescent="0.2">
      <c r="A175" s="8">
        <v>86.5</v>
      </c>
      <c r="B175" s="8">
        <v>173</v>
      </c>
      <c r="D175">
        <v>863.27867528270997</v>
      </c>
      <c r="E175">
        <v>335.29806138933998</v>
      </c>
      <c r="F175">
        <v>153.9124497992</v>
      </c>
      <c r="G175">
        <v>125.15662650602</v>
      </c>
      <c r="I175" s="9">
        <f t="shared" si="15"/>
        <v>210.14143488331996</v>
      </c>
      <c r="J175" s="9">
        <f t="shared" si="16"/>
        <v>709.36622548350999</v>
      </c>
      <c r="K175" s="9">
        <f t="shared" si="17"/>
        <v>210.14143488331996</v>
      </c>
      <c r="L175" s="10">
        <f t="shared" si="14"/>
        <v>0.29623828614068254</v>
      </c>
      <c r="M175" s="10">
        <f t="shared" si="18"/>
        <v>0.30082007249188014</v>
      </c>
      <c r="P175" s="8">
        <f t="shared" si="19"/>
        <v>22.091668974992462</v>
      </c>
    </row>
    <row r="176" spans="1:16" x14ac:dyDescent="0.2">
      <c r="A176" s="8">
        <v>87</v>
      </c>
      <c r="B176" s="8">
        <v>174</v>
      </c>
      <c r="D176">
        <v>862.61831442463995</v>
      </c>
      <c r="E176">
        <v>342.89870340356998</v>
      </c>
      <c r="F176">
        <v>153.2562248996</v>
      </c>
      <c r="G176">
        <v>124.79919678715</v>
      </c>
      <c r="I176" s="9">
        <f t="shared" si="15"/>
        <v>218.09950661642</v>
      </c>
      <c r="J176" s="9">
        <f t="shared" si="16"/>
        <v>709.36208952503989</v>
      </c>
      <c r="K176" s="9">
        <f t="shared" si="17"/>
        <v>218.09950661642</v>
      </c>
      <c r="L176" s="10">
        <f t="shared" si="14"/>
        <v>0.30745864465699119</v>
      </c>
      <c r="M176" s="10">
        <f t="shared" si="18"/>
        <v>0.31206691532235753</v>
      </c>
      <c r="P176" s="8">
        <f t="shared" si="19"/>
        <v>26.656343800371602</v>
      </c>
    </row>
    <row r="177" spans="1:16" x14ac:dyDescent="0.2">
      <c r="A177" s="8">
        <v>87.5</v>
      </c>
      <c r="B177" s="8">
        <v>175</v>
      </c>
      <c r="D177">
        <v>878.11264181523995</v>
      </c>
      <c r="E177">
        <v>344.36223662884998</v>
      </c>
      <c r="F177">
        <v>154.01927710843</v>
      </c>
      <c r="G177">
        <v>125.11325301205</v>
      </c>
      <c r="I177" s="9">
        <f t="shared" si="15"/>
        <v>219.24898361679999</v>
      </c>
      <c r="J177" s="9">
        <f t="shared" si="16"/>
        <v>724.09336470681001</v>
      </c>
      <c r="K177" s="9">
        <f t="shared" si="17"/>
        <v>219.24898361679999</v>
      </c>
      <c r="L177" s="10">
        <f t="shared" si="14"/>
        <v>0.30279104091165826</v>
      </c>
      <c r="M177" s="10">
        <f t="shared" si="18"/>
        <v>0.3074257958911934</v>
      </c>
      <c r="P177" s="8">
        <f t="shared" si="19"/>
        <v>24.772686195447672</v>
      </c>
    </row>
    <row r="178" spans="1:16" x14ac:dyDescent="0.2">
      <c r="A178" s="8">
        <v>88</v>
      </c>
      <c r="B178" s="8">
        <v>176</v>
      </c>
      <c r="D178">
        <v>885.28687196110002</v>
      </c>
      <c r="E178">
        <v>355.68638573743999</v>
      </c>
      <c r="F178">
        <v>153.9983935743</v>
      </c>
      <c r="G178">
        <v>125.12690763051999</v>
      </c>
      <c r="I178" s="9">
        <f t="shared" si="15"/>
        <v>230.55947810691998</v>
      </c>
      <c r="J178" s="9">
        <f t="shared" si="16"/>
        <v>731.28847838680008</v>
      </c>
      <c r="K178" s="9">
        <f t="shared" si="17"/>
        <v>230.55947810691998</v>
      </c>
      <c r="L178" s="10">
        <f t="shared" si="14"/>
        <v>0.31527842284009056</v>
      </c>
      <c r="M178" s="10">
        <f t="shared" si="18"/>
        <v>0.31993966213379443</v>
      </c>
      <c r="P178" s="8">
        <f t="shared" si="19"/>
        <v>29.851598657082757</v>
      </c>
    </row>
    <row r="179" spans="1:16" x14ac:dyDescent="0.2">
      <c r="A179" s="8">
        <v>88.5</v>
      </c>
      <c r="B179" s="8">
        <v>177</v>
      </c>
      <c r="D179">
        <v>879.05640612409002</v>
      </c>
      <c r="E179">
        <v>355.13215149073</v>
      </c>
      <c r="F179">
        <v>152.90281124498</v>
      </c>
      <c r="G179">
        <v>124.63052208835001</v>
      </c>
      <c r="I179" s="9">
        <f t="shared" si="15"/>
        <v>230.50162940237999</v>
      </c>
      <c r="J179" s="9">
        <f t="shared" si="16"/>
        <v>726.15359487910996</v>
      </c>
      <c r="K179" s="9">
        <f t="shared" si="17"/>
        <v>230.50162940237999</v>
      </c>
      <c r="L179" s="10">
        <f t="shared" si="14"/>
        <v>0.31742820117933024</v>
      </c>
      <c r="M179" s="10">
        <f t="shared" si="18"/>
        <v>0.32211592478720291</v>
      </c>
      <c r="P179" s="8">
        <f t="shared" si="19"/>
        <v>30.734862653669147</v>
      </c>
    </row>
    <row r="180" spans="1:16" x14ac:dyDescent="0.2">
      <c r="A180" s="8">
        <v>89</v>
      </c>
      <c r="B180" s="8">
        <v>178</v>
      </c>
      <c r="D180">
        <v>900.81239935587996</v>
      </c>
      <c r="E180">
        <v>352.59339774556997</v>
      </c>
      <c r="F180">
        <v>152.69718875501999</v>
      </c>
      <c r="G180">
        <v>124.92771084336999</v>
      </c>
      <c r="I180" s="9">
        <f t="shared" si="15"/>
        <v>227.66568690219998</v>
      </c>
      <c r="J180" s="9">
        <f t="shared" si="16"/>
        <v>748.11521060086</v>
      </c>
      <c r="K180" s="9">
        <f t="shared" si="17"/>
        <v>227.66568690219998</v>
      </c>
      <c r="L180" s="10">
        <f t="shared" si="14"/>
        <v>0.30431901888393215</v>
      </c>
      <c r="M180" s="10">
        <f t="shared" si="18"/>
        <v>0.30903322680597356</v>
      </c>
      <c r="P180" s="8">
        <f t="shared" si="19"/>
        <v>25.425082564884775</v>
      </c>
    </row>
    <row r="181" spans="1:16" x14ac:dyDescent="0.2">
      <c r="A181" s="8">
        <v>89.5</v>
      </c>
      <c r="B181" s="8">
        <v>179</v>
      </c>
      <c r="D181">
        <v>900.58937198067997</v>
      </c>
      <c r="E181">
        <v>343.19484702093001</v>
      </c>
      <c r="F181">
        <v>152.81606425703001</v>
      </c>
      <c r="G181">
        <v>124.45702811245</v>
      </c>
      <c r="I181" s="9">
        <f t="shared" si="15"/>
        <v>218.73781890847999</v>
      </c>
      <c r="J181" s="9">
        <f t="shared" si="16"/>
        <v>747.77330772364996</v>
      </c>
      <c r="K181" s="9">
        <f t="shared" si="17"/>
        <v>218.73781890847999</v>
      </c>
      <c r="L181" s="10">
        <f t="shared" si="14"/>
        <v>0.2925188912858569</v>
      </c>
      <c r="M181" s="10">
        <f t="shared" si="18"/>
        <v>0.29725958352206711</v>
      </c>
      <c r="P181" s="8">
        <f t="shared" si="19"/>
        <v>20.646599046345134</v>
      </c>
    </row>
    <row r="182" spans="1:16" x14ac:dyDescent="0.2">
      <c r="A182" s="8">
        <v>90</v>
      </c>
      <c r="B182" s="8">
        <v>180</v>
      </c>
      <c r="D182">
        <v>872.49919484702002</v>
      </c>
      <c r="E182">
        <v>328.28019323671998</v>
      </c>
      <c r="F182">
        <v>153.12449799197</v>
      </c>
      <c r="G182">
        <v>124.72530120482</v>
      </c>
      <c r="I182" s="9">
        <f t="shared" si="15"/>
        <v>203.55489203189998</v>
      </c>
      <c r="J182" s="9">
        <f t="shared" si="16"/>
        <v>719.37469685505005</v>
      </c>
      <c r="K182" s="9">
        <f t="shared" si="17"/>
        <v>203.55489203189998</v>
      </c>
      <c r="L182" s="10">
        <f t="shared" si="14"/>
        <v>0.28296087271598203</v>
      </c>
      <c r="M182" s="10">
        <f>L182+ABS($N$2)*A182</f>
        <v>0.28772804926636103</v>
      </c>
      <c r="P182" s="8">
        <f t="shared" si="19"/>
        <v>16.778104116696184</v>
      </c>
    </row>
    <row r="183" spans="1:16" x14ac:dyDescent="0.2">
      <c r="A183" s="8">
        <v>90.5</v>
      </c>
      <c r="B183" s="8">
        <v>181</v>
      </c>
      <c r="D183">
        <v>908.60289389067998</v>
      </c>
      <c r="E183">
        <v>335.19694533761998</v>
      </c>
      <c r="F183">
        <v>151.94136546185001</v>
      </c>
      <c r="G183">
        <v>124.30040160643</v>
      </c>
      <c r="I183" s="9">
        <f t="shared" si="15"/>
        <v>210.89654373118998</v>
      </c>
      <c r="J183" s="9">
        <f t="shared" si="16"/>
        <v>756.66152842883002</v>
      </c>
      <c r="K183" s="9">
        <f t="shared" si="17"/>
        <v>210.89654373118998</v>
      </c>
      <c r="L183" s="10">
        <f t="shared" si="14"/>
        <v>0.27871979188515922</v>
      </c>
      <c r="M183" s="10">
        <f t="shared" ref="M183:M241" si="20">L183+ABS($N$2)*A183</f>
        <v>0.28351345274970696</v>
      </c>
      <c r="P183" s="8">
        <f t="shared" si="19"/>
        <v>15.067556284857689</v>
      </c>
    </row>
    <row r="184" spans="1:16" x14ac:dyDescent="0.2">
      <c r="A184" s="8">
        <v>91</v>
      </c>
      <c r="B184" s="8">
        <v>182</v>
      </c>
      <c r="D184">
        <v>902.95739549839004</v>
      </c>
      <c r="E184">
        <v>331.98311897105998</v>
      </c>
      <c r="F184">
        <v>151.90200803213</v>
      </c>
      <c r="G184">
        <v>124.16305220884</v>
      </c>
      <c r="I184" s="9">
        <f t="shared" si="15"/>
        <v>207.82006676221999</v>
      </c>
      <c r="J184" s="9">
        <f t="shared" si="16"/>
        <v>751.05538746626007</v>
      </c>
      <c r="K184" s="9">
        <f t="shared" si="17"/>
        <v>207.82006676221999</v>
      </c>
      <c r="L184" s="10">
        <f t="shared" si="14"/>
        <v>0.27670404903600532</v>
      </c>
      <c r="M184" s="10">
        <f t="shared" si="20"/>
        <v>0.28152419421472186</v>
      </c>
      <c r="P184" s="8">
        <f t="shared" si="19"/>
        <v>14.260190298448535</v>
      </c>
    </row>
    <row r="185" spans="1:16" x14ac:dyDescent="0.2">
      <c r="A185" s="8">
        <v>91.5</v>
      </c>
      <c r="B185" s="8">
        <v>183</v>
      </c>
      <c r="D185">
        <v>872.87905844156001</v>
      </c>
      <c r="E185">
        <v>329.83847402597002</v>
      </c>
      <c r="F185">
        <v>153.42730923695001</v>
      </c>
      <c r="G185">
        <v>125.12931726908</v>
      </c>
      <c r="I185" s="9">
        <f t="shared" si="15"/>
        <v>204.70915675689002</v>
      </c>
      <c r="J185" s="9">
        <f t="shared" si="16"/>
        <v>719.45174920461</v>
      </c>
      <c r="K185" s="9">
        <f t="shared" si="17"/>
        <v>204.70915675689002</v>
      </c>
      <c r="L185" s="10">
        <f t="shared" si="14"/>
        <v>0.28453493508523159</v>
      </c>
      <c r="M185" s="10">
        <f t="shared" si="20"/>
        <v>0.28938156457811687</v>
      </c>
      <c r="P185" s="8">
        <f t="shared" si="19"/>
        <v>17.449204427309351</v>
      </c>
    </row>
    <row r="186" spans="1:16" x14ac:dyDescent="0.2">
      <c r="A186" s="8">
        <v>92</v>
      </c>
      <c r="B186" s="8">
        <v>184</v>
      </c>
      <c r="D186">
        <v>874.50724637681003</v>
      </c>
      <c r="E186">
        <v>349.55797101449002</v>
      </c>
      <c r="F186">
        <v>154.22891566265</v>
      </c>
      <c r="G186">
        <v>125.43534136546</v>
      </c>
      <c r="I186" s="9">
        <f t="shared" si="15"/>
        <v>224.12262964903002</v>
      </c>
      <c r="J186" s="9">
        <f t="shared" si="16"/>
        <v>720.27833071416001</v>
      </c>
      <c r="K186" s="9">
        <f t="shared" si="17"/>
        <v>224.12262964903002</v>
      </c>
      <c r="L186" s="10">
        <f t="shared" si="14"/>
        <v>0.31116114436874864</v>
      </c>
      <c r="M186" s="10">
        <f t="shared" si="20"/>
        <v>0.31603425817580272</v>
      </c>
      <c r="P186" s="8">
        <f t="shared" si="19"/>
        <v>28.266540574678295</v>
      </c>
    </row>
    <row r="187" spans="1:16" x14ac:dyDescent="0.2">
      <c r="A187" s="8">
        <v>92.5</v>
      </c>
      <c r="B187" s="8">
        <v>185</v>
      </c>
      <c r="D187">
        <v>887.36312399355995</v>
      </c>
      <c r="E187">
        <v>359.47906602254</v>
      </c>
      <c r="F187">
        <v>153.96064257027999</v>
      </c>
      <c r="G187">
        <v>125.81767068273</v>
      </c>
      <c r="I187" s="9">
        <f t="shared" si="15"/>
        <v>233.66139533980999</v>
      </c>
      <c r="J187" s="9">
        <f t="shared" si="16"/>
        <v>733.40248142327994</v>
      </c>
      <c r="K187" s="9">
        <f t="shared" si="17"/>
        <v>233.66139533980999</v>
      </c>
      <c r="L187" s="10">
        <f t="shared" si="14"/>
        <v>0.31859913384306288</v>
      </c>
      <c r="M187" s="10">
        <f t="shared" si="20"/>
        <v>0.32349873196428569</v>
      </c>
      <c r="P187" s="8">
        <f t="shared" si="19"/>
        <v>31.296092609908825</v>
      </c>
    </row>
    <row r="188" spans="1:16" x14ac:dyDescent="0.2">
      <c r="A188" s="8">
        <v>93</v>
      </c>
      <c r="B188" s="8">
        <v>186</v>
      </c>
      <c r="D188">
        <v>879.36706827309001</v>
      </c>
      <c r="E188">
        <v>357.57831325300998</v>
      </c>
      <c r="F188">
        <v>153.82811244979999</v>
      </c>
      <c r="G188">
        <v>125.30763052208999</v>
      </c>
      <c r="I188" s="9">
        <f t="shared" si="15"/>
        <v>232.27068273091999</v>
      </c>
      <c r="J188" s="9">
        <f t="shared" si="16"/>
        <v>725.53895582329005</v>
      </c>
      <c r="K188" s="9">
        <f t="shared" si="17"/>
        <v>232.27068273091999</v>
      </c>
      <c r="L188" s="10">
        <f t="shared" si="14"/>
        <v>0.32013537090831423</v>
      </c>
      <c r="M188" s="10">
        <f t="shared" si="20"/>
        <v>0.32506145334370584</v>
      </c>
      <c r="P188" s="8">
        <f t="shared" si="19"/>
        <v>31.930343043318516</v>
      </c>
    </row>
    <row r="189" spans="1:16" x14ac:dyDescent="0.2">
      <c r="A189" s="8">
        <v>93.5</v>
      </c>
      <c r="B189" s="8">
        <v>187</v>
      </c>
      <c r="D189">
        <v>877.50040160643005</v>
      </c>
      <c r="E189">
        <v>344.74056224899999</v>
      </c>
      <c r="F189">
        <v>154.41767068273001</v>
      </c>
      <c r="G189">
        <v>125.75742971888</v>
      </c>
      <c r="I189" s="9">
        <f t="shared" si="15"/>
        <v>218.98313253011997</v>
      </c>
      <c r="J189" s="9">
        <f t="shared" si="16"/>
        <v>723.08273092370007</v>
      </c>
      <c r="K189" s="9">
        <f t="shared" si="17"/>
        <v>218.98313253011997</v>
      </c>
      <c r="L189" s="10">
        <f t="shared" si="14"/>
        <v>0.30284658057091279</v>
      </c>
      <c r="M189" s="10">
        <f t="shared" si="20"/>
        <v>0.3077991473204732</v>
      </c>
      <c r="P189" s="8">
        <f t="shared" si="19"/>
        <v>24.924215642061316</v>
      </c>
    </row>
    <row r="190" spans="1:16" x14ac:dyDescent="0.2">
      <c r="A190" s="8">
        <v>94</v>
      </c>
      <c r="B190" s="8">
        <v>188</v>
      </c>
      <c r="D190">
        <v>882.44096385542002</v>
      </c>
      <c r="E190">
        <v>342.26907630521998</v>
      </c>
      <c r="F190">
        <v>154.71807228916001</v>
      </c>
      <c r="G190">
        <v>125.20883534137</v>
      </c>
      <c r="I190" s="9">
        <f t="shared" si="15"/>
        <v>217.06024096384999</v>
      </c>
      <c r="J190" s="9">
        <f t="shared" si="16"/>
        <v>727.72289156626005</v>
      </c>
      <c r="K190" s="9">
        <f t="shared" si="17"/>
        <v>217.06024096384999</v>
      </c>
      <c r="L190" s="10">
        <f t="shared" si="14"/>
        <v>0.29827320739722313</v>
      </c>
      <c r="M190" s="10">
        <f t="shared" si="20"/>
        <v>0.30325225846095227</v>
      </c>
      <c r="P190" s="8">
        <f t="shared" si="19"/>
        <v>23.078802718302065</v>
      </c>
    </row>
    <row r="191" spans="1:16" x14ac:dyDescent="0.2">
      <c r="A191" s="8">
        <v>94.5</v>
      </c>
      <c r="B191" s="8">
        <v>189</v>
      </c>
      <c r="D191">
        <v>857.66827309236999</v>
      </c>
      <c r="E191">
        <v>330.49477911647</v>
      </c>
      <c r="F191">
        <v>154.31164658635001</v>
      </c>
      <c r="G191">
        <v>124.95582329317</v>
      </c>
      <c r="I191" s="9">
        <f t="shared" si="15"/>
        <v>205.5389558233</v>
      </c>
      <c r="J191" s="9">
        <f t="shared" si="16"/>
        <v>703.35662650602001</v>
      </c>
      <c r="K191" s="9">
        <f t="shared" si="17"/>
        <v>205.5389558233</v>
      </c>
      <c r="L191" s="10">
        <f t="shared" si="14"/>
        <v>0.29222580420452016</v>
      </c>
      <c r="M191" s="10">
        <f t="shared" si="20"/>
        <v>0.2972313395824181</v>
      </c>
      <c r="P191" s="8">
        <f t="shared" si="19"/>
        <v>20.635135882661899</v>
      </c>
    </row>
    <row r="192" spans="1:16" x14ac:dyDescent="0.2">
      <c r="A192" s="8">
        <v>95</v>
      </c>
      <c r="B192" s="8">
        <v>190</v>
      </c>
      <c r="D192">
        <v>890.50920736589001</v>
      </c>
      <c r="E192">
        <v>333.62850280224001</v>
      </c>
      <c r="F192">
        <v>153.09317269076001</v>
      </c>
      <c r="G192">
        <v>124.62730923695</v>
      </c>
      <c r="I192" s="9">
        <f t="shared" si="15"/>
        <v>209.00119356529001</v>
      </c>
      <c r="J192" s="9">
        <f t="shared" si="16"/>
        <v>737.41603467513005</v>
      </c>
      <c r="K192" s="9">
        <f t="shared" si="17"/>
        <v>209.00119356529001</v>
      </c>
      <c r="L192" s="10">
        <f t="shared" si="14"/>
        <v>0.28342371705731334</v>
      </c>
      <c r="M192" s="10">
        <f t="shared" si="20"/>
        <v>0.28845573674938002</v>
      </c>
      <c r="P192" s="8">
        <f t="shared" si="19"/>
        <v>17.073445376865578</v>
      </c>
    </row>
    <row r="193" spans="1:16" x14ac:dyDescent="0.2">
      <c r="A193" s="8">
        <v>95.5</v>
      </c>
      <c r="B193" s="8">
        <v>191</v>
      </c>
      <c r="D193">
        <v>854.52580645161004</v>
      </c>
      <c r="E193">
        <v>318.64919354838997</v>
      </c>
      <c r="F193">
        <v>153.39759036145</v>
      </c>
      <c r="G193">
        <v>124.07228915663001</v>
      </c>
      <c r="I193" s="9">
        <f t="shared" si="15"/>
        <v>194.57690439175997</v>
      </c>
      <c r="J193" s="9">
        <f t="shared" si="16"/>
        <v>701.12821609016009</v>
      </c>
      <c r="K193" s="9">
        <f t="shared" si="17"/>
        <v>194.57690439175997</v>
      </c>
      <c r="L193" s="10">
        <f t="shared" si="14"/>
        <v>0.27751971740178655</v>
      </c>
      <c r="M193" s="10">
        <f t="shared" si="20"/>
        <v>0.28257822140802202</v>
      </c>
      <c r="P193" s="8">
        <f t="shared" si="19"/>
        <v>14.687980698567257</v>
      </c>
    </row>
    <row r="194" spans="1:16" x14ac:dyDescent="0.2">
      <c r="A194" s="8">
        <v>96</v>
      </c>
      <c r="B194" s="8">
        <v>192</v>
      </c>
      <c r="D194">
        <v>865.08709677418994</v>
      </c>
      <c r="E194">
        <v>316.69516129032002</v>
      </c>
      <c r="F194">
        <v>152.99196787149</v>
      </c>
      <c r="G194">
        <v>124.33413654619</v>
      </c>
      <c r="I194" s="9">
        <f t="shared" si="15"/>
        <v>192.36102474413002</v>
      </c>
      <c r="J194" s="9">
        <f t="shared" si="16"/>
        <v>712.09512890269991</v>
      </c>
      <c r="K194" s="9">
        <f t="shared" si="17"/>
        <v>192.36102474413002</v>
      </c>
      <c r="L194" s="10">
        <f t="shared" ref="L194:L257" si="21">K194/J194</f>
        <v>0.27013388652236386</v>
      </c>
      <c r="M194" s="10">
        <f t="shared" si="20"/>
        <v>0.27521887484276814</v>
      </c>
      <c r="P194" s="8">
        <f t="shared" si="19"/>
        <v>11.70109588973696</v>
      </c>
    </row>
    <row r="195" spans="1:16" x14ac:dyDescent="0.2">
      <c r="A195" s="8">
        <v>96.5</v>
      </c>
      <c r="B195" s="8">
        <v>193</v>
      </c>
      <c r="D195">
        <v>830.78145161290001</v>
      </c>
      <c r="E195">
        <v>302.64999999999998</v>
      </c>
      <c r="F195">
        <v>152.11084337349001</v>
      </c>
      <c r="G195">
        <v>124.46666666666999</v>
      </c>
      <c r="I195" s="9">
        <f t="shared" ref="I195:I241" si="22">E195-G195</f>
        <v>178.18333333332998</v>
      </c>
      <c r="J195" s="9">
        <f t="shared" ref="J195:J241" si="23">D195-F195</f>
        <v>678.67060823941006</v>
      </c>
      <c r="K195" s="9">
        <f t="shared" ref="K195:K258" si="24">I195*1</f>
        <v>178.18333333332998</v>
      </c>
      <c r="L195" s="10">
        <f t="shared" si="21"/>
        <v>0.26254759108482484</v>
      </c>
      <c r="M195" s="10">
        <f t="shared" si="20"/>
        <v>0.26765906371939785</v>
      </c>
      <c r="P195" s="8">
        <f t="shared" ref="P195:P241" si="25">(M195-$O$2)/$O$2*100</f>
        <v>8.6328499793417883</v>
      </c>
    </row>
    <row r="196" spans="1:16" x14ac:dyDescent="0.2">
      <c r="A196" s="8">
        <v>97</v>
      </c>
      <c r="B196" s="8">
        <v>194</v>
      </c>
      <c r="D196">
        <v>819.11209677419004</v>
      </c>
      <c r="E196">
        <v>297.53467741935998</v>
      </c>
      <c r="F196">
        <v>152.07309236948001</v>
      </c>
      <c r="G196">
        <v>124.1718875502</v>
      </c>
      <c r="I196" s="9">
        <f t="shared" si="22"/>
        <v>173.36278986916</v>
      </c>
      <c r="J196" s="9">
        <f t="shared" si="23"/>
        <v>667.03900440471</v>
      </c>
      <c r="K196" s="9">
        <f t="shared" si="24"/>
        <v>173.36278986916</v>
      </c>
      <c r="L196" s="10">
        <f t="shared" si="21"/>
        <v>0.25989902947860644</v>
      </c>
      <c r="M196" s="10">
        <f t="shared" si="20"/>
        <v>0.26503698642734824</v>
      </c>
      <c r="P196" s="8">
        <f t="shared" si="25"/>
        <v>7.5686464170066765</v>
      </c>
    </row>
    <row r="197" spans="1:16" x14ac:dyDescent="0.2">
      <c r="A197" s="8">
        <v>97.5</v>
      </c>
      <c r="B197" s="8">
        <v>195</v>
      </c>
      <c r="D197">
        <v>840.57651821861998</v>
      </c>
      <c r="E197">
        <v>312.80242914979999</v>
      </c>
      <c r="F197">
        <v>152.56385542168999</v>
      </c>
      <c r="G197">
        <v>124.2578313253</v>
      </c>
      <c r="I197" s="9">
        <f t="shared" si="22"/>
        <v>188.54459782449999</v>
      </c>
      <c r="J197" s="9">
        <f t="shared" si="23"/>
        <v>688.01266279693004</v>
      </c>
      <c r="K197" s="9">
        <f t="shared" si="24"/>
        <v>188.54459782449999</v>
      </c>
      <c r="L197" s="10">
        <f t="shared" si="21"/>
        <v>0.27404233674715045</v>
      </c>
      <c r="M197" s="10">
        <f t="shared" si="20"/>
        <v>0.279206778010061</v>
      </c>
      <c r="P197" s="8">
        <f t="shared" si="25"/>
        <v>13.319637330047884</v>
      </c>
    </row>
    <row r="198" spans="1:16" x14ac:dyDescent="0.2">
      <c r="A198" s="8">
        <v>98</v>
      </c>
      <c r="B198" s="8">
        <v>196</v>
      </c>
      <c r="D198">
        <v>814.3004048583</v>
      </c>
      <c r="E198">
        <v>308.91983805668002</v>
      </c>
      <c r="F198">
        <v>152.06987951807</v>
      </c>
      <c r="G198">
        <v>124.29799196787</v>
      </c>
      <c r="I198" s="9">
        <f t="shared" si="22"/>
        <v>184.62184608881</v>
      </c>
      <c r="J198" s="9">
        <f t="shared" si="23"/>
        <v>662.23052534022997</v>
      </c>
      <c r="K198" s="9">
        <f t="shared" si="24"/>
        <v>184.62184608881</v>
      </c>
      <c r="L198" s="10">
        <f t="shared" si="21"/>
        <v>0.27878788280555022</v>
      </c>
      <c r="M198" s="10">
        <f t="shared" si="20"/>
        <v>0.28397880838262957</v>
      </c>
      <c r="P198" s="8">
        <f t="shared" si="25"/>
        <v>15.256426812744317</v>
      </c>
    </row>
    <row r="199" spans="1:16" x14ac:dyDescent="0.2">
      <c r="A199" s="8">
        <v>98.5</v>
      </c>
      <c r="B199" s="8">
        <v>197</v>
      </c>
      <c r="D199">
        <v>841.93810289389</v>
      </c>
      <c r="E199">
        <v>310.68971061092998</v>
      </c>
      <c r="F199">
        <v>152.02088353414001</v>
      </c>
      <c r="G199">
        <v>124.10682730924</v>
      </c>
      <c r="I199" s="9">
        <f t="shared" si="22"/>
        <v>186.58288330168998</v>
      </c>
      <c r="J199" s="9">
        <f t="shared" si="23"/>
        <v>689.91721935974999</v>
      </c>
      <c r="K199" s="9">
        <f t="shared" si="24"/>
        <v>186.58288330168998</v>
      </c>
      <c r="L199" s="10">
        <f t="shared" si="21"/>
        <v>0.2704424213021393</v>
      </c>
      <c r="M199" s="10">
        <f t="shared" si="20"/>
        <v>0.27565983119338738</v>
      </c>
      <c r="P199" s="8">
        <f t="shared" si="25"/>
        <v>11.880063657234189</v>
      </c>
    </row>
    <row r="200" spans="1:16" x14ac:dyDescent="0.2">
      <c r="A200" s="8">
        <v>99</v>
      </c>
      <c r="B200" s="8">
        <v>198</v>
      </c>
      <c r="D200">
        <v>830.78456591639997</v>
      </c>
      <c r="E200">
        <v>308.33922829582002</v>
      </c>
      <c r="F200">
        <v>151.68433734940001</v>
      </c>
      <c r="G200">
        <v>124.02248995984</v>
      </c>
      <c r="I200" s="9">
        <f t="shared" si="22"/>
        <v>184.31673833598001</v>
      </c>
      <c r="J200" s="9">
        <f t="shared" si="23"/>
        <v>679.10022856699993</v>
      </c>
      <c r="K200" s="9">
        <f t="shared" si="24"/>
        <v>184.31673833598001</v>
      </c>
      <c r="L200" s="10">
        <f t="shared" si="21"/>
        <v>0.27141315903385144</v>
      </c>
      <c r="M200" s="10">
        <f t="shared" si="20"/>
        <v>0.27665705323926831</v>
      </c>
      <c r="P200" s="8">
        <f t="shared" si="25"/>
        <v>12.284798962666793</v>
      </c>
    </row>
    <row r="201" spans="1:16" x14ac:dyDescent="0.2">
      <c r="A201" s="8">
        <v>99.5</v>
      </c>
      <c r="B201" s="8">
        <v>199</v>
      </c>
      <c r="D201">
        <v>820.23392282958002</v>
      </c>
      <c r="E201">
        <v>303.03536977492001</v>
      </c>
      <c r="F201">
        <v>151.34056224899999</v>
      </c>
      <c r="G201">
        <v>123.9437751004</v>
      </c>
      <c r="I201" s="9">
        <f t="shared" si="22"/>
        <v>179.09159467452002</v>
      </c>
      <c r="J201" s="9">
        <f t="shared" si="23"/>
        <v>668.89336058058007</v>
      </c>
      <c r="K201" s="9">
        <f t="shared" si="24"/>
        <v>179.09159467452002</v>
      </c>
      <c r="L201" s="10">
        <f t="shared" si="21"/>
        <v>0.26774311905125459</v>
      </c>
      <c r="M201" s="10">
        <f t="shared" si="20"/>
        <v>0.27301349757084026</v>
      </c>
      <c r="P201" s="8">
        <f t="shared" si="25"/>
        <v>10.806015353326085</v>
      </c>
    </row>
    <row r="202" spans="1:16" x14ac:dyDescent="0.2">
      <c r="A202" s="8">
        <v>100</v>
      </c>
      <c r="B202" s="8">
        <v>200</v>
      </c>
      <c r="D202">
        <v>799.86897106108995</v>
      </c>
      <c r="E202">
        <v>295.07717041800998</v>
      </c>
      <c r="F202">
        <v>151.39357429719001</v>
      </c>
      <c r="G202">
        <v>123.72289156626999</v>
      </c>
      <c r="I202" s="9">
        <f t="shared" si="22"/>
        <v>171.35427885173999</v>
      </c>
      <c r="J202" s="9">
        <f t="shared" si="23"/>
        <v>648.47539676389988</v>
      </c>
      <c r="K202" s="9">
        <f t="shared" si="24"/>
        <v>171.35427885173999</v>
      </c>
      <c r="L202" s="10">
        <f t="shared" si="21"/>
        <v>0.26424175798627486</v>
      </c>
      <c r="M202" s="10">
        <f t="shared" si="20"/>
        <v>0.26953862082002927</v>
      </c>
      <c r="P202" s="8">
        <f t="shared" si="25"/>
        <v>9.3956922373366645</v>
      </c>
    </row>
    <row r="203" spans="1:16" x14ac:dyDescent="0.2">
      <c r="A203" s="8">
        <v>100.5</v>
      </c>
      <c r="B203" s="8">
        <v>201</v>
      </c>
      <c r="D203">
        <v>791.72508038584999</v>
      </c>
      <c r="E203">
        <v>288.90353697748998</v>
      </c>
      <c r="F203">
        <v>151.87710843374001</v>
      </c>
      <c r="G203">
        <v>124.15341365462</v>
      </c>
      <c r="I203" s="9">
        <f t="shared" si="22"/>
        <v>164.75012332286997</v>
      </c>
      <c r="J203" s="9">
        <f t="shared" si="23"/>
        <v>639.84797195211002</v>
      </c>
      <c r="K203" s="9">
        <f t="shared" si="24"/>
        <v>164.75012332286997</v>
      </c>
      <c r="L203" s="10">
        <f t="shared" si="21"/>
        <v>0.25748323124356304</v>
      </c>
      <c r="M203" s="10">
        <f t="shared" si="20"/>
        <v>0.26280657839148625</v>
      </c>
      <c r="P203" s="8">
        <f t="shared" si="25"/>
        <v>6.6634068253202656</v>
      </c>
    </row>
    <row r="204" spans="1:16" x14ac:dyDescent="0.2">
      <c r="A204" s="8">
        <v>101</v>
      </c>
      <c r="B204" s="8">
        <v>202</v>
      </c>
      <c r="D204">
        <v>779.05707395497996</v>
      </c>
      <c r="E204">
        <v>283.67363344051</v>
      </c>
      <c r="F204">
        <v>151.63132530121001</v>
      </c>
      <c r="G204">
        <v>123.93815261044</v>
      </c>
      <c r="I204" s="9">
        <f t="shared" si="22"/>
        <v>159.73548083007</v>
      </c>
      <c r="J204" s="9">
        <f t="shared" si="23"/>
        <v>627.42574865376992</v>
      </c>
      <c r="K204" s="9">
        <f t="shared" si="24"/>
        <v>159.73548083007</v>
      </c>
      <c r="L204" s="10">
        <f t="shared" si="21"/>
        <v>0.25458866036786809</v>
      </c>
      <c r="M204" s="10">
        <f t="shared" si="20"/>
        <v>0.25993849182996004</v>
      </c>
      <c r="P204" s="8">
        <f t="shared" si="25"/>
        <v>5.4993572585449835</v>
      </c>
    </row>
    <row r="205" spans="1:16" x14ac:dyDescent="0.2">
      <c r="A205" s="8">
        <v>101.5</v>
      </c>
      <c r="B205" s="8">
        <v>203</v>
      </c>
      <c r="D205">
        <v>825.83764135702995</v>
      </c>
      <c r="E205">
        <v>292.60500807753999</v>
      </c>
      <c r="F205">
        <v>151.24738955823</v>
      </c>
      <c r="G205">
        <v>124.10763052209001</v>
      </c>
      <c r="I205" s="9">
        <f t="shared" si="22"/>
        <v>168.49737755544999</v>
      </c>
      <c r="J205" s="9">
        <f t="shared" si="23"/>
        <v>674.59025179879995</v>
      </c>
      <c r="K205" s="9">
        <f t="shared" si="24"/>
        <v>168.49737755544999</v>
      </c>
      <c r="L205" s="10">
        <f t="shared" si="21"/>
        <v>0.24977736797433772</v>
      </c>
      <c r="M205" s="10">
        <f t="shared" si="20"/>
        <v>0.25515368375059844</v>
      </c>
      <c r="P205" s="8">
        <f t="shared" si="25"/>
        <v>3.5573817803293313</v>
      </c>
    </row>
    <row r="206" spans="1:16" x14ac:dyDescent="0.2">
      <c r="A206" s="8">
        <v>102</v>
      </c>
      <c r="B206" s="8">
        <v>204</v>
      </c>
      <c r="D206">
        <v>827.07996768982002</v>
      </c>
      <c r="E206">
        <v>290.71567043619001</v>
      </c>
      <c r="F206">
        <v>151.63212851406001</v>
      </c>
      <c r="G206">
        <v>124.20722891566</v>
      </c>
      <c r="I206" s="9">
        <f t="shared" si="22"/>
        <v>166.50844152053003</v>
      </c>
      <c r="J206" s="9">
        <f t="shared" si="23"/>
        <v>675.44783917576001</v>
      </c>
      <c r="K206" s="9">
        <f t="shared" si="24"/>
        <v>166.50844152053003</v>
      </c>
      <c r="L206" s="10">
        <f t="shared" si="21"/>
        <v>0.24651561802865202</v>
      </c>
      <c r="M206" s="10">
        <f t="shared" si="20"/>
        <v>0.25191841811908156</v>
      </c>
      <c r="P206" s="8">
        <f t="shared" si="25"/>
        <v>2.2443078978011268</v>
      </c>
    </row>
    <row r="207" spans="1:16" x14ac:dyDescent="0.2">
      <c r="A207" s="8">
        <v>102.5</v>
      </c>
      <c r="B207" s="8">
        <v>205</v>
      </c>
      <c r="D207">
        <v>820.75040387722004</v>
      </c>
      <c r="E207">
        <v>285.89176090468999</v>
      </c>
      <c r="F207">
        <v>151.95100401606001</v>
      </c>
      <c r="G207">
        <v>124.0562248996</v>
      </c>
      <c r="I207" s="9">
        <f t="shared" si="22"/>
        <v>161.83553600508998</v>
      </c>
      <c r="J207" s="9">
        <f t="shared" si="23"/>
        <v>668.79939986116005</v>
      </c>
      <c r="K207" s="9">
        <f t="shared" si="24"/>
        <v>161.83553600508998</v>
      </c>
      <c r="L207" s="10">
        <f t="shared" si="21"/>
        <v>0.24197918843630295</v>
      </c>
      <c r="M207" s="10">
        <f t="shared" si="20"/>
        <v>0.24740847284090123</v>
      </c>
      <c r="P207" s="8">
        <f t="shared" si="25"/>
        <v>0.41388899843135291</v>
      </c>
    </row>
    <row r="208" spans="1:16" x14ac:dyDescent="0.2">
      <c r="A208" s="8">
        <v>103</v>
      </c>
      <c r="B208" s="8">
        <v>206</v>
      </c>
      <c r="D208">
        <v>822.02988691437997</v>
      </c>
      <c r="E208">
        <v>285.87399030695002</v>
      </c>
      <c r="F208">
        <v>152.12128514055999</v>
      </c>
      <c r="G208">
        <v>124.31807228916</v>
      </c>
      <c r="I208" s="9">
        <f t="shared" si="22"/>
        <v>161.55591801779002</v>
      </c>
      <c r="J208" s="9">
        <f t="shared" si="23"/>
        <v>669.90860177382001</v>
      </c>
      <c r="K208" s="9">
        <f t="shared" si="24"/>
        <v>161.55591801779002</v>
      </c>
      <c r="L208" s="10">
        <f t="shared" si="21"/>
        <v>0.2411611339069443</v>
      </c>
      <c r="M208" s="10">
        <f t="shared" si="20"/>
        <v>0.24661690262571134</v>
      </c>
      <c r="P208" s="8">
        <f t="shared" si="25"/>
        <v>9.2620115398171457E-2</v>
      </c>
    </row>
    <row r="209" spans="1:16" x14ac:dyDescent="0.2">
      <c r="A209" s="8">
        <v>103.5</v>
      </c>
      <c r="B209" s="8">
        <v>207</v>
      </c>
      <c r="D209">
        <v>815.14343928280005</v>
      </c>
      <c r="E209">
        <v>285.72860635696998</v>
      </c>
      <c r="F209">
        <v>152.22088353414</v>
      </c>
      <c r="G209">
        <v>123.95742971887999</v>
      </c>
      <c r="I209" s="9">
        <f t="shared" si="22"/>
        <v>161.77117663808997</v>
      </c>
      <c r="J209" s="9">
        <f t="shared" si="23"/>
        <v>662.92255574865999</v>
      </c>
      <c r="K209" s="9">
        <f t="shared" si="24"/>
        <v>161.77117663808997</v>
      </c>
      <c r="L209" s="10">
        <f t="shared" si="21"/>
        <v>0.24402726266478672</v>
      </c>
      <c r="M209" s="10">
        <f t="shared" si="20"/>
        <v>0.24950951569772256</v>
      </c>
      <c r="P209" s="8">
        <f t="shared" si="25"/>
        <v>1.2666240797455388</v>
      </c>
    </row>
    <row r="210" spans="1:16" x14ac:dyDescent="0.2">
      <c r="A210" s="8">
        <v>104</v>
      </c>
      <c r="B210" s="8">
        <v>208</v>
      </c>
      <c r="D210">
        <v>816.03830480848001</v>
      </c>
      <c r="E210">
        <v>283.82233088835</v>
      </c>
      <c r="F210">
        <v>152.16546184738999</v>
      </c>
      <c r="G210">
        <v>123.87469879518</v>
      </c>
      <c r="I210" s="9">
        <f t="shared" si="22"/>
        <v>159.94763209317</v>
      </c>
      <c r="J210" s="9">
        <f t="shared" si="23"/>
        <v>663.87284296108999</v>
      </c>
      <c r="K210" s="9">
        <f t="shared" si="24"/>
        <v>159.94763209317</v>
      </c>
      <c r="L210" s="10">
        <f t="shared" si="21"/>
        <v>0.24093112677986833</v>
      </c>
      <c r="M210" s="10">
        <f t="shared" si="20"/>
        <v>0.24643986412697294</v>
      </c>
      <c r="P210" s="8">
        <f t="shared" si="25"/>
        <v>2.0766779266879698E-2</v>
      </c>
    </row>
    <row r="211" spans="1:16" x14ac:dyDescent="0.2">
      <c r="A211" s="8">
        <v>104.5</v>
      </c>
      <c r="B211" s="8">
        <v>209</v>
      </c>
      <c r="D211">
        <v>827.53952730236006</v>
      </c>
      <c r="E211">
        <v>286.72208638956999</v>
      </c>
      <c r="F211">
        <v>151.97911646585999</v>
      </c>
      <c r="G211">
        <v>123.90040160642999</v>
      </c>
      <c r="I211" s="9">
        <f t="shared" si="22"/>
        <v>162.82168478314</v>
      </c>
      <c r="J211" s="9">
        <f t="shared" si="23"/>
        <v>675.56041083650007</v>
      </c>
      <c r="K211" s="9">
        <f t="shared" si="24"/>
        <v>162.82168478314</v>
      </c>
      <c r="L211" s="10">
        <f t="shared" si="21"/>
        <v>0.24101720907761467</v>
      </c>
      <c r="M211" s="10">
        <f t="shared" si="20"/>
        <v>0.24655243073888805</v>
      </c>
      <c r="P211" s="8">
        <f t="shared" si="25"/>
        <v>6.6453376593083924E-2</v>
      </c>
    </row>
    <row r="212" spans="1:16" x14ac:dyDescent="0.2">
      <c r="A212" s="8">
        <v>105</v>
      </c>
      <c r="B212" s="8">
        <v>210</v>
      </c>
      <c r="D212">
        <v>863.36511817440999</v>
      </c>
      <c r="E212">
        <v>309.62917685411998</v>
      </c>
      <c r="F212">
        <v>151.45702811244999</v>
      </c>
      <c r="G212">
        <v>124.07630522088</v>
      </c>
      <c r="I212" s="9">
        <f t="shared" si="22"/>
        <v>185.55287163323999</v>
      </c>
      <c r="J212" s="9">
        <f t="shared" si="23"/>
        <v>711.90809006196002</v>
      </c>
      <c r="K212" s="9">
        <f t="shared" si="24"/>
        <v>185.55287163323999</v>
      </c>
      <c r="L212" s="10">
        <f t="shared" si="21"/>
        <v>0.26064161121850804</v>
      </c>
      <c r="M212" s="10">
        <f t="shared" si="20"/>
        <v>0.26620331719395018</v>
      </c>
      <c r="P212" s="8">
        <f t="shared" si="25"/>
        <v>8.0420166568704303</v>
      </c>
    </row>
    <row r="213" spans="1:16" x14ac:dyDescent="0.2">
      <c r="A213" s="8">
        <v>105.5</v>
      </c>
      <c r="B213" s="8">
        <v>211</v>
      </c>
      <c r="D213">
        <v>877.99918500408</v>
      </c>
      <c r="E213">
        <v>325.95028524857003</v>
      </c>
      <c r="F213">
        <v>151.66506024096</v>
      </c>
      <c r="G213">
        <v>124.49236947791</v>
      </c>
      <c r="I213" s="9">
        <f t="shared" si="22"/>
        <v>201.45791577066001</v>
      </c>
      <c r="J213" s="9">
        <f t="shared" si="23"/>
        <v>726.33412476312003</v>
      </c>
      <c r="K213" s="9">
        <f t="shared" si="24"/>
        <v>201.45791577066001</v>
      </c>
      <c r="L213" s="10">
        <f t="shared" si="21"/>
        <v>0.27736259236940253</v>
      </c>
      <c r="M213" s="10">
        <f t="shared" si="20"/>
        <v>0.28295078265901347</v>
      </c>
      <c r="P213" s="8">
        <f t="shared" si="25"/>
        <v>14.83918944122915</v>
      </c>
    </row>
    <row r="214" spans="1:16" x14ac:dyDescent="0.2">
      <c r="A214" s="8">
        <v>106</v>
      </c>
      <c r="B214" s="8">
        <v>212</v>
      </c>
      <c r="D214">
        <v>879.90627546862004</v>
      </c>
      <c r="E214">
        <v>322.01466992665001</v>
      </c>
      <c r="F214">
        <v>152.34618473896001</v>
      </c>
      <c r="G214">
        <v>124.39759036145</v>
      </c>
      <c r="I214" s="9">
        <f t="shared" si="22"/>
        <v>197.61707956520002</v>
      </c>
      <c r="J214" s="9">
        <f t="shared" si="23"/>
        <v>727.56009072966003</v>
      </c>
      <c r="K214" s="9">
        <f t="shared" si="24"/>
        <v>197.61707956520002</v>
      </c>
      <c r="L214" s="10">
        <f t="shared" si="21"/>
        <v>0.27161616213309964</v>
      </c>
      <c r="M214" s="10">
        <f t="shared" si="20"/>
        <v>0.27723083673687932</v>
      </c>
      <c r="P214" s="8">
        <f t="shared" si="25"/>
        <v>12.517676324450978</v>
      </c>
    </row>
    <row r="215" spans="1:16" x14ac:dyDescent="0.2">
      <c r="A215" s="8">
        <v>106.5</v>
      </c>
      <c r="B215" s="8">
        <v>213</v>
      </c>
      <c r="D215">
        <v>879.91687041565001</v>
      </c>
      <c r="E215">
        <v>322.95517522412001</v>
      </c>
      <c r="F215">
        <v>151.87389558232999</v>
      </c>
      <c r="G215">
        <v>124.47951807229001</v>
      </c>
      <c r="I215" s="9">
        <f t="shared" si="22"/>
        <v>198.47565715183001</v>
      </c>
      <c r="J215" s="9">
        <f t="shared" si="23"/>
        <v>728.04297483332005</v>
      </c>
      <c r="K215" s="9">
        <f t="shared" si="24"/>
        <v>198.47565715183001</v>
      </c>
      <c r="L215" s="10">
        <f t="shared" si="21"/>
        <v>0.27261530433319475</v>
      </c>
      <c r="M215" s="10">
        <f t="shared" si="20"/>
        <v>0.27825646325114323</v>
      </c>
      <c r="P215" s="8">
        <f t="shared" si="25"/>
        <v>12.933939946204026</v>
      </c>
    </row>
    <row r="216" spans="1:16" x14ac:dyDescent="0.2">
      <c r="A216" s="8">
        <v>107</v>
      </c>
      <c r="B216" s="8">
        <v>214</v>
      </c>
      <c r="D216">
        <v>868.10539018504005</v>
      </c>
      <c r="E216">
        <v>330.32984714400999</v>
      </c>
      <c r="F216">
        <v>151.09718875502</v>
      </c>
      <c r="G216">
        <v>123.65381526103999</v>
      </c>
      <c r="I216" s="9">
        <f t="shared" si="22"/>
        <v>206.67603188296999</v>
      </c>
      <c r="J216" s="9">
        <f t="shared" si="23"/>
        <v>717.00820143002011</v>
      </c>
      <c r="K216" s="9">
        <f t="shared" si="24"/>
        <v>206.67603188296999</v>
      </c>
      <c r="L216" s="10">
        <f t="shared" si="21"/>
        <v>0.2882477933596434</v>
      </c>
      <c r="M216" s="10">
        <f t="shared" si="20"/>
        <v>0.29391543659176061</v>
      </c>
      <c r="P216" s="8">
        <f t="shared" si="25"/>
        <v>19.289334297897412</v>
      </c>
    </row>
    <row r="217" spans="1:16" x14ac:dyDescent="0.2">
      <c r="A217" s="8">
        <v>107.5</v>
      </c>
      <c r="B217" s="8">
        <v>215</v>
      </c>
      <c r="D217">
        <v>859.66291230893</v>
      </c>
      <c r="E217">
        <v>322.39983909895</v>
      </c>
      <c r="F217">
        <v>151.04096385541999</v>
      </c>
      <c r="G217">
        <v>123.67309236948</v>
      </c>
      <c r="I217" s="9">
        <f t="shared" si="22"/>
        <v>198.72674672946999</v>
      </c>
      <c r="J217" s="9">
        <f t="shared" si="23"/>
        <v>708.62194845350996</v>
      </c>
      <c r="K217" s="9">
        <f t="shared" si="24"/>
        <v>198.72674672946999</v>
      </c>
      <c r="L217" s="10">
        <f t="shared" si="21"/>
        <v>0.28044113954298117</v>
      </c>
      <c r="M217" s="10">
        <f t="shared" si="20"/>
        <v>0.28613526708926718</v>
      </c>
      <c r="P217" s="8">
        <f t="shared" si="25"/>
        <v>16.131653124566132</v>
      </c>
    </row>
    <row r="218" spans="1:16" x14ac:dyDescent="0.2">
      <c r="A218" s="8">
        <v>108</v>
      </c>
      <c r="B218" s="8">
        <v>216</v>
      </c>
      <c r="D218">
        <v>853.05390185036003</v>
      </c>
      <c r="E218">
        <v>318.71118262268999</v>
      </c>
      <c r="F218">
        <v>151.24738955823</v>
      </c>
      <c r="G218">
        <v>124.06827309237001</v>
      </c>
      <c r="I218" s="9">
        <f t="shared" si="22"/>
        <v>194.64290953031997</v>
      </c>
      <c r="J218" s="9">
        <f t="shared" si="23"/>
        <v>701.80651229213004</v>
      </c>
      <c r="K218" s="9">
        <f t="shared" si="24"/>
        <v>194.64290953031997</v>
      </c>
      <c r="L218" s="10">
        <f t="shared" si="21"/>
        <v>0.27734554484911789</v>
      </c>
      <c r="M218" s="10">
        <f t="shared" si="20"/>
        <v>0.28306615670957269</v>
      </c>
      <c r="P218" s="8">
        <f t="shared" si="25"/>
        <v>14.886015473390154</v>
      </c>
    </row>
    <row r="219" spans="1:16" x14ac:dyDescent="0.2">
      <c r="A219" s="8">
        <v>108.5</v>
      </c>
      <c r="B219" s="8">
        <v>217</v>
      </c>
      <c r="D219">
        <v>853.01449275361995</v>
      </c>
      <c r="E219">
        <v>319.02415458937003</v>
      </c>
      <c r="F219">
        <v>151.88032128514001</v>
      </c>
      <c r="G219">
        <v>124.00321285141</v>
      </c>
      <c r="I219" s="9">
        <f t="shared" si="22"/>
        <v>195.02094173796002</v>
      </c>
      <c r="J219" s="9">
        <f t="shared" si="23"/>
        <v>701.13417146847996</v>
      </c>
      <c r="K219" s="9">
        <f t="shared" si="24"/>
        <v>195.02094173796002</v>
      </c>
      <c r="L219" s="10">
        <f t="shared" si="21"/>
        <v>0.27815067311510622</v>
      </c>
      <c r="M219" s="10">
        <f t="shared" si="20"/>
        <v>0.28389776928972976</v>
      </c>
      <c r="P219" s="8">
        <f t="shared" si="25"/>
        <v>15.223536061730275</v>
      </c>
    </row>
    <row r="220" spans="1:16" x14ac:dyDescent="0.2">
      <c r="A220" s="8">
        <v>109</v>
      </c>
      <c r="B220" s="8">
        <v>218</v>
      </c>
      <c r="D220">
        <v>816.59983896940003</v>
      </c>
      <c r="E220">
        <v>311.02657004831002</v>
      </c>
      <c r="F220">
        <v>153.54136546185001</v>
      </c>
      <c r="G220">
        <v>124.51084337349</v>
      </c>
      <c r="I220" s="9">
        <f t="shared" si="22"/>
        <v>186.51572667482003</v>
      </c>
      <c r="J220" s="9">
        <f t="shared" si="23"/>
        <v>663.05847350755005</v>
      </c>
      <c r="K220" s="9">
        <f t="shared" si="24"/>
        <v>186.51572667482003</v>
      </c>
      <c r="L220" s="10">
        <f t="shared" si="21"/>
        <v>0.28129604571397765</v>
      </c>
      <c r="M220" s="10">
        <f t="shared" si="20"/>
        <v>0.28706962620276999</v>
      </c>
      <c r="P220" s="8">
        <f t="shared" si="25"/>
        <v>16.510874705907359</v>
      </c>
    </row>
    <row r="221" spans="1:16" x14ac:dyDescent="0.2">
      <c r="A221" s="8">
        <v>109.5</v>
      </c>
      <c r="B221" s="8">
        <v>219</v>
      </c>
      <c r="D221">
        <v>828.19227674980004</v>
      </c>
      <c r="E221">
        <v>336.86725663716999</v>
      </c>
      <c r="F221">
        <v>153.87550200803</v>
      </c>
      <c r="G221">
        <v>124.82409638554</v>
      </c>
      <c r="I221" s="9">
        <f t="shared" si="22"/>
        <v>212.04316025162998</v>
      </c>
      <c r="J221" s="9">
        <f t="shared" si="23"/>
        <v>674.31677474177002</v>
      </c>
      <c r="K221" s="9">
        <f t="shared" si="24"/>
        <v>212.04316025162998</v>
      </c>
      <c r="L221" s="10">
        <f t="shared" si="21"/>
        <v>0.31445630331950741</v>
      </c>
      <c r="M221" s="10">
        <f t="shared" si="20"/>
        <v>0.32025636812246849</v>
      </c>
      <c r="P221" s="8">
        <f t="shared" si="25"/>
        <v>29.980137828060567</v>
      </c>
    </row>
    <row r="222" spans="1:16" x14ac:dyDescent="0.2">
      <c r="A222" s="8">
        <v>110</v>
      </c>
      <c r="B222" s="8">
        <v>220</v>
      </c>
      <c r="D222">
        <v>830.31295253419</v>
      </c>
      <c r="E222">
        <v>348.31697506033998</v>
      </c>
      <c r="F222">
        <v>153.82168674699</v>
      </c>
      <c r="G222">
        <v>125.44337349398</v>
      </c>
      <c r="I222" s="9">
        <f t="shared" si="22"/>
        <v>222.87360156635998</v>
      </c>
      <c r="J222" s="9">
        <f t="shared" si="23"/>
        <v>676.49126578720006</v>
      </c>
      <c r="K222" s="9">
        <f t="shared" si="24"/>
        <v>222.87360156635998</v>
      </c>
      <c r="L222" s="10">
        <f t="shared" si="21"/>
        <v>0.32945525365654615</v>
      </c>
      <c r="M222" s="10">
        <f t="shared" si="20"/>
        <v>0.33528180277367603</v>
      </c>
      <c r="P222" s="8">
        <f t="shared" si="25"/>
        <v>36.078402410089502</v>
      </c>
    </row>
    <row r="223" spans="1:16" x14ac:dyDescent="0.2">
      <c r="A223" s="8">
        <v>110.5</v>
      </c>
      <c r="B223" s="8">
        <v>221</v>
      </c>
      <c r="D223">
        <v>860.79563812600998</v>
      </c>
      <c r="E223">
        <v>365.84410339256999</v>
      </c>
      <c r="F223">
        <v>153.02409638553999</v>
      </c>
      <c r="G223">
        <v>124.74939759036</v>
      </c>
      <c r="I223" s="9">
        <f t="shared" si="22"/>
        <v>241.09470580221</v>
      </c>
      <c r="J223" s="9">
        <f t="shared" si="23"/>
        <v>707.77154174046996</v>
      </c>
      <c r="K223" s="9">
        <f t="shared" si="24"/>
        <v>241.09470580221</v>
      </c>
      <c r="L223" s="10">
        <f t="shared" si="21"/>
        <v>0.34063916332286798</v>
      </c>
      <c r="M223" s="10">
        <f t="shared" si="20"/>
        <v>0.34649219675416659</v>
      </c>
      <c r="P223" s="8">
        <f t="shared" si="25"/>
        <v>40.628284004118598</v>
      </c>
    </row>
    <row r="224" spans="1:16" x14ac:dyDescent="0.2">
      <c r="A224" s="8">
        <v>111</v>
      </c>
      <c r="B224" s="8">
        <v>222</v>
      </c>
      <c r="D224">
        <v>881.36879999999996</v>
      </c>
      <c r="E224">
        <v>359.09440000000001</v>
      </c>
      <c r="F224">
        <v>152.50602409639001</v>
      </c>
      <c r="G224">
        <v>124.43694779117</v>
      </c>
      <c r="I224" s="9">
        <f t="shared" si="22"/>
        <v>234.65745220883002</v>
      </c>
      <c r="J224" s="9">
        <f t="shared" si="23"/>
        <v>728.86277590360999</v>
      </c>
      <c r="K224" s="9">
        <f t="shared" si="24"/>
        <v>234.65745220883002</v>
      </c>
      <c r="L224" s="10">
        <f t="shared" si="21"/>
        <v>0.3219501118271717</v>
      </c>
      <c r="M224" s="10">
        <f t="shared" si="20"/>
        <v>0.32782962957263911</v>
      </c>
      <c r="P224" s="8">
        <f t="shared" si="25"/>
        <v>33.053842725396699</v>
      </c>
    </row>
    <row r="225" spans="1:16" x14ac:dyDescent="0.2">
      <c r="A225" s="8">
        <v>111.5</v>
      </c>
      <c r="B225" s="8">
        <v>223</v>
      </c>
      <c r="D225">
        <v>840.19359999999995</v>
      </c>
      <c r="E225">
        <v>352.82319999999999</v>
      </c>
      <c r="F225">
        <v>153.02008032129001</v>
      </c>
      <c r="G225">
        <v>124.16626506023999</v>
      </c>
      <c r="I225" s="9">
        <f t="shared" si="22"/>
        <v>228.65693493975999</v>
      </c>
      <c r="J225" s="9">
        <f t="shared" si="23"/>
        <v>687.17351967870991</v>
      </c>
      <c r="K225" s="9">
        <f t="shared" si="24"/>
        <v>228.65693493975999</v>
      </c>
      <c r="L225" s="10">
        <f t="shared" si="21"/>
        <v>0.33274992180529489</v>
      </c>
      <c r="M225" s="10">
        <f t="shared" si="20"/>
        <v>0.3386559238649311</v>
      </c>
      <c r="P225" s="8">
        <f t="shared" si="25"/>
        <v>37.447832554636037</v>
      </c>
    </row>
    <row r="226" spans="1:16" x14ac:dyDescent="0.2">
      <c r="A226" s="8">
        <v>112</v>
      </c>
      <c r="B226" s="8">
        <v>224</v>
      </c>
      <c r="D226">
        <v>881.2192</v>
      </c>
      <c r="E226">
        <v>363.2448</v>
      </c>
      <c r="F226">
        <v>152.03132530120999</v>
      </c>
      <c r="G226">
        <v>124.20240963854999</v>
      </c>
      <c r="I226" s="9">
        <f t="shared" si="22"/>
        <v>239.04239036145</v>
      </c>
      <c r="J226" s="9">
        <f t="shared" si="23"/>
        <v>729.18787469878998</v>
      </c>
      <c r="K226" s="9">
        <f t="shared" si="24"/>
        <v>239.04239036145</v>
      </c>
      <c r="L226" s="10">
        <f t="shared" si="21"/>
        <v>0.32782002917998693</v>
      </c>
      <c r="M226" s="10">
        <f t="shared" si="20"/>
        <v>0.33375251555379187</v>
      </c>
      <c r="P226" s="8">
        <f t="shared" si="25"/>
        <v>35.457721657401962</v>
      </c>
    </row>
    <row r="227" spans="1:16" x14ac:dyDescent="0.2">
      <c r="A227" s="8">
        <v>112.5</v>
      </c>
      <c r="B227" s="8">
        <v>225</v>
      </c>
      <c r="D227">
        <v>867.89679999999998</v>
      </c>
      <c r="E227">
        <v>348.27600000000001</v>
      </c>
      <c r="F227">
        <v>152.35742971888001</v>
      </c>
      <c r="G227">
        <v>123.97831325301</v>
      </c>
      <c r="I227" s="9">
        <f t="shared" si="22"/>
        <v>224.29768674699</v>
      </c>
      <c r="J227" s="9">
        <f t="shared" si="23"/>
        <v>715.53937028112</v>
      </c>
      <c r="K227" s="9">
        <f t="shared" si="24"/>
        <v>224.29768674699</v>
      </c>
      <c r="L227" s="10">
        <f t="shared" si="21"/>
        <v>0.31346659046708814</v>
      </c>
      <c r="M227" s="10">
        <f t="shared" si="20"/>
        <v>0.31942556115506188</v>
      </c>
      <c r="P227" s="8">
        <f t="shared" si="25"/>
        <v>29.642944207945789</v>
      </c>
    </row>
    <row r="228" spans="1:16" x14ac:dyDescent="0.2">
      <c r="A228" s="8">
        <v>113</v>
      </c>
      <c r="B228" s="8">
        <v>226</v>
      </c>
      <c r="D228">
        <v>861.61736334404998</v>
      </c>
      <c r="E228">
        <v>359.03617363344</v>
      </c>
      <c r="F228">
        <v>152.98554216868001</v>
      </c>
      <c r="G228">
        <v>124.84738955823001</v>
      </c>
      <c r="I228" s="9">
        <f t="shared" si="22"/>
        <v>234.18878407520998</v>
      </c>
      <c r="J228" s="9">
        <f t="shared" si="23"/>
        <v>708.63182117536996</v>
      </c>
      <c r="K228" s="9">
        <f t="shared" si="24"/>
        <v>234.18878407520998</v>
      </c>
      <c r="L228" s="10">
        <f t="shared" si="21"/>
        <v>0.33048019730016287</v>
      </c>
      <c r="M228" s="10">
        <f t="shared" si="20"/>
        <v>0.33646565230230535</v>
      </c>
      <c r="P228" s="8">
        <f t="shared" si="25"/>
        <v>36.558882863299672</v>
      </c>
    </row>
    <row r="229" spans="1:16" x14ac:dyDescent="0.2">
      <c r="A229" s="8">
        <v>113.5</v>
      </c>
      <c r="B229" s="8">
        <v>227</v>
      </c>
      <c r="D229">
        <v>841.97508038584999</v>
      </c>
      <c r="E229">
        <v>361.88263665595002</v>
      </c>
      <c r="F229">
        <v>152.53012048193</v>
      </c>
      <c r="G229">
        <v>124.66907630522</v>
      </c>
      <c r="I229" s="9">
        <f t="shared" si="22"/>
        <v>237.21356035073001</v>
      </c>
      <c r="J229" s="9">
        <f t="shared" si="23"/>
        <v>689.44495990391999</v>
      </c>
      <c r="K229" s="9">
        <f t="shared" si="24"/>
        <v>237.21356035073001</v>
      </c>
      <c r="L229" s="10">
        <f t="shared" si="21"/>
        <v>0.34406453617963606</v>
      </c>
      <c r="M229" s="10">
        <f t="shared" si="20"/>
        <v>0.35007647549594734</v>
      </c>
      <c r="P229" s="8">
        <f t="shared" si="25"/>
        <v>42.083009315599959</v>
      </c>
    </row>
    <row r="230" spans="1:16" x14ac:dyDescent="0.2">
      <c r="A230" s="8">
        <v>114</v>
      </c>
      <c r="B230" s="8">
        <v>228</v>
      </c>
      <c r="D230">
        <v>873.41768045417996</v>
      </c>
      <c r="E230">
        <v>387.01865369018998</v>
      </c>
      <c r="F230">
        <v>153.10843373494001</v>
      </c>
      <c r="G230">
        <v>124.50522088353</v>
      </c>
      <c r="I230" s="9">
        <f t="shared" si="22"/>
        <v>262.51343280665998</v>
      </c>
      <c r="J230" s="9">
        <f t="shared" si="23"/>
        <v>720.30924671923992</v>
      </c>
      <c r="K230" s="9">
        <f t="shared" si="24"/>
        <v>262.51343280665998</v>
      </c>
      <c r="L230" s="10">
        <f t="shared" si="21"/>
        <v>0.36444545728424016</v>
      </c>
      <c r="M230" s="10">
        <f t="shared" si="20"/>
        <v>0.37048388091472018</v>
      </c>
      <c r="P230" s="8">
        <f t="shared" si="25"/>
        <v>50.365615480767133</v>
      </c>
    </row>
    <row r="231" spans="1:16" x14ac:dyDescent="0.2">
      <c r="A231" s="8">
        <v>114.5</v>
      </c>
      <c r="B231" s="8">
        <v>229</v>
      </c>
      <c r="D231">
        <v>849.00720576461003</v>
      </c>
      <c r="E231">
        <v>376.61008807045999</v>
      </c>
      <c r="F231">
        <v>152.12530120482</v>
      </c>
      <c r="G231">
        <v>124.06907630521999</v>
      </c>
      <c r="I231" s="9">
        <f t="shared" si="22"/>
        <v>252.54101176524</v>
      </c>
      <c r="J231" s="9">
        <f t="shared" si="23"/>
        <v>696.88190455978997</v>
      </c>
      <c r="K231" s="9">
        <f t="shared" si="24"/>
        <v>252.54101176524</v>
      </c>
      <c r="L231" s="10">
        <f t="shared" si="21"/>
        <v>0.36238709903762883</v>
      </c>
      <c r="M231" s="10">
        <f t="shared" si="20"/>
        <v>0.36845200698227765</v>
      </c>
      <c r="P231" s="8">
        <f t="shared" si="25"/>
        <v>49.540953490947999</v>
      </c>
    </row>
    <row r="232" spans="1:16" x14ac:dyDescent="0.2">
      <c r="A232" s="8">
        <v>115</v>
      </c>
      <c r="B232" s="8">
        <v>230</v>
      </c>
      <c r="D232">
        <v>852.50520416332995</v>
      </c>
      <c r="E232">
        <v>363.29143314651998</v>
      </c>
      <c r="F232">
        <v>151.74056224899999</v>
      </c>
      <c r="G232">
        <v>123.76305220883999</v>
      </c>
      <c r="I232" s="9">
        <f t="shared" si="22"/>
        <v>239.52838093767997</v>
      </c>
      <c r="J232" s="9">
        <f t="shared" si="23"/>
        <v>700.76464191433001</v>
      </c>
      <c r="K232" s="9">
        <f t="shared" si="24"/>
        <v>239.52838093767997</v>
      </c>
      <c r="L232" s="10">
        <f t="shared" si="21"/>
        <v>0.34181002666364957</v>
      </c>
      <c r="M232" s="10">
        <f t="shared" si="20"/>
        <v>0.34790141892246718</v>
      </c>
      <c r="P232" s="8">
        <f t="shared" si="25"/>
        <v>41.200234821958453</v>
      </c>
    </row>
    <row r="233" spans="1:16" x14ac:dyDescent="0.2">
      <c r="A233" s="8">
        <v>115.5</v>
      </c>
      <c r="B233" s="8">
        <v>231</v>
      </c>
      <c r="D233">
        <v>878.15861513688003</v>
      </c>
      <c r="E233">
        <v>354.28904991949003</v>
      </c>
      <c r="F233">
        <v>152.64016064257001</v>
      </c>
      <c r="G233">
        <v>124.09638554217</v>
      </c>
      <c r="I233" s="9">
        <f t="shared" si="22"/>
        <v>230.19266437732003</v>
      </c>
      <c r="J233" s="9">
        <f t="shared" si="23"/>
        <v>725.51845449431005</v>
      </c>
      <c r="K233" s="9">
        <f t="shared" si="24"/>
        <v>230.19266437732003</v>
      </c>
      <c r="L233" s="10">
        <f t="shared" si="21"/>
        <v>0.31728023312345027</v>
      </c>
      <c r="M233" s="10">
        <f t="shared" si="20"/>
        <v>0.32339810969643662</v>
      </c>
      <c r="P233" s="8">
        <f t="shared" si="25"/>
        <v>31.255253777194053</v>
      </c>
    </row>
    <row r="234" spans="1:16" x14ac:dyDescent="0.2">
      <c r="A234" s="8">
        <v>116</v>
      </c>
      <c r="B234" s="8">
        <v>232</v>
      </c>
      <c r="D234">
        <v>882.22302737519999</v>
      </c>
      <c r="E234">
        <v>369.64734299516999</v>
      </c>
      <c r="F234">
        <v>152.76305220884001</v>
      </c>
      <c r="G234">
        <v>124.68514056225</v>
      </c>
      <c r="I234" s="9">
        <f t="shared" si="22"/>
        <v>244.96220243291998</v>
      </c>
      <c r="J234" s="9">
        <f t="shared" si="23"/>
        <v>729.45997516635998</v>
      </c>
      <c r="K234" s="9">
        <f t="shared" si="24"/>
        <v>244.96220243291998</v>
      </c>
      <c r="L234" s="10">
        <f t="shared" si="21"/>
        <v>0.33581308196800536</v>
      </c>
      <c r="M234" s="10">
        <f t="shared" si="20"/>
        <v>0.3419574428551605</v>
      </c>
      <c r="P234" s="8">
        <f t="shared" si="25"/>
        <v>38.787796209091383</v>
      </c>
    </row>
    <row r="235" spans="1:16" x14ac:dyDescent="0.2">
      <c r="A235" s="8">
        <v>116.5</v>
      </c>
      <c r="B235" s="8">
        <v>233</v>
      </c>
      <c r="D235">
        <v>886.86876006441003</v>
      </c>
      <c r="E235">
        <v>369.83655394524999</v>
      </c>
      <c r="F235">
        <v>153.01445783132999</v>
      </c>
      <c r="G235">
        <v>124.19759036145</v>
      </c>
      <c r="I235" s="9">
        <f t="shared" si="22"/>
        <v>245.63896358379998</v>
      </c>
      <c r="J235" s="9">
        <f t="shared" si="23"/>
        <v>733.85430223308003</v>
      </c>
      <c r="K235" s="9">
        <f t="shared" si="24"/>
        <v>245.63896358379998</v>
      </c>
      <c r="L235" s="10">
        <f t="shared" si="21"/>
        <v>0.33472443077097663</v>
      </c>
      <c r="M235" s="10">
        <f t="shared" si="20"/>
        <v>0.34089527597230052</v>
      </c>
      <c r="P235" s="8">
        <f t="shared" si="25"/>
        <v>38.356702211991696</v>
      </c>
    </row>
    <row r="236" spans="1:16" x14ac:dyDescent="0.2">
      <c r="A236" s="8">
        <v>117</v>
      </c>
      <c r="B236" s="8">
        <v>234</v>
      </c>
      <c r="D236">
        <v>849.72785829307998</v>
      </c>
      <c r="E236">
        <v>359.95008051529999</v>
      </c>
      <c r="F236">
        <v>152.72851405623001</v>
      </c>
      <c r="G236">
        <v>124.15421686747</v>
      </c>
      <c r="I236" s="9">
        <f t="shared" si="22"/>
        <v>235.79586364783</v>
      </c>
      <c r="J236" s="9">
        <f t="shared" si="23"/>
        <v>696.99934423684999</v>
      </c>
      <c r="K236" s="9">
        <f t="shared" si="24"/>
        <v>235.79586364783</v>
      </c>
      <c r="L236" s="10">
        <f t="shared" si="21"/>
        <v>0.33830141390736129</v>
      </c>
      <c r="M236" s="10">
        <f t="shared" si="20"/>
        <v>0.34449874342285397</v>
      </c>
      <c r="P236" s="8">
        <f t="shared" si="25"/>
        <v>39.819215506037288</v>
      </c>
    </row>
    <row r="237" spans="1:16" x14ac:dyDescent="0.2">
      <c r="A237" s="8">
        <v>117.5</v>
      </c>
      <c r="B237" s="8">
        <v>235</v>
      </c>
      <c r="D237">
        <v>872.10708534621995</v>
      </c>
      <c r="E237">
        <v>384.62399355878</v>
      </c>
      <c r="F237">
        <v>153.07309236948001</v>
      </c>
      <c r="G237">
        <v>125.04658634538001</v>
      </c>
      <c r="I237" s="9">
        <f t="shared" si="22"/>
        <v>259.57740721339997</v>
      </c>
      <c r="J237" s="9">
        <f t="shared" si="23"/>
        <v>719.03399297673991</v>
      </c>
      <c r="K237" s="9">
        <f t="shared" si="24"/>
        <v>259.57740721339997</v>
      </c>
      <c r="L237" s="10">
        <f t="shared" si="21"/>
        <v>0.36100853332228627</v>
      </c>
      <c r="M237" s="10">
        <f t="shared" si="20"/>
        <v>0.36723234715194775</v>
      </c>
      <c r="P237" s="8">
        <f t="shared" si="25"/>
        <v>49.045938969366318</v>
      </c>
    </row>
    <row r="238" spans="1:16" x14ac:dyDescent="0.2">
      <c r="A238" s="8">
        <v>118</v>
      </c>
      <c r="B238" s="8">
        <v>236</v>
      </c>
      <c r="D238">
        <v>896.89919999999995</v>
      </c>
      <c r="E238">
        <v>387.59280000000001</v>
      </c>
      <c r="F238">
        <v>151.80321285141</v>
      </c>
      <c r="G238">
        <v>124.04497991968</v>
      </c>
      <c r="I238" s="9">
        <f t="shared" si="22"/>
        <v>263.54782008031998</v>
      </c>
      <c r="J238" s="9">
        <f t="shared" si="23"/>
        <v>745.09598714858998</v>
      </c>
      <c r="K238" s="9">
        <f t="shared" si="24"/>
        <v>263.54782008031998</v>
      </c>
      <c r="L238" s="10">
        <f t="shared" si="21"/>
        <v>0.35370989057247765</v>
      </c>
      <c r="M238" s="10">
        <f t="shared" si="20"/>
        <v>0.35996018871630786</v>
      </c>
      <c r="P238" s="8">
        <f t="shared" si="25"/>
        <v>46.094440576645837</v>
      </c>
    </row>
    <row r="239" spans="1:16" x14ac:dyDescent="0.2">
      <c r="A239" s="8">
        <v>118.5</v>
      </c>
      <c r="B239" s="8">
        <v>237</v>
      </c>
      <c r="D239">
        <v>880.09259259258999</v>
      </c>
      <c r="E239">
        <v>380.37359098229001</v>
      </c>
      <c r="F239">
        <v>152.68674698794999</v>
      </c>
      <c r="G239">
        <v>123.99357429718999</v>
      </c>
      <c r="I239" s="9">
        <f t="shared" si="22"/>
        <v>256.38001668510003</v>
      </c>
      <c r="J239" s="9">
        <f t="shared" si="23"/>
        <v>727.40584560464004</v>
      </c>
      <c r="K239" s="9">
        <f t="shared" si="24"/>
        <v>256.38001668510003</v>
      </c>
      <c r="L239" s="10">
        <f t="shared" si="21"/>
        <v>0.35245800983629683</v>
      </c>
      <c r="M239" s="10">
        <f t="shared" si="20"/>
        <v>0.35873479229429583</v>
      </c>
      <c r="P239" s="8">
        <f t="shared" si="25"/>
        <v>45.597097786053062</v>
      </c>
    </row>
    <row r="240" spans="1:16" x14ac:dyDescent="0.2">
      <c r="A240" s="8">
        <v>119</v>
      </c>
      <c r="B240" s="8">
        <v>238</v>
      </c>
      <c r="D240">
        <v>848.32930756843996</v>
      </c>
      <c r="E240">
        <v>383.33896940418998</v>
      </c>
      <c r="F240">
        <v>153.04257028113</v>
      </c>
      <c r="G240">
        <v>125.14859437750999</v>
      </c>
      <c r="I240" s="9">
        <f t="shared" si="22"/>
        <v>258.19037502667999</v>
      </c>
      <c r="J240" s="9">
        <f t="shared" si="23"/>
        <v>695.28673728730996</v>
      </c>
      <c r="K240" s="9">
        <f t="shared" si="24"/>
        <v>258.19037502667999</v>
      </c>
      <c r="L240" s="10">
        <f t="shared" si="21"/>
        <v>0.37134373659135284</v>
      </c>
      <c r="M240" s="10">
        <f t="shared" si="20"/>
        <v>0.37764700336352058</v>
      </c>
      <c r="P240" s="8">
        <f t="shared" si="25"/>
        <v>53.27286022544714</v>
      </c>
    </row>
    <row r="241" spans="1:16" x14ac:dyDescent="0.2">
      <c r="A241" s="8">
        <v>119.5</v>
      </c>
      <c r="B241" s="8">
        <v>239</v>
      </c>
      <c r="D241">
        <v>878.70692431561997</v>
      </c>
      <c r="E241">
        <v>398.95008051529999</v>
      </c>
      <c r="F241">
        <v>152.41686746988</v>
      </c>
      <c r="G241">
        <v>124.40321285141</v>
      </c>
      <c r="I241" s="9">
        <f t="shared" si="22"/>
        <v>274.54686766389</v>
      </c>
      <c r="J241" s="9">
        <f t="shared" si="23"/>
        <v>726.29005684573997</v>
      </c>
      <c r="K241" s="9">
        <f t="shared" si="24"/>
        <v>274.54686766389</v>
      </c>
      <c r="L241" s="10">
        <f t="shared" si="21"/>
        <v>0.3780127031564226</v>
      </c>
      <c r="M241" s="10">
        <f t="shared" si="20"/>
        <v>0.38434245424275915</v>
      </c>
      <c r="P241" s="8">
        <f t="shared" si="25"/>
        <v>55.990294489772637</v>
      </c>
    </row>
    <row r="242" spans="1:16" x14ac:dyDescent="0.2">
      <c r="A242" s="8">
        <v>120</v>
      </c>
      <c r="B242" s="8">
        <v>240</v>
      </c>
      <c r="D242">
        <v>892.47611336032003</v>
      </c>
      <c r="E242">
        <v>387.04777327935</v>
      </c>
      <c r="F242">
        <v>152.29397590361</v>
      </c>
      <c r="G242">
        <v>124.11485943775</v>
      </c>
      <c r="I242" s="9">
        <f>E242-G242</f>
        <v>262.9329138416</v>
      </c>
      <c r="J242" s="9">
        <f>D242-F242</f>
        <v>740.18213745671005</v>
      </c>
      <c r="K242" s="9">
        <f t="shared" si="24"/>
        <v>262.9329138416</v>
      </c>
      <c r="L242" s="10">
        <f t="shared" si="21"/>
        <v>0.35522731573210625</v>
      </c>
      <c r="M242" s="10">
        <f>L242+ABS($N$2)*A242</f>
        <v>0.36158355113261154</v>
      </c>
      <c r="O242" s="11"/>
      <c r="P242" s="8">
        <f>(M242-$O$2)/$O$2*100</f>
        <v>46.753302949478822</v>
      </c>
    </row>
    <row r="243" spans="1:16" x14ac:dyDescent="0.2">
      <c r="A243" s="8">
        <v>120.5</v>
      </c>
      <c r="B243" s="8">
        <v>241</v>
      </c>
      <c r="D243">
        <v>868.04460665044996</v>
      </c>
      <c r="E243">
        <v>385.89213300891998</v>
      </c>
      <c r="F243">
        <v>153.09317269076001</v>
      </c>
      <c r="G243">
        <v>124.6859437751</v>
      </c>
      <c r="I243" s="9">
        <f t="shared" ref="I243:I274" si="26">E243-G243</f>
        <v>261.20618923382</v>
      </c>
      <c r="J243" s="9">
        <f t="shared" ref="J243:J274" si="27">D243-F243</f>
        <v>714.95143395968989</v>
      </c>
      <c r="K243" s="9">
        <f t="shared" si="24"/>
        <v>261.20618923382</v>
      </c>
      <c r="L243" s="10">
        <f t="shared" si="21"/>
        <v>0.36534815768835455</v>
      </c>
      <c r="M243" s="10">
        <f t="shared" ref="M243:M274" si="28">L243+ABS($N$2)*A243</f>
        <v>0.37173087740302863</v>
      </c>
      <c r="P243" s="8">
        <f t="shared" ref="P243:P274" si="29">(M243-$O$2)/$O$2*100</f>
        <v>50.871724934176832</v>
      </c>
    </row>
    <row r="244" spans="1:16" x14ac:dyDescent="0.2">
      <c r="A244" s="8">
        <v>121</v>
      </c>
      <c r="B244" s="8">
        <v>242</v>
      </c>
      <c r="D244">
        <v>847.28953771290003</v>
      </c>
      <c r="E244">
        <v>385.36009732359997</v>
      </c>
      <c r="F244">
        <v>152.85060240964</v>
      </c>
      <c r="G244">
        <v>125.07710843373999</v>
      </c>
      <c r="I244" s="9">
        <f t="shared" si="26"/>
        <v>260.28298888986001</v>
      </c>
      <c r="J244" s="9">
        <f t="shared" si="27"/>
        <v>694.43893530326</v>
      </c>
      <c r="K244" s="9">
        <f t="shared" si="24"/>
        <v>260.28298888986001</v>
      </c>
      <c r="L244" s="10">
        <f t="shared" si="21"/>
        <v>0.37481047743412454</v>
      </c>
      <c r="M244" s="10">
        <f t="shared" si="28"/>
        <v>0.38121968146296742</v>
      </c>
      <c r="N244" s="1"/>
      <c r="P244" s="8">
        <f t="shared" si="29"/>
        <v>54.722877268055356</v>
      </c>
    </row>
    <row r="245" spans="1:16" x14ac:dyDescent="0.2">
      <c r="A245" s="8">
        <v>121.5</v>
      </c>
      <c r="B245" s="8">
        <v>243</v>
      </c>
      <c r="D245">
        <v>842.27169505272002</v>
      </c>
      <c r="E245">
        <v>383.57177615571999</v>
      </c>
      <c r="F245">
        <v>152.85060240964</v>
      </c>
      <c r="G245">
        <v>124.70281124498</v>
      </c>
      <c r="I245" s="9">
        <f t="shared" si="26"/>
        <v>258.86896491073998</v>
      </c>
      <c r="J245" s="9">
        <f t="shared" si="27"/>
        <v>689.42109264307999</v>
      </c>
      <c r="K245" s="9">
        <f t="shared" si="24"/>
        <v>258.86896491073998</v>
      </c>
      <c r="L245" s="10">
        <f t="shared" si="21"/>
        <v>0.3754874454425185</v>
      </c>
      <c r="M245" s="10">
        <f t="shared" si="28"/>
        <v>0.38192313378553011</v>
      </c>
      <c r="P245" s="8">
        <f t="shared" si="29"/>
        <v>55.008382378783402</v>
      </c>
    </row>
    <row r="246" spans="1:16" x14ac:dyDescent="0.2">
      <c r="A246" s="8">
        <v>122</v>
      </c>
      <c r="B246" s="8">
        <v>244</v>
      </c>
      <c r="D246">
        <v>837.91078669910996</v>
      </c>
      <c r="E246">
        <v>386.13787510138002</v>
      </c>
      <c r="F246">
        <v>151.97028112449999</v>
      </c>
      <c r="G246">
        <v>124.01526104417999</v>
      </c>
      <c r="I246" s="9">
        <f t="shared" si="26"/>
        <v>262.12261405720005</v>
      </c>
      <c r="J246" s="9">
        <f t="shared" si="27"/>
        <v>685.94050557460992</v>
      </c>
      <c r="K246" s="9">
        <f t="shared" si="24"/>
        <v>262.12261405720005</v>
      </c>
      <c r="L246" s="10">
        <f t="shared" si="21"/>
        <v>0.38213607729378929</v>
      </c>
      <c r="M246" s="10">
        <f t="shared" si="28"/>
        <v>0.3885982499509697</v>
      </c>
      <c r="P246" s="8">
        <f t="shared" si="29"/>
        <v>57.717563539766168</v>
      </c>
    </row>
    <row r="247" spans="1:16" x14ac:dyDescent="0.2">
      <c r="A247" s="8">
        <v>122.5</v>
      </c>
      <c r="B247" s="8">
        <v>245</v>
      </c>
      <c r="D247">
        <v>859.28304947283004</v>
      </c>
      <c r="E247">
        <v>394.54582319546</v>
      </c>
      <c r="F247">
        <v>152.24819277108</v>
      </c>
      <c r="G247">
        <v>124.4859437751</v>
      </c>
      <c r="I247" s="9">
        <f t="shared" si="26"/>
        <v>270.05987942036001</v>
      </c>
      <c r="J247" s="9">
        <f t="shared" si="27"/>
        <v>707.03485670175007</v>
      </c>
      <c r="K247" s="9">
        <f t="shared" si="24"/>
        <v>270.05987942036001</v>
      </c>
      <c r="L247" s="10">
        <f t="shared" si="21"/>
        <v>0.38196119591637034</v>
      </c>
      <c r="M247" s="10">
        <f t="shared" si="28"/>
        <v>0.38844985288771949</v>
      </c>
      <c r="P247" s="8">
        <f t="shared" si="29"/>
        <v>57.657334696081897</v>
      </c>
    </row>
    <row r="248" spans="1:16" x14ac:dyDescent="0.2">
      <c r="A248" s="8">
        <v>123</v>
      </c>
      <c r="B248" s="8">
        <v>246</v>
      </c>
      <c r="D248">
        <v>888.84627702162004</v>
      </c>
      <c r="E248">
        <v>403.09127301842</v>
      </c>
      <c r="F248">
        <v>151.82489959839</v>
      </c>
      <c r="G248">
        <v>123.92610441767</v>
      </c>
      <c r="I248" s="9">
        <f t="shared" si="26"/>
        <v>279.16516860075001</v>
      </c>
      <c r="J248" s="9">
        <f t="shared" si="27"/>
        <v>737.02137742322998</v>
      </c>
      <c r="K248" s="9">
        <f t="shared" si="24"/>
        <v>279.16516860075001</v>
      </c>
      <c r="L248" s="10">
        <f t="shared" si="21"/>
        <v>0.37877485938978556</v>
      </c>
      <c r="M248" s="10">
        <f t="shared" si="28"/>
        <v>0.3852900006753035</v>
      </c>
      <c r="P248" s="8">
        <f t="shared" si="29"/>
        <v>56.374868312996362</v>
      </c>
    </row>
    <row r="249" spans="1:16" x14ac:dyDescent="0.2">
      <c r="A249" s="8">
        <v>123.5</v>
      </c>
      <c r="B249" s="8">
        <v>247</v>
      </c>
      <c r="D249">
        <v>841.11298076923003</v>
      </c>
      <c r="E249">
        <v>370.17788461538998</v>
      </c>
      <c r="F249">
        <v>153.82730923694999</v>
      </c>
      <c r="G249">
        <v>124.67630522088</v>
      </c>
      <c r="I249" s="9">
        <f t="shared" si="26"/>
        <v>245.50157939450997</v>
      </c>
      <c r="J249" s="9">
        <f t="shared" si="27"/>
        <v>687.28567153228005</v>
      </c>
      <c r="K249" s="9">
        <f t="shared" si="24"/>
        <v>245.50157939450997</v>
      </c>
      <c r="L249" s="10">
        <f t="shared" si="21"/>
        <v>0.35720456509324944</v>
      </c>
      <c r="M249" s="10">
        <f t="shared" si="28"/>
        <v>0.36374619069293618</v>
      </c>
      <c r="P249" s="8">
        <f t="shared" si="29"/>
        <v>47.631037839721252</v>
      </c>
    </row>
    <row r="250" spans="1:16" x14ac:dyDescent="0.2">
      <c r="A250" s="8">
        <v>124</v>
      </c>
      <c r="B250" s="8">
        <v>248</v>
      </c>
      <c r="D250">
        <v>832.85176282050998</v>
      </c>
      <c r="E250">
        <v>367.60256410256</v>
      </c>
      <c r="F250">
        <v>153.35180722891999</v>
      </c>
      <c r="G250">
        <v>124.85060240964</v>
      </c>
      <c r="I250" s="9">
        <f t="shared" si="26"/>
        <v>242.75196169291999</v>
      </c>
      <c r="J250" s="9">
        <f t="shared" si="27"/>
        <v>679.49995559158992</v>
      </c>
      <c r="K250" s="9">
        <f t="shared" si="24"/>
        <v>242.75196169291999</v>
      </c>
      <c r="L250" s="10">
        <f t="shared" si="21"/>
        <v>0.35725088676653993</v>
      </c>
      <c r="M250" s="10">
        <f t="shared" si="28"/>
        <v>0.36381899668039541</v>
      </c>
      <c r="P250" s="8">
        <f t="shared" si="29"/>
        <v>47.660587079725872</v>
      </c>
    </row>
    <row r="251" spans="1:16" x14ac:dyDescent="0.2">
      <c r="A251" s="8">
        <v>124.5</v>
      </c>
      <c r="B251" s="8">
        <v>249</v>
      </c>
      <c r="D251">
        <v>795.54604200323001</v>
      </c>
      <c r="E251">
        <v>347.00161550888998</v>
      </c>
      <c r="F251">
        <v>153.72289156626999</v>
      </c>
      <c r="G251">
        <v>125.07228915663001</v>
      </c>
      <c r="I251" s="9">
        <f t="shared" si="26"/>
        <v>221.92932635225998</v>
      </c>
      <c r="J251" s="9">
        <f t="shared" si="27"/>
        <v>641.82315043696008</v>
      </c>
      <c r="K251" s="9">
        <f t="shared" si="24"/>
        <v>221.92932635225998</v>
      </c>
      <c r="L251" s="10">
        <f t="shared" si="21"/>
        <v>0.34577955968270718</v>
      </c>
      <c r="M251" s="10">
        <f t="shared" si="28"/>
        <v>0.35237415391073146</v>
      </c>
      <c r="P251" s="8">
        <f t="shared" si="29"/>
        <v>43.015551449856581</v>
      </c>
    </row>
    <row r="252" spans="1:16" x14ac:dyDescent="0.2">
      <c r="A252" s="8">
        <v>125</v>
      </c>
      <c r="B252" s="8">
        <v>250</v>
      </c>
      <c r="D252">
        <v>800.89741518578001</v>
      </c>
      <c r="E252">
        <v>349.44264943457</v>
      </c>
      <c r="F252">
        <v>153.5124497992</v>
      </c>
      <c r="G252">
        <v>125.15983935743</v>
      </c>
      <c r="I252" s="9">
        <f t="shared" si="26"/>
        <v>224.28281007714</v>
      </c>
      <c r="J252" s="9">
        <f t="shared" si="27"/>
        <v>647.38496538658001</v>
      </c>
      <c r="K252" s="9">
        <f t="shared" si="24"/>
        <v>224.28281007714</v>
      </c>
      <c r="L252" s="10">
        <f t="shared" si="21"/>
        <v>0.34644426742782258</v>
      </c>
      <c r="M252" s="10">
        <f t="shared" si="28"/>
        <v>0.3530653459700156</v>
      </c>
      <c r="P252" s="8">
        <f t="shared" si="29"/>
        <v>43.296080576125377</v>
      </c>
    </row>
    <row r="253" spans="1:16" x14ac:dyDescent="0.2">
      <c r="A253" s="8">
        <v>125.5</v>
      </c>
      <c r="B253" s="8">
        <v>251</v>
      </c>
      <c r="D253">
        <v>816.59693053312003</v>
      </c>
      <c r="E253">
        <v>340.71001615508999</v>
      </c>
      <c r="F253">
        <v>153.22248995984</v>
      </c>
      <c r="G253">
        <v>124.16706827309</v>
      </c>
      <c r="I253" s="9">
        <f t="shared" si="26"/>
        <v>216.54294788199999</v>
      </c>
      <c r="J253" s="9">
        <f t="shared" si="27"/>
        <v>663.37444057328003</v>
      </c>
      <c r="K253" s="9">
        <f t="shared" si="24"/>
        <v>216.54294788199999</v>
      </c>
      <c r="L253" s="10">
        <f t="shared" si="21"/>
        <v>0.32642642621995843</v>
      </c>
      <c r="M253" s="10">
        <f t="shared" si="28"/>
        <v>0.33307398907632024</v>
      </c>
      <c r="P253" s="8">
        <f t="shared" si="29"/>
        <v>35.182333019296799</v>
      </c>
    </row>
    <row r="254" spans="1:16" x14ac:dyDescent="0.2">
      <c r="A254" s="8">
        <v>126</v>
      </c>
      <c r="B254" s="8">
        <v>252</v>
      </c>
      <c r="D254">
        <v>833.26090468498001</v>
      </c>
      <c r="E254">
        <v>342.58239095315002</v>
      </c>
      <c r="F254">
        <v>152.78313253012001</v>
      </c>
      <c r="G254">
        <v>124.66907630522</v>
      </c>
      <c r="I254" s="9">
        <f t="shared" si="26"/>
        <v>217.91331464793001</v>
      </c>
      <c r="J254" s="9">
        <f t="shared" si="27"/>
        <v>680.47777215485996</v>
      </c>
      <c r="K254" s="9">
        <f t="shared" si="24"/>
        <v>217.91331464793001</v>
      </c>
      <c r="L254" s="10">
        <f t="shared" si="21"/>
        <v>0.3202357572354888</v>
      </c>
      <c r="M254" s="10">
        <f t="shared" si="28"/>
        <v>0.32690980440601936</v>
      </c>
      <c r="P254" s="8">
        <f t="shared" si="29"/>
        <v>32.680519932048732</v>
      </c>
    </row>
    <row r="255" spans="1:16" x14ac:dyDescent="0.2">
      <c r="A255" s="8">
        <v>126.5</v>
      </c>
      <c r="B255" s="8">
        <v>253</v>
      </c>
      <c r="D255">
        <v>825.11389337641003</v>
      </c>
      <c r="E255">
        <v>336.04927302099998</v>
      </c>
      <c r="F255">
        <v>152.61686746987999</v>
      </c>
      <c r="G255">
        <v>124.40562248996</v>
      </c>
      <c r="I255" s="9">
        <f t="shared" si="26"/>
        <v>211.64365053103998</v>
      </c>
      <c r="J255" s="9">
        <f t="shared" si="27"/>
        <v>672.4970259065301</v>
      </c>
      <c r="K255" s="9">
        <f t="shared" si="24"/>
        <v>211.64365053103998</v>
      </c>
      <c r="L255" s="10">
        <f t="shared" si="21"/>
        <v>0.31471313980272708</v>
      </c>
      <c r="M255" s="10">
        <f t="shared" si="28"/>
        <v>0.32141367128742643</v>
      </c>
      <c r="P255" s="8">
        <f t="shared" si="29"/>
        <v>30.44984410048216</v>
      </c>
    </row>
    <row r="256" spans="1:16" x14ac:dyDescent="0.2">
      <c r="A256" s="8">
        <v>127</v>
      </c>
      <c r="B256" s="8">
        <v>254</v>
      </c>
      <c r="D256">
        <v>822.96373892022996</v>
      </c>
      <c r="E256">
        <v>329.03303787267998</v>
      </c>
      <c r="F256">
        <v>152.28995983935999</v>
      </c>
      <c r="G256">
        <v>124.19116465864001</v>
      </c>
      <c r="I256" s="9">
        <f t="shared" si="26"/>
        <v>204.84187321403999</v>
      </c>
      <c r="J256" s="9">
        <f t="shared" si="27"/>
        <v>670.67377908086996</v>
      </c>
      <c r="K256" s="9">
        <f t="shared" si="24"/>
        <v>204.84187321403999</v>
      </c>
      <c r="L256" s="10">
        <f t="shared" si="21"/>
        <v>0.30542698939977514</v>
      </c>
      <c r="M256" s="10">
        <f t="shared" si="28"/>
        <v>0.31215400519864328</v>
      </c>
      <c r="P256" s="8">
        <f t="shared" si="29"/>
        <v>26.691690339113094</v>
      </c>
    </row>
    <row r="257" spans="1:16" x14ac:dyDescent="0.2">
      <c r="A257" s="8">
        <v>127.5</v>
      </c>
      <c r="B257" s="8">
        <v>255</v>
      </c>
      <c r="D257">
        <v>823.19016921836999</v>
      </c>
      <c r="E257">
        <v>324.04995970991001</v>
      </c>
      <c r="F257">
        <v>153.27469879518</v>
      </c>
      <c r="G257">
        <v>124.4016064257</v>
      </c>
      <c r="I257" s="9">
        <f t="shared" si="26"/>
        <v>199.64835328421003</v>
      </c>
      <c r="J257" s="9">
        <f t="shared" si="27"/>
        <v>669.91547042318996</v>
      </c>
      <c r="K257" s="9">
        <f t="shared" si="24"/>
        <v>199.64835328421003</v>
      </c>
      <c r="L257" s="10">
        <f t="shared" si="21"/>
        <v>0.29802021612979152</v>
      </c>
      <c r="M257" s="10">
        <f t="shared" si="28"/>
        <v>0.3047737162428284</v>
      </c>
      <c r="P257" s="8">
        <f t="shared" si="29"/>
        <v>23.696305793563972</v>
      </c>
    </row>
    <row r="258" spans="1:16" x14ac:dyDescent="0.2">
      <c r="A258" s="8">
        <v>128</v>
      </c>
      <c r="B258" s="8">
        <v>256</v>
      </c>
      <c r="D258">
        <v>860.90652699435998</v>
      </c>
      <c r="E258">
        <v>327.070910556</v>
      </c>
      <c r="F258">
        <v>153.32610441767</v>
      </c>
      <c r="G258">
        <v>123.98795180723</v>
      </c>
      <c r="I258" s="9">
        <f t="shared" si="26"/>
        <v>203.08295874877001</v>
      </c>
      <c r="J258" s="9">
        <f t="shared" si="27"/>
        <v>707.58042257669001</v>
      </c>
      <c r="K258" s="9">
        <f t="shared" si="24"/>
        <v>203.08295874877001</v>
      </c>
      <c r="L258" s="10">
        <f t="shared" ref="L258:L313" si="30">K258/J258</f>
        <v>0.28701042633321189</v>
      </c>
      <c r="M258" s="10">
        <f t="shared" si="28"/>
        <v>0.29379041076041756</v>
      </c>
      <c r="P258" s="8">
        <f t="shared" si="29"/>
        <v>19.238590967217341</v>
      </c>
    </row>
    <row r="259" spans="1:16" x14ac:dyDescent="0.2">
      <c r="A259" s="8">
        <v>128.5</v>
      </c>
      <c r="B259" s="8">
        <v>257</v>
      </c>
      <c r="D259">
        <v>849.23897353648999</v>
      </c>
      <c r="E259">
        <v>316.70649558942</v>
      </c>
      <c r="F259">
        <v>153.29718875501999</v>
      </c>
      <c r="G259">
        <v>124.40722891566</v>
      </c>
      <c r="I259" s="9">
        <f t="shared" si="26"/>
        <v>192.29926667376</v>
      </c>
      <c r="J259" s="9">
        <f t="shared" si="27"/>
        <v>695.94178478147001</v>
      </c>
      <c r="K259" s="9">
        <f t="shared" ref="K259:K313" si="31">I259*1</f>
        <v>192.29926667376</v>
      </c>
      <c r="L259" s="10">
        <f t="shared" si="30"/>
        <v>0.27631516152481511</v>
      </c>
      <c r="M259" s="10">
        <f t="shared" si="28"/>
        <v>0.28312163026618953</v>
      </c>
      <c r="P259" s="8">
        <f t="shared" si="29"/>
        <v>14.908530124939917</v>
      </c>
    </row>
    <row r="260" spans="1:16" x14ac:dyDescent="0.2">
      <c r="A260" s="8">
        <v>129</v>
      </c>
      <c r="B260" s="8">
        <v>258</v>
      </c>
      <c r="D260">
        <v>801.07224025974006</v>
      </c>
      <c r="E260">
        <v>301.16314935064997</v>
      </c>
      <c r="F260">
        <v>153.54618473895999</v>
      </c>
      <c r="G260">
        <v>124.45783132530001</v>
      </c>
      <c r="I260" s="9">
        <f t="shared" si="26"/>
        <v>176.70531802534998</v>
      </c>
      <c r="J260" s="9">
        <f t="shared" si="27"/>
        <v>647.52605552078012</v>
      </c>
      <c r="K260" s="9">
        <f t="shared" si="31"/>
        <v>176.70531802534998</v>
      </c>
      <c r="L260" s="10">
        <f t="shared" si="30"/>
        <v>0.27289298479770474</v>
      </c>
      <c r="M260" s="10">
        <f t="shared" si="28"/>
        <v>0.27972593785324795</v>
      </c>
      <c r="P260" s="8">
        <f t="shared" si="29"/>
        <v>13.530344983943559</v>
      </c>
    </row>
    <row r="261" spans="1:16" x14ac:dyDescent="0.2">
      <c r="A261" s="8">
        <v>129.5</v>
      </c>
      <c r="B261" s="8">
        <v>259</v>
      </c>
      <c r="D261">
        <v>796.54870129870005</v>
      </c>
      <c r="E261">
        <v>304.82711038961003</v>
      </c>
      <c r="F261">
        <v>154.33333333332999</v>
      </c>
      <c r="G261">
        <v>125.30281124498001</v>
      </c>
      <c r="I261" s="9">
        <f t="shared" si="26"/>
        <v>179.52429914463002</v>
      </c>
      <c r="J261" s="9">
        <f t="shared" si="27"/>
        <v>642.21536796537009</v>
      </c>
      <c r="K261" s="9">
        <f t="shared" si="31"/>
        <v>179.52429914463002</v>
      </c>
      <c r="L261" s="10">
        <f t="shared" si="30"/>
        <v>0.27953908937649469</v>
      </c>
      <c r="M261" s="10">
        <f t="shared" si="28"/>
        <v>0.28639852674620669</v>
      </c>
      <c r="P261" s="8">
        <f t="shared" si="29"/>
        <v>16.238500419107613</v>
      </c>
    </row>
    <row r="262" spans="1:16" x14ac:dyDescent="0.2">
      <c r="A262" s="8">
        <v>130</v>
      </c>
      <c r="B262" s="8">
        <v>260</v>
      </c>
      <c r="D262">
        <v>827.52965069050003</v>
      </c>
      <c r="E262">
        <v>314.53371242892001</v>
      </c>
      <c r="F262">
        <v>153.80562248996</v>
      </c>
      <c r="G262">
        <v>124.97429718876</v>
      </c>
      <c r="I262" s="9">
        <f t="shared" si="26"/>
        <v>189.55941524016001</v>
      </c>
      <c r="J262" s="9">
        <f t="shared" si="27"/>
        <v>673.72402820054003</v>
      </c>
      <c r="K262" s="9">
        <f t="shared" si="31"/>
        <v>189.55941524016001</v>
      </c>
      <c r="L262" s="10">
        <f t="shared" si="30"/>
        <v>0.28136062735725365</v>
      </c>
      <c r="M262" s="10">
        <f t="shared" si="28"/>
        <v>0.28824654904113439</v>
      </c>
      <c r="P262" s="8">
        <f t="shared" si="29"/>
        <v>16.988543873394757</v>
      </c>
    </row>
    <row r="263" spans="1:16" x14ac:dyDescent="0.2">
      <c r="A263" s="8">
        <v>130.5</v>
      </c>
      <c r="B263" s="8">
        <v>261</v>
      </c>
      <c r="D263">
        <v>831.98944805195003</v>
      </c>
      <c r="E263">
        <v>313.13474025974</v>
      </c>
      <c r="F263">
        <v>153.39357429719001</v>
      </c>
      <c r="G263">
        <v>124.32048192771001</v>
      </c>
      <c r="I263" s="9">
        <f t="shared" si="26"/>
        <v>188.81425833202999</v>
      </c>
      <c r="J263" s="9">
        <f t="shared" si="27"/>
        <v>678.59587375476008</v>
      </c>
      <c r="K263" s="9">
        <f t="shared" si="31"/>
        <v>188.81425833202999</v>
      </c>
      <c r="L263" s="10">
        <f t="shared" si="30"/>
        <v>0.27824256768214034</v>
      </c>
      <c r="M263" s="10">
        <f t="shared" si="28"/>
        <v>0.28515497368018988</v>
      </c>
      <c r="P263" s="8">
        <f t="shared" si="29"/>
        <v>15.733788522619857</v>
      </c>
    </row>
    <row r="264" spans="1:16" x14ac:dyDescent="0.2">
      <c r="A264" s="8">
        <v>131</v>
      </c>
      <c r="B264" s="8">
        <v>262</v>
      </c>
      <c r="D264">
        <v>828.08441558441996</v>
      </c>
      <c r="E264">
        <v>306.2362012987</v>
      </c>
      <c r="F264">
        <v>152.90361445783</v>
      </c>
      <c r="G264">
        <v>124.27309236948</v>
      </c>
      <c r="I264" s="9">
        <f t="shared" si="26"/>
        <v>181.96310892922</v>
      </c>
      <c r="J264" s="9">
        <f t="shared" si="27"/>
        <v>675.18080112658993</v>
      </c>
      <c r="K264" s="9">
        <f t="shared" si="31"/>
        <v>181.96310892922</v>
      </c>
      <c r="L264" s="10">
        <f t="shared" si="30"/>
        <v>0.2695027889205393</v>
      </c>
      <c r="M264" s="10">
        <f t="shared" si="28"/>
        <v>0.27644167923275759</v>
      </c>
      <c r="P264" s="8">
        <f t="shared" si="29"/>
        <v>12.197386671023803</v>
      </c>
    </row>
    <row r="265" spans="1:16" x14ac:dyDescent="0.2">
      <c r="A265" s="8">
        <v>131.5</v>
      </c>
      <c r="B265" s="8">
        <v>263</v>
      </c>
      <c r="D265">
        <v>844.71753246752996</v>
      </c>
      <c r="E265">
        <v>303.26785714286001</v>
      </c>
      <c r="F265">
        <v>153.37108433735</v>
      </c>
      <c r="G265">
        <v>124.30763052208999</v>
      </c>
      <c r="I265" s="9">
        <f t="shared" si="26"/>
        <v>178.96022662077002</v>
      </c>
      <c r="J265" s="9">
        <f t="shared" si="27"/>
        <v>691.34644813017997</v>
      </c>
      <c r="K265" s="9">
        <f t="shared" si="31"/>
        <v>178.96022662077002</v>
      </c>
      <c r="L265" s="10">
        <f t="shared" si="30"/>
        <v>0.25885751941705493</v>
      </c>
      <c r="M265" s="10">
        <f t="shared" si="28"/>
        <v>0.265822894043442</v>
      </c>
      <c r="P265" s="8">
        <f t="shared" si="29"/>
        <v>7.8876170618649422</v>
      </c>
    </row>
    <row r="266" spans="1:16" x14ac:dyDescent="0.2">
      <c r="A266" s="8">
        <v>132</v>
      </c>
      <c r="B266" s="8">
        <v>264</v>
      </c>
      <c r="D266">
        <v>862.32954545455004</v>
      </c>
      <c r="E266">
        <v>301.99594155843999</v>
      </c>
      <c r="F266">
        <v>153.07389558233001</v>
      </c>
      <c r="G266">
        <v>123.9734939759</v>
      </c>
      <c r="I266" s="9">
        <f t="shared" si="26"/>
        <v>178.02244758254</v>
      </c>
      <c r="J266" s="9">
        <f t="shared" si="27"/>
        <v>709.25564987222003</v>
      </c>
      <c r="K266" s="9">
        <f t="shared" si="31"/>
        <v>178.02244758254</v>
      </c>
      <c r="L266" s="10">
        <f t="shared" si="30"/>
        <v>0.25099898409637295</v>
      </c>
      <c r="M266" s="10">
        <f t="shared" si="28"/>
        <v>0.25799084303692876</v>
      </c>
      <c r="P266" s="8">
        <f t="shared" si="29"/>
        <v>4.7088791174138374</v>
      </c>
    </row>
    <row r="267" spans="1:16" x14ac:dyDescent="0.2">
      <c r="A267" s="8">
        <v>132.5</v>
      </c>
      <c r="B267" s="8">
        <v>265</v>
      </c>
      <c r="D267">
        <v>863.37168141592997</v>
      </c>
      <c r="E267">
        <v>300.25422365244998</v>
      </c>
      <c r="F267">
        <v>153.17510040161</v>
      </c>
      <c r="G267">
        <v>124.15261044176999</v>
      </c>
      <c r="I267" s="9">
        <f t="shared" si="26"/>
        <v>176.10161321068</v>
      </c>
      <c r="J267" s="9">
        <f t="shared" si="27"/>
        <v>710.19658101431992</v>
      </c>
      <c r="K267" s="9">
        <f t="shared" si="31"/>
        <v>176.10161321068</v>
      </c>
      <c r="L267" s="10">
        <f t="shared" si="30"/>
        <v>0.24796178680439071</v>
      </c>
      <c r="M267" s="10">
        <f t="shared" si="28"/>
        <v>0.2549801300591153</v>
      </c>
      <c r="P267" s="8">
        <f t="shared" si="29"/>
        <v>3.4869427977361083</v>
      </c>
    </row>
    <row r="268" spans="1:16" x14ac:dyDescent="0.2">
      <c r="A268" s="8">
        <v>133</v>
      </c>
      <c r="B268" s="8">
        <v>266</v>
      </c>
      <c r="D268">
        <v>825.25341914722003</v>
      </c>
      <c r="E268">
        <v>287.11665325824998</v>
      </c>
      <c r="F268">
        <v>154.18554216868</v>
      </c>
      <c r="G268">
        <v>123.90522088353001</v>
      </c>
      <c r="I268" s="9">
        <f t="shared" si="26"/>
        <v>163.21143237471998</v>
      </c>
      <c r="J268" s="9">
        <f t="shared" si="27"/>
        <v>671.06787697853997</v>
      </c>
      <c r="K268" s="9">
        <f t="shared" si="31"/>
        <v>163.21143237471998</v>
      </c>
      <c r="L268" s="10">
        <f t="shared" si="30"/>
        <v>0.24321151104650374</v>
      </c>
      <c r="M268" s="10">
        <f t="shared" si="28"/>
        <v>0.25025633861539714</v>
      </c>
      <c r="P268" s="8">
        <f t="shared" si="29"/>
        <v>1.5697317004982214</v>
      </c>
    </row>
    <row r="269" spans="1:16" x14ac:dyDescent="0.2">
      <c r="A269" s="8">
        <v>133.5</v>
      </c>
      <c r="B269" s="8">
        <v>267</v>
      </c>
      <c r="D269">
        <v>829.56809024979998</v>
      </c>
      <c r="E269">
        <v>299.66478646253</v>
      </c>
      <c r="F269">
        <v>153.55662650602</v>
      </c>
      <c r="G269">
        <v>124.71646586345</v>
      </c>
      <c r="I269" s="9">
        <f t="shared" si="26"/>
        <v>174.94832059908001</v>
      </c>
      <c r="J269" s="9">
        <f t="shared" si="27"/>
        <v>676.01146374378004</v>
      </c>
      <c r="K269" s="9">
        <f t="shared" si="31"/>
        <v>174.94832059908001</v>
      </c>
      <c r="L269" s="10">
        <f t="shared" si="30"/>
        <v>0.25879490213111006</v>
      </c>
      <c r="M269" s="10">
        <f t="shared" si="28"/>
        <v>0.26586621401417221</v>
      </c>
      <c r="P269" s="8">
        <f t="shared" si="29"/>
        <v>7.9051990253376125</v>
      </c>
    </row>
    <row r="270" spans="1:16" x14ac:dyDescent="0.2">
      <c r="A270" s="8">
        <v>134</v>
      </c>
      <c r="B270" s="8">
        <v>268</v>
      </c>
      <c r="D270">
        <v>811.18855761482996</v>
      </c>
      <c r="E270">
        <v>303.76470588234997</v>
      </c>
      <c r="F270">
        <v>152.75502008032001</v>
      </c>
      <c r="G270">
        <v>125.33815261044001</v>
      </c>
      <c r="I270" s="9">
        <f t="shared" si="26"/>
        <v>178.42655327190997</v>
      </c>
      <c r="J270" s="9">
        <f t="shared" si="27"/>
        <v>658.43353753450992</v>
      </c>
      <c r="K270" s="9">
        <f t="shared" si="31"/>
        <v>178.42655327190997</v>
      </c>
      <c r="L270" s="10">
        <f t="shared" si="30"/>
        <v>0.27098642930617467</v>
      </c>
      <c r="M270" s="10">
        <f t="shared" si="28"/>
        <v>0.27808422550340561</v>
      </c>
      <c r="P270" s="8">
        <f t="shared" si="29"/>
        <v>12.864035056189261</v>
      </c>
    </row>
    <row r="271" spans="1:16" x14ac:dyDescent="0.2">
      <c r="A271" s="8">
        <v>134.5</v>
      </c>
      <c r="B271" s="8">
        <v>269</v>
      </c>
      <c r="D271">
        <v>822.14446227929</v>
      </c>
      <c r="E271">
        <v>309.82584269662999</v>
      </c>
      <c r="F271">
        <v>153.54939759036</v>
      </c>
      <c r="G271">
        <v>124.71967871486</v>
      </c>
      <c r="I271" s="9">
        <f t="shared" si="26"/>
        <v>185.10616398177001</v>
      </c>
      <c r="J271" s="9">
        <f t="shared" si="27"/>
        <v>668.59506468893005</v>
      </c>
      <c r="K271" s="9">
        <f t="shared" si="31"/>
        <v>185.10616398177001</v>
      </c>
      <c r="L271" s="10">
        <f t="shared" si="30"/>
        <v>0.2768584061683021</v>
      </c>
      <c r="M271" s="10">
        <f t="shared" si="28"/>
        <v>0.28398268667970178</v>
      </c>
      <c r="P271" s="8">
        <f t="shared" si="29"/>
        <v>15.258000869150875</v>
      </c>
    </row>
    <row r="272" spans="1:16" x14ac:dyDescent="0.2">
      <c r="A272" s="8">
        <v>135</v>
      </c>
      <c r="B272" s="8">
        <v>270</v>
      </c>
      <c r="D272">
        <v>822.50882825040003</v>
      </c>
      <c r="E272">
        <v>306.50160513643999</v>
      </c>
      <c r="F272">
        <v>152.72851405623001</v>
      </c>
      <c r="G272">
        <v>124.65783132529999</v>
      </c>
      <c r="I272" s="9">
        <f t="shared" si="26"/>
        <v>181.84377381114001</v>
      </c>
      <c r="J272" s="9">
        <f t="shared" si="27"/>
        <v>669.78031419417005</v>
      </c>
      <c r="K272" s="9">
        <f t="shared" si="31"/>
        <v>181.84377381114001</v>
      </c>
      <c r="L272" s="10">
        <f t="shared" si="30"/>
        <v>0.27149763878910199</v>
      </c>
      <c r="M272" s="10">
        <f t="shared" si="28"/>
        <v>0.27864840361467047</v>
      </c>
      <c r="P272" s="8">
        <f t="shared" si="29"/>
        <v>13.093013949229531</v>
      </c>
    </row>
    <row r="273" spans="1:16" x14ac:dyDescent="0.2">
      <c r="A273" s="8">
        <v>135.5</v>
      </c>
      <c r="B273" s="8">
        <v>271</v>
      </c>
      <c r="D273">
        <v>858.40449438201995</v>
      </c>
      <c r="E273">
        <v>322.79373996790002</v>
      </c>
      <c r="F273">
        <v>152.27550200803</v>
      </c>
      <c r="G273">
        <v>124.38232931727001</v>
      </c>
      <c r="I273" s="9">
        <f t="shared" si="26"/>
        <v>198.41141065063002</v>
      </c>
      <c r="J273" s="9">
        <f t="shared" si="27"/>
        <v>706.12899237398995</v>
      </c>
      <c r="K273" s="9">
        <f t="shared" si="31"/>
        <v>198.41141065063002</v>
      </c>
      <c r="L273" s="10">
        <f t="shared" si="30"/>
        <v>0.28098465406947148</v>
      </c>
      <c r="M273" s="10">
        <f t="shared" si="28"/>
        <v>0.2881619032092087</v>
      </c>
      <c r="P273" s="8">
        <f t="shared" si="29"/>
        <v>16.95418928127603</v>
      </c>
    </row>
    <row r="274" spans="1:16" x14ac:dyDescent="0.2">
      <c r="A274" s="8">
        <v>136</v>
      </c>
      <c r="B274" s="8">
        <v>272</v>
      </c>
      <c r="D274">
        <v>818.20452708164999</v>
      </c>
      <c r="E274">
        <v>308.80355699272002</v>
      </c>
      <c r="F274">
        <v>153.34939759036001</v>
      </c>
      <c r="G274">
        <v>124.30120481928</v>
      </c>
      <c r="I274" s="9">
        <f t="shared" si="26"/>
        <v>184.50235217344002</v>
      </c>
      <c r="J274" s="9">
        <f t="shared" si="27"/>
        <v>664.85512949128997</v>
      </c>
      <c r="K274" s="9">
        <f t="shared" si="31"/>
        <v>184.50235217344002</v>
      </c>
      <c r="L274" s="10">
        <f t="shared" si="30"/>
        <v>0.27750760126437007</v>
      </c>
      <c r="M274" s="10">
        <f t="shared" si="28"/>
        <v>0.28471133471827609</v>
      </c>
      <c r="P274" s="8">
        <f t="shared" si="29"/>
        <v>15.553731983062145</v>
      </c>
    </row>
    <row r="275" spans="1:16" x14ac:dyDescent="0.2">
      <c r="A275" s="8">
        <v>136.5</v>
      </c>
      <c r="B275" s="8">
        <v>273</v>
      </c>
      <c r="D275">
        <v>803.92966855295003</v>
      </c>
      <c r="E275">
        <v>306.66774454325002</v>
      </c>
      <c r="F275">
        <v>153.13092369477999</v>
      </c>
      <c r="G275">
        <v>124.33172690763</v>
      </c>
      <c r="I275" s="9">
        <f>E275-G275</f>
        <v>182.33601763562001</v>
      </c>
      <c r="J275" s="9">
        <f>D275-F275</f>
        <v>650.79874485817004</v>
      </c>
      <c r="K275" s="9">
        <f t="shared" si="31"/>
        <v>182.33601763562001</v>
      </c>
      <c r="L275" s="10">
        <f t="shared" si="30"/>
        <v>0.28017266332521412</v>
      </c>
      <c r="M275" s="10">
        <f>L275+ABS($N$2)*A275</f>
        <v>0.28740288109328893</v>
      </c>
      <c r="O275" s="11"/>
      <c r="P275" s="8">
        <f>(M275-$O$2)/$O$2*100</f>
        <v>16.646130460087903</v>
      </c>
    </row>
    <row r="276" spans="1:16" x14ac:dyDescent="0.2">
      <c r="A276" s="8">
        <v>137</v>
      </c>
      <c r="B276" s="8">
        <v>274</v>
      </c>
      <c r="D276">
        <v>822.80772325019996</v>
      </c>
      <c r="E276">
        <v>308.10860820595002</v>
      </c>
      <c r="F276">
        <v>152.82409638554</v>
      </c>
      <c r="G276">
        <v>124.01847389558</v>
      </c>
      <c r="I276" s="9">
        <f t="shared" ref="I276:I291" si="32">E276-G276</f>
        <v>184.09013431037002</v>
      </c>
      <c r="J276" s="9">
        <f t="shared" ref="J276:J291" si="33">D276-F276</f>
        <v>669.98362686465998</v>
      </c>
      <c r="K276" s="9">
        <f t="shared" si="31"/>
        <v>184.09013431037002</v>
      </c>
      <c r="L276" s="10">
        <f t="shared" si="30"/>
        <v>0.27476810914299721</v>
      </c>
      <c r="M276" s="10">
        <f t="shared" ref="M276:M291" si="34">L276+ABS($N$2)*A276</f>
        <v>0.28202481122524076</v>
      </c>
      <c r="P276" s="8">
        <f t="shared" ref="P276:P291" si="35">(M276-$O$2)/$O$2*100</f>
        <v>14.463372106847222</v>
      </c>
    </row>
    <row r="277" spans="1:16" x14ac:dyDescent="0.2">
      <c r="A277" s="8">
        <v>137.5</v>
      </c>
      <c r="B277" s="8">
        <v>275</v>
      </c>
      <c r="D277">
        <v>831.32180209170997</v>
      </c>
      <c r="E277">
        <v>303.13113435237</v>
      </c>
      <c r="F277">
        <v>152.40883534137001</v>
      </c>
      <c r="G277">
        <v>123.74859437751</v>
      </c>
      <c r="I277" s="9">
        <f t="shared" si="32"/>
        <v>179.38253997485998</v>
      </c>
      <c r="J277" s="9">
        <f t="shared" si="33"/>
        <v>678.91296675033993</v>
      </c>
      <c r="K277" s="9">
        <f t="shared" si="31"/>
        <v>179.38253997485998</v>
      </c>
      <c r="L277" s="10">
        <f t="shared" si="30"/>
        <v>0.26422022963191572</v>
      </c>
      <c r="M277" s="10">
        <f t="shared" si="34"/>
        <v>0.27150341602832806</v>
      </c>
      <c r="N277" s="1"/>
      <c r="P277" s="8">
        <f t="shared" si="35"/>
        <v>10.193129470125516</v>
      </c>
    </row>
    <row r="278" spans="1:16" x14ac:dyDescent="0.2">
      <c r="A278" s="8">
        <v>138</v>
      </c>
      <c r="B278" s="8">
        <v>276</v>
      </c>
      <c r="D278">
        <v>833.33628318583999</v>
      </c>
      <c r="E278">
        <v>296.34191472244999</v>
      </c>
      <c r="F278">
        <v>152.49558232932</v>
      </c>
      <c r="G278">
        <v>123.68674698795</v>
      </c>
      <c r="I278" s="9">
        <f t="shared" si="32"/>
        <v>172.65516773449997</v>
      </c>
      <c r="J278" s="9">
        <f t="shared" si="33"/>
        <v>680.84070085652002</v>
      </c>
      <c r="K278" s="9">
        <f t="shared" si="31"/>
        <v>172.65516773449997</v>
      </c>
      <c r="L278" s="10">
        <f t="shared" si="30"/>
        <v>0.25359113742362066</v>
      </c>
      <c r="M278" s="10">
        <f t="shared" si="34"/>
        <v>0.26090080813420174</v>
      </c>
      <c r="P278" s="8">
        <f t="shared" si="35"/>
        <v>5.8899256228614565</v>
      </c>
    </row>
    <row r="279" spans="1:16" x14ac:dyDescent="0.2">
      <c r="A279" s="8">
        <v>138.5</v>
      </c>
      <c r="B279" s="8">
        <v>277</v>
      </c>
      <c r="D279">
        <v>828.98954143202002</v>
      </c>
      <c r="E279">
        <v>294.10378117457998</v>
      </c>
      <c r="F279">
        <v>154.28915662650999</v>
      </c>
      <c r="G279">
        <v>124.30682730924001</v>
      </c>
      <c r="I279" s="9">
        <f t="shared" si="32"/>
        <v>169.79695386533996</v>
      </c>
      <c r="J279" s="9">
        <f t="shared" si="33"/>
        <v>674.70038480551</v>
      </c>
      <c r="K279" s="9">
        <f t="shared" si="31"/>
        <v>169.79695386533996</v>
      </c>
      <c r="L279" s="10">
        <f t="shared" si="30"/>
        <v>0.25166274940585048</v>
      </c>
      <c r="M279" s="10">
        <f t="shared" si="34"/>
        <v>0.25899890443060036</v>
      </c>
      <c r="P279" s="8">
        <f t="shared" si="35"/>
        <v>5.1180137106047381</v>
      </c>
    </row>
    <row r="280" spans="1:16" x14ac:dyDescent="0.2">
      <c r="A280" s="8">
        <v>139</v>
      </c>
      <c r="B280" s="8">
        <v>278</v>
      </c>
      <c r="D280">
        <v>834.11182622686999</v>
      </c>
      <c r="E280">
        <v>293.53016894609999</v>
      </c>
      <c r="F280">
        <v>154.32931726908001</v>
      </c>
      <c r="G280">
        <v>124.43052208835</v>
      </c>
      <c r="I280" s="9">
        <f t="shared" si="32"/>
        <v>169.09964685774997</v>
      </c>
      <c r="J280" s="9">
        <f t="shared" si="33"/>
        <v>679.78250895779001</v>
      </c>
      <c r="K280" s="9">
        <f t="shared" si="31"/>
        <v>169.09964685774997</v>
      </c>
      <c r="L280" s="10">
        <f t="shared" si="30"/>
        <v>0.24875551316700609</v>
      </c>
      <c r="M280" s="10">
        <f t="shared" si="34"/>
        <v>0.25611815250592473</v>
      </c>
      <c r="P280" s="8">
        <f t="shared" si="35"/>
        <v>3.9488237444130272</v>
      </c>
    </row>
    <row r="281" spans="1:16" x14ac:dyDescent="0.2">
      <c r="A281" s="8">
        <v>139.5</v>
      </c>
      <c r="B281" s="8">
        <v>279</v>
      </c>
      <c r="D281">
        <v>848.55654281098998</v>
      </c>
      <c r="E281">
        <v>293.80129240711</v>
      </c>
      <c r="F281">
        <v>152.87951807229001</v>
      </c>
      <c r="G281">
        <v>124.02730923695</v>
      </c>
      <c r="I281" s="9">
        <f t="shared" si="32"/>
        <v>169.77398317015999</v>
      </c>
      <c r="J281" s="9">
        <f t="shared" si="33"/>
        <v>695.67702473869997</v>
      </c>
      <c r="K281" s="9">
        <f t="shared" si="31"/>
        <v>169.77398317015999</v>
      </c>
      <c r="L281" s="10">
        <f t="shared" si="30"/>
        <v>0.24404138290168201</v>
      </c>
      <c r="M281" s="10">
        <f t="shared" si="34"/>
        <v>0.25143050655476945</v>
      </c>
      <c r="P281" s="8">
        <f t="shared" si="35"/>
        <v>2.0462827570397097</v>
      </c>
    </row>
    <row r="282" spans="1:16" x14ac:dyDescent="0.2">
      <c r="A282" s="8">
        <v>140</v>
      </c>
      <c r="B282" s="8">
        <v>280</v>
      </c>
      <c r="D282">
        <v>845.93376413570002</v>
      </c>
      <c r="E282">
        <v>290.67851373182998</v>
      </c>
      <c r="F282">
        <v>152.25060240964001</v>
      </c>
      <c r="G282">
        <v>123.9983935743</v>
      </c>
      <c r="I282" s="9">
        <f t="shared" si="32"/>
        <v>166.68012015752998</v>
      </c>
      <c r="J282" s="9">
        <f t="shared" si="33"/>
        <v>693.68316172606001</v>
      </c>
      <c r="K282" s="9">
        <f t="shared" si="31"/>
        <v>166.68012015752998</v>
      </c>
      <c r="L282" s="10">
        <f t="shared" si="30"/>
        <v>0.24028278233363412</v>
      </c>
      <c r="M282" s="10">
        <f t="shared" si="34"/>
        <v>0.2476983903008903</v>
      </c>
      <c r="P282" s="8">
        <f t="shared" si="35"/>
        <v>0.53155570285651133</v>
      </c>
    </row>
    <row r="283" spans="1:16" x14ac:dyDescent="0.2">
      <c r="A283" s="8">
        <v>140.5</v>
      </c>
      <c r="B283" s="8">
        <v>281</v>
      </c>
      <c r="D283">
        <v>834.26575121163</v>
      </c>
      <c r="E283">
        <v>298.63893376414001</v>
      </c>
      <c r="F283">
        <v>152.50602409639001</v>
      </c>
      <c r="G283">
        <v>123.84257028112</v>
      </c>
      <c r="I283" s="9">
        <f t="shared" si="32"/>
        <v>174.79636348302</v>
      </c>
      <c r="J283" s="9">
        <f t="shared" si="33"/>
        <v>681.75972711524003</v>
      </c>
      <c r="K283" s="9">
        <f t="shared" si="31"/>
        <v>174.79636348302</v>
      </c>
      <c r="L283" s="10">
        <f t="shared" si="30"/>
        <v>0.25638998100202187</v>
      </c>
      <c r="M283" s="10">
        <f t="shared" si="34"/>
        <v>0.26383207328344682</v>
      </c>
      <c r="P283" s="8">
        <f t="shared" si="35"/>
        <v>7.0796170264802161</v>
      </c>
    </row>
    <row r="284" spans="1:16" x14ac:dyDescent="0.2">
      <c r="A284" s="8">
        <v>141</v>
      </c>
      <c r="B284" s="8">
        <v>282</v>
      </c>
      <c r="D284">
        <v>830.18739903070002</v>
      </c>
      <c r="E284">
        <v>312.66558966074001</v>
      </c>
      <c r="F284">
        <v>152.86265060241001</v>
      </c>
      <c r="G284">
        <v>123.92610441767</v>
      </c>
      <c r="I284" s="9">
        <f t="shared" si="32"/>
        <v>188.73948524307002</v>
      </c>
      <c r="J284" s="9">
        <f t="shared" si="33"/>
        <v>677.32474842829004</v>
      </c>
      <c r="K284" s="9">
        <f t="shared" si="31"/>
        <v>188.73948524307002</v>
      </c>
      <c r="L284" s="10">
        <f t="shared" si="30"/>
        <v>0.27865434664986599</v>
      </c>
      <c r="M284" s="10">
        <f t="shared" si="34"/>
        <v>0.28612292324545974</v>
      </c>
      <c r="P284" s="8">
        <f t="shared" si="35"/>
        <v>16.126643217881607</v>
      </c>
    </row>
    <row r="285" spans="1:16" x14ac:dyDescent="0.2">
      <c r="A285" s="8">
        <v>141.5</v>
      </c>
      <c r="B285" s="8">
        <v>283</v>
      </c>
      <c r="D285">
        <v>830.92487883682998</v>
      </c>
      <c r="E285">
        <v>329.87156704362002</v>
      </c>
      <c r="F285">
        <v>152.85060240964</v>
      </c>
      <c r="G285">
        <v>124.1983935743</v>
      </c>
      <c r="I285" s="9">
        <f t="shared" si="32"/>
        <v>205.67317346932003</v>
      </c>
      <c r="J285" s="9">
        <f t="shared" si="33"/>
        <v>678.07427642718994</v>
      </c>
      <c r="K285" s="9">
        <f t="shared" si="31"/>
        <v>205.67317346932003</v>
      </c>
      <c r="L285" s="10">
        <f t="shared" si="30"/>
        <v>0.30331953389092287</v>
      </c>
      <c r="M285" s="10">
        <f t="shared" si="34"/>
        <v>0.31081459480068535</v>
      </c>
      <c r="P285" s="8">
        <f t="shared" si="35"/>
        <v>26.148073520014169</v>
      </c>
    </row>
    <row r="286" spans="1:16" x14ac:dyDescent="0.2">
      <c r="A286" s="8">
        <v>142</v>
      </c>
      <c r="B286" s="8">
        <v>284</v>
      </c>
      <c r="D286">
        <v>824.54567502020996</v>
      </c>
      <c r="E286">
        <v>335.25060630557999</v>
      </c>
      <c r="F286">
        <v>152.04979919678999</v>
      </c>
      <c r="G286">
        <v>124.22570281125</v>
      </c>
      <c r="I286" s="9">
        <f t="shared" si="32"/>
        <v>211.02490349432998</v>
      </c>
      <c r="J286" s="9">
        <f t="shared" si="33"/>
        <v>672.49587582341996</v>
      </c>
      <c r="K286" s="9">
        <f t="shared" si="31"/>
        <v>211.02490349432998</v>
      </c>
      <c r="L286" s="10">
        <f t="shared" si="30"/>
        <v>0.31379360243056664</v>
      </c>
      <c r="M286" s="10">
        <f t="shared" si="34"/>
        <v>0.32131514765449792</v>
      </c>
      <c r="P286" s="8">
        <f t="shared" si="35"/>
        <v>30.409857025557013</v>
      </c>
    </row>
    <row r="287" spans="1:16" x14ac:dyDescent="0.2">
      <c r="A287" s="8">
        <v>142.5</v>
      </c>
      <c r="B287" s="8">
        <v>285</v>
      </c>
      <c r="D287">
        <v>809.96523848019001</v>
      </c>
      <c r="E287">
        <v>354.42926434922998</v>
      </c>
      <c r="F287">
        <v>151.48192771084001</v>
      </c>
      <c r="G287">
        <v>123.79277108434</v>
      </c>
      <c r="I287" s="9">
        <f t="shared" si="32"/>
        <v>230.63649326488996</v>
      </c>
      <c r="J287" s="9">
        <f t="shared" si="33"/>
        <v>658.48331076935006</v>
      </c>
      <c r="K287" s="9">
        <f t="shared" si="31"/>
        <v>230.63649326488996</v>
      </c>
      <c r="L287" s="10">
        <f t="shared" si="30"/>
        <v>0.3502541210883871</v>
      </c>
      <c r="M287" s="10">
        <f t="shared" si="34"/>
        <v>0.35780215062648718</v>
      </c>
      <c r="P287" s="8">
        <f t="shared" si="35"/>
        <v>45.218573251984765</v>
      </c>
    </row>
    <row r="288" spans="1:16" x14ac:dyDescent="0.2">
      <c r="A288" s="8">
        <v>143</v>
      </c>
      <c r="B288" s="8">
        <v>286</v>
      </c>
      <c r="D288">
        <v>833.63422546634001</v>
      </c>
      <c r="E288">
        <v>375.24087591240999</v>
      </c>
      <c r="F288">
        <v>151.77590361445999</v>
      </c>
      <c r="G288">
        <v>124.43212851406</v>
      </c>
      <c r="I288" s="9">
        <f t="shared" si="32"/>
        <v>250.80874739834999</v>
      </c>
      <c r="J288" s="9">
        <f t="shared" si="33"/>
        <v>681.85832185187996</v>
      </c>
      <c r="K288" s="9">
        <f t="shared" si="31"/>
        <v>250.80874739834999</v>
      </c>
      <c r="L288" s="10">
        <f t="shared" si="30"/>
        <v>0.36783117454249264</v>
      </c>
      <c r="M288" s="10">
        <f t="shared" si="34"/>
        <v>0.37540568839476146</v>
      </c>
      <c r="P288" s="8">
        <f t="shared" si="35"/>
        <v>52.36319391572367</v>
      </c>
    </row>
    <row r="289" spans="1:16" x14ac:dyDescent="0.2">
      <c r="A289" s="8">
        <v>143.5</v>
      </c>
      <c r="B289" s="8">
        <v>287</v>
      </c>
      <c r="D289">
        <v>831.87915652878996</v>
      </c>
      <c r="E289">
        <v>381.15977291159999</v>
      </c>
      <c r="F289">
        <v>151.88835341366001</v>
      </c>
      <c r="G289">
        <v>123.68273092370001</v>
      </c>
      <c r="I289" s="9">
        <f t="shared" si="32"/>
        <v>257.47704198789995</v>
      </c>
      <c r="J289" s="9">
        <f t="shared" si="33"/>
        <v>679.99080311512989</v>
      </c>
      <c r="K289" s="9">
        <f t="shared" si="31"/>
        <v>257.47704198789995</v>
      </c>
      <c r="L289" s="10">
        <f t="shared" si="30"/>
        <v>0.37864782995352697</v>
      </c>
      <c r="M289" s="10">
        <f t="shared" si="34"/>
        <v>0.38624882811996458</v>
      </c>
      <c r="P289" s="8">
        <f t="shared" si="35"/>
        <v>56.764020679086755</v>
      </c>
    </row>
    <row r="290" spans="1:16" x14ac:dyDescent="0.2">
      <c r="A290" s="8">
        <v>144</v>
      </c>
      <c r="B290" s="8">
        <v>288</v>
      </c>
      <c r="D290">
        <v>812.31143552311005</v>
      </c>
      <c r="E290">
        <v>367.77372262774003</v>
      </c>
      <c r="F290">
        <v>151.41044176707001</v>
      </c>
      <c r="G290">
        <v>123.52530120482</v>
      </c>
      <c r="I290" s="9">
        <f t="shared" si="32"/>
        <v>244.24842142292005</v>
      </c>
      <c r="J290" s="9">
        <f t="shared" si="33"/>
        <v>660.90099375604007</v>
      </c>
      <c r="K290" s="9">
        <f t="shared" si="31"/>
        <v>244.24842142292005</v>
      </c>
      <c r="L290" s="10">
        <f t="shared" si="30"/>
        <v>0.36956885181062393</v>
      </c>
      <c r="M290" s="10">
        <f t="shared" si="34"/>
        <v>0.37719633429123028</v>
      </c>
      <c r="P290" s="8">
        <f t="shared" si="35"/>
        <v>53.089950425793333</v>
      </c>
    </row>
    <row r="291" spans="1:16" x14ac:dyDescent="0.2">
      <c r="A291" s="8">
        <v>144.5</v>
      </c>
      <c r="B291" s="8">
        <v>289</v>
      </c>
      <c r="D291">
        <v>799.6901865369</v>
      </c>
      <c r="E291">
        <v>360.94322789942998</v>
      </c>
      <c r="F291">
        <v>152.53734939758999</v>
      </c>
      <c r="G291">
        <v>124.15502008032</v>
      </c>
      <c r="I291" s="9">
        <f t="shared" si="32"/>
        <v>236.78820781910997</v>
      </c>
      <c r="J291" s="9">
        <f t="shared" si="33"/>
        <v>647.15283713931001</v>
      </c>
      <c r="K291" s="9">
        <f t="shared" si="31"/>
        <v>236.78820781910997</v>
      </c>
      <c r="L291" s="10">
        <f t="shared" si="30"/>
        <v>0.36589225022301419</v>
      </c>
      <c r="M291" s="10">
        <f t="shared" si="34"/>
        <v>0.37354621701778934</v>
      </c>
      <c r="P291" s="8">
        <f t="shared" si="35"/>
        <v>51.608503705242846</v>
      </c>
    </row>
    <row r="292" spans="1:16" x14ac:dyDescent="0.2">
      <c r="A292" s="8">
        <v>145</v>
      </c>
      <c r="B292" s="8">
        <v>290</v>
      </c>
      <c r="D292">
        <v>840.43562753035997</v>
      </c>
      <c r="E292">
        <v>370.95222672065</v>
      </c>
      <c r="F292">
        <v>151.29799196786999</v>
      </c>
      <c r="G292">
        <v>123.77991967872001</v>
      </c>
      <c r="I292" s="9">
        <f>E292-G292</f>
        <v>247.17230704193</v>
      </c>
      <c r="J292" s="9">
        <f>D292-F292</f>
        <v>689.13763556249</v>
      </c>
      <c r="K292" s="9">
        <f t="shared" si="31"/>
        <v>247.17230704193</v>
      </c>
      <c r="L292" s="10">
        <f t="shared" si="30"/>
        <v>0.35866900062740337</v>
      </c>
      <c r="M292" s="10">
        <f>L292+ABS($N$2)*A292</f>
        <v>0.36634945173634725</v>
      </c>
      <c r="O292" s="11"/>
      <c r="P292" s="8">
        <f>(M292-$O$2)/$O$2*100</f>
        <v>48.687604587195253</v>
      </c>
    </row>
    <row r="293" spans="1:16" x14ac:dyDescent="0.2">
      <c r="A293" s="8">
        <v>145.5</v>
      </c>
      <c r="B293" s="8">
        <v>291</v>
      </c>
      <c r="D293">
        <v>830.99028340080997</v>
      </c>
      <c r="E293">
        <v>366.81943319838001</v>
      </c>
      <c r="F293">
        <v>151.38955823293</v>
      </c>
      <c r="G293">
        <v>124.08192771084001</v>
      </c>
      <c r="I293" s="9">
        <f t="shared" ref="I293:I301" si="36">E293-G293</f>
        <v>242.73750548754001</v>
      </c>
      <c r="J293" s="9">
        <f t="shared" ref="J293:J301" si="37">D293-F293</f>
        <v>679.60072516788</v>
      </c>
      <c r="K293" s="9">
        <f t="shared" si="31"/>
        <v>242.73750548754001</v>
      </c>
      <c r="L293" s="10">
        <f t="shared" si="30"/>
        <v>0.35717664284065792</v>
      </c>
      <c r="M293" s="10">
        <f t="shared" ref="M293:M301" si="38">L293+ABS($N$2)*A293</f>
        <v>0.3648835782637706</v>
      </c>
      <c r="P293" s="8">
        <f t="shared" ref="P293:P301" si="39">(M293-$O$2)/$O$2*100</f>
        <v>48.092661113874065</v>
      </c>
    </row>
    <row r="294" spans="1:16" x14ac:dyDescent="0.2">
      <c r="A294" s="8">
        <v>146</v>
      </c>
      <c r="B294" s="8">
        <v>292</v>
      </c>
      <c r="D294">
        <v>855.65020242915</v>
      </c>
      <c r="E294">
        <v>366.06801619433003</v>
      </c>
      <c r="F294">
        <v>151.14538152610001</v>
      </c>
      <c r="G294">
        <v>122.91004016063999</v>
      </c>
      <c r="I294" s="9">
        <f t="shared" si="36"/>
        <v>243.15797603369003</v>
      </c>
      <c r="J294" s="9">
        <f t="shared" si="37"/>
        <v>704.50482090305002</v>
      </c>
      <c r="K294" s="9">
        <f t="shared" si="31"/>
        <v>243.15797603369003</v>
      </c>
      <c r="L294" s="10">
        <f t="shared" si="30"/>
        <v>0.34514735572995042</v>
      </c>
      <c r="M294" s="10">
        <f t="shared" si="38"/>
        <v>0.3528807754672319</v>
      </c>
      <c r="N294" s="1"/>
      <c r="P294" s="8">
        <f t="shared" si="39"/>
        <v>43.221170279941518</v>
      </c>
    </row>
    <row r="295" spans="1:16" x14ac:dyDescent="0.2">
      <c r="A295" s="8">
        <v>146.5</v>
      </c>
      <c r="B295" s="8">
        <v>293</v>
      </c>
      <c r="D295">
        <v>858.23076923076997</v>
      </c>
      <c r="E295">
        <v>350.99514170040999</v>
      </c>
      <c r="F295">
        <v>151.07309236948001</v>
      </c>
      <c r="G295">
        <v>123.18955823293</v>
      </c>
      <c r="I295" s="9">
        <f t="shared" si="36"/>
        <v>227.80558346748001</v>
      </c>
      <c r="J295" s="9">
        <f t="shared" si="37"/>
        <v>707.15767686128993</v>
      </c>
      <c r="K295" s="9">
        <f t="shared" si="31"/>
        <v>227.80558346748001</v>
      </c>
      <c r="L295" s="10">
        <f t="shared" si="30"/>
        <v>0.32214255875520165</v>
      </c>
      <c r="M295" s="10">
        <f t="shared" si="38"/>
        <v>0.32990246280665186</v>
      </c>
      <c r="P295" s="8">
        <f t="shared" si="39"/>
        <v>33.895128570955684</v>
      </c>
    </row>
    <row r="296" spans="1:16" x14ac:dyDescent="0.2">
      <c r="A296" s="8">
        <v>147</v>
      </c>
      <c r="B296" s="8">
        <v>294</v>
      </c>
      <c r="D296">
        <v>857.69547657511998</v>
      </c>
      <c r="E296">
        <v>343.77867528271003</v>
      </c>
      <c r="F296">
        <v>151.35742971888001</v>
      </c>
      <c r="G296">
        <v>122.87309236948001</v>
      </c>
      <c r="I296" s="9">
        <f t="shared" si="36"/>
        <v>220.90558291323003</v>
      </c>
      <c r="J296" s="9">
        <f t="shared" si="37"/>
        <v>706.33804685624</v>
      </c>
      <c r="K296" s="9">
        <f t="shared" si="31"/>
        <v>220.90558291323003</v>
      </c>
      <c r="L296" s="10">
        <f t="shared" si="30"/>
        <v>0.31274767640853224</v>
      </c>
      <c r="M296" s="10">
        <f t="shared" si="38"/>
        <v>0.32053406477415125</v>
      </c>
      <c r="P296" s="8">
        <f t="shared" si="39"/>
        <v>30.092844561330935</v>
      </c>
    </row>
    <row r="297" spans="1:16" x14ac:dyDescent="0.2">
      <c r="A297" s="8">
        <v>147.5</v>
      </c>
      <c r="B297" s="8">
        <v>295</v>
      </c>
      <c r="D297">
        <v>860.95880452342999</v>
      </c>
      <c r="E297">
        <v>337.78756058158001</v>
      </c>
      <c r="F297">
        <v>150.11967871485999</v>
      </c>
      <c r="G297">
        <v>123.3124497992</v>
      </c>
      <c r="I297" s="9">
        <f t="shared" si="36"/>
        <v>214.47511078238</v>
      </c>
      <c r="J297" s="9">
        <f t="shared" si="37"/>
        <v>710.83912580856997</v>
      </c>
      <c r="K297" s="9">
        <f t="shared" si="31"/>
        <v>214.47511078238</v>
      </c>
      <c r="L297" s="10">
        <f t="shared" si="30"/>
        <v>0.30172102659433303</v>
      </c>
      <c r="M297" s="10">
        <f t="shared" si="38"/>
        <v>0.30953389927412078</v>
      </c>
      <c r="P297" s="8">
        <f t="shared" si="39"/>
        <v>25.628286881470313</v>
      </c>
    </row>
    <row r="298" spans="1:16" x14ac:dyDescent="0.2">
      <c r="A298" s="8">
        <v>148</v>
      </c>
      <c r="B298" s="8">
        <v>296</v>
      </c>
      <c r="D298">
        <v>849.78190630049005</v>
      </c>
      <c r="E298">
        <v>323.15024232632999</v>
      </c>
      <c r="F298">
        <v>151.33493975904</v>
      </c>
      <c r="G298">
        <v>123.02168674699</v>
      </c>
      <c r="I298" s="9">
        <f t="shared" si="36"/>
        <v>200.12855557934</v>
      </c>
      <c r="J298" s="9">
        <f t="shared" si="37"/>
        <v>698.44696654145002</v>
      </c>
      <c r="K298" s="9">
        <f t="shared" si="31"/>
        <v>200.12855557934</v>
      </c>
      <c r="L298" s="10">
        <f t="shared" si="30"/>
        <v>0.28653364559707506</v>
      </c>
      <c r="M298" s="10">
        <f t="shared" si="38"/>
        <v>0.29437300259103161</v>
      </c>
      <c r="P298" s="8">
        <f t="shared" si="39"/>
        <v>19.475043303464894</v>
      </c>
    </row>
    <row r="299" spans="1:16" x14ac:dyDescent="0.2">
      <c r="A299" s="8">
        <v>148.5</v>
      </c>
      <c r="B299" s="8">
        <v>297</v>
      </c>
      <c r="D299">
        <v>870.10258481421999</v>
      </c>
      <c r="E299">
        <v>319.73586429724998</v>
      </c>
      <c r="F299">
        <v>151.23052208835</v>
      </c>
      <c r="G299">
        <v>123.32931726907999</v>
      </c>
      <c r="I299" s="9">
        <f t="shared" si="36"/>
        <v>196.40654702817</v>
      </c>
      <c r="J299" s="9">
        <f t="shared" si="37"/>
        <v>718.87206272587002</v>
      </c>
      <c r="K299" s="9">
        <f t="shared" si="31"/>
        <v>196.40654702817</v>
      </c>
      <c r="L299" s="10">
        <f t="shared" si="30"/>
        <v>0.27321488372134223</v>
      </c>
      <c r="M299" s="10">
        <f t="shared" si="38"/>
        <v>0.28108072502946757</v>
      </c>
      <c r="P299" s="8">
        <f t="shared" si="39"/>
        <v>14.080202664916744</v>
      </c>
    </row>
    <row r="300" spans="1:16" x14ac:dyDescent="0.2">
      <c r="A300" s="8">
        <v>149</v>
      </c>
      <c r="B300" s="8">
        <v>298</v>
      </c>
      <c r="D300">
        <v>850.17819365338005</v>
      </c>
      <c r="E300">
        <v>309.83889340927999</v>
      </c>
      <c r="F300">
        <v>152.25140562249001</v>
      </c>
      <c r="G300">
        <v>123.66987951807</v>
      </c>
      <c r="I300" s="9">
        <f t="shared" si="36"/>
        <v>186.16901389121</v>
      </c>
      <c r="J300" s="9">
        <f t="shared" si="37"/>
        <v>697.92678803089007</v>
      </c>
      <c r="K300" s="9">
        <f t="shared" si="31"/>
        <v>186.16901389121</v>
      </c>
      <c r="L300" s="10">
        <f t="shared" si="30"/>
        <v>0.26674576342951634</v>
      </c>
      <c r="M300" s="10">
        <f t="shared" si="38"/>
        <v>0.27463808905181042</v>
      </c>
      <c r="P300" s="8">
        <f t="shared" si="39"/>
        <v>11.465376557753546</v>
      </c>
    </row>
    <row r="301" spans="1:16" x14ac:dyDescent="0.2">
      <c r="A301" s="8">
        <v>149.5</v>
      </c>
      <c r="B301" s="8">
        <v>299</v>
      </c>
      <c r="D301">
        <v>861.22457282342998</v>
      </c>
      <c r="E301">
        <v>308.47192839706997</v>
      </c>
      <c r="F301">
        <v>151.90441767068</v>
      </c>
      <c r="G301">
        <v>123.51646586344999</v>
      </c>
      <c r="I301" s="9">
        <f t="shared" si="36"/>
        <v>184.95546253361999</v>
      </c>
      <c r="J301" s="9">
        <f t="shared" si="37"/>
        <v>709.32015515274998</v>
      </c>
      <c r="K301" s="9">
        <f t="shared" si="31"/>
        <v>184.95546253361999</v>
      </c>
      <c r="L301" s="10">
        <f t="shared" si="30"/>
        <v>0.26075032718306218</v>
      </c>
      <c r="M301" s="10">
        <f t="shared" si="38"/>
        <v>0.26866913711952506</v>
      </c>
      <c r="P301" s="8">
        <f t="shared" si="39"/>
        <v>9.0428011710532559</v>
      </c>
    </row>
    <row r="302" spans="1:16" x14ac:dyDescent="0.2">
      <c r="A302" s="8">
        <v>150</v>
      </c>
      <c r="B302" s="8">
        <v>300</v>
      </c>
      <c r="D302">
        <v>827.63791700570005</v>
      </c>
      <c r="E302">
        <v>306.14971521562001</v>
      </c>
      <c r="F302">
        <v>151.78554216868</v>
      </c>
      <c r="G302">
        <v>122.93654618474</v>
      </c>
      <c r="I302" s="9">
        <f>E302-G302</f>
        <v>183.21316903088001</v>
      </c>
      <c r="J302" s="9">
        <f>D302-F302</f>
        <v>675.85237483702008</v>
      </c>
      <c r="K302" s="9">
        <f t="shared" si="31"/>
        <v>183.21316903088001</v>
      </c>
      <c r="L302" s="10">
        <f t="shared" si="30"/>
        <v>0.27108459754256448</v>
      </c>
      <c r="M302" s="10">
        <f>L302+ABS($N$2)*A302</f>
        <v>0.27902989179319609</v>
      </c>
      <c r="O302" s="11"/>
      <c r="P302" s="8">
        <f>(M302-$O$2)/$O$2*100</f>
        <v>13.247845799460139</v>
      </c>
    </row>
    <row r="303" spans="1:16" x14ac:dyDescent="0.2">
      <c r="A303" s="8">
        <v>150.5</v>
      </c>
      <c r="B303" s="8">
        <v>301</v>
      </c>
      <c r="D303">
        <v>831.55410903173004</v>
      </c>
      <c r="E303">
        <v>303.21399511798001</v>
      </c>
      <c r="F303">
        <v>151.65863453815001</v>
      </c>
      <c r="G303">
        <v>123.30763052208999</v>
      </c>
      <c r="I303" s="9">
        <f t="shared" ref="I303:I309" si="40">E303-G303</f>
        <v>179.90636459589001</v>
      </c>
      <c r="J303" s="9">
        <f t="shared" ref="J303:J309" si="41">D303-F303</f>
        <v>679.89547449357997</v>
      </c>
      <c r="K303" s="9">
        <f t="shared" si="31"/>
        <v>179.90636459589001</v>
      </c>
      <c r="L303" s="10">
        <f t="shared" si="30"/>
        <v>0.26460885730985817</v>
      </c>
      <c r="M303" s="10">
        <f t="shared" ref="M303:M309" si="42">L303+ABS($N$2)*A303</f>
        <v>0.27258063587465858</v>
      </c>
      <c r="P303" s="8">
        <f t="shared" ref="P303:P309" si="43">(M303-$O$2)/$O$2*100</f>
        <v>10.630332904730196</v>
      </c>
    </row>
    <row r="304" spans="1:16" x14ac:dyDescent="0.2">
      <c r="A304" s="8">
        <v>151</v>
      </c>
      <c r="B304" s="8">
        <v>302</v>
      </c>
      <c r="D304">
        <v>817.86574450773003</v>
      </c>
      <c r="E304">
        <v>294.63466232709999</v>
      </c>
      <c r="F304">
        <v>151.30040160643</v>
      </c>
      <c r="G304">
        <v>122.72048192771</v>
      </c>
      <c r="I304" s="9">
        <f t="shared" si="40"/>
        <v>171.91418039938998</v>
      </c>
      <c r="J304" s="9">
        <f t="shared" si="41"/>
        <v>666.56534290130003</v>
      </c>
      <c r="K304" s="9">
        <f t="shared" si="31"/>
        <v>171.91418039938998</v>
      </c>
      <c r="L304" s="10">
        <f t="shared" si="30"/>
        <v>0.25791046928889871</v>
      </c>
      <c r="M304" s="10">
        <f t="shared" si="42"/>
        <v>0.26590873216786787</v>
      </c>
      <c r="N304" s="1"/>
      <c r="P304" s="8">
        <f t="shared" si="43"/>
        <v>7.9224555611247265</v>
      </c>
    </row>
    <row r="305" spans="1:16" x14ac:dyDescent="0.2">
      <c r="A305" s="8">
        <v>151.5</v>
      </c>
      <c r="B305" s="8">
        <v>303</v>
      </c>
      <c r="D305">
        <v>849.36239999999998</v>
      </c>
      <c r="E305">
        <v>299.36959999999999</v>
      </c>
      <c r="F305">
        <v>150.90602409639001</v>
      </c>
      <c r="G305">
        <v>122.86024096385999</v>
      </c>
      <c r="I305" s="9">
        <f t="shared" si="40"/>
        <v>176.50935903613998</v>
      </c>
      <c r="J305" s="9">
        <f t="shared" si="41"/>
        <v>698.45637590361002</v>
      </c>
      <c r="K305" s="9">
        <f t="shared" si="31"/>
        <v>176.50935903613998</v>
      </c>
      <c r="L305" s="10">
        <f t="shared" si="30"/>
        <v>0.25271350527480763</v>
      </c>
      <c r="M305" s="10">
        <f t="shared" si="42"/>
        <v>0.26073825246794557</v>
      </c>
      <c r="P305" s="8">
        <f t="shared" si="43"/>
        <v>5.8239503292909349</v>
      </c>
    </row>
    <row r="306" spans="1:16" x14ac:dyDescent="0.2">
      <c r="A306" s="8">
        <v>152</v>
      </c>
      <c r="B306" s="8">
        <v>304</v>
      </c>
      <c r="D306">
        <v>883.57651821861998</v>
      </c>
      <c r="E306">
        <v>302.54574898785</v>
      </c>
      <c r="F306">
        <v>151.09799196787</v>
      </c>
      <c r="G306">
        <v>123.09477911646999</v>
      </c>
      <c r="I306" s="9">
        <f t="shared" si="40"/>
        <v>179.45096987138001</v>
      </c>
      <c r="J306" s="9">
        <f t="shared" si="41"/>
        <v>732.47852625074995</v>
      </c>
      <c r="K306" s="9">
        <f t="shared" si="31"/>
        <v>179.45096987138001</v>
      </c>
      <c r="L306" s="10">
        <f t="shared" si="30"/>
        <v>0.24499144130533654</v>
      </c>
      <c r="M306" s="10">
        <f t="shared" si="42"/>
        <v>0.25304267281264325</v>
      </c>
      <c r="P306" s="8">
        <f t="shared" si="43"/>
        <v>2.7006010259587288</v>
      </c>
    </row>
    <row r="307" spans="1:16" x14ac:dyDescent="0.2">
      <c r="A307" s="8">
        <v>152.5</v>
      </c>
      <c r="B307" s="8">
        <v>305</v>
      </c>
      <c r="D307">
        <v>881.31139646869997</v>
      </c>
      <c r="E307">
        <v>298.45024077046997</v>
      </c>
      <c r="F307">
        <v>152.01204819277001</v>
      </c>
      <c r="G307">
        <v>123.56546184739</v>
      </c>
      <c r="I307" s="9">
        <f t="shared" si="40"/>
        <v>174.88477892307998</v>
      </c>
      <c r="J307" s="9">
        <f t="shared" si="41"/>
        <v>729.29934827593002</v>
      </c>
      <c r="K307" s="9">
        <f t="shared" si="31"/>
        <v>174.88477892307998</v>
      </c>
      <c r="L307" s="10">
        <f t="shared" si="30"/>
        <v>0.23979834801238903</v>
      </c>
      <c r="M307" s="10">
        <f t="shared" si="42"/>
        <v>0.24787606383386451</v>
      </c>
      <c r="P307" s="8">
        <f t="shared" si="43"/>
        <v>0.60366677574407657</v>
      </c>
    </row>
    <row r="308" spans="1:16" x14ac:dyDescent="0.2">
      <c r="A308" s="8">
        <v>153</v>
      </c>
      <c r="B308" s="8">
        <v>306</v>
      </c>
      <c r="D308">
        <v>869.93579454253995</v>
      </c>
      <c r="E308">
        <v>294.37399678972997</v>
      </c>
      <c r="F308">
        <v>151.77670682730999</v>
      </c>
      <c r="G308">
        <v>123.1421686747</v>
      </c>
      <c r="I308" s="9">
        <f t="shared" si="40"/>
        <v>171.23182811502997</v>
      </c>
      <c r="J308" s="9">
        <f t="shared" si="41"/>
        <v>718.15908771522993</v>
      </c>
      <c r="K308" s="9">
        <f t="shared" si="31"/>
        <v>171.23182811502997</v>
      </c>
      <c r="L308" s="10">
        <f t="shared" si="30"/>
        <v>0.23843161082844663</v>
      </c>
      <c r="M308" s="10">
        <f t="shared" si="42"/>
        <v>0.24653581096409091</v>
      </c>
      <c r="P308" s="8">
        <f t="shared" si="43"/>
        <v>5.9708028697371469E-2</v>
      </c>
    </row>
    <row r="309" spans="1:16" x14ac:dyDescent="0.2">
      <c r="A309" s="8">
        <v>153.5</v>
      </c>
      <c r="B309" s="8">
        <v>307</v>
      </c>
      <c r="D309">
        <v>872.46147672552001</v>
      </c>
      <c r="E309">
        <v>297.51605136437001</v>
      </c>
      <c r="F309">
        <v>151.40562248996</v>
      </c>
      <c r="G309">
        <v>123.25060240964</v>
      </c>
      <c r="I309" s="9">
        <f t="shared" si="40"/>
        <v>174.26544895473</v>
      </c>
      <c r="J309" s="9">
        <f t="shared" si="41"/>
        <v>721.05585423555999</v>
      </c>
      <c r="K309" s="9">
        <f t="shared" si="31"/>
        <v>174.26544895473</v>
      </c>
      <c r="L309" s="10">
        <f t="shared" si="30"/>
        <v>0.24168092933588423</v>
      </c>
      <c r="M309" s="10">
        <f t="shared" si="42"/>
        <v>0.24981161378569727</v>
      </c>
      <c r="P309" s="8">
        <f t="shared" si="43"/>
        <v>1.3892344476290923</v>
      </c>
    </row>
    <row r="310" spans="1:16" x14ac:dyDescent="0.2">
      <c r="A310" s="8">
        <v>154</v>
      </c>
      <c r="B310" s="8">
        <v>308</v>
      </c>
      <c r="D310">
        <v>864.68518518518999</v>
      </c>
      <c r="E310">
        <v>295.25925925925998</v>
      </c>
      <c r="F310">
        <v>151.48915662651001</v>
      </c>
      <c r="G310">
        <v>122.75261044177</v>
      </c>
      <c r="I310" s="9">
        <f>E310-G310</f>
        <v>172.50664881748997</v>
      </c>
      <c r="J310" s="9">
        <f>D310-F310</f>
        <v>713.19602855867993</v>
      </c>
      <c r="K310" s="9">
        <f t="shared" si="31"/>
        <v>172.50664881748997</v>
      </c>
      <c r="L310" s="10">
        <f t="shared" si="30"/>
        <v>0.2418783082206922</v>
      </c>
      <c r="M310" s="10">
        <f>L310+ABS($N$2)*A310</f>
        <v>0.25003547698467399</v>
      </c>
      <c r="O310" s="11"/>
      <c r="P310" s="8">
        <f>(M310-$O$2)/$O$2*100</f>
        <v>1.4800921864719205</v>
      </c>
    </row>
    <row r="311" spans="1:16" x14ac:dyDescent="0.2">
      <c r="A311" s="8">
        <v>154.5</v>
      </c>
      <c r="B311" s="8">
        <v>309</v>
      </c>
      <c r="D311">
        <v>875.36312399355995</v>
      </c>
      <c r="E311">
        <v>293.94605475039998</v>
      </c>
      <c r="F311">
        <v>151.26827309237001</v>
      </c>
      <c r="G311">
        <v>123.21285140562</v>
      </c>
      <c r="I311" s="9">
        <f t="shared" ref="I311:I314" si="44">E311-G311</f>
        <v>170.73320334477998</v>
      </c>
      <c r="J311" s="9">
        <f t="shared" ref="J311:J314" si="45">D311-F311</f>
        <v>724.09485090118994</v>
      </c>
      <c r="K311" s="9">
        <f t="shared" si="31"/>
        <v>170.73320334477998</v>
      </c>
      <c r="L311" s="10">
        <f t="shared" si="30"/>
        <v>0.23578845110179944</v>
      </c>
      <c r="M311" s="10">
        <f t="shared" ref="M311:M314" si="46">L311+ABS($N$2)*A311</f>
        <v>0.24397210417995002</v>
      </c>
      <c r="P311" s="8">
        <f t="shared" ref="P311:P314" si="47">(M311-$O$2)/$O$2*100</f>
        <v>-0.98080511740168352</v>
      </c>
    </row>
    <row r="312" spans="1:16" x14ac:dyDescent="0.2">
      <c r="A312" s="8">
        <v>155</v>
      </c>
      <c r="B312" s="8">
        <v>310</v>
      </c>
      <c r="D312">
        <v>879.56741573034003</v>
      </c>
      <c r="E312">
        <v>295.17335473514999</v>
      </c>
      <c r="F312">
        <v>150.43694779117001</v>
      </c>
      <c r="G312">
        <v>122.8</v>
      </c>
      <c r="I312" s="9">
        <f t="shared" si="44"/>
        <v>172.37335473514997</v>
      </c>
      <c r="J312" s="9">
        <f t="shared" si="45"/>
        <v>729.13046793916999</v>
      </c>
      <c r="K312" s="9">
        <f t="shared" si="31"/>
        <v>172.37335473514997</v>
      </c>
      <c r="L312" s="10">
        <f t="shared" si="30"/>
        <v>0.23640947994170333</v>
      </c>
      <c r="M312" s="10">
        <f t="shared" si="46"/>
        <v>0.24461961733402268</v>
      </c>
      <c r="N312" s="1"/>
      <c r="P312" s="8">
        <f t="shared" si="47"/>
        <v>-0.71800363274966994</v>
      </c>
    </row>
    <row r="313" spans="1:16" x14ac:dyDescent="0.2">
      <c r="A313" s="8">
        <v>155.5</v>
      </c>
      <c r="B313" s="8">
        <v>311</v>
      </c>
      <c r="D313">
        <v>852.31059390047994</v>
      </c>
      <c r="E313">
        <v>285.99839486356001</v>
      </c>
      <c r="F313">
        <v>151.09076305221001</v>
      </c>
      <c r="G313">
        <v>123.13012048193001</v>
      </c>
      <c r="I313" s="9">
        <f t="shared" si="44"/>
        <v>162.86827438162999</v>
      </c>
      <c r="J313" s="9">
        <f t="shared" si="45"/>
        <v>701.21983084826991</v>
      </c>
      <c r="K313" s="9">
        <f t="shared" si="31"/>
        <v>162.86827438162999</v>
      </c>
      <c r="L313" s="10">
        <f t="shared" si="30"/>
        <v>0.23226421617969253</v>
      </c>
      <c r="M313" s="10">
        <f t="shared" si="46"/>
        <v>0.24050083788618065</v>
      </c>
      <c r="P313" s="8">
        <f t="shared" si="47"/>
        <v>-2.3896628832822451</v>
      </c>
    </row>
    <row r="314" spans="1:16" x14ac:dyDescent="0.2">
      <c r="A314" s="8">
        <v>156</v>
      </c>
      <c r="B314" s="8">
        <v>312</v>
      </c>
      <c r="D314">
        <v>871.83065810593996</v>
      </c>
      <c r="E314">
        <v>289</v>
      </c>
      <c r="F314">
        <v>151.26987951807001</v>
      </c>
      <c r="G314">
        <v>123.13734939759</v>
      </c>
      <c r="I314" s="9">
        <f t="shared" si="44"/>
        <v>165.86265060240999</v>
      </c>
      <c r="J314" s="9">
        <f t="shared" si="45"/>
        <v>720.56077858786989</v>
      </c>
      <c r="K314" s="9">
        <f t="shared" ref="K314:K322" si="48">I314*1</f>
        <v>165.86265060240999</v>
      </c>
      <c r="L314" s="10">
        <f t="shared" ref="L314:L322" si="49">K314/J314</f>
        <v>0.23018551041240667</v>
      </c>
      <c r="M314" s="10">
        <f t="shared" si="46"/>
        <v>0.23844861643306359</v>
      </c>
      <c r="O314" s="11"/>
      <c r="P314" s="8">
        <f t="shared" si="47"/>
        <v>-3.2225831742781526</v>
      </c>
    </row>
    <row r="315" spans="1:16" x14ac:dyDescent="0.2">
      <c r="A315" s="8">
        <v>156.5</v>
      </c>
      <c r="B315" s="8">
        <v>313</v>
      </c>
      <c r="D315">
        <v>860.38362760835003</v>
      </c>
      <c r="E315">
        <v>286.04414125200998</v>
      </c>
      <c r="F315">
        <v>151.46024096386</v>
      </c>
      <c r="G315">
        <v>123.09879518072</v>
      </c>
      <c r="I315" s="9">
        <f t="shared" ref="I315:I322" si="50">E315-G315</f>
        <v>162.94534607128998</v>
      </c>
      <c r="J315" s="9">
        <f t="shared" ref="J315:J322" si="51">D315-F315</f>
        <v>708.92338664449005</v>
      </c>
      <c r="K315" s="9">
        <f t="shared" si="48"/>
        <v>162.94534607128998</v>
      </c>
      <c r="L315" s="10">
        <f t="shared" si="49"/>
        <v>0.22984902055855522</v>
      </c>
      <c r="M315" s="10">
        <f t="shared" ref="M315:M322" si="52">L315+ABS($N$2)*A315</f>
        <v>0.2381386108933809</v>
      </c>
      <c r="P315" s="8">
        <f t="shared" ref="P315:P322" si="53">(M315-$O$2)/$O$2*100</f>
        <v>-3.3484028824439847</v>
      </c>
    </row>
    <row r="316" spans="1:16" x14ac:dyDescent="0.2">
      <c r="A316" s="8">
        <v>157</v>
      </c>
      <c r="B316" s="8">
        <v>314</v>
      </c>
      <c r="D316">
        <v>887.65804365400004</v>
      </c>
      <c r="E316">
        <v>291.57477768796002</v>
      </c>
      <c r="F316">
        <v>151.36224899598</v>
      </c>
      <c r="G316">
        <v>123.09156626506</v>
      </c>
      <c r="I316" s="9">
        <f t="shared" si="50"/>
        <v>168.48321142290001</v>
      </c>
      <c r="J316" s="9">
        <f t="shared" si="51"/>
        <v>736.29579465801999</v>
      </c>
      <c r="K316" s="9">
        <f t="shared" si="48"/>
        <v>168.48321142290001</v>
      </c>
      <c r="L316" s="10">
        <f t="shared" si="49"/>
        <v>0.22882544304243072</v>
      </c>
      <c r="M316" s="10">
        <f t="shared" si="52"/>
        <v>0.23714151769142516</v>
      </c>
      <c r="N316" s="1"/>
      <c r="P316" s="8">
        <f t="shared" si="53"/>
        <v>-3.753085894923748</v>
      </c>
    </row>
    <row r="317" spans="1:16" x14ac:dyDescent="0.2">
      <c r="A317" s="8">
        <v>157.5</v>
      </c>
      <c r="B317" s="8">
        <v>315</v>
      </c>
      <c r="D317">
        <v>871.61843168957</v>
      </c>
      <c r="E317">
        <v>289.69846402587001</v>
      </c>
      <c r="F317">
        <v>150.64658634538</v>
      </c>
      <c r="G317">
        <v>123.11244979919999</v>
      </c>
      <c r="I317" s="9">
        <f t="shared" si="50"/>
        <v>166.58601422667002</v>
      </c>
      <c r="J317" s="9">
        <f t="shared" si="51"/>
        <v>720.97184534419</v>
      </c>
      <c r="K317" s="9">
        <f t="shared" si="48"/>
        <v>166.58601422667002</v>
      </c>
      <c r="L317" s="10">
        <f t="shared" si="49"/>
        <v>0.23105758609359053</v>
      </c>
      <c r="M317" s="10">
        <f t="shared" si="52"/>
        <v>0.23940014505675375</v>
      </c>
      <c r="P317" s="8">
        <f t="shared" si="53"/>
        <v>-2.8363931279109997</v>
      </c>
    </row>
    <row r="318" spans="1:16" x14ac:dyDescent="0.2">
      <c r="A318" s="8">
        <v>158</v>
      </c>
      <c r="B318" s="8">
        <v>316</v>
      </c>
      <c r="D318">
        <v>881.74616006466999</v>
      </c>
      <c r="E318">
        <v>288.59902991107998</v>
      </c>
      <c r="F318">
        <v>150.68835341366</v>
      </c>
      <c r="G318">
        <v>122.78152610442</v>
      </c>
      <c r="I318" s="9">
        <f t="shared" si="50"/>
        <v>165.81750380666</v>
      </c>
      <c r="J318" s="9">
        <f t="shared" si="51"/>
        <v>731.05780665100997</v>
      </c>
      <c r="K318" s="9">
        <f t="shared" si="48"/>
        <v>165.81750380666</v>
      </c>
      <c r="L318" s="10">
        <f t="shared" si="49"/>
        <v>0.22681859395808002</v>
      </c>
      <c r="M318" s="10">
        <f t="shared" si="52"/>
        <v>0.235187637235412</v>
      </c>
      <c r="O318" s="11"/>
      <c r="P318" s="8">
        <f t="shared" si="53"/>
        <v>-4.5460932360768407</v>
      </c>
    </row>
    <row r="319" spans="1:16" x14ac:dyDescent="0.2">
      <c r="A319" s="8">
        <v>158.5</v>
      </c>
      <c r="B319" s="8">
        <v>317</v>
      </c>
      <c r="D319">
        <v>884.85206143897005</v>
      </c>
      <c r="E319">
        <v>287.82376717865998</v>
      </c>
      <c r="F319">
        <v>150.98152610442</v>
      </c>
      <c r="G319">
        <v>122.67148594378</v>
      </c>
      <c r="I319" s="9">
        <f t="shared" si="50"/>
        <v>165.15228123487998</v>
      </c>
      <c r="J319" s="9">
        <f t="shared" si="51"/>
        <v>733.87053533455003</v>
      </c>
      <c r="K319" s="9">
        <f t="shared" si="48"/>
        <v>165.15228123487998</v>
      </c>
      <c r="L319" s="10">
        <f t="shared" si="49"/>
        <v>0.22504280153391348</v>
      </c>
      <c r="M319" s="10">
        <f t="shared" si="52"/>
        <v>0.23343832912541423</v>
      </c>
      <c r="P319" s="8">
        <f t="shared" si="53"/>
        <v>-5.256072277475023</v>
      </c>
    </row>
    <row r="320" spans="1:16" x14ac:dyDescent="0.2">
      <c r="A320" s="8">
        <v>159</v>
      </c>
      <c r="B320" s="8">
        <v>318</v>
      </c>
      <c r="D320">
        <v>874.43902439023998</v>
      </c>
      <c r="E320">
        <v>284.43089430894003</v>
      </c>
      <c r="F320">
        <v>151.30923694779</v>
      </c>
      <c r="G320">
        <v>123.24578313252999</v>
      </c>
      <c r="I320" s="9">
        <f t="shared" si="50"/>
        <v>161.18511117641003</v>
      </c>
      <c r="J320" s="9">
        <f t="shared" si="51"/>
        <v>723.12978744244992</v>
      </c>
      <c r="K320" s="9">
        <f t="shared" si="48"/>
        <v>161.18511117641003</v>
      </c>
      <c r="L320" s="10">
        <f t="shared" si="49"/>
        <v>0.22289928305468665</v>
      </c>
      <c r="M320" s="10">
        <f t="shared" si="52"/>
        <v>0.23132129496035619</v>
      </c>
      <c r="N320" s="1"/>
      <c r="P320" s="8">
        <f t="shared" si="53"/>
        <v>-6.115297635503592</v>
      </c>
    </row>
    <row r="321" spans="1:16" x14ac:dyDescent="0.2">
      <c r="A321" s="8">
        <v>159.5</v>
      </c>
      <c r="B321" s="8">
        <v>319</v>
      </c>
      <c r="D321">
        <v>875.44878048781004</v>
      </c>
      <c r="E321">
        <v>283.51300813007998</v>
      </c>
      <c r="F321">
        <v>151.68594377509999</v>
      </c>
      <c r="G321">
        <v>123.63614457831</v>
      </c>
      <c r="I321" s="9">
        <f t="shared" si="50"/>
        <v>159.87686355176999</v>
      </c>
      <c r="J321" s="9">
        <f t="shared" si="51"/>
        <v>723.76283671271005</v>
      </c>
      <c r="K321" s="9">
        <f t="shared" si="48"/>
        <v>159.87686355176999</v>
      </c>
      <c r="L321" s="10">
        <f t="shared" si="49"/>
        <v>0.22089675711718174</v>
      </c>
      <c r="M321" s="10">
        <f t="shared" si="52"/>
        <v>0.22934525333702005</v>
      </c>
      <c r="P321" s="8">
        <f t="shared" si="53"/>
        <v>-6.9172993694925218</v>
      </c>
    </row>
    <row r="322" spans="1:16" x14ac:dyDescent="0.2">
      <c r="A322" s="8">
        <v>160</v>
      </c>
      <c r="B322" s="8">
        <v>320</v>
      </c>
      <c r="D322">
        <v>862.86747967480005</v>
      </c>
      <c r="E322">
        <v>284.38048780487998</v>
      </c>
      <c r="F322">
        <v>150.32048192771001</v>
      </c>
      <c r="G322">
        <v>122.56465863454</v>
      </c>
      <c r="I322" s="9">
        <f t="shared" si="50"/>
        <v>161.81582917033998</v>
      </c>
      <c r="J322" s="9">
        <f t="shared" si="51"/>
        <v>712.54699774709002</v>
      </c>
      <c r="K322" s="9">
        <f t="shared" si="48"/>
        <v>161.81582917033998</v>
      </c>
      <c r="L322" s="10">
        <f t="shared" si="49"/>
        <v>0.2270949560968813</v>
      </c>
      <c r="M322" s="10">
        <f t="shared" si="52"/>
        <v>0.23556993663088838</v>
      </c>
      <c r="O322" s="11"/>
      <c r="P322" s="8">
        <f t="shared" si="53"/>
        <v>-4.390932143084612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FD71-DD9C-144F-96DC-97D7B4146AEA}">
  <dimension ref="A1:Y798"/>
  <sheetViews>
    <sheetView topLeftCell="D1" zoomScale="75" zoomScaleNormal="70" workbookViewId="0">
      <selection activeCell="D2" sqref="D2:E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1287.0326086957</v>
      </c>
      <c r="E2">
        <v>434.40274599541999</v>
      </c>
      <c r="F2">
        <v>148.86891814539001</v>
      </c>
      <c r="G2">
        <v>122.42415569548</v>
      </c>
      <c r="H2" s="4"/>
      <c r="I2" s="5">
        <f>E2-G2</f>
        <v>311.97859029993998</v>
      </c>
      <c r="J2" s="5">
        <f>D2-F2</f>
        <v>1138.1636905503101</v>
      </c>
      <c r="K2" s="9">
        <f>I2*1</f>
        <v>311.97859029993998</v>
      </c>
      <c r="L2" s="6">
        <f t="shared" ref="L2:L65" si="0">K2/J2</f>
        <v>0.27410696096718407</v>
      </c>
      <c r="M2" s="6">
        <f>L2+ABS($N$2)*A2</f>
        <v>0.27410696096718407</v>
      </c>
      <c r="N2" s="4">
        <f>LINEST(V64:V103,U64:U103)</f>
        <v>-6.0783156586661157E-4</v>
      </c>
      <c r="O2" s="7">
        <f>AVERAGE(M62:M81)</f>
        <v>0.35495513982917337</v>
      </c>
      <c r="P2" s="4">
        <f>(M2-$O$2)/$O$2*100</f>
        <v>-22.777013146196026</v>
      </c>
    </row>
    <row r="3" spans="1:16" x14ac:dyDescent="0.2">
      <c r="A3" s="8">
        <v>0.5</v>
      </c>
      <c r="B3" s="8">
        <v>1</v>
      </c>
      <c r="D3">
        <v>1271.2974828375</v>
      </c>
      <c r="E3">
        <v>427.64874141875998</v>
      </c>
      <c r="F3">
        <v>147.92615912994</v>
      </c>
      <c r="G3">
        <v>122.26960503721</v>
      </c>
      <c r="I3" s="9">
        <f t="shared" ref="I3:I66" si="1">E3-G3</f>
        <v>305.37913638154998</v>
      </c>
      <c r="J3" s="9">
        <f t="shared" ref="J3:J66" si="2">D3-F3</f>
        <v>1123.3713237075599</v>
      </c>
      <c r="K3" s="9">
        <f t="shared" ref="K3:K66" si="3">I3*1</f>
        <v>305.37913638154998</v>
      </c>
      <c r="L3" s="10">
        <f t="shared" si="0"/>
        <v>0.27184166974610025</v>
      </c>
      <c r="M3" s="10">
        <f t="shared" ref="M3:M66" si="4">L3+ABS($N$2)*A3</f>
        <v>0.27214558552903356</v>
      </c>
      <c r="P3" s="8">
        <f t="shared" ref="P3:P66" si="5">(M3-$O$2)/$O$2*100</f>
        <v>-23.329583096047841</v>
      </c>
    </row>
    <row r="4" spans="1:16" ht="16" x14ac:dyDescent="0.2">
      <c r="A4" s="8">
        <v>1</v>
      </c>
      <c r="B4" s="8">
        <v>2</v>
      </c>
      <c r="D4">
        <v>1230.7517162470999</v>
      </c>
      <c r="E4">
        <v>416.42276887871998</v>
      </c>
      <c r="F4">
        <v>148.84831139095999</v>
      </c>
      <c r="G4">
        <v>122.43274184316</v>
      </c>
      <c r="I4" s="9">
        <f t="shared" si="1"/>
        <v>293.99002703555999</v>
      </c>
      <c r="J4" s="9">
        <f t="shared" si="2"/>
        <v>1081.90340485614</v>
      </c>
      <c r="K4" s="9">
        <f t="shared" si="3"/>
        <v>293.99002703555999</v>
      </c>
      <c r="L4" s="10">
        <f t="shared" si="0"/>
        <v>0.27173408061753135</v>
      </c>
      <c r="M4" s="10">
        <f t="shared" si="4"/>
        <v>0.27234191218339798</v>
      </c>
      <c r="N4" s="1" t="s">
        <v>7</v>
      </c>
      <c r="P4" s="8">
        <f t="shared" si="5"/>
        <v>-23.274272823752895</v>
      </c>
    </row>
    <row r="5" spans="1:16" x14ac:dyDescent="0.2">
      <c r="A5" s="8">
        <v>1.5</v>
      </c>
      <c r="B5" s="8">
        <v>3</v>
      </c>
      <c r="D5">
        <v>1311.9656750572001</v>
      </c>
      <c r="E5">
        <v>438.06464530891998</v>
      </c>
      <c r="F5">
        <v>149.17401259302</v>
      </c>
      <c r="G5">
        <v>122.3085289067</v>
      </c>
      <c r="I5" s="9">
        <f t="shared" si="1"/>
        <v>315.75611640221996</v>
      </c>
      <c r="J5" s="9">
        <f t="shared" si="2"/>
        <v>1162.79166246418</v>
      </c>
      <c r="K5" s="9">
        <f t="shared" si="3"/>
        <v>315.75611640221996</v>
      </c>
      <c r="L5" s="10">
        <f t="shared" si="0"/>
        <v>0.27155003479563294</v>
      </c>
      <c r="M5" s="10">
        <f t="shared" si="4"/>
        <v>0.27246178214443284</v>
      </c>
      <c r="N5" s="8">
        <f>RSQ(V64:V83,U64:U83)</f>
        <v>0.93138632848875647</v>
      </c>
      <c r="P5" s="8">
        <f t="shared" si="5"/>
        <v>-23.240502370085835</v>
      </c>
    </row>
    <row r="6" spans="1:16" x14ac:dyDescent="0.2">
      <c r="A6" s="8">
        <v>2</v>
      </c>
      <c r="B6" s="8">
        <v>4</v>
      </c>
      <c r="D6">
        <v>1328.4897025171999</v>
      </c>
      <c r="E6">
        <v>441.53260869565003</v>
      </c>
      <c r="F6">
        <v>148.57469948483001</v>
      </c>
      <c r="G6">
        <v>122.29650829994</v>
      </c>
      <c r="I6" s="9">
        <f t="shared" si="1"/>
        <v>319.23610039571003</v>
      </c>
      <c r="J6" s="9">
        <f t="shared" si="2"/>
        <v>1179.9150030323699</v>
      </c>
      <c r="K6" s="9">
        <f t="shared" si="3"/>
        <v>319.23610039571003</v>
      </c>
      <c r="L6" s="10">
        <f t="shared" si="0"/>
        <v>0.27055855682424279</v>
      </c>
      <c r="M6" s="10">
        <f t="shared" si="4"/>
        <v>0.271774219955976</v>
      </c>
      <c r="P6" s="8">
        <f t="shared" si="5"/>
        <v>-23.434206337518944</v>
      </c>
    </row>
    <row r="7" spans="1:16" x14ac:dyDescent="0.2">
      <c r="A7" s="8">
        <v>2.5</v>
      </c>
      <c r="B7" s="8">
        <v>5</v>
      </c>
      <c r="D7">
        <v>1321.4130434783001</v>
      </c>
      <c r="E7">
        <v>437.71910755149003</v>
      </c>
      <c r="F7">
        <v>149.11963365770001</v>
      </c>
      <c r="G7">
        <v>122.95706926158999</v>
      </c>
      <c r="I7" s="9">
        <f t="shared" si="1"/>
        <v>314.76203828990003</v>
      </c>
      <c r="J7" s="9">
        <f t="shared" si="2"/>
        <v>1172.2934098206001</v>
      </c>
      <c r="K7" s="9">
        <f t="shared" si="3"/>
        <v>314.76203828990003</v>
      </c>
      <c r="L7" s="10">
        <f t="shared" si="0"/>
        <v>0.2685010728995475</v>
      </c>
      <c r="M7" s="10">
        <f t="shared" si="4"/>
        <v>0.27002065181421403</v>
      </c>
      <c r="P7" s="8">
        <f t="shared" si="5"/>
        <v>-23.928231622687626</v>
      </c>
    </row>
    <row r="8" spans="1:16" x14ac:dyDescent="0.2">
      <c r="A8" s="8">
        <v>3</v>
      </c>
      <c r="B8" s="8">
        <v>6</v>
      </c>
      <c r="D8">
        <v>1275.8827231120999</v>
      </c>
      <c r="E8">
        <v>425.14244851259002</v>
      </c>
      <c r="F8">
        <v>149.48597595878999</v>
      </c>
      <c r="G8">
        <v>122.56668574699999</v>
      </c>
      <c r="I8" s="9">
        <f t="shared" si="1"/>
        <v>302.57576276559001</v>
      </c>
      <c r="J8" s="9">
        <f t="shared" si="2"/>
        <v>1126.3967471533099</v>
      </c>
      <c r="K8" s="9">
        <f t="shared" si="3"/>
        <v>302.57576276559001</v>
      </c>
      <c r="L8" s="10">
        <f t="shared" si="0"/>
        <v>0.26862272421353817</v>
      </c>
      <c r="M8" s="10">
        <f t="shared" si="4"/>
        <v>0.27044621891113801</v>
      </c>
      <c r="P8" s="8">
        <f t="shared" si="5"/>
        <v>-23.80833841670988</v>
      </c>
    </row>
    <row r="9" spans="1:16" x14ac:dyDescent="0.2">
      <c r="A9" s="8">
        <v>3.5</v>
      </c>
      <c r="B9" s="8">
        <v>7</v>
      </c>
      <c r="D9">
        <v>1187.9462242563</v>
      </c>
      <c r="E9">
        <v>401.89302059496998</v>
      </c>
      <c r="F9">
        <v>149.01316542645</v>
      </c>
      <c r="G9">
        <v>123.01259301659999</v>
      </c>
      <c r="I9" s="9">
        <f t="shared" si="1"/>
        <v>278.88042757837002</v>
      </c>
      <c r="J9" s="9">
        <f t="shared" si="2"/>
        <v>1038.9330588298499</v>
      </c>
      <c r="K9" s="9">
        <f t="shared" si="3"/>
        <v>278.88042757837002</v>
      </c>
      <c r="L9" s="10">
        <f t="shared" si="0"/>
        <v>0.26842964058961893</v>
      </c>
      <c r="M9" s="10">
        <f t="shared" si="4"/>
        <v>0.2705570510701521</v>
      </c>
      <c r="P9" s="8">
        <f t="shared" si="5"/>
        <v>-23.77711414451948</v>
      </c>
    </row>
    <row r="10" spans="1:16" x14ac:dyDescent="0.2">
      <c r="A10" s="8">
        <v>4</v>
      </c>
      <c r="B10" s="8">
        <v>8</v>
      </c>
      <c r="D10">
        <v>1197.9227688787</v>
      </c>
      <c r="E10">
        <v>403.40274599541999</v>
      </c>
      <c r="F10">
        <v>149.17344018316999</v>
      </c>
      <c r="G10">
        <v>122.73669147109</v>
      </c>
      <c r="I10" s="9">
        <f t="shared" si="1"/>
        <v>280.66605452432998</v>
      </c>
      <c r="J10" s="9">
        <f t="shared" si="2"/>
        <v>1048.74932869553</v>
      </c>
      <c r="K10" s="9">
        <f t="shared" si="3"/>
        <v>280.66605452432998</v>
      </c>
      <c r="L10" s="10">
        <f t="shared" si="0"/>
        <v>0.26761977037299461</v>
      </c>
      <c r="M10" s="10">
        <f t="shared" si="4"/>
        <v>0.27005109663646104</v>
      </c>
      <c r="P10" s="8">
        <f t="shared" si="5"/>
        <v>-23.919654532562472</v>
      </c>
    </row>
    <row r="11" spans="1:16" x14ac:dyDescent="0.2">
      <c r="A11" s="8">
        <v>4.5</v>
      </c>
      <c r="B11" s="8">
        <v>9</v>
      </c>
      <c r="D11">
        <v>1260.618993135</v>
      </c>
      <c r="E11">
        <v>422.22597254005001</v>
      </c>
      <c r="F11">
        <v>149.73497424156</v>
      </c>
      <c r="G11">
        <v>122.6033199771</v>
      </c>
      <c r="I11" s="9">
        <f t="shared" si="1"/>
        <v>299.62265256295001</v>
      </c>
      <c r="J11" s="9">
        <f t="shared" si="2"/>
        <v>1110.88401889344</v>
      </c>
      <c r="K11" s="9">
        <f t="shared" si="3"/>
        <v>299.62265256295001</v>
      </c>
      <c r="L11" s="10">
        <f t="shared" si="0"/>
        <v>0.26971551257115606</v>
      </c>
      <c r="M11" s="10">
        <f t="shared" si="4"/>
        <v>0.2724507546175558</v>
      </c>
      <c r="P11" s="8">
        <f t="shared" si="5"/>
        <v>-23.243609108273187</v>
      </c>
    </row>
    <row r="12" spans="1:16" x14ac:dyDescent="0.2">
      <c r="A12" s="8">
        <v>5</v>
      </c>
      <c r="B12" s="8">
        <v>10</v>
      </c>
      <c r="D12">
        <v>1260.3661327231</v>
      </c>
      <c r="E12">
        <v>421.56350114417</v>
      </c>
      <c r="F12">
        <v>149.10532341155999</v>
      </c>
      <c r="G12">
        <v>122.85918717801999</v>
      </c>
      <c r="I12" s="9">
        <f t="shared" si="1"/>
        <v>298.70431396615004</v>
      </c>
      <c r="J12" s="9">
        <f t="shared" si="2"/>
        <v>1111.26080931154</v>
      </c>
      <c r="K12" s="9">
        <f t="shared" si="3"/>
        <v>298.70431396615004</v>
      </c>
      <c r="L12" s="10">
        <f t="shared" si="0"/>
        <v>0.26879766789508797</v>
      </c>
      <c r="M12" s="10">
        <f t="shared" si="4"/>
        <v>0.27183682572442103</v>
      </c>
      <c r="P12" s="8">
        <f t="shared" si="5"/>
        <v>-23.416568680975878</v>
      </c>
    </row>
    <row r="13" spans="1:16" x14ac:dyDescent="0.2">
      <c r="A13" s="8">
        <v>5.5</v>
      </c>
      <c r="B13" s="8">
        <v>11</v>
      </c>
      <c r="D13">
        <v>1223.6756292906</v>
      </c>
      <c r="E13">
        <v>410.77631578947</v>
      </c>
      <c r="F13">
        <v>149.46765884372999</v>
      </c>
      <c r="G13">
        <v>122.47738981111</v>
      </c>
      <c r="I13" s="9">
        <f t="shared" si="1"/>
        <v>288.29892597835999</v>
      </c>
      <c r="J13" s="9">
        <f t="shared" si="2"/>
        <v>1074.2079704468699</v>
      </c>
      <c r="K13" s="9">
        <f t="shared" si="3"/>
        <v>288.29892597835999</v>
      </c>
      <c r="L13" s="10">
        <f t="shared" si="0"/>
        <v>0.26838278425585299</v>
      </c>
      <c r="M13" s="10">
        <f t="shared" si="4"/>
        <v>0.27172585786811937</v>
      </c>
      <c r="P13" s="8">
        <f t="shared" si="5"/>
        <v>-23.447831182585254</v>
      </c>
    </row>
    <row r="14" spans="1:16" x14ac:dyDescent="0.2">
      <c r="A14" s="8">
        <v>6</v>
      </c>
      <c r="B14" s="8">
        <v>12</v>
      </c>
      <c r="D14">
        <v>1201.8381006865</v>
      </c>
      <c r="E14">
        <v>404.69107551487002</v>
      </c>
      <c r="F14">
        <v>149.77160847166999</v>
      </c>
      <c r="G14">
        <v>122.92501431025001</v>
      </c>
      <c r="I14" s="9">
        <f t="shared" si="1"/>
        <v>281.76606120462003</v>
      </c>
      <c r="J14" s="9">
        <f t="shared" si="2"/>
        <v>1052.0664922148299</v>
      </c>
      <c r="K14" s="9">
        <f t="shared" si="3"/>
        <v>281.76606120462003</v>
      </c>
      <c r="L14" s="10">
        <f t="shared" si="0"/>
        <v>0.26782153341985154</v>
      </c>
      <c r="M14" s="10">
        <f t="shared" si="4"/>
        <v>0.27146852281505124</v>
      </c>
      <c r="P14" s="8">
        <f t="shared" si="5"/>
        <v>-23.520329091248296</v>
      </c>
    </row>
    <row r="15" spans="1:16" x14ac:dyDescent="0.2">
      <c r="A15" s="8">
        <v>6.5</v>
      </c>
      <c r="B15" s="8">
        <v>13</v>
      </c>
      <c r="D15">
        <v>1199.2774599541999</v>
      </c>
      <c r="E15">
        <v>404.70709382151</v>
      </c>
      <c r="F15">
        <v>150.04636519747999</v>
      </c>
      <c r="G15">
        <v>123.08471665713</v>
      </c>
      <c r="I15" s="9">
        <f t="shared" si="1"/>
        <v>281.62237716438</v>
      </c>
      <c r="J15" s="9">
        <f t="shared" si="2"/>
        <v>1049.2310947567198</v>
      </c>
      <c r="K15" s="9">
        <f t="shared" si="3"/>
        <v>281.62237716438</v>
      </c>
      <c r="L15" s="10">
        <f t="shared" si="0"/>
        <v>0.2684083407094206</v>
      </c>
      <c r="M15" s="10">
        <f t="shared" si="4"/>
        <v>0.27235924588755356</v>
      </c>
      <c r="P15" s="8">
        <f t="shared" si="5"/>
        <v>-23.269389473095142</v>
      </c>
    </row>
    <row r="16" spans="1:16" x14ac:dyDescent="0.2">
      <c r="A16" s="8">
        <v>7</v>
      </c>
      <c r="B16" s="8">
        <v>14</v>
      </c>
      <c r="D16">
        <v>1217.9359267734999</v>
      </c>
      <c r="E16">
        <v>408.7557208238</v>
      </c>
      <c r="F16">
        <v>150.25643961076</v>
      </c>
      <c r="G16">
        <v>122.56897538638</v>
      </c>
      <c r="I16" s="9">
        <f t="shared" si="1"/>
        <v>286.18674543741997</v>
      </c>
      <c r="J16" s="9">
        <f t="shared" si="2"/>
        <v>1067.6794871627399</v>
      </c>
      <c r="K16" s="9">
        <f t="shared" si="3"/>
        <v>286.18674543741997</v>
      </c>
      <c r="L16" s="10">
        <f t="shared" si="0"/>
        <v>0.26804555943838065</v>
      </c>
      <c r="M16" s="10">
        <f t="shared" si="4"/>
        <v>0.27230038039944693</v>
      </c>
      <c r="P16" s="8">
        <f t="shared" si="5"/>
        <v>-23.285973396386115</v>
      </c>
    </row>
    <row r="17" spans="1:16" x14ac:dyDescent="0.2">
      <c r="A17" s="8">
        <v>7.5</v>
      </c>
      <c r="B17" s="8">
        <v>15</v>
      </c>
      <c r="D17">
        <v>1237.4130434783001</v>
      </c>
      <c r="E17">
        <v>413.74885583524002</v>
      </c>
      <c r="F17">
        <v>150.2959358901</v>
      </c>
      <c r="G17">
        <v>123.01431024614</v>
      </c>
      <c r="I17" s="9">
        <f t="shared" si="1"/>
        <v>290.73454558910004</v>
      </c>
      <c r="J17" s="9">
        <f t="shared" si="2"/>
        <v>1087.1171075882</v>
      </c>
      <c r="K17" s="9">
        <f t="shared" si="3"/>
        <v>290.73454558910004</v>
      </c>
      <c r="L17" s="10">
        <f t="shared" si="0"/>
        <v>0.267436271179747</v>
      </c>
      <c r="M17" s="10">
        <f t="shared" si="4"/>
        <v>0.27199500792374659</v>
      </c>
      <c r="P17" s="8">
        <f t="shared" si="5"/>
        <v>-23.372004683564349</v>
      </c>
    </row>
    <row r="18" spans="1:16" x14ac:dyDescent="0.2">
      <c r="A18" s="8">
        <v>8</v>
      </c>
      <c r="B18" s="8">
        <v>16</v>
      </c>
      <c r="D18">
        <v>1251.2419908467</v>
      </c>
      <c r="E18">
        <v>418.77517162471003</v>
      </c>
      <c r="F18">
        <v>150.34573554664999</v>
      </c>
      <c r="G18">
        <v>122.93360045793</v>
      </c>
      <c r="I18" s="9">
        <f t="shared" si="1"/>
        <v>295.84157116678</v>
      </c>
      <c r="J18" s="9">
        <f t="shared" si="2"/>
        <v>1100.8962553000499</v>
      </c>
      <c r="K18" s="9">
        <f t="shared" si="3"/>
        <v>295.84157116678</v>
      </c>
      <c r="L18" s="10">
        <f t="shared" si="0"/>
        <v>0.26872792939617024</v>
      </c>
      <c r="M18" s="10">
        <f t="shared" si="4"/>
        <v>0.27359058192310315</v>
      </c>
      <c r="P18" s="8">
        <f t="shared" si="5"/>
        <v>-22.922490415331904</v>
      </c>
    </row>
    <row r="19" spans="1:16" x14ac:dyDescent="0.2">
      <c r="A19" s="8">
        <v>8.5</v>
      </c>
      <c r="B19" s="8">
        <v>17</v>
      </c>
      <c r="D19">
        <v>1214.8169336384001</v>
      </c>
      <c r="E19">
        <v>408.68878718536001</v>
      </c>
      <c r="F19">
        <v>150.04865483686001</v>
      </c>
      <c r="G19">
        <v>123.28620492272999</v>
      </c>
      <c r="I19" s="9">
        <f t="shared" si="1"/>
        <v>285.40258226263001</v>
      </c>
      <c r="J19" s="9">
        <f t="shared" si="2"/>
        <v>1064.76827880154</v>
      </c>
      <c r="K19" s="9">
        <f t="shared" si="3"/>
        <v>285.40258226263001</v>
      </c>
      <c r="L19" s="10">
        <f t="shared" si="0"/>
        <v>0.26804196550996767</v>
      </c>
      <c r="M19" s="10">
        <f t="shared" si="4"/>
        <v>0.2732085338198339</v>
      </c>
      <c r="P19" s="8">
        <f t="shared" si="5"/>
        <v>-23.030123200548964</v>
      </c>
    </row>
    <row r="20" spans="1:16" x14ac:dyDescent="0.2">
      <c r="A20" s="8">
        <v>9</v>
      </c>
      <c r="B20" s="8">
        <v>18</v>
      </c>
      <c r="D20">
        <v>1225.659610984</v>
      </c>
      <c r="E20">
        <v>410.71510297483002</v>
      </c>
      <c r="F20">
        <v>150.21808815112001</v>
      </c>
      <c r="G20">
        <v>123.08872352605</v>
      </c>
      <c r="I20" s="9">
        <f t="shared" si="1"/>
        <v>287.62637944878003</v>
      </c>
      <c r="J20" s="9">
        <f t="shared" si="2"/>
        <v>1075.4415228328799</v>
      </c>
      <c r="K20" s="9">
        <f t="shared" si="3"/>
        <v>287.62637944878003</v>
      </c>
      <c r="L20" s="10">
        <f t="shared" si="0"/>
        <v>0.26744957614350573</v>
      </c>
      <c r="M20" s="10">
        <f t="shared" si="4"/>
        <v>0.27292006023630522</v>
      </c>
      <c r="P20" s="8">
        <f t="shared" si="5"/>
        <v>-23.111393634798066</v>
      </c>
    </row>
    <row r="21" spans="1:16" x14ac:dyDescent="0.2">
      <c r="A21" s="8">
        <v>9.5</v>
      </c>
      <c r="B21" s="8">
        <v>19</v>
      </c>
      <c r="D21">
        <v>1223.4084668191999</v>
      </c>
      <c r="E21">
        <v>408.63615560641</v>
      </c>
      <c r="F21">
        <v>150.59015455066</v>
      </c>
      <c r="G21">
        <v>123.11219232971</v>
      </c>
      <c r="I21" s="9">
        <f t="shared" si="1"/>
        <v>285.52396327669999</v>
      </c>
      <c r="J21" s="9">
        <f t="shared" si="2"/>
        <v>1072.81831226854</v>
      </c>
      <c r="K21" s="9">
        <f t="shared" si="3"/>
        <v>285.52396327669999</v>
      </c>
      <c r="L21" s="10">
        <f t="shared" si="0"/>
        <v>0.26614381951864907</v>
      </c>
      <c r="M21" s="10">
        <f t="shared" si="4"/>
        <v>0.27191821939438188</v>
      </c>
      <c r="P21" s="8">
        <f t="shared" si="5"/>
        <v>-23.393637988945322</v>
      </c>
    </row>
    <row r="22" spans="1:16" x14ac:dyDescent="0.2">
      <c r="A22" s="8">
        <v>10</v>
      </c>
      <c r="B22" s="8">
        <v>20</v>
      </c>
      <c r="D22">
        <v>1161.069221968</v>
      </c>
      <c r="E22">
        <v>397.90560640732002</v>
      </c>
      <c r="F22">
        <v>150.56783056668999</v>
      </c>
      <c r="G22">
        <v>122.89066971952001</v>
      </c>
      <c r="I22" s="9">
        <f t="shared" si="1"/>
        <v>275.0149366878</v>
      </c>
      <c r="J22" s="9">
        <f t="shared" si="2"/>
        <v>1010.50139140131</v>
      </c>
      <c r="K22" s="9">
        <f t="shared" si="3"/>
        <v>275.0149366878</v>
      </c>
      <c r="L22" s="10">
        <f t="shared" si="0"/>
        <v>0.2721569104486079</v>
      </c>
      <c r="M22" s="10">
        <f t="shared" si="4"/>
        <v>0.27823522610727403</v>
      </c>
      <c r="P22" s="8">
        <f t="shared" si="5"/>
        <v>-21.613974588118872</v>
      </c>
    </row>
    <row r="23" spans="1:16" x14ac:dyDescent="0.2">
      <c r="A23" s="8">
        <v>10.5</v>
      </c>
      <c r="B23" s="8">
        <v>21</v>
      </c>
      <c r="D23">
        <v>1142.7168192219999</v>
      </c>
      <c r="E23">
        <v>392.22826086957002</v>
      </c>
      <c r="F23">
        <v>150.59759587865</v>
      </c>
      <c r="G23">
        <v>123.11390955924</v>
      </c>
      <c r="I23" s="9">
        <f t="shared" si="1"/>
        <v>269.11435131032999</v>
      </c>
      <c r="J23" s="9">
        <f t="shared" si="2"/>
        <v>992.11922334334986</v>
      </c>
      <c r="K23" s="9">
        <f t="shared" si="3"/>
        <v>269.11435131032999</v>
      </c>
      <c r="L23" s="10">
        <f t="shared" si="0"/>
        <v>0.27125202796034892</v>
      </c>
      <c r="M23" s="10">
        <f t="shared" si="4"/>
        <v>0.27763425940194836</v>
      </c>
      <c r="P23" s="8">
        <f t="shared" si="5"/>
        <v>-21.783282378848398</v>
      </c>
    </row>
    <row r="24" spans="1:16" x14ac:dyDescent="0.2">
      <c r="A24" s="8">
        <v>11</v>
      </c>
      <c r="B24" s="8">
        <v>22</v>
      </c>
      <c r="D24">
        <v>1178.2860411899001</v>
      </c>
      <c r="E24">
        <v>399.05835240275002</v>
      </c>
      <c r="F24">
        <v>150.7166571265</v>
      </c>
      <c r="G24">
        <v>122.89124212937</v>
      </c>
      <c r="I24" s="9">
        <f t="shared" si="1"/>
        <v>276.16711027337999</v>
      </c>
      <c r="J24" s="9">
        <f t="shared" si="2"/>
        <v>1027.5693840634001</v>
      </c>
      <c r="K24" s="9">
        <f t="shared" si="3"/>
        <v>276.16711027337999</v>
      </c>
      <c r="L24" s="10">
        <f t="shared" si="0"/>
        <v>0.26875762800688963</v>
      </c>
      <c r="M24" s="10">
        <f t="shared" si="4"/>
        <v>0.27544377523142233</v>
      </c>
      <c r="P24" s="8">
        <f t="shared" si="5"/>
        <v>-22.400398156233738</v>
      </c>
    </row>
    <row r="25" spans="1:16" x14ac:dyDescent="0.2">
      <c r="A25" s="8">
        <v>11.5</v>
      </c>
      <c r="B25" s="8">
        <v>23</v>
      </c>
      <c r="D25">
        <v>1177.2614416475999</v>
      </c>
      <c r="E25">
        <v>398.01201372998003</v>
      </c>
      <c r="F25">
        <v>151.11104751002</v>
      </c>
      <c r="G25">
        <v>123.16141957642</v>
      </c>
      <c r="I25" s="9">
        <f t="shared" si="1"/>
        <v>274.85059415356</v>
      </c>
      <c r="J25" s="9">
        <f t="shared" si="2"/>
        <v>1026.15039413758</v>
      </c>
      <c r="K25" s="9">
        <f t="shared" si="3"/>
        <v>274.85059415356</v>
      </c>
      <c r="L25" s="10">
        <f t="shared" si="0"/>
        <v>0.2678463076404663</v>
      </c>
      <c r="M25" s="10">
        <f t="shared" si="4"/>
        <v>0.27483637064793232</v>
      </c>
      <c r="P25" s="8">
        <f t="shared" si="5"/>
        <v>-22.571519662963389</v>
      </c>
    </row>
    <row r="26" spans="1:16" x14ac:dyDescent="0.2">
      <c r="A26" s="8">
        <v>12</v>
      </c>
      <c r="B26" s="8">
        <v>24</v>
      </c>
      <c r="D26">
        <v>1178.0629290618001</v>
      </c>
      <c r="E26">
        <v>397.32265446224</v>
      </c>
      <c r="F26">
        <v>151.11276473954999</v>
      </c>
      <c r="G26">
        <v>122.90955924442</v>
      </c>
      <c r="I26" s="9">
        <f t="shared" si="1"/>
        <v>274.41309521782</v>
      </c>
      <c r="J26" s="9">
        <f t="shared" si="2"/>
        <v>1026.9501643222502</v>
      </c>
      <c r="K26" s="9">
        <f t="shared" si="3"/>
        <v>274.41309521782</v>
      </c>
      <c r="L26" s="10">
        <f t="shared" si="0"/>
        <v>0.26721169609912149</v>
      </c>
      <c r="M26" s="10">
        <f t="shared" si="4"/>
        <v>0.27450567488952082</v>
      </c>
      <c r="P26" s="8">
        <f t="shared" si="5"/>
        <v>-22.664685170742946</v>
      </c>
    </row>
    <row r="27" spans="1:16" x14ac:dyDescent="0.2">
      <c r="A27" s="8">
        <v>12.5</v>
      </c>
      <c r="B27" s="8">
        <v>25</v>
      </c>
      <c r="D27">
        <v>1164.3712814645</v>
      </c>
      <c r="E27">
        <v>393.95480549198999</v>
      </c>
      <c r="F27">
        <v>150.69834001145</v>
      </c>
      <c r="G27">
        <v>123.33142530052</v>
      </c>
      <c r="I27" s="9">
        <f t="shared" si="1"/>
        <v>270.62338019147001</v>
      </c>
      <c r="J27" s="9">
        <f t="shared" si="2"/>
        <v>1013.67294145305</v>
      </c>
      <c r="K27" s="9">
        <f t="shared" si="3"/>
        <v>270.62338019147001</v>
      </c>
      <c r="L27" s="10">
        <f t="shared" si="0"/>
        <v>0.26697307299487028</v>
      </c>
      <c r="M27" s="10">
        <f t="shared" si="4"/>
        <v>0.27457096756820293</v>
      </c>
      <c r="P27" s="8">
        <f t="shared" si="5"/>
        <v>-22.646290542420751</v>
      </c>
    </row>
    <row r="28" spans="1:16" x14ac:dyDescent="0.2">
      <c r="A28" s="8">
        <v>13</v>
      </c>
      <c r="B28" s="8">
        <v>26</v>
      </c>
      <c r="D28">
        <v>1103.8014874142</v>
      </c>
      <c r="E28">
        <v>378.91933638443999</v>
      </c>
      <c r="F28">
        <v>150.78878076703</v>
      </c>
      <c r="G28">
        <v>123.24441900401</v>
      </c>
      <c r="I28" s="9">
        <f t="shared" si="1"/>
        <v>255.67491738042997</v>
      </c>
      <c r="J28" s="9">
        <f t="shared" si="2"/>
        <v>953.01270664717003</v>
      </c>
      <c r="K28" s="9">
        <f t="shared" si="3"/>
        <v>255.67491738042997</v>
      </c>
      <c r="L28" s="10">
        <f t="shared" si="0"/>
        <v>0.26828070139791688</v>
      </c>
      <c r="M28" s="10">
        <f t="shared" si="4"/>
        <v>0.27618251175418285</v>
      </c>
      <c r="P28" s="8">
        <f t="shared" si="5"/>
        <v>-22.192277061518489</v>
      </c>
    </row>
    <row r="29" spans="1:16" x14ac:dyDescent="0.2">
      <c r="A29" s="8">
        <v>13.5</v>
      </c>
      <c r="B29" s="8">
        <v>27</v>
      </c>
      <c r="D29">
        <v>1104.0486270023</v>
      </c>
      <c r="E29">
        <v>379.57494279176001</v>
      </c>
      <c r="F29">
        <v>150.69433314253001</v>
      </c>
      <c r="G29">
        <v>123.10532341155999</v>
      </c>
      <c r="I29" s="9">
        <f t="shared" si="1"/>
        <v>256.46961938020002</v>
      </c>
      <c r="J29" s="9">
        <f t="shared" si="2"/>
        <v>953.35429385977</v>
      </c>
      <c r="K29" s="9">
        <f t="shared" si="3"/>
        <v>256.46961938020002</v>
      </c>
      <c r="L29" s="10">
        <f t="shared" si="0"/>
        <v>0.2690181614873226</v>
      </c>
      <c r="M29" s="10">
        <f t="shared" si="4"/>
        <v>0.27722388762652184</v>
      </c>
      <c r="P29" s="8">
        <f t="shared" si="5"/>
        <v>-21.898894671608552</v>
      </c>
    </row>
    <row r="30" spans="1:16" x14ac:dyDescent="0.2">
      <c r="A30" s="8">
        <v>14</v>
      </c>
      <c r="B30" s="8">
        <v>28</v>
      </c>
      <c r="D30">
        <v>1112.7110983982</v>
      </c>
      <c r="E30">
        <v>381.92734553776</v>
      </c>
      <c r="F30">
        <v>150.98454493417</v>
      </c>
      <c r="G30">
        <v>123.18317115054001</v>
      </c>
      <c r="I30" s="9">
        <f t="shared" si="1"/>
        <v>258.74417438722003</v>
      </c>
      <c r="J30" s="9">
        <f t="shared" si="2"/>
        <v>961.72655346402996</v>
      </c>
      <c r="K30" s="9">
        <f t="shared" si="3"/>
        <v>258.74417438722003</v>
      </c>
      <c r="L30" s="10">
        <f t="shared" si="0"/>
        <v>0.26904131268420617</v>
      </c>
      <c r="M30" s="10">
        <f t="shared" si="4"/>
        <v>0.27755095460633872</v>
      </c>
      <c r="P30" s="8">
        <f t="shared" si="5"/>
        <v>-21.806751484169631</v>
      </c>
    </row>
    <row r="31" spans="1:16" x14ac:dyDescent="0.2">
      <c r="A31" s="8">
        <v>14.5</v>
      </c>
      <c r="B31" s="8">
        <v>29</v>
      </c>
      <c r="D31">
        <v>1110.0497711671001</v>
      </c>
      <c r="E31">
        <v>381.55663615561002</v>
      </c>
      <c r="F31">
        <v>150.88265598167999</v>
      </c>
      <c r="G31">
        <v>123.08414424727999</v>
      </c>
      <c r="I31" s="9">
        <f t="shared" si="1"/>
        <v>258.47249190833003</v>
      </c>
      <c r="J31" s="9">
        <f t="shared" si="2"/>
        <v>959.16711518542002</v>
      </c>
      <c r="K31" s="9">
        <f t="shared" si="3"/>
        <v>258.47249190833003</v>
      </c>
      <c r="L31" s="10">
        <f t="shared" si="0"/>
        <v>0.26947597328580619</v>
      </c>
      <c r="M31" s="10">
        <f t="shared" si="4"/>
        <v>0.27828953099087206</v>
      </c>
      <c r="P31" s="8">
        <f t="shared" si="5"/>
        <v>-21.598675504515192</v>
      </c>
    </row>
    <row r="32" spans="1:16" x14ac:dyDescent="0.2">
      <c r="A32" s="8">
        <v>15</v>
      </c>
      <c r="B32" s="8">
        <v>30</v>
      </c>
      <c r="D32">
        <v>1146.8318077803001</v>
      </c>
      <c r="E32">
        <v>390.93135011442001</v>
      </c>
      <c r="F32">
        <v>151.29479107041001</v>
      </c>
      <c r="G32">
        <v>123.53119633658</v>
      </c>
      <c r="I32" s="9">
        <f t="shared" si="1"/>
        <v>267.40015377784005</v>
      </c>
      <c r="J32" s="9">
        <f t="shared" si="2"/>
        <v>995.53701670989005</v>
      </c>
      <c r="K32" s="9">
        <f t="shared" si="3"/>
        <v>267.40015377784005</v>
      </c>
      <c r="L32" s="10">
        <f t="shared" si="0"/>
        <v>0.2685989062079881</v>
      </c>
      <c r="M32" s="10">
        <f t="shared" si="4"/>
        <v>0.27771637969598728</v>
      </c>
      <c r="P32" s="8">
        <f t="shared" si="5"/>
        <v>-21.760146978110591</v>
      </c>
    </row>
    <row r="33" spans="1:16" x14ac:dyDescent="0.2">
      <c r="A33" s="8">
        <v>15.5</v>
      </c>
      <c r="B33" s="8">
        <v>31</v>
      </c>
      <c r="D33">
        <v>1141.2831807780001</v>
      </c>
      <c r="E33">
        <v>388.54519450801001</v>
      </c>
      <c r="F33">
        <v>151.55352032055001</v>
      </c>
      <c r="G33">
        <v>123.38694905552001</v>
      </c>
      <c r="I33" s="9">
        <f t="shared" si="1"/>
        <v>265.15824545249001</v>
      </c>
      <c r="J33" s="9">
        <f t="shared" si="2"/>
        <v>989.72966045745011</v>
      </c>
      <c r="K33" s="9">
        <f t="shared" si="3"/>
        <v>265.15824545249001</v>
      </c>
      <c r="L33" s="10">
        <f t="shared" si="0"/>
        <v>0.26790976975463648</v>
      </c>
      <c r="M33" s="10">
        <f t="shared" si="4"/>
        <v>0.27733115902556899</v>
      </c>
      <c r="P33" s="8">
        <f t="shared" si="5"/>
        <v>-21.868673557160463</v>
      </c>
    </row>
    <row r="34" spans="1:16" x14ac:dyDescent="0.2">
      <c r="A34" s="8">
        <v>16</v>
      </c>
      <c r="B34" s="8">
        <v>32</v>
      </c>
      <c r="D34">
        <v>1104.1773455378</v>
      </c>
      <c r="E34">
        <v>378.92620137300003</v>
      </c>
      <c r="F34">
        <v>151.33028048081999</v>
      </c>
      <c r="G34">
        <v>123.440755581</v>
      </c>
      <c r="I34" s="9">
        <f t="shared" si="1"/>
        <v>255.48544579200001</v>
      </c>
      <c r="J34" s="9">
        <f t="shared" si="2"/>
        <v>952.84706505698</v>
      </c>
      <c r="K34" s="9">
        <f t="shared" si="3"/>
        <v>255.48544579200001</v>
      </c>
      <c r="L34" s="10">
        <f t="shared" si="0"/>
        <v>0.26812849108867437</v>
      </c>
      <c r="M34" s="10">
        <f t="shared" si="4"/>
        <v>0.27785379614254013</v>
      </c>
      <c r="P34" s="8">
        <f t="shared" si="5"/>
        <v>-21.721433227798652</v>
      </c>
    </row>
    <row r="35" spans="1:16" x14ac:dyDescent="0.2">
      <c r="A35" s="8">
        <v>16.5</v>
      </c>
      <c r="B35" s="8">
        <v>33</v>
      </c>
      <c r="D35">
        <v>1064.8975972539999</v>
      </c>
      <c r="E35">
        <v>369.18363844394003</v>
      </c>
      <c r="F35">
        <v>151.49398969661999</v>
      </c>
      <c r="G35">
        <v>123.70978820836</v>
      </c>
      <c r="I35" s="9">
        <f t="shared" si="1"/>
        <v>245.47385023558002</v>
      </c>
      <c r="J35" s="9">
        <f t="shared" si="2"/>
        <v>913.40360755737993</v>
      </c>
      <c r="K35" s="9">
        <f t="shared" si="3"/>
        <v>245.47385023558002</v>
      </c>
      <c r="L35" s="10">
        <f t="shared" si="0"/>
        <v>0.26874631127418597</v>
      </c>
      <c r="M35" s="10">
        <f t="shared" si="4"/>
        <v>0.27877553211098505</v>
      </c>
      <c r="P35" s="8">
        <f t="shared" si="5"/>
        <v>-21.461756478537179</v>
      </c>
    </row>
    <row r="36" spans="1:16" x14ac:dyDescent="0.2">
      <c r="A36" s="8">
        <v>17</v>
      </c>
      <c r="B36" s="8">
        <v>34</v>
      </c>
      <c r="D36">
        <v>1137.6910755148999</v>
      </c>
      <c r="E36">
        <v>388.51029748283997</v>
      </c>
      <c r="F36">
        <v>151.39553520320999</v>
      </c>
      <c r="G36">
        <v>123.42759015455</v>
      </c>
      <c r="I36" s="9">
        <f t="shared" si="1"/>
        <v>265.08270732828998</v>
      </c>
      <c r="J36" s="9">
        <f t="shared" si="2"/>
        <v>986.29554031168993</v>
      </c>
      <c r="K36" s="9">
        <f t="shared" si="3"/>
        <v>265.08270732828998</v>
      </c>
      <c r="L36" s="10">
        <f t="shared" si="0"/>
        <v>0.2687660001428358</v>
      </c>
      <c r="M36" s="10">
        <f t="shared" si="4"/>
        <v>0.2790991367625682</v>
      </c>
      <c r="P36" s="8">
        <f t="shared" si="5"/>
        <v>-21.370588718087539</v>
      </c>
    </row>
    <row r="37" spans="1:16" x14ac:dyDescent="0.2">
      <c r="A37" s="8">
        <v>17.5</v>
      </c>
      <c r="B37" s="8">
        <v>35</v>
      </c>
      <c r="D37">
        <v>1154.2168192219999</v>
      </c>
      <c r="E37">
        <v>393.11899313500999</v>
      </c>
      <c r="F37">
        <v>151.24155695478001</v>
      </c>
      <c r="G37">
        <v>123.7544361763</v>
      </c>
      <c r="I37" s="9">
        <f t="shared" si="1"/>
        <v>269.36455695870995</v>
      </c>
      <c r="J37" s="9">
        <f t="shared" si="2"/>
        <v>1002.9752622672199</v>
      </c>
      <c r="K37" s="9">
        <f t="shared" si="3"/>
        <v>269.36455695870995</v>
      </c>
      <c r="L37" s="10">
        <f t="shared" si="0"/>
        <v>0.26856550414794167</v>
      </c>
      <c r="M37" s="10">
        <f t="shared" si="4"/>
        <v>0.27920255655060738</v>
      </c>
      <c r="P37" s="8">
        <f t="shared" si="5"/>
        <v>-21.34145270160699</v>
      </c>
    </row>
    <row r="38" spans="1:16" x14ac:dyDescent="0.2">
      <c r="A38" s="8">
        <v>18</v>
      </c>
      <c r="B38" s="8">
        <v>36</v>
      </c>
      <c r="D38">
        <v>1148.8752860412001</v>
      </c>
      <c r="E38">
        <v>391.53203661327001</v>
      </c>
      <c r="F38">
        <v>151.4974241557</v>
      </c>
      <c r="G38">
        <v>123.36290784201999</v>
      </c>
      <c r="I38" s="9">
        <f t="shared" si="1"/>
        <v>268.16912877125003</v>
      </c>
      <c r="J38" s="9">
        <f t="shared" si="2"/>
        <v>997.37786188550012</v>
      </c>
      <c r="K38" s="9">
        <f t="shared" si="3"/>
        <v>268.16912877125003</v>
      </c>
      <c r="L38" s="10">
        <f t="shared" si="0"/>
        <v>0.26887415393829556</v>
      </c>
      <c r="M38" s="10">
        <f t="shared" si="4"/>
        <v>0.27981512212389459</v>
      </c>
      <c r="P38" s="8">
        <f t="shared" si="5"/>
        <v>-21.168877211199383</v>
      </c>
    </row>
    <row r="39" spans="1:16" x14ac:dyDescent="0.2">
      <c r="A39" s="8">
        <v>18.5</v>
      </c>
      <c r="B39" s="8">
        <v>37</v>
      </c>
      <c r="D39">
        <v>1161.5806636156001</v>
      </c>
      <c r="E39">
        <v>395.42105263157998</v>
      </c>
      <c r="F39">
        <v>151.21808815112001</v>
      </c>
      <c r="G39">
        <v>123.66342301088</v>
      </c>
      <c r="I39" s="9">
        <f t="shared" si="1"/>
        <v>271.75762962069996</v>
      </c>
      <c r="J39" s="9">
        <f t="shared" si="2"/>
        <v>1010.3625754644801</v>
      </c>
      <c r="K39" s="9">
        <f t="shared" si="3"/>
        <v>271.75762962069996</v>
      </c>
      <c r="L39" s="10">
        <f t="shared" si="0"/>
        <v>0.26897040351654805</v>
      </c>
      <c r="M39" s="10">
        <f t="shared" si="4"/>
        <v>0.28021528748508034</v>
      </c>
      <c r="P39" s="8">
        <f t="shared" si="5"/>
        <v>-21.056140328060195</v>
      </c>
    </row>
    <row r="40" spans="1:16" x14ac:dyDescent="0.2">
      <c r="A40" s="8">
        <v>19</v>
      </c>
      <c r="B40" s="8">
        <v>38</v>
      </c>
      <c r="D40">
        <v>1158.8146453089</v>
      </c>
      <c r="E40">
        <v>394.84553775744001</v>
      </c>
      <c r="F40">
        <v>151.96451058957999</v>
      </c>
      <c r="G40">
        <v>123.46765884373001</v>
      </c>
      <c r="I40" s="9">
        <f t="shared" si="1"/>
        <v>271.37787891370999</v>
      </c>
      <c r="J40" s="9">
        <f t="shared" si="2"/>
        <v>1006.8501347193201</v>
      </c>
      <c r="K40" s="9">
        <f t="shared" si="3"/>
        <v>271.37787891370999</v>
      </c>
      <c r="L40" s="10">
        <f t="shared" si="0"/>
        <v>0.26953155147499891</v>
      </c>
      <c r="M40" s="10">
        <f t="shared" si="4"/>
        <v>0.28108035122646452</v>
      </c>
      <c r="P40" s="8">
        <f t="shared" si="5"/>
        <v>-20.812429603995035</v>
      </c>
    </row>
    <row r="41" spans="1:16" x14ac:dyDescent="0.2">
      <c r="A41" s="8">
        <v>19.5</v>
      </c>
      <c r="B41" s="8">
        <v>39</v>
      </c>
      <c r="D41">
        <v>1137.6887871854001</v>
      </c>
      <c r="E41">
        <v>391.78089244850997</v>
      </c>
      <c r="F41">
        <v>152.13451631368</v>
      </c>
      <c r="G41">
        <v>123.75271894677</v>
      </c>
      <c r="I41" s="9">
        <f t="shared" si="1"/>
        <v>268.02817350173996</v>
      </c>
      <c r="J41" s="9">
        <f t="shared" si="2"/>
        <v>985.55427087172006</v>
      </c>
      <c r="K41" s="9">
        <f t="shared" si="3"/>
        <v>268.02817350173996</v>
      </c>
      <c r="L41" s="10">
        <f t="shared" si="0"/>
        <v>0.27195678758986025</v>
      </c>
      <c r="M41" s="10">
        <f t="shared" si="4"/>
        <v>0.28380950312425918</v>
      </c>
      <c r="P41" s="8">
        <f t="shared" si="5"/>
        <v>-20.043557261673666</v>
      </c>
    </row>
    <row r="42" spans="1:16" x14ac:dyDescent="0.2">
      <c r="A42" s="8">
        <v>20</v>
      </c>
      <c r="B42" s="8">
        <v>40</v>
      </c>
      <c r="D42">
        <v>1126.3644164760001</v>
      </c>
      <c r="E42">
        <v>386.35011441647998</v>
      </c>
      <c r="F42">
        <v>151.75329135660999</v>
      </c>
      <c r="G42">
        <v>123.6536920435</v>
      </c>
      <c r="I42" s="9">
        <f t="shared" si="1"/>
        <v>262.69642237298001</v>
      </c>
      <c r="J42" s="9">
        <f t="shared" si="2"/>
        <v>974.61112511939007</v>
      </c>
      <c r="K42" s="9">
        <f t="shared" si="3"/>
        <v>262.69642237298001</v>
      </c>
      <c r="L42" s="10">
        <f t="shared" si="0"/>
        <v>0.26953973292763267</v>
      </c>
      <c r="M42" s="10">
        <f t="shared" si="4"/>
        <v>0.28169636424496491</v>
      </c>
      <c r="P42" s="8">
        <f t="shared" si="5"/>
        <v>-20.638882879528147</v>
      </c>
    </row>
    <row r="43" spans="1:16" x14ac:dyDescent="0.2">
      <c r="A43" s="8">
        <v>20.5</v>
      </c>
      <c r="B43" s="8">
        <v>41</v>
      </c>
      <c r="D43">
        <v>1115.3798627002</v>
      </c>
      <c r="E43">
        <v>384.76086956521999</v>
      </c>
      <c r="F43">
        <v>152.22781911849</v>
      </c>
      <c r="G43">
        <v>123.83113909559</v>
      </c>
      <c r="I43" s="9">
        <f t="shared" si="1"/>
        <v>260.92973046962999</v>
      </c>
      <c r="J43" s="9">
        <f t="shared" si="2"/>
        <v>963.1520435817099</v>
      </c>
      <c r="K43" s="9">
        <f t="shared" si="3"/>
        <v>260.92973046962999</v>
      </c>
      <c r="L43" s="10">
        <f t="shared" si="0"/>
        <v>0.27091229490548629</v>
      </c>
      <c r="M43" s="10">
        <f t="shared" si="4"/>
        <v>0.28337284200575186</v>
      </c>
      <c r="P43" s="8">
        <f t="shared" si="5"/>
        <v>-20.166575939109205</v>
      </c>
    </row>
    <row r="44" spans="1:16" x14ac:dyDescent="0.2">
      <c r="A44" s="8">
        <v>21</v>
      </c>
      <c r="B44" s="8">
        <v>42</v>
      </c>
      <c r="D44">
        <v>1122.5686498856001</v>
      </c>
      <c r="E44">
        <v>385.80720823798998</v>
      </c>
      <c r="F44">
        <v>151.72753291357</v>
      </c>
      <c r="G44">
        <v>123.83113909559</v>
      </c>
      <c r="I44" s="9">
        <f t="shared" si="1"/>
        <v>261.97606914239998</v>
      </c>
      <c r="J44" s="9">
        <f t="shared" si="2"/>
        <v>970.84111697203002</v>
      </c>
      <c r="K44" s="9">
        <f t="shared" si="3"/>
        <v>261.97606914239998</v>
      </c>
      <c r="L44" s="10">
        <f t="shared" si="0"/>
        <v>0.26984443135194031</v>
      </c>
      <c r="M44" s="10">
        <f t="shared" si="4"/>
        <v>0.28260889423513913</v>
      </c>
      <c r="P44" s="8">
        <f t="shared" si="5"/>
        <v>-20.381799691322058</v>
      </c>
    </row>
    <row r="45" spans="1:16" x14ac:dyDescent="0.2">
      <c r="A45" s="8">
        <v>21.5</v>
      </c>
      <c r="B45" s="8">
        <v>43</v>
      </c>
      <c r="D45">
        <v>1076.5652173912999</v>
      </c>
      <c r="E45">
        <v>375.69736842104999</v>
      </c>
      <c r="F45">
        <v>151.73382942187001</v>
      </c>
      <c r="G45">
        <v>123.77160847167001</v>
      </c>
      <c r="I45" s="9">
        <f t="shared" si="1"/>
        <v>251.92575994937999</v>
      </c>
      <c r="J45" s="9">
        <f t="shared" si="2"/>
        <v>924.8313879694299</v>
      </c>
      <c r="K45" s="9">
        <f t="shared" si="3"/>
        <v>251.92575994937999</v>
      </c>
      <c r="L45" s="10">
        <f t="shared" si="0"/>
        <v>0.27240182721578149</v>
      </c>
      <c r="M45" s="10">
        <f t="shared" si="4"/>
        <v>0.28547020588191363</v>
      </c>
      <c r="P45" s="8">
        <f t="shared" si="5"/>
        <v>-19.575694545710832</v>
      </c>
    </row>
    <row r="46" spans="1:16" x14ac:dyDescent="0.2">
      <c r="A46" s="8">
        <v>22</v>
      </c>
      <c r="B46" s="8">
        <v>44</v>
      </c>
      <c r="D46">
        <v>1086.0955377574001</v>
      </c>
      <c r="E46">
        <v>377.56807780320003</v>
      </c>
      <c r="F46">
        <v>151.93417286777</v>
      </c>
      <c r="G46">
        <v>123.69032627361</v>
      </c>
      <c r="I46" s="9">
        <f t="shared" si="1"/>
        <v>253.87775152959003</v>
      </c>
      <c r="J46" s="9">
        <f t="shared" si="2"/>
        <v>934.16136488963002</v>
      </c>
      <c r="K46" s="9">
        <f t="shared" si="3"/>
        <v>253.87775152959003</v>
      </c>
      <c r="L46" s="10">
        <f t="shared" si="0"/>
        <v>0.27177076795461924</v>
      </c>
      <c r="M46" s="10">
        <f t="shared" si="4"/>
        <v>0.2851430624036847</v>
      </c>
      <c r="P46" s="8">
        <f t="shared" si="5"/>
        <v>-19.667859284721619</v>
      </c>
    </row>
    <row r="47" spans="1:16" x14ac:dyDescent="0.2">
      <c r="A47" s="8">
        <v>22.5</v>
      </c>
      <c r="B47" s="8">
        <v>45</v>
      </c>
      <c r="D47">
        <v>1124.5818077803001</v>
      </c>
      <c r="E47">
        <v>387.34267734553998</v>
      </c>
      <c r="F47">
        <v>151.86033199771001</v>
      </c>
      <c r="G47">
        <v>123.65712650258</v>
      </c>
      <c r="I47" s="9">
        <f t="shared" si="1"/>
        <v>263.68555084295997</v>
      </c>
      <c r="J47" s="9">
        <f t="shared" si="2"/>
        <v>972.72147578259012</v>
      </c>
      <c r="K47" s="9">
        <f t="shared" si="3"/>
        <v>263.68555084295997</v>
      </c>
      <c r="L47" s="10">
        <f t="shared" si="0"/>
        <v>0.27108021916635</v>
      </c>
      <c r="M47" s="10">
        <f t="shared" si="4"/>
        <v>0.28475642939834878</v>
      </c>
      <c r="P47" s="8">
        <f t="shared" si="5"/>
        <v>-19.776783754873534</v>
      </c>
    </row>
    <row r="48" spans="1:16" x14ac:dyDescent="0.2">
      <c r="A48" s="8">
        <v>23</v>
      </c>
      <c r="B48" s="8">
        <v>46</v>
      </c>
      <c r="D48">
        <v>1126.4651029747999</v>
      </c>
      <c r="E48">
        <v>388.62070938214998</v>
      </c>
      <c r="F48">
        <v>152.11161991986</v>
      </c>
      <c r="G48">
        <v>123.90784201488</v>
      </c>
      <c r="I48" s="9">
        <f t="shared" si="1"/>
        <v>264.71286736726995</v>
      </c>
      <c r="J48" s="9">
        <f t="shared" si="2"/>
        <v>974.35348305493994</v>
      </c>
      <c r="K48" s="9">
        <f t="shared" si="3"/>
        <v>264.71286736726995</v>
      </c>
      <c r="L48" s="10">
        <f t="shared" si="0"/>
        <v>0.27168052659626385</v>
      </c>
      <c r="M48" s="10">
        <f t="shared" si="4"/>
        <v>0.28566065261119594</v>
      </c>
      <c r="P48" s="8">
        <f t="shared" si="5"/>
        <v>-19.522040799670144</v>
      </c>
    </row>
    <row r="49" spans="1:25" x14ac:dyDescent="0.2">
      <c r="A49" s="8">
        <v>23.5</v>
      </c>
      <c r="B49" s="8">
        <v>47</v>
      </c>
      <c r="D49">
        <v>1115.8604118993001</v>
      </c>
      <c r="E49">
        <v>387.90045766589998</v>
      </c>
      <c r="F49">
        <v>152.69547796222</v>
      </c>
      <c r="G49">
        <v>123.82713222667</v>
      </c>
      <c r="I49" s="9">
        <f t="shared" si="1"/>
        <v>264.07332543922996</v>
      </c>
      <c r="J49" s="9">
        <f t="shared" si="2"/>
        <v>963.16493393708004</v>
      </c>
      <c r="K49" s="9">
        <f t="shared" si="3"/>
        <v>264.07332543922996</v>
      </c>
      <c r="L49" s="10">
        <f t="shared" si="0"/>
        <v>0.27417248711473635</v>
      </c>
      <c r="M49" s="10">
        <f t="shared" si="4"/>
        <v>0.28845652891260171</v>
      </c>
      <c r="P49" s="8">
        <f t="shared" si="5"/>
        <v>-18.734370475259198</v>
      </c>
    </row>
    <row r="50" spans="1:25" x14ac:dyDescent="0.2">
      <c r="A50" s="8">
        <v>24</v>
      </c>
      <c r="B50" s="8">
        <v>48</v>
      </c>
      <c r="D50">
        <v>1140.9159038902001</v>
      </c>
      <c r="E50">
        <v>393.31636155605997</v>
      </c>
      <c r="F50">
        <v>151.76760160275001</v>
      </c>
      <c r="G50">
        <v>124.12821980538</v>
      </c>
      <c r="I50" s="9">
        <f t="shared" si="1"/>
        <v>269.18814175067996</v>
      </c>
      <c r="J50" s="9">
        <f t="shared" si="2"/>
        <v>989.14830228745006</v>
      </c>
      <c r="K50" s="9">
        <f t="shared" si="3"/>
        <v>269.18814175067996</v>
      </c>
      <c r="L50" s="10">
        <f t="shared" si="0"/>
        <v>0.2721413372779089</v>
      </c>
      <c r="M50" s="10">
        <f t="shared" si="4"/>
        <v>0.28672929485870757</v>
      </c>
      <c r="P50" s="8">
        <f t="shared" si="5"/>
        <v>-19.220976769994188</v>
      </c>
    </row>
    <row r="51" spans="1:25" x14ac:dyDescent="0.2">
      <c r="A51" s="8">
        <v>24.5</v>
      </c>
      <c r="B51" s="8">
        <v>49</v>
      </c>
      <c r="D51">
        <v>1099.0314645308999</v>
      </c>
      <c r="E51">
        <v>383.14988558352002</v>
      </c>
      <c r="F51">
        <v>152.36348025186001</v>
      </c>
      <c r="G51">
        <v>123.93360045793</v>
      </c>
      <c r="I51" s="9">
        <f t="shared" si="1"/>
        <v>259.21628512559005</v>
      </c>
      <c r="J51" s="9">
        <f t="shared" si="2"/>
        <v>946.66798427903996</v>
      </c>
      <c r="K51" s="9">
        <f t="shared" si="3"/>
        <v>259.21628512559005</v>
      </c>
      <c r="L51" s="10">
        <f t="shared" si="0"/>
        <v>0.27381963838462653</v>
      </c>
      <c r="M51" s="10">
        <f t="shared" si="4"/>
        <v>0.28871151174835852</v>
      </c>
      <c r="P51" s="8">
        <f t="shared" si="5"/>
        <v>-18.66253524676257</v>
      </c>
    </row>
    <row r="52" spans="1:25" x14ac:dyDescent="0.2">
      <c r="A52" s="8">
        <v>25</v>
      </c>
      <c r="B52" s="8">
        <v>50</v>
      </c>
      <c r="D52">
        <v>1090.6058352402999</v>
      </c>
      <c r="E52">
        <v>384.55434782609001</v>
      </c>
      <c r="F52">
        <v>152.09559244419</v>
      </c>
      <c r="G52">
        <v>123.82942186606</v>
      </c>
      <c r="I52" s="9">
        <f t="shared" si="1"/>
        <v>260.72492596003002</v>
      </c>
      <c r="J52" s="9">
        <f t="shared" si="2"/>
        <v>938.51024279610988</v>
      </c>
      <c r="K52" s="9">
        <f t="shared" si="3"/>
        <v>260.72492596003002</v>
      </c>
      <c r="L52" s="10">
        <f t="shared" si="0"/>
        <v>0.27780722476000952</v>
      </c>
      <c r="M52" s="10">
        <f t="shared" si="4"/>
        <v>0.29300301390667483</v>
      </c>
      <c r="P52" s="8">
        <f t="shared" si="5"/>
        <v>-17.453508618670458</v>
      </c>
    </row>
    <row r="53" spans="1:25" x14ac:dyDescent="0.2">
      <c r="A53" s="8">
        <v>25.5</v>
      </c>
      <c r="B53" s="8">
        <v>51</v>
      </c>
      <c r="D53">
        <v>1149.9891304348</v>
      </c>
      <c r="E53">
        <v>398.46224256292999</v>
      </c>
      <c r="F53">
        <v>152.12879221522999</v>
      </c>
      <c r="G53">
        <v>123.83514596451001</v>
      </c>
      <c r="I53" s="9">
        <f t="shared" si="1"/>
        <v>274.62709659842</v>
      </c>
      <c r="J53" s="9">
        <f t="shared" si="2"/>
        <v>997.86033821957005</v>
      </c>
      <c r="K53" s="9">
        <f t="shared" si="3"/>
        <v>274.62709659842</v>
      </c>
      <c r="L53" s="10">
        <f t="shared" si="0"/>
        <v>0.27521596568155293</v>
      </c>
      <c r="M53" s="10">
        <f t="shared" si="4"/>
        <v>0.29071567061115156</v>
      </c>
      <c r="P53" s="8">
        <f t="shared" si="5"/>
        <v>-18.097912104875526</v>
      </c>
      <c r="S53" s="11"/>
      <c r="U53" s="12"/>
    </row>
    <row r="54" spans="1:25" x14ac:dyDescent="0.2">
      <c r="A54" s="8">
        <v>26</v>
      </c>
      <c r="B54" s="8">
        <v>52</v>
      </c>
      <c r="D54">
        <v>1171.8112128147</v>
      </c>
      <c r="E54">
        <v>405.20022883295002</v>
      </c>
      <c r="F54">
        <v>152.48311390955999</v>
      </c>
      <c r="G54">
        <v>123.87864911277001</v>
      </c>
      <c r="I54" s="9">
        <f t="shared" si="1"/>
        <v>281.32157972018001</v>
      </c>
      <c r="J54" s="9">
        <f t="shared" si="2"/>
        <v>1019.32809890514</v>
      </c>
      <c r="K54" s="9">
        <f t="shared" si="3"/>
        <v>281.32157972018001</v>
      </c>
      <c r="L54" s="10">
        <f t="shared" si="0"/>
        <v>0.2759872704601663</v>
      </c>
      <c r="M54" s="10">
        <f t="shared" si="4"/>
        <v>0.29179089117269819</v>
      </c>
      <c r="P54" s="8">
        <f t="shared" si="5"/>
        <v>-17.794994794799639</v>
      </c>
      <c r="S54" s="11"/>
    </row>
    <row r="55" spans="1:25" x14ac:dyDescent="0.2">
      <c r="A55" s="8">
        <v>26.5</v>
      </c>
      <c r="B55" s="8">
        <v>53</v>
      </c>
      <c r="D55">
        <v>1167.1704805492</v>
      </c>
      <c r="E55">
        <v>409.71681922197001</v>
      </c>
      <c r="F55">
        <v>152.70177447052001</v>
      </c>
      <c r="G55">
        <v>123.64682312536</v>
      </c>
      <c r="I55" s="9">
        <f t="shared" si="1"/>
        <v>286.06999609661</v>
      </c>
      <c r="J55" s="9">
        <f t="shared" si="2"/>
        <v>1014.4687060786799</v>
      </c>
      <c r="K55" s="9">
        <f t="shared" si="3"/>
        <v>286.06999609661</v>
      </c>
      <c r="L55" s="10">
        <f t="shared" si="0"/>
        <v>0.28198996615911681</v>
      </c>
      <c r="M55" s="10">
        <f t="shared" si="4"/>
        <v>0.29809750265458201</v>
      </c>
      <c r="P55" s="8">
        <f t="shared" si="5"/>
        <v>-16.018259998138021</v>
      </c>
      <c r="S55" s="11"/>
    </row>
    <row r="56" spans="1:25" x14ac:dyDescent="0.2">
      <c r="A56" s="8">
        <v>27</v>
      </c>
      <c r="B56" s="8">
        <v>54</v>
      </c>
      <c r="D56">
        <v>1143.1802059496999</v>
      </c>
      <c r="E56">
        <v>403.36727688786999</v>
      </c>
      <c r="F56">
        <v>152.35088723525999</v>
      </c>
      <c r="G56">
        <v>124.13737836291</v>
      </c>
      <c r="I56" s="9">
        <f t="shared" si="1"/>
        <v>279.22989852495999</v>
      </c>
      <c r="J56" s="9">
        <f t="shared" si="2"/>
        <v>990.82931871443998</v>
      </c>
      <c r="K56" s="9">
        <f t="shared" si="3"/>
        <v>279.22989852495999</v>
      </c>
      <c r="L56" s="10">
        <f t="shared" si="0"/>
        <v>0.28181432790790772</v>
      </c>
      <c r="M56" s="10">
        <f t="shared" si="4"/>
        <v>0.29822578018630624</v>
      </c>
      <c r="P56" s="8">
        <f t="shared" si="5"/>
        <v>-15.982120915383518</v>
      </c>
      <c r="S56" s="11"/>
    </row>
    <row r="57" spans="1:25" x14ac:dyDescent="0.2">
      <c r="A57" s="8">
        <v>27.5</v>
      </c>
      <c r="B57" s="8">
        <v>55</v>
      </c>
      <c r="D57">
        <v>1166.8655606407001</v>
      </c>
      <c r="E57">
        <v>412.48627002287998</v>
      </c>
      <c r="F57">
        <v>153.04064109903001</v>
      </c>
      <c r="G57">
        <v>123.7292501431</v>
      </c>
      <c r="I57" s="9">
        <f t="shared" si="1"/>
        <v>288.75701987977999</v>
      </c>
      <c r="J57" s="9">
        <f t="shared" si="2"/>
        <v>1013.8249195416701</v>
      </c>
      <c r="K57" s="9">
        <f t="shared" si="3"/>
        <v>288.75701987977999</v>
      </c>
      <c r="L57" s="10">
        <f t="shared" si="0"/>
        <v>0.28481941439190628</v>
      </c>
      <c r="M57" s="10">
        <f t="shared" si="4"/>
        <v>0.30153478245323811</v>
      </c>
      <c r="P57" s="8">
        <f t="shared" si="5"/>
        <v>-15.049889797805005</v>
      </c>
      <c r="S57" s="11"/>
    </row>
    <row r="58" spans="1:25" x14ac:dyDescent="0.2">
      <c r="A58" s="8">
        <v>28</v>
      </c>
      <c r="B58" s="8">
        <v>56</v>
      </c>
      <c r="D58">
        <v>1174.8764302059999</v>
      </c>
      <c r="E58">
        <v>413.97082379863002</v>
      </c>
      <c r="F58">
        <v>152.75329135660999</v>
      </c>
      <c r="G58">
        <v>123.97710360617999</v>
      </c>
      <c r="I58" s="9">
        <f t="shared" si="1"/>
        <v>289.99372019245004</v>
      </c>
      <c r="J58" s="9">
        <f t="shared" si="2"/>
        <v>1022.1231388493899</v>
      </c>
      <c r="K58" s="9">
        <f t="shared" si="3"/>
        <v>289.99372019245004</v>
      </c>
      <c r="L58" s="10">
        <f t="shared" si="0"/>
        <v>0.28371700939956973</v>
      </c>
      <c r="M58" s="10">
        <f t="shared" si="4"/>
        <v>0.30073629324383483</v>
      </c>
      <c r="P58" s="8">
        <f t="shared" si="5"/>
        <v>-15.274844762476757</v>
      </c>
      <c r="S58" s="11"/>
    </row>
    <row r="59" spans="1:25" x14ac:dyDescent="0.2">
      <c r="A59" s="8">
        <v>28.5</v>
      </c>
      <c r="B59" s="8">
        <v>57</v>
      </c>
      <c r="D59">
        <v>1188.1790617849001</v>
      </c>
      <c r="E59">
        <v>415.18993135010999</v>
      </c>
      <c r="F59">
        <v>152.33485975958999</v>
      </c>
      <c r="G59">
        <v>123.98740698340001</v>
      </c>
      <c r="I59" s="9">
        <f t="shared" si="1"/>
        <v>291.20252436671001</v>
      </c>
      <c r="J59" s="9">
        <f t="shared" si="2"/>
        <v>1035.8442020253101</v>
      </c>
      <c r="K59" s="9">
        <f t="shared" si="3"/>
        <v>291.20252436671001</v>
      </c>
      <c r="L59" s="10">
        <f t="shared" si="0"/>
        <v>0.28112579459086906</v>
      </c>
      <c r="M59" s="10">
        <f t="shared" si="4"/>
        <v>0.29844899421806748</v>
      </c>
      <c r="P59" s="8">
        <f t="shared" si="5"/>
        <v>-15.919235776752011</v>
      </c>
      <c r="R59" s="1"/>
      <c r="S59" s="11"/>
    </row>
    <row r="60" spans="1:25" x14ac:dyDescent="0.2">
      <c r="A60" s="8">
        <v>29</v>
      </c>
      <c r="B60" s="8">
        <v>58</v>
      </c>
      <c r="D60">
        <v>1185.1670480549001</v>
      </c>
      <c r="E60">
        <v>416.77574370708999</v>
      </c>
      <c r="F60">
        <v>152.314825415</v>
      </c>
      <c r="G60">
        <v>124.04064109903</v>
      </c>
      <c r="I60" s="9">
        <f t="shared" si="1"/>
        <v>292.73510260806</v>
      </c>
      <c r="J60" s="9">
        <f t="shared" si="2"/>
        <v>1032.8522226399</v>
      </c>
      <c r="K60" s="9">
        <f t="shared" si="3"/>
        <v>292.73510260806</v>
      </c>
      <c r="L60" s="10">
        <f t="shared" si="0"/>
        <v>0.28342399444118832</v>
      </c>
      <c r="M60" s="10">
        <f t="shared" si="4"/>
        <v>0.30105110985132005</v>
      </c>
      <c r="P60" s="8">
        <f t="shared" si="5"/>
        <v>-15.186152820267743</v>
      </c>
      <c r="S60" s="11"/>
    </row>
    <row r="61" spans="1:25" x14ac:dyDescent="0.2">
      <c r="A61" s="8">
        <v>29.5</v>
      </c>
      <c r="B61" s="8">
        <v>59</v>
      </c>
      <c r="C61" s="2"/>
      <c r="D61">
        <v>1175.1979405034001</v>
      </c>
      <c r="E61">
        <v>419.19622425629001</v>
      </c>
      <c r="F61">
        <v>153.24098454493</v>
      </c>
      <c r="G61">
        <v>124.30337721809001</v>
      </c>
      <c r="I61" s="9">
        <f t="shared" si="1"/>
        <v>294.89284703819999</v>
      </c>
      <c r="J61" s="9">
        <f t="shared" si="2"/>
        <v>1021.9569559584701</v>
      </c>
      <c r="K61" s="9">
        <f t="shared" si="3"/>
        <v>294.89284703819999</v>
      </c>
      <c r="L61" s="10">
        <f t="shared" si="0"/>
        <v>0.28855701340339401</v>
      </c>
      <c r="M61" s="10">
        <f t="shared" si="4"/>
        <v>0.30648804459645906</v>
      </c>
      <c r="P61" s="8">
        <f t="shared" si="5"/>
        <v>-13.654428347210215</v>
      </c>
      <c r="S61" s="11"/>
    </row>
    <row r="62" spans="1:25" x14ac:dyDescent="0.2">
      <c r="A62" s="8">
        <v>30</v>
      </c>
      <c r="B62" s="8">
        <v>60</v>
      </c>
      <c r="D62">
        <v>1158.2351258581</v>
      </c>
      <c r="E62">
        <v>424.17620137300003</v>
      </c>
      <c r="F62">
        <v>152.70349170006</v>
      </c>
      <c r="G62">
        <v>123.82770463652</v>
      </c>
      <c r="I62" s="9">
        <f t="shared" si="1"/>
        <v>300.34849673648</v>
      </c>
      <c r="J62" s="9">
        <f t="shared" si="2"/>
        <v>1005.53163415804</v>
      </c>
      <c r="K62" s="9">
        <f t="shared" si="3"/>
        <v>300.34849673648</v>
      </c>
      <c r="L62" s="10">
        <f t="shared" si="0"/>
        <v>0.29869621853117556</v>
      </c>
      <c r="M62" s="10">
        <f t="shared" si="4"/>
        <v>0.31693116550717393</v>
      </c>
      <c r="P62" s="8">
        <f t="shared" si="5"/>
        <v>-10.712332364111973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1191.471395881</v>
      </c>
      <c r="E63">
        <v>433.45022883295002</v>
      </c>
      <c r="F63">
        <v>152.72467086434</v>
      </c>
      <c r="G63">
        <v>123.97767601603</v>
      </c>
      <c r="I63" s="9">
        <f t="shared" si="1"/>
        <v>309.47255281692003</v>
      </c>
      <c r="J63" s="9">
        <f t="shared" si="2"/>
        <v>1038.7467250166601</v>
      </c>
      <c r="K63" s="9">
        <f t="shared" si="3"/>
        <v>309.47255281692003</v>
      </c>
      <c r="L63" s="10">
        <f t="shared" si="0"/>
        <v>0.29792878799397082</v>
      </c>
      <c r="M63" s="10">
        <f t="shared" si="4"/>
        <v>0.31646765075290245</v>
      </c>
      <c r="P63" s="8">
        <f t="shared" si="5"/>
        <v>-10.84291640199759</v>
      </c>
    </row>
    <row r="64" spans="1:25" x14ac:dyDescent="0.2">
      <c r="A64" s="8">
        <v>31</v>
      </c>
      <c r="B64" s="8">
        <v>62</v>
      </c>
      <c r="D64">
        <v>1198.3100686498999</v>
      </c>
      <c r="E64">
        <v>429.37414187642997</v>
      </c>
      <c r="F64">
        <v>152.60503720663999</v>
      </c>
      <c r="G64">
        <v>123.79507727533</v>
      </c>
      <c r="I64" s="9">
        <f t="shared" si="1"/>
        <v>305.57906460109996</v>
      </c>
      <c r="J64" s="9">
        <f t="shared" si="2"/>
        <v>1045.7050314432599</v>
      </c>
      <c r="K64" s="9">
        <f t="shared" si="3"/>
        <v>305.57906460109996</v>
      </c>
      <c r="L64" s="10">
        <f t="shared" si="0"/>
        <v>0.292223003057895</v>
      </c>
      <c r="M64" s="10">
        <f t="shared" si="4"/>
        <v>0.31106578159975995</v>
      </c>
      <c r="P64" s="8">
        <f t="shared" si="5"/>
        <v>-12.364761995145564</v>
      </c>
      <c r="U64" s="8">
        <v>30.5</v>
      </c>
      <c r="V64" s="10">
        <f>L62</f>
        <v>0.29869621853117556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1196.9542334096</v>
      </c>
      <c r="E65">
        <v>434.50800915332002</v>
      </c>
      <c r="F65">
        <v>153.07441327991</v>
      </c>
      <c r="G65">
        <v>124.47738981111</v>
      </c>
      <c r="I65" s="9">
        <f t="shared" si="1"/>
        <v>310.03061934221</v>
      </c>
      <c r="J65" s="9">
        <f t="shared" si="2"/>
        <v>1043.87982012969</v>
      </c>
      <c r="K65" s="9">
        <f t="shared" si="3"/>
        <v>310.03061934221</v>
      </c>
      <c r="L65" s="10">
        <f t="shared" si="0"/>
        <v>0.29699838368720671</v>
      </c>
      <c r="M65" s="10">
        <f t="shared" si="4"/>
        <v>0.31614507801200498</v>
      </c>
      <c r="P65" s="8">
        <f t="shared" si="5"/>
        <v>-10.933793446644053</v>
      </c>
      <c r="U65" s="8">
        <v>31</v>
      </c>
      <c r="V65" s="10">
        <f t="shared" ref="V65:V83" si="6">L63</f>
        <v>0.29792878799397082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1199.6967963387001</v>
      </c>
      <c r="E66">
        <v>432.65961098397997</v>
      </c>
      <c r="F66">
        <v>153.18946765883999</v>
      </c>
      <c r="G66">
        <v>124.07097882084</v>
      </c>
      <c r="I66" s="9">
        <f t="shared" si="1"/>
        <v>308.58863216314001</v>
      </c>
      <c r="J66" s="9">
        <f t="shared" si="2"/>
        <v>1046.5073286798602</v>
      </c>
      <c r="K66" s="9">
        <f t="shared" si="3"/>
        <v>308.58863216314001</v>
      </c>
      <c r="L66" s="10">
        <f t="shared" ref="L66:L129" si="7">K66/J66</f>
        <v>0.29487479323476501</v>
      </c>
      <c r="M66" s="10">
        <f t="shared" si="4"/>
        <v>0.31432540334249659</v>
      </c>
      <c r="P66" s="8">
        <f t="shared" si="5"/>
        <v>-11.446442642366119</v>
      </c>
      <c r="U66" s="8">
        <v>31.5</v>
      </c>
      <c r="V66" s="10">
        <f t="shared" si="6"/>
        <v>0.292223003057895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1200.1905034325</v>
      </c>
      <c r="E67">
        <v>455.23283752859999</v>
      </c>
      <c r="F67">
        <v>152.29135661133</v>
      </c>
      <c r="G67">
        <v>124.33829421866</v>
      </c>
      <c r="I67" s="9">
        <f t="shared" ref="I67:I130" si="8">E67-G67</f>
        <v>330.89454330993999</v>
      </c>
      <c r="J67" s="9">
        <f t="shared" ref="J67:J130" si="9">D67-F67</f>
        <v>1047.89914682117</v>
      </c>
      <c r="K67" s="9">
        <f t="shared" ref="K67:K130" si="10">I67*1</f>
        <v>330.89454330993999</v>
      </c>
      <c r="L67" s="10">
        <f t="shared" si="7"/>
        <v>0.31576945578562349</v>
      </c>
      <c r="M67" s="10">
        <f t="shared" ref="M67:M130" si="11">L67+ABS($N$2)*A67</f>
        <v>0.33552398167628839</v>
      </c>
      <c r="P67" s="8">
        <f t="shared" ref="P67:P130" si="12">(M67-$O$2)/$O$2*100</f>
        <v>-5.4742574405984028</v>
      </c>
      <c r="U67" s="8">
        <v>32</v>
      </c>
      <c r="V67" s="10">
        <f t="shared" si="6"/>
        <v>0.29699838368720671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1191.8770022883</v>
      </c>
      <c r="E68">
        <v>453.19851258581002</v>
      </c>
      <c r="F68">
        <v>152.81167716085</v>
      </c>
      <c r="G68">
        <v>124.11734401832</v>
      </c>
      <c r="I68" s="9">
        <f t="shared" si="8"/>
        <v>329.08116856749001</v>
      </c>
      <c r="J68" s="9">
        <f t="shared" si="9"/>
        <v>1039.06532512745</v>
      </c>
      <c r="K68" s="9">
        <f t="shared" si="10"/>
        <v>329.08116856749001</v>
      </c>
      <c r="L68" s="10">
        <f t="shared" si="7"/>
        <v>0.31670883495907776</v>
      </c>
      <c r="M68" s="10">
        <f t="shared" si="11"/>
        <v>0.33676727663267592</v>
      </c>
      <c r="P68" s="8">
        <f t="shared" si="12"/>
        <v>-5.1239892469934638</v>
      </c>
      <c r="U68" s="8">
        <v>32.5</v>
      </c>
      <c r="V68" s="10">
        <f t="shared" si="6"/>
        <v>0.29487479323476501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1179.3655606407001</v>
      </c>
      <c r="E69">
        <v>452.86670480548997</v>
      </c>
      <c r="F69">
        <v>153.29307384086999</v>
      </c>
      <c r="G69">
        <v>124.41843159702</v>
      </c>
      <c r="I69" s="9">
        <f t="shared" si="8"/>
        <v>328.44827320846997</v>
      </c>
      <c r="J69" s="9">
        <f t="shared" si="9"/>
        <v>1026.0724867998301</v>
      </c>
      <c r="K69" s="9">
        <f t="shared" si="10"/>
        <v>328.44827320846997</v>
      </c>
      <c r="L69" s="10">
        <f t="shared" si="7"/>
        <v>0.32010240741650919</v>
      </c>
      <c r="M69" s="10">
        <f t="shared" si="11"/>
        <v>0.34046476487304067</v>
      </c>
      <c r="P69" s="8">
        <f t="shared" si="12"/>
        <v>-4.0823116304517733</v>
      </c>
      <c r="U69" s="8">
        <v>33</v>
      </c>
      <c r="V69" s="10">
        <f t="shared" si="6"/>
        <v>0.31576945578562349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1170.4467963387001</v>
      </c>
      <c r="E70">
        <v>450.61155606406999</v>
      </c>
      <c r="F70">
        <v>153.15455065827001</v>
      </c>
      <c r="G70">
        <v>124.21637092157999</v>
      </c>
      <c r="I70" s="9">
        <f t="shared" si="8"/>
        <v>326.39518514248999</v>
      </c>
      <c r="J70" s="9">
        <f t="shared" si="9"/>
        <v>1017.2922456804301</v>
      </c>
      <c r="K70" s="9">
        <f t="shared" si="10"/>
        <v>326.39518514248999</v>
      </c>
      <c r="L70" s="10">
        <f t="shared" si="7"/>
        <v>0.32084701965281964</v>
      </c>
      <c r="M70" s="10">
        <f t="shared" si="11"/>
        <v>0.34151329289228444</v>
      </c>
      <c r="P70" s="8">
        <f t="shared" si="12"/>
        <v>-3.7869142966511187</v>
      </c>
      <c r="U70" s="8">
        <v>33.5</v>
      </c>
      <c r="V70" s="10">
        <f t="shared" si="6"/>
        <v>0.31670883495907776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1166.7133867277</v>
      </c>
      <c r="E71">
        <v>460.57208237985998</v>
      </c>
      <c r="F71">
        <v>153.18889524900001</v>
      </c>
      <c r="G71">
        <v>124.26502575844</v>
      </c>
      <c r="I71" s="9">
        <f t="shared" si="8"/>
        <v>336.30705662141997</v>
      </c>
      <c r="J71" s="9">
        <f t="shared" si="9"/>
        <v>1013.5244914787</v>
      </c>
      <c r="K71" s="9">
        <f t="shared" si="10"/>
        <v>336.30705662141997</v>
      </c>
      <c r="L71" s="10">
        <f t="shared" si="7"/>
        <v>0.33181936840101284</v>
      </c>
      <c r="M71" s="10">
        <f t="shared" si="11"/>
        <v>0.35278955742341095</v>
      </c>
      <c r="P71" s="8">
        <f t="shared" si="12"/>
        <v>-0.61010030924038361</v>
      </c>
      <c r="U71" s="8">
        <v>34</v>
      </c>
      <c r="V71" s="10">
        <f t="shared" si="6"/>
        <v>0.32010240741650919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1206.1058352402999</v>
      </c>
      <c r="E72">
        <v>482.78203661327001</v>
      </c>
      <c r="F72">
        <v>153.00400686891999</v>
      </c>
      <c r="G72">
        <v>124.46365197481001</v>
      </c>
      <c r="I72" s="9">
        <f t="shared" si="8"/>
        <v>358.31838463845997</v>
      </c>
      <c r="J72" s="9">
        <f t="shared" si="9"/>
        <v>1053.10182837138</v>
      </c>
      <c r="K72" s="9">
        <f t="shared" si="10"/>
        <v>358.31838463845997</v>
      </c>
      <c r="L72" s="10">
        <f t="shared" si="7"/>
        <v>0.3402504629515255</v>
      </c>
      <c r="M72" s="10">
        <f t="shared" si="11"/>
        <v>0.36152456775685693</v>
      </c>
      <c r="P72" s="8">
        <f t="shared" si="12"/>
        <v>1.8507769547569244</v>
      </c>
      <c r="U72" s="8">
        <v>34.5</v>
      </c>
      <c r="V72" s="10">
        <f t="shared" si="6"/>
        <v>0.32084701965281964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1217.5257437071</v>
      </c>
      <c r="E73">
        <v>477.75686498855998</v>
      </c>
      <c r="F73">
        <v>153.35775615341001</v>
      </c>
      <c r="G73">
        <v>124.18088151116</v>
      </c>
      <c r="I73" s="9">
        <f t="shared" si="8"/>
        <v>353.57598347739997</v>
      </c>
      <c r="J73" s="9">
        <f t="shared" si="9"/>
        <v>1064.16798755369</v>
      </c>
      <c r="K73" s="9">
        <f t="shared" si="10"/>
        <v>353.57598347739997</v>
      </c>
      <c r="L73" s="10">
        <f t="shared" si="7"/>
        <v>0.33225579759282242</v>
      </c>
      <c r="M73" s="10">
        <f t="shared" si="11"/>
        <v>0.35383381818108711</v>
      </c>
      <c r="P73" s="8">
        <f t="shared" si="12"/>
        <v>-0.3159051728694251</v>
      </c>
      <c r="U73" s="8">
        <v>35</v>
      </c>
      <c r="V73" s="10">
        <f t="shared" si="6"/>
        <v>0.33181936840101284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1207.0537757437</v>
      </c>
      <c r="E74">
        <v>504.45194508009001</v>
      </c>
      <c r="F74">
        <v>152.98397252433</v>
      </c>
      <c r="G74">
        <v>124.42759015455</v>
      </c>
      <c r="I74" s="9">
        <f t="shared" si="8"/>
        <v>380.02435492554002</v>
      </c>
      <c r="J74" s="9">
        <f t="shared" si="9"/>
        <v>1054.06980321937</v>
      </c>
      <c r="K74" s="9">
        <f t="shared" si="10"/>
        <v>380.02435492554002</v>
      </c>
      <c r="L74" s="10">
        <f t="shared" si="7"/>
        <v>0.36053053959506176</v>
      </c>
      <c r="M74" s="10">
        <f t="shared" si="11"/>
        <v>0.38241247596625977</v>
      </c>
      <c r="P74" s="8">
        <f t="shared" si="12"/>
        <v>7.735438385340915</v>
      </c>
      <c r="U74" s="8">
        <v>35.5</v>
      </c>
      <c r="V74" s="10">
        <f t="shared" si="6"/>
        <v>0.3402504629515255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1197.2602974828001</v>
      </c>
      <c r="E75">
        <v>502.37013729977002</v>
      </c>
      <c r="F75">
        <v>152.93817973668999</v>
      </c>
      <c r="G75">
        <v>124.45964510589999</v>
      </c>
      <c r="I75" s="9">
        <f t="shared" si="8"/>
        <v>377.91049219387003</v>
      </c>
      <c r="J75" s="9">
        <f t="shared" si="9"/>
        <v>1044.3221177461101</v>
      </c>
      <c r="K75" s="9">
        <f t="shared" si="10"/>
        <v>377.91049219387003</v>
      </c>
      <c r="L75" s="10">
        <f t="shared" si="7"/>
        <v>0.3618715775258009</v>
      </c>
      <c r="M75" s="10">
        <f t="shared" si="11"/>
        <v>0.38405742967993223</v>
      </c>
      <c r="P75" s="8">
        <f t="shared" si="12"/>
        <v>8.198864190208571</v>
      </c>
      <c r="U75" s="8">
        <v>36</v>
      </c>
      <c r="V75" s="10">
        <f t="shared" si="6"/>
        <v>0.33225579759282242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1194.7923340960999</v>
      </c>
      <c r="E76">
        <v>496.13558352402998</v>
      </c>
      <c r="F76">
        <v>152.91070406411001</v>
      </c>
      <c r="G76">
        <v>123.85518030910001</v>
      </c>
      <c r="I76" s="9">
        <f t="shared" si="8"/>
        <v>372.28040321492995</v>
      </c>
      <c r="J76" s="9">
        <f t="shared" si="9"/>
        <v>1041.88163003199</v>
      </c>
      <c r="K76" s="9">
        <f t="shared" si="10"/>
        <v>372.28040321492995</v>
      </c>
      <c r="L76" s="10">
        <f t="shared" si="7"/>
        <v>0.35731544974403612</v>
      </c>
      <c r="M76" s="10">
        <f t="shared" si="11"/>
        <v>0.37980521768110076</v>
      </c>
      <c r="P76" s="8">
        <f t="shared" si="12"/>
        <v>7.0009066114345613</v>
      </c>
      <c r="U76" s="8">
        <v>36.5</v>
      </c>
      <c r="V76" s="10">
        <f t="shared" si="6"/>
        <v>0.36053053959506176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1194.4845537757001</v>
      </c>
      <c r="E77">
        <v>500.02459954233001</v>
      </c>
      <c r="F77">
        <v>152.62907842014999</v>
      </c>
      <c r="G77">
        <v>124.31654264453</v>
      </c>
      <c r="I77" s="9">
        <f t="shared" si="8"/>
        <v>375.70805689780002</v>
      </c>
      <c r="J77" s="9">
        <f t="shared" si="9"/>
        <v>1041.85547535555</v>
      </c>
      <c r="K77" s="9">
        <f t="shared" si="10"/>
        <v>375.70805689780002</v>
      </c>
      <c r="L77" s="10">
        <f t="shared" si="7"/>
        <v>0.36061437098037386</v>
      </c>
      <c r="M77" s="10">
        <f t="shared" si="11"/>
        <v>0.38340805470037181</v>
      </c>
      <c r="P77" s="8">
        <f t="shared" si="12"/>
        <v>8.0159185425211099</v>
      </c>
      <c r="U77" s="8">
        <v>37</v>
      </c>
      <c r="V77" s="10">
        <f t="shared" si="6"/>
        <v>0.3618715775258009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1231.3146453089</v>
      </c>
      <c r="E78">
        <v>527.63501144165002</v>
      </c>
      <c r="F78">
        <v>153.27132226673999</v>
      </c>
      <c r="G78">
        <v>124.27132226674</v>
      </c>
      <c r="I78" s="9">
        <f t="shared" si="8"/>
        <v>403.36368917491001</v>
      </c>
      <c r="J78" s="9">
        <f t="shared" si="9"/>
        <v>1078.04332304216</v>
      </c>
      <c r="K78" s="9">
        <f t="shared" si="10"/>
        <v>403.36368917491001</v>
      </c>
      <c r="L78" s="10">
        <f t="shared" si="7"/>
        <v>0.37416278228656619</v>
      </c>
      <c r="M78" s="10">
        <f t="shared" si="11"/>
        <v>0.39726038178949741</v>
      </c>
      <c r="P78" s="8">
        <f t="shared" si="12"/>
        <v>11.918475664469591</v>
      </c>
      <c r="U78" s="8">
        <v>37.5</v>
      </c>
      <c r="V78" s="10">
        <f t="shared" si="6"/>
        <v>0.35731544974403612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1243.4370709381999</v>
      </c>
      <c r="E79">
        <v>522.91304347825997</v>
      </c>
      <c r="F79">
        <v>153.40812821981001</v>
      </c>
      <c r="G79">
        <v>124.36863194047</v>
      </c>
      <c r="I79" s="9">
        <f t="shared" si="8"/>
        <v>398.54441153778998</v>
      </c>
      <c r="J79" s="9">
        <f t="shared" si="9"/>
        <v>1090.0289427183898</v>
      </c>
      <c r="K79" s="9">
        <f t="shared" si="10"/>
        <v>398.54441153778998</v>
      </c>
      <c r="L79" s="10">
        <f t="shared" si="7"/>
        <v>0.36562736631916609</v>
      </c>
      <c r="M79" s="10">
        <f t="shared" si="11"/>
        <v>0.38902888160503063</v>
      </c>
      <c r="P79" s="8">
        <f t="shared" si="12"/>
        <v>9.5994501705921689</v>
      </c>
      <c r="U79" s="8">
        <v>38</v>
      </c>
      <c r="V79" s="10">
        <f t="shared" si="6"/>
        <v>0.36061437098037386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1240.6338672769</v>
      </c>
      <c r="E80">
        <v>518.44508009153003</v>
      </c>
      <c r="F80">
        <v>153.59816828850001</v>
      </c>
      <c r="G80">
        <v>124.51745850029</v>
      </c>
      <c r="I80" s="9">
        <f t="shared" si="8"/>
        <v>393.92762159124004</v>
      </c>
      <c r="J80" s="9">
        <f t="shared" si="9"/>
        <v>1087.0356989883999</v>
      </c>
      <c r="K80" s="9">
        <f t="shared" si="10"/>
        <v>393.92762159124004</v>
      </c>
      <c r="L80" s="10">
        <f t="shared" si="7"/>
        <v>0.36238701448152144</v>
      </c>
      <c r="M80" s="10">
        <f t="shared" si="11"/>
        <v>0.3860924455503193</v>
      </c>
      <c r="P80" s="8">
        <f t="shared" si="12"/>
        <v>8.7721805454433319</v>
      </c>
      <c r="U80" s="8">
        <v>38.5</v>
      </c>
      <c r="V80" s="10">
        <f t="shared" si="6"/>
        <v>0.37416278228656619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1232.1378718536</v>
      </c>
      <c r="E81">
        <v>529.50800915332002</v>
      </c>
      <c r="F81">
        <v>154.00343445907001</v>
      </c>
      <c r="G81">
        <v>124.4785346308</v>
      </c>
      <c r="I81" s="9">
        <f t="shared" si="8"/>
        <v>405.02947452251999</v>
      </c>
      <c r="J81" s="9">
        <f t="shared" si="9"/>
        <v>1078.1344373945301</v>
      </c>
      <c r="K81" s="9">
        <f t="shared" si="10"/>
        <v>405.02947452251999</v>
      </c>
      <c r="L81" s="10">
        <f t="shared" si="7"/>
        <v>0.3756762241092429</v>
      </c>
      <c r="M81" s="10">
        <f t="shared" si="11"/>
        <v>0.39968557096097407</v>
      </c>
      <c r="P81" s="8">
        <f t="shared" si="12"/>
        <v>12.601713882302922</v>
      </c>
      <c r="U81" s="8">
        <v>39</v>
      </c>
      <c r="V81" s="10">
        <f t="shared" si="6"/>
        <v>0.36562736631916609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1256.2808924485</v>
      </c>
      <c r="E82">
        <v>555.98855835239999</v>
      </c>
      <c r="F82">
        <v>153.20492272467001</v>
      </c>
      <c r="G82">
        <v>124.48025186033</v>
      </c>
      <c r="H82" s="13"/>
      <c r="I82" s="14">
        <f t="shared" si="8"/>
        <v>431.50830649207001</v>
      </c>
      <c r="J82" s="14">
        <f t="shared" si="9"/>
        <v>1103.07596972383</v>
      </c>
      <c r="K82" s="9">
        <f t="shared" si="10"/>
        <v>431.50830649207001</v>
      </c>
      <c r="L82" s="15">
        <f t="shared" si="7"/>
        <v>0.39118639000005045</v>
      </c>
      <c r="M82" s="15">
        <f t="shared" si="11"/>
        <v>0.41549965263471489</v>
      </c>
      <c r="N82" s="13"/>
      <c r="O82" s="13"/>
      <c r="P82" s="13">
        <f t="shared" si="12"/>
        <v>17.056947769422166</v>
      </c>
      <c r="U82" s="8">
        <v>39.5</v>
      </c>
      <c r="V82" s="10">
        <f t="shared" si="6"/>
        <v>0.36238701448152144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1209.5469107552001</v>
      </c>
      <c r="E83">
        <v>533.36498855834998</v>
      </c>
      <c r="F83">
        <v>153.26273611906001</v>
      </c>
      <c r="G83">
        <v>124.60904407556001</v>
      </c>
      <c r="I83" s="9">
        <f t="shared" si="8"/>
        <v>408.75594448278997</v>
      </c>
      <c r="J83" s="9">
        <f t="shared" si="9"/>
        <v>1056.2841746361401</v>
      </c>
      <c r="K83" s="9">
        <f t="shared" si="10"/>
        <v>408.75594448278997</v>
      </c>
      <c r="L83" s="10">
        <f t="shared" si="7"/>
        <v>0.38697535596762567</v>
      </c>
      <c r="M83" s="10">
        <f t="shared" si="11"/>
        <v>0.41159253438522342</v>
      </c>
      <c r="P83" s="8">
        <f t="shared" si="12"/>
        <v>15.956211983099472</v>
      </c>
      <c r="U83" s="8">
        <v>40</v>
      </c>
      <c r="V83" s="10">
        <f t="shared" si="6"/>
        <v>0.3756762241092429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1267.0308924485</v>
      </c>
      <c r="E84">
        <v>580.92677345538004</v>
      </c>
      <c r="F84">
        <v>153.19977103606001</v>
      </c>
      <c r="G84">
        <v>124.5100171723</v>
      </c>
      <c r="I84" s="9">
        <f t="shared" si="8"/>
        <v>456.41675628308008</v>
      </c>
      <c r="J84" s="9">
        <f t="shared" si="9"/>
        <v>1113.8311214124401</v>
      </c>
      <c r="K84" s="9">
        <f t="shared" si="10"/>
        <v>456.41675628308008</v>
      </c>
      <c r="L84" s="10">
        <f t="shared" si="7"/>
        <v>0.40977195510958764</v>
      </c>
      <c r="M84" s="10">
        <f t="shared" si="11"/>
        <v>0.43469304931011871</v>
      </c>
      <c r="P84" s="8">
        <f t="shared" si="12"/>
        <v>22.464221681455353</v>
      </c>
      <c r="U84" s="8">
        <v>150.5</v>
      </c>
      <c r="V84" s="10">
        <f>L302</f>
        <v>0.25909673574696096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1298.2826086957</v>
      </c>
      <c r="E85">
        <v>657.72654462242997</v>
      </c>
      <c r="F85">
        <v>153.90784201488</v>
      </c>
      <c r="G85">
        <v>124.27876359472999</v>
      </c>
      <c r="I85" s="9">
        <f t="shared" si="8"/>
        <v>533.44778102769999</v>
      </c>
      <c r="J85" s="9">
        <f t="shared" si="9"/>
        <v>1144.3747666808199</v>
      </c>
      <c r="K85" s="9">
        <f t="shared" si="10"/>
        <v>533.44778102769999</v>
      </c>
      <c r="L85" s="10">
        <f t="shared" si="7"/>
        <v>0.46614780101708159</v>
      </c>
      <c r="M85" s="10">
        <f t="shared" si="11"/>
        <v>0.49137281100054597</v>
      </c>
      <c r="P85" s="8">
        <f t="shared" si="12"/>
        <v>38.432369576906346</v>
      </c>
      <c r="U85" s="8">
        <v>151</v>
      </c>
      <c r="V85" s="10">
        <f t="shared" ref="V85:V103" si="13">L303</f>
        <v>0.2603436340143096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1295.6617312072999</v>
      </c>
      <c r="E86">
        <v>672.24316628702002</v>
      </c>
      <c r="F86">
        <v>153.83743560388999</v>
      </c>
      <c r="G86">
        <v>125.08299942759</v>
      </c>
      <c r="I86" s="9">
        <f t="shared" si="8"/>
        <v>547.16016685942998</v>
      </c>
      <c r="J86" s="9">
        <f t="shared" si="9"/>
        <v>1141.8242956034098</v>
      </c>
      <c r="K86" s="9">
        <f t="shared" si="10"/>
        <v>547.16016685942998</v>
      </c>
      <c r="L86" s="10">
        <f t="shared" si="7"/>
        <v>0.47919821724434147</v>
      </c>
      <c r="M86" s="10">
        <f t="shared" si="11"/>
        <v>0.50472714301073918</v>
      </c>
      <c r="P86" s="8">
        <f t="shared" si="12"/>
        <v>42.194628665933806</v>
      </c>
      <c r="U86" s="8">
        <v>151.5</v>
      </c>
      <c r="V86" s="10">
        <f t="shared" si="13"/>
        <v>0.25947219670936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1256.9305239180001</v>
      </c>
      <c r="E87">
        <v>642.64066059226002</v>
      </c>
      <c r="F87">
        <v>153.57355466513999</v>
      </c>
      <c r="G87">
        <v>125.03777904979999</v>
      </c>
      <c r="I87" s="9">
        <f t="shared" si="8"/>
        <v>517.60288154246007</v>
      </c>
      <c r="J87" s="9">
        <f t="shared" si="9"/>
        <v>1103.3569692528602</v>
      </c>
      <c r="K87" s="9">
        <f t="shared" si="10"/>
        <v>517.60288154246007</v>
      </c>
      <c r="L87" s="10">
        <f t="shared" si="7"/>
        <v>0.46911642919422136</v>
      </c>
      <c r="M87" s="10">
        <f t="shared" si="11"/>
        <v>0.49494927074355233</v>
      </c>
      <c r="P87" s="8">
        <f t="shared" si="12"/>
        <v>39.439950350276064</v>
      </c>
      <c r="U87" s="8">
        <v>152</v>
      </c>
      <c r="V87" s="10">
        <f t="shared" si="13"/>
        <v>0.2612997497991702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1225.9612756264</v>
      </c>
      <c r="E88">
        <v>629.79726651480996</v>
      </c>
      <c r="F88">
        <v>153.51230681167999</v>
      </c>
      <c r="G88">
        <v>124.60904407556001</v>
      </c>
      <c r="I88" s="9">
        <f t="shared" si="8"/>
        <v>505.18822243924996</v>
      </c>
      <c r="J88" s="9">
        <f t="shared" si="9"/>
        <v>1072.44896881472</v>
      </c>
      <c r="K88" s="9">
        <f t="shared" si="10"/>
        <v>505.18822243924996</v>
      </c>
      <c r="L88" s="10">
        <f t="shared" si="7"/>
        <v>0.47106038341161199</v>
      </c>
      <c r="M88" s="10">
        <f t="shared" si="11"/>
        <v>0.49719714074387628</v>
      </c>
      <c r="P88" s="8">
        <f t="shared" si="12"/>
        <v>40.07323319311805</v>
      </c>
      <c r="U88" s="8">
        <v>152.5</v>
      </c>
      <c r="V88" s="10">
        <f t="shared" si="13"/>
        <v>0.26146057084672969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1297.1230681167999</v>
      </c>
      <c r="E89">
        <v>687.48254149971001</v>
      </c>
      <c r="F89">
        <v>154.38809387521999</v>
      </c>
      <c r="G89">
        <v>124.66914710933</v>
      </c>
      <c r="I89" s="9">
        <f t="shared" si="8"/>
        <v>562.81339439038004</v>
      </c>
      <c r="J89" s="9">
        <f t="shared" si="9"/>
        <v>1142.7349742415799</v>
      </c>
      <c r="K89" s="9">
        <f t="shared" si="10"/>
        <v>562.81339439038004</v>
      </c>
      <c r="L89" s="10">
        <f t="shared" si="7"/>
        <v>0.49251436866532661</v>
      </c>
      <c r="M89" s="10">
        <f t="shared" si="11"/>
        <v>0.51895504178052421</v>
      </c>
      <c r="P89" s="8">
        <f t="shared" si="12"/>
        <v>46.202993998136741</v>
      </c>
      <c r="U89" s="8">
        <v>153</v>
      </c>
      <c r="V89" s="10">
        <f t="shared" si="13"/>
        <v>0.26096212829851095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1220.6634230109</v>
      </c>
      <c r="E90">
        <v>646.40068689181999</v>
      </c>
      <c r="F90">
        <v>153.92844876932</v>
      </c>
      <c r="G90">
        <v>124.85746994848</v>
      </c>
      <c r="I90" s="9">
        <f t="shared" si="8"/>
        <v>521.54321694333998</v>
      </c>
      <c r="J90" s="9">
        <f t="shared" si="9"/>
        <v>1066.7349742415799</v>
      </c>
      <c r="K90" s="9">
        <f t="shared" si="10"/>
        <v>521.54321694333998</v>
      </c>
      <c r="L90" s="10">
        <f t="shared" si="7"/>
        <v>0.48891545654453045</v>
      </c>
      <c r="M90" s="10">
        <f t="shared" si="11"/>
        <v>0.51566004544266131</v>
      </c>
      <c r="P90" s="8">
        <f t="shared" si="12"/>
        <v>45.27470871131186</v>
      </c>
      <c r="U90" s="8">
        <v>153.5</v>
      </c>
      <c r="V90" s="10">
        <f t="shared" si="13"/>
        <v>0.25968445433168258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1278.1574127075</v>
      </c>
      <c r="E91">
        <v>658.97996565540996</v>
      </c>
      <c r="F91">
        <v>153.73611906125001</v>
      </c>
      <c r="G91">
        <v>124.49227246709</v>
      </c>
      <c r="I91" s="9">
        <f t="shared" si="8"/>
        <v>534.48769318832001</v>
      </c>
      <c r="J91" s="9">
        <f t="shared" si="9"/>
        <v>1124.42129364625</v>
      </c>
      <c r="K91" s="9">
        <f t="shared" si="10"/>
        <v>534.48769318832001</v>
      </c>
      <c r="L91" s="10">
        <f t="shared" si="7"/>
        <v>0.47534469171701155</v>
      </c>
      <c r="M91" s="10">
        <f t="shared" si="11"/>
        <v>0.50239319639807578</v>
      </c>
      <c r="P91" s="8">
        <f t="shared" si="12"/>
        <v>41.537095825646816</v>
      </c>
      <c r="U91" s="8">
        <v>154</v>
      </c>
      <c r="V91" s="10">
        <f t="shared" si="13"/>
        <v>0.25978331078013339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1172.4939896966</v>
      </c>
      <c r="E92">
        <v>636.78305666858</v>
      </c>
      <c r="F92">
        <v>154.00343445907001</v>
      </c>
      <c r="G92">
        <v>124.48540354894</v>
      </c>
      <c r="I92" s="9">
        <f t="shared" si="8"/>
        <v>512.29765311964002</v>
      </c>
      <c r="J92" s="9">
        <f t="shared" si="9"/>
        <v>1018.49055523753</v>
      </c>
      <c r="K92" s="9">
        <f t="shared" si="10"/>
        <v>512.29765311964002</v>
      </c>
      <c r="L92" s="10">
        <f t="shared" si="7"/>
        <v>0.50299696004560701</v>
      </c>
      <c r="M92" s="10">
        <f t="shared" si="11"/>
        <v>0.53034938050960456</v>
      </c>
      <c r="P92" s="8">
        <f t="shared" si="12"/>
        <v>49.413072526528815</v>
      </c>
      <c r="U92" s="8">
        <v>154.5</v>
      </c>
      <c r="V92" s="10">
        <f t="shared" si="13"/>
        <v>0.25848381025398043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1273.8689181453999</v>
      </c>
      <c r="E93">
        <v>691.36977676015999</v>
      </c>
      <c r="F93">
        <v>153.48654836863</v>
      </c>
      <c r="G93">
        <v>124.62392673154</v>
      </c>
      <c r="I93" s="9">
        <f t="shared" si="8"/>
        <v>566.74585002862</v>
      </c>
      <c r="J93" s="9">
        <f t="shared" si="9"/>
        <v>1120.3823697767698</v>
      </c>
      <c r="K93" s="9">
        <f t="shared" si="10"/>
        <v>566.74585002862</v>
      </c>
      <c r="L93" s="10">
        <f t="shared" si="7"/>
        <v>0.50585038225971113</v>
      </c>
      <c r="M93" s="10">
        <f t="shared" si="11"/>
        <v>0.533506718506642</v>
      </c>
      <c r="P93" s="8">
        <f t="shared" si="12"/>
        <v>50.30257591519841</v>
      </c>
      <c r="U93" s="8">
        <v>155</v>
      </c>
      <c r="V93" s="10">
        <f t="shared" si="13"/>
        <v>0.25837246756676646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1238.6548368632</v>
      </c>
      <c r="E94">
        <v>690.80709788208003</v>
      </c>
      <c r="F94">
        <v>154.22037779050001</v>
      </c>
      <c r="G94">
        <v>124.72753291357</v>
      </c>
      <c r="I94" s="9">
        <f t="shared" si="8"/>
        <v>566.07956496851</v>
      </c>
      <c r="J94" s="9">
        <f t="shared" si="9"/>
        <v>1084.4344590727001</v>
      </c>
      <c r="K94" s="9">
        <f t="shared" si="10"/>
        <v>566.07956496851</v>
      </c>
      <c r="L94" s="10">
        <f t="shared" si="7"/>
        <v>0.52200440536772008</v>
      </c>
      <c r="M94" s="10">
        <f t="shared" si="11"/>
        <v>0.54996465739758427</v>
      </c>
      <c r="P94" s="8">
        <f t="shared" si="12"/>
        <v>54.939200954312618</v>
      </c>
      <c r="U94" s="8">
        <v>155.5</v>
      </c>
      <c r="V94" s="10">
        <f t="shared" si="13"/>
        <v>0.25892132901200954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1255.4127074986</v>
      </c>
      <c r="E95">
        <v>692.97882083571994</v>
      </c>
      <c r="F95">
        <v>154.02919290212</v>
      </c>
      <c r="G95">
        <v>125.09845449341999</v>
      </c>
      <c r="I95" s="9">
        <f t="shared" si="8"/>
        <v>567.88036634229991</v>
      </c>
      <c r="J95" s="9">
        <f t="shared" si="9"/>
        <v>1101.3835145964799</v>
      </c>
      <c r="K95" s="9">
        <f t="shared" si="10"/>
        <v>567.88036634229991</v>
      </c>
      <c r="L95" s="10">
        <f t="shared" si="7"/>
        <v>0.51560637944572596</v>
      </c>
      <c r="M95" s="10">
        <f t="shared" si="11"/>
        <v>0.54387054725852335</v>
      </c>
      <c r="P95" s="8">
        <f t="shared" si="12"/>
        <v>53.222333256046916</v>
      </c>
      <c r="U95" s="8">
        <v>156</v>
      </c>
      <c r="V95" s="10">
        <f t="shared" si="13"/>
        <v>0.25890866887995451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1216.7504293074001</v>
      </c>
      <c r="E96">
        <v>702.72238122496003</v>
      </c>
      <c r="F96">
        <v>153.29650829994</v>
      </c>
      <c r="G96">
        <v>124.89696622782</v>
      </c>
      <c r="I96" s="9">
        <f t="shared" si="8"/>
        <v>577.82541499714</v>
      </c>
      <c r="J96" s="9">
        <f t="shared" si="9"/>
        <v>1063.4539210074599</v>
      </c>
      <c r="K96" s="9">
        <f t="shared" si="10"/>
        <v>577.82541499714</v>
      </c>
      <c r="L96" s="10">
        <f t="shared" si="7"/>
        <v>0.54334786264151325</v>
      </c>
      <c r="M96" s="10">
        <f t="shared" si="11"/>
        <v>0.57191594623724396</v>
      </c>
      <c r="P96" s="8">
        <f t="shared" si="12"/>
        <v>61.123444081549493</v>
      </c>
      <c r="U96" s="8">
        <v>156.5</v>
      </c>
      <c r="V96" s="10">
        <f t="shared" si="13"/>
        <v>0.26006435198313382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1225.5180309100999</v>
      </c>
      <c r="E97">
        <v>687.88380080136994</v>
      </c>
      <c r="F97">
        <v>153.76359473382999</v>
      </c>
      <c r="G97">
        <v>124.62278191185</v>
      </c>
      <c r="I97" s="9">
        <f t="shared" si="8"/>
        <v>563.26101888951996</v>
      </c>
      <c r="J97" s="9">
        <f t="shared" si="9"/>
        <v>1071.75443617627</v>
      </c>
      <c r="K97" s="9">
        <f t="shared" si="10"/>
        <v>563.26101888951996</v>
      </c>
      <c r="L97" s="10">
        <f t="shared" si="7"/>
        <v>0.52555044315849342</v>
      </c>
      <c r="M97" s="10">
        <f t="shared" si="11"/>
        <v>0.55442244253715744</v>
      </c>
      <c r="P97" s="8">
        <f t="shared" si="12"/>
        <v>56.195073778613327</v>
      </c>
      <c r="U97" s="8">
        <v>157</v>
      </c>
      <c r="V97" s="10">
        <f t="shared" si="13"/>
        <v>0.26043875420924961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1223.7355466514</v>
      </c>
      <c r="E98">
        <v>686.76588437321004</v>
      </c>
      <c r="F98">
        <v>153.5289066972</v>
      </c>
      <c r="G98">
        <v>124.68231253578</v>
      </c>
      <c r="I98" s="9">
        <f t="shared" si="8"/>
        <v>562.0835718374301</v>
      </c>
      <c r="J98" s="9">
        <f t="shared" si="9"/>
        <v>1070.2066399542</v>
      </c>
      <c r="K98" s="9">
        <f t="shared" si="10"/>
        <v>562.0835718374301</v>
      </c>
      <c r="L98" s="10">
        <f t="shared" si="7"/>
        <v>0.52521032000089696</v>
      </c>
      <c r="M98" s="10">
        <f t="shared" si="11"/>
        <v>0.5543862351624943</v>
      </c>
      <c r="P98" s="8">
        <f t="shared" si="12"/>
        <v>56.184873229135277</v>
      </c>
      <c r="U98" s="8">
        <v>157.5</v>
      </c>
      <c r="V98" s="10">
        <f t="shared" si="13"/>
        <v>0.25928032615910596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1210.8900973097</v>
      </c>
      <c r="E99">
        <v>682.00858614768003</v>
      </c>
      <c r="F99">
        <v>154.00457927875999</v>
      </c>
      <c r="G99">
        <v>124.44304522038</v>
      </c>
      <c r="I99" s="9">
        <f t="shared" si="8"/>
        <v>557.56554092730005</v>
      </c>
      <c r="J99" s="9">
        <f t="shared" si="9"/>
        <v>1056.8855180309399</v>
      </c>
      <c r="K99" s="9">
        <f t="shared" si="10"/>
        <v>557.56554092730005</v>
      </c>
      <c r="L99" s="10">
        <f t="shared" si="7"/>
        <v>0.52755528523665274</v>
      </c>
      <c r="M99" s="10">
        <f t="shared" si="11"/>
        <v>0.5570351161811834</v>
      </c>
      <c r="P99" s="8">
        <f t="shared" si="12"/>
        <v>56.931131198512453</v>
      </c>
      <c r="U99" s="8">
        <v>158</v>
      </c>
      <c r="V99" s="10">
        <f t="shared" si="13"/>
        <v>0.25657200866764052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1238.9250143103</v>
      </c>
      <c r="E100">
        <v>706.31024613623003</v>
      </c>
      <c r="F100">
        <v>153.67887807669999</v>
      </c>
      <c r="G100">
        <v>124.83228391528</v>
      </c>
      <c r="I100" s="9">
        <f t="shared" si="8"/>
        <v>581.47796222095008</v>
      </c>
      <c r="J100" s="9">
        <f t="shared" si="9"/>
        <v>1085.2461362336001</v>
      </c>
      <c r="K100" s="9">
        <f t="shared" si="10"/>
        <v>581.47796222095008</v>
      </c>
      <c r="L100" s="10">
        <f t="shared" si="7"/>
        <v>0.53580284030219893</v>
      </c>
      <c r="M100" s="10">
        <f t="shared" si="11"/>
        <v>0.56558658702966291</v>
      </c>
      <c r="P100" s="8">
        <f t="shared" si="12"/>
        <v>59.340300664996306</v>
      </c>
      <c r="U100" s="8">
        <v>158.5</v>
      </c>
      <c r="V100" s="10">
        <f t="shared" si="13"/>
        <v>0.25761975847999119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1221.655409273</v>
      </c>
      <c r="E101">
        <v>687.86662850600999</v>
      </c>
      <c r="F101">
        <v>154.57813394390001</v>
      </c>
      <c r="G101">
        <v>124.42014882655999</v>
      </c>
      <c r="I101" s="9">
        <f t="shared" si="8"/>
        <v>563.44647967945002</v>
      </c>
      <c r="J101" s="9">
        <f t="shared" si="9"/>
        <v>1067.0772753291001</v>
      </c>
      <c r="K101" s="9">
        <f t="shared" si="10"/>
        <v>563.44647967945002</v>
      </c>
      <c r="L101" s="10">
        <f t="shared" si="7"/>
        <v>0.52802781270520083</v>
      </c>
      <c r="M101" s="10">
        <f t="shared" si="11"/>
        <v>0.55811547521559812</v>
      </c>
      <c r="P101" s="8">
        <f t="shared" si="12"/>
        <v>57.23549614866775</v>
      </c>
      <c r="U101" s="8">
        <v>159</v>
      </c>
      <c r="V101" s="10">
        <f t="shared" si="13"/>
        <v>0.25901962969328934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1228.7189467659</v>
      </c>
      <c r="E102">
        <v>675.44018317115001</v>
      </c>
      <c r="F102">
        <v>154.20663995421</v>
      </c>
      <c r="G102">
        <v>124.61820263308999</v>
      </c>
      <c r="I102" s="9">
        <f t="shared" si="8"/>
        <v>550.82198053805996</v>
      </c>
      <c r="J102" s="9">
        <f t="shared" si="9"/>
        <v>1074.51230681169</v>
      </c>
      <c r="K102" s="9">
        <f t="shared" si="10"/>
        <v>550.82198053805996</v>
      </c>
      <c r="L102" s="10">
        <f t="shared" si="7"/>
        <v>0.51262510168214614</v>
      </c>
      <c r="M102" s="10">
        <f t="shared" si="11"/>
        <v>0.54301667997547676</v>
      </c>
      <c r="P102" s="8">
        <f t="shared" si="12"/>
        <v>52.98177686251011</v>
      </c>
      <c r="U102" s="8">
        <v>159.5</v>
      </c>
      <c r="V102" s="10">
        <f t="shared" si="13"/>
        <v>0.25880646085136738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1237.8271322267001</v>
      </c>
      <c r="E103">
        <v>672.49742415569995</v>
      </c>
      <c r="F103">
        <v>153.68402976530999</v>
      </c>
      <c r="G103">
        <v>124.82770463652</v>
      </c>
      <c r="I103" s="9">
        <f t="shared" si="8"/>
        <v>547.66971951917992</v>
      </c>
      <c r="J103" s="9">
        <f t="shared" si="9"/>
        <v>1084.1431024613901</v>
      </c>
      <c r="K103" s="9">
        <f t="shared" si="10"/>
        <v>547.66971951917992</v>
      </c>
      <c r="L103" s="10">
        <f t="shared" si="7"/>
        <v>0.50516368021507041</v>
      </c>
      <c r="M103" s="10">
        <f t="shared" si="11"/>
        <v>0.53585917429133434</v>
      </c>
      <c r="P103" s="8">
        <f t="shared" si="12"/>
        <v>50.965323265701493</v>
      </c>
      <c r="U103" s="8">
        <v>160</v>
      </c>
      <c r="V103" s="10">
        <f t="shared" si="13"/>
        <v>0.26007986781761994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1231.5191757298001</v>
      </c>
      <c r="E104">
        <v>670.62907842014999</v>
      </c>
      <c r="F104">
        <v>153.94104178591999</v>
      </c>
      <c r="G104">
        <v>124.18832283915</v>
      </c>
      <c r="I104" s="9">
        <f t="shared" si="8"/>
        <v>546.44075558099996</v>
      </c>
      <c r="J104" s="9">
        <f t="shared" si="9"/>
        <v>1077.5781339438799</v>
      </c>
      <c r="K104" s="9">
        <f t="shared" si="10"/>
        <v>546.44075558099996</v>
      </c>
      <c r="L104" s="10">
        <f t="shared" si="7"/>
        <v>0.50710082022642311</v>
      </c>
      <c r="M104" s="10">
        <f t="shared" si="11"/>
        <v>0.53810023008562036</v>
      </c>
      <c r="P104" s="8">
        <f t="shared" si="12"/>
        <v>51.596686371294084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1234.3142530052</v>
      </c>
      <c r="E105">
        <v>653.62736119061003</v>
      </c>
      <c r="F105">
        <v>154</v>
      </c>
      <c r="G105">
        <v>124.40641099027</v>
      </c>
      <c r="I105" s="9">
        <f t="shared" si="8"/>
        <v>529.22095020033998</v>
      </c>
      <c r="J105" s="9">
        <f t="shared" si="9"/>
        <v>1080.3142530052</v>
      </c>
      <c r="K105" s="9">
        <f t="shared" si="10"/>
        <v>529.22095020033998</v>
      </c>
      <c r="L105" s="10">
        <f t="shared" si="7"/>
        <v>0.48987685641299467</v>
      </c>
      <c r="M105" s="10">
        <f t="shared" si="11"/>
        <v>0.52118018205512517</v>
      </c>
      <c r="P105" s="8">
        <f t="shared" si="12"/>
        <v>46.829873292143255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1228.4064109902999</v>
      </c>
      <c r="E106">
        <v>636.03777904979995</v>
      </c>
      <c r="F106">
        <v>153.52261018889999</v>
      </c>
      <c r="G106">
        <v>124.14825414997</v>
      </c>
      <c r="I106" s="9">
        <f t="shared" si="8"/>
        <v>511.88952489982995</v>
      </c>
      <c r="J106" s="9">
        <f t="shared" si="9"/>
        <v>1074.8838008014</v>
      </c>
      <c r="K106" s="9">
        <f t="shared" si="10"/>
        <v>511.88952489982995</v>
      </c>
      <c r="L106" s="10">
        <f t="shared" si="7"/>
        <v>0.47622777877774419</v>
      </c>
      <c r="M106" s="10">
        <f t="shared" si="11"/>
        <v>0.50783502020280802</v>
      </c>
      <c r="P106" s="8">
        <f t="shared" si="12"/>
        <v>43.070197672643936</v>
      </c>
      <c r="X106" s="8">
        <v>-13</v>
      </c>
    </row>
    <row r="107" spans="1:25" x14ac:dyDescent="0.2">
      <c r="A107" s="8">
        <v>52.5</v>
      </c>
      <c r="B107" s="8">
        <v>105</v>
      </c>
      <c r="D107">
        <v>1219.4722381224999</v>
      </c>
      <c r="E107">
        <v>630.13337149399001</v>
      </c>
      <c r="F107">
        <v>154.14653692044001</v>
      </c>
      <c r="G107">
        <v>124.75958786491</v>
      </c>
      <c r="I107" s="9">
        <f t="shared" si="8"/>
        <v>505.37378362907998</v>
      </c>
      <c r="J107" s="9">
        <f t="shared" si="9"/>
        <v>1065.3257012020599</v>
      </c>
      <c r="K107" s="9">
        <f t="shared" si="10"/>
        <v>505.37378362907998</v>
      </c>
      <c r="L107" s="10">
        <f t="shared" si="7"/>
        <v>0.47438429680128963</v>
      </c>
      <c r="M107" s="10">
        <f t="shared" si="11"/>
        <v>0.50629545400928677</v>
      </c>
      <c r="P107" s="8">
        <f t="shared" si="12"/>
        <v>42.636462245045344</v>
      </c>
      <c r="X107" s="8">
        <v>-13</v>
      </c>
    </row>
    <row r="108" spans="1:25" x14ac:dyDescent="0.2">
      <c r="A108" s="8">
        <v>53</v>
      </c>
      <c r="B108" s="8">
        <v>106</v>
      </c>
      <c r="D108">
        <v>1209.9439038352</v>
      </c>
      <c r="E108">
        <v>612.12764739553995</v>
      </c>
      <c r="F108">
        <v>153.58786491128001</v>
      </c>
      <c r="G108">
        <v>124.56267887808001</v>
      </c>
      <c r="I108" s="9">
        <f t="shared" si="8"/>
        <v>487.56496851745993</v>
      </c>
      <c r="J108" s="9">
        <f t="shared" si="9"/>
        <v>1056.3560389239201</v>
      </c>
      <c r="K108" s="9">
        <f t="shared" si="10"/>
        <v>487.56496851745993</v>
      </c>
      <c r="L108" s="10">
        <f t="shared" si="7"/>
        <v>0.46155363395671833</v>
      </c>
      <c r="M108" s="10">
        <f t="shared" si="11"/>
        <v>0.49376870694764874</v>
      </c>
      <c r="P108" s="8">
        <f t="shared" si="12"/>
        <v>39.107355139379344</v>
      </c>
      <c r="X108" s="8">
        <v>-13</v>
      </c>
    </row>
    <row r="109" spans="1:25" x14ac:dyDescent="0.2">
      <c r="A109" s="8">
        <v>53.5</v>
      </c>
      <c r="B109" s="8">
        <v>107</v>
      </c>
      <c r="D109">
        <v>1198.3045220378001</v>
      </c>
      <c r="E109">
        <v>584.04751001717</v>
      </c>
      <c r="F109">
        <v>153.92558672009</v>
      </c>
      <c r="G109">
        <v>124.70062965083</v>
      </c>
      <c r="I109" s="9">
        <f t="shared" si="8"/>
        <v>459.34688036633997</v>
      </c>
      <c r="J109" s="9">
        <f t="shared" si="9"/>
        <v>1044.3789353177101</v>
      </c>
      <c r="K109" s="9">
        <f t="shared" si="10"/>
        <v>459.34688036633997</v>
      </c>
      <c r="L109" s="10">
        <f t="shared" si="7"/>
        <v>0.43982779126678023</v>
      </c>
      <c r="M109" s="10">
        <f t="shared" si="11"/>
        <v>0.47234678004064395</v>
      </c>
      <c r="P109" s="8">
        <f t="shared" si="12"/>
        <v>33.072246895189849</v>
      </c>
      <c r="X109" s="8">
        <v>-13</v>
      </c>
    </row>
    <row r="110" spans="1:25" x14ac:dyDescent="0.2">
      <c r="A110" s="8">
        <v>54</v>
      </c>
      <c r="B110" s="8">
        <v>108</v>
      </c>
      <c r="D110">
        <v>1197.9324556382001</v>
      </c>
      <c r="E110">
        <v>578.60675443618004</v>
      </c>
      <c r="F110">
        <v>154.01545506583</v>
      </c>
      <c r="G110">
        <v>124.46136233543</v>
      </c>
      <c r="I110" s="9">
        <f t="shared" si="8"/>
        <v>454.14539210075003</v>
      </c>
      <c r="J110" s="9">
        <f t="shared" si="9"/>
        <v>1043.9170005723699</v>
      </c>
      <c r="K110" s="9">
        <f t="shared" si="10"/>
        <v>454.14539210075003</v>
      </c>
      <c r="L110" s="10">
        <f t="shared" si="7"/>
        <v>0.43503975110257459</v>
      </c>
      <c r="M110" s="10">
        <f t="shared" si="11"/>
        <v>0.46786265565937163</v>
      </c>
      <c r="P110" s="8">
        <f t="shared" si="12"/>
        <v>31.808953628488496</v>
      </c>
      <c r="X110" s="8">
        <v>-13</v>
      </c>
    </row>
    <row r="111" spans="1:25" x14ac:dyDescent="0.2">
      <c r="A111" s="8">
        <v>54.5</v>
      </c>
      <c r="B111" s="8">
        <v>109</v>
      </c>
      <c r="D111">
        <v>1181.9880410023</v>
      </c>
      <c r="E111">
        <v>572.64749430524</v>
      </c>
      <c r="F111">
        <v>153.58385804235999</v>
      </c>
      <c r="G111">
        <v>124.28506010303001</v>
      </c>
      <c r="I111" s="9">
        <f t="shared" si="8"/>
        <v>448.36243420221001</v>
      </c>
      <c r="J111" s="9">
        <f t="shared" si="9"/>
        <v>1028.40418295994</v>
      </c>
      <c r="K111" s="9">
        <f t="shared" si="10"/>
        <v>448.36243420221001</v>
      </c>
      <c r="L111" s="10">
        <f t="shared" si="7"/>
        <v>0.43597881225233726</v>
      </c>
      <c r="M111" s="10">
        <f t="shared" si="11"/>
        <v>0.46910563259206761</v>
      </c>
      <c r="P111" s="8">
        <f t="shared" si="12"/>
        <v>32.159132226633091</v>
      </c>
      <c r="X111" s="8">
        <v>-13</v>
      </c>
    </row>
    <row r="112" spans="1:25" x14ac:dyDescent="0.2">
      <c r="A112" s="8">
        <v>55</v>
      </c>
      <c r="B112" s="8">
        <v>110</v>
      </c>
      <c r="D112">
        <v>1144.4362186788001</v>
      </c>
      <c r="E112">
        <v>538.21013667425996</v>
      </c>
      <c r="F112">
        <v>153.2140812822</v>
      </c>
      <c r="G112">
        <v>124.45105895821</v>
      </c>
      <c r="I112" s="9">
        <f t="shared" si="8"/>
        <v>413.75907771604994</v>
      </c>
      <c r="J112" s="9">
        <f t="shared" si="9"/>
        <v>991.22213739660003</v>
      </c>
      <c r="K112" s="9">
        <f t="shared" si="10"/>
        <v>413.75907771604994</v>
      </c>
      <c r="L112" s="10">
        <f t="shared" si="7"/>
        <v>0.4174231608696406</v>
      </c>
      <c r="M112" s="10">
        <f t="shared" si="11"/>
        <v>0.45085389699230422</v>
      </c>
      <c r="P112" s="8">
        <f t="shared" si="12"/>
        <v>27.017148479462318</v>
      </c>
      <c r="X112" s="8">
        <v>-13</v>
      </c>
    </row>
    <row r="113" spans="1:24" x14ac:dyDescent="0.2">
      <c r="A113" s="8">
        <v>55.5</v>
      </c>
      <c r="B113" s="8">
        <v>111</v>
      </c>
      <c r="D113">
        <v>1164.7460136673999</v>
      </c>
      <c r="E113">
        <v>555.71981776765006</v>
      </c>
      <c r="F113">
        <v>153.50543789353</v>
      </c>
      <c r="G113">
        <v>124.48883800801001</v>
      </c>
      <c r="I113" s="9">
        <f t="shared" si="8"/>
        <v>431.23097975964004</v>
      </c>
      <c r="J113" s="9">
        <f t="shared" si="9"/>
        <v>1011.2405757738699</v>
      </c>
      <c r="K113" s="9">
        <f t="shared" si="10"/>
        <v>431.23097975964004</v>
      </c>
      <c r="L113" s="10">
        <f t="shared" si="7"/>
        <v>0.4264375758751896</v>
      </c>
      <c r="M113" s="10">
        <f t="shared" si="11"/>
        <v>0.46017222778078654</v>
      </c>
      <c r="P113" s="8">
        <f t="shared" si="12"/>
        <v>29.64236213124008</v>
      </c>
      <c r="X113" s="8">
        <v>-13</v>
      </c>
    </row>
    <row r="114" spans="1:24" x14ac:dyDescent="0.2">
      <c r="A114" s="8">
        <v>56</v>
      </c>
      <c r="B114" s="8">
        <v>112</v>
      </c>
      <c r="D114">
        <v>1182.1725512528999</v>
      </c>
      <c r="E114">
        <v>568.54954441913003</v>
      </c>
      <c r="F114">
        <v>153.35661133372</v>
      </c>
      <c r="G114">
        <v>124.33600457928</v>
      </c>
      <c r="I114" s="9">
        <f t="shared" si="8"/>
        <v>444.21353983985</v>
      </c>
      <c r="J114" s="9">
        <f t="shared" si="9"/>
        <v>1028.81593991918</v>
      </c>
      <c r="K114" s="9">
        <f t="shared" si="10"/>
        <v>444.21353983985</v>
      </c>
      <c r="L114" s="10">
        <f t="shared" si="7"/>
        <v>0.4317716343651769</v>
      </c>
      <c r="M114" s="10">
        <f t="shared" si="11"/>
        <v>0.46581020205370716</v>
      </c>
      <c r="P114" s="8">
        <f t="shared" si="12"/>
        <v>31.230724614351036</v>
      </c>
      <c r="X114" s="8">
        <v>-13</v>
      </c>
    </row>
    <row r="115" spans="1:24" x14ac:dyDescent="0.2">
      <c r="A115" s="8">
        <v>56.5</v>
      </c>
      <c r="B115" s="8">
        <v>113</v>
      </c>
      <c r="D115">
        <v>1175.5182232346001</v>
      </c>
      <c r="E115">
        <v>551.93564920273002</v>
      </c>
      <c r="F115">
        <v>153.03892386948999</v>
      </c>
      <c r="G115">
        <v>124.39439038352</v>
      </c>
      <c r="I115" s="9">
        <f t="shared" si="8"/>
        <v>427.54125881921004</v>
      </c>
      <c r="J115" s="9">
        <f t="shared" si="9"/>
        <v>1022.4792993651101</v>
      </c>
      <c r="K115" s="9">
        <f t="shared" si="10"/>
        <v>427.54125881921004</v>
      </c>
      <c r="L115" s="10">
        <f t="shared" si="7"/>
        <v>0.41814172578817388</v>
      </c>
      <c r="M115" s="10">
        <f t="shared" si="11"/>
        <v>0.45248420925963745</v>
      </c>
      <c r="P115" s="8">
        <f t="shared" si="12"/>
        <v>27.476449412002086</v>
      </c>
      <c r="X115" s="8">
        <v>-13</v>
      </c>
    </row>
    <row r="116" spans="1:24" x14ac:dyDescent="0.2">
      <c r="A116" s="8">
        <v>57</v>
      </c>
      <c r="B116" s="8">
        <v>114</v>
      </c>
      <c r="D116">
        <v>1191.7818906606001</v>
      </c>
      <c r="E116">
        <v>552.89521640091004</v>
      </c>
      <c r="F116">
        <v>153.82140812822001</v>
      </c>
      <c r="G116">
        <v>124.5289066972</v>
      </c>
      <c r="I116" s="9">
        <f t="shared" si="8"/>
        <v>428.36630970371004</v>
      </c>
      <c r="J116" s="9">
        <f t="shared" si="9"/>
        <v>1037.96048253238</v>
      </c>
      <c r="K116" s="9">
        <f t="shared" si="10"/>
        <v>428.36630970371004</v>
      </c>
      <c r="L116" s="10">
        <f t="shared" si="7"/>
        <v>0.41270001788372213</v>
      </c>
      <c r="M116" s="10">
        <f t="shared" si="11"/>
        <v>0.44734641713811896</v>
      </c>
      <c r="P116" s="8">
        <f t="shared" si="12"/>
        <v>26.029001116425597</v>
      </c>
      <c r="X116" s="8">
        <v>-13</v>
      </c>
    </row>
    <row r="117" spans="1:24" x14ac:dyDescent="0.2">
      <c r="A117" s="8">
        <v>57.5</v>
      </c>
      <c r="B117" s="8">
        <v>115</v>
      </c>
      <c r="D117">
        <v>1164.8080865603999</v>
      </c>
      <c r="E117">
        <v>556.10250569476</v>
      </c>
      <c r="F117">
        <v>154.04293073841001</v>
      </c>
      <c r="G117">
        <v>124.17401259302</v>
      </c>
      <c r="I117" s="9">
        <f t="shared" si="8"/>
        <v>431.92849310174</v>
      </c>
      <c r="J117" s="9">
        <f t="shared" si="9"/>
        <v>1010.76515582199</v>
      </c>
      <c r="K117" s="9">
        <f t="shared" si="10"/>
        <v>431.92849310174</v>
      </c>
      <c r="L117" s="10">
        <f t="shared" si="7"/>
        <v>0.42732823803218706</v>
      </c>
      <c r="M117" s="10">
        <f t="shared" si="11"/>
        <v>0.46227855306951721</v>
      </c>
      <c r="P117" s="8">
        <f t="shared" si="12"/>
        <v>30.235768185240136</v>
      </c>
      <c r="X117" s="8">
        <v>-13</v>
      </c>
    </row>
    <row r="118" spans="1:24" x14ac:dyDescent="0.2">
      <c r="A118" s="8">
        <v>58</v>
      </c>
      <c r="B118" s="8">
        <v>116</v>
      </c>
      <c r="D118">
        <v>1161.6463553531</v>
      </c>
      <c r="E118">
        <v>532.50911161731005</v>
      </c>
      <c r="F118">
        <v>153.36805953062</v>
      </c>
      <c r="G118">
        <v>124.1637092158</v>
      </c>
      <c r="I118" s="9">
        <f t="shared" si="8"/>
        <v>408.34540240151006</v>
      </c>
      <c r="J118" s="9">
        <f t="shared" si="9"/>
        <v>1008.27829582248</v>
      </c>
      <c r="K118" s="9">
        <f t="shared" si="10"/>
        <v>408.34540240151006</v>
      </c>
      <c r="L118" s="10">
        <f t="shared" si="7"/>
        <v>0.40499275258961281</v>
      </c>
      <c r="M118" s="10">
        <f t="shared" si="11"/>
        <v>0.44024698340987628</v>
      </c>
      <c r="P118" s="8">
        <f t="shared" si="12"/>
        <v>24.028907884458491</v>
      </c>
      <c r="X118" s="8">
        <v>-13</v>
      </c>
    </row>
    <row r="119" spans="1:24" x14ac:dyDescent="0.2">
      <c r="A119" s="8">
        <v>58.5</v>
      </c>
      <c r="B119" s="8">
        <v>117</v>
      </c>
      <c r="D119">
        <v>1179.2932801822001</v>
      </c>
      <c r="E119">
        <v>531.51195899771994</v>
      </c>
      <c r="F119">
        <v>153.74813966799999</v>
      </c>
      <c r="G119">
        <v>124.36977676015999</v>
      </c>
      <c r="I119" s="9">
        <f t="shared" si="8"/>
        <v>407.14218223755995</v>
      </c>
      <c r="J119" s="9">
        <f t="shared" si="9"/>
        <v>1025.5451405142001</v>
      </c>
      <c r="K119" s="9">
        <f t="shared" si="10"/>
        <v>407.14218223755995</v>
      </c>
      <c r="L119" s="10">
        <f t="shared" si="7"/>
        <v>0.39700074248650052</v>
      </c>
      <c r="M119" s="10">
        <f t="shared" si="11"/>
        <v>0.43255888908969731</v>
      </c>
      <c r="P119" s="8">
        <f t="shared" si="12"/>
        <v>21.862973810682586</v>
      </c>
      <c r="X119" s="8">
        <v>-13</v>
      </c>
    </row>
    <row r="120" spans="1:24" x14ac:dyDescent="0.2">
      <c r="A120" s="8">
        <v>59</v>
      </c>
      <c r="B120" s="8">
        <v>118</v>
      </c>
      <c r="D120">
        <v>1146.5227790433</v>
      </c>
      <c r="E120">
        <v>556.12870159452996</v>
      </c>
      <c r="F120">
        <v>153.21064682312999</v>
      </c>
      <c r="G120">
        <v>124.11791642816</v>
      </c>
      <c r="I120" s="9">
        <f t="shared" si="8"/>
        <v>432.01078516636994</v>
      </c>
      <c r="J120" s="9">
        <f t="shared" si="9"/>
        <v>993.31213222017004</v>
      </c>
      <c r="K120" s="9">
        <f t="shared" si="10"/>
        <v>432.01078516636994</v>
      </c>
      <c r="L120" s="10">
        <f t="shared" si="7"/>
        <v>0.43491946907038653</v>
      </c>
      <c r="M120" s="10">
        <f t="shared" si="11"/>
        <v>0.47078153145651663</v>
      </c>
      <c r="P120" s="8">
        <f t="shared" si="12"/>
        <v>32.631276077051922</v>
      </c>
      <c r="X120" s="8">
        <v>-13</v>
      </c>
    </row>
    <row r="121" spans="1:24" x14ac:dyDescent="0.2">
      <c r="A121" s="8">
        <v>59.5</v>
      </c>
      <c r="B121" s="8">
        <v>119</v>
      </c>
      <c r="D121">
        <v>1114.985763098</v>
      </c>
      <c r="E121">
        <v>525.37129840547004</v>
      </c>
      <c r="F121">
        <v>153.61018889524999</v>
      </c>
      <c r="G121">
        <v>124.1322266743</v>
      </c>
      <c r="I121" s="9">
        <f t="shared" si="8"/>
        <v>401.23907173117004</v>
      </c>
      <c r="J121" s="9">
        <f t="shared" si="9"/>
        <v>961.37557420275004</v>
      </c>
      <c r="K121" s="9">
        <f t="shared" si="10"/>
        <v>401.23907173117004</v>
      </c>
      <c r="L121" s="10">
        <f t="shared" si="7"/>
        <v>0.41735933645277989</v>
      </c>
      <c r="M121" s="10">
        <f t="shared" si="11"/>
        <v>0.45352531462184331</v>
      </c>
      <c r="P121" s="8">
        <f t="shared" si="12"/>
        <v>27.769755592244156</v>
      </c>
      <c r="X121" s="8">
        <v>-13</v>
      </c>
    </row>
    <row r="122" spans="1:24" x14ac:dyDescent="0.2">
      <c r="A122" s="8">
        <v>60</v>
      </c>
      <c r="B122" s="8">
        <v>120</v>
      </c>
      <c r="D122">
        <v>1158.2232346241999</v>
      </c>
      <c r="E122">
        <v>552.59965831434999</v>
      </c>
      <c r="F122">
        <v>153.63251287922</v>
      </c>
      <c r="G122">
        <v>124.08986834574</v>
      </c>
      <c r="I122" s="9">
        <f t="shared" si="8"/>
        <v>428.50978996860999</v>
      </c>
      <c r="J122" s="9">
        <f t="shared" si="9"/>
        <v>1004.5907217449799</v>
      </c>
      <c r="K122" s="9">
        <f t="shared" si="10"/>
        <v>428.50978996860999</v>
      </c>
      <c r="L122" s="10">
        <f t="shared" si="7"/>
        <v>0.42655161021623417</v>
      </c>
      <c r="M122" s="10">
        <f t="shared" si="11"/>
        <v>0.46302150416823085</v>
      </c>
      <c r="P122" s="8">
        <f t="shared" si="12"/>
        <v>30.445076634491269</v>
      </c>
      <c r="X122" s="8">
        <v>-13</v>
      </c>
    </row>
    <row r="123" spans="1:24" x14ac:dyDescent="0.2">
      <c r="A123" s="8">
        <v>60.5</v>
      </c>
      <c r="B123" s="8">
        <v>121</v>
      </c>
      <c r="D123">
        <v>1151.5040137614999</v>
      </c>
      <c r="E123">
        <v>546.54013761468002</v>
      </c>
      <c r="F123">
        <v>153.05609616485</v>
      </c>
      <c r="G123">
        <v>123.67258156840001</v>
      </c>
      <c r="I123" s="9">
        <f t="shared" si="8"/>
        <v>422.86755604628001</v>
      </c>
      <c r="J123" s="9">
        <f t="shared" si="9"/>
        <v>998.44791759664986</v>
      </c>
      <c r="K123" s="9">
        <f t="shared" si="10"/>
        <v>422.86755604628001</v>
      </c>
      <c r="L123" s="10">
        <f t="shared" si="7"/>
        <v>0.42352490159342376</v>
      </c>
      <c r="M123" s="10">
        <f t="shared" si="11"/>
        <v>0.46029871132835376</v>
      </c>
      <c r="P123" s="8">
        <f t="shared" si="12"/>
        <v>29.677995802477547</v>
      </c>
      <c r="X123" s="8">
        <v>-13</v>
      </c>
    </row>
    <row r="124" spans="1:24" x14ac:dyDescent="0.2">
      <c r="A124" s="8">
        <v>61</v>
      </c>
      <c r="B124" s="8">
        <v>122</v>
      </c>
      <c r="D124">
        <v>1159.4759174312001</v>
      </c>
      <c r="E124">
        <v>555.03497706422002</v>
      </c>
      <c r="F124">
        <v>153.00171722953999</v>
      </c>
      <c r="G124">
        <v>124.23468803663</v>
      </c>
      <c r="I124" s="9">
        <f t="shared" si="8"/>
        <v>430.80028902759</v>
      </c>
      <c r="J124" s="9">
        <f t="shared" si="9"/>
        <v>1006.4742002016601</v>
      </c>
      <c r="K124" s="9">
        <f t="shared" si="10"/>
        <v>430.80028902759</v>
      </c>
      <c r="L124" s="10">
        <f t="shared" si="7"/>
        <v>0.42802914266582648</v>
      </c>
      <c r="M124" s="10">
        <f t="shared" si="11"/>
        <v>0.46510686818368979</v>
      </c>
      <c r="P124" s="8">
        <f t="shared" si="12"/>
        <v>31.03257735823415</v>
      </c>
      <c r="X124" s="8">
        <v>-13</v>
      </c>
    </row>
    <row r="125" spans="1:24" x14ac:dyDescent="0.2">
      <c r="A125" s="8">
        <v>61.5</v>
      </c>
      <c r="B125" s="8">
        <v>123</v>
      </c>
      <c r="D125">
        <v>1145.4375</v>
      </c>
      <c r="E125">
        <v>554.44438073394997</v>
      </c>
      <c r="F125">
        <v>152.5603892387</v>
      </c>
      <c r="G125">
        <v>124.1007441328</v>
      </c>
      <c r="I125" s="9">
        <f t="shared" si="8"/>
        <v>430.34363660114997</v>
      </c>
      <c r="J125" s="9">
        <f t="shared" si="9"/>
        <v>992.87711076129995</v>
      </c>
      <c r="K125" s="9">
        <f t="shared" si="10"/>
        <v>430.34363660114997</v>
      </c>
      <c r="L125" s="10">
        <f t="shared" si="7"/>
        <v>0.43343091701568087</v>
      </c>
      <c r="M125" s="10">
        <f t="shared" si="11"/>
        <v>0.4708125583164775</v>
      </c>
      <c r="P125" s="8">
        <f t="shared" si="12"/>
        <v>32.640017142183645</v>
      </c>
      <c r="X125" s="8">
        <v>-13</v>
      </c>
    </row>
    <row r="126" spans="1:24" x14ac:dyDescent="0.2">
      <c r="A126" s="8">
        <v>62</v>
      </c>
      <c r="B126" s="8">
        <v>124</v>
      </c>
      <c r="D126">
        <v>1147.7956744451001</v>
      </c>
      <c r="E126">
        <v>582.45987478657003</v>
      </c>
      <c r="F126">
        <v>152.83285632513</v>
      </c>
      <c r="G126">
        <v>124.09273039496</v>
      </c>
      <c r="I126" s="9">
        <f t="shared" si="8"/>
        <v>458.36714439161005</v>
      </c>
      <c r="J126" s="9">
        <f t="shared" si="9"/>
        <v>994.96281811997005</v>
      </c>
      <c r="K126" s="9">
        <f t="shared" si="10"/>
        <v>458.36714439161005</v>
      </c>
      <c r="L126" s="10">
        <f t="shared" si="7"/>
        <v>0.46068771218779486</v>
      </c>
      <c r="M126" s="10">
        <f t="shared" si="11"/>
        <v>0.49837326927152481</v>
      </c>
      <c r="P126" s="8">
        <f t="shared" si="12"/>
        <v>40.404578874776462</v>
      </c>
      <c r="X126" s="8">
        <v>-13</v>
      </c>
    </row>
    <row r="127" spans="1:24" x14ac:dyDescent="0.2">
      <c r="A127" s="8">
        <v>62.5</v>
      </c>
      <c r="B127" s="8">
        <v>125</v>
      </c>
      <c r="D127">
        <v>1101.9317017644</v>
      </c>
      <c r="E127">
        <v>561.00853727945002</v>
      </c>
      <c r="F127">
        <v>153.19862621637</v>
      </c>
      <c r="G127">
        <v>123.96565540927</v>
      </c>
      <c r="I127" s="9">
        <f t="shared" si="8"/>
        <v>437.04288187018005</v>
      </c>
      <c r="J127" s="9">
        <f t="shared" si="9"/>
        <v>948.73307554803</v>
      </c>
      <c r="K127" s="9">
        <f t="shared" si="10"/>
        <v>437.04288187018005</v>
      </c>
      <c r="L127" s="10">
        <f t="shared" si="7"/>
        <v>0.46065947644728716</v>
      </c>
      <c r="M127" s="10">
        <f t="shared" si="11"/>
        <v>0.49864894931395037</v>
      </c>
      <c r="P127" s="8">
        <f t="shared" si="12"/>
        <v>40.482245039170714</v>
      </c>
      <c r="X127" s="8">
        <v>-13</v>
      </c>
    </row>
    <row r="128" spans="1:24" x14ac:dyDescent="0.2">
      <c r="A128" s="8">
        <v>63</v>
      </c>
      <c r="B128" s="8">
        <v>126</v>
      </c>
      <c r="D128">
        <v>1127.3500284576</v>
      </c>
      <c r="E128">
        <v>555.71770062607004</v>
      </c>
      <c r="F128">
        <v>152.38179736692001</v>
      </c>
      <c r="G128">
        <v>123.77904979966</v>
      </c>
      <c r="I128" s="9">
        <f t="shared" si="8"/>
        <v>431.93865082641003</v>
      </c>
      <c r="J128" s="9">
        <f t="shared" si="9"/>
        <v>974.96823109068009</v>
      </c>
      <c r="K128" s="9">
        <f t="shared" si="10"/>
        <v>431.93865082641003</v>
      </c>
      <c r="L128" s="10">
        <f t="shared" si="7"/>
        <v>0.44302843626320804</v>
      </c>
      <c r="M128" s="10">
        <f t="shared" si="11"/>
        <v>0.48132182491280456</v>
      </c>
      <c r="P128" s="8">
        <f t="shared" si="12"/>
        <v>35.600748067614049</v>
      </c>
      <c r="X128" s="8">
        <v>-13</v>
      </c>
    </row>
    <row r="129" spans="1:24" x14ac:dyDescent="0.2">
      <c r="A129" s="8">
        <v>63.5</v>
      </c>
      <c r="B129" s="8">
        <v>127</v>
      </c>
      <c r="D129">
        <v>1133.1070005692</v>
      </c>
      <c r="E129">
        <v>577.33864541832997</v>
      </c>
      <c r="F129">
        <v>152.61934745278</v>
      </c>
      <c r="G129">
        <v>123.73440183171</v>
      </c>
      <c r="I129" s="9">
        <f t="shared" si="8"/>
        <v>453.60424358661999</v>
      </c>
      <c r="J129" s="9">
        <f t="shared" si="9"/>
        <v>980.48765311642001</v>
      </c>
      <c r="K129" s="9">
        <f t="shared" si="10"/>
        <v>453.60424358661999</v>
      </c>
      <c r="L129" s="10">
        <f t="shared" si="7"/>
        <v>0.46263126531462856</v>
      </c>
      <c r="M129" s="10">
        <f t="shared" si="11"/>
        <v>0.50122856974715835</v>
      </c>
      <c r="P129" s="8">
        <f t="shared" si="12"/>
        <v>41.208990518740173</v>
      </c>
      <c r="X129" s="8">
        <v>-13</v>
      </c>
    </row>
    <row r="130" spans="1:24" x14ac:dyDescent="0.2">
      <c r="A130" s="8">
        <v>64</v>
      </c>
      <c r="B130" s="8">
        <v>128</v>
      </c>
      <c r="D130">
        <v>1090.4934547524001</v>
      </c>
      <c r="E130">
        <v>557.47694934547997</v>
      </c>
      <c r="F130">
        <v>153.00286204923</v>
      </c>
      <c r="G130">
        <v>123.62163709216</v>
      </c>
      <c r="I130" s="9">
        <f t="shared" si="8"/>
        <v>433.85531225331999</v>
      </c>
      <c r="J130" s="9">
        <f t="shared" si="9"/>
        <v>937.49059270317014</v>
      </c>
      <c r="K130" s="9">
        <f t="shared" si="10"/>
        <v>433.85531225331999</v>
      </c>
      <c r="L130" s="10">
        <f t="shared" ref="L130:L193" si="14">K130/J130</f>
        <v>0.46278364351618406</v>
      </c>
      <c r="M130" s="10">
        <f t="shared" si="11"/>
        <v>0.50168486373164722</v>
      </c>
      <c r="P130" s="8">
        <f t="shared" si="12"/>
        <v>41.337540279903926</v>
      </c>
      <c r="X130" s="8">
        <v>-13</v>
      </c>
    </row>
    <row r="131" spans="1:24" x14ac:dyDescent="0.2">
      <c r="A131" s="8">
        <v>64.5</v>
      </c>
      <c r="B131" s="8">
        <v>129</v>
      </c>
      <c r="D131">
        <v>1071.969265794</v>
      </c>
      <c r="E131">
        <v>521.21343198633997</v>
      </c>
      <c r="F131">
        <v>152.62507155123001</v>
      </c>
      <c r="G131">
        <v>123.92329708071</v>
      </c>
      <c r="I131" s="9">
        <f t="shared" ref="I131:I194" si="15">E131-G131</f>
        <v>397.29013490563</v>
      </c>
      <c r="J131" s="9">
        <f t="shared" ref="J131:J194" si="16">D131-F131</f>
        <v>919.34419424276996</v>
      </c>
      <c r="K131" s="9">
        <f t="shared" ref="K131:K194" si="17">I131*1</f>
        <v>397.29013490563</v>
      </c>
      <c r="L131" s="10">
        <f t="shared" si="14"/>
        <v>0.4321451501990104</v>
      </c>
      <c r="M131" s="10">
        <f t="shared" ref="M131:M181" si="18">L131+ABS($N$2)*A131</f>
        <v>0.47135028619740682</v>
      </c>
      <c r="P131" s="8">
        <f t="shared" ref="P131:P194" si="19">(M131-$O$2)/$O$2*100</f>
        <v>32.791508928212757</v>
      </c>
      <c r="X131" s="8">
        <v>-13</v>
      </c>
    </row>
    <row r="132" spans="1:24" x14ac:dyDescent="0.2">
      <c r="A132" s="8">
        <v>65</v>
      </c>
      <c r="B132" s="8">
        <v>130</v>
      </c>
      <c r="D132">
        <v>1131.1041548093001</v>
      </c>
      <c r="E132">
        <v>568.62777461582004</v>
      </c>
      <c r="F132">
        <v>152.70120206068</v>
      </c>
      <c r="G132">
        <v>123.91642816256</v>
      </c>
      <c r="I132" s="9">
        <f t="shared" si="15"/>
        <v>444.71134645326003</v>
      </c>
      <c r="J132" s="9">
        <f t="shared" si="16"/>
        <v>978.40295274862012</v>
      </c>
      <c r="K132" s="9">
        <f t="shared" si="17"/>
        <v>444.71134645326003</v>
      </c>
      <c r="L132" s="10">
        <f t="shared" si="14"/>
        <v>0.45452780493347428</v>
      </c>
      <c r="M132" s="10">
        <f t="shared" si="18"/>
        <v>0.49403685671480402</v>
      </c>
      <c r="P132" s="8">
        <f t="shared" si="19"/>
        <v>39.182899831388681</v>
      </c>
      <c r="X132" s="8">
        <v>-13</v>
      </c>
    </row>
    <row r="133" spans="1:24" x14ac:dyDescent="0.2">
      <c r="A133" s="8">
        <v>65.5</v>
      </c>
      <c r="B133" s="8">
        <v>131</v>
      </c>
      <c r="D133">
        <v>1104.1548093341</v>
      </c>
      <c r="E133">
        <v>577.20887877063001</v>
      </c>
      <c r="F133">
        <v>152.74356038924</v>
      </c>
      <c r="G133">
        <v>124.35374928448999</v>
      </c>
      <c r="I133" s="9">
        <f t="shared" si="15"/>
        <v>452.85512948614002</v>
      </c>
      <c r="J133" s="9">
        <f t="shared" si="16"/>
        <v>951.41124894486006</v>
      </c>
      <c r="K133" s="9">
        <f t="shared" si="17"/>
        <v>452.85512948614002</v>
      </c>
      <c r="L133" s="10">
        <f t="shared" si="14"/>
        <v>0.47598252594592316</v>
      </c>
      <c r="M133" s="10">
        <f t="shared" si="18"/>
        <v>0.51579549351018628</v>
      </c>
      <c r="P133" s="8">
        <f t="shared" si="19"/>
        <v>45.312867918582427</v>
      </c>
      <c r="X133" s="8">
        <v>-13</v>
      </c>
    </row>
    <row r="134" spans="1:24" x14ac:dyDescent="0.2">
      <c r="A134" s="8">
        <v>66</v>
      </c>
      <c r="B134" s="8">
        <v>132</v>
      </c>
      <c r="D134">
        <v>1108.0278884462</v>
      </c>
      <c r="E134">
        <v>543.04097894137999</v>
      </c>
      <c r="F134">
        <v>152.35890097309999</v>
      </c>
      <c r="G134">
        <v>123.84831139096001</v>
      </c>
      <c r="I134" s="9">
        <f t="shared" si="15"/>
        <v>419.19266755041997</v>
      </c>
      <c r="J134" s="9">
        <f t="shared" si="16"/>
        <v>955.66898747310006</v>
      </c>
      <c r="K134" s="9">
        <f t="shared" si="17"/>
        <v>419.19266755041997</v>
      </c>
      <c r="L134" s="10">
        <f t="shared" si="14"/>
        <v>0.43863793117197841</v>
      </c>
      <c r="M134" s="10">
        <f t="shared" si="18"/>
        <v>0.47875481451917479</v>
      </c>
      <c r="P134" s="8">
        <f t="shared" si="19"/>
        <v>34.877555160796256</v>
      </c>
      <c r="X134" s="8">
        <v>-13</v>
      </c>
    </row>
    <row r="135" spans="1:24" x14ac:dyDescent="0.2">
      <c r="A135" s="8">
        <v>66.5</v>
      </c>
      <c r="B135" s="8">
        <v>133</v>
      </c>
      <c r="D135">
        <v>1106.6613545816999</v>
      </c>
      <c r="E135">
        <v>519.13318155948002</v>
      </c>
      <c r="F135">
        <v>153.08471665713</v>
      </c>
      <c r="G135">
        <v>124.48196908987001</v>
      </c>
      <c r="I135" s="9">
        <f t="shared" si="15"/>
        <v>394.65121246961002</v>
      </c>
      <c r="J135" s="9">
        <f t="shared" si="16"/>
        <v>953.57663792456992</v>
      </c>
      <c r="K135" s="9">
        <f t="shared" si="17"/>
        <v>394.65121246961002</v>
      </c>
      <c r="L135" s="10">
        <f t="shared" si="14"/>
        <v>0.41386417910631301</v>
      </c>
      <c r="M135" s="10">
        <f t="shared" si="18"/>
        <v>0.4542849782364427</v>
      </c>
      <c r="P135" s="8">
        <f t="shared" si="19"/>
        <v>27.983772387427063</v>
      </c>
      <c r="X135" s="8">
        <v>-13</v>
      </c>
    </row>
    <row r="136" spans="1:24" x14ac:dyDescent="0.2">
      <c r="A136" s="8">
        <v>67</v>
      </c>
      <c r="B136" s="8">
        <v>134</v>
      </c>
      <c r="D136">
        <v>1122.4911781446001</v>
      </c>
      <c r="E136">
        <v>547.54410927718004</v>
      </c>
      <c r="F136">
        <v>153.08929593588999</v>
      </c>
      <c r="G136">
        <v>123.82255294791</v>
      </c>
      <c r="I136" s="9">
        <f t="shared" si="15"/>
        <v>423.72155632927002</v>
      </c>
      <c r="J136" s="9">
        <f t="shared" si="16"/>
        <v>969.40188220871005</v>
      </c>
      <c r="K136" s="9">
        <f t="shared" si="17"/>
        <v>423.72155632927002</v>
      </c>
      <c r="L136" s="10">
        <f t="shared" si="14"/>
        <v>0.43709586715867726</v>
      </c>
      <c r="M136" s="10">
        <f t="shared" si="18"/>
        <v>0.47782058207174022</v>
      </c>
      <c r="P136" s="8">
        <f t="shared" si="19"/>
        <v>34.614357831724142</v>
      </c>
      <c r="X136" s="8">
        <v>-13</v>
      </c>
    </row>
    <row r="137" spans="1:24" x14ac:dyDescent="0.2">
      <c r="A137" s="8">
        <v>67.5</v>
      </c>
      <c r="B137" s="8">
        <v>135</v>
      </c>
      <c r="D137">
        <v>1108.1542401821</v>
      </c>
      <c r="E137">
        <v>540.19009675583004</v>
      </c>
      <c r="F137">
        <v>152.79336004579</v>
      </c>
      <c r="G137">
        <v>123.83743560389</v>
      </c>
      <c r="I137" s="9">
        <f t="shared" si="15"/>
        <v>416.35266115194003</v>
      </c>
      <c r="J137" s="9">
        <f t="shared" si="16"/>
        <v>955.36088013631002</v>
      </c>
      <c r="K137" s="9">
        <f t="shared" si="17"/>
        <v>416.35266115194003</v>
      </c>
      <c r="L137" s="10">
        <f t="shared" si="14"/>
        <v>0.43580668814127621</v>
      </c>
      <c r="M137" s="10">
        <f t="shared" si="18"/>
        <v>0.47683531883727248</v>
      </c>
      <c r="P137" s="8">
        <f t="shared" si="19"/>
        <v>34.336783816331121</v>
      </c>
      <c r="X137" s="8">
        <v>-13</v>
      </c>
    </row>
    <row r="138" spans="1:24" x14ac:dyDescent="0.2">
      <c r="A138" s="8">
        <v>68</v>
      </c>
      <c r="B138" s="8">
        <v>136</v>
      </c>
      <c r="D138">
        <v>1101.5323411562999</v>
      </c>
      <c r="E138">
        <v>511.68231253578</v>
      </c>
      <c r="F138">
        <v>152.83228391527999</v>
      </c>
      <c r="G138">
        <v>123.99771036062</v>
      </c>
      <c r="I138" s="9">
        <f t="shared" si="15"/>
        <v>387.68460217515997</v>
      </c>
      <c r="J138" s="9">
        <f t="shared" si="16"/>
        <v>948.70005724101998</v>
      </c>
      <c r="K138" s="9">
        <f t="shared" si="17"/>
        <v>387.68460217515997</v>
      </c>
      <c r="L138" s="10">
        <f t="shared" si="14"/>
        <v>0.40864823314400578</v>
      </c>
      <c r="M138" s="10">
        <f t="shared" si="18"/>
        <v>0.44998077962293537</v>
      </c>
      <c r="P138" s="8">
        <f t="shared" si="19"/>
        <v>26.771168841080673</v>
      </c>
      <c r="X138" s="8">
        <v>-13</v>
      </c>
    </row>
    <row r="139" spans="1:24" x14ac:dyDescent="0.2">
      <c r="A139" s="8">
        <v>68.5</v>
      </c>
      <c r="B139" s="8">
        <v>137</v>
      </c>
      <c r="D139">
        <v>1092.2369776759999</v>
      </c>
      <c r="E139">
        <v>512.57927876359997</v>
      </c>
      <c r="F139">
        <v>152.65998855180001</v>
      </c>
      <c r="G139">
        <v>123.85060103034</v>
      </c>
      <c r="I139" s="9">
        <f t="shared" si="15"/>
        <v>388.72867773325999</v>
      </c>
      <c r="J139" s="9">
        <f t="shared" si="16"/>
        <v>939.57698912419994</v>
      </c>
      <c r="K139" s="9">
        <f t="shared" si="17"/>
        <v>388.72867773325999</v>
      </c>
      <c r="L139" s="10">
        <f t="shared" si="14"/>
        <v>0.41372732860944411</v>
      </c>
      <c r="M139" s="10">
        <f t="shared" si="18"/>
        <v>0.45536379087130702</v>
      </c>
      <c r="P139" s="8">
        <f t="shared" si="19"/>
        <v>28.28770167702222</v>
      </c>
      <c r="X139" s="8">
        <v>-13</v>
      </c>
    </row>
    <row r="140" spans="1:24" x14ac:dyDescent="0.2">
      <c r="A140" s="8">
        <v>69</v>
      </c>
      <c r="B140" s="8">
        <v>138</v>
      </c>
      <c r="D140">
        <v>1098.2690326274001</v>
      </c>
      <c r="E140">
        <v>519.09330280481004</v>
      </c>
      <c r="F140">
        <v>152.97882083572</v>
      </c>
      <c r="G140">
        <v>123.622209502</v>
      </c>
      <c r="I140" s="9">
        <f t="shared" si="15"/>
        <v>395.47109330281</v>
      </c>
      <c r="J140" s="9">
        <f t="shared" si="16"/>
        <v>945.29021179168012</v>
      </c>
      <c r="K140" s="9">
        <f t="shared" si="17"/>
        <v>395.47109330281</v>
      </c>
      <c r="L140" s="10">
        <f t="shared" si="14"/>
        <v>0.41835945021925458</v>
      </c>
      <c r="M140" s="10">
        <f t="shared" si="18"/>
        <v>0.4602998282640508</v>
      </c>
      <c r="P140" s="8">
        <f t="shared" si="19"/>
        <v>29.678310472015106</v>
      </c>
      <c r="X140" s="8">
        <v>-13</v>
      </c>
    </row>
    <row r="141" spans="1:24" x14ac:dyDescent="0.2">
      <c r="A141" s="8">
        <v>69.5</v>
      </c>
      <c r="B141" s="8">
        <v>139</v>
      </c>
      <c r="D141">
        <v>1041.5386376645999</v>
      </c>
      <c r="E141">
        <v>478.50601030337998</v>
      </c>
      <c r="F141">
        <v>152.97824842586999</v>
      </c>
      <c r="G141">
        <v>123.66399542072</v>
      </c>
      <c r="I141" s="9">
        <f t="shared" si="15"/>
        <v>354.84201488266001</v>
      </c>
      <c r="J141" s="9">
        <f t="shared" si="16"/>
        <v>888.56038923872995</v>
      </c>
      <c r="K141" s="9">
        <f t="shared" si="17"/>
        <v>354.84201488266001</v>
      </c>
      <c r="L141" s="10">
        <f t="shared" si="14"/>
        <v>0.39934484946675292</v>
      </c>
      <c r="M141" s="10">
        <f t="shared" si="18"/>
        <v>0.4415891432944824</v>
      </c>
      <c r="P141" s="8">
        <f t="shared" si="19"/>
        <v>24.407028873283178</v>
      </c>
      <c r="X141" s="8">
        <v>-13</v>
      </c>
    </row>
    <row r="142" spans="1:24" x14ac:dyDescent="0.2">
      <c r="A142" s="8">
        <v>70</v>
      </c>
      <c r="B142" s="8">
        <v>140</v>
      </c>
      <c r="D142">
        <v>1065.6617057813</v>
      </c>
      <c r="E142">
        <v>468.51516886090002</v>
      </c>
      <c r="F142">
        <v>152.80080137377999</v>
      </c>
      <c r="G142">
        <v>124.00400686892</v>
      </c>
      <c r="I142" s="9">
        <f t="shared" si="15"/>
        <v>344.51116199198003</v>
      </c>
      <c r="J142" s="9">
        <f t="shared" si="16"/>
        <v>912.86090440752002</v>
      </c>
      <c r="K142" s="9">
        <f t="shared" si="17"/>
        <v>344.51116199198003</v>
      </c>
      <c r="L142" s="10">
        <f t="shared" si="14"/>
        <v>0.37739721388942638</v>
      </c>
      <c r="M142" s="10">
        <f t="shared" si="18"/>
        <v>0.41994542350008918</v>
      </c>
      <c r="P142" s="8">
        <f t="shared" si="19"/>
        <v>18.309435863414514</v>
      </c>
      <c r="X142" s="8">
        <v>-13</v>
      </c>
    </row>
    <row r="143" spans="1:24" x14ac:dyDescent="0.2">
      <c r="A143" s="8">
        <v>70.5</v>
      </c>
      <c r="B143" s="8">
        <v>141</v>
      </c>
      <c r="D143">
        <v>1007.3400114482</v>
      </c>
      <c r="E143">
        <v>433.98282770463999</v>
      </c>
      <c r="F143">
        <v>152.48941041786</v>
      </c>
      <c r="G143">
        <v>123.9181453921</v>
      </c>
      <c r="I143" s="9">
        <f t="shared" si="15"/>
        <v>310.06468231253996</v>
      </c>
      <c r="J143" s="9">
        <f t="shared" si="16"/>
        <v>854.85060103034004</v>
      </c>
      <c r="K143" s="9">
        <f t="shared" si="17"/>
        <v>310.06468231253996</v>
      </c>
      <c r="L143" s="10">
        <f t="shared" si="14"/>
        <v>0.3627121299778267</v>
      </c>
      <c r="M143" s="10">
        <f t="shared" si="18"/>
        <v>0.40556425537142282</v>
      </c>
      <c r="P143" s="8">
        <f t="shared" si="19"/>
        <v>14.257890607417526</v>
      </c>
      <c r="X143" s="8">
        <v>-13</v>
      </c>
    </row>
    <row r="144" spans="1:24" x14ac:dyDescent="0.2">
      <c r="A144" s="8">
        <v>71</v>
      </c>
      <c r="B144" s="8">
        <v>142</v>
      </c>
      <c r="D144">
        <v>1052.2129364625</v>
      </c>
      <c r="E144">
        <v>440.09158557527002</v>
      </c>
      <c r="F144">
        <v>152.6348025186</v>
      </c>
      <c r="G144">
        <v>123.50028620492</v>
      </c>
      <c r="I144" s="9">
        <f t="shared" si="15"/>
        <v>316.59129937035004</v>
      </c>
      <c r="J144" s="9">
        <f t="shared" si="16"/>
        <v>899.57813394389996</v>
      </c>
      <c r="K144" s="9">
        <f t="shared" si="17"/>
        <v>316.59129937035004</v>
      </c>
      <c r="L144" s="10">
        <f t="shared" si="14"/>
        <v>0.35193307554326736</v>
      </c>
      <c r="M144" s="10">
        <f t="shared" si="18"/>
        <v>0.3950891167197968</v>
      </c>
      <c r="P144" s="8">
        <f t="shared" si="19"/>
        <v>11.306774402517007</v>
      </c>
    </row>
    <row r="145" spans="1:16" x14ac:dyDescent="0.2">
      <c r="A145" s="8">
        <v>71.5</v>
      </c>
      <c r="B145" s="8">
        <v>143</v>
      </c>
      <c r="D145">
        <v>1112.0829994276</v>
      </c>
      <c r="E145">
        <v>447.20606754436</v>
      </c>
      <c r="F145">
        <v>152.88551803090999</v>
      </c>
      <c r="G145">
        <v>123.54836863193999</v>
      </c>
      <c r="I145" s="9">
        <f t="shared" si="15"/>
        <v>323.65769891242002</v>
      </c>
      <c r="J145" s="9">
        <f t="shared" si="16"/>
        <v>959.19748139669002</v>
      </c>
      <c r="K145" s="9">
        <f t="shared" si="17"/>
        <v>323.65769891242002</v>
      </c>
      <c r="L145" s="10">
        <f t="shared" si="14"/>
        <v>0.33742550954277023</v>
      </c>
      <c r="M145" s="10">
        <f t="shared" si="18"/>
        <v>0.38088546650223298</v>
      </c>
      <c r="P145" s="8">
        <f t="shared" si="19"/>
        <v>7.3052405116711112</v>
      </c>
    </row>
    <row r="146" spans="1:16" x14ac:dyDescent="0.2">
      <c r="A146" s="8">
        <v>72</v>
      </c>
      <c r="B146" s="8">
        <v>144</v>
      </c>
      <c r="D146">
        <v>1089.5197481396999</v>
      </c>
      <c r="E146">
        <v>450.31997710360997</v>
      </c>
      <c r="F146">
        <v>152.46651402404001</v>
      </c>
      <c r="G146">
        <v>123.54836863193999</v>
      </c>
      <c r="I146" s="9">
        <f t="shared" si="15"/>
        <v>326.77160847166999</v>
      </c>
      <c r="J146" s="9">
        <f t="shared" si="16"/>
        <v>937.05323411565996</v>
      </c>
      <c r="K146" s="9">
        <f t="shared" si="17"/>
        <v>326.77160847166999</v>
      </c>
      <c r="L146" s="10">
        <f t="shared" si="14"/>
        <v>0.34872256620517328</v>
      </c>
      <c r="M146" s="10">
        <f t="shared" si="18"/>
        <v>0.39248643894756929</v>
      </c>
      <c r="P146" s="8">
        <f t="shared" si="19"/>
        <v>10.573533077013149</v>
      </c>
    </row>
    <row r="147" spans="1:16" x14ac:dyDescent="0.2">
      <c r="A147" s="8">
        <v>72.5</v>
      </c>
      <c r="B147" s="8">
        <v>145</v>
      </c>
      <c r="D147">
        <v>1078.2386949055999</v>
      </c>
      <c r="E147">
        <v>443.21179164282</v>
      </c>
      <c r="F147">
        <v>152.50944476244999</v>
      </c>
      <c r="G147">
        <v>123.43159702347</v>
      </c>
      <c r="I147" s="9">
        <f t="shared" si="15"/>
        <v>319.78019461935003</v>
      </c>
      <c r="J147" s="9">
        <f t="shared" si="16"/>
        <v>925.7292501431499</v>
      </c>
      <c r="K147" s="9">
        <f t="shared" si="17"/>
        <v>319.78019461935003</v>
      </c>
      <c r="L147" s="10">
        <f t="shared" si="14"/>
        <v>0.3454359841928954</v>
      </c>
      <c r="M147" s="10">
        <f t="shared" si="18"/>
        <v>0.38950377271822473</v>
      </c>
      <c r="P147" s="8">
        <f t="shared" si="19"/>
        <v>9.7332392216318713</v>
      </c>
    </row>
    <row r="148" spans="1:16" x14ac:dyDescent="0.2">
      <c r="A148" s="8">
        <v>73</v>
      </c>
      <c r="B148" s="8">
        <v>146</v>
      </c>
      <c r="D148">
        <v>1067.322266743</v>
      </c>
      <c r="E148">
        <v>429.19404693760998</v>
      </c>
      <c r="F148">
        <v>152.59931310818999</v>
      </c>
      <c r="G148">
        <v>123.23812249571</v>
      </c>
      <c r="I148" s="9">
        <f t="shared" si="15"/>
        <v>305.95592444189998</v>
      </c>
      <c r="J148" s="9">
        <f t="shared" si="16"/>
        <v>914.72295363480998</v>
      </c>
      <c r="K148" s="9">
        <f t="shared" si="17"/>
        <v>305.95592444189998</v>
      </c>
      <c r="L148" s="10">
        <f t="shared" si="14"/>
        <v>0.33447933412639441</v>
      </c>
      <c r="M148" s="10">
        <f t="shared" si="18"/>
        <v>0.37885103843465706</v>
      </c>
      <c r="P148" s="8">
        <f t="shared" si="19"/>
        <v>6.7320897556192287</v>
      </c>
    </row>
    <row r="149" spans="1:16" x14ac:dyDescent="0.2">
      <c r="A149" s="8">
        <v>73.5</v>
      </c>
      <c r="B149" s="8">
        <v>147</v>
      </c>
      <c r="D149">
        <v>1082.8746422439001</v>
      </c>
      <c r="E149">
        <v>424.29650829994</v>
      </c>
      <c r="F149">
        <v>153.01717229536001</v>
      </c>
      <c r="G149">
        <v>123.53634802518999</v>
      </c>
      <c r="I149" s="9">
        <f t="shared" si="15"/>
        <v>300.76016027474998</v>
      </c>
      <c r="J149" s="9">
        <f t="shared" si="16"/>
        <v>929.85746994854003</v>
      </c>
      <c r="K149" s="9">
        <f t="shared" si="17"/>
        <v>300.76016027474998</v>
      </c>
      <c r="L149" s="10">
        <f t="shared" si="14"/>
        <v>0.32344759277074431</v>
      </c>
      <c r="M149" s="10">
        <f t="shared" si="18"/>
        <v>0.36812321286194027</v>
      </c>
      <c r="P149" s="8">
        <f t="shared" si="19"/>
        <v>3.7097851404840072</v>
      </c>
    </row>
    <row r="150" spans="1:16" x14ac:dyDescent="0.2">
      <c r="A150" s="8">
        <v>74</v>
      </c>
      <c r="B150" s="8">
        <v>148</v>
      </c>
      <c r="D150">
        <v>1060.5466514023999</v>
      </c>
      <c r="E150">
        <v>413.38179736692001</v>
      </c>
      <c r="F150">
        <v>152.68803663423</v>
      </c>
      <c r="G150">
        <v>123.57527189468</v>
      </c>
      <c r="I150" s="9">
        <f t="shared" si="15"/>
        <v>289.80652547224003</v>
      </c>
      <c r="J150" s="9">
        <f t="shared" si="16"/>
        <v>907.8586147681699</v>
      </c>
      <c r="K150" s="9">
        <f t="shared" si="17"/>
        <v>289.80652547224003</v>
      </c>
      <c r="L150" s="10">
        <f t="shared" si="14"/>
        <v>0.31921988816093883</v>
      </c>
      <c r="M150" s="10">
        <f t="shared" si="18"/>
        <v>0.36419942403506811</v>
      </c>
      <c r="P150" s="8">
        <f t="shared" si="19"/>
        <v>2.6043528233859821</v>
      </c>
    </row>
    <row r="151" spans="1:16" x14ac:dyDescent="0.2">
      <c r="A151" s="8">
        <v>74.5</v>
      </c>
      <c r="B151" s="8">
        <v>149</v>
      </c>
      <c r="D151">
        <v>1081.4373211218999</v>
      </c>
      <c r="E151">
        <v>417.39896966228002</v>
      </c>
      <c r="F151">
        <v>152.62621637091999</v>
      </c>
      <c r="G151">
        <v>123.92558672009</v>
      </c>
      <c r="I151" s="9">
        <f t="shared" si="15"/>
        <v>293.47338294219003</v>
      </c>
      <c r="J151" s="9">
        <f t="shared" si="16"/>
        <v>928.81110475097989</v>
      </c>
      <c r="K151" s="9">
        <f t="shared" si="17"/>
        <v>293.47338294219003</v>
      </c>
      <c r="L151" s="10">
        <f t="shared" si="14"/>
        <v>0.31596670349981665</v>
      </c>
      <c r="M151" s="10">
        <f t="shared" si="18"/>
        <v>0.36125015515687919</v>
      </c>
      <c r="P151" s="8">
        <f t="shared" si="19"/>
        <v>1.7734678615262134</v>
      </c>
    </row>
    <row r="152" spans="1:16" x14ac:dyDescent="0.2">
      <c r="A152" s="8">
        <v>75</v>
      </c>
      <c r="B152" s="8">
        <v>150</v>
      </c>
      <c r="D152">
        <v>1085.8775042930999</v>
      </c>
      <c r="E152">
        <v>411.48826559817002</v>
      </c>
      <c r="F152">
        <v>152.67143674870999</v>
      </c>
      <c r="G152">
        <v>123.66342301088</v>
      </c>
      <c r="I152" s="9">
        <f t="shared" si="15"/>
        <v>287.82484258729005</v>
      </c>
      <c r="J152" s="9">
        <f t="shared" si="16"/>
        <v>933.20606754438995</v>
      </c>
      <c r="K152" s="9">
        <f t="shared" si="17"/>
        <v>287.82484258729005</v>
      </c>
      <c r="L152" s="10">
        <f t="shared" si="14"/>
        <v>0.30842581568791511</v>
      </c>
      <c r="M152" s="10">
        <f t="shared" si="18"/>
        <v>0.35401318312791097</v>
      </c>
      <c r="P152" s="8">
        <f t="shared" si="19"/>
        <v>-0.26537345020999881</v>
      </c>
    </row>
    <row r="153" spans="1:16" x14ac:dyDescent="0.2">
      <c r="A153" s="8">
        <v>75.5</v>
      </c>
      <c r="B153" s="8">
        <v>151</v>
      </c>
      <c r="D153">
        <v>1067.4974241556999</v>
      </c>
      <c r="E153">
        <v>401.91814539209997</v>
      </c>
      <c r="F153">
        <v>152.74585002862</v>
      </c>
      <c r="G153">
        <v>123.4155695478</v>
      </c>
      <c r="I153" s="9">
        <f t="shared" si="15"/>
        <v>278.50257584429994</v>
      </c>
      <c r="J153" s="9">
        <f t="shared" si="16"/>
        <v>914.75157412707995</v>
      </c>
      <c r="K153" s="9">
        <f t="shared" si="17"/>
        <v>278.50257584429994</v>
      </c>
      <c r="L153" s="10">
        <f t="shared" si="14"/>
        <v>0.30445706104421477</v>
      </c>
      <c r="M153" s="10">
        <f t="shared" si="18"/>
        <v>0.35034834426714395</v>
      </c>
      <c r="P153" s="8">
        <f t="shared" si="19"/>
        <v>-1.2978528960720215</v>
      </c>
    </row>
    <row r="154" spans="1:16" x14ac:dyDescent="0.2">
      <c r="A154" s="8">
        <v>76</v>
      </c>
      <c r="B154" s="8">
        <v>152</v>
      </c>
      <c r="D154">
        <v>1056.9066971952</v>
      </c>
      <c r="E154">
        <v>394.90555237550001</v>
      </c>
      <c r="F154">
        <v>152.20835718373999</v>
      </c>
      <c r="G154">
        <v>123.48254149971</v>
      </c>
      <c r="I154" s="9">
        <f t="shared" si="15"/>
        <v>271.42301087579</v>
      </c>
      <c r="J154" s="9">
        <f t="shared" si="16"/>
        <v>904.69834001146</v>
      </c>
      <c r="K154" s="9">
        <f t="shared" si="17"/>
        <v>271.42301087579</v>
      </c>
      <c r="L154" s="10">
        <f t="shared" si="14"/>
        <v>0.30001493190796819</v>
      </c>
      <c r="M154" s="10">
        <f t="shared" si="18"/>
        <v>0.34621013091383068</v>
      </c>
      <c r="P154" s="8">
        <f t="shared" si="19"/>
        <v>-2.463694121897019</v>
      </c>
    </row>
    <row r="155" spans="1:16" x14ac:dyDescent="0.2">
      <c r="A155" s="8">
        <v>76.5</v>
      </c>
      <c r="B155" s="8">
        <v>153</v>
      </c>
      <c r="D155">
        <v>1033.8786491128001</v>
      </c>
      <c r="E155">
        <v>381.55809959931003</v>
      </c>
      <c r="F155">
        <v>152.16599885517999</v>
      </c>
      <c r="G155">
        <v>123.10875787064001</v>
      </c>
      <c r="I155" s="9">
        <f t="shared" si="15"/>
        <v>258.44934172866999</v>
      </c>
      <c r="J155" s="9">
        <f t="shared" si="16"/>
        <v>881.71265025762011</v>
      </c>
      <c r="K155" s="9">
        <f t="shared" si="17"/>
        <v>258.44934172866999</v>
      </c>
      <c r="L155" s="10">
        <f t="shared" si="14"/>
        <v>0.29312196173340133</v>
      </c>
      <c r="M155" s="10">
        <f t="shared" si="18"/>
        <v>0.33962107652219709</v>
      </c>
      <c r="P155" s="8">
        <f t="shared" si="19"/>
        <v>-4.3200003567650826</v>
      </c>
    </row>
    <row r="156" spans="1:16" x14ac:dyDescent="0.2">
      <c r="A156" s="8">
        <v>77</v>
      </c>
      <c r="B156" s="8">
        <v>154</v>
      </c>
      <c r="D156">
        <v>1051.7069261591</v>
      </c>
      <c r="E156">
        <v>381.54092730395001</v>
      </c>
      <c r="F156">
        <v>152.92157985117001</v>
      </c>
      <c r="G156">
        <v>123.54378935318</v>
      </c>
      <c r="I156" s="9">
        <f t="shared" si="15"/>
        <v>257.99713795077002</v>
      </c>
      <c r="J156" s="9">
        <f t="shared" si="16"/>
        <v>898.78534630793001</v>
      </c>
      <c r="K156" s="9">
        <f t="shared" si="17"/>
        <v>257.99713795077002</v>
      </c>
      <c r="L156" s="10">
        <f t="shared" si="14"/>
        <v>0.28705089486670204</v>
      </c>
      <c r="M156" s="10">
        <f t="shared" si="18"/>
        <v>0.33385392543843112</v>
      </c>
      <c r="P156" s="8">
        <f t="shared" si="19"/>
        <v>-5.9447552727078339</v>
      </c>
    </row>
    <row r="157" spans="1:16" x14ac:dyDescent="0.2">
      <c r="A157" s="8">
        <v>77.5</v>
      </c>
      <c r="B157" s="8">
        <v>155</v>
      </c>
      <c r="D157">
        <v>997.71379507728</v>
      </c>
      <c r="E157">
        <v>364.04407555810002</v>
      </c>
      <c r="F157">
        <v>152.39896966228</v>
      </c>
      <c r="G157">
        <v>123.81854607899</v>
      </c>
      <c r="I157" s="9">
        <f t="shared" si="15"/>
        <v>240.22552947911004</v>
      </c>
      <c r="J157" s="9">
        <f t="shared" si="16"/>
        <v>845.31482541499997</v>
      </c>
      <c r="K157" s="9">
        <f t="shared" si="17"/>
        <v>240.22552947911004</v>
      </c>
      <c r="L157" s="10">
        <f t="shared" si="14"/>
        <v>0.28418468747566733</v>
      </c>
      <c r="M157" s="10">
        <f t="shared" si="18"/>
        <v>0.33129163383032972</v>
      </c>
      <c r="P157" s="8">
        <f t="shared" si="19"/>
        <v>-6.6666187761732392</v>
      </c>
    </row>
    <row r="158" spans="1:16" x14ac:dyDescent="0.2">
      <c r="A158" s="8">
        <v>78</v>
      </c>
      <c r="B158" s="8">
        <v>156</v>
      </c>
      <c r="D158">
        <v>955.94619347452999</v>
      </c>
      <c r="E158">
        <v>345.91127647396002</v>
      </c>
      <c r="F158">
        <v>152.25128792215</v>
      </c>
      <c r="G158">
        <v>123.18145392101</v>
      </c>
      <c r="I158" s="9">
        <f t="shared" si="15"/>
        <v>222.72982255295</v>
      </c>
      <c r="J158" s="9">
        <f t="shared" si="16"/>
        <v>803.69490555237996</v>
      </c>
      <c r="K158" s="9">
        <f t="shared" si="17"/>
        <v>222.72982255295</v>
      </c>
      <c r="L158" s="10">
        <f t="shared" si="14"/>
        <v>0.27713230607063222</v>
      </c>
      <c r="M158" s="10">
        <f t="shared" si="18"/>
        <v>0.32454316820822793</v>
      </c>
      <c r="P158" s="8">
        <f t="shared" si="19"/>
        <v>-8.5678352581629298</v>
      </c>
    </row>
    <row r="159" spans="1:16" x14ac:dyDescent="0.2">
      <c r="A159" s="8">
        <v>78.5</v>
      </c>
      <c r="B159" s="8">
        <v>157</v>
      </c>
      <c r="D159">
        <v>966.48654836863</v>
      </c>
      <c r="E159">
        <v>345.10990269032999</v>
      </c>
      <c r="F159">
        <v>152.21751574127001</v>
      </c>
      <c r="G159">
        <v>123.36748712078</v>
      </c>
      <c r="I159" s="9">
        <f t="shared" si="15"/>
        <v>221.74241556954999</v>
      </c>
      <c r="J159" s="9">
        <f t="shared" si="16"/>
        <v>814.26903262736005</v>
      </c>
      <c r="K159" s="9">
        <f t="shared" si="17"/>
        <v>221.74241556954999</v>
      </c>
      <c r="L159" s="10">
        <f t="shared" si="14"/>
        <v>0.27232082602240826</v>
      </c>
      <c r="M159" s="10">
        <f t="shared" si="18"/>
        <v>0.32003560394293729</v>
      </c>
      <c r="P159" s="8">
        <f t="shared" si="19"/>
        <v>-9.8377321435721576</v>
      </c>
    </row>
    <row r="160" spans="1:16" x14ac:dyDescent="0.2">
      <c r="A160" s="8">
        <v>79</v>
      </c>
      <c r="B160" s="8">
        <v>158</v>
      </c>
      <c r="D160">
        <v>1019.5065827132</v>
      </c>
      <c r="E160">
        <v>376.58271322267001</v>
      </c>
      <c r="F160">
        <v>152.32913566113001</v>
      </c>
      <c r="G160">
        <v>123.28906697195001</v>
      </c>
      <c r="I160" s="9">
        <f t="shared" si="15"/>
        <v>253.29364625072</v>
      </c>
      <c r="J160" s="9">
        <f t="shared" si="16"/>
        <v>867.17744705206997</v>
      </c>
      <c r="K160" s="9">
        <f t="shared" si="17"/>
        <v>253.29364625072</v>
      </c>
      <c r="L160" s="10">
        <f t="shared" si="14"/>
        <v>0.29208975292401823</v>
      </c>
      <c r="M160" s="10">
        <f t="shared" si="18"/>
        <v>0.34010844662748052</v>
      </c>
      <c r="P160" s="8">
        <f t="shared" si="19"/>
        <v>-4.1826956524247008</v>
      </c>
    </row>
    <row r="161" spans="1:16" x14ac:dyDescent="0.2">
      <c r="A161" s="8">
        <v>79.5</v>
      </c>
      <c r="B161" s="8">
        <v>159</v>
      </c>
      <c r="D161">
        <v>992.00057240984995</v>
      </c>
      <c r="E161">
        <v>369.19748139668002</v>
      </c>
      <c r="F161">
        <v>152.51287922152</v>
      </c>
      <c r="G161">
        <v>122.99255867201001</v>
      </c>
      <c r="I161" s="9">
        <f t="shared" si="15"/>
        <v>246.20492272467001</v>
      </c>
      <c r="J161" s="9">
        <f t="shared" si="16"/>
        <v>839.48769318833001</v>
      </c>
      <c r="K161" s="9">
        <f t="shared" si="17"/>
        <v>246.20492272467001</v>
      </c>
      <c r="L161" s="10">
        <f t="shared" si="14"/>
        <v>0.2932799667254164</v>
      </c>
      <c r="M161" s="10">
        <f t="shared" si="18"/>
        <v>0.341602576211812</v>
      </c>
      <c r="P161" s="8">
        <f t="shared" si="19"/>
        <v>-3.7617608872454862</v>
      </c>
    </row>
    <row r="162" spans="1:16" x14ac:dyDescent="0.2">
      <c r="A162" s="8">
        <v>80</v>
      </c>
      <c r="B162" s="4">
        <v>160</v>
      </c>
      <c r="C162" s="4" t="s">
        <v>6</v>
      </c>
      <c r="D162">
        <v>981.91528334287</v>
      </c>
      <c r="E162">
        <v>368.21980538064997</v>
      </c>
      <c r="F162">
        <v>152.11562678877999</v>
      </c>
      <c r="G162">
        <v>123.25300515169</v>
      </c>
      <c r="H162" s="4"/>
      <c r="I162" s="5">
        <f t="shared" si="15"/>
        <v>244.96680022895998</v>
      </c>
      <c r="J162" s="5">
        <f t="shared" si="16"/>
        <v>829.79965655409001</v>
      </c>
      <c r="K162" s="9">
        <f t="shared" si="17"/>
        <v>244.96680022895998</v>
      </c>
      <c r="L162" s="6">
        <f t="shared" si="14"/>
        <v>0.29521198074030774</v>
      </c>
      <c r="M162" s="6">
        <f t="shared" si="18"/>
        <v>0.34383850600963667</v>
      </c>
      <c r="N162" s="4"/>
      <c r="O162" s="4"/>
      <c r="P162" s="4">
        <f t="shared" si="19"/>
        <v>-3.1318419068073569</v>
      </c>
    </row>
    <row r="163" spans="1:16" x14ac:dyDescent="0.2">
      <c r="A163" s="8">
        <v>80.5</v>
      </c>
      <c r="B163" s="8">
        <v>161</v>
      </c>
      <c r="D163">
        <v>1001.0131654265</v>
      </c>
      <c r="E163">
        <v>373.25930165999</v>
      </c>
      <c r="F163">
        <v>151.79107040641</v>
      </c>
      <c r="G163">
        <v>123.28792215225999</v>
      </c>
      <c r="I163" s="9">
        <f t="shared" si="15"/>
        <v>249.97137950773001</v>
      </c>
      <c r="J163" s="9">
        <f t="shared" si="16"/>
        <v>849.22209502009002</v>
      </c>
      <c r="K163" s="9">
        <f t="shared" si="17"/>
        <v>249.97137950773001</v>
      </c>
      <c r="L163" s="10">
        <f t="shared" si="14"/>
        <v>0.29435336288773367</v>
      </c>
      <c r="M163" s="10">
        <f t="shared" si="18"/>
        <v>0.34328380393999591</v>
      </c>
      <c r="P163" s="8">
        <f t="shared" si="19"/>
        <v>-3.2881157587391003</v>
      </c>
    </row>
    <row r="164" spans="1:16" x14ac:dyDescent="0.2">
      <c r="A164" s="8">
        <v>81</v>
      </c>
      <c r="B164" s="8">
        <v>162</v>
      </c>
      <c r="D164">
        <v>975.47281053233996</v>
      </c>
      <c r="E164">
        <v>362.74813966800002</v>
      </c>
      <c r="F164">
        <v>152.06468231253999</v>
      </c>
      <c r="G164">
        <v>123.30051516886</v>
      </c>
      <c r="I164" s="9">
        <f t="shared" si="15"/>
        <v>239.44762449914003</v>
      </c>
      <c r="J164" s="9">
        <f t="shared" si="16"/>
        <v>823.40812821980001</v>
      </c>
      <c r="K164" s="9">
        <f t="shared" si="17"/>
        <v>239.44762449914003</v>
      </c>
      <c r="L164" s="10">
        <f t="shared" si="14"/>
        <v>0.29080065679801265</v>
      </c>
      <c r="M164" s="10">
        <f t="shared" si="18"/>
        <v>0.34003501363320821</v>
      </c>
      <c r="P164" s="8">
        <f t="shared" si="19"/>
        <v>-4.2033836171933352</v>
      </c>
    </row>
    <row r="165" spans="1:16" x14ac:dyDescent="0.2">
      <c r="A165" s="8">
        <v>81.5</v>
      </c>
      <c r="B165" s="8">
        <v>163</v>
      </c>
      <c r="D165">
        <v>1067.8052541405</v>
      </c>
      <c r="E165">
        <v>385.46716162193002</v>
      </c>
      <c r="F165">
        <v>152.25930165999</v>
      </c>
      <c r="G165">
        <v>123.16943331425</v>
      </c>
      <c r="I165" s="9">
        <f t="shared" si="15"/>
        <v>262.29772830768002</v>
      </c>
      <c r="J165" s="9">
        <f t="shared" si="16"/>
        <v>915.54595248050998</v>
      </c>
      <c r="K165" s="9">
        <f t="shared" si="17"/>
        <v>262.29772830768002</v>
      </c>
      <c r="L165" s="10">
        <f t="shared" si="14"/>
        <v>0.28649324219830874</v>
      </c>
      <c r="M165" s="10">
        <f t="shared" si="18"/>
        <v>0.33603151481643756</v>
      </c>
      <c r="P165" s="8">
        <f t="shared" si="19"/>
        <v>-5.3312722903077399</v>
      </c>
    </row>
    <row r="166" spans="1:16" x14ac:dyDescent="0.2">
      <c r="A166" s="8">
        <v>82</v>
      </c>
      <c r="B166" s="8">
        <v>164</v>
      </c>
      <c r="D166">
        <v>1083.5482581382</v>
      </c>
      <c r="E166">
        <v>383.26556253568998</v>
      </c>
      <c r="F166">
        <v>151.89753863767001</v>
      </c>
      <c r="G166">
        <v>123.00228963938</v>
      </c>
      <c r="I166" s="9">
        <f t="shared" si="15"/>
        <v>260.26327289631001</v>
      </c>
      <c r="J166" s="9">
        <f t="shared" si="16"/>
        <v>931.65071950053004</v>
      </c>
      <c r="K166" s="9">
        <f t="shared" si="17"/>
        <v>260.26327289631001</v>
      </c>
      <c r="L166" s="10">
        <f t="shared" si="14"/>
        <v>0.27935713186143463</v>
      </c>
      <c r="M166" s="10">
        <f t="shared" si="18"/>
        <v>0.32919932026249676</v>
      </c>
      <c r="P166" s="8">
        <f t="shared" si="19"/>
        <v>-7.2560773677124155</v>
      </c>
    </row>
    <row r="167" spans="1:16" x14ac:dyDescent="0.2">
      <c r="A167" s="8">
        <v>82.5</v>
      </c>
      <c r="B167" s="8">
        <v>165</v>
      </c>
      <c r="D167">
        <v>1124.6259280411</v>
      </c>
      <c r="E167">
        <v>391.34323243861002</v>
      </c>
      <c r="F167">
        <v>152.05895821408001</v>
      </c>
      <c r="G167">
        <v>123.17916428162999</v>
      </c>
      <c r="I167" s="9">
        <f t="shared" si="15"/>
        <v>268.16406815698002</v>
      </c>
      <c r="J167" s="9">
        <f t="shared" si="16"/>
        <v>972.56696982701999</v>
      </c>
      <c r="K167" s="9">
        <f t="shared" si="17"/>
        <v>268.16406815698002</v>
      </c>
      <c r="L167" s="10">
        <f t="shared" si="14"/>
        <v>0.27572812616150788</v>
      </c>
      <c r="M167" s="10">
        <f t="shared" si="18"/>
        <v>0.32587423034550334</v>
      </c>
      <c r="P167" s="8">
        <f t="shared" si="19"/>
        <v>-8.19284079043498</v>
      </c>
    </row>
    <row r="168" spans="1:16" x14ac:dyDescent="0.2">
      <c r="A168" s="8">
        <v>83</v>
      </c>
      <c r="B168" s="8">
        <v>166</v>
      </c>
      <c r="D168">
        <v>1121.3226727583999</v>
      </c>
      <c r="E168">
        <v>396.26213592233</v>
      </c>
      <c r="F168">
        <v>151.72009158558001</v>
      </c>
      <c r="G168">
        <v>123.33772180882001</v>
      </c>
      <c r="I168" s="9">
        <f t="shared" si="15"/>
        <v>272.92441411351001</v>
      </c>
      <c r="J168" s="9">
        <f t="shared" si="16"/>
        <v>969.6025811728199</v>
      </c>
      <c r="K168" s="9">
        <f t="shared" si="17"/>
        <v>272.92441411351001</v>
      </c>
      <c r="L168" s="10">
        <f t="shared" si="14"/>
        <v>0.2814807008696118</v>
      </c>
      <c r="M168" s="10">
        <f t="shared" si="18"/>
        <v>0.33193072083654057</v>
      </c>
      <c r="P168" s="8">
        <f t="shared" si="19"/>
        <v>-6.4865715154071566</v>
      </c>
    </row>
    <row r="169" spans="1:16" x14ac:dyDescent="0.2">
      <c r="A169" s="8">
        <v>83.5</v>
      </c>
      <c r="B169" s="8">
        <v>167</v>
      </c>
      <c r="D169">
        <v>1104.4317532837999</v>
      </c>
      <c r="E169">
        <v>396.87207310109</v>
      </c>
      <c r="F169">
        <v>152.03892386948999</v>
      </c>
      <c r="G169">
        <v>123.09559244419</v>
      </c>
      <c r="I169" s="9">
        <f t="shared" si="15"/>
        <v>273.77648065689999</v>
      </c>
      <c r="J169" s="9">
        <f t="shared" si="16"/>
        <v>952.39282941430997</v>
      </c>
      <c r="K169" s="9">
        <f t="shared" si="17"/>
        <v>273.77648065689999</v>
      </c>
      <c r="L169" s="10">
        <f t="shared" si="14"/>
        <v>0.28746171978768831</v>
      </c>
      <c r="M169" s="10">
        <f t="shared" si="18"/>
        <v>0.3382156555375504</v>
      </c>
      <c r="P169" s="8">
        <f t="shared" si="19"/>
        <v>-4.7159436259125762</v>
      </c>
    </row>
    <row r="170" spans="1:16" x14ac:dyDescent="0.2">
      <c r="A170" s="8">
        <v>84</v>
      </c>
      <c r="B170" s="8">
        <v>168</v>
      </c>
      <c r="D170">
        <v>1073.4328954882999</v>
      </c>
      <c r="E170">
        <v>381.70930896631</v>
      </c>
      <c r="F170">
        <v>151.97595878649</v>
      </c>
      <c r="G170">
        <v>123.32455638237001</v>
      </c>
      <c r="I170" s="9">
        <f t="shared" si="15"/>
        <v>258.38475258393999</v>
      </c>
      <c r="J170" s="9">
        <f t="shared" si="16"/>
        <v>921.45693670180992</v>
      </c>
      <c r="K170" s="9">
        <f t="shared" si="17"/>
        <v>258.38475258393999</v>
      </c>
      <c r="L170" s="10">
        <f t="shared" si="14"/>
        <v>0.28040892883044749</v>
      </c>
      <c r="M170" s="10">
        <f t="shared" si="18"/>
        <v>0.33146678036324284</v>
      </c>
      <c r="P170" s="8">
        <f t="shared" si="19"/>
        <v>-6.6172754893011554</v>
      </c>
    </row>
    <row r="171" spans="1:16" x14ac:dyDescent="0.2">
      <c r="A171" s="8">
        <v>84.5</v>
      </c>
      <c r="B171" s="8">
        <v>169</v>
      </c>
      <c r="D171">
        <v>1097.8857795545</v>
      </c>
      <c r="E171">
        <v>392.48543689320002</v>
      </c>
      <c r="F171">
        <v>152.44934172868</v>
      </c>
      <c r="G171">
        <v>123.46823125358</v>
      </c>
      <c r="I171" s="9">
        <f t="shared" si="15"/>
        <v>269.01720563961999</v>
      </c>
      <c r="J171" s="9">
        <f t="shared" si="16"/>
        <v>945.43643782582001</v>
      </c>
      <c r="K171" s="9">
        <f t="shared" si="17"/>
        <v>269.01720563961999</v>
      </c>
      <c r="L171" s="10">
        <f t="shared" si="14"/>
        <v>0.28454287869237133</v>
      </c>
      <c r="M171" s="10">
        <f t="shared" si="18"/>
        <v>0.33590464600809999</v>
      </c>
      <c r="P171" s="8">
        <f t="shared" si="19"/>
        <v>-5.3670144994214386</v>
      </c>
    </row>
    <row r="172" spans="1:16" x14ac:dyDescent="0.2">
      <c r="A172" s="8">
        <v>85</v>
      </c>
      <c r="B172" s="8">
        <v>170</v>
      </c>
      <c r="D172">
        <v>1079.5111364934</v>
      </c>
      <c r="E172">
        <v>384.76185037122002</v>
      </c>
      <c r="F172">
        <v>152.54264453349001</v>
      </c>
      <c r="G172">
        <v>123.51402404121001</v>
      </c>
      <c r="I172" s="9">
        <f t="shared" si="15"/>
        <v>261.24782633001001</v>
      </c>
      <c r="J172" s="9">
        <f t="shared" si="16"/>
        <v>926.96849195991001</v>
      </c>
      <c r="K172" s="9">
        <f t="shared" si="17"/>
        <v>261.24782633001001</v>
      </c>
      <c r="L172" s="10">
        <f t="shared" si="14"/>
        <v>0.28183031958038612</v>
      </c>
      <c r="M172" s="10">
        <f t="shared" si="18"/>
        <v>0.33349600267904811</v>
      </c>
      <c r="P172" s="8">
        <f t="shared" si="19"/>
        <v>-6.0455913275274007</v>
      </c>
    </row>
    <row r="173" spans="1:16" x14ac:dyDescent="0.2">
      <c r="A173" s="8">
        <v>85.5</v>
      </c>
      <c r="B173" s="8">
        <v>171</v>
      </c>
      <c r="D173">
        <v>1124.8537978298</v>
      </c>
      <c r="E173">
        <v>410.85208452312997</v>
      </c>
      <c r="F173">
        <v>153.24270177446999</v>
      </c>
      <c r="G173">
        <v>123.41213508872001</v>
      </c>
      <c r="I173" s="9">
        <f t="shared" si="15"/>
        <v>287.43994943440998</v>
      </c>
      <c r="J173" s="9">
        <f t="shared" si="16"/>
        <v>971.61109605532999</v>
      </c>
      <c r="K173" s="9">
        <f t="shared" si="17"/>
        <v>287.43994943440998</v>
      </c>
      <c r="L173" s="10">
        <f t="shared" si="14"/>
        <v>0.29583847961534732</v>
      </c>
      <c r="M173" s="10">
        <f t="shared" si="18"/>
        <v>0.34780807849694262</v>
      </c>
      <c r="P173" s="8">
        <f t="shared" si="19"/>
        <v>-2.0135111540208617</v>
      </c>
    </row>
    <row r="174" spans="1:16" x14ac:dyDescent="0.2">
      <c r="A174" s="8">
        <v>86</v>
      </c>
      <c r="B174" s="8">
        <v>172</v>
      </c>
      <c r="D174">
        <v>1121.0102798401001</v>
      </c>
      <c r="E174">
        <v>423.62364363221002</v>
      </c>
      <c r="F174">
        <v>152.34230108758001</v>
      </c>
      <c r="G174">
        <v>123.40469376073</v>
      </c>
      <c r="I174" s="9">
        <f t="shared" si="15"/>
        <v>300.21894987148005</v>
      </c>
      <c r="J174" s="9">
        <f t="shared" si="16"/>
        <v>968.66797875252007</v>
      </c>
      <c r="K174" s="9">
        <f t="shared" si="17"/>
        <v>300.21894987148005</v>
      </c>
      <c r="L174" s="10">
        <f t="shared" si="14"/>
        <v>0.30992967297020707</v>
      </c>
      <c r="M174" s="10">
        <f t="shared" si="18"/>
        <v>0.36220318763473569</v>
      </c>
      <c r="P174" s="8">
        <f t="shared" si="19"/>
        <v>2.0419616431108825</v>
      </c>
    </row>
    <row r="175" spans="1:16" x14ac:dyDescent="0.2">
      <c r="A175" s="8">
        <v>86.5</v>
      </c>
      <c r="B175" s="8">
        <v>173</v>
      </c>
      <c r="D175">
        <v>1147.6893203883999</v>
      </c>
      <c r="E175">
        <v>437.58537978298</v>
      </c>
      <c r="F175">
        <v>153.27647395535001</v>
      </c>
      <c r="G175">
        <v>123.89753863767</v>
      </c>
      <c r="I175" s="9">
        <f t="shared" si="15"/>
        <v>313.68784114531002</v>
      </c>
      <c r="J175" s="9">
        <f t="shared" si="16"/>
        <v>994.41284643304994</v>
      </c>
      <c r="K175" s="9">
        <f t="shared" si="17"/>
        <v>313.68784114531002</v>
      </c>
      <c r="L175" s="10">
        <f t="shared" si="14"/>
        <v>0.31545031047266286</v>
      </c>
      <c r="M175" s="10">
        <f t="shared" si="18"/>
        <v>0.36802774092012475</v>
      </c>
      <c r="P175" s="8">
        <f t="shared" si="19"/>
        <v>3.6828882368748705</v>
      </c>
    </row>
    <row r="176" spans="1:16" x14ac:dyDescent="0.2">
      <c r="A176" s="8">
        <v>87</v>
      </c>
      <c r="B176" s="8">
        <v>174</v>
      </c>
      <c r="D176">
        <v>1147.3420902342</v>
      </c>
      <c r="E176">
        <v>453.63106796117</v>
      </c>
      <c r="F176">
        <v>153.11906124785</v>
      </c>
      <c r="G176">
        <v>123.93703491700001</v>
      </c>
      <c r="I176" s="9">
        <f t="shared" si="15"/>
        <v>329.69403304417</v>
      </c>
      <c r="J176" s="9">
        <f t="shared" si="16"/>
        <v>994.22302898634996</v>
      </c>
      <c r="K176" s="9">
        <f t="shared" si="17"/>
        <v>329.69403304417</v>
      </c>
      <c r="L176" s="10">
        <f t="shared" si="14"/>
        <v>0.33160973285873918</v>
      </c>
      <c r="M176" s="10">
        <f t="shared" si="18"/>
        <v>0.38449107908913438</v>
      </c>
      <c r="P176" s="8">
        <f t="shared" si="19"/>
        <v>8.3210343916066556</v>
      </c>
    </row>
    <row r="177" spans="1:16" x14ac:dyDescent="0.2">
      <c r="A177" s="8">
        <v>87.5</v>
      </c>
      <c r="B177" s="8">
        <v>175</v>
      </c>
      <c r="D177">
        <v>1109.7738435179999</v>
      </c>
      <c r="E177">
        <v>445.24386065106</v>
      </c>
      <c r="F177">
        <v>152.92043503148</v>
      </c>
      <c r="G177">
        <v>123.48826559817</v>
      </c>
      <c r="I177" s="9">
        <f t="shared" si="15"/>
        <v>321.75559505288999</v>
      </c>
      <c r="J177" s="9">
        <f t="shared" si="16"/>
        <v>956.85340848651992</v>
      </c>
      <c r="K177" s="9">
        <f t="shared" si="17"/>
        <v>321.75559505288999</v>
      </c>
      <c r="L177" s="10">
        <f t="shared" si="14"/>
        <v>0.33626425134631566</v>
      </c>
      <c r="M177" s="10">
        <f t="shared" si="18"/>
        <v>0.38944951335964417</v>
      </c>
      <c r="P177" s="8">
        <f t="shared" si="19"/>
        <v>9.717952963597499</v>
      </c>
    </row>
    <row r="178" spans="1:16" x14ac:dyDescent="0.2">
      <c r="A178" s="8">
        <v>88</v>
      </c>
      <c r="B178" s="8">
        <v>176</v>
      </c>
      <c r="D178">
        <v>1096.1258542140999</v>
      </c>
      <c r="E178">
        <v>450.66230068337001</v>
      </c>
      <c r="F178">
        <v>153.44018317115001</v>
      </c>
      <c r="G178">
        <v>123.79908414425</v>
      </c>
      <c r="I178" s="9">
        <f t="shared" si="15"/>
        <v>326.86321653912</v>
      </c>
      <c r="J178" s="9">
        <f t="shared" si="16"/>
        <v>942.68567104294993</v>
      </c>
      <c r="K178" s="9">
        <f t="shared" si="17"/>
        <v>326.86321653912</v>
      </c>
      <c r="L178" s="10">
        <f t="shared" si="14"/>
        <v>0.34673616729263695</v>
      </c>
      <c r="M178" s="10">
        <f t="shared" si="18"/>
        <v>0.40022534508889879</v>
      </c>
      <c r="P178" s="8">
        <f t="shared" si="19"/>
        <v>12.753782148784287</v>
      </c>
    </row>
    <row r="179" spans="1:16" x14ac:dyDescent="0.2">
      <c r="A179" s="8">
        <v>88.5</v>
      </c>
      <c r="B179" s="8">
        <v>177</v>
      </c>
      <c r="D179">
        <v>1111.8752847379999</v>
      </c>
      <c r="E179">
        <v>471.40546697039002</v>
      </c>
      <c r="F179">
        <v>152.96680022896001</v>
      </c>
      <c r="G179">
        <v>123.73153978248</v>
      </c>
      <c r="I179" s="9">
        <f t="shared" si="15"/>
        <v>347.67392718791001</v>
      </c>
      <c r="J179" s="9">
        <f t="shared" si="16"/>
        <v>958.90848450903991</v>
      </c>
      <c r="K179" s="9">
        <f t="shared" si="17"/>
        <v>347.67392718791001</v>
      </c>
      <c r="L179" s="10">
        <f t="shared" si="14"/>
        <v>0.36257258414594035</v>
      </c>
      <c r="M179" s="10">
        <f t="shared" si="18"/>
        <v>0.41636567772513544</v>
      </c>
      <c r="P179" s="8">
        <f t="shared" si="19"/>
        <v>17.300929330257524</v>
      </c>
    </row>
    <row r="180" spans="1:16" x14ac:dyDescent="0.2">
      <c r="A180" s="8">
        <v>89</v>
      </c>
      <c r="B180" s="8">
        <v>178</v>
      </c>
      <c r="D180">
        <v>1092.9897494305001</v>
      </c>
      <c r="E180">
        <v>476.86731207289</v>
      </c>
      <c r="F180">
        <v>153.29708070979001</v>
      </c>
      <c r="G180">
        <v>123.51287922152</v>
      </c>
      <c r="I180" s="9">
        <f t="shared" si="15"/>
        <v>353.35443285137001</v>
      </c>
      <c r="J180" s="9">
        <f t="shared" si="16"/>
        <v>939.69266872071012</v>
      </c>
      <c r="K180" s="9">
        <f t="shared" si="17"/>
        <v>353.35443285137001</v>
      </c>
      <c r="L180" s="10">
        <f t="shared" si="14"/>
        <v>0.37603191406443964</v>
      </c>
      <c r="M180" s="10">
        <f t="shared" si="18"/>
        <v>0.43012892342656805</v>
      </c>
      <c r="P180" s="8">
        <f t="shared" si="19"/>
        <v>21.178389932196222</v>
      </c>
    </row>
    <row r="181" spans="1:16" x14ac:dyDescent="0.2">
      <c r="A181" s="8">
        <v>89.5</v>
      </c>
      <c r="B181" s="8">
        <v>179</v>
      </c>
      <c r="D181">
        <v>1093.0165148064</v>
      </c>
      <c r="E181">
        <v>482.06719817767998</v>
      </c>
      <c r="F181">
        <v>152.40240412135</v>
      </c>
      <c r="G181">
        <v>123.75214653691999</v>
      </c>
      <c r="I181" s="9">
        <f t="shared" si="15"/>
        <v>358.31505164075998</v>
      </c>
      <c r="J181" s="9">
        <f t="shared" si="16"/>
        <v>940.61411068505004</v>
      </c>
      <c r="K181" s="9">
        <f t="shared" si="17"/>
        <v>358.31505164075998</v>
      </c>
      <c r="L181" s="10">
        <f t="shared" si="14"/>
        <v>0.38093735525591765</v>
      </c>
      <c r="M181" s="10">
        <f t="shared" si="18"/>
        <v>0.43533828040097938</v>
      </c>
      <c r="P181" s="8">
        <f t="shared" si="19"/>
        <v>22.645999889025813</v>
      </c>
    </row>
    <row r="182" spans="1:16" x14ac:dyDescent="0.2">
      <c r="A182" s="8">
        <v>90</v>
      </c>
      <c r="B182" s="8">
        <v>180</v>
      </c>
      <c r="D182">
        <v>1084.0569476082001</v>
      </c>
      <c r="E182">
        <v>480.13895216400999</v>
      </c>
      <c r="F182">
        <v>153.43674871208</v>
      </c>
      <c r="G182">
        <v>123.85403548940999</v>
      </c>
      <c r="I182" s="9">
        <f t="shared" si="15"/>
        <v>356.28491667460003</v>
      </c>
      <c r="J182" s="9">
        <f t="shared" si="16"/>
        <v>930.62019889612009</v>
      </c>
      <c r="K182" s="9">
        <f t="shared" si="17"/>
        <v>356.28491667460003</v>
      </c>
      <c r="L182" s="10">
        <f t="shared" si="14"/>
        <v>0.38284674789695822</v>
      </c>
      <c r="M182" s="10">
        <f>L182+ABS($N$2)*A182</f>
        <v>0.43755158882495326</v>
      </c>
      <c r="P182" s="8">
        <f t="shared" si="19"/>
        <v>23.269545846140012</v>
      </c>
    </row>
    <row r="183" spans="1:16" x14ac:dyDescent="0.2">
      <c r="A183" s="8">
        <v>90.5</v>
      </c>
      <c r="B183" s="8">
        <v>181</v>
      </c>
      <c r="D183">
        <v>1074.1660011409001</v>
      </c>
      <c r="E183">
        <v>479.26754135766998</v>
      </c>
      <c r="F183">
        <v>152.97824842586999</v>
      </c>
      <c r="G183">
        <v>123.74699484831</v>
      </c>
      <c r="I183" s="9">
        <f t="shared" si="15"/>
        <v>355.52054650935997</v>
      </c>
      <c r="J183" s="9">
        <f t="shared" si="16"/>
        <v>921.18775271503011</v>
      </c>
      <c r="K183" s="9">
        <f t="shared" si="17"/>
        <v>355.52054650935997</v>
      </c>
      <c r="L183" s="10">
        <f t="shared" si="14"/>
        <v>0.38593711809729242</v>
      </c>
      <c r="M183" s="10">
        <f t="shared" ref="M183:M241" si="20">L183+ABS($N$2)*A183</f>
        <v>0.44094587480822078</v>
      </c>
      <c r="P183" s="8">
        <f t="shared" si="19"/>
        <v>24.225803581948842</v>
      </c>
    </row>
    <row r="184" spans="1:16" x14ac:dyDescent="0.2">
      <c r="A184" s="8">
        <v>91</v>
      </c>
      <c r="B184" s="8">
        <v>182</v>
      </c>
      <c r="D184">
        <v>997.12721049628999</v>
      </c>
      <c r="E184">
        <v>430.34911580148002</v>
      </c>
      <c r="F184">
        <v>152.36290784202001</v>
      </c>
      <c r="G184">
        <v>123.44876931883</v>
      </c>
      <c r="I184" s="9">
        <f t="shared" si="15"/>
        <v>306.90034648265004</v>
      </c>
      <c r="J184" s="9">
        <f t="shared" si="16"/>
        <v>844.76430265426995</v>
      </c>
      <c r="K184" s="9">
        <f t="shared" si="17"/>
        <v>306.90034648265004</v>
      </c>
      <c r="L184" s="10">
        <f t="shared" si="14"/>
        <v>0.36329701138928538</v>
      </c>
      <c r="M184" s="10">
        <f t="shared" si="20"/>
        <v>0.41860968388314701</v>
      </c>
      <c r="P184" s="8">
        <f t="shared" si="19"/>
        <v>17.933123629258667</v>
      </c>
    </row>
    <row r="185" spans="1:16" x14ac:dyDescent="0.2">
      <c r="A185" s="8">
        <v>91.5</v>
      </c>
      <c r="B185" s="8">
        <v>183</v>
      </c>
      <c r="D185">
        <v>1057.0515463918</v>
      </c>
      <c r="E185">
        <v>442.25715922107997</v>
      </c>
      <c r="F185">
        <v>152.09559244419</v>
      </c>
      <c r="G185">
        <v>123.38981110475</v>
      </c>
      <c r="I185" s="9">
        <f t="shared" si="15"/>
        <v>318.86734811632999</v>
      </c>
      <c r="J185" s="9">
        <f t="shared" si="16"/>
        <v>904.95595394760994</v>
      </c>
      <c r="K185" s="9">
        <f t="shared" si="17"/>
        <v>318.86734811632999</v>
      </c>
      <c r="L185" s="10">
        <f t="shared" si="14"/>
        <v>0.35235676026591456</v>
      </c>
      <c r="M185" s="10">
        <f t="shared" si="20"/>
        <v>0.4079733485427095</v>
      </c>
      <c r="P185" s="8">
        <f t="shared" si="19"/>
        <v>14.936594167660683</v>
      </c>
    </row>
    <row r="186" spans="1:16" x14ac:dyDescent="0.2">
      <c r="A186" s="8">
        <v>92</v>
      </c>
      <c r="B186" s="8">
        <v>184</v>
      </c>
      <c r="D186">
        <v>1046.0836197021999</v>
      </c>
      <c r="E186">
        <v>434.81271477663</v>
      </c>
      <c r="F186">
        <v>152.63251287922</v>
      </c>
      <c r="G186">
        <v>123.23583285633001</v>
      </c>
      <c r="I186" s="9">
        <f t="shared" si="15"/>
        <v>311.57688192030002</v>
      </c>
      <c r="J186" s="9">
        <f t="shared" si="16"/>
        <v>893.45110682297991</v>
      </c>
      <c r="K186" s="9">
        <f t="shared" si="17"/>
        <v>311.57688192030002</v>
      </c>
      <c r="L186" s="10">
        <f t="shared" si="14"/>
        <v>0.34873411599235166</v>
      </c>
      <c r="M186" s="10">
        <f t="shared" si="20"/>
        <v>0.40465462005207992</v>
      </c>
      <c r="P186" s="8">
        <f t="shared" si="19"/>
        <v>14.001622922498051</v>
      </c>
    </row>
    <row r="187" spans="1:16" x14ac:dyDescent="0.2">
      <c r="A187" s="8">
        <v>92.5</v>
      </c>
      <c r="B187" s="8">
        <v>185</v>
      </c>
      <c r="D187">
        <v>1073.5269186713001</v>
      </c>
      <c r="E187">
        <v>455.42382588774001</v>
      </c>
      <c r="F187">
        <v>152.44132799083999</v>
      </c>
      <c r="G187">
        <v>123.2833428735</v>
      </c>
      <c r="I187" s="9">
        <f t="shared" si="15"/>
        <v>332.14048301423998</v>
      </c>
      <c r="J187" s="9">
        <f t="shared" si="16"/>
        <v>921.08559068046009</v>
      </c>
      <c r="K187" s="9">
        <f t="shared" si="17"/>
        <v>332.14048301423998</v>
      </c>
      <c r="L187" s="10">
        <f t="shared" si="14"/>
        <v>0.36059676361766585</v>
      </c>
      <c r="M187" s="10">
        <f t="shared" si="20"/>
        <v>0.41682118346032743</v>
      </c>
      <c r="P187" s="8">
        <f t="shared" si="19"/>
        <v>17.429257021303556</v>
      </c>
    </row>
    <row r="188" spans="1:16" x14ac:dyDescent="0.2">
      <c r="A188" s="8">
        <v>93</v>
      </c>
      <c r="B188" s="8">
        <v>186</v>
      </c>
      <c r="D188">
        <v>1074.7697594501999</v>
      </c>
      <c r="E188">
        <v>458.57331042382998</v>
      </c>
      <c r="F188">
        <v>152.27819118489001</v>
      </c>
      <c r="G188">
        <v>123.36348025186</v>
      </c>
      <c r="I188" s="9">
        <f t="shared" si="15"/>
        <v>335.20983017197</v>
      </c>
      <c r="J188" s="9">
        <f t="shared" si="16"/>
        <v>922.49156826530987</v>
      </c>
      <c r="K188" s="9">
        <f t="shared" si="17"/>
        <v>335.20983017197</v>
      </c>
      <c r="L188" s="10">
        <f t="shared" si="14"/>
        <v>0.36337441089278683</v>
      </c>
      <c r="M188" s="10">
        <f t="shared" si="20"/>
        <v>0.41990274651838172</v>
      </c>
      <c r="P188" s="8">
        <f t="shared" si="19"/>
        <v>18.297412659094103</v>
      </c>
    </row>
    <row r="189" spans="1:16" x14ac:dyDescent="0.2">
      <c r="A189" s="8">
        <v>93.5</v>
      </c>
      <c r="B189" s="8">
        <v>187</v>
      </c>
      <c r="D189">
        <v>1051.6849315069001</v>
      </c>
      <c r="E189">
        <v>480.20319634702997</v>
      </c>
      <c r="F189">
        <v>153.00400686891999</v>
      </c>
      <c r="G189">
        <v>123.72638809388</v>
      </c>
      <c r="I189" s="9">
        <f t="shared" si="15"/>
        <v>356.47680825314995</v>
      </c>
      <c r="J189" s="9">
        <f t="shared" si="16"/>
        <v>898.68092463798007</v>
      </c>
      <c r="K189" s="9">
        <f t="shared" si="17"/>
        <v>356.47680825314995</v>
      </c>
      <c r="L189" s="10">
        <f t="shared" si="14"/>
        <v>0.39666671282329846</v>
      </c>
      <c r="M189" s="10">
        <f t="shared" si="20"/>
        <v>0.45349896423182667</v>
      </c>
      <c r="P189" s="8">
        <f t="shared" si="19"/>
        <v>27.762332009075504</v>
      </c>
    </row>
    <row r="190" spans="1:16" x14ac:dyDescent="0.2">
      <c r="A190" s="8">
        <v>94</v>
      </c>
      <c r="B190" s="8">
        <v>188</v>
      </c>
      <c r="D190">
        <v>1017.176369863</v>
      </c>
      <c r="E190">
        <v>473.12557077626002</v>
      </c>
      <c r="F190">
        <v>152.39324556381999</v>
      </c>
      <c r="G190">
        <v>123.73497424156</v>
      </c>
      <c r="I190" s="9">
        <f t="shared" si="15"/>
        <v>349.39059653470002</v>
      </c>
      <c r="J190" s="9">
        <f t="shared" si="16"/>
        <v>864.78312429918003</v>
      </c>
      <c r="K190" s="9">
        <f t="shared" si="17"/>
        <v>349.39059653470002</v>
      </c>
      <c r="L190" s="10">
        <f t="shared" si="14"/>
        <v>0.40402106229564327</v>
      </c>
      <c r="M190" s="10">
        <f t="shared" si="20"/>
        <v>0.46115722948710475</v>
      </c>
      <c r="P190" s="8">
        <f t="shared" si="19"/>
        <v>29.919862467421225</v>
      </c>
    </row>
    <row r="191" spans="1:16" x14ac:dyDescent="0.2">
      <c r="A191" s="8">
        <v>94.5</v>
      </c>
      <c r="B191" s="8">
        <v>189</v>
      </c>
      <c r="D191">
        <v>1036.7210103330001</v>
      </c>
      <c r="E191">
        <v>467.28071182549002</v>
      </c>
      <c r="F191">
        <v>152.27303949628001</v>
      </c>
      <c r="G191">
        <v>123.59244419004</v>
      </c>
      <c r="I191" s="9">
        <f t="shared" si="15"/>
        <v>343.68826763545002</v>
      </c>
      <c r="J191" s="9">
        <f t="shared" si="16"/>
        <v>884.44797083672006</v>
      </c>
      <c r="K191" s="9">
        <f t="shared" si="17"/>
        <v>343.68826763545002</v>
      </c>
      <c r="L191" s="10">
        <f t="shared" si="14"/>
        <v>0.38859071304138826</v>
      </c>
      <c r="M191" s="10">
        <f t="shared" si="20"/>
        <v>0.44603079601578305</v>
      </c>
      <c r="P191" s="8">
        <f t="shared" si="19"/>
        <v>25.658356780082404</v>
      </c>
    </row>
    <row r="192" spans="1:16" x14ac:dyDescent="0.2">
      <c r="A192" s="8">
        <v>95</v>
      </c>
      <c r="B192" s="8">
        <v>190</v>
      </c>
      <c r="D192">
        <v>1060.7026406429</v>
      </c>
      <c r="E192">
        <v>460.74167623420999</v>
      </c>
      <c r="F192">
        <v>152.04979965654999</v>
      </c>
      <c r="G192">
        <v>122.92787635947001</v>
      </c>
      <c r="I192" s="9">
        <f t="shared" si="15"/>
        <v>337.81379987473997</v>
      </c>
      <c r="J192" s="9">
        <f t="shared" si="16"/>
        <v>908.65284098634993</v>
      </c>
      <c r="K192" s="9">
        <f t="shared" si="17"/>
        <v>337.81379987473997</v>
      </c>
      <c r="L192" s="10">
        <f t="shared" si="14"/>
        <v>0.37177432858520576</v>
      </c>
      <c r="M192" s="10">
        <f t="shared" si="20"/>
        <v>0.42951832734253387</v>
      </c>
      <c r="P192" s="8">
        <f t="shared" si="19"/>
        <v>21.00636929760898</v>
      </c>
    </row>
    <row r="193" spans="1:16" x14ac:dyDescent="0.2">
      <c r="A193" s="8">
        <v>95.5</v>
      </c>
      <c r="B193" s="8">
        <v>191</v>
      </c>
      <c r="D193">
        <v>1060.6599770641999</v>
      </c>
      <c r="E193">
        <v>494.01490825688001</v>
      </c>
      <c r="F193">
        <v>152.26617057812999</v>
      </c>
      <c r="G193">
        <v>123.61018889525</v>
      </c>
      <c r="I193" s="9">
        <f t="shared" si="15"/>
        <v>370.40471936162999</v>
      </c>
      <c r="J193" s="9">
        <f t="shared" si="16"/>
        <v>908.39380648606993</v>
      </c>
      <c r="K193" s="9">
        <f t="shared" si="17"/>
        <v>370.40471936162999</v>
      </c>
      <c r="L193" s="10">
        <f t="shared" si="14"/>
        <v>0.40775786527482238</v>
      </c>
      <c r="M193" s="10">
        <f t="shared" si="20"/>
        <v>0.46580577981508381</v>
      </c>
      <c r="P193" s="8">
        <f t="shared" si="19"/>
        <v>31.229478755895379</v>
      </c>
    </row>
    <row r="194" spans="1:16" x14ac:dyDescent="0.2">
      <c r="A194" s="8">
        <v>96</v>
      </c>
      <c r="B194" s="8">
        <v>192</v>
      </c>
      <c r="D194">
        <v>1050.5567660551001</v>
      </c>
      <c r="E194">
        <v>498.20584862384999</v>
      </c>
      <c r="F194">
        <v>152.57870635374999</v>
      </c>
      <c r="G194">
        <v>123.70234688037</v>
      </c>
      <c r="I194" s="9">
        <f t="shared" si="15"/>
        <v>374.50350174348</v>
      </c>
      <c r="J194" s="9">
        <f t="shared" si="16"/>
        <v>897.97805970135005</v>
      </c>
      <c r="K194" s="9">
        <f t="shared" si="17"/>
        <v>374.50350174348</v>
      </c>
      <c r="L194" s="10">
        <f t="shared" ref="L194:L257" si="21">K194/J194</f>
        <v>0.41705195098868292</v>
      </c>
      <c r="M194" s="10">
        <f t="shared" si="20"/>
        <v>0.47540378131187766</v>
      </c>
      <c r="P194" s="8">
        <f t="shared" si="19"/>
        <v>33.933482845373561</v>
      </c>
    </row>
    <row r="195" spans="1:16" x14ac:dyDescent="0.2">
      <c r="A195" s="8">
        <v>96.5</v>
      </c>
      <c r="B195" s="8">
        <v>193</v>
      </c>
      <c r="D195">
        <v>1086.9759174312001</v>
      </c>
      <c r="E195">
        <v>518.19896788991002</v>
      </c>
      <c r="F195">
        <v>152.74928448769001</v>
      </c>
      <c r="G195">
        <v>123.45048654836999</v>
      </c>
      <c r="I195" s="9">
        <f t="shared" ref="I195:I241" si="22">E195-G195</f>
        <v>394.74848134154001</v>
      </c>
      <c r="J195" s="9">
        <f t="shared" ref="J195:J241" si="23">D195-F195</f>
        <v>934.22663294351003</v>
      </c>
      <c r="K195" s="9">
        <f t="shared" ref="K195:K258" si="24">I195*1</f>
        <v>394.74848134154001</v>
      </c>
      <c r="L195" s="10">
        <f t="shared" si="21"/>
        <v>0.42254038519303194</v>
      </c>
      <c r="M195" s="10">
        <f t="shared" si="20"/>
        <v>0.48119613129915995</v>
      </c>
      <c r="P195" s="8">
        <f t="shared" ref="P195:P241" si="25">(M195-$O$2)/$O$2*100</f>
        <v>35.565336941096739</v>
      </c>
    </row>
    <row r="196" spans="1:16" x14ac:dyDescent="0.2">
      <c r="A196" s="8">
        <v>97</v>
      </c>
      <c r="B196" s="8">
        <v>194</v>
      </c>
      <c r="D196">
        <v>1066.9340596330001</v>
      </c>
      <c r="E196">
        <v>501.96387614679003</v>
      </c>
      <c r="F196">
        <v>152.42701774471001</v>
      </c>
      <c r="G196">
        <v>123.19805380653</v>
      </c>
      <c r="I196" s="9">
        <f t="shared" si="22"/>
        <v>378.76582234026</v>
      </c>
      <c r="J196" s="9">
        <f t="shared" si="23"/>
        <v>914.50704188829002</v>
      </c>
      <c r="K196" s="9">
        <f t="shared" si="24"/>
        <v>378.76582234026</v>
      </c>
      <c r="L196" s="10">
        <f t="shared" si="21"/>
        <v>0.41417485595100256</v>
      </c>
      <c r="M196" s="10">
        <f t="shared" si="20"/>
        <v>0.47313451784006388</v>
      </c>
      <c r="P196" s="8">
        <f t="shared" si="25"/>
        <v>33.294172910910888</v>
      </c>
    </row>
    <row r="197" spans="1:16" x14ac:dyDescent="0.2">
      <c r="A197" s="8">
        <v>97.5</v>
      </c>
      <c r="B197" s="8">
        <v>195</v>
      </c>
      <c r="D197">
        <v>1052.3738532110001</v>
      </c>
      <c r="E197">
        <v>502.01605504587002</v>
      </c>
      <c r="F197">
        <v>152.92959358901001</v>
      </c>
      <c r="G197">
        <v>123.50715512307001</v>
      </c>
      <c r="I197" s="9">
        <f t="shared" si="22"/>
        <v>378.50889992280003</v>
      </c>
      <c r="J197" s="9">
        <f t="shared" si="23"/>
        <v>899.44425962199011</v>
      </c>
      <c r="K197" s="9">
        <f t="shared" si="24"/>
        <v>378.50889992280003</v>
      </c>
      <c r="L197" s="10">
        <f t="shared" si="21"/>
        <v>0.42082529948201142</v>
      </c>
      <c r="M197" s="10">
        <f t="shared" si="20"/>
        <v>0.48008887715400606</v>
      </c>
      <c r="P197" s="8">
        <f t="shared" si="25"/>
        <v>35.253394945923269</v>
      </c>
    </row>
    <row r="198" spans="1:16" x14ac:dyDescent="0.2">
      <c r="A198" s="8">
        <v>98</v>
      </c>
      <c r="B198" s="8">
        <v>196</v>
      </c>
      <c r="D198">
        <v>1020.3059360731</v>
      </c>
      <c r="E198">
        <v>481.73687214611999</v>
      </c>
      <c r="F198">
        <v>152.61247853462999</v>
      </c>
      <c r="G198">
        <v>123.27876359472999</v>
      </c>
      <c r="I198" s="9">
        <f t="shared" si="22"/>
        <v>358.45810855139001</v>
      </c>
      <c r="J198" s="9">
        <f t="shared" si="23"/>
        <v>867.69345753847006</v>
      </c>
      <c r="K198" s="9">
        <f t="shared" si="24"/>
        <v>358.45810855139001</v>
      </c>
      <c r="L198" s="10">
        <f t="shared" si="21"/>
        <v>0.41311606701321407</v>
      </c>
      <c r="M198" s="10">
        <f t="shared" si="20"/>
        <v>0.47268356046814203</v>
      </c>
      <c r="P198" s="8">
        <f t="shared" si="25"/>
        <v>33.167126610880167</v>
      </c>
    </row>
    <row r="199" spans="1:16" x14ac:dyDescent="0.2">
      <c r="A199" s="8">
        <v>98.5</v>
      </c>
      <c r="B199" s="8">
        <v>197</v>
      </c>
      <c r="D199">
        <v>1053.5639269405999</v>
      </c>
      <c r="E199">
        <v>482.44235159816998</v>
      </c>
      <c r="F199">
        <v>152.5289066972</v>
      </c>
      <c r="G199">
        <v>123.25872925013999</v>
      </c>
      <c r="I199" s="9">
        <f t="shared" si="22"/>
        <v>359.18362234802999</v>
      </c>
      <c r="J199" s="9">
        <f t="shared" si="23"/>
        <v>901.03502024339991</v>
      </c>
      <c r="K199" s="9">
        <f t="shared" si="24"/>
        <v>359.18362234802999</v>
      </c>
      <c r="L199" s="10">
        <f t="shared" si="21"/>
        <v>0.3986344751073076</v>
      </c>
      <c r="M199" s="10">
        <f t="shared" si="20"/>
        <v>0.45850588434516881</v>
      </c>
      <c r="P199" s="8">
        <f t="shared" si="25"/>
        <v>29.172910291094965</v>
      </c>
    </row>
    <row r="200" spans="1:16" x14ac:dyDescent="0.2">
      <c r="A200" s="8">
        <v>99</v>
      </c>
      <c r="B200" s="8">
        <v>198</v>
      </c>
      <c r="D200">
        <v>1022.352739726</v>
      </c>
      <c r="E200">
        <v>458.20547945205999</v>
      </c>
      <c r="F200">
        <v>152.33943903835001</v>
      </c>
      <c r="G200">
        <v>123.18832283915</v>
      </c>
      <c r="I200" s="9">
        <f t="shared" si="22"/>
        <v>335.01715661290996</v>
      </c>
      <c r="J200" s="9">
        <f t="shared" si="23"/>
        <v>870.01330068764992</v>
      </c>
      <c r="K200" s="9">
        <f t="shared" si="24"/>
        <v>335.01715661290996</v>
      </c>
      <c r="L200" s="10">
        <f t="shared" si="21"/>
        <v>0.38507130448248977</v>
      </c>
      <c r="M200" s="10">
        <f t="shared" si="20"/>
        <v>0.44524662950328431</v>
      </c>
      <c r="P200" s="8">
        <f t="shared" si="25"/>
        <v>25.437436887817672</v>
      </c>
    </row>
    <row r="201" spans="1:16" x14ac:dyDescent="0.2">
      <c r="A201" s="8">
        <v>99.5</v>
      </c>
      <c r="B201" s="8">
        <v>199</v>
      </c>
      <c r="D201">
        <v>1049.8593570609</v>
      </c>
      <c r="E201">
        <v>496.61997703789001</v>
      </c>
      <c r="F201">
        <v>152.78649112765001</v>
      </c>
      <c r="G201">
        <v>123.15226101889</v>
      </c>
      <c r="I201" s="9">
        <f t="shared" si="22"/>
        <v>373.46771601900002</v>
      </c>
      <c r="J201" s="9">
        <f t="shared" si="23"/>
        <v>897.07286593325</v>
      </c>
      <c r="K201" s="9">
        <f t="shared" si="24"/>
        <v>373.46771601900002</v>
      </c>
      <c r="L201" s="10">
        <f t="shared" si="21"/>
        <v>0.41631815006518019</v>
      </c>
      <c r="M201" s="10">
        <f t="shared" si="20"/>
        <v>0.47679739086890804</v>
      </c>
      <c r="P201" s="8">
        <f t="shared" si="25"/>
        <v>34.326098531316603</v>
      </c>
    </row>
    <row r="202" spans="1:16" x14ac:dyDescent="0.2">
      <c r="A202" s="8">
        <v>100</v>
      </c>
      <c r="B202" s="8">
        <v>200</v>
      </c>
      <c r="D202">
        <v>1059.7824339839001</v>
      </c>
      <c r="E202">
        <v>522.58783008037005</v>
      </c>
      <c r="F202">
        <v>152.74184315970001</v>
      </c>
      <c r="G202">
        <v>123.61591299369999</v>
      </c>
      <c r="I202" s="9">
        <f t="shared" si="22"/>
        <v>398.97191708667003</v>
      </c>
      <c r="J202" s="9">
        <f t="shared" si="23"/>
        <v>907.04059082420008</v>
      </c>
      <c r="K202" s="9">
        <f t="shared" si="24"/>
        <v>398.97191708667003</v>
      </c>
      <c r="L202" s="10">
        <f t="shared" si="21"/>
        <v>0.43986114968034279</v>
      </c>
      <c r="M202" s="10">
        <f t="shared" si="20"/>
        <v>0.50064430626700396</v>
      </c>
      <c r="P202" s="8">
        <f t="shared" si="25"/>
        <v>41.04438845650899</v>
      </c>
    </row>
    <row r="203" spans="1:16" x14ac:dyDescent="0.2">
      <c r="A203" s="8">
        <v>100.5</v>
      </c>
      <c r="B203" s="8">
        <v>201</v>
      </c>
      <c r="D203">
        <v>1052.7027952082001</v>
      </c>
      <c r="E203">
        <v>530.52025099828995</v>
      </c>
      <c r="F203">
        <v>152.45277618775</v>
      </c>
      <c r="G203">
        <v>123.41785918718</v>
      </c>
      <c r="I203" s="9">
        <f t="shared" si="22"/>
        <v>407.10239181110995</v>
      </c>
      <c r="J203" s="9">
        <f t="shared" si="23"/>
        <v>900.25001902045005</v>
      </c>
      <c r="K203" s="9">
        <f t="shared" si="24"/>
        <v>407.10239181110995</v>
      </c>
      <c r="L203" s="10">
        <f t="shared" si="21"/>
        <v>0.45221036735336323</v>
      </c>
      <c r="M203" s="10">
        <f t="shared" si="20"/>
        <v>0.51329743972295772</v>
      </c>
      <c r="P203" s="8">
        <f t="shared" si="25"/>
        <v>44.609101862840632</v>
      </c>
    </row>
    <row r="204" spans="1:16" x14ac:dyDescent="0.2">
      <c r="A204" s="8">
        <v>101</v>
      </c>
      <c r="B204" s="8">
        <v>202</v>
      </c>
      <c r="D204">
        <v>1041.0713063319999</v>
      </c>
      <c r="E204">
        <v>528.23445521962003</v>
      </c>
      <c r="F204">
        <v>152.46594161420001</v>
      </c>
      <c r="G204">
        <v>123.66685746995</v>
      </c>
      <c r="I204" s="9">
        <f t="shared" si="22"/>
        <v>404.56759774967003</v>
      </c>
      <c r="J204" s="9">
        <f t="shared" si="23"/>
        <v>888.60536471779994</v>
      </c>
      <c r="K204" s="9">
        <f t="shared" si="24"/>
        <v>404.56759774967003</v>
      </c>
      <c r="L204" s="10">
        <f t="shared" si="21"/>
        <v>0.45528376691508177</v>
      </c>
      <c r="M204" s="10">
        <f t="shared" si="20"/>
        <v>0.51667475506760951</v>
      </c>
      <c r="P204" s="8">
        <f t="shared" si="25"/>
        <v>45.560578532900173</v>
      </c>
    </row>
    <row r="205" spans="1:16" x14ac:dyDescent="0.2">
      <c r="A205" s="8">
        <v>101.5</v>
      </c>
      <c r="B205" s="8">
        <v>203</v>
      </c>
      <c r="D205">
        <v>1017.4403879065</v>
      </c>
      <c r="E205">
        <v>510.35025670279998</v>
      </c>
      <c r="F205">
        <v>152.55237550085999</v>
      </c>
      <c r="G205">
        <v>123.6599885518</v>
      </c>
      <c r="I205" s="9">
        <f t="shared" si="22"/>
        <v>386.690268151</v>
      </c>
      <c r="J205" s="9">
        <f t="shared" si="23"/>
        <v>864.88801240563998</v>
      </c>
      <c r="K205" s="9">
        <f t="shared" si="24"/>
        <v>386.690268151</v>
      </c>
      <c r="L205" s="10">
        <f t="shared" si="21"/>
        <v>0.44709865624734652</v>
      </c>
      <c r="M205" s="10">
        <f t="shared" si="20"/>
        <v>0.50879356018280764</v>
      </c>
      <c r="P205" s="8">
        <f t="shared" si="25"/>
        <v>43.340243059354187</v>
      </c>
    </row>
    <row r="206" spans="1:16" x14ac:dyDescent="0.2">
      <c r="A206" s="8">
        <v>102</v>
      </c>
      <c r="B206" s="8">
        <v>204</v>
      </c>
      <c r="D206">
        <v>1048.5213918996001</v>
      </c>
      <c r="E206">
        <v>507.57615516257999</v>
      </c>
      <c r="F206">
        <v>152.43732112192001</v>
      </c>
      <c r="G206">
        <v>123.50658271322</v>
      </c>
      <c r="I206" s="9">
        <f t="shared" si="22"/>
        <v>384.06957244936001</v>
      </c>
      <c r="J206" s="9">
        <f t="shared" si="23"/>
        <v>896.08407077768004</v>
      </c>
      <c r="K206" s="9">
        <f t="shared" si="24"/>
        <v>384.06957244936001</v>
      </c>
      <c r="L206" s="10">
        <f t="shared" si="21"/>
        <v>0.42860886045663044</v>
      </c>
      <c r="M206" s="10">
        <f t="shared" si="20"/>
        <v>0.49060768017502482</v>
      </c>
      <c r="P206" s="8">
        <f t="shared" si="25"/>
        <v>38.216812527672076</v>
      </c>
    </row>
    <row r="207" spans="1:16" x14ac:dyDescent="0.2">
      <c r="A207" s="8">
        <v>102.5</v>
      </c>
      <c r="B207" s="8">
        <v>205</v>
      </c>
      <c r="D207">
        <v>1085.3120365088</v>
      </c>
      <c r="E207">
        <v>512.02224757558997</v>
      </c>
      <c r="F207">
        <v>153.06639954207</v>
      </c>
      <c r="G207">
        <v>123.46479679450999</v>
      </c>
      <c r="I207" s="9">
        <f t="shared" si="22"/>
        <v>388.55745078107998</v>
      </c>
      <c r="J207" s="9">
        <f t="shared" si="23"/>
        <v>932.24563696672999</v>
      </c>
      <c r="K207" s="9">
        <f t="shared" si="24"/>
        <v>388.55745078107998</v>
      </c>
      <c r="L207" s="10">
        <f t="shared" si="21"/>
        <v>0.41679728536498029</v>
      </c>
      <c r="M207" s="10">
        <f t="shared" si="20"/>
        <v>0.47910002086630799</v>
      </c>
      <c r="P207" s="8">
        <f t="shared" si="25"/>
        <v>34.974808674944363</v>
      </c>
    </row>
    <row r="208" spans="1:16" x14ac:dyDescent="0.2">
      <c r="A208" s="8">
        <v>103</v>
      </c>
      <c r="B208" s="8">
        <v>206</v>
      </c>
      <c r="D208">
        <v>1070.4375356532</v>
      </c>
      <c r="E208">
        <v>522.02281802623997</v>
      </c>
      <c r="F208">
        <v>152.78763594733999</v>
      </c>
      <c r="G208">
        <v>123.58843732112</v>
      </c>
      <c r="I208" s="9">
        <f t="shared" si="22"/>
        <v>398.43438070511996</v>
      </c>
      <c r="J208" s="9">
        <f t="shared" si="23"/>
        <v>917.64989970585998</v>
      </c>
      <c r="K208" s="9">
        <f t="shared" si="24"/>
        <v>398.43438070511996</v>
      </c>
      <c r="L208" s="10">
        <f t="shared" si="21"/>
        <v>0.43418996812709576</v>
      </c>
      <c r="M208" s="10">
        <f t="shared" si="20"/>
        <v>0.49679661941135678</v>
      </c>
      <c r="P208" s="8">
        <f t="shared" si="25"/>
        <v>39.960396023690883</v>
      </c>
    </row>
    <row r="209" spans="1:16" x14ac:dyDescent="0.2">
      <c r="A209" s="8">
        <v>103.5</v>
      </c>
      <c r="B209" s="8">
        <v>207</v>
      </c>
      <c r="D209">
        <v>1052.5852823731</v>
      </c>
      <c r="E209">
        <v>508.17855105532999</v>
      </c>
      <c r="F209">
        <v>152.21808815112001</v>
      </c>
      <c r="G209">
        <v>123.81797366915001</v>
      </c>
      <c r="I209" s="9">
        <f t="shared" si="22"/>
        <v>384.36057738618001</v>
      </c>
      <c r="J209" s="9">
        <f t="shared" si="23"/>
        <v>900.36719422197996</v>
      </c>
      <c r="K209" s="9">
        <f t="shared" si="24"/>
        <v>384.36057738618001</v>
      </c>
      <c r="L209" s="10">
        <f t="shared" si="21"/>
        <v>0.42689313854700295</v>
      </c>
      <c r="M209" s="10">
        <f t="shared" si="20"/>
        <v>0.48980370561419723</v>
      </c>
      <c r="P209" s="8">
        <f t="shared" si="25"/>
        <v>37.990312198302419</v>
      </c>
    </row>
    <row r="210" spans="1:16" x14ac:dyDescent="0.2">
      <c r="A210" s="8">
        <v>104</v>
      </c>
      <c r="B210" s="8">
        <v>208</v>
      </c>
      <c r="D210">
        <v>1058.199087279</v>
      </c>
      <c r="E210">
        <v>511.37706788362999</v>
      </c>
      <c r="F210">
        <v>152.92272467085999</v>
      </c>
      <c r="G210">
        <v>123.15168860903999</v>
      </c>
      <c r="I210" s="9">
        <f t="shared" si="22"/>
        <v>388.22537927459001</v>
      </c>
      <c r="J210" s="9">
        <f t="shared" si="23"/>
        <v>905.27636260813995</v>
      </c>
      <c r="K210" s="9">
        <f t="shared" si="24"/>
        <v>388.22537927459001</v>
      </c>
      <c r="L210" s="10">
        <f t="shared" si="21"/>
        <v>0.42884736121475225</v>
      </c>
      <c r="M210" s="10">
        <f t="shared" si="20"/>
        <v>0.49206184406487985</v>
      </c>
      <c r="P210" s="8">
        <f t="shared" si="25"/>
        <v>38.626487927936701</v>
      </c>
    </row>
    <row r="211" spans="1:16" x14ac:dyDescent="0.2">
      <c r="A211" s="8">
        <v>104.5</v>
      </c>
      <c r="B211" s="8">
        <v>209</v>
      </c>
      <c r="D211">
        <v>1033.8784940103001</v>
      </c>
      <c r="E211">
        <v>506.82601254990999</v>
      </c>
      <c r="F211">
        <v>152.76760160275001</v>
      </c>
      <c r="G211">
        <v>123.46536920435</v>
      </c>
      <c r="I211" s="9">
        <f t="shared" si="22"/>
        <v>383.36064334555999</v>
      </c>
      <c r="J211" s="9">
        <f t="shared" si="23"/>
        <v>881.11089240755007</v>
      </c>
      <c r="K211" s="9">
        <f t="shared" si="24"/>
        <v>383.36064334555999</v>
      </c>
      <c r="L211" s="10">
        <f t="shared" si="21"/>
        <v>0.43508784949651935</v>
      </c>
      <c r="M211" s="10">
        <f t="shared" si="20"/>
        <v>0.49860624812958027</v>
      </c>
      <c r="P211" s="8">
        <f t="shared" si="25"/>
        <v>40.470215016337221</v>
      </c>
    </row>
    <row r="212" spans="1:16" x14ac:dyDescent="0.2">
      <c r="A212" s="8">
        <v>105</v>
      </c>
      <c r="B212" s="8">
        <v>210</v>
      </c>
      <c r="D212">
        <v>1082.515651679</v>
      </c>
      <c r="E212">
        <v>511.41035856574001</v>
      </c>
      <c r="F212">
        <v>152.43331425301</v>
      </c>
      <c r="G212">
        <v>122.99141385231999</v>
      </c>
      <c r="I212" s="9">
        <f t="shared" si="22"/>
        <v>388.41894471342005</v>
      </c>
      <c r="J212" s="9">
        <f t="shared" si="23"/>
        <v>930.08233742599009</v>
      </c>
      <c r="K212" s="9">
        <f t="shared" si="24"/>
        <v>388.41894471342005</v>
      </c>
      <c r="L212" s="10">
        <f t="shared" si="21"/>
        <v>0.41761780552501665</v>
      </c>
      <c r="M212" s="10">
        <f t="shared" si="20"/>
        <v>0.48144011994101088</v>
      </c>
      <c r="P212" s="8">
        <f t="shared" si="25"/>
        <v>35.634074822162034</v>
      </c>
    </row>
    <row r="213" spans="1:16" x14ac:dyDescent="0.2">
      <c r="A213" s="8">
        <v>105.5</v>
      </c>
      <c r="B213" s="8">
        <v>211</v>
      </c>
      <c r="D213">
        <v>1097.6750142287999</v>
      </c>
      <c r="E213">
        <v>495.16562322139998</v>
      </c>
      <c r="F213">
        <v>152.10704064110001</v>
      </c>
      <c r="G213">
        <v>123.2644533486</v>
      </c>
      <c r="I213" s="9">
        <f t="shared" si="22"/>
        <v>371.90116987279998</v>
      </c>
      <c r="J213" s="9">
        <f t="shared" si="23"/>
        <v>945.56797358769995</v>
      </c>
      <c r="K213" s="9">
        <f t="shared" si="24"/>
        <v>371.90116987279998</v>
      </c>
      <c r="L213" s="10">
        <f t="shared" si="21"/>
        <v>0.39330982040531931</v>
      </c>
      <c r="M213" s="10">
        <f t="shared" si="20"/>
        <v>0.45743605060424686</v>
      </c>
      <c r="P213" s="8">
        <f t="shared" si="25"/>
        <v>28.871510587054384</v>
      </c>
    </row>
    <row r="214" spans="1:16" x14ac:dyDescent="0.2">
      <c r="A214" s="8">
        <v>106</v>
      </c>
      <c r="B214" s="8">
        <v>212</v>
      </c>
      <c r="D214">
        <v>1152.7285145133999</v>
      </c>
      <c r="E214">
        <v>537.59362549801006</v>
      </c>
      <c r="F214">
        <v>152.97137950773001</v>
      </c>
      <c r="G214">
        <v>123.30967372639</v>
      </c>
      <c r="I214" s="9">
        <f t="shared" si="22"/>
        <v>414.28395177162008</v>
      </c>
      <c r="J214" s="9">
        <f t="shared" si="23"/>
        <v>999.75713500566985</v>
      </c>
      <c r="K214" s="9">
        <f t="shared" si="24"/>
        <v>414.28395177162008</v>
      </c>
      <c r="L214" s="10">
        <f t="shared" si="21"/>
        <v>0.41438459128303251</v>
      </c>
      <c r="M214" s="10">
        <f t="shared" si="20"/>
        <v>0.47881473726489332</v>
      </c>
      <c r="P214" s="8">
        <f t="shared" si="25"/>
        <v>34.894436940771989</v>
      </c>
    </row>
    <row r="215" spans="1:16" x14ac:dyDescent="0.2">
      <c r="A215" s="8">
        <v>106.5</v>
      </c>
      <c r="B215" s="8">
        <v>213</v>
      </c>
      <c r="D215">
        <v>1114.5844304522</v>
      </c>
      <c r="E215">
        <v>523.71207784774003</v>
      </c>
      <c r="F215">
        <v>152.82140812822001</v>
      </c>
      <c r="G215">
        <v>123.72524327418</v>
      </c>
      <c r="I215" s="9">
        <f t="shared" si="22"/>
        <v>399.98683457356003</v>
      </c>
      <c r="J215" s="9">
        <f t="shared" si="23"/>
        <v>961.76302232397995</v>
      </c>
      <c r="K215" s="9">
        <f t="shared" si="24"/>
        <v>399.98683457356003</v>
      </c>
      <c r="L215" s="10">
        <f t="shared" si="21"/>
        <v>0.41588917985954788</v>
      </c>
      <c r="M215" s="10">
        <f t="shared" si="20"/>
        <v>0.480623241624342</v>
      </c>
      <c r="P215" s="8">
        <f t="shared" si="25"/>
        <v>35.403939172608681</v>
      </c>
    </row>
    <row r="216" spans="1:16" x14ac:dyDescent="0.2">
      <c r="A216" s="8">
        <v>107</v>
      </c>
      <c r="B216" s="8">
        <v>214</v>
      </c>
      <c r="D216">
        <v>1104.9341728678</v>
      </c>
      <c r="E216">
        <v>527.85174585003006</v>
      </c>
      <c r="F216">
        <v>153.10246136233999</v>
      </c>
      <c r="G216">
        <v>123.74699484831</v>
      </c>
      <c r="I216" s="9">
        <f t="shared" si="22"/>
        <v>404.10475100172005</v>
      </c>
      <c r="J216" s="9">
        <f t="shared" si="23"/>
        <v>951.83171150546002</v>
      </c>
      <c r="K216" s="9">
        <f t="shared" si="24"/>
        <v>404.10475100172005</v>
      </c>
      <c r="L216" s="10">
        <f t="shared" si="21"/>
        <v>0.42455483056198007</v>
      </c>
      <c r="M216" s="10">
        <f t="shared" si="20"/>
        <v>0.48959280810970751</v>
      </c>
      <c r="P216" s="8">
        <f t="shared" si="25"/>
        <v>37.93089694245031</v>
      </c>
    </row>
    <row r="217" spans="1:16" x14ac:dyDescent="0.2">
      <c r="A217" s="8">
        <v>107.5</v>
      </c>
      <c r="B217" s="8">
        <v>215</v>
      </c>
      <c r="D217">
        <v>1120.3131081854999</v>
      </c>
      <c r="E217">
        <v>539.60217515740999</v>
      </c>
      <c r="F217">
        <v>153.12478534631001</v>
      </c>
      <c r="G217">
        <v>124.03606182026</v>
      </c>
      <c r="I217" s="9">
        <f t="shared" si="22"/>
        <v>415.56611333715</v>
      </c>
      <c r="J217" s="9">
        <f t="shared" si="23"/>
        <v>967.18832283918994</v>
      </c>
      <c r="K217" s="9">
        <f t="shared" si="24"/>
        <v>415.56611333715</v>
      </c>
      <c r="L217" s="10">
        <f t="shared" si="21"/>
        <v>0.42966411351747091</v>
      </c>
      <c r="M217" s="10">
        <f t="shared" si="20"/>
        <v>0.49500600684813167</v>
      </c>
      <c r="P217" s="8">
        <f t="shared" si="25"/>
        <v>39.455934371413683</v>
      </c>
    </row>
    <row r="218" spans="1:16" x14ac:dyDescent="0.2">
      <c r="A218" s="8">
        <v>108</v>
      </c>
      <c r="B218" s="8">
        <v>216</v>
      </c>
      <c r="D218">
        <v>1102.4825414996999</v>
      </c>
      <c r="E218">
        <v>540.30165998855</v>
      </c>
      <c r="F218">
        <v>153.10417859187001</v>
      </c>
      <c r="G218">
        <v>123.43159702347</v>
      </c>
      <c r="I218" s="9">
        <f t="shared" si="22"/>
        <v>416.87006296508002</v>
      </c>
      <c r="J218" s="9">
        <f t="shared" si="23"/>
        <v>949.37836290782991</v>
      </c>
      <c r="K218" s="9">
        <f t="shared" si="24"/>
        <v>416.87006296508002</v>
      </c>
      <c r="L218" s="10">
        <f t="shared" si="21"/>
        <v>0.43909791844029178</v>
      </c>
      <c r="M218" s="10">
        <f t="shared" si="20"/>
        <v>0.50474372755388586</v>
      </c>
      <c r="P218" s="8">
        <f t="shared" si="25"/>
        <v>42.199300958650753</v>
      </c>
    </row>
    <row r="219" spans="1:16" x14ac:dyDescent="0.2">
      <c r="A219" s="8">
        <v>108.5</v>
      </c>
      <c r="B219" s="8">
        <v>217</v>
      </c>
      <c r="D219">
        <v>1075.6846021752001</v>
      </c>
      <c r="E219">
        <v>524.24613623354003</v>
      </c>
      <c r="F219">
        <v>153.37836290784</v>
      </c>
      <c r="G219">
        <v>123.47681740126001</v>
      </c>
      <c r="I219" s="9">
        <f t="shared" si="22"/>
        <v>400.76931883228002</v>
      </c>
      <c r="J219" s="9">
        <f t="shared" si="23"/>
        <v>922.30623926736007</v>
      </c>
      <c r="K219" s="9">
        <f t="shared" si="24"/>
        <v>400.76931883228002</v>
      </c>
      <c r="L219" s="10">
        <f t="shared" si="21"/>
        <v>0.43452955403471383</v>
      </c>
      <c r="M219" s="10">
        <f t="shared" si="20"/>
        <v>0.50047927893124122</v>
      </c>
      <c r="P219" s="8">
        <f t="shared" si="25"/>
        <v>40.99789600795841</v>
      </c>
    </row>
    <row r="220" spans="1:16" x14ac:dyDescent="0.2">
      <c r="A220" s="8">
        <v>109</v>
      </c>
      <c r="B220" s="8">
        <v>218</v>
      </c>
      <c r="D220">
        <v>1093.9879793933001</v>
      </c>
      <c r="E220">
        <v>532.96737263881005</v>
      </c>
      <c r="F220">
        <v>151.93875214654</v>
      </c>
      <c r="G220">
        <v>123.28906697195001</v>
      </c>
      <c r="I220" s="9">
        <f t="shared" si="22"/>
        <v>409.67830566686007</v>
      </c>
      <c r="J220" s="9">
        <f t="shared" si="23"/>
        <v>942.0492272467601</v>
      </c>
      <c r="K220" s="9">
        <f t="shared" si="24"/>
        <v>409.67830566686007</v>
      </c>
      <c r="L220" s="10">
        <f t="shared" si="21"/>
        <v>0.43487993389070428</v>
      </c>
      <c r="M220" s="10">
        <f t="shared" si="20"/>
        <v>0.50113357457016494</v>
      </c>
      <c r="P220" s="8">
        <f t="shared" si="25"/>
        <v>41.182227932054111</v>
      </c>
    </row>
    <row r="221" spans="1:16" x14ac:dyDescent="0.2">
      <c r="A221" s="8">
        <v>109.5</v>
      </c>
      <c r="B221" s="8">
        <v>219</v>
      </c>
      <c r="D221">
        <v>1092.8609044075999</v>
      </c>
      <c r="E221">
        <v>528.87922152261001</v>
      </c>
      <c r="F221">
        <v>152.69834001145</v>
      </c>
      <c r="G221">
        <v>123.16485403548999</v>
      </c>
      <c r="I221" s="9">
        <f t="shared" si="22"/>
        <v>405.71436748712</v>
      </c>
      <c r="J221" s="9">
        <f t="shared" si="23"/>
        <v>940.16256439614995</v>
      </c>
      <c r="K221" s="9">
        <f t="shared" si="24"/>
        <v>405.71436748712</v>
      </c>
      <c r="L221" s="10">
        <f t="shared" si="21"/>
        <v>0.43153639897128138</v>
      </c>
      <c r="M221" s="10">
        <f t="shared" si="20"/>
        <v>0.49809395543367535</v>
      </c>
      <c r="P221" s="8">
        <f t="shared" si="25"/>
        <v>40.325888976671628</v>
      </c>
    </row>
    <row r="222" spans="1:16" x14ac:dyDescent="0.2">
      <c r="A222" s="8">
        <v>110</v>
      </c>
      <c r="B222" s="8">
        <v>220</v>
      </c>
      <c r="D222">
        <v>1093.1946193475001</v>
      </c>
      <c r="E222">
        <v>530.47223812250002</v>
      </c>
      <c r="F222">
        <v>152.46078992559001</v>
      </c>
      <c r="G222">
        <v>123.1070406411</v>
      </c>
      <c r="I222" s="9">
        <f t="shared" si="22"/>
        <v>407.3651974814</v>
      </c>
      <c r="J222" s="9">
        <f t="shared" si="23"/>
        <v>940.73382942191006</v>
      </c>
      <c r="K222" s="9">
        <f t="shared" si="24"/>
        <v>407.3651974814</v>
      </c>
      <c r="L222" s="10">
        <f t="shared" si="21"/>
        <v>0.43302917864847046</v>
      </c>
      <c r="M222" s="10">
        <f t="shared" si="20"/>
        <v>0.49989065089379775</v>
      </c>
      <c r="P222" s="8">
        <f t="shared" si="25"/>
        <v>40.832064337588243</v>
      </c>
    </row>
    <row r="223" spans="1:16" x14ac:dyDescent="0.2">
      <c r="A223" s="8">
        <v>110.5</v>
      </c>
      <c r="B223" s="8">
        <v>221</v>
      </c>
      <c r="D223">
        <v>1104.3457355467001</v>
      </c>
      <c r="E223">
        <v>528.56325128792002</v>
      </c>
      <c r="F223">
        <v>152.5477962221</v>
      </c>
      <c r="G223">
        <v>123.07155123068</v>
      </c>
      <c r="I223" s="9">
        <f t="shared" si="22"/>
        <v>405.49170005724</v>
      </c>
      <c r="J223" s="9">
        <f t="shared" si="23"/>
        <v>951.79793932460007</v>
      </c>
      <c r="K223" s="9">
        <f t="shared" si="24"/>
        <v>405.49170005724</v>
      </c>
      <c r="L223" s="10">
        <f t="shared" si="21"/>
        <v>0.42602708337967055</v>
      </c>
      <c r="M223" s="10">
        <f t="shared" si="20"/>
        <v>0.4931924714079311</v>
      </c>
      <c r="P223" s="8">
        <f t="shared" si="25"/>
        <v>38.945014754621155</v>
      </c>
    </row>
    <row r="224" spans="1:16" x14ac:dyDescent="0.2">
      <c r="A224" s="8">
        <v>111</v>
      </c>
      <c r="B224" s="8">
        <v>222</v>
      </c>
      <c r="D224">
        <v>1097.1625643960999</v>
      </c>
      <c r="E224">
        <v>526.04579278764004</v>
      </c>
      <c r="F224">
        <v>152.35947338294</v>
      </c>
      <c r="G224">
        <v>123.13566113336999</v>
      </c>
      <c r="I224" s="9">
        <f t="shared" si="22"/>
        <v>402.91013165427006</v>
      </c>
      <c r="J224" s="9">
        <f t="shared" si="23"/>
        <v>944.80309101315993</v>
      </c>
      <c r="K224" s="9">
        <f t="shared" si="24"/>
        <v>402.91013165427006</v>
      </c>
      <c r="L224" s="10">
        <f t="shared" si="21"/>
        <v>0.42644878651085832</v>
      </c>
      <c r="M224" s="10">
        <f t="shared" si="20"/>
        <v>0.49391809032205219</v>
      </c>
      <c r="P224" s="8">
        <f t="shared" si="25"/>
        <v>39.149440281314561</v>
      </c>
    </row>
    <row r="225" spans="1:16" x14ac:dyDescent="0.2">
      <c r="A225" s="8">
        <v>111.5</v>
      </c>
      <c r="B225" s="8">
        <v>223</v>
      </c>
      <c r="D225">
        <v>1091.4001144819999</v>
      </c>
      <c r="E225">
        <v>506.22323983973001</v>
      </c>
      <c r="F225">
        <v>152.59072696050001</v>
      </c>
      <c r="G225">
        <v>123.19404693761</v>
      </c>
      <c r="I225" s="9">
        <f t="shared" si="22"/>
        <v>383.02919290212003</v>
      </c>
      <c r="J225" s="9">
        <f t="shared" si="23"/>
        <v>938.80938752149996</v>
      </c>
      <c r="K225" s="9">
        <f t="shared" si="24"/>
        <v>383.02919290212003</v>
      </c>
      <c r="L225" s="10">
        <f t="shared" si="21"/>
        <v>0.40799463447349493</v>
      </c>
      <c r="M225" s="10">
        <f t="shared" si="20"/>
        <v>0.47576785406762212</v>
      </c>
      <c r="P225" s="8">
        <f t="shared" si="25"/>
        <v>34.036051512478842</v>
      </c>
    </row>
    <row r="226" spans="1:16" x14ac:dyDescent="0.2">
      <c r="A226" s="8">
        <v>112</v>
      </c>
      <c r="B226" s="8">
        <v>224</v>
      </c>
      <c r="D226">
        <v>1107.2919290212001</v>
      </c>
      <c r="E226">
        <v>493.96737263880999</v>
      </c>
      <c r="F226">
        <v>152.48196908987001</v>
      </c>
      <c r="G226">
        <v>123.39610761305001</v>
      </c>
      <c r="I226" s="9">
        <f t="shared" si="22"/>
        <v>370.57126502576</v>
      </c>
      <c r="J226" s="9">
        <f t="shared" si="23"/>
        <v>954.80995993133001</v>
      </c>
      <c r="K226" s="9">
        <f t="shared" si="24"/>
        <v>370.57126502576</v>
      </c>
      <c r="L226" s="10">
        <f t="shared" si="21"/>
        <v>0.38810997012684234</v>
      </c>
      <c r="M226" s="10">
        <f t="shared" si="20"/>
        <v>0.45618710550390285</v>
      </c>
      <c r="P226" s="8">
        <f t="shared" si="25"/>
        <v>28.519650602453211</v>
      </c>
    </row>
    <row r="227" spans="1:16" x14ac:dyDescent="0.2">
      <c r="A227" s="8">
        <v>112.5</v>
      </c>
      <c r="B227" s="8">
        <v>225</v>
      </c>
      <c r="D227">
        <v>1104.4327418431999</v>
      </c>
      <c r="E227">
        <v>490.38923869490998</v>
      </c>
      <c r="F227">
        <v>152.62907842014999</v>
      </c>
      <c r="G227">
        <v>123.11276473955</v>
      </c>
      <c r="I227" s="9">
        <f t="shared" si="22"/>
        <v>367.27647395535996</v>
      </c>
      <c r="J227" s="9">
        <f t="shared" si="23"/>
        <v>951.8036634230499</v>
      </c>
      <c r="K227" s="9">
        <f t="shared" si="24"/>
        <v>367.27647395535996</v>
      </c>
      <c r="L227" s="10">
        <f t="shared" si="21"/>
        <v>0.38587419661161348</v>
      </c>
      <c r="M227" s="10">
        <f t="shared" si="20"/>
        <v>0.45425524777160731</v>
      </c>
      <c r="P227" s="8">
        <f t="shared" si="25"/>
        <v>27.975396550173453</v>
      </c>
    </row>
    <row r="228" spans="1:16" x14ac:dyDescent="0.2">
      <c r="A228" s="8">
        <v>113</v>
      </c>
      <c r="B228" s="8">
        <v>226</v>
      </c>
      <c r="D228">
        <v>1098.9811104751</v>
      </c>
      <c r="E228">
        <v>481.96107613050998</v>
      </c>
      <c r="F228">
        <v>152.47510017171999</v>
      </c>
      <c r="G228">
        <v>122.80824270177</v>
      </c>
      <c r="I228" s="9">
        <f t="shared" si="22"/>
        <v>359.15283342874</v>
      </c>
      <c r="J228" s="9">
        <f t="shared" si="23"/>
        <v>946.50601030337998</v>
      </c>
      <c r="K228" s="9">
        <f t="shared" si="24"/>
        <v>359.15283342874</v>
      </c>
      <c r="L228" s="10">
        <f t="shared" si="21"/>
        <v>0.3794511915604446</v>
      </c>
      <c r="M228" s="10">
        <f t="shared" si="20"/>
        <v>0.44813615850337174</v>
      </c>
      <c r="P228" s="8">
        <f t="shared" si="25"/>
        <v>26.251491588216723</v>
      </c>
    </row>
    <row r="229" spans="1:16" x14ac:dyDescent="0.2">
      <c r="A229" s="8">
        <v>113.5</v>
      </c>
      <c r="B229" s="8">
        <v>227</v>
      </c>
      <c r="D229">
        <v>1059.1356611333999</v>
      </c>
      <c r="E229">
        <v>455.96622781911998</v>
      </c>
      <c r="F229">
        <v>152.10875787064001</v>
      </c>
      <c r="G229">
        <v>123.0062965083</v>
      </c>
      <c r="I229" s="9">
        <f t="shared" si="22"/>
        <v>332.95993131081997</v>
      </c>
      <c r="J229" s="9">
        <f t="shared" si="23"/>
        <v>907.0269032627599</v>
      </c>
      <c r="K229" s="9">
        <f t="shared" si="24"/>
        <v>332.95993131081997</v>
      </c>
      <c r="L229" s="10">
        <f t="shared" si="21"/>
        <v>0.3670893664929844</v>
      </c>
      <c r="M229" s="10">
        <f t="shared" si="20"/>
        <v>0.4360782492188448</v>
      </c>
      <c r="P229" s="8">
        <f t="shared" si="25"/>
        <v>22.854468152993348</v>
      </c>
    </row>
    <row r="230" spans="1:16" x14ac:dyDescent="0.2">
      <c r="A230" s="8">
        <v>114</v>
      </c>
      <c r="B230" s="8">
        <v>228</v>
      </c>
      <c r="D230">
        <v>1031.7899255867001</v>
      </c>
      <c r="E230">
        <v>428.50200343445999</v>
      </c>
      <c r="F230">
        <v>152.51058958214</v>
      </c>
      <c r="G230">
        <v>122.96680022896</v>
      </c>
      <c r="I230" s="9">
        <f t="shared" si="22"/>
        <v>305.53520320550001</v>
      </c>
      <c r="J230" s="9">
        <f t="shared" si="23"/>
        <v>879.27933600456004</v>
      </c>
      <c r="K230" s="9">
        <f t="shared" si="24"/>
        <v>305.53520320550001</v>
      </c>
      <c r="L230" s="10">
        <f t="shared" si="21"/>
        <v>0.34748366155612176</v>
      </c>
      <c r="M230" s="10">
        <f t="shared" si="20"/>
        <v>0.41677646006491548</v>
      </c>
      <c r="P230" s="8">
        <f t="shared" si="25"/>
        <v>17.416657289564647</v>
      </c>
    </row>
    <row r="231" spans="1:16" x14ac:dyDescent="0.2">
      <c r="A231" s="8">
        <v>114.5</v>
      </c>
      <c r="B231" s="8">
        <v>229</v>
      </c>
      <c r="D231">
        <v>1043.6799317794</v>
      </c>
      <c r="E231">
        <v>423.15974985787</v>
      </c>
      <c r="F231">
        <v>151.97424155696001</v>
      </c>
      <c r="G231">
        <v>122.80824270177</v>
      </c>
      <c r="I231" s="9">
        <f t="shared" si="22"/>
        <v>300.35150715610001</v>
      </c>
      <c r="J231" s="9">
        <f t="shared" si="23"/>
        <v>891.70569022244001</v>
      </c>
      <c r="K231" s="9">
        <f t="shared" si="24"/>
        <v>300.35150715610001</v>
      </c>
      <c r="L231" s="10">
        <f t="shared" si="21"/>
        <v>0.33682807057245084</v>
      </c>
      <c r="M231" s="10">
        <f t="shared" si="20"/>
        <v>0.40642478486417788</v>
      </c>
      <c r="P231" s="8">
        <f t="shared" si="25"/>
        <v>14.500323916925087</v>
      </c>
    </row>
    <row r="232" spans="1:16" x14ac:dyDescent="0.2">
      <c r="A232" s="8">
        <v>115</v>
      </c>
      <c r="B232" s="8">
        <v>230</v>
      </c>
      <c r="D232">
        <v>1008.9550881183</v>
      </c>
      <c r="E232">
        <v>398.87720295623001</v>
      </c>
      <c r="F232">
        <v>151.5477962221</v>
      </c>
      <c r="G232">
        <v>122.93302804808</v>
      </c>
      <c r="I232" s="9">
        <f t="shared" si="22"/>
        <v>275.94417490814999</v>
      </c>
      <c r="J232" s="9">
        <f t="shared" si="23"/>
        <v>857.40729189619992</v>
      </c>
      <c r="K232" s="9">
        <f t="shared" si="24"/>
        <v>275.94417490814999</v>
      </c>
      <c r="L232" s="10">
        <f t="shared" si="21"/>
        <v>0.32183558212793523</v>
      </c>
      <c r="M232" s="10">
        <f t="shared" si="20"/>
        <v>0.39173621220259558</v>
      </c>
      <c r="P232" s="8">
        <f t="shared" si="25"/>
        <v>10.362174890923839</v>
      </c>
    </row>
    <row r="233" spans="1:16" x14ac:dyDescent="0.2">
      <c r="A233" s="8">
        <v>115.5</v>
      </c>
      <c r="B233" s="8">
        <v>231</v>
      </c>
      <c r="D233">
        <v>1064.4246731097001</v>
      </c>
      <c r="E233">
        <v>410.41785105173</v>
      </c>
      <c r="F233">
        <v>152.55065827132</v>
      </c>
      <c r="G233">
        <v>122.7922152261</v>
      </c>
      <c r="I233" s="9">
        <f t="shared" si="22"/>
        <v>287.62563582563001</v>
      </c>
      <c r="J233" s="9">
        <f t="shared" si="23"/>
        <v>911.87401483838005</v>
      </c>
      <c r="K233" s="9">
        <f t="shared" si="24"/>
        <v>287.62563582563001</v>
      </c>
      <c r="L233" s="10">
        <f t="shared" si="21"/>
        <v>0.31542255963572841</v>
      </c>
      <c r="M233" s="10">
        <f t="shared" si="20"/>
        <v>0.38562710549332202</v>
      </c>
      <c r="P233" s="8">
        <f t="shared" si="25"/>
        <v>8.6410822727936605</v>
      </c>
    </row>
    <row r="234" spans="1:16" x14ac:dyDescent="0.2">
      <c r="A234" s="8">
        <v>116</v>
      </c>
      <c r="B234" s="8">
        <v>232</v>
      </c>
      <c r="D234">
        <v>1084.5909610983999</v>
      </c>
      <c r="E234">
        <v>423.25457665904003</v>
      </c>
      <c r="F234">
        <v>152.16141957642</v>
      </c>
      <c r="G234">
        <v>123.30223239839999</v>
      </c>
      <c r="I234" s="9">
        <f t="shared" si="22"/>
        <v>299.95234426064002</v>
      </c>
      <c r="J234" s="9">
        <f t="shared" si="23"/>
        <v>932.4295415219799</v>
      </c>
      <c r="K234" s="9">
        <f t="shared" si="24"/>
        <v>299.95234426064002</v>
      </c>
      <c r="L234" s="10">
        <f t="shared" si="21"/>
        <v>0.32168901874455391</v>
      </c>
      <c r="M234" s="10">
        <f t="shared" si="20"/>
        <v>0.39219748038508084</v>
      </c>
      <c r="P234" s="8">
        <f t="shared" si="25"/>
        <v>10.492126011706949</v>
      </c>
    </row>
    <row r="235" spans="1:16" x14ac:dyDescent="0.2">
      <c r="A235" s="8">
        <v>116.5</v>
      </c>
      <c r="B235" s="8">
        <v>233</v>
      </c>
      <c r="D235">
        <v>1062.9382151029999</v>
      </c>
      <c r="E235">
        <v>426.25457665904003</v>
      </c>
      <c r="F235">
        <v>152.08929593588999</v>
      </c>
      <c r="G235">
        <v>123.43388666285</v>
      </c>
      <c r="I235" s="9">
        <f t="shared" si="22"/>
        <v>302.82068999619003</v>
      </c>
      <c r="J235" s="9">
        <f t="shared" si="23"/>
        <v>910.8489191671099</v>
      </c>
      <c r="K235" s="9">
        <f t="shared" si="24"/>
        <v>302.82068999619003</v>
      </c>
      <c r="L235" s="10">
        <f t="shared" si="21"/>
        <v>0.33245984446365984</v>
      </c>
      <c r="M235" s="10">
        <f t="shared" si="20"/>
        <v>0.40327222188712009</v>
      </c>
      <c r="P235" s="8">
        <f t="shared" si="25"/>
        <v>13.612165774300358</v>
      </c>
    </row>
    <row r="236" spans="1:16" x14ac:dyDescent="0.2">
      <c r="A236" s="8">
        <v>117</v>
      </c>
      <c r="B236" s="8">
        <v>234</v>
      </c>
      <c r="D236">
        <v>1043.9776887871999</v>
      </c>
      <c r="E236">
        <v>417.90389016018003</v>
      </c>
      <c r="F236">
        <v>151.73497424156</v>
      </c>
      <c r="G236">
        <v>123.10532341155999</v>
      </c>
      <c r="I236" s="9">
        <f t="shared" si="22"/>
        <v>294.79856674862003</v>
      </c>
      <c r="J236" s="9">
        <f t="shared" si="23"/>
        <v>892.24271454563996</v>
      </c>
      <c r="K236" s="9">
        <f t="shared" si="24"/>
        <v>294.79856674862003</v>
      </c>
      <c r="L236" s="10">
        <f t="shared" si="21"/>
        <v>0.33040176394014198</v>
      </c>
      <c r="M236" s="10">
        <f t="shared" si="20"/>
        <v>0.40151805714653555</v>
      </c>
      <c r="P236" s="8">
        <f t="shared" si="25"/>
        <v>13.117972411885953</v>
      </c>
    </row>
    <row r="237" spans="1:16" x14ac:dyDescent="0.2">
      <c r="A237" s="8">
        <v>117.5</v>
      </c>
      <c r="B237" s="8">
        <v>235</v>
      </c>
      <c r="D237">
        <v>1047.7509948835</v>
      </c>
      <c r="E237">
        <v>414.87379192723</v>
      </c>
      <c r="F237">
        <v>152.13279908414</v>
      </c>
      <c r="G237">
        <v>122.95935890097</v>
      </c>
      <c r="I237" s="9">
        <f t="shared" si="22"/>
        <v>291.91443302625999</v>
      </c>
      <c r="J237" s="9">
        <f t="shared" si="23"/>
        <v>895.61819579935991</v>
      </c>
      <c r="K237" s="9">
        <f t="shared" si="24"/>
        <v>291.91443302625999</v>
      </c>
      <c r="L237" s="10">
        <f t="shared" si="21"/>
        <v>0.32593624648918573</v>
      </c>
      <c r="M237" s="10">
        <f t="shared" si="20"/>
        <v>0.39735645547851262</v>
      </c>
      <c r="P237" s="8">
        <f t="shared" si="25"/>
        <v>11.945542095754808</v>
      </c>
    </row>
    <row r="238" spans="1:16" x14ac:dyDescent="0.2">
      <c r="A238" s="8">
        <v>118</v>
      </c>
      <c r="B238" s="8">
        <v>236</v>
      </c>
      <c r="D238">
        <v>958.69130187607004</v>
      </c>
      <c r="E238">
        <v>379.25071063104002</v>
      </c>
      <c r="F238">
        <v>151.88036634229999</v>
      </c>
      <c r="G238">
        <v>122.88437321121999</v>
      </c>
      <c r="I238" s="9">
        <f t="shared" si="22"/>
        <v>256.36633741982001</v>
      </c>
      <c r="J238" s="9">
        <f t="shared" si="23"/>
        <v>806.81093553377002</v>
      </c>
      <c r="K238" s="9">
        <f t="shared" si="24"/>
        <v>256.36633741982001</v>
      </c>
      <c r="L238" s="10">
        <f t="shared" si="21"/>
        <v>0.31775268049659389</v>
      </c>
      <c r="M238" s="10">
        <f t="shared" si="20"/>
        <v>0.38947680526885403</v>
      </c>
      <c r="P238" s="8">
        <f t="shared" si="25"/>
        <v>9.7256417969590885</v>
      </c>
    </row>
    <row r="239" spans="1:16" x14ac:dyDescent="0.2">
      <c r="A239" s="8">
        <v>118.5</v>
      </c>
      <c r="B239" s="8">
        <v>237</v>
      </c>
      <c r="D239">
        <v>992.70547945205999</v>
      </c>
      <c r="E239">
        <v>384.52340182647998</v>
      </c>
      <c r="F239">
        <v>151.96966227818999</v>
      </c>
      <c r="G239">
        <v>122.81053234116</v>
      </c>
      <c r="I239" s="9">
        <f t="shared" si="22"/>
        <v>261.71286948531997</v>
      </c>
      <c r="J239" s="9">
        <f t="shared" si="23"/>
        <v>840.73581717387003</v>
      </c>
      <c r="K239" s="9">
        <f t="shared" si="24"/>
        <v>261.71286948531997</v>
      </c>
      <c r="L239" s="10">
        <f t="shared" si="21"/>
        <v>0.31129025805640909</v>
      </c>
      <c r="M239" s="10">
        <f t="shared" si="20"/>
        <v>0.38331829861160255</v>
      </c>
      <c r="P239" s="8">
        <f t="shared" si="25"/>
        <v>7.9906319418502587</v>
      </c>
    </row>
    <row r="240" spans="1:16" x14ac:dyDescent="0.2">
      <c r="A240" s="8">
        <v>119</v>
      </c>
      <c r="B240" s="8">
        <v>238</v>
      </c>
      <c r="D240">
        <v>985.73801369862997</v>
      </c>
      <c r="E240">
        <v>374.96404109589002</v>
      </c>
      <c r="F240">
        <v>151.89982827705001</v>
      </c>
      <c r="G240">
        <v>122.55695477962</v>
      </c>
      <c r="I240" s="9">
        <f t="shared" si="22"/>
        <v>252.40708631627001</v>
      </c>
      <c r="J240" s="9">
        <f t="shared" si="23"/>
        <v>833.83818542157996</v>
      </c>
      <c r="K240" s="9">
        <f t="shared" si="24"/>
        <v>252.40708631627001</v>
      </c>
      <c r="L240" s="10">
        <f t="shared" si="21"/>
        <v>0.30270511800638583</v>
      </c>
      <c r="M240" s="10">
        <f t="shared" si="20"/>
        <v>0.37503707434451261</v>
      </c>
      <c r="P240" s="8">
        <f t="shared" si="25"/>
        <v>5.6575978939208831</v>
      </c>
    </row>
    <row r="241" spans="1:16" x14ac:dyDescent="0.2">
      <c r="A241" s="8">
        <v>119.5</v>
      </c>
      <c r="B241" s="8">
        <v>239</v>
      </c>
      <c r="D241">
        <v>963.89668949771999</v>
      </c>
      <c r="E241">
        <v>363.32477168949998</v>
      </c>
      <c r="F241">
        <v>151.98855180308999</v>
      </c>
      <c r="G241">
        <v>122.69776760160001</v>
      </c>
      <c r="I241" s="9">
        <f t="shared" si="22"/>
        <v>240.62700408789999</v>
      </c>
      <c r="J241" s="9">
        <f t="shared" si="23"/>
        <v>811.90813769463</v>
      </c>
      <c r="K241" s="9">
        <f t="shared" si="24"/>
        <v>240.62700408789999</v>
      </c>
      <c r="L241" s="10">
        <f t="shared" si="21"/>
        <v>0.29637220384457236</v>
      </c>
      <c r="M241" s="10">
        <f t="shared" si="20"/>
        <v>0.36900807596563245</v>
      </c>
      <c r="P241" s="8">
        <f t="shared" si="25"/>
        <v>3.9590738545784223</v>
      </c>
    </row>
    <row r="242" spans="1:16" x14ac:dyDescent="0.2">
      <c r="A242" s="8">
        <v>120</v>
      </c>
      <c r="B242" s="8">
        <v>240</v>
      </c>
      <c r="D242">
        <v>1032.9472477064</v>
      </c>
      <c r="E242">
        <v>376.21731651376001</v>
      </c>
      <c r="F242">
        <v>151.97195191757001</v>
      </c>
      <c r="G242">
        <v>122.87922152261</v>
      </c>
      <c r="I242" s="9">
        <f>E242-G242</f>
        <v>253.33809499115</v>
      </c>
      <c r="J242" s="9">
        <f>D242-F242</f>
        <v>880.97529578883007</v>
      </c>
      <c r="K242" s="9">
        <f t="shared" si="24"/>
        <v>253.33809499115</v>
      </c>
      <c r="L242" s="10">
        <f t="shared" si="21"/>
        <v>0.28756549270125636</v>
      </c>
      <c r="M242" s="10">
        <f>L242+ABS($N$2)*A242</f>
        <v>0.36050528060524978</v>
      </c>
      <c r="O242" s="11"/>
      <c r="P242" s="8">
        <f>(M242-$O$2)/$O$2*100</f>
        <v>1.5636175260759659</v>
      </c>
    </row>
    <row r="243" spans="1:16" x14ac:dyDescent="0.2">
      <c r="A243" s="8">
        <v>120.5</v>
      </c>
      <c r="B243" s="8">
        <v>241</v>
      </c>
      <c r="D243">
        <v>1067.2947247705999</v>
      </c>
      <c r="E243">
        <v>384.18979357798003</v>
      </c>
      <c r="F243">
        <v>151.95134516313999</v>
      </c>
      <c r="G243">
        <v>122.45907269605</v>
      </c>
      <c r="I243" s="9">
        <f t="shared" ref="I243:I274" si="26">E243-G243</f>
        <v>261.73072088193004</v>
      </c>
      <c r="J243" s="9">
        <f t="shared" ref="J243:J274" si="27">D243-F243</f>
        <v>915.34337960745995</v>
      </c>
      <c r="K243" s="9">
        <f t="shared" si="24"/>
        <v>261.73072088193004</v>
      </c>
      <c r="L243" s="10">
        <f t="shared" si="21"/>
        <v>0.28593719768222048</v>
      </c>
      <c r="M243" s="10">
        <f t="shared" ref="M243:M274" si="28">L243+ABS($N$2)*A243</f>
        <v>0.35918090136914715</v>
      </c>
      <c r="P243" s="8">
        <f t="shared" ref="P243:P274" si="29">(M243-$O$2)/$O$2*100</f>
        <v>1.1905058036368998</v>
      </c>
    </row>
    <row r="244" spans="1:16" x14ac:dyDescent="0.2">
      <c r="A244" s="8">
        <v>121</v>
      </c>
      <c r="B244" s="8">
        <v>242</v>
      </c>
      <c r="D244">
        <v>1073.2909298346001</v>
      </c>
      <c r="E244">
        <v>381.60524814604003</v>
      </c>
      <c r="F244">
        <v>152.42873497424</v>
      </c>
      <c r="G244">
        <v>122.78362907842001</v>
      </c>
      <c r="I244" s="9">
        <f t="shared" si="26"/>
        <v>258.82161906762002</v>
      </c>
      <c r="J244" s="9">
        <f t="shared" si="27"/>
        <v>920.86219486036009</v>
      </c>
      <c r="K244" s="9">
        <f t="shared" si="24"/>
        <v>258.82161906762002</v>
      </c>
      <c r="L244" s="10">
        <f t="shared" si="21"/>
        <v>0.28106444211977649</v>
      </c>
      <c r="M244" s="10">
        <f t="shared" si="28"/>
        <v>0.35461206158963648</v>
      </c>
      <c r="N244" s="1"/>
      <c r="P244" s="8">
        <f t="shared" si="29"/>
        <v>-9.6653971457350274E-2</v>
      </c>
    </row>
    <row r="245" spans="1:16" x14ac:dyDescent="0.2">
      <c r="A245" s="8">
        <v>121.5</v>
      </c>
      <c r="B245" s="8">
        <v>243</v>
      </c>
      <c r="D245">
        <v>1069.2407301768001</v>
      </c>
      <c r="E245">
        <v>377.23616657158999</v>
      </c>
      <c r="F245">
        <v>151.97137950773001</v>
      </c>
      <c r="G245">
        <v>122.96393817974</v>
      </c>
      <c r="I245" s="9">
        <f t="shared" si="26"/>
        <v>254.27222839184998</v>
      </c>
      <c r="J245" s="9">
        <f t="shared" si="27"/>
        <v>917.26935066907004</v>
      </c>
      <c r="K245" s="9">
        <f t="shared" si="24"/>
        <v>254.27222839184998</v>
      </c>
      <c r="L245" s="10">
        <f t="shared" si="21"/>
        <v>0.27720563017436484</v>
      </c>
      <c r="M245" s="10">
        <f t="shared" si="28"/>
        <v>0.35105716542715815</v>
      </c>
      <c r="P245" s="8">
        <f t="shared" si="29"/>
        <v>-1.0981597291114518</v>
      </c>
    </row>
    <row r="246" spans="1:16" x14ac:dyDescent="0.2">
      <c r="A246" s="8">
        <v>122</v>
      </c>
      <c r="B246" s="8">
        <v>244</v>
      </c>
      <c r="D246">
        <v>1078.4677695379</v>
      </c>
      <c r="E246">
        <v>379.48374215630002</v>
      </c>
      <c r="F246">
        <v>152.19519175729999</v>
      </c>
      <c r="G246">
        <v>122.80022896394</v>
      </c>
      <c r="I246" s="9">
        <f t="shared" si="26"/>
        <v>256.68351319236001</v>
      </c>
      <c r="J246" s="9">
        <f t="shared" si="27"/>
        <v>926.27257778060005</v>
      </c>
      <c r="K246" s="9">
        <f t="shared" si="24"/>
        <v>256.68351319236001</v>
      </c>
      <c r="L246" s="10">
        <f t="shared" si="21"/>
        <v>0.27711444703176663</v>
      </c>
      <c r="M246" s="10">
        <f t="shared" si="28"/>
        <v>0.35126989806749326</v>
      </c>
      <c r="P246" s="8">
        <f t="shared" si="29"/>
        <v>-1.0382274682523775</v>
      </c>
    </row>
    <row r="247" spans="1:16" x14ac:dyDescent="0.2">
      <c r="A247" s="8">
        <v>122.5</v>
      </c>
      <c r="B247" s="8">
        <v>245</v>
      </c>
      <c r="D247">
        <v>1081.4603536794</v>
      </c>
      <c r="E247">
        <v>386.45864232743997</v>
      </c>
      <c r="F247">
        <v>152.58271322267001</v>
      </c>
      <c r="G247">
        <v>123.03606182026</v>
      </c>
      <c r="I247" s="9">
        <f t="shared" si="26"/>
        <v>263.42258050717999</v>
      </c>
      <c r="J247" s="9">
        <f t="shared" si="27"/>
        <v>928.87764045672998</v>
      </c>
      <c r="K247" s="9">
        <f t="shared" si="24"/>
        <v>263.42258050717999</v>
      </c>
      <c r="L247" s="10">
        <f t="shared" si="21"/>
        <v>0.28359233663720751</v>
      </c>
      <c r="M247" s="10">
        <f t="shared" si="28"/>
        <v>0.35805170345586745</v>
      </c>
      <c r="P247" s="8">
        <f t="shared" si="29"/>
        <v>0.87238168411488348</v>
      </c>
    </row>
    <row r="248" spans="1:16" x14ac:dyDescent="0.2">
      <c r="A248" s="8">
        <v>123</v>
      </c>
      <c r="B248" s="8">
        <v>246</v>
      </c>
      <c r="D248">
        <v>1062.3799201369</v>
      </c>
      <c r="E248">
        <v>381.12036508841999</v>
      </c>
      <c r="F248">
        <v>151.88208357184001</v>
      </c>
      <c r="G248">
        <v>122.60618202633</v>
      </c>
      <c r="I248" s="9">
        <f t="shared" si="26"/>
        <v>258.51418306208996</v>
      </c>
      <c r="J248" s="9">
        <f t="shared" si="27"/>
        <v>910.49783656505997</v>
      </c>
      <c r="K248" s="9">
        <f t="shared" si="24"/>
        <v>258.51418306208996</v>
      </c>
      <c r="L248" s="10">
        <f t="shared" si="21"/>
        <v>0.2839261914529741</v>
      </c>
      <c r="M248" s="10">
        <f t="shared" si="28"/>
        <v>0.3586894740545673</v>
      </c>
      <c r="P248" s="8">
        <f t="shared" si="29"/>
        <v>1.0520580789986946</v>
      </c>
    </row>
    <row r="249" spans="1:16" x14ac:dyDescent="0.2">
      <c r="A249" s="8">
        <v>123.5</v>
      </c>
      <c r="B249" s="8">
        <v>247</v>
      </c>
      <c r="D249">
        <v>1063.1996577295999</v>
      </c>
      <c r="E249">
        <v>384.21277809470001</v>
      </c>
      <c r="F249">
        <v>152.24441900401001</v>
      </c>
      <c r="G249">
        <v>123.13279908414</v>
      </c>
      <c r="I249" s="9">
        <f t="shared" si="26"/>
        <v>261.07997901056001</v>
      </c>
      <c r="J249" s="9">
        <f t="shared" si="27"/>
        <v>910.95523872558988</v>
      </c>
      <c r="K249" s="9">
        <f t="shared" si="24"/>
        <v>261.07997901056001</v>
      </c>
      <c r="L249" s="10">
        <f t="shared" si="21"/>
        <v>0.2866002278836513</v>
      </c>
      <c r="M249" s="10">
        <f t="shared" si="28"/>
        <v>0.36166742626817783</v>
      </c>
      <c r="P249" s="8">
        <f t="shared" si="29"/>
        <v>1.8910238748014265</v>
      </c>
    </row>
    <row r="250" spans="1:16" x14ac:dyDescent="0.2">
      <c r="A250" s="8">
        <v>124</v>
      </c>
      <c r="B250" s="8">
        <v>248</v>
      </c>
      <c r="D250">
        <v>1056.8670849972</v>
      </c>
      <c r="E250">
        <v>374.28294352539001</v>
      </c>
      <c r="F250">
        <v>152.16714367487</v>
      </c>
      <c r="G250">
        <v>122.53692043503</v>
      </c>
      <c r="I250" s="9">
        <f t="shared" si="26"/>
        <v>251.74602309036001</v>
      </c>
      <c r="J250" s="9">
        <f t="shared" si="27"/>
        <v>904.69994132233001</v>
      </c>
      <c r="K250" s="9">
        <f t="shared" si="24"/>
        <v>251.74602309036001</v>
      </c>
      <c r="L250" s="10">
        <f t="shared" si="21"/>
        <v>0.27826466167600533</v>
      </c>
      <c r="M250" s="10">
        <f t="shared" si="28"/>
        <v>0.35363577584346517</v>
      </c>
      <c r="P250" s="8">
        <f t="shared" si="29"/>
        <v>-0.37169879730243099</v>
      </c>
    </row>
    <row r="251" spans="1:16" x14ac:dyDescent="0.2">
      <c r="A251" s="8">
        <v>124.5</v>
      </c>
      <c r="B251" s="8">
        <v>249</v>
      </c>
      <c r="D251">
        <v>1056.3268682258999</v>
      </c>
      <c r="E251">
        <v>370.19566457501003</v>
      </c>
      <c r="F251">
        <v>151.80938752147</v>
      </c>
      <c r="G251">
        <v>122.86319404694</v>
      </c>
      <c r="I251" s="9">
        <f t="shared" si="26"/>
        <v>247.33247052807002</v>
      </c>
      <c r="J251" s="9">
        <f t="shared" si="27"/>
        <v>904.51748070443</v>
      </c>
      <c r="K251" s="9">
        <f t="shared" si="24"/>
        <v>247.33247052807002</v>
      </c>
      <c r="L251" s="10">
        <f t="shared" si="21"/>
        <v>0.27344133839784912</v>
      </c>
      <c r="M251" s="10">
        <f t="shared" si="28"/>
        <v>0.34911636834824228</v>
      </c>
      <c r="P251" s="8">
        <f t="shared" si="29"/>
        <v>-1.6449322254471581</v>
      </c>
    </row>
    <row r="252" spans="1:16" x14ac:dyDescent="0.2">
      <c r="A252" s="8">
        <v>125</v>
      </c>
      <c r="B252" s="8">
        <v>250</v>
      </c>
      <c r="D252">
        <v>1054.9606389047001</v>
      </c>
      <c r="E252">
        <v>365.97547062179001</v>
      </c>
      <c r="F252">
        <v>152.20148826560001</v>
      </c>
      <c r="G252">
        <v>122.40240412135</v>
      </c>
      <c r="I252" s="9">
        <f t="shared" si="26"/>
        <v>243.57306650044001</v>
      </c>
      <c r="J252" s="9">
        <f t="shared" si="27"/>
        <v>902.75915063910008</v>
      </c>
      <c r="K252" s="9">
        <f t="shared" si="24"/>
        <v>243.57306650044001</v>
      </c>
      <c r="L252" s="10">
        <f t="shared" si="21"/>
        <v>0.2698095791419059</v>
      </c>
      <c r="M252" s="10">
        <f t="shared" si="28"/>
        <v>0.34578852487523237</v>
      </c>
      <c r="P252" s="8">
        <f t="shared" si="29"/>
        <v>-2.5824713957804777</v>
      </c>
    </row>
    <row r="253" spans="1:16" x14ac:dyDescent="0.2">
      <c r="A253" s="8">
        <v>125.5</v>
      </c>
      <c r="B253" s="8">
        <v>251</v>
      </c>
      <c r="D253">
        <v>1046.7438676555</v>
      </c>
      <c r="E253">
        <v>361.55790074159</v>
      </c>
      <c r="F253">
        <v>151.56153405839001</v>
      </c>
      <c r="G253">
        <v>122.71493989696999</v>
      </c>
      <c r="I253" s="9">
        <f t="shared" si="26"/>
        <v>238.84296084461999</v>
      </c>
      <c r="J253" s="9">
        <f t="shared" si="27"/>
        <v>895.18233359711007</v>
      </c>
      <c r="K253" s="9">
        <f t="shared" si="24"/>
        <v>238.84296084461999</v>
      </c>
      <c r="L253" s="10">
        <f t="shared" si="21"/>
        <v>0.26680928776250268</v>
      </c>
      <c r="M253" s="10">
        <f t="shared" si="28"/>
        <v>0.34309214927876241</v>
      </c>
      <c r="P253" s="8">
        <f t="shared" si="29"/>
        <v>-3.3421098103045277</v>
      </c>
    </row>
    <row r="254" spans="1:16" x14ac:dyDescent="0.2">
      <c r="A254" s="8">
        <v>126</v>
      </c>
      <c r="B254" s="8">
        <v>252</v>
      </c>
      <c r="D254">
        <v>1042.1517398745</v>
      </c>
      <c r="E254">
        <v>361.96406160867002</v>
      </c>
      <c r="F254">
        <v>151.19748139667999</v>
      </c>
      <c r="G254">
        <v>122.83972524327</v>
      </c>
      <c r="I254" s="9">
        <f t="shared" si="26"/>
        <v>239.12433636540004</v>
      </c>
      <c r="J254" s="9">
        <f t="shared" si="27"/>
        <v>890.95425847781996</v>
      </c>
      <c r="K254" s="9">
        <f t="shared" si="24"/>
        <v>239.12433636540004</v>
      </c>
      <c r="L254" s="10">
        <f t="shared" si="21"/>
        <v>0.26839126037058275</v>
      </c>
      <c r="M254" s="10">
        <f t="shared" si="28"/>
        <v>0.34497803766977581</v>
      </c>
      <c r="P254" s="8">
        <f t="shared" si="29"/>
        <v>-2.8108065047879496</v>
      </c>
    </row>
    <row r="255" spans="1:16" x14ac:dyDescent="0.2">
      <c r="A255" s="8">
        <v>126.5</v>
      </c>
      <c r="B255" s="8">
        <v>253</v>
      </c>
      <c r="D255">
        <v>1043.9657729605999</v>
      </c>
      <c r="E255">
        <v>359.70165430690002</v>
      </c>
      <c r="F255">
        <v>152.23411562678999</v>
      </c>
      <c r="G255">
        <v>122.52547223812</v>
      </c>
      <c r="I255" s="9">
        <f t="shared" si="26"/>
        <v>237.17618206878001</v>
      </c>
      <c r="J255" s="9">
        <f t="shared" si="27"/>
        <v>891.73165733380995</v>
      </c>
      <c r="K255" s="9">
        <f t="shared" si="24"/>
        <v>237.17618206878001</v>
      </c>
      <c r="L255" s="10">
        <f t="shared" si="21"/>
        <v>0.26597259401770429</v>
      </c>
      <c r="M255" s="10">
        <f t="shared" si="28"/>
        <v>0.34286328709983066</v>
      </c>
      <c r="P255" s="8">
        <f t="shared" si="29"/>
        <v>-3.4065861773862656</v>
      </c>
    </row>
    <row r="256" spans="1:16" x14ac:dyDescent="0.2">
      <c r="A256" s="8">
        <v>127</v>
      </c>
      <c r="B256" s="8">
        <v>254</v>
      </c>
      <c r="D256">
        <v>1033.0268111808</v>
      </c>
      <c r="E256">
        <v>355.74272675413999</v>
      </c>
      <c r="F256">
        <v>152.16141957642</v>
      </c>
      <c r="G256">
        <v>122.74871207785</v>
      </c>
      <c r="I256" s="9">
        <f t="shared" si="26"/>
        <v>232.99401467628999</v>
      </c>
      <c r="J256" s="9">
        <f t="shared" si="27"/>
        <v>880.86539160437997</v>
      </c>
      <c r="K256" s="9">
        <f t="shared" si="24"/>
        <v>232.99401467628999</v>
      </c>
      <c r="L256" s="10">
        <f t="shared" si="21"/>
        <v>0.26450581087301223</v>
      </c>
      <c r="M256" s="10">
        <f t="shared" si="28"/>
        <v>0.34170041973807191</v>
      </c>
      <c r="P256" s="8">
        <f t="shared" si="29"/>
        <v>-3.7341958472500094</v>
      </c>
    </row>
    <row r="257" spans="1:16" x14ac:dyDescent="0.2">
      <c r="A257" s="8">
        <v>127.5</v>
      </c>
      <c r="B257" s="8">
        <v>255</v>
      </c>
      <c r="D257">
        <v>1026.1956645749999</v>
      </c>
      <c r="E257">
        <v>356.32857957787002</v>
      </c>
      <c r="F257">
        <v>152.17973669147</v>
      </c>
      <c r="G257">
        <v>122.77103606182</v>
      </c>
      <c r="I257" s="9">
        <f t="shared" si="26"/>
        <v>233.55754351605003</v>
      </c>
      <c r="J257" s="9">
        <f t="shared" si="27"/>
        <v>874.01592788352991</v>
      </c>
      <c r="K257" s="9">
        <f t="shared" si="24"/>
        <v>233.55754351605003</v>
      </c>
      <c r="L257" s="10">
        <f t="shared" si="21"/>
        <v>0.267223440746235</v>
      </c>
      <c r="M257" s="10">
        <f t="shared" si="28"/>
        <v>0.34472196539422795</v>
      </c>
      <c r="P257" s="8">
        <f t="shared" si="29"/>
        <v>-2.882948656517629</v>
      </c>
    </row>
    <row r="258" spans="1:16" x14ac:dyDescent="0.2">
      <c r="A258" s="8">
        <v>128</v>
      </c>
      <c r="B258" s="8">
        <v>256</v>
      </c>
      <c r="D258">
        <v>1020.9207073588</v>
      </c>
      <c r="E258">
        <v>353.6537364518</v>
      </c>
      <c r="F258">
        <v>151.77332570120001</v>
      </c>
      <c r="G258">
        <v>122.61934745278</v>
      </c>
      <c r="I258" s="9">
        <f t="shared" si="26"/>
        <v>231.03438899902</v>
      </c>
      <c r="J258" s="9">
        <f t="shared" si="27"/>
        <v>869.14738165759991</v>
      </c>
      <c r="K258" s="9">
        <f t="shared" si="24"/>
        <v>231.03438899902</v>
      </c>
      <c r="L258" s="10">
        <f t="shared" ref="L258:L319" si="30">K258/J258</f>
        <v>0.26581727549866319</v>
      </c>
      <c r="M258" s="10">
        <f t="shared" si="28"/>
        <v>0.34361971592958945</v>
      </c>
      <c r="P258" s="8">
        <f t="shared" si="29"/>
        <v>-3.1934807043614679</v>
      </c>
    </row>
    <row r="259" spans="1:16" x14ac:dyDescent="0.2">
      <c r="A259" s="8">
        <v>128.5</v>
      </c>
      <c r="B259" s="8">
        <v>257</v>
      </c>
      <c r="D259">
        <v>1016.6035367941</v>
      </c>
      <c r="E259">
        <v>356.19509412436003</v>
      </c>
      <c r="F259">
        <v>151.54264453349001</v>
      </c>
      <c r="G259">
        <v>122.33371493990001</v>
      </c>
      <c r="I259" s="9">
        <f t="shared" si="26"/>
        <v>233.86137918446002</v>
      </c>
      <c r="J259" s="9">
        <f t="shared" si="27"/>
        <v>865.06089226060999</v>
      </c>
      <c r="K259" s="9">
        <f t="shared" ref="K259:K319" si="31">I259*1</f>
        <v>233.86137918446002</v>
      </c>
      <c r="L259" s="10">
        <f t="shared" si="30"/>
        <v>0.27034094510193912</v>
      </c>
      <c r="M259" s="10">
        <f t="shared" si="28"/>
        <v>0.34844730131579871</v>
      </c>
      <c r="P259" s="8">
        <f t="shared" si="29"/>
        <v>-1.8334256313365807</v>
      </c>
    </row>
    <row r="260" spans="1:16" x14ac:dyDescent="0.2">
      <c r="A260" s="8">
        <v>129</v>
      </c>
      <c r="B260" s="8">
        <v>258</v>
      </c>
      <c r="D260">
        <v>1007.4957216201</v>
      </c>
      <c r="E260">
        <v>351.75527666856999</v>
      </c>
      <c r="F260">
        <v>151.21465369204</v>
      </c>
      <c r="G260">
        <v>122.47452776188</v>
      </c>
      <c r="I260" s="9">
        <f t="shared" si="26"/>
        <v>229.28074890669001</v>
      </c>
      <c r="J260" s="9">
        <f t="shared" si="27"/>
        <v>856.28106792806</v>
      </c>
      <c r="K260" s="9">
        <f t="shared" si="31"/>
        <v>229.28074890669001</v>
      </c>
      <c r="L260" s="10">
        <f t="shared" si="30"/>
        <v>0.26776342195849284</v>
      </c>
      <c r="M260" s="10">
        <f t="shared" si="28"/>
        <v>0.34617369395528574</v>
      </c>
      <c r="P260" s="8">
        <f t="shared" si="29"/>
        <v>-2.4739593510644213</v>
      </c>
    </row>
    <row r="261" spans="1:16" x14ac:dyDescent="0.2">
      <c r="A261" s="8">
        <v>129.5</v>
      </c>
      <c r="B261" s="8">
        <v>259</v>
      </c>
      <c r="D261">
        <v>1012.3439817456</v>
      </c>
      <c r="E261">
        <v>356.95265259554998</v>
      </c>
      <c r="F261">
        <v>151.73955352031999</v>
      </c>
      <c r="G261">
        <v>122.73382942187</v>
      </c>
      <c r="I261" s="9">
        <f t="shared" si="26"/>
        <v>234.21882317367999</v>
      </c>
      <c r="J261" s="9">
        <f t="shared" si="27"/>
        <v>860.60442822528</v>
      </c>
      <c r="K261" s="9">
        <f t="shared" si="31"/>
        <v>234.21882317367999</v>
      </c>
      <c r="L261" s="10">
        <f t="shared" si="30"/>
        <v>0.27215619103503919</v>
      </c>
      <c r="M261" s="10">
        <f t="shared" si="28"/>
        <v>0.3508703788147654</v>
      </c>
      <c r="P261" s="8">
        <f t="shared" si="29"/>
        <v>-1.1507823260071146</v>
      </c>
    </row>
    <row r="262" spans="1:16" x14ac:dyDescent="0.2">
      <c r="A262" s="8">
        <v>130</v>
      </c>
      <c r="B262" s="8">
        <v>260</v>
      </c>
      <c r="D262">
        <v>995.56708715596005</v>
      </c>
      <c r="E262">
        <v>359.5</v>
      </c>
      <c r="F262">
        <v>151.49398969661999</v>
      </c>
      <c r="G262">
        <v>122.70807097882</v>
      </c>
      <c r="I262" s="9">
        <f t="shared" si="26"/>
        <v>236.79192902118001</v>
      </c>
      <c r="J262" s="9">
        <f t="shared" si="27"/>
        <v>844.07309745934003</v>
      </c>
      <c r="K262" s="9">
        <f t="shared" si="31"/>
        <v>236.79192902118001</v>
      </c>
      <c r="L262" s="10">
        <f t="shared" si="30"/>
        <v>0.28053486094264074</v>
      </c>
      <c r="M262" s="10">
        <f t="shared" si="28"/>
        <v>0.35955296450530028</v>
      </c>
      <c r="P262" s="8">
        <f t="shared" si="29"/>
        <v>1.2953255665884049</v>
      </c>
    </row>
    <row r="263" spans="1:16" x14ac:dyDescent="0.2">
      <c r="A263" s="8">
        <v>130.5</v>
      </c>
      <c r="B263" s="8">
        <v>261</v>
      </c>
      <c r="D263">
        <v>937.96043577982005</v>
      </c>
      <c r="E263">
        <v>341.43463302752002</v>
      </c>
      <c r="F263">
        <v>151.75901545507</v>
      </c>
      <c r="G263">
        <v>122.55237550085999</v>
      </c>
      <c r="I263" s="9">
        <f t="shared" si="26"/>
        <v>218.88225752666003</v>
      </c>
      <c r="J263" s="9">
        <f t="shared" si="27"/>
        <v>786.20142032475007</v>
      </c>
      <c r="K263" s="9">
        <f t="shared" si="31"/>
        <v>218.88225752666003</v>
      </c>
      <c r="L263" s="10">
        <f t="shared" si="30"/>
        <v>0.27840481060979011</v>
      </c>
      <c r="M263" s="10">
        <f t="shared" si="28"/>
        <v>0.35772682995538291</v>
      </c>
      <c r="P263" s="8">
        <f t="shared" si="29"/>
        <v>0.78085645626752909</v>
      </c>
    </row>
    <row r="264" spans="1:16" x14ac:dyDescent="0.2">
      <c r="A264" s="8">
        <v>131</v>
      </c>
      <c r="B264" s="8">
        <v>262</v>
      </c>
      <c r="D264">
        <v>953.47763761468002</v>
      </c>
      <c r="E264">
        <v>341.20183486239</v>
      </c>
      <c r="F264">
        <v>151.50944476244999</v>
      </c>
      <c r="G264">
        <v>122.01259301659999</v>
      </c>
      <c r="I264" s="9">
        <f t="shared" si="26"/>
        <v>219.18924184579001</v>
      </c>
      <c r="J264" s="9">
        <f t="shared" si="27"/>
        <v>801.96819285223</v>
      </c>
      <c r="K264" s="9">
        <f t="shared" si="31"/>
        <v>219.18924184579001</v>
      </c>
      <c r="L264" s="10">
        <f t="shared" si="30"/>
        <v>0.2733141336519036</v>
      </c>
      <c r="M264" s="10">
        <f t="shared" si="28"/>
        <v>0.35294006878042972</v>
      </c>
      <c r="P264" s="8">
        <f t="shared" si="29"/>
        <v>-0.56769738556636584</v>
      </c>
    </row>
    <row r="265" spans="1:16" x14ac:dyDescent="0.2">
      <c r="A265" s="8">
        <v>131.5</v>
      </c>
      <c r="B265" s="8">
        <v>263</v>
      </c>
      <c r="D265">
        <v>1013.8474770642</v>
      </c>
      <c r="E265">
        <v>353.54243119265999</v>
      </c>
      <c r="F265">
        <v>151.56267887807999</v>
      </c>
      <c r="G265">
        <v>122.44190040069</v>
      </c>
      <c r="I265" s="9">
        <f t="shared" si="26"/>
        <v>231.10053079196999</v>
      </c>
      <c r="J265" s="9">
        <f t="shared" si="27"/>
        <v>862.28479818612004</v>
      </c>
      <c r="K265" s="9">
        <f t="shared" si="31"/>
        <v>231.10053079196999</v>
      </c>
      <c r="L265" s="10">
        <f t="shared" si="30"/>
        <v>0.26800951527628353</v>
      </c>
      <c r="M265" s="10">
        <f t="shared" si="28"/>
        <v>0.34793936618774296</v>
      </c>
      <c r="P265" s="8">
        <f t="shared" si="29"/>
        <v>-1.9765240319683328</v>
      </c>
    </row>
    <row r="266" spans="1:16" x14ac:dyDescent="0.2">
      <c r="A266" s="8">
        <v>132</v>
      </c>
      <c r="B266" s="8">
        <v>264</v>
      </c>
      <c r="D266">
        <v>1012.7866972477</v>
      </c>
      <c r="E266">
        <v>358.29644495412998</v>
      </c>
      <c r="F266">
        <v>151.16199198626001</v>
      </c>
      <c r="G266">
        <v>122.63938179737001</v>
      </c>
      <c r="I266" s="9">
        <f t="shared" si="26"/>
        <v>235.65706315675999</v>
      </c>
      <c r="J266" s="9">
        <f t="shared" si="27"/>
        <v>861.62470526144</v>
      </c>
      <c r="K266" s="9">
        <f t="shared" si="31"/>
        <v>235.65706315675999</v>
      </c>
      <c r="L266" s="10">
        <f t="shared" si="30"/>
        <v>0.27350314088922895</v>
      </c>
      <c r="M266" s="10">
        <f t="shared" si="28"/>
        <v>0.35373690758362164</v>
      </c>
      <c r="P266" s="8">
        <f t="shared" si="29"/>
        <v>-0.34320738280843632</v>
      </c>
    </row>
    <row r="267" spans="1:16" x14ac:dyDescent="0.2">
      <c r="A267" s="8">
        <v>132.5</v>
      </c>
      <c r="B267" s="8">
        <v>265</v>
      </c>
      <c r="D267">
        <v>1013.747706422</v>
      </c>
      <c r="E267">
        <v>359.10378440366998</v>
      </c>
      <c r="F267">
        <v>151.58271322267001</v>
      </c>
      <c r="G267">
        <v>122.36004579279</v>
      </c>
      <c r="I267" s="9">
        <f t="shared" si="26"/>
        <v>236.74373861087997</v>
      </c>
      <c r="J267" s="9">
        <f t="shared" si="27"/>
        <v>862.16499319932996</v>
      </c>
      <c r="K267" s="9">
        <f t="shared" si="31"/>
        <v>236.74373861087997</v>
      </c>
      <c r="L267" s="10">
        <f t="shared" si="30"/>
        <v>0.2745921493893751</v>
      </c>
      <c r="M267" s="10">
        <f t="shared" si="28"/>
        <v>0.35512983186670111</v>
      </c>
      <c r="P267" s="8">
        <f t="shared" si="29"/>
        <v>4.9215243822587761E-2</v>
      </c>
    </row>
    <row r="268" spans="1:16" x14ac:dyDescent="0.2">
      <c r="A268" s="8">
        <v>133</v>
      </c>
      <c r="B268" s="8">
        <v>266</v>
      </c>
      <c r="D268">
        <v>984.18233944954</v>
      </c>
      <c r="E268">
        <v>347.51548165138001</v>
      </c>
      <c r="F268">
        <v>151.17515741271001</v>
      </c>
      <c r="G268">
        <v>122.58042358329</v>
      </c>
      <c r="I268" s="9">
        <f t="shared" si="26"/>
        <v>224.93505806809003</v>
      </c>
      <c r="J268" s="9">
        <f t="shared" si="27"/>
        <v>833.00718203683005</v>
      </c>
      <c r="K268" s="9">
        <f t="shared" si="31"/>
        <v>224.93505806809003</v>
      </c>
      <c r="L268" s="10">
        <f t="shared" si="30"/>
        <v>0.27002775356400815</v>
      </c>
      <c r="M268" s="10">
        <f t="shared" si="28"/>
        <v>0.35086935182426748</v>
      </c>
      <c r="P268" s="8">
        <f t="shared" si="29"/>
        <v>-1.1510716556667486</v>
      </c>
    </row>
    <row r="269" spans="1:16" x14ac:dyDescent="0.2">
      <c r="A269" s="8">
        <v>133.5</v>
      </c>
      <c r="B269" s="8">
        <v>267</v>
      </c>
      <c r="D269">
        <v>969.73107798164995</v>
      </c>
      <c r="E269">
        <v>341.20871559633002</v>
      </c>
      <c r="F269">
        <v>150.93875214654</v>
      </c>
      <c r="G269">
        <v>122.42759015455</v>
      </c>
      <c r="I269" s="9">
        <f t="shared" si="26"/>
        <v>218.78112544178003</v>
      </c>
      <c r="J269" s="9">
        <f t="shared" si="27"/>
        <v>818.79232583510998</v>
      </c>
      <c r="K269" s="9">
        <f t="shared" si="31"/>
        <v>218.78112544178003</v>
      </c>
      <c r="L269" s="10">
        <f t="shared" si="30"/>
        <v>0.26719977525270383</v>
      </c>
      <c r="M269" s="10">
        <f t="shared" si="28"/>
        <v>0.34834528929589648</v>
      </c>
      <c r="P269" s="8">
        <f t="shared" si="29"/>
        <v>-1.8621650432947581</v>
      </c>
    </row>
    <row r="270" spans="1:16" x14ac:dyDescent="0.2">
      <c r="A270" s="8">
        <v>134</v>
      </c>
      <c r="B270" s="8">
        <v>268</v>
      </c>
      <c r="D270">
        <v>998.36754587155997</v>
      </c>
      <c r="E270">
        <v>346.59690366973001</v>
      </c>
      <c r="F270">
        <v>151.13508872353</v>
      </c>
      <c r="G270">
        <v>122.37550085862</v>
      </c>
      <c r="I270" s="9">
        <f t="shared" si="26"/>
        <v>224.22140281111001</v>
      </c>
      <c r="J270" s="9">
        <f t="shared" si="27"/>
        <v>847.23245714802999</v>
      </c>
      <c r="K270" s="9">
        <f t="shared" si="31"/>
        <v>224.22140281111001</v>
      </c>
      <c r="L270" s="10">
        <f t="shared" si="30"/>
        <v>0.26465157338977352</v>
      </c>
      <c r="M270" s="10">
        <f t="shared" si="28"/>
        <v>0.34610100321589948</v>
      </c>
      <c r="P270" s="8">
        <f t="shared" si="29"/>
        <v>-2.4944382035248323</v>
      </c>
    </row>
    <row r="271" spans="1:16" x14ac:dyDescent="0.2">
      <c r="A271" s="8">
        <v>134.5</v>
      </c>
      <c r="B271" s="8">
        <v>269</v>
      </c>
      <c r="D271">
        <v>869.01146788991002</v>
      </c>
      <c r="E271">
        <v>308.98165137615001</v>
      </c>
      <c r="F271">
        <v>151.40412135088999</v>
      </c>
      <c r="G271">
        <v>121.8614768174</v>
      </c>
      <c r="I271" s="9">
        <f t="shared" si="26"/>
        <v>187.12017455875002</v>
      </c>
      <c r="J271" s="9">
        <f t="shared" si="27"/>
        <v>717.60734653902</v>
      </c>
      <c r="K271" s="9">
        <f t="shared" si="31"/>
        <v>187.12017455875002</v>
      </c>
      <c r="L271" s="10">
        <f t="shared" si="30"/>
        <v>0.26075565622512109</v>
      </c>
      <c r="M271" s="10">
        <f t="shared" si="28"/>
        <v>0.34250900183418032</v>
      </c>
      <c r="P271" s="8">
        <f t="shared" si="29"/>
        <v>-3.5063974565864622</v>
      </c>
    </row>
    <row r="272" spans="1:16" x14ac:dyDescent="0.2">
      <c r="A272" s="8">
        <v>135</v>
      </c>
      <c r="B272" s="8">
        <v>270</v>
      </c>
      <c r="D272">
        <v>998.67545871560003</v>
      </c>
      <c r="E272">
        <v>342.23394495412998</v>
      </c>
      <c r="F272">
        <v>151.06926159130001</v>
      </c>
      <c r="G272">
        <v>122.32169433314</v>
      </c>
      <c r="I272" s="9">
        <f t="shared" si="26"/>
        <v>219.91225062098999</v>
      </c>
      <c r="J272" s="9">
        <f t="shared" si="27"/>
        <v>847.60619712430002</v>
      </c>
      <c r="K272" s="9">
        <f t="shared" si="31"/>
        <v>219.91225062098999</v>
      </c>
      <c r="L272" s="10">
        <f t="shared" si="30"/>
        <v>0.25945097070678946</v>
      </c>
      <c r="M272" s="10">
        <f t="shared" si="28"/>
        <v>0.34150823209878201</v>
      </c>
      <c r="P272" s="8">
        <f t="shared" si="29"/>
        <v>-3.7883400524536315</v>
      </c>
    </row>
    <row r="273" spans="1:16" x14ac:dyDescent="0.2">
      <c r="A273" s="8">
        <v>135.5</v>
      </c>
      <c r="B273" s="8">
        <v>271</v>
      </c>
      <c r="D273">
        <v>1009.0630733945</v>
      </c>
      <c r="E273">
        <v>345.42660550458999</v>
      </c>
      <c r="F273">
        <v>151.43159702347</v>
      </c>
      <c r="G273">
        <v>122.52661705781</v>
      </c>
      <c r="I273" s="9">
        <f t="shared" si="26"/>
        <v>222.89998844677999</v>
      </c>
      <c r="J273" s="9">
        <f t="shared" si="27"/>
        <v>857.63147637102998</v>
      </c>
      <c r="K273" s="9">
        <f t="shared" si="31"/>
        <v>222.89998844677999</v>
      </c>
      <c r="L273" s="10">
        <f t="shared" si="30"/>
        <v>0.25990182798555378</v>
      </c>
      <c r="M273" s="10">
        <f t="shared" si="28"/>
        <v>0.34226300516047964</v>
      </c>
      <c r="P273" s="8">
        <f t="shared" si="29"/>
        <v>-3.5757010519137662</v>
      </c>
    </row>
    <row r="274" spans="1:16" x14ac:dyDescent="0.2">
      <c r="A274" s="8">
        <v>136</v>
      </c>
      <c r="B274" s="8">
        <v>272</v>
      </c>
      <c r="D274">
        <v>984.72362385321003</v>
      </c>
      <c r="E274">
        <v>337.43061926605998</v>
      </c>
      <c r="F274">
        <v>151.18088151116001</v>
      </c>
      <c r="G274">
        <v>122.33543216943001</v>
      </c>
      <c r="I274" s="9">
        <f t="shared" si="26"/>
        <v>215.09518709662996</v>
      </c>
      <c r="J274" s="9">
        <f t="shared" si="27"/>
        <v>833.54274234205002</v>
      </c>
      <c r="K274" s="9">
        <f t="shared" si="31"/>
        <v>215.09518709662996</v>
      </c>
      <c r="L274" s="10">
        <f t="shared" si="30"/>
        <v>0.25804937907834863</v>
      </c>
      <c r="M274" s="10">
        <f t="shared" si="28"/>
        <v>0.3407144720362078</v>
      </c>
      <c r="P274" s="8">
        <f t="shared" si="29"/>
        <v>-4.0119626947278659</v>
      </c>
    </row>
    <row r="275" spans="1:16" x14ac:dyDescent="0.2">
      <c r="A275" s="8">
        <v>136.5</v>
      </c>
      <c r="B275" s="8">
        <v>273</v>
      </c>
      <c r="D275">
        <v>982.59575688073005</v>
      </c>
      <c r="E275">
        <v>335.67373853211001</v>
      </c>
      <c r="F275">
        <v>151.61476817401001</v>
      </c>
      <c r="G275">
        <v>122.02633085289</v>
      </c>
      <c r="I275" s="9">
        <f>E275-G275</f>
        <v>213.64740767922001</v>
      </c>
      <c r="J275" s="9">
        <f>D275-F275</f>
        <v>830.98098870672004</v>
      </c>
      <c r="K275" s="9">
        <f t="shared" si="31"/>
        <v>213.64740767922001</v>
      </c>
      <c r="L275" s="10">
        <f t="shared" si="30"/>
        <v>0.25710264203724531</v>
      </c>
      <c r="M275" s="10">
        <f>L275+ABS($N$2)*A275</f>
        <v>0.3400716507780378</v>
      </c>
      <c r="O275" s="11"/>
      <c r="P275" s="8">
        <f>(M275-$O$2)/$O$2*100</f>
        <v>-4.1930619903964299</v>
      </c>
    </row>
    <row r="276" spans="1:16" x14ac:dyDescent="0.2">
      <c r="A276" s="8">
        <v>137</v>
      </c>
      <c r="B276" s="8">
        <v>274</v>
      </c>
      <c r="D276">
        <v>963.98165137615001</v>
      </c>
      <c r="E276">
        <v>329.88933486239</v>
      </c>
      <c r="F276">
        <v>151.20492272467001</v>
      </c>
      <c r="G276">
        <v>122.28048082427</v>
      </c>
      <c r="I276" s="9">
        <f t="shared" ref="I276:I291" si="32">E276-G276</f>
        <v>207.60885403812</v>
      </c>
      <c r="J276" s="9">
        <f t="shared" ref="J276:J291" si="33">D276-F276</f>
        <v>812.77672865147997</v>
      </c>
      <c r="K276" s="9">
        <f t="shared" si="31"/>
        <v>207.60885403812</v>
      </c>
      <c r="L276" s="10">
        <f t="shared" si="30"/>
        <v>0.25543159236679258</v>
      </c>
      <c r="M276" s="10">
        <f t="shared" ref="M276:M291" si="34">L276+ABS($N$2)*A276</f>
        <v>0.33870451689051839</v>
      </c>
      <c r="P276" s="8">
        <f t="shared" ref="P276:P291" si="35">(M276-$O$2)/$O$2*100</f>
        <v>-4.5782187987123653</v>
      </c>
    </row>
    <row r="277" spans="1:16" x14ac:dyDescent="0.2">
      <c r="A277" s="8">
        <v>137.5</v>
      </c>
      <c r="B277" s="8">
        <v>275</v>
      </c>
      <c r="D277">
        <v>942.86983944954</v>
      </c>
      <c r="E277">
        <v>323.16800458716</v>
      </c>
      <c r="F277">
        <v>151.26330852890999</v>
      </c>
      <c r="G277">
        <v>122.5781339439</v>
      </c>
      <c r="I277" s="9">
        <f t="shared" si="32"/>
        <v>200.58987064325999</v>
      </c>
      <c r="J277" s="9">
        <f t="shared" si="33"/>
        <v>791.60653092063001</v>
      </c>
      <c r="K277" s="9">
        <f t="shared" si="31"/>
        <v>200.58987064325999</v>
      </c>
      <c r="L277" s="10">
        <f t="shared" si="30"/>
        <v>0.25339592690067386</v>
      </c>
      <c r="M277" s="10">
        <f t="shared" si="34"/>
        <v>0.33697276720733293</v>
      </c>
      <c r="N277" s="1"/>
      <c r="P277" s="8">
        <f t="shared" si="35"/>
        <v>-5.0660972624582019</v>
      </c>
    </row>
    <row r="278" spans="1:16" x14ac:dyDescent="0.2">
      <c r="A278" s="8">
        <v>138</v>
      </c>
      <c r="B278" s="8">
        <v>276</v>
      </c>
      <c r="D278">
        <v>1013.9627293578</v>
      </c>
      <c r="E278">
        <v>341.38474770642</v>
      </c>
      <c r="F278">
        <v>151.05838580424</v>
      </c>
      <c r="G278">
        <v>121.97595878649</v>
      </c>
      <c r="I278" s="9">
        <f t="shared" si="32"/>
        <v>219.40878891993</v>
      </c>
      <c r="J278" s="9">
        <f t="shared" si="33"/>
        <v>862.90434355356001</v>
      </c>
      <c r="K278" s="9">
        <f t="shared" si="31"/>
        <v>219.40878891993</v>
      </c>
      <c r="L278" s="10">
        <f t="shared" si="30"/>
        <v>0.25426779985412301</v>
      </c>
      <c r="M278" s="10">
        <f t="shared" si="34"/>
        <v>0.3381485559437154</v>
      </c>
      <c r="P278" s="8">
        <f t="shared" si="35"/>
        <v>-4.734847308746212</v>
      </c>
    </row>
    <row r="279" spans="1:16" x14ac:dyDescent="0.2">
      <c r="A279" s="8">
        <v>138.5</v>
      </c>
      <c r="B279" s="8">
        <v>277</v>
      </c>
      <c r="D279">
        <v>1023.9151376147</v>
      </c>
      <c r="E279">
        <v>345.63876146788999</v>
      </c>
      <c r="F279">
        <v>150.55523755009</v>
      </c>
      <c r="G279">
        <v>122.47052089296</v>
      </c>
      <c r="I279" s="9">
        <f t="shared" si="32"/>
        <v>223.16824057493</v>
      </c>
      <c r="J279" s="9">
        <f t="shared" si="33"/>
        <v>873.35990006460997</v>
      </c>
      <c r="K279" s="9">
        <f t="shared" si="31"/>
        <v>223.16824057493</v>
      </c>
      <c r="L279" s="10">
        <f t="shared" si="30"/>
        <v>0.25552838017685531</v>
      </c>
      <c r="M279" s="10">
        <f t="shared" si="34"/>
        <v>0.33971305204938101</v>
      </c>
      <c r="P279" s="8">
        <f t="shared" si="35"/>
        <v>-4.2940884831609436</v>
      </c>
    </row>
    <row r="280" spans="1:16" x14ac:dyDescent="0.2">
      <c r="A280" s="8">
        <v>139</v>
      </c>
      <c r="B280" s="8">
        <v>278</v>
      </c>
      <c r="D280">
        <v>1039.0980504587001</v>
      </c>
      <c r="E280">
        <v>357.92889908257001</v>
      </c>
      <c r="F280">
        <v>150.67601602747999</v>
      </c>
      <c r="G280">
        <v>122.21350887235</v>
      </c>
      <c r="I280" s="9">
        <f t="shared" si="32"/>
        <v>235.71539021021999</v>
      </c>
      <c r="J280" s="9">
        <f t="shared" si="33"/>
        <v>888.42203443122003</v>
      </c>
      <c r="K280" s="9">
        <f t="shared" si="31"/>
        <v>235.71539021021999</v>
      </c>
      <c r="L280" s="10">
        <f t="shared" si="30"/>
        <v>0.26531916259948257</v>
      </c>
      <c r="M280" s="10">
        <f t="shared" si="34"/>
        <v>0.3498077502549416</v>
      </c>
      <c r="P280" s="8">
        <f t="shared" si="35"/>
        <v>-1.4501521450595198</v>
      </c>
    </row>
    <row r="281" spans="1:16" x14ac:dyDescent="0.2">
      <c r="A281" s="8">
        <v>139.5</v>
      </c>
      <c r="B281" s="8">
        <v>279</v>
      </c>
      <c r="D281">
        <v>1044.8153669725</v>
      </c>
      <c r="E281">
        <v>357.45355504587002</v>
      </c>
      <c r="F281">
        <v>151.24441900401001</v>
      </c>
      <c r="G281">
        <v>122.52203777905</v>
      </c>
      <c r="I281" s="9">
        <f t="shared" si="32"/>
        <v>234.93151726682004</v>
      </c>
      <c r="J281" s="9">
        <f t="shared" si="33"/>
        <v>893.57094796848992</v>
      </c>
      <c r="K281" s="9">
        <f t="shared" si="31"/>
        <v>234.93151726682004</v>
      </c>
      <c r="L281" s="10">
        <f t="shared" si="30"/>
        <v>0.2629131103701734</v>
      </c>
      <c r="M281" s="10">
        <f t="shared" si="34"/>
        <v>0.34770561380856568</v>
      </c>
      <c r="P281" s="8">
        <f t="shared" si="35"/>
        <v>-2.0423780943407706</v>
      </c>
    </row>
    <row r="282" spans="1:16" x14ac:dyDescent="0.2">
      <c r="A282" s="8">
        <v>140</v>
      </c>
      <c r="B282" s="8">
        <v>280</v>
      </c>
      <c r="D282">
        <v>1069.2993119266</v>
      </c>
      <c r="E282">
        <v>360.49082568807</v>
      </c>
      <c r="F282">
        <v>151.02518603319999</v>
      </c>
      <c r="G282">
        <v>122.15970234688</v>
      </c>
      <c r="I282" s="9">
        <f t="shared" si="32"/>
        <v>238.33112334118999</v>
      </c>
      <c r="J282" s="9">
        <f t="shared" si="33"/>
        <v>918.27412589339997</v>
      </c>
      <c r="K282" s="9">
        <f t="shared" si="31"/>
        <v>238.33112334118999</v>
      </c>
      <c r="L282" s="10">
        <f t="shared" si="30"/>
        <v>0.25954245755243815</v>
      </c>
      <c r="M282" s="10">
        <f t="shared" si="34"/>
        <v>0.34463887677376376</v>
      </c>
      <c r="P282" s="8">
        <f t="shared" si="35"/>
        <v>-2.9063568597356966</v>
      </c>
    </row>
    <row r="283" spans="1:16" x14ac:dyDescent="0.2">
      <c r="A283" s="8">
        <v>140.5</v>
      </c>
      <c r="B283" s="8">
        <v>281</v>
      </c>
      <c r="D283">
        <v>1080.3939220184</v>
      </c>
      <c r="E283">
        <v>363.85779816514003</v>
      </c>
      <c r="F283">
        <v>150.90898683456999</v>
      </c>
      <c r="G283">
        <v>122.3526044648</v>
      </c>
      <c r="I283" s="9">
        <f t="shared" si="32"/>
        <v>241.50519370034004</v>
      </c>
      <c r="J283" s="9">
        <f t="shared" si="33"/>
        <v>929.48493518382998</v>
      </c>
      <c r="K283" s="9">
        <f t="shared" si="31"/>
        <v>241.50519370034004</v>
      </c>
      <c r="L283" s="10">
        <f t="shared" si="30"/>
        <v>0.2598269047282365</v>
      </c>
      <c r="M283" s="10">
        <f t="shared" si="34"/>
        <v>0.34522723973249542</v>
      </c>
      <c r="P283" s="8">
        <f t="shared" si="35"/>
        <v>-2.7405998688621973</v>
      </c>
    </row>
    <row r="284" spans="1:16" x14ac:dyDescent="0.2">
      <c r="A284" s="8">
        <v>141</v>
      </c>
      <c r="B284" s="8">
        <v>282</v>
      </c>
      <c r="D284">
        <v>1043.189793578</v>
      </c>
      <c r="E284">
        <v>356.24369266054998</v>
      </c>
      <c r="F284">
        <v>151.25414997138</v>
      </c>
      <c r="G284">
        <v>122.08414424727999</v>
      </c>
      <c r="I284" s="9">
        <f t="shared" si="32"/>
        <v>234.15954841326999</v>
      </c>
      <c r="J284" s="9">
        <f t="shared" si="33"/>
        <v>891.93564360662003</v>
      </c>
      <c r="K284" s="9">
        <f t="shared" si="31"/>
        <v>234.15954841326999</v>
      </c>
      <c r="L284" s="10">
        <f t="shared" si="30"/>
        <v>0.26252964559912118</v>
      </c>
      <c r="M284" s="10">
        <f t="shared" si="34"/>
        <v>0.34823389638631341</v>
      </c>
      <c r="P284" s="8">
        <f t="shared" si="35"/>
        <v>-1.8935472933550537</v>
      </c>
    </row>
    <row r="285" spans="1:16" x14ac:dyDescent="0.2">
      <c r="A285" s="8">
        <v>141.5</v>
      </c>
      <c r="B285" s="8">
        <v>283</v>
      </c>
      <c r="D285">
        <v>1022.6106651376</v>
      </c>
      <c r="E285">
        <v>347.71158256881</v>
      </c>
      <c r="F285">
        <v>151.12478534631001</v>
      </c>
      <c r="G285">
        <v>122.08299942759</v>
      </c>
      <c r="I285" s="9">
        <f t="shared" si="32"/>
        <v>225.62858314122002</v>
      </c>
      <c r="J285" s="9">
        <f t="shared" si="33"/>
        <v>871.48587979129002</v>
      </c>
      <c r="K285" s="9">
        <f t="shared" si="31"/>
        <v>225.62858314122002</v>
      </c>
      <c r="L285" s="10">
        <f t="shared" si="30"/>
        <v>0.25890101993993897</v>
      </c>
      <c r="M285" s="10">
        <f t="shared" si="34"/>
        <v>0.34490918651006452</v>
      </c>
      <c r="P285" s="8">
        <f t="shared" si="35"/>
        <v>-2.8302036488170272</v>
      </c>
    </row>
    <row r="286" spans="1:16" x14ac:dyDescent="0.2">
      <c r="A286" s="8">
        <v>142</v>
      </c>
      <c r="B286" s="8">
        <v>284</v>
      </c>
      <c r="D286">
        <v>982.18119266054998</v>
      </c>
      <c r="E286">
        <v>335.59059633027999</v>
      </c>
      <c r="F286">
        <v>150.70978820836001</v>
      </c>
      <c r="G286">
        <v>121.58958214080999</v>
      </c>
      <c r="I286" s="9">
        <f t="shared" si="32"/>
        <v>214.00101418947</v>
      </c>
      <c r="J286" s="9">
        <f t="shared" si="33"/>
        <v>831.47140445218997</v>
      </c>
      <c r="K286" s="9">
        <f t="shared" si="31"/>
        <v>214.00101418947</v>
      </c>
      <c r="L286" s="10">
        <f t="shared" si="30"/>
        <v>0.257376276614664</v>
      </c>
      <c r="M286" s="10">
        <f t="shared" si="34"/>
        <v>0.34368835896772287</v>
      </c>
      <c r="P286" s="8">
        <f t="shared" si="35"/>
        <v>-3.1741421935382532</v>
      </c>
    </row>
    <row r="287" spans="1:16" x14ac:dyDescent="0.2">
      <c r="A287" s="8">
        <v>142.5</v>
      </c>
      <c r="B287" s="8">
        <v>285</v>
      </c>
      <c r="D287">
        <v>1067.9283256880999</v>
      </c>
      <c r="E287">
        <v>356.47935779816999</v>
      </c>
      <c r="F287">
        <v>151.07956496852</v>
      </c>
      <c r="G287">
        <v>122.08986834574</v>
      </c>
      <c r="I287" s="9">
        <f t="shared" si="32"/>
        <v>234.38948945242998</v>
      </c>
      <c r="J287" s="9">
        <f t="shared" si="33"/>
        <v>916.8487607195799</v>
      </c>
      <c r="K287" s="9">
        <f t="shared" si="31"/>
        <v>234.38948945242998</v>
      </c>
      <c r="L287" s="10">
        <f t="shared" si="30"/>
        <v>0.25564684110874691</v>
      </c>
      <c r="M287" s="10">
        <f t="shared" si="34"/>
        <v>0.34226283924473905</v>
      </c>
      <c r="P287" s="8">
        <f t="shared" si="35"/>
        <v>-3.5757477946488256</v>
      </c>
    </row>
    <row r="288" spans="1:16" x14ac:dyDescent="0.2">
      <c r="A288" s="8">
        <v>143</v>
      </c>
      <c r="B288" s="8">
        <v>286</v>
      </c>
      <c r="D288">
        <v>1074.8652522936</v>
      </c>
      <c r="E288">
        <v>359.77121559633002</v>
      </c>
      <c r="F288">
        <v>151.04464796795</v>
      </c>
      <c r="G288">
        <v>121.89467658844001</v>
      </c>
      <c r="I288" s="9">
        <f t="shared" si="32"/>
        <v>237.87653900789002</v>
      </c>
      <c r="J288" s="9">
        <f t="shared" si="33"/>
        <v>923.82060432564992</v>
      </c>
      <c r="K288" s="9">
        <f t="shared" si="31"/>
        <v>237.87653900789002</v>
      </c>
      <c r="L288" s="10">
        <f t="shared" si="30"/>
        <v>0.25749213418067229</v>
      </c>
      <c r="M288" s="10">
        <f t="shared" si="34"/>
        <v>0.34441204809959775</v>
      </c>
      <c r="P288" s="8">
        <f t="shared" si="35"/>
        <v>-2.9702603361792765</v>
      </c>
    </row>
    <row r="289" spans="1:16" x14ac:dyDescent="0.2">
      <c r="A289" s="8">
        <v>143.5</v>
      </c>
      <c r="B289" s="8">
        <v>287</v>
      </c>
      <c r="D289">
        <v>1054.2396788991</v>
      </c>
      <c r="E289">
        <v>353.62213302752002</v>
      </c>
      <c r="F289">
        <v>151.40641099026999</v>
      </c>
      <c r="G289">
        <v>122.26388093875001</v>
      </c>
      <c r="I289" s="9">
        <f t="shared" si="32"/>
        <v>231.35825208877003</v>
      </c>
      <c r="J289" s="9">
        <f t="shared" si="33"/>
        <v>902.83326790883007</v>
      </c>
      <c r="K289" s="9">
        <f t="shared" si="31"/>
        <v>231.35825208877003</v>
      </c>
      <c r="L289" s="10">
        <f t="shared" si="30"/>
        <v>0.25625800500755702</v>
      </c>
      <c r="M289" s="10">
        <f t="shared" si="34"/>
        <v>0.34348183470941579</v>
      </c>
      <c r="P289" s="8">
        <f t="shared" si="35"/>
        <v>-3.2323253933663998</v>
      </c>
    </row>
    <row r="290" spans="1:16" x14ac:dyDescent="0.2">
      <c r="A290" s="8">
        <v>144</v>
      </c>
      <c r="B290" s="8">
        <v>288</v>
      </c>
      <c r="D290">
        <v>1084.5246559632999</v>
      </c>
      <c r="E290">
        <v>363.35493119265999</v>
      </c>
      <c r="F290">
        <v>151.21980538065</v>
      </c>
      <c r="G290">
        <v>122.22839152832999</v>
      </c>
      <c r="I290" s="9">
        <f t="shared" si="32"/>
        <v>241.12653966432998</v>
      </c>
      <c r="J290" s="9">
        <f t="shared" si="33"/>
        <v>933.30485058264992</v>
      </c>
      <c r="K290" s="9">
        <f t="shared" si="31"/>
        <v>241.12653966432998</v>
      </c>
      <c r="L290" s="10">
        <f t="shared" si="30"/>
        <v>0.25835774828963748</v>
      </c>
      <c r="M290" s="10">
        <f t="shared" si="34"/>
        <v>0.34588549377442956</v>
      </c>
      <c r="P290" s="8">
        <f t="shared" si="35"/>
        <v>-2.5551527607428617</v>
      </c>
    </row>
    <row r="291" spans="1:16" x14ac:dyDescent="0.2">
      <c r="A291" s="8">
        <v>144.5</v>
      </c>
      <c r="B291" s="8">
        <v>289</v>
      </c>
      <c r="D291">
        <v>1095.1879271071</v>
      </c>
      <c r="E291">
        <v>363.61332574032002</v>
      </c>
      <c r="F291">
        <v>151.18546078993</v>
      </c>
      <c r="G291">
        <v>122.44361763022</v>
      </c>
      <c r="I291" s="9">
        <f t="shared" si="32"/>
        <v>241.16970811010003</v>
      </c>
      <c r="J291" s="9">
        <f t="shared" si="33"/>
        <v>944.00246631717005</v>
      </c>
      <c r="K291" s="9">
        <f t="shared" si="31"/>
        <v>241.16970811010003</v>
      </c>
      <c r="L291" s="10">
        <f t="shared" si="30"/>
        <v>0.25547571824782794</v>
      </c>
      <c r="M291" s="10">
        <f t="shared" si="34"/>
        <v>0.34330737951555335</v>
      </c>
      <c r="P291" s="8">
        <f t="shared" si="35"/>
        <v>-3.2814739122317422</v>
      </c>
    </row>
    <row r="292" spans="1:16" x14ac:dyDescent="0.2">
      <c r="A292" s="8">
        <v>145</v>
      </c>
      <c r="B292" s="8">
        <v>290</v>
      </c>
      <c r="D292">
        <v>1110.9823462415</v>
      </c>
      <c r="E292">
        <v>368.60990888382997</v>
      </c>
      <c r="F292">
        <v>150.62564396107999</v>
      </c>
      <c r="G292">
        <v>121.93302804808</v>
      </c>
      <c r="I292" s="9">
        <f>E292-G292</f>
        <v>246.67688083574996</v>
      </c>
      <c r="J292" s="9">
        <f>D292-F292</f>
        <v>960.35670228042</v>
      </c>
      <c r="K292" s="9">
        <f t="shared" si="31"/>
        <v>246.67688083574996</v>
      </c>
      <c r="L292" s="10">
        <f t="shared" si="30"/>
        <v>0.25685964418221074</v>
      </c>
      <c r="M292" s="10">
        <f>L292+ABS($N$2)*A292</f>
        <v>0.34499522123286941</v>
      </c>
      <c r="O292" s="11"/>
      <c r="P292" s="8">
        <f>(M292-$O$2)/$O$2*100</f>
        <v>-2.8059654527322238</v>
      </c>
    </row>
    <row r="293" spans="1:16" x14ac:dyDescent="0.2">
      <c r="A293" s="8">
        <v>145.5</v>
      </c>
      <c r="B293" s="8">
        <v>291</v>
      </c>
      <c r="D293">
        <v>1092.8337129841</v>
      </c>
      <c r="E293">
        <v>363.71070615034</v>
      </c>
      <c r="F293">
        <v>151.68803663423</v>
      </c>
      <c r="G293">
        <v>122.20034344590999</v>
      </c>
      <c r="I293" s="9">
        <f t="shared" ref="I293:I301" si="36">E293-G293</f>
        <v>241.51036270443001</v>
      </c>
      <c r="J293" s="9">
        <f t="shared" ref="J293:J301" si="37">D293-F293</f>
        <v>941.14567634986997</v>
      </c>
      <c r="K293" s="9">
        <f t="shared" si="31"/>
        <v>241.51036270443001</v>
      </c>
      <c r="L293" s="10">
        <f t="shared" si="30"/>
        <v>0.25661315646808408</v>
      </c>
      <c r="M293" s="10">
        <f t="shared" ref="M293:M301" si="38">L293+ABS($N$2)*A293</f>
        <v>0.34505264930167606</v>
      </c>
      <c r="P293" s="8">
        <f t="shared" ref="P293:P301" si="39">(M293-$O$2)/$O$2*100</f>
        <v>-2.7897864874595162</v>
      </c>
    </row>
    <row r="294" spans="1:16" x14ac:dyDescent="0.2">
      <c r="A294" s="8">
        <v>146</v>
      </c>
      <c r="B294" s="8">
        <v>292</v>
      </c>
      <c r="D294">
        <v>1093.9618451025001</v>
      </c>
      <c r="E294">
        <v>366.77790432801999</v>
      </c>
      <c r="F294">
        <v>150.43846594160999</v>
      </c>
      <c r="G294">
        <v>121.97366914711</v>
      </c>
      <c r="I294" s="9">
        <f t="shared" si="36"/>
        <v>244.80423518090998</v>
      </c>
      <c r="J294" s="9">
        <f t="shared" si="37"/>
        <v>943.52337916089004</v>
      </c>
      <c r="K294" s="9">
        <f t="shared" si="31"/>
        <v>244.80423518090998</v>
      </c>
      <c r="L294" s="10">
        <f t="shared" si="30"/>
        <v>0.25945751911163384</v>
      </c>
      <c r="M294" s="10">
        <f t="shared" si="38"/>
        <v>0.34820092772815914</v>
      </c>
      <c r="N294" s="1"/>
      <c r="P294" s="8">
        <f t="shared" si="39"/>
        <v>-1.9028354130228353</v>
      </c>
    </row>
    <row r="295" spans="1:16" x14ac:dyDescent="0.2">
      <c r="A295" s="8">
        <v>146.5</v>
      </c>
      <c r="B295" s="8">
        <v>293</v>
      </c>
      <c r="D295">
        <v>1093.5181138585001</v>
      </c>
      <c r="E295">
        <v>365.17653824037001</v>
      </c>
      <c r="F295">
        <v>151.00286204923</v>
      </c>
      <c r="G295">
        <v>121.9937034917</v>
      </c>
      <c r="I295" s="9">
        <f t="shared" si="36"/>
        <v>243.18283474867002</v>
      </c>
      <c r="J295" s="9">
        <f t="shared" si="37"/>
        <v>942.51525180927013</v>
      </c>
      <c r="K295" s="9">
        <f t="shared" si="31"/>
        <v>243.18283474867002</v>
      </c>
      <c r="L295" s="10">
        <f t="shared" si="30"/>
        <v>0.25801474754053227</v>
      </c>
      <c r="M295" s="10">
        <f t="shared" si="38"/>
        <v>0.34706207193999089</v>
      </c>
      <c r="P295" s="8">
        <f t="shared" si="39"/>
        <v>-2.2236804045100231</v>
      </c>
    </row>
    <row r="296" spans="1:16" x14ac:dyDescent="0.2">
      <c r="A296" s="8">
        <v>147</v>
      </c>
      <c r="B296" s="8">
        <v>294</v>
      </c>
      <c r="D296">
        <v>1087.0477285796001</v>
      </c>
      <c r="E296">
        <v>363.87349051179001</v>
      </c>
      <c r="F296">
        <v>150.65712650258001</v>
      </c>
      <c r="G296">
        <v>121.66170578134</v>
      </c>
      <c r="I296" s="9">
        <f t="shared" si="36"/>
        <v>242.21178473045001</v>
      </c>
      <c r="J296" s="9">
        <f t="shared" si="37"/>
        <v>936.39060207702005</v>
      </c>
      <c r="K296" s="9">
        <f t="shared" si="31"/>
        <v>242.21178473045001</v>
      </c>
      <c r="L296" s="10">
        <f t="shared" si="30"/>
        <v>0.25866533067845504</v>
      </c>
      <c r="M296" s="10">
        <f t="shared" si="38"/>
        <v>0.34801657086084692</v>
      </c>
      <c r="P296" s="8">
        <f t="shared" si="39"/>
        <v>-1.9547734881838099</v>
      </c>
    </row>
    <row r="297" spans="1:16" x14ac:dyDescent="0.2">
      <c r="A297" s="8">
        <v>147.5</v>
      </c>
      <c r="B297" s="8">
        <v>295</v>
      </c>
      <c r="D297">
        <v>1098.1725129384999</v>
      </c>
      <c r="E297">
        <v>365.24266820012002</v>
      </c>
      <c r="F297">
        <v>151.05609616485</v>
      </c>
      <c r="G297">
        <v>122.18374356039</v>
      </c>
      <c r="I297" s="9">
        <f t="shared" si="36"/>
        <v>243.05892463973004</v>
      </c>
      <c r="J297" s="9">
        <f t="shared" si="37"/>
        <v>947.11641677364992</v>
      </c>
      <c r="K297" s="9">
        <f t="shared" si="31"/>
        <v>243.05892463973004</v>
      </c>
      <c r="L297" s="10">
        <f t="shared" si="30"/>
        <v>0.25663046309313248</v>
      </c>
      <c r="M297" s="10">
        <f t="shared" si="38"/>
        <v>0.34628561905845767</v>
      </c>
      <c r="P297" s="8">
        <f t="shared" si="39"/>
        <v>-2.4424271683706329</v>
      </c>
    </row>
    <row r="298" spans="1:16" x14ac:dyDescent="0.2">
      <c r="A298" s="8">
        <v>148</v>
      </c>
      <c r="B298" s="8">
        <v>296</v>
      </c>
      <c r="D298">
        <v>1093.2995974697999</v>
      </c>
      <c r="E298">
        <v>365.10753306497998</v>
      </c>
      <c r="F298">
        <v>151.27819118489001</v>
      </c>
      <c r="G298">
        <v>122.14481969089999</v>
      </c>
      <c r="I298" s="9">
        <f t="shared" si="36"/>
        <v>242.96271337407998</v>
      </c>
      <c r="J298" s="9">
        <f t="shared" si="37"/>
        <v>942.02140628490986</v>
      </c>
      <c r="K298" s="9">
        <f t="shared" si="31"/>
        <v>242.96271337407998</v>
      </c>
      <c r="L298" s="10">
        <f t="shared" si="30"/>
        <v>0.25791634006732655</v>
      </c>
      <c r="M298" s="10">
        <f t="shared" si="38"/>
        <v>0.34787541181558507</v>
      </c>
      <c r="P298" s="8">
        <f t="shared" si="39"/>
        <v>-1.9945416248925183</v>
      </c>
    </row>
    <row r="299" spans="1:16" x14ac:dyDescent="0.2">
      <c r="A299" s="8">
        <v>148.5</v>
      </c>
      <c r="B299" s="8">
        <v>297</v>
      </c>
      <c r="D299">
        <v>1064.5514663599999</v>
      </c>
      <c r="E299">
        <v>358.56756756756999</v>
      </c>
      <c r="F299">
        <v>151.19118488838001</v>
      </c>
      <c r="G299">
        <v>122.26788780766999</v>
      </c>
      <c r="I299" s="9">
        <f t="shared" si="36"/>
        <v>236.29967975990002</v>
      </c>
      <c r="J299" s="9">
        <f t="shared" si="37"/>
        <v>913.36028147161994</v>
      </c>
      <c r="K299" s="9">
        <f t="shared" si="31"/>
        <v>236.29967975990002</v>
      </c>
      <c r="L299" s="10">
        <f t="shared" si="30"/>
        <v>0.25871464366632013</v>
      </c>
      <c r="M299" s="10">
        <f t="shared" si="38"/>
        <v>0.34897763119751196</v>
      </c>
      <c r="P299" s="8">
        <f t="shared" si="39"/>
        <v>-1.6840180521229136</v>
      </c>
    </row>
    <row r="300" spans="1:16" x14ac:dyDescent="0.2">
      <c r="A300" s="8">
        <v>149</v>
      </c>
      <c r="B300" s="8">
        <v>298</v>
      </c>
      <c r="D300">
        <v>1015.5589419206</v>
      </c>
      <c r="E300">
        <v>345.93559516964001</v>
      </c>
      <c r="F300">
        <v>150.65025758442999</v>
      </c>
      <c r="G300">
        <v>121.78191184888</v>
      </c>
      <c r="I300" s="9">
        <f t="shared" si="36"/>
        <v>224.15368332076002</v>
      </c>
      <c r="J300" s="9">
        <f t="shared" si="37"/>
        <v>864.90868433616993</v>
      </c>
      <c r="K300" s="9">
        <f t="shared" si="31"/>
        <v>224.15368332076002</v>
      </c>
      <c r="L300" s="10">
        <f t="shared" si="30"/>
        <v>0.25916456543941546</v>
      </c>
      <c r="M300" s="10">
        <f t="shared" si="38"/>
        <v>0.34973146875354055</v>
      </c>
      <c r="P300" s="8">
        <f t="shared" si="39"/>
        <v>-1.4716426076114226</v>
      </c>
    </row>
    <row r="301" spans="1:16" x14ac:dyDescent="0.2">
      <c r="A301" s="8">
        <v>149.5</v>
      </c>
      <c r="B301" s="8">
        <v>299</v>
      </c>
      <c r="D301">
        <v>1061.2819634703001</v>
      </c>
      <c r="E301">
        <v>357.62557077626002</v>
      </c>
      <c r="F301">
        <v>150.80767029193001</v>
      </c>
      <c r="G301">
        <v>122.00858614768001</v>
      </c>
      <c r="I301" s="9">
        <f t="shared" si="36"/>
        <v>235.61698462858001</v>
      </c>
      <c r="J301" s="9">
        <f t="shared" si="37"/>
        <v>910.47429317837009</v>
      </c>
      <c r="K301" s="9">
        <f t="shared" si="31"/>
        <v>235.61698462858001</v>
      </c>
      <c r="L301" s="10">
        <f t="shared" si="30"/>
        <v>0.25878488431130314</v>
      </c>
      <c r="M301" s="10">
        <f t="shared" si="38"/>
        <v>0.34965570340836161</v>
      </c>
      <c r="P301" s="8">
        <f t="shared" si="39"/>
        <v>-1.4929876556688786</v>
      </c>
    </row>
    <row r="302" spans="1:16" x14ac:dyDescent="0.2">
      <c r="A302" s="8">
        <v>150</v>
      </c>
      <c r="B302" s="8">
        <v>300</v>
      </c>
      <c r="D302">
        <v>1010.7825342466</v>
      </c>
      <c r="E302">
        <v>344.53652968036999</v>
      </c>
      <c r="F302">
        <v>150.36233543217</v>
      </c>
      <c r="G302">
        <v>121.6044647968</v>
      </c>
      <c r="I302" s="9">
        <f>E302-G302</f>
        <v>222.93206488356998</v>
      </c>
      <c r="J302" s="9">
        <f>D302-F302</f>
        <v>860.42019881443002</v>
      </c>
      <c r="K302" s="9">
        <f t="shared" si="31"/>
        <v>222.93206488356998</v>
      </c>
      <c r="L302" s="10">
        <f t="shared" si="30"/>
        <v>0.25909673574696096</v>
      </c>
      <c r="M302" s="10">
        <f>L302+ABS($N$2)*A302</f>
        <v>0.35027147062695269</v>
      </c>
      <c r="O302" s="11"/>
      <c r="P302" s="8">
        <f>(M302-$O$2)/$O$2*100</f>
        <v>-1.3195101793637249</v>
      </c>
    </row>
    <row r="303" spans="1:16" x14ac:dyDescent="0.2">
      <c r="A303" s="8">
        <v>150.5</v>
      </c>
      <c r="B303" s="8">
        <v>301</v>
      </c>
      <c r="D303">
        <v>1083.0576484018</v>
      </c>
      <c r="E303">
        <v>364.74372146118998</v>
      </c>
      <c r="F303">
        <v>150.14138523182999</v>
      </c>
      <c r="G303">
        <v>121.86491127647</v>
      </c>
      <c r="I303" s="9">
        <f t="shared" ref="I303:I309" si="40">E303-G303</f>
        <v>242.87881018471998</v>
      </c>
      <c r="J303" s="9">
        <f t="shared" ref="J303:J309" si="41">D303-F303</f>
        <v>932.91626316996997</v>
      </c>
      <c r="K303" s="9">
        <f t="shared" si="31"/>
        <v>242.87881018471998</v>
      </c>
      <c r="L303" s="10">
        <f t="shared" si="30"/>
        <v>0.2603436340143096</v>
      </c>
      <c r="M303" s="10">
        <f t="shared" ref="M303:M309" si="42">L303+ABS($N$2)*A303</f>
        <v>0.35182228467723464</v>
      </c>
      <c r="P303" s="8">
        <f t="shared" ref="P303:P309" si="43">(M303-$O$2)/$O$2*100</f>
        <v>-0.88260594097790934</v>
      </c>
    </row>
    <row r="304" spans="1:16" x14ac:dyDescent="0.2">
      <c r="A304" s="8">
        <v>151</v>
      </c>
      <c r="B304" s="8">
        <v>302</v>
      </c>
      <c r="D304">
        <v>1087.6546803653</v>
      </c>
      <c r="E304">
        <v>365.08789954337999</v>
      </c>
      <c r="F304">
        <v>150.27876359473001</v>
      </c>
      <c r="G304">
        <v>121.86491127647</v>
      </c>
      <c r="I304" s="9">
        <f t="shared" si="40"/>
        <v>243.22298826690999</v>
      </c>
      <c r="J304" s="9">
        <f t="shared" si="41"/>
        <v>937.37591677057003</v>
      </c>
      <c r="K304" s="9">
        <f t="shared" si="31"/>
        <v>243.22298826690999</v>
      </c>
      <c r="L304" s="10">
        <f t="shared" si="30"/>
        <v>0.25947219670936</v>
      </c>
      <c r="M304" s="10">
        <f t="shared" si="42"/>
        <v>0.35125476315521836</v>
      </c>
      <c r="N304" s="1"/>
      <c r="P304" s="8">
        <f t="shared" si="43"/>
        <v>-1.042491362636941</v>
      </c>
    </row>
    <row r="305" spans="1:16" x14ac:dyDescent="0.2">
      <c r="A305" s="8">
        <v>151.5</v>
      </c>
      <c r="B305" s="8">
        <v>303</v>
      </c>
      <c r="D305">
        <v>1048.0039954337999</v>
      </c>
      <c r="E305">
        <v>356.34189497717</v>
      </c>
      <c r="F305">
        <v>150.60274756726</v>
      </c>
      <c r="G305">
        <v>121.85117344018001</v>
      </c>
      <c r="I305" s="9">
        <f t="shared" si="40"/>
        <v>234.49072153699001</v>
      </c>
      <c r="J305" s="9">
        <f t="shared" si="41"/>
        <v>897.40124786653996</v>
      </c>
      <c r="K305" s="9">
        <f t="shared" si="31"/>
        <v>234.49072153699001</v>
      </c>
      <c r="L305" s="10">
        <f t="shared" si="30"/>
        <v>0.2612997497991702</v>
      </c>
      <c r="M305" s="10">
        <f t="shared" si="42"/>
        <v>0.35338623202796182</v>
      </c>
      <c r="P305" s="8">
        <f t="shared" si="43"/>
        <v>-0.44200171378462261</v>
      </c>
    </row>
    <row r="306" spans="1:16" x14ac:dyDescent="0.2">
      <c r="A306" s="8">
        <v>152</v>
      </c>
      <c r="B306" s="8">
        <v>304</v>
      </c>
      <c r="D306">
        <v>1035.1866438356001</v>
      </c>
      <c r="E306">
        <v>353.28139269406</v>
      </c>
      <c r="F306">
        <v>150.31425300514999</v>
      </c>
      <c r="G306">
        <v>121.92215226102</v>
      </c>
      <c r="I306" s="9">
        <f t="shared" si="40"/>
        <v>231.35924043303999</v>
      </c>
      <c r="J306" s="9">
        <f t="shared" si="41"/>
        <v>884.87239083045006</v>
      </c>
      <c r="K306" s="9">
        <f t="shared" si="31"/>
        <v>231.35924043303999</v>
      </c>
      <c r="L306" s="10">
        <f t="shared" si="30"/>
        <v>0.26146057084672969</v>
      </c>
      <c r="M306" s="10">
        <f t="shared" si="42"/>
        <v>0.35385096885845463</v>
      </c>
      <c r="P306" s="8">
        <f t="shared" si="43"/>
        <v>-0.31107338556926917</v>
      </c>
    </row>
    <row r="307" spans="1:16" x14ac:dyDescent="0.2">
      <c r="A307" s="8">
        <v>152.5</v>
      </c>
      <c r="B307" s="8">
        <v>305</v>
      </c>
      <c r="D307">
        <v>1061.6660958903999</v>
      </c>
      <c r="E307">
        <v>359.88070776256001</v>
      </c>
      <c r="F307">
        <v>150.5477962221</v>
      </c>
      <c r="G307">
        <v>122.1133371494</v>
      </c>
      <c r="I307" s="9">
        <f t="shared" si="40"/>
        <v>237.76737061316001</v>
      </c>
      <c r="J307" s="9">
        <f t="shared" si="41"/>
        <v>911.11829966829987</v>
      </c>
      <c r="K307" s="9">
        <f t="shared" si="31"/>
        <v>237.76737061316001</v>
      </c>
      <c r="L307" s="10">
        <f t="shared" si="30"/>
        <v>0.26096212829851095</v>
      </c>
      <c r="M307" s="10">
        <f t="shared" si="42"/>
        <v>0.35365644209316921</v>
      </c>
      <c r="P307" s="8">
        <f t="shared" si="43"/>
        <v>-0.36587658277865098</v>
      </c>
    </row>
    <row r="308" spans="1:16" x14ac:dyDescent="0.2">
      <c r="A308" s="8">
        <v>153</v>
      </c>
      <c r="B308" s="8">
        <v>306</v>
      </c>
      <c r="D308">
        <v>1070.6272831050001</v>
      </c>
      <c r="E308">
        <v>360.96347031964001</v>
      </c>
      <c r="F308">
        <v>150.11161991986</v>
      </c>
      <c r="G308">
        <v>121.91986262163999</v>
      </c>
      <c r="I308" s="9">
        <f t="shared" si="40"/>
        <v>239.04360769800002</v>
      </c>
      <c r="J308" s="9">
        <f t="shared" si="41"/>
        <v>920.51566318514006</v>
      </c>
      <c r="K308" s="9">
        <f t="shared" si="31"/>
        <v>239.04360769800002</v>
      </c>
      <c r="L308" s="10">
        <f t="shared" si="30"/>
        <v>0.25968445433168258</v>
      </c>
      <c r="M308" s="10">
        <f t="shared" si="42"/>
        <v>0.35268268390927415</v>
      </c>
      <c r="P308" s="8">
        <f t="shared" si="43"/>
        <v>-0.64020932926703555</v>
      </c>
    </row>
    <row r="309" spans="1:16" x14ac:dyDescent="0.2">
      <c r="A309" s="8">
        <v>153.5</v>
      </c>
      <c r="B309" s="8">
        <v>307</v>
      </c>
      <c r="D309">
        <v>1081.9035388128</v>
      </c>
      <c r="E309">
        <v>363.78139269406</v>
      </c>
      <c r="F309">
        <v>150.22552947911001</v>
      </c>
      <c r="G309">
        <v>121.74699484831</v>
      </c>
      <c r="I309" s="9">
        <f t="shared" si="40"/>
        <v>242.03439784574999</v>
      </c>
      <c r="J309" s="9">
        <f t="shared" si="41"/>
        <v>931.67800933368994</v>
      </c>
      <c r="K309" s="9">
        <f t="shared" si="31"/>
        <v>242.03439784574999</v>
      </c>
      <c r="L309" s="10">
        <f t="shared" si="30"/>
        <v>0.25978331078013339</v>
      </c>
      <c r="M309" s="10">
        <f t="shared" si="42"/>
        <v>0.35308545614065828</v>
      </c>
      <c r="P309" s="8">
        <f t="shared" si="43"/>
        <v>-0.52673802368797873</v>
      </c>
    </row>
    <row r="310" spans="1:16" x14ac:dyDescent="0.2">
      <c r="A310" s="8">
        <v>154</v>
      </c>
      <c r="B310" s="8">
        <v>308</v>
      </c>
      <c r="D310">
        <v>1074.0799086758</v>
      </c>
      <c r="E310">
        <v>360.33162100457002</v>
      </c>
      <c r="F310">
        <v>150.52604464797</v>
      </c>
      <c r="G310">
        <v>121.60789925587</v>
      </c>
      <c r="I310" s="9">
        <f>E310-G310</f>
        <v>238.72372174870003</v>
      </c>
      <c r="J310" s="9">
        <f>D310-F310</f>
        <v>923.55386402782995</v>
      </c>
      <c r="K310" s="9">
        <f t="shared" si="31"/>
        <v>238.72372174870003</v>
      </c>
      <c r="L310" s="10">
        <f t="shared" si="30"/>
        <v>0.25848381025398043</v>
      </c>
      <c r="M310" s="10">
        <f>L310+ABS($N$2)*A310</f>
        <v>0.35208987139743864</v>
      </c>
      <c r="O310" s="11"/>
      <c r="P310" s="8">
        <f>(M310-$O$2)/$O$2*100</f>
        <v>-0.8072198737884686</v>
      </c>
    </row>
    <row r="311" spans="1:16" x14ac:dyDescent="0.2">
      <c r="A311" s="8">
        <v>154.5</v>
      </c>
      <c r="B311" s="8">
        <v>309</v>
      </c>
      <c r="D311">
        <v>1074.169520548</v>
      </c>
      <c r="E311">
        <v>360.63527397259998</v>
      </c>
      <c r="F311">
        <v>149.98397252433</v>
      </c>
      <c r="G311">
        <v>121.85117344018001</v>
      </c>
      <c r="I311" s="9">
        <f t="shared" ref="I311:I319" si="44">E311-G311</f>
        <v>238.78410053241998</v>
      </c>
      <c r="J311" s="9">
        <f t="shared" ref="J311:J319" si="45">D311-F311</f>
        <v>924.18554802366998</v>
      </c>
      <c r="K311" s="9">
        <f t="shared" si="31"/>
        <v>238.78410053241998</v>
      </c>
      <c r="L311" s="10">
        <f t="shared" si="30"/>
        <v>0.25837246756676646</v>
      </c>
      <c r="M311" s="10">
        <f t="shared" ref="M311:M319" si="46">L311+ABS($N$2)*A311</f>
        <v>0.35228244449315793</v>
      </c>
      <c r="P311" s="8">
        <f t="shared" ref="P311:P319" si="47">(M311-$O$2)/$O$2*100</f>
        <v>-0.75296707558642728</v>
      </c>
    </row>
    <row r="312" spans="1:16" x14ac:dyDescent="0.2">
      <c r="A312" s="8">
        <v>155</v>
      </c>
      <c r="B312" s="8">
        <v>310</v>
      </c>
      <c r="D312">
        <v>1046.2448630137001</v>
      </c>
      <c r="E312">
        <v>353.69520547945001</v>
      </c>
      <c r="F312">
        <v>150.17000572410001</v>
      </c>
      <c r="G312">
        <v>121.68231253578</v>
      </c>
      <c r="I312" s="9">
        <f t="shared" si="44"/>
        <v>232.01289294367001</v>
      </c>
      <c r="J312" s="9">
        <f t="shared" si="45"/>
        <v>896.0748572896</v>
      </c>
      <c r="K312" s="9">
        <f t="shared" si="31"/>
        <v>232.01289294367001</v>
      </c>
      <c r="L312" s="10">
        <f t="shared" si="30"/>
        <v>0.25892132901200954</v>
      </c>
      <c r="M312" s="10">
        <f t="shared" si="46"/>
        <v>0.35313522172133432</v>
      </c>
      <c r="N312" s="1"/>
      <c r="P312" s="8">
        <f t="shared" si="47"/>
        <v>-0.51271777856630152</v>
      </c>
    </row>
    <row r="313" spans="1:16" x14ac:dyDescent="0.2">
      <c r="A313" s="8">
        <v>155.5</v>
      </c>
      <c r="B313" s="8">
        <v>311</v>
      </c>
      <c r="D313">
        <v>1042.1678082192</v>
      </c>
      <c r="E313">
        <v>352.34075342466002</v>
      </c>
      <c r="F313">
        <v>150.46250715511999</v>
      </c>
      <c r="G313">
        <v>121.47052089296</v>
      </c>
      <c r="I313" s="9">
        <f t="shared" si="44"/>
        <v>230.87023253170003</v>
      </c>
      <c r="J313" s="9">
        <f t="shared" si="45"/>
        <v>891.70530106408</v>
      </c>
      <c r="K313" s="9">
        <f t="shared" si="31"/>
        <v>230.87023253170003</v>
      </c>
      <c r="L313" s="10">
        <f t="shared" si="30"/>
        <v>0.25890866887995451</v>
      </c>
      <c r="M313" s="10">
        <f t="shared" si="46"/>
        <v>0.35342647737221261</v>
      </c>
      <c r="P313" s="8">
        <f t="shared" si="47"/>
        <v>-0.43066356432997394</v>
      </c>
    </row>
    <row r="314" spans="1:16" x14ac:dyDescent="0.2">
      <c r="A314" s="8">
        <v>156</v>
      </c>
      <c r="B314" s="8">
        <v>312</v>
      </c>
      <c r="D314">
        <v>1031.1238584475</v>
      </c>
      <c r="E314">
        <v>350.625</v>
      </c>
      <c r="F314">
        <v>149.84430452204001</v>
      </c>
      <c r="G314">
        <v>121.43560389239001</v>
      </c>
      <c r="I314" s="9">
        <f t="shared" si="44"/>
        <v>229.18939610760998</v>
      </c>
      <c r="J314" s="9">
        <f t="shared" si="45"/>
        <v>881.27955392545994</v>
      </c>
      <c r="K314" s="9">
        <f t="shared" si="31"/>
        <v>229.18939610760998</v>
      </c>
      <c r="L314" s="10">
        <f t="shared" si="30"/>
        <v>0.26006435198313382</v>
      </c>
      <c r="M314" s="10">
        <f t="shared" si="46"/>
        <v>0.35488607625832524</v>
      </c>
      <c r="P314" s="8">
        <f t="shared" si="47"/>
        <v>-1.9456985714128433E-2</v>
      </c>
    </row>
    <row r="315" spans="1:16" x14ac:dyDescent="0.2">
      <c r="A315" s="8">
        <v>156.5</v>
      </c>
      <c r="B315" s="8">
        <v>313</v>
      </c>
      <c r="D315">
        <v>1031.022260274</v>
      </c>
      <c r="E315">
        <v>350.78881278539001</v>
      </c>
      <c r="F315">
        <v>150.39381797367</v>
      </c>
      <c r="G315">
        <v>121.43903835146</v>
      </c>
      <c r="I315" s="9">
        <f t="shared" si="44"/>
        <v>229.34977443393001</v>
      </c>
      <c r="J315" s="9">
        <f t="shared" si="45"/>
        <v>880.62844230032999</v>
      </c>
      <c r="K315" s="9">
        <f t="shared" si="31"/>
        <v>229.34977443393001</v>
      </c>
      <c r="L315" s="10">
        <f t="shared" si="30"/>
        <v>0.26043875420924961</v>
      </c>
      <c r="M315" s="10">
        <f t="shared" si="46"/>
        <v>0.3555643942673743</v>
      </c>
      <c r="P315" s="8">
        <f t="shared" si="47"/>
        <v>0.17164265841991608</v>
      </c>
    </row>
    <row r="316" spans="1:16" x14ac:dyDescent="0.2">
      <c r="A316" s="8">
        <v>157</v>
      </c>
      <c r="B316" s="8">
        <v>314</v>
      </c>
      <c r="D316">
        <v>1046.1369863013999</v>
      </c>
      <c r="E316">
        <v>353.99600456620999</v>
      </c>
      <c r="F316">
        <v>150.16256439611001</v>
      </c>
      <c r="G316">
        <v>121.68746422439</v>
      </c>
      <c r="I316" s="9">
        <f t="shared" si="44"/>
        <v>232.30854034181999</v>
      </c>
      <c r="J316" s="9">
        <f t="shared" si="45"/>
        <v>895.97442190528989</v>
      </c>
      <c r="K316" s="9">
        <f t="shared" si="31"/>
        <v>232.30854034181999</v>
      </c>
      <c r="L316" s="10">
        <f t="shared" si="30"/>
        <v>0.25928032615910596</v>
      </c>
      <c r="M316" s="10">
        <f t="shared" si="46"/>
        <v>0.35470988200016396</v>
      </c>
      <c r="P316" s="8">
        <f t="shared" si="47"/>
        <v>-6.9095443758737732E-2</v>
      </c>
    </row>
    <row r="317" spans="1:16" x14ac:dyDescent="0.2">
      <c r="A317" s="8">
        <v>157.5</v>
      </c>
      <c r="B317" s="8">
        <v>315</v>
      </c>
      <c r="D317">
        <v>998.71803652968003</v>
      </c>
      <c r="E317">
        <v>339.30878995434</v>
      </c>
      <c r="F317">
        <v>150.06811677160999</v>
      </c>
      <c r="G317">
        <v>121.56897538638</v>
      </c>
      <c r="I317" s="9">
        <f t="shared" si="44"/>
        <v>217.73981456796</v>
      </c>
      <c r="J317" s="9">
        <f t="shared" si="45"/>
        <v>848.64991975807004</v>
      </c>
      <c r="K317" s="9">
        <f t="shared" si="31"/>
        <v>217.73981456796</v>
      </c>
      <c r="L317" s="10">
        <f t="shared" si="30"/>
        <v>0.25657200866764052</v>
      </c>
      <c r="M317" s="10">
        <f t="shared" si="46"/>
        <v>0.35230548029163183</v>
      </c>
      <c r="P317" s="8">
        <f t="shared" si="47"/>
        <v>-0.74647729817822039</v>
      </c>
    </row>
    <row r="318" spans="1:16" x14ac:dyDescent="0.2">
      <c r="A318" s="8">
        <v>158</v>
      </c>
      <c r="B318" s="8">
        <v>316</v>
      </c>
      <c r="D318">
        <v>1049.2157534247001</v>
      </c>
      <c r="E318">
        <v>353.28595890410998</v>
      </c>
      <c r="F318">
        <v>150.02003434458999</v>
      </c>
      <c r="G318">
        <v>121.63537492845001</v>
      </c>
      <c r="I318" s="9">
        <f t="shared" si="44"/>
        <v>231.65058397565997</v>
      </c>
      <c r="J318" s="9">
        <f t="shared" si="45"/>
        <v>899.19571908011017</v>
      </c>
      <c r="K318" s="9">
        <f t="shared" si="31"/>
        <v>231.65058397565997</v>
      </c>
      <c r="L318" s="10">
        <f t="shared" si="30"/>
        <v>0.25761975847999119</v>
      </c>
      <c r="M318" s="10">
        <f t="shared" si="46"/>
        <v>0.35365714588691582</v>
      </c>
      <c r="P318" s="8">
        <f t="shared" si="47"/>
        <v>-0.36567830596345868</v>
      </c>
    </row>
    <row r="319" spans="1:16" x14ac:dyDescent="0.2">
      <c r="A319" s="8">
        <v>158.5</v>
      </c>
      <c r="B319" s="8">
        <v>317</v>
      </c>
      <c r="D319">
        <v>1044.2779680364999</v>
      </c>
      <c r="E319">
        <v>352.97317351598002</v>
      </c>
      <c r="F319">
        <v>150.21694333143</v>
      </c>
      <c r="G319">
        <v>121.39381797367</v>
      </c>
      <c r="I319" s="9">
        <f t="shared" si="44"/>
        <v>231.57935554231003</v>
      </c>
      <c r="J319" s="9">
        <f t="shared" si="45"/>
        <v>894.06102470506994</v>
      </c>
      <c r="K319" s="9">
        <f t="shared" si="31"/>
        <v>231.57935554231003</v>
      </c>
      <c r="L319" s="10">
        <f t="shared" si="30"/>
        <v>0.25901962969328934</v>
      </c>
      <c r="M319" s="10">
        <f t="shared" si="46"/>
        <v>0.3553609328831473</v>
      </c>
      <c r="P319" s="8">
        <f t="shared" si="47"/>
        <v>0.11432234906338223</v>
      </c>
    </row>
    <row r="320" spans="1:16" x14ac:dyDescent="0.2">
      <c r="A320" s="8">
        <v>159</v>
      </c>
      <c r="B320" s="8">
        <v>318</v>
      </c>
      <c r="D320">
        <v>1036.4366438356001</v>
      </c>
      <c r="E320">
        <v>350.85502283105001</v>
      </c>
      <c r="F320">
        <v>150.15970234688001</v>
      </c>
      <c r="G320">
        <v>121.48082427017999</v>
      </c>
      <c r="I320" s="9">
        <f t="shared" ref="I320:I322" si="48">E320-G320</f>
        <v>229.37419856087001</v>
      </c>
      <c r="J320" s="9">
        <f t="shared" ref="J320:J322" si="49">D320-F320</f>
        <v>886.27694148872001</v>
      </c>
      <c r="K320" s="9">
        <f t="shared" ref="K320:K322" si="50">I320*1</f>
        <v>229.37419856087001</v>
      </c>
      <c r="L320" s="10">
        <f t="shared" ref="L320:L322" si="51">K320/J320</f>
        <v>0.25880646085136738</v>
      </c>
      <c r="M320" s="10">
        <f t="shared" ref="M320:M322" si="52">L320+ABS($N$2)*A320</f>
        <v>0.3554516798241586</v>
      </c>
      <c r="P320" s="8">
        <f t="shared" ref="P320:P322" si="53">(M320-$O$2)/$O$2*100</f>
        <v>0.13988809831692803</v>
      </c>
    </row>
    <row r="321" spans="1:16" x14ac:dyDescent="0.2">
      <c r="A321" s="8">
        <v>159.5</v>
      </c>
      <c r="B321" s="8">
        <v>319</v>
      </c>
      <c r="D321">
        <v>1043.9845890411</v>
      </c>
      <c r="E321">
        <v>354.25742009132</v>
      </c>
      <c r="F321">
        <v>149.74184315970001</v>
      </c>
      <c r="G321">
        <v>121.68288494562</v>
      </c>
      <c r="I321" s="9">
        <f t="shared" si="48"/>
        <v>232.5745351457</v>
      </c>
      <c r="J321" s="9">
        <f t="shared" si="49"/>
        <v>894.24274588139997</v>
      </c>
      <c r="K321" s="9">
        <f t="shared" si="50"/>
        <v>232.5745351457</v>
      </c>
      <c r="L321" s="10">
        <f t="shared" si="51"/>
        <v>0.26007986781761994</v>
      </c>
      <c r="M321" s="10">
        <f t="shared" si="52"/>
        <v>0.35702900257334447</v>
      </c>
      <c r="P321" s="8">
        <f t="shared" si="53"/>
        <v>0.58426051956006841</v>
      </c>
    </row>
    <row r="322" spans="1:16" x14ac:dyDescent="0.2">
      <c r="A322" s="8">
        <v>160</v>
      </c>
      <c r="B322" s="8">
        <v>320</v>
      </c>
      <c r="D322">
        <v>1045.4377853881001</v>
      </c>
      <c r="E322">
        <v>354.95091324201002</v>
      </c>
      <c r="F322">
        <v>149.89353176874999</v>
      </c>
      <c r="G322">
        <v>121.75214653691999</v>
      </c>
      <c r="I322" s="9">
        <f t="shared" si="48"/>
        <v>233.19876670509001</v>
      </c>
      <c r="J322" s="9">
        <f t="shared" si="49"/>
        <v>895.54425361935012</v>
      </c>
      <c r="K322" s="9">
        <f t="shared" si="50"/>
        <v>233.19876670509001</v>
      </c>
      <c r="L322" s="10">
        <f t="shared" si="51"/>
        <v>0.26039893144600629</v>
      </c>
      <c r="M322" s="10">
        <f t="shared" si="52"/>
        <v>0.35765198198466414</v>
      </c>
      <c r="P322" s="8">
        <f t="shared" si="53"/>
        <v>0.75976985621018289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7E92-00D6-964E-851B-5E0899FC5561}">
  <dimension ref="A1:Y798"/>
  <sheetViews>
    <sheetView topLeftCell="F1" zoomScale="75" zoomScaleNormal="70" workbookViewId="0">
      <selection activeCell="E23" sqref="E23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412.78180129991</v>
      </c>
      <c r="E2">
        <v>233.11327762303</v>
      </c>
      <c r="F2">
        <v>151.69750231267</v>
      </c>
      <c r="G2">
        <v>123.76225716929</v>
      </c>
      <c r="H2" s="4"/>
      <c r="I2" s="5">
        <f>E2-G2</f>
        <v>109.35102045374001</v>
      </c>
      <c r="J2" s="5">
        <f>D2-F2</f>
        <v>261.08429898724</v>
      </c>
      <c r="K2" s="9">
        <f>I2*1</f>
        <v>109.35102045374001</v>
      </c>
      <c r="L2" s="6">
        <f t="shared" ref="L2:L65" si="0">K2/J2</f>
        <v>0.41883415003475305</v>
      </c>
      <c r="M2" s="6">
        <f>L2+ABS($N$2)*A2</f>
        <v>0.41883415003475305</v>
      </c>
      <c r="N2" s="4">
        <f>LINEST(V64:V103,U64:U103)</f>
        <v>-1.2517702522255101E-3</v>
      </c>
      <c r="O2" s="7">
        <f>AVERAGE(M62:M81)</f>
        <v>0.5517135351722291</v>
      </c>
      <c r="P2" s="4">
        <f>(M2-$O$2)/$O$2*100</f>
        <v>-24.084851406807505</v>
      </c>
    </row>
    <row r="3" spans="1:16" x14ac:dyDescent="0.2">
      <c r="A3" s="8">
        <v>0.5</v>
      </c>
      <c r="B3" s="8">
        <v>1</v>
      </c>
      <c r="D3">
        <v>407.44846796656998</v>
      </c>
      <c r="E3">
        <v>230.08635097493001</v>
      </c>
      <c r="F3">
        <v>152.2525439408</v>
      </c>
      <c r="G3">
        <v>123.56614246069</v>
      </c>
      <c r="I3" s="9">
        <f t="shared" ref="I3:I66" si="1">E3-G3</f>
        <v>106.52020851424001</v>
      </c>
      <c r="J3" s="9">
        <f t="shared" ref="J3:J66" si="2">D3-F3</f>
        <v>255.19592402576998</v>
      </c>
      <c r="K3" s="9">
        <f t="shared" ref="K3:K66" si="3">I3*1</f>
        <v>106.52020851424001</v>
      </c>
      <c r="L3" s="10">
        <f t="shared" si="0"/>
        <v>0.41740560285548867</v>
      </c>
      <c r="M3" s="10">
        <f t="shared" ref="M3:M66" si="4">L3+ABS($N$2)*A3</f>
        <v>0.41803148798160145</v>
      </c>
      <c r="P3" s="8">
        <f t="shared" ref="P3:P66" si="5">(M3-$O$2)/$O$2*100</f>
        <v>-24.230336699804901</v>
      </c>
    </row>
    <row r="4" spans="1:16" ht="16" x14ac:dyDescent="0.2">
      <c r="A4" s="8">
        <v>1</v>
      </c>
      <c r="B4" s="8">
        <v>2</v>
      </c>
      <c r="D4">
        <v>405.02680221812</v>
      </c>
      <c r="E4">
        <v>223.64048059149999</v>
      </c>
      <c r="F4">
        <v>151.79463459760001</v>
      </c>
      <c r="G4">
        <v>123.16928769658</v>
      </c>
      <c r="I4" s="9">
        <f t="shared" si="1"/>
        <v>100.47119289491999</v>
      </c>
      <c r="J4" s="9">
        <f t="shared" si="2"/>
        <v>253.23216762051999</v>
      </c>
      <c r="K4" s="9">
        <f t="shared" si="3"/>
        <v>100.47119289491999</v>
      </c>
      <c r="L4" s="10">
        <f t="shared" si="0"/>
        <v>0.39675525364329178</v>
      </c>
      <c r="M4" s="10">
        <f t="shared" si="4"/>
        <v>0.39800702389551729</v>
      </c>
      <c r="N4" s="1" t="s">
        <v>7</v>
      </c>
      <c r="P4" s="8">
        <f t="shared" si="5"/>
        <v>-27.859840565399409</v>
      </c>
    </row>
    <row r="5" spans="1:16" x14ac:dyDescent="0.2">
      <c r="A5" s="8">
        <v>1.5</v>
      </c>
      <c r="B5" s="8">
        <v>3</v>
      </c>
      <c r="D5">
        <v>400.14510166359003</v>
      </c>
      <c r="E5">
        <v>217.91035120148001</v>
      </c>
      <c r="F5">
        <v>151.91396854764</v>
      </c>
      <c r="G5">
        <v>123.82053654024</v>
      </c>
      <c r="I5" s="9">
        <f t="shared" si="1"/>
        <v>94.089814661240013</v>
      </c>
      <c r="J5" s="9">
        <f t="shared" si="2"/>
        <v>248.23113311595003</v>
      </c>
      <c r="K5" s="9">
        <f t="shared" si="3"/>
        <v>94.089814661240013</v>
      </c>
      <c r="L5" s="10">
        <f t="shared" si="0"/>
        <v>0.37904115201089694</v>
      </c>
      <c r="M5" s="10">
        <f t="shared" si="4"/>
        <v>0.38091880738923523</v>
      </c>
      <c r="N5" s="8">
        <f>RSQ(V64:V83,U64:U83)</f>
        <v>0.46711261316171587</v>
      </c>
      <c r="P5" s="8">
        <f t="shared" si="5"/>
        <v>-30.957139329503068</v>
      </c>
    </row>
    <row r="6" spans="1:16" x14ac:dyDescent="0.2">
      <c r="A6" s="8">
        <v>2</v>
      </c>
      <c r="B6" s="8">
        <v>4</v>
      </c>
      <c r="D6">
        <v>371.69223659889002</v>
      </c>
      <c r="E6">
        <v>211.42329020333</v>
      </c>
      <c r="F6">
        <v>153.08510638298</v>
      </c>
      <c r="G6">
        <v>123.55411655874001</v>
      </c>
      <c r="I6" s="9">
        <f t="shared" si="1"/>
        <v>87.869173644589992</v>
      </c>
      <c r="J6" s="9">
        <f t="shared" si="2"/>
        <v>218.60713021591002</v>
      </c>
      <c r="K6" s="9">
        <f t="shared" si="3"/>
        <v>87.869173644589992</v>
      </c>
      <c r="L6" s="10">
        <f t="shared" si="0"/>
        <v>0.40195017224646296</v>
      </c>
      <c r="M6" s="10">
        <f t="shared" si="4"/>
        <v>0.40445371275091396</v>
      </c>
      <c r="P6" s="8">
        <f t="shared" si="5"/>
        <v>-26.691355755001524</v>
      </c>
    </row>
    <row r="7" spans="1:16" x14ac:dyDescent="0.2">
      <c r="A7" s="8">
        <v>2.5</v>
      </c>
      <c r="B7" s="8">
        <v>5</v>
      </c>
      <c r="D7">
        <v>403.99260628465998</v>
      </c>
      <c r="E7">
        <v>219.35304990757999</v>
      </c>
      <c r="F7">
        <v>152.72247918593999</v>
      </c>
      <c r="G7">
        <v>123.68547641073</v>
      </c>
      <c r="I7" s="9">
        <f t="shared" si="1"/>
        <v>95.667573496849982</v>
      </c>
      <c r="J7" s="9">
        <f t="shared" si="2"/>
        <v>251.27012709872</v>
      </c>
      <c r="K7" s="9">
        <f t="shared" si="3"/>
        <v>95.667573496849982</v>
      </c>
      <c r="L7" s="10">
        <f t="shared" si="0"/>
        <v>0.38073596173755958</v>
      </c>
      <c r="M7" s="10">
        <f t="shared" si="4"/>
        <v>0.38386538736812337</v>
      </c>
      <c r="P7" s="8">
        <f t="shared" si="5"/>
        <v>-30.423061444687661</v>
      </c>
    </row>
    <row r="8" spans="1:16" x14ac:dyDescent="0.2">
      <c r="A8" s="8">
        <v>3</v>
      </c>
      <c r="B8" s="8">
        <v>6</v>
      </c>
      <c r="D8">
        <v>404.32255083179001</v>
      </c>
      <c r="E8">
        <v>227.79112754158999</v>
      </c>
      <c r="F8">
        <v>152.4347826087</v>
      </c>
      <c r="G8">
        <v>123.75300647549</v>
      </c>
      <c r="I8" s="9">
        <f t="shared" si="1"/>
        <v>104.03812106609999</v>
      </c>
      <c r="J8" s="9">
        <f t="shared" si="2"/>
        <v>251.88776822309001</v>
      </c>
      <c r="K8" s="9">
        <f t="shared" si="3"/>
        <v>104.03812106609999</v>
      </c>
      <c r="L8" s="10">
        <f t="shared" si="0"/>
        <v>0.4130336371631842</v>
      </c>
      <c r="M8" s="10">
        <f t="shared" si="4"/>
        <v>0.41678894791986071</v>
      </c>
      <c r="P8" s="8">
        <f t="shared" si="5"/>
        <v>-24.455551414059258</v>
      </c>
    </row>
    <row r="9" spans="1:16" x14ac:dyDescent="0.2">
      <c r="A9" s="8">
        <v>3.5</v>
      </c>
      <c r="B9" s="8">
        <v>7</v>
      </c>
      <c r="D9">
        <v>382.79667282809999</v>
      </c>
      <c r="E9">
        <v>216.87985212569001</v>
      </c>
      <c r="F9">
        <v>152.73358001849999</v>
      </c>
      <c r="G9">
        <v>123.50231267345001</v>
      </c>
      <c r="I9" s="9">
        <f t="shared" si="1"/>
        <v>93.377539452240001</v>
      </c>
      <c r="J9" s="9">
        <f t="shared" si="2"/>
        <v>230.06309280959999</v>
      </c>
      <c r="K9" s="9">
        <f t="shared" si="3"/>
        <v>93.377539452240001</v>
      </c>
      <c r="L9" s="10">
        <f t="shared" si="0"/>
        <v>0.4058779629182816</v>
      </c>
      <c r="M9" s="10">
        <f t="shared" si="4"/>
        <v>0.41025915880107089</v>
      </c>
      <c r="P9" s="8">
        <f t="shared" si="5"/>
        <v>-25.639098436655217</v>
      </c>
    </row>
    <row r="10" spans="1:16" x14ac:dyDescent="0.2">
      <c r="A10" s="8">
        <v>4</v>
      </c>
      <c r="B10" s="8">
        <v>8</v>
      </c>
      <c r="D10">
        <v>383.86968576710001</v>
      </c>
      <c r="E10">
        <v>214.17005545287</v>
      </c>
      <c r="F10">
        <v>152.51341350601001</v>
      </c>
      <c r="G10">
        <v>123.76133209991001</v>
      </c>
      <c r="I10" s="9">
        <f t="shared" si="1"/>
        <v>90.408723352959996</v>
      </c>
      <c r="J10" s="9">
        <f t="shared" si="2"/>
        <v>231.35627226109</v>
      </c>
      <c r="K10" s="9">
        <f t="shared" si="3"/>
        <v>90.408723352959996</v>
      </c>
      <c r="L10" s="10">
        <f t="shared" si="0"/>
        <v>0.39077705769278653</v>
      </c>
      <c r="M10" s="10">
        <f t="shared" si="4"/>
        <v>0.39578413870168855</v>
      </c>
      <c r="P10" s="8">
        <f t="shared" si="5"/>
        <v>-28.262746249620989</v>
      </c>
    </row>
    <row r="11" spans="1:16" x14ac:dyDescent="0.2">
      <c r="A11" s="8">
        <v>4.5</v>
      </c>
      <c r="B11" s="8">
        <v>9</v>
      </c>
      <c r="D11">
        <v>421.65027829313999</v>
      </c>
      <c r="E11">
        <v>225.61502782931001</v>
      </c>
      <c r="F11">
        <v>153.14061054579</v>
      </c>
      <c r="G11">
        <v>123.8973172988</v>
      </c>
      <c r="I11" s="9">
        <f t="shared" si="1"/>
        <v>101.71771053051</v>
      </c>
      <c r="J11" s="9">
        <f t="shared" si="2"/>
        <v>268.50966774735002</v>
      </c>
      <c r="K11" s="9">
        <f t="shared" si="3"/>
        <v>101.71771053051</v>
      </c>
      <c r="L11" s="10">
        <f t="shared" si="0"/>
        <v>0.37882327062509979</v>
      </c>
      <c r="M11" s="10">
        <f t="shared" si="4"/>
        <v>0.38445623676011459</v>
      </c>
      <c r="P11" s="8">
        <f t="shared" si="5"/>
        <v>-30.315967934319684</v>
      </c>
    </row>
    <row r="12" spans="1:16" x14ac:dyDescent="0.2">
      <c r="A12" s="8">
        <v>5</v>
      </c>
      <c r="B12" s="8">
        <v>10</v>
      </c>
      <c r="D12">
        <v>445.84986098239</v>
      </c>
      <c r="E12">
        <v>239.98887859128999</v>
      </c>
      <c r="F12">
        <v>153.89639222942</v>
      </c>
      <c r="G12">
        <v>123.5467160037</v>
      </c>
      <c r="I12" s="9">
        <f t="shared" si="1"/>
        <v>116.44216258758999</v>
      </c>
      <c r="J12" s="9">
        <f t="shared" si="2"/>
        <v>291.95346875297002</v>
      </c>
      <c r="K12" s="9">
        <f t="shared" si="3"/>
        <v>116.44216258758999</v>
      </c>
      <c r="L12" s="10">
        <f t="shared" si="0"/>
        <v>0.39883808568863061</v>
      </c>
      <c r="M12" s="10">
        <f t="shared" si="4"/>
        <v>0.40509693694975818</v>
      </c>
      <c r="P12" s="8">
        <f t="shared" si="5"/>
        <v>-26.574769128457476</v>
      </c>
    </row>
    <row r="13" spans="1:16" x14ac:dyDescent="0.2">
      <c r="A13" s="8">
        <v>5.5</v>
      </c>
      <c r="B13" s="8">
        <v>11</v>
      </c>
      <c r="D13">
        <v>445.15662650602002</v>
      </c>
      <c r="E13">
        <v>246.08248378127999</v>
      </c>
      <c r="F13">
        <v>153.04532839962999</v>
      </c>
      <c r="G13">
        <v>123.81221091582</v>
      </c>
      <c r="I13" s="9">
        <f t="shared" si="1"/>
        <v>122.27027286545999</v>
      </c>
      <c r="J13" s="9">
        <f t="shared" si="2"/>
        <v>292.11129810639</v>
      </c>
      <c r="K13" s="9">
        <f t="shared" si="3"/>
        <v>122.27027286545999</v>
      </c>
      <c r="L13" s="10">
        <f t="shared" si="0"/>
        <v>0.41857426829457267</v>
      </c>
      <c r="M13" s="10">
        <f t="shared" si="4"/>
        <v>0.42545900468181297</v>
      </c>
      <c r="P13" s="8">
        <f t="shared" si="5"/>
        <v>-22.884073426076647</v>
      </c>
    </row>
    <row r="14" spans="1:16" x14ac:dyDescent="0.2">
      <c r="A14" s="8">
        <v>6</v>
      </c>
      <c r="B14" s="8">
        <v>12</v>
      </c>
      <c r="D14">
        <v>442.88878591288</v>
      </c>
      <c r="E14">
        <v>241.96014828545</v>
      </c>
      <c r="F14">
        <v>154.13135985199</v>
      </c>
      <c r="G14">
        <v>123.79000925069001</v>
      </c>
      <c r="I14" s="9">
        <f t="shared" si="1"/>
        <v>118.17013903476</v>
      </c>
      <c r="J14" s="9">
        <f t="shared" si="2"/>
        <v>288.75742606089</v>
      </c>
      <c r="K14" s="9">
        <f t="shared" si="3"/>
        <v>118.17013903476</v>
      </c>
      <c r="L14" s="10">
        <f t="shared" si="0"/>
        <v>0.40923671001916179</v>
      </c>
      <c r="M14" s="10">
        <f t="shared" si="4"/>
        <v>0.41674733153251486</v>
      </c>
      <c r="P14" s="8">
        <f t="shared" si="5"/>
        <v>-24.463094529225511</v>
      </c>
    </row>
    <row r="15" spans="1:16" x14ac:dyDescent="0.2">
      <c r="A15" s="8">
        <v>6.5</v>
      </c>
      <c r="B15" s="8">
        <v>13</v>
      </c>
      <c r="D15">
        <v>434.17701575532999</v>
      </c>
      <c r="E15">
        <v>235.05746061168</v>
      </c>
      <c r="F15">
        <v>152.93432007401</v>
      </c>
      <c r="G15">
        <v>123.89454209066</v>
      </c>
      <c r="I15" s="9">
        <f t="shared" si="1"/>
        <v>111.16291852102</v>
      </c>
      <c r="J15" s="9">
        <f t="shared" si="2"/>
        <v>281.24269568132001</v>
      </c>
      <c r="K15" s="9">
        <f t="shared" si="3"/>
        <v>111.16291852102</v>
      </c>
      <c r="L15" s="10">
        <f t="shared" si="0"/>
        <v>0.39525619768265996</v>
      </c>
      <c r="M15" s="10">
        <f t="shared" si="4"/>
        <v>0.40339270432212576</v>
      </c>
      <c r="P15" s="8">
        <f t="shared" si="5"/>
        <v>-26.883667228465193</v>
      </c>
    </row>
    <row r="16" spans="1:16" x14ac:dyDescent="0.2">
      <c r="A16" s="8">
        <v>7</v>
      </c>
      <c r="B16" s="8">
        <v>14</v>
      </c>
      <c r="D16">
        <v>432.58964879851999</v>
      </c>
      <c r="E16">
        <v>227.47319778189001</v>
      </c>
      <c r="F16">
        <v>154.12488436633001</v>
      </c>
      <c r="G16">
        <v>123.55874190564001</v>
      </c>
      <c r="I16" s="9">
        <f t="shared" si="1"/>
        <v>103.91445587625</v>
      </c>
      <c r="J16" s="9">
        <f t="shared" si="2"/>
        <v>278.46476443219001</v>
      </c>
      <c r="K16" s="9">
        <f t="shared" si="3"/>
        <v>103.91445587625</v>
      </c>
      <c r="L16" s="10">
        <f t="shared" si="0"/>
        <v>0.37316913717302497</v>
      </c>
      <c r="M16" s="10">
        <f t="shared" si="4"/>
        <v>0.38193152893860355</v>
      </c>
      <c r="P16" s="8">
        <f t="shared" si="5"/>
        <v>-30.773580021128989</v>
      </c>
    </row>
    <row r="17" spans="1:16" x14ac:dyDescent="0.2">
      <c r="A17" s="8">
        <v>7.5</v>
      </c>
      <c r="B17" s="8">
        <v>15</v>
      </c>
      <c r="D17">
        <v>421.12569316080999</v>
      </c>
      <c r="E17">
        <v>230.00924214418001</v>
      </c>
      <c r="F17">
        <v>153.74190564291999</v>
      </c>
      <c r="G17">
        <v>124.2479185939</v>
      </c>
      <c r="I17" s="9">
        <f t="shared" si="1"/>
        <v>105.76132355028001</v>
      </c>
      <c r="J17" s="9">
        <f t="shared" si="2"/>
        <v>267.38378751789003</v>
      </c>
      <c r="K17" s="9">
        <f t="shared" si="3"/>
        <v>105.76132355028001</v>
      </c>
      <c r="L17" s="10">
        <f t="shared" si="0"/>
        <v>0.39554127246104542</v>
      </c>
      <c r="M17" s="10">
        <f t="shared" si="4"/>
        <v>0.40492954935273673</v>
      </c>
      <c r="P17" s="8">
        <f t="shared" si="5"/>
        <v>-26.605108713468599</v>
      </c>
    </row>
    <row r="18" spans="1:16" x14ac:dyDescent="0.2">
      <c r="A18" s="8">
        <v>8</v>
      </c>
      <c r="B18" s="8">
        <v>16</v>
      </c>
      <c r="D18">
        <v>427.32499999999999</v>
      </c>
      <c r="E18">
        <v>239.07685185184999</v>
      </c>
      <c r="F18">
        <v>153.66327474561001</v>
      </c>
      <c r="G18">
        <v>123.92229417206001</v>
      </c>
      <c r="I18" s="9">
        <f t="shared" si="1"/>
        <v>115.15455767978999</v>
      </c>
      <c r="J18" s="9">
        <f t="shared" si="2"/>
        <v>273.66172525438998</v>
      </c>
      <c r="K18" s="9">
        <f t="shared" si="3"/>
        <v>115.15455767978999</v>
      </c>
      <c r="L18" s="10">
        <f t="shared" si="0"/>
        <v>0.42079160895717083</v>
      </c>
      <c r="M18" s="10">
        <f t="shared" si="4"/>
        <v>0.43080577097497491</v>
      </c>
      <c r="P18" s="8">
        <f t="shared" si="5"/>
        <v>-21.914953411376842</v>
      </c>
    </row>
    <row r="19" spans="1:16" x14ac:dyDescent="0.2">
      <c r="A19" s="8">
        <v>8.5</v>
      </c>
      <c r="B19" s="8">
        <v>17</v>
      </c>
      <c r="D19">
        <v>441.57948243993002</v>
      </c>
      <c r="E19">
        <v>253.34935304991001</v>
      </c>
      <c r="F19">
        <v>153.62072155412</v>
      </c>
      <c r="G19">
        <v>124.07308048103999</v>
      </c>
      <c r="I19" s="9">
        <f t="shared" si="1"/>
        <v>129.27627256887001</v>
      </c>
      <c r="J19" s="9">
        <f t="shared" si="2"/>
        <v>287.95876088581002</v>
      </c>
      <c r="K19" s="9">
        <f t="shared" si="3"/>
        <v>129.27627256887001</v>
      </c>
      <c r="L19" s="10">
        <f t="shared" si="0"/>
        <v>0.44894023078580508</v>
      </c>
      <c r="M19" s="10">
        <f t="shared" si="4"/>
        <v>0.45958027792972189</v>
      </c>
      <c r="P19" s="8">
        <f t="shared" si="5"/>
        <v>-16.699473797347721</v>
      </c>
    </row>
    <row r="20" spans="1:16" x14ac:dyDescent="0.2">
      <c r="A20" s="8">
        <v>9</v>
      </c>
      <c r="B20" s="8">
        <v>18</v>
      </c>
      <c r="D20">
        <v>436.59153633854999</v>
      </c>
      <c r="E20">
        <v>260.08279668812997</v>
      </c>
      <c r="F20">
        <v>154.69287696577001</v>
      </c>
      <c r="G20">
        <v>124.48103607771</v>
      </c>
      <c r="I20" s="9">
        <f t="shared" si="1"/>
        <v>135.60176061041997</v>
      </c>
      <c r="J20" s="9">
        <f t="shared" si="2"/>
        <v>281.89865937278</v>
      </c>
      <c r="K20" s="9">
        <f t="shared" si="3"/>
        <v>135.60176061041997</v>
      </c>
      <c r="L20" s="10">
        <f t="shared" si="0"/>
        <v>0.48103017202044068</v>
      </c>
      <c r="M20" s="10">
        <f t="shared" si="4"/>
        <v>0.49229610429047027</v>
      </c>
      <c r="P20" s="8">
        <f t="shared" si="5"/>
        <v>-10.769616312423876</v>
      </c>
    </row>
    <row r="21" spans="1:16" x14ac:dyDescent="0.2">
      <c r="A21" s="8">
        <v>9.5</v>
      </c>
      <c r="B21" s="8">
        <v>19</v>
      </c>
      <c r="D21">
        <v>432.22079116834999</v>
      </c>
      <c r="E21">
        <v>257.34958601656001</v>
      </c>
      <c r="F21">
        <v>154.21739130435</v>
      </c>
      <c r="G21">
        <v>124.29787234043</v>
      </c>
      <c r="I21" s="9">
        <f t="shared" si="1"/>
        <v>133.05171367613002</v>
      </c>
      <c r="J21" s="9">
        <f t="shared" si="2"/>
        <v>278.00339986400002</v>
      </c>
      <c r="K21" s="9">
        <f t="shared" si="3"/>
        <v>133.05171367613002</v>
      </c>
      <c r="L21" s="10">
        <f t="shared" si="0"/>
        <v>0.47859743348901224</v>
      </c>
      <c r="M21" s="10">
        <f t="shared" si="4"/>
        <v>0.4904892508851546</v>
      </c>
      <c r="P21" s="8">
        <f t="shared" si="5"/>
        <v>-11.097114785839365</v>
      </c>
    </row>
    <row r="22" spans="1:16" x14ac:dyDescent="0.2">
      <c r="A22" s="8">
        <v>10</v>
      </c>
      <c r="B22" s="8">
        <v>20</v>
      </c>
      <c r="D22">
        <v>426.23275068996998</v>
      </c>
      <c r="E22">
        <v>246.86752529898999</v>
      </c>
      <c r="F22">
        <v>154.04995374653001</v>
      </c>
      <c r="G22">
        <v>124.289546716</v>
      </c>
      <c r="I22" s="9">
        <f t="shared" si="1"/>
        <v>122.57797858298999</v>
      </c>
      <c r="J22" s="9">
        <f t="shared" si="2"/>
        <v>272.18279694343994</v>
      </c>
      <c r="K22" s="9">
        <f t="shared" si="3"/>
        <v>122.57797858298999</v>
      </c>
      <c r="L22" s="10">
        <f t="shared" si="0"/>
        <v>0.45035167526940323</v>
      </c>
      <c r="M22" s="10">
        <f t="shared" si="4"/>
        <v>0.46286937779165832</v>
      </c>
      <c r="P22" s="8">
        <f t="shared" si="5"/>
        <v>-16.10331299065124</v>
      </c>
    </row>
    <row r="23" spans="1:16" x14ac:dyDescent="0.2">
      <c r="A23" s="8">
        <v>10.5</v>
      </c>
      <c r="B23" s="8">
        <v>21</v>
      </c>
      <c r="D23">
        <v>432.2849213691</v>
      </c>
      <c r="E23">
        <v>240.92321924143999</v>
      </c>
      <c r="F23">
        <v>154.71230342275999</v>
      </c>
      <c r="G23">
        <v>124.59019426457</v>
      </c>
      <c r="I23" s="9">
        <f t="shared" si="1"/>
        <v>116.33302497686999</v>
      </c>
      <c r="J23" s="9">
        <f t="shared" si="2"/>
        <v>277.57261794634002</v>
      </c>
      <c r="K23" s="9">
        <f t="shared" si="3"/>
        <v>116.33302497686999</v>
      </c>
      <c r="L23" s="10">
        <f t="shared" si="0"/>
        <v>0.41910843309248663</v>
      </c>
      <c r="M23" s="10">
        <f t="shared" si="4"/>
        <v>0.4322520207408545</v>
      </c>
      <c r="P23" s="8">
        <f t="shared" si="5"/>
        <v>-21.652815603677759</v>
      </c>
    </row>
    <row r="24" spans="1:16" x14ac:dyDescent="0.2">
      <c r="A24" s="8">
        <v>11</v>
      </c>
      <c r="B24" s="8">
        <v>22</v>
      </c>
      <c r="D24">
        <v>423.70860314523998</v>
      </c>
      <c r="E24">
        <v>234.46901017575999</v>
      </c>
      <c r="F24">
        <v>154.78168362627</v>
      </c>
      <c r="G24">
        <v>124.43015726180001</v>
      </c>
      <c r="I24" s="9">
        <f t="shared" si="1"/>
        <v>110.03885291395999</v>
      </c>
      <c r="J24" s="9">
        <f t="shared" si="2"/>
        <v>268.92691951896995</v>
      </c>
      <c r="K24" s="9">
        <f t="shared" si="3"/>
        <v>110.03885291395999</v>
      </c>
      <c r="L24" s="10">
        <f t="shared" si="0"/>
        <v>0.40917753087264996</v>
      </c>
      <c r="M24" s="10">
        <f t="shared" si="4"/>
        <v>0.42294700364713056</v>
      </c>
      <c r="P24" s="8">
        <f t="shared" si="5"/>
        <v>-23.339382363512492</v>
      </c>
    </row>
    <row r="25" spans="1:16" x14ac:dyDescent="0.2">
      <c r="A25" s="8">
        <v>11.5</v>
      </c>
      <c r="B25" s="8">
        <v>23</v>
      </c>
      <c r="D25">
        <v>410.17668825162002</v>
      </c>
      <c r="E25">
        <v>231.63367252544001</v>
      </c>
      <c r="F25">
        <v>154.25809435708001</v>
      </c>
      <c r="G25">
        <v>124.29139685475999</v>
      </c>
      <c r="I25" s="9">
        <f t="shared" si="1"/>
        <v>107.34227567068001</v>
      </c>
      <c r="J25" s="9">
        <f t="shared" si="2"/>
        <v>255.91859389454001</v>
      </c>
      <c r="K25" s="9">
        <f t="shared" si="3"/>
        <v>107.34227567068001</v>
      </c>
      <c r="L25" s="10">
        <f t="shared" si="0"/>
        <v>0.41943914288195122</v>
      </c>
      <c r="M25" s="10">
        <f t="shared" si="4"/>
        <v>0.4338345007825446</v>
      </c>
      <c r="P25" s="8">
        <f t="shared" si="5"/>
        <v>-21.365985583965426</v>
      </c>
    </row>
    <row r="26" spans="1:16" x14ac:dyDescent="0.2">
      <c r="A26" s="8">
        <v>12</v>
      </c>
      <c r="B26" s="8">
        <v>24</v>
      </c>
      <c r="D26">
        <v>428.00369344414003</v>
      </c>
      <c r="E26">
        <v>243.94275161588001</v>
      </c>
      <c r="F26">
        <v>155.65772432932999</v>
      </c>
      <c r="G26">
        <v>124.39777983349001</v>
      </c>
      <c r="I26" s="9">
        <f t="shared" si="1"/>
        <v>119.54497178239001</v>
      </c>
      <c r="J26" s="9">
        <f t="shared" si="2"/>
        <v>272.34596911481003</v>
      </c>
      <c r="K26" s="9">
        <f t="shared" si="3"/>
        <v>119.54497178239001</v>
      </c>
      <c r="L26" s="10">
        <f t="shared" si="0"/>
        <v>0.43894525838197623</v>
      </c>
      <c r="M26" s="10">
        <f t="shared" si="4"/>
        <v>0.45396650140868233</v>
      </c>
      <c r="P26" s="8">
        <f t="shared" si="5"/>
        <v>-17.716990345910755</v>
      </c>
    </row>
    <row r="27" spans="1:16" x14ac:dyDescent="0.2">
      <c r="A27" s="8">
        <v>12.5</v>
      </c>
      <c r="B27" s="8">
        <v>25</v>
      </c>
      <c r="D27">
        <v>428.84565619224003</v>
      </c>
      <c r="E27">
        <v>247.06654343808</v>
      </c>
      <c r="F27">
        <v>154.98427382054001</v>
      </c>
      <c r="G27">
        <v>124.62534690102</v>
      </c>
      <c r="I27" s="9">
        <f t="shared" si="1"/>
        <v>122.44119653706001</v>
      </c>
      <c r="J27" s="9">
        <f t="shared" si="2"/>
        <v>273.86138237170002</v>
      </c>
      <c r="K27" s="9">
        <f t="shared" si="3"/>
        <v>122.44119653706001</v>
      </c>
      <c r="L27" s="10">
        <f t="shared" si="0"/>
        <v>0.44709186624522312</v>
      </c>
      <c r="M27" s="10">
        <f t="shared" si="4"/>
        <v>0.462738994398042</v>
      </c>
      <c r="P27" s="8">
        <f t="shared" si="5"/>
        <v>-16.126945434900705</v>
      </c>
    </row>
    <row r="28" spans="1:16" x14ac:dyDescent="0.2">
      <c r="A28" s="8">
        <v>13</v>
      </c>
      <c r="B28" s="8">
        <v>26</v>
      </c>
      <c r="D28">
        <v>442.47689463955999</v>
      </c>
      <c r="E28">
        <v>262.37153419593</v>
      </c>
      <c r="F28">
        <v>155.23219241442999</v>
      </c>
      <c r="G28">
        <v>124.69472710453</v>
      </c>
      <c r="I28" s="9">
        <f t="shared" si="1"/>
        <v>137.67680709140001</v>
      </c>
      <c r="J28" s="9">
        <f t="shared" si="2"/>
        <v>287.24470222513003</v>
      </c>
      <c r="K28" s="9">
        <f t="shared" si="3"/>
        <v>137.67680709140001</v>
      </c>
      <c r="L28" s="10">
        <f t="shared" si="0"/>
        <v>0.47930146674557239</v>
      </c>
      <c r="M28" s="10">
        <f t="shared" si="4"/>
        <v>0.49557448002450399</v>
      </c>
      <c r="P28" s="8">
        <f t="shared" si="5"/>
        <v>-10.175399291264462</v>
      </c>
    </row>
    <row r="29" spans="1:16" x14ac:dyDescent="0.2">
      <c r="A29" s="8">
        <v>13.5</v>
      </c>
      <c r="B29" s="8">
        <v>27</v>
      </c>
      <c r="D29">
        <v>441.15779816513998</v>
      </c>
      <c r="E29">
        <v>264.23119266054999</v>
      </c>
      <c r="F29">
        <v>155.54024051804001</v>
      </c>
      <c r="G29">
        <v>124.88251618871</v>
      </c>
      <c r="I29" s="9">
        <f t="shared" si="1"/>
        <v>139.34867647184001</v>
      </c>
      <c r="J29" s="9">
        <f t="shared" si="2"/>
        <v>285.61755764709994</v>
      </c>
      <c r="K29" s="9">
        <f t="shared" si="3"/>
        <v>139.34867647184001</v>
      </c>
      <c r="L29" s="10">
        <f t="shared" si="0"/>
        <v>0.48788554044011134</v>
      </c>
      <c r="M29" s="10">
        <f t="shared" si="4"/>
        <v>0.50478443884515578</v>
      </c>
      <c r="P29" s="8">
        <f t="shared" si="5"/>
        <v>-8.5060621745347262</v>
      </c>
    </row>
    <row r="30" spans="1:16" x14ac:dyDescent="0.2">
      <c r="A30" s="8">
        <v>14</v>
      </c>
      <c r="B30" s="8">
        <v>28</v>
      </c>
      <c r="D30">
        <v>441.37889908257</v>
      </c>
      <c r="E30">
        <v>274.89266055045999</v>
      </c>
      <c r="F30">
        <v>155.62997224791999</v>
      </c>
      <c r="G30">
        <v>124.89361702127999</v>
      </c>
      <c r="I30" s="9">
        <f t="shared" si="1"/>
        <v>149.99904352918</v>
      </c>
      <c r="J30" s="9">
        <f t="shared" si="2"/>
        <v>285.74892683464998</v>
      </c>
      <c r="K30" s="9">
        <f t="shared" si="3"/>
        <v>149.99904352918</v>
      </c>
      <c r="L30" s="10">
        <f t="shared" si="0"/>
        <v>0.52493300741590421</v>
      </c>
      <c r="M30" s="10">
        <f t="shared" si="4"/>
        <v>0.54245779094706137</v>
      </c>
      <c r="P30" s="8">
        <f t="shared" si="5"/>
        <v>-1.6776358807797511</v>
      </c>
    </row>
    <row r="31" spans="1:16" x14ac:dyDescent="0.2">
      <c r="A31" s="8">
        <v>14.5</v>
      </c>
      <c r="B31" s="8">
        <v>29</v>
      </c>
      <c r="D31">
        <v>445.37155963303002</v>
      </c>
      <c r="E31">
        <v>287.73211009174003</v>
      </c>
      <c r="F31">
        <v>156.43015726179999</v>
      </c>
      <c r="G31">
        <v>124.89084181314</v>
      </c>
      <c r="I31" s="9">
        <f t="shared" si="1"/>
        <v>162.84126827860001</v>
      </c>
      <c r="J31" s="9">
        <f t="shared" si="2"/>
        <v>288.94140237123003</v>
      </c>
      <c r="K31" s="9">
        <f t="shared" si="3"/>
        <v>162.84126827860001</v>
      </c>
      <c r="L31" s="10">
        <f t="shared" si="0"/>
        <v>0.56357886734896723</v>
      </c>
      <c r="M31" s="10">
        <f t="shared" si="4"/>
        <v>0.58172953600623711</v>
      </c>
      <c r="P31" s="8">
        <f t="shared" si="5"/>
        <v>5.4405047040649244</v>
      </c>
    </row>
    <row r="32" spans="1:16" x14ac:dyDescent="0.2">
      <c r="A32" s="8">
        <v>15</v>
      </c>
      <c r="B32" s="8">
        <v>30</v>
      </c>
      <c r="D32">
        <v>439.46238532109999</v>
      </c>
      <c r="E32">
        <v>277.19082568806999</v>
      </c>
      <c r="F32">
        <v>154.54764107308</v>
      </c>
      <c r="G32">
        <v>125.19148936169999</v>
      </c>
      <c r="I32" s="9">
        <f t="shared" si="1"/>
        <v>151.99933632636998</v>
      </c>
      <c r="J32" s="9">
        <f t="shared" si="2"/>
        <v>284.91474424801999</v>
      </c>
      <c r="K32" s="9">
        <f t="shared" si="3"/>
        <v>151.99933632636998</v>
      </c>
      <c r="L32" s="10">
        <f t="shared" si="0"/>
        <v>0.53349059462522463</v>
      </c>
      <c r="M32" s="10">
        <f t="shared" si="4"/>
        <v>0.55226714840860724</v>
      </c>
      <c r="P32" s="8">
        <f t="shared" si="5"/>
        <v>0.10034432746068582</v>
      </c>
    </row>
    <row r="33" spans="1:16" x14ac:dyDescent="0.2">
      <c r="A33" s="8">
        <v>15.5</v>
      </c>
      <c r="B33" s="8">
        <v>31</v>
      </c>
      <c r="D33">
        <v>432.82935779817001</v>
      </c>
      <c r="E33">
        <v>264.55412844036999</v>
      </c>
      <c r="F33">
        <v>155.20074005550001</v>
      </c>
      <c r="G33">
        <v>124.88344125809</v>
      </c>
      <c r="I33" s="9">
        <f t="shared" si="1"/>
        <v>139.67068718228001</v>
      </c>
      <c r="J33" s="9">
        <f t="shared" si="2"/>
        <v>277.62861774267003</v>
      </c>
      <c r="K33" s="9">
        <f t="shared" si="3"/>
        <v>139.67068718228001</v>
      </c>
      <c r="L33" s="10">
        <f t="shared" si="0"/>
        <v>0.50308461828578044</v>
      </c>
      <c r="M33" s="10">
        <f t="shared" si="4"/>
        <v>0.52248705719527588</v>
      </c>
      <c r="P33" s="8">
        <f t="shared" si="5"/>
        <v>-5.2974009361270333</v>
      </c>
    </row>
    <row r="34" spans="1:16" x14ac:dyDescent="0.2">
      <c r="A34" s="8">
        <v>16</v>
      </c>
      <c r="B34" s="8">
        <v>32</v>
      </c>
      <c r="D34">
        <v>430.13761467889998</v>
      </c>
      <c r="E34">
        <v>251.55963302751999</v>
      </c>
      <c r="F34">
        <v>155.17853839038</v>
      </c>
      <c r="G34">
        <v>124.16281221091999</v>
      </c>
      <c r="I34" s="9">
        <f t="shared" si="1"/>
        <v>127.3968208166</v>
      </c>
      <c r="J34" s="9">
        <f t="shared" si="2"/>
        <v>274.95907628852001</v>
      </c>
      <c r="K34" s="9">
        <f t="shared" si="3"/>
        <v>127.3968208166</v>
      </c>
      <c r="L34" s="10">
        <f t="shared" si="0"/>
        <v>0.46333011638037358</v>
      </c>
      <c r="M34" s="10">
        <f t="shared" si="4"/>
        <v>0.48335844041598175</v>
      </c>
      <c r="P34" s="8">
        <f t="shared" si="5"/>
        <v>-12.389599021693179</v>
      </c>
    </row>
    <row r="35" spans="1:16" x14ac:dyDescent="0.2">
      <c r="A35" s="8">
        <v>16.5</v>
      </c>
      <c r="B35" s="8">
        <v>33</v>
      </c>
      <c r="D35">
        <v>430.60642201834997</v>
      </c>
      <c r="E35">
        <v>246.46422018349</v>
      </c>
      <c r="F35">
        <v>154.86956521739</v>
      </c>
      <c r="G35">
        <v>124.57354301573</v>
      </c>
      <c r="I35" s="9">
        <f t="shared" si="1"/>
        <v>121.89067716776</v>
      </c>
      <c r="J35" s="9">
        <f t="shared" si="2"/>
        <v>275.73685680095997</v>
      </c>
      <c r="K35" s="9">
        <f t="shared" si="3"/>
        <v>121.89067716776</v>
      </c>
      <c r="L35" s="10">
        <f t="shared" si="0"/>
        <v>0.4420543505932053</v>
      </c>
      <c r="M35" s="10">
        <f t="shared" si="4"/>
        <v>0.4627085597549262</v>
      </c>
      <c r="P35" s="8">
        <f t="shared" si="5"/>
        <v>-16.132461819976577</v>
      </c>
    </row>
    <row r="36" spans="1:16" x14ac:dyDescent="0.2">
      <c r="A36" s="8">
        <v>17</v>
      </c>
      <c r="B36" s="8">
        <v>34</v>
      </c>
      <c r="D36">
        <v>427.54678899083001</v>
      </c>
      <c r="E36">
        <v>241.56788990826001</v>
      </c>
      <c r="F36">
        <v>154.79925994449999</v>
      </c>
      <c r="G36">
        <v>124.42368177613</v>
      </c>
      <c r="I36" s="9">
        <f t="shared" si="1"/>
        <v>117.14420813213002</v>
      </c>
      <c r="J36" s="9">
        <f t="shared" si="2"/>
        <v>272.74752904632999</v>
      </c>
      <c r="K36" s="9">
        <f t="shared" si="3"/>
        <v>117.14420813213002</v>
      </c>
      <c r="L36" s="10">
        <f t="shared" si="0"/>
        <v>0.42949686305767204</v>
      </c>
      <c r="M36" s="10">
        <f t="shared" si="4"/>
        <v>0.45077695734550571</v>
      </c>
      <c r="P36" s="8">
        <f t="shared" si="5"/>
        <v>-18.29510631730539</v>
      </c>
    </row>
    <row r="37" spans="1:16" x14ac:dyDescent="0.2">
      <c r="A37" s="8">
        <v>17.5</v>
      </c>
      <c r="B37" s="8">
        <v>35</v>
      </c>
      <c r="D37">
        <v>429.28990825687998</v>
      </c>
      <c r="E37">
        <v>236.51284403669999</v>
      </c>
      <c r="F37">
        <v>154.78630897317001</v>
      </c>
      <c r="G37">
        <v>124.8316373728</v>
      </c>
      <c r="I37" s="9">
        <f t="shared" si="1"/>
        <v>111.68120666389999</v>
      </c>
      <c r="J37" s="9">
        <f t="shared" si="2"/>
        <v>274.50359928370995</v>
      </c>
      <c r="K37" s="9">
        <f t="shared" si="3"/>
        <v>111.68120666389999</v>
      </c>
      <c r="L37" s="10">
        <f t="shared" si="0"/>
        <v>0.40684787724212385</v>
      </c>
      <c r="M37" s="10">
        <f t="shared" si="4"/>
        <v>0.4287538566560703</v>
      </c>
      <c r="P37" s="8">
        <f t="shared" si="5"/>
        <v>-22.286870028986026</v>
      </c>
    </row>
    <row r="38" spans="1:16" x14ac:dyDescent="0.2">
      <c r="A38" s="8">
        <v>18</v>
      </c>
      <c r="B38" s="8">
        <v>36</v>
      </c>
      <c r="D38">
        <v>429.70917431192998</v>
      </c>
      <c r="E38">
        <v>233.07981651375999</v>
      </c>
      <c r="F38">
        <v>155.37465309897999</v>
      </c>
      <c r="G38">
        <v>124.76873265495</v>
      </c>
      <c r="I38" s="9">
        <f t="shared" si="1"/>
        <v>108.31108385880999</v>
      </c>
      <c r="J38" s="9">
        <f t="shared" si="2"/>
        <v>274.33452121294999</v>
      </c>
      <c r="K38" s="9">
        <f t="shared" si="3"/>
        <v>108.31108385880999</v>
      </c>
      <c r="L38" s="10">
        <f t="shared" si="0"/>
        <v>0.3948139059565689</v>
      </c>
      <c r="M38" s="10">
        <f t="shared" si="4"/>
        <v>0.41734577049662808</v>
      </c>
      <c r="P38" s="8">
        <f t="shared" si="5"/>
        <v>-24.354625382474126</v>
      </c>
    </row>
    <row r="39" spans="1:16" x14ac:dyDescent="0.2">
      <c r="A39" s="8">
        <v>18.5</v>
      </c>
      <c r="B39" s="8">
        <v>37</v>
      </c>
      <c r="D39">
        <v>426.25963302752001</v>
      </c>
      <c r="E39">
        <v>228.08073394495</v>
      </c>
      <c r="F39">
        <v>154.15263644773</v>
      </c>
      <c r="G39">
        <v>124.28307123034</v>
      </c>
      <c r="I39" s="9">
        <f t="shared" si="1"/>
        <v>103.79766271461</v>
      </c>
      <c r="J39" s="9">
        <f t="shared" si="2"/>
        <v>272.10699657979001</v>
      </c>
      <c r="K39" s="9">
        <f t="shared" si="3"/>
        <v>103.79766271461</v>
      </c>
      <c r="L39" s="10">
        <f t="shared" si="0"/>
        <v>0.38145899965557623</v>
      </c>
      <c r="M39" s="10">
        <f t="shared" si="4"/>
        <v>0.40461674932174818</v>
      </c>
      <c r="P39" s="8">
        <f t="shared" si="5"/>
        <v>-26.661804808642504</v>
      </c>
    </row>
    <row r="40" spans="1:16" x14ac:dyDescent="0.2">
      <c r="A40" s="8">
        <v>19</v>
      </c>
      <c r="B40" s="8">
        <v>38</v>
      </c>
      <c r="D40">
        <v>417.38073394495001</v>
      </c>
      <c r="E40">
        <v>224.33944954128</v>
      </c>
      <c r="F40">
        <v>155.58186864014999</v>
      </c>
      <c r="G40">
        <v>124.80943570768</v>
      </c>
      <c r="I40" s="9">
        <f t="shared" si="1"/>
        <v>99.530013833600009</v>
      </c>
      <c r="J40" s="9">
        <f t="shared" si="2"/>
        <v>261.79886530480002</v>
      </c>
      <c r="K40" s="9">
        <f t="shared" si="3"/>
        <v>99.530013833600009</v>
      </c>
      <c r="L40" s="10">
        <f t="shared" si="0"/>
        <v>0.38017740725393112</v>
      </c>
      <c r="M40" s="10">
        <f t="shared" si="4"/>
        <v>0.4039610420462158</v>
      </c>
      <c r="P40" s="8">
        <f t="shared" si="5"/>
        <v>-26.78065403631782</v>
      </c>
    </row>
    <row r="41" spans="1:16" x14ac:dyDescent="0.2">
      <c r="A41" s="8">
        <v>19.5</v>
      </c>
      <c r="B41" s="8">
        <v>39</v>
      </c>
      <c r="D41">
        <v>422.01284403670002</v>
      </c>
      <c r="E41">
        <v>223.84495412844001</v>
      </c>
      <c r="F41">
        <v>155.46623496762001</v>
      </c>
      <c r="G41">
        <v>124.69195189638999</v>
      </c>
      <c r="I41" s="9">
        <f t="shared" si="1"/>
        <v>99.153002232050014</v>
      </c>
      <c r="J41" s="9">
        <f t="shared" si="2"/>
        <v>266.54660906907998</v>
      </c>
      <c r="K41" s="9">
        <f t="shared" si="3"/>
        <v>99.153002232050014</v>
      </c>
      <c r="L41" s="10">
        <f t="shared" si="0"/>
        <v>0.37199123477257545</v>
      </c>
      <c r="M41" s="10">
        <f t="shared" si="4"/>
        <v>0.39640075469097291</v>
      </c>
      <c r="P41" s="8">
        <f t="shared" si="5"/>
        <v>-28.150982453742412</v>
      </c>
    </row>
    <row r="42" spans="1:16" x14ac:dyDescent="0.2">
      <c r="A42" s="8">
        <v>20</v>
      </c>
      <c r="B42" s="8">
        <v>40</v>
      </c>
      <c r="D42">
        <v>423.35045871559998</v>
      </c>
      <c r="E42">
        <v>227.11651376147</v>
      </c>
      <c r="F42">
        <v>155.46438482886001</v>
      </c>
      <c r="G42">
        <v>124.04625346901</v>
      </c>
      <c r="I42" s="9">
        <f t="shared" si="1"/>
        <v>103.07026029246001</v>
      </c>
      <c r="J42" s="9">
        <f t="shared" si="2"/>
        <v>267.88607388673995</v>
      </c>
      <c r="K42" s="9">
        <f t="shared" si="3"/>
        <v>103.07026029246001</v>
      </c>
      <c r="L42" s="10">
        <f t="shared" si="0"/>
        <v>0.38475408145343631</v>
      </c>
      <c r="M42" s="10">
        <f t="shared" si="4"/>
        <v>0.4097894864979465</v>
      </c>
      <c r="P42" s="8">
        <f t="shared" si="5"/>
        <v>-25.724228177577334</v>
      </c>
    </row>
    <row r="43" spans="1:16" x14ac:dyDescent="0.2">
      <c r="A43" s="8">
        <v>20.5</v>
      </c>
      <c r="B43" s="8">
        <v>41</v>
      </c>
      <c r="D43">
        <v>422.85321100917002</v>
      </c>
      <c r="E43">
        <v>223.04587155963</v>
      </c>
      <c r="F43">
        <v>154.67807585569</v>
      </c>
      <c r="G43">
        <v>124.59111933395</v>
      </c>
      <c r="I43" s="9">
        <f t="shared" si="1"/>
        <v>98.454752225679997</v>
      </c>
      <c r="J43" s="9">
        <f t="shared" si="2"/>
        <v>268.17513515348003</v>
      </c>
      <c r="K43" s="9">
        <f t="shared" si="3"/>
        <v>98.454752225679997</v>
      </c>
      <c r="L43" s="10">
        <f t="shared" si="0"/>
        <v>0.36712856383696085</v>
      </c>
      <c r="M43" s="10">
        <f t="shared" si="4"/>
        <v>0.39278985400758382</v>
      </c>
      <c r="P43" s="8">
        <f t="shared" si="5"/>
        <v>-28.80547078023632</v>
      </c>
    </row>
    <row r="44" spans="1:16" x14ac:dyDescent="0.2">
      <c r="A44" s="8">
        <v>21</v>
      </c>
      <c r="B44" s="8">
        <v>42</v>
      </c>
      <c r="D44">
        <v>427.26055045871999</v>
      </c>
      <c r="E44">
        <v>226.75412844037001</v>
      </c>
      <c r="F44">
        <v>155.10360777058</v>
      </c>
      <c r="G44">
        <v>124.25531914894</v>
      </c>
      <c r="I44" s="9">
        <f t="shared" si="1"/>
        <v>102.49880929143001</v>
      </c>
      <c r="J44" s="9">
        <f t="shared" si="2"/>
        <v>272.15694268814002</v>
      </c>
      <c r="K44" s="9">
        <f t="shared" si="3"/>
        <v>102.49880929143001</v>
      </c>
      <c r="L44" s="10">
        <f t="shared" si="0"/>
        <v>0.3766165517551453</v>
      </c>
      <c r="M44" s="10">
        <f t="shared" si="4"/>
        <v>0.40290372705188099</v>
      </c>
      <c r="P44" s="8">
        <f t="shared" si="5"/>
        <v>-26.972296061921693</v>
      </c>
    </row>
    <row r="45" spans="1:16" x14ac:dyDescent="0.2">
      <c r="A45" s="8">
        <v>21.5</v>
      </c>
      <c r="B45" s="8">
        <v>43</v>
      </c>
      <c r="D45">
        <v>431.12477064220002</v>
      </c>
      <c r="E45">
        <v>227.94770642201999</v>
      </c>
      <c r="F45">
        <v>155.40703052729</v>
      </c>
      <c r="G45">
        <v>124.77890841813</v>
      </c>
      <c r="I45" s="9">
        <f t="shared" si="1"/>
        <v>103.16879800388999</v>
      </c>
      <c r="J45" s="9">
        <f t="shared" si="2"/>
        <v>275.71774011491004</v>
      </c>
      <c r="K45" s="9">
        <f t="shared" si="3"/>
        <v>103.16879800388999</v>
      </c>
      <c r="L45" s="10">
        <f t="shared" si="0"/>
        <v>0.37418266217071361</v>
      </c>
      <c r="M45" s="10">
        <f t="shared" si="4"/>
        <v>0.40109572259356208</v>
      </c>
      <c r="P45" s="8">
        <f t="shared" si="5"/>
        <v>-27.300003167703412</v>
      </c>
    </row>
    <row r="46" spans="1:16" x14ac:dyDescent="0.2">
      <c r="A46" s="8">
        <v>22</v>
      </c>
      <c r="B46" s="8">
        <v>44</v>
      </c>
      <c r="D46">
        <v>430.06330275228999</v>
      </c>
      <c r="E46">
        <v>236.13394495412999</v>
      </c>
      <c r="F46">
        <v>154.18316373728001</v>
      </c>
      <c r="G46">
        <v>124.48843663274999</v>
      </c>
      <c r="I46" s="9">
        <f t="shared" si="1"/>
        <v>111.64550832137999</v>
      </c>
      <c r="J46" s="9">
        <f t="shared" si="2"/>
        <v>275.88013901500995</v>
      </c>
      <c r="K46" s="9">
        <f t="shared" si="3"/>
        <v>111.64550832137999</v>
      </c>
      <c r="L46" s="10">
        <f t="shared" si="0"/>
        <v>0.40468845898075195</v>
      </c>
      <c r="M46" s="10">
        <f t="shared" si="4"/>
        <v>0.4322274045297132</v>
      </c>
      <c r="P46" s="8">
        <f t="shared" si="5"/>
        <v>-21.657277377691262</v>
      </c>
    </row>
    <row r="47" spans="1:16" x14ac:dyDescent="0.2">
      <c r="A47" s="8">
        <v>22.5</v>
      </c>
      <c r="B47" s="8">
        <v>45</v>
      </c>
      <c r="D47">
        <v>431.77247706422003</v>
      </c>
      <c r="E47">
        <v>232.01651376147001</v>
      </c>
      <c r="F47">
        <v>154.57446808511</v>
      </c>
      <c r="G47">
        <v>124.24051803885</v>
      </c>
      <c r="I47" s="9">
        <f t="shared" si="1"/>
        <v>107.77599572262001</v>
      </c>
      <c r="J47" s="9">
        <f t="shared" si="2"/>
        <v>277.19800897911</v>
      </c>
      <c r="K47" s="9">
        <f t="shared" si="3"/>
        <v>107.77599572262001</v>
      </c>
      <c r="L47" s="10">
        <f t="shared" si="0"/>
        <v>0.38880508600890473</v>
      </c>
      <c r="M47" s="10">
        <f t="shared" si="4"/>
        <v>0.4169699166839787</v>
      </c>
      <c r="P47" s="8">
        <f t="shared" si="5"/>
        <v>-24.422750195205438</v>
      </c>
    </row>
    <row r="48" spans="1:16" x14ac:dyDescent="0.2">
      <c r="A48" s="8">
        <v>23</v>
      </c>
      <c r="B48" s="8">
        <v>46</v>
      </c>
      <c r="D48">
        <v>431.20458715595998</v>
      </c>
      <c r="E48">
        <v>239.28990825688001</v>
      </c>
      <c r="F48">
        <v>154.90841813136001</v>
      </c>
      <c r="G48">
        <v>124.55319148936</v>
      </c>
      <c r="I48" s="9">
        <f t="shared" si="1"/>
        <v>114.73671676752001</v>
      </c>
      <c r="J48" s="9">
        <f t="shared" si="2"/>
        <v>276.29616902459998</v>
      </c>
      <c r="K48" s="9">
        <f t="shared" si="3"/>
        <v>114.73671676752001</v>
      </c>
      <c r="L48" s="10">
        <f t="shared" si="0"/>
        <v>0.4152671286488393</v>
      </c>
      <c r="M48" s="10">
        <f t="shared" si="4"/>
        <v>0.44405784445002605</v>
      </c>
      <c r="P48" s="8">
        <f t="shared" si="5"/>
        <v>-19.51296893388632</v>
      </c>
    </row>
    <row r="49" spans="1:25" x14ac:dyDescent="0.2">
      <c r="A49" s="8">
        <v>23.5</v>
      </c>
      <c r="B49" s="8">
        <v>47</v>
      </c>
      <c r="D49">
        <v>433.41009174312001</v>
      </c>
      <c r="E49">
        <v>241.86422018349</v>
      </c>
      <c r="F49">
        <v>154.40888066605001</v>
      </c>
      <c r="G49">
        <v>124.27937095282</v>
      </c>
      <c r="I49" s="9">
        <f t="shared" si="1"/>
        <v>117.58484923067</v>
      </c>
      <c r="J49" s="9">
        <f t="shared" si="2"/>
        <v>279.00121107707002</v>
      </c>
      <c r="K49" s="9">
        <f t="shared" si="3"/>
        <v>117.58484923067</v>
      </c>
      <c r="L49" s="10">
        <f t="shared" si="0"/>
        <v>0.42144924309374737</v>
      </c>
      <c r="M49" s="10">
        <f t="shared" si="4"/>
        <v>0.45086584402104685</v>
      </c>
      <c r="P49" s="8">
        <f t="shared" si="5"/>
        <v>-18.278995297750036</v>
      </c>
    </row>
    <row r="50" spans="1:25" x14ac:dyDescent="0.2">
      <c r="A50" s="8">
        <v>24</v>
      </c>
      <c r="B50" s="8">
        <v>48</v>
      </c>
      <c r="D50">
        <v>438.84862385320997</v>
      </c>
      <c r="E50">
        <v>252.28073394494999</v>
      </c>
      <c r="F50">
        <v>155.44958371877999</v>
      </c>
      <c r="G50">
        <v>124.65402405179999</v>
      </c>
      <c r="I50" s="9">
        <f t="shared" si="1"/>
        <v>127.62670989314999</v>
      </c>
      <c r="J50" s="9">
        <f t="shared" si="2"/>
        <v>283.39904013442998</v>
      </c>
      <c r="K50" s="9">
        <f t="shared" si="3"/>
        <v>127.62670989314999</v>
      </c>
      <c r="L50" s="10">
        <f t="shared" si="0"/>
        <v>0.45034277403554518</v>
      </c>
      <c r="M50" s="10">
        <f t="shared" si="4"/>
        <v>0.48038526008895743</v>
      </c>
      <c r="P50" s="8">
        <f t="shared" si="5"/>
        <v>-12.928498312263633</v>
      </c>
    </row>
    <row r="51" spans="1:25" x14ac:dyDescent="0.2">
      <c r="A51" s="8">
        <v>24.5</v>
      </c>
      <c r="B51" s="8">
        <v>49</v>
      </c>
      <c r="D51">
        <v>431.44954128440003</v>
      </c>
      <c r="E51">
        <v>246.69449541284001</v>
      </c>
      <c r="F51">
        <v>155.25809435708001</v>
      </c>
      <c r="G51">
        <v>124.51618871415</v>
      </c>
      <c r="I51" s="9">
        <f t="shared" si="1"/>
        <v>122.17830669869001</v>
      </c>
      <c r="J51" s="9">
        <f t="shared" si="2"/>
        <v>276.19144692732004</v>
      </c>
      <c r="K51" s="9">
        <f t="shared" si="3"/>
        <v>122.17830669869001</v>
      </c>
      <c r="L51" s="10">
        <f t="shared" si="0"/>
        <v>0.44236817634269937</v>
      </c>
      <c r="M51" s="10">
        <f t="shared" si="4"/>
        <v>0.47303654752222435</v>
      </c>
      <c r="P51" s="8">
        <f t="shared" si="5"/>
        <v>-14.260478062305296</v>
      </c>
    </row>
    <row r="52" spans="1:25" x14ac:dyDescent="0.2">
      <c r="A52" s="8">
        <v>25</v>
      </c>
      <c r="B52" s="8">
        <v>50</v>
      </c>
      <c r="D52">
        <v>432.53577981651</v>
      </c>
      <c r="E52">
        <v>250.70366972477001</v>
      </c>
      <c r="F52">
        <v>155.11193339501</v>
      </c>
      <c r="G52">
        <v>123.86679000925</v>
      </c>
      <c r="I52" s="9">
        <f t="shared" si="1"/>
        <v>126.83687971552001</v>
      </c>
      <c r="J52" s="9">
        <f t="shared" si="2"/>
        <v>277.4238464215</v>
      </c>
      <c r="K52" s="9">
        <f t="shared" si="3"/>
        <v>126.83687971552001</v>
      </c>
      <c r="L52" s="10">
        <f t="shared" si="0"/>
        <v>0.45719530368997979</v>
      </c>
      <c r="M52" s="10">
        <f t="shared" si="4"/>
        <v>0.48848955999561755</v>
      </c>
      <c r="P52" s="8">
        <f t="shared" si="5"/>
        <v>-11.459565724968998</v>
      </c>
    </row>
    <row r="53" spans="1:25" x14ac:dyDescent="0.2">
      <c r="A53" s="8">
        <v>25.5</v>
      </c>
      <c r="B53" s="8">
        <v>51</v>
      </c>
      <c r="D53">
        <v>434.7</v>
      </c>
      <c r="E53">
        <v>256.92201834861999</v>
      </c>
      <c r="F53">
        <v>154.18223866790001</v>
      </c>
      <c r="G53">
        <v>124.56891766883</v>
      </c>
      <c r="I53" s="9">
        <f t="shared" si="1"/>
        <v>132.35310067978997</v>
      </c>
      <c r="J53" s="9">
        <f t="shared" si="2"/>
        <v>280.51776133210001</v>
      </c>
      <c r="K53" s="9">
        <f t="shared" si="3"/>
        <v>132.35310067978997</v>
      </c>
      <c r="L53" s="10">
        <f t="shared" si="0"/>
        <v>0.47181718566155062</v>
      </c>
      <c r="M53" s="10">
        <f t="shared" si="4"/>
        <v>0.5037373270933011</v>
      </c>
      <c r="P53" s="8">
        <f t="shared" si="5"/>
        <v>-8.6958548268987474</v>
      </c>
      <c r="S53" s="11"/>
      <c r="U53" s="12"/>
    </row>
    <row r="54" spans="1:25" x14ac:dyDescent="0.2">
      <c r="A54" s="8">
        <v>26</v>
      </c>
      <c r="B54" s="8">
        <v>52</v>
      </c>
      <c r="D54">
        <v>431.83761467890002</v>
      </c>
      <c r="E54">
        <v>264.09816513762001</v>
      </c>
      <c r="F54">
        <v>154.46530989824001</v>
      </c>
      <c r="G54">
        <v>124.02405180389</v>
      </c>
      <c r="I54" s="9">
        <f t="shared" si="1"/>
        <v>140.07411333373</v>
      </c>
      <c r="J54" s="9">
        <f t="shared" si="2"/>
        <v>277.37230478065999</v>
      </c>
      <c r="K54" s="9">
        <f t="shared" si="3"/>
        <v>140.07411333373</v>
      </c>
      <c r="L54" s="10">
        <f t="shared" si="0"/>
        <v>0.5050039636960062</v>
      </c>
      <c r="M54" s="10">
        <f t="shared" si="4"/>
        <v>0.5375499902538694</v>
      </c>
      <c r="P54" s="8">
        <f t="shared" si="5"/>
        <v>-2.5671918514629595</v>
      </c>
      <c r="S54" s="11"/>
    </row>
    <row r="55" spans="1:25" x14ac:dyDescent="0.2">
      <c r="A55" s="8">
        <v>26.5</v>
      </c>
      <c r="B55" s="8">
        <v>53</v>
      </c>
      <c r="D55">
        <v>435.60458715596002</v>
      </c>
      <c r="E55">
        <v>271.10275229358001</v>
      </c>
      <c r="F55">
        <v>154.53006475486001</v>
      </c>
      <c r="G55">
        <v>123.96207215541</v>
      </c>
      <c r="I55" s="9">
        <f t="shared" si="1"/>
        <v>147.14068013817001</v>
      </c>
      <c r="J55" s="9">
        <f t="shared" si="2"/>
        <v>281.07452240110001</v>
      </c>
      <c r="K55" s="9">
        <f t="shared" si="3"/>
        <v>147.14068013817001</v>
      </c>
      <c r="L55" s="10">
        <f t="shared" si="0"/>
        <v>0.52349348095021142</v>
      </c>
      <c r="M55" s="10">
        <f t="shared" si="4"/>
        <v>0.55666539263418746</v>
      </c>
      <c r="P55" s="8">
        <f t="shared" si="5"/>
        <v>0.8975414134823676</v>
      </c>
      <c r="S55" s="11"/>
    </row>
    <row r="56" spans="1:25" x14ac:dyDescent="0.2">
      <c r="A56" s="8">
        <v>27</v>
      </c>
      <c r="B56" s="8">
        <v>54</v>
      </c>
      <c r="D56">
        <v>432.58715596330001</v>
      </c>
      <c r="E56">
        <v>268.79266055046003</v>
      </c>
      <c r="F56">
        <v>155.08973172987999</v>
      </c>
      <c r="G56">
        <v>123.69750231267</v>
      </c>
      <c r="I56" s="9">
        <f t="shared" si="1"/>
        <v>145.09515823779003</v>
      </c>
      <c r="J56" s="9">
        <f t="shared" si="2"/>
        <v>277.49742423342002</v>
      </c>
      <c r="K56" s="9">
        <f t="shared" si="3"/>
        <v>145.09515823779003</v>
      </c>
      <c r="L56" s="10">
        <f t="shared" si="0"/>
        <v>0.52287028839497129</v>
      </c>
      <c r="M56" s="10">
        <f t="shared" si="4"/>
        <v>0.55666808520506006</v>
      </c>
      <c r="P56" s="8">
        <f t="shared" si="5"/>
        <v>0.8980294513318936</v>
      </c>
      <c r="S56" s="11"/>
    </row>
    <row r="57" spans="1:25" x14ac:dyDescent="0.2">
      <c r="A57" s="8">
        <v>27.5</v>
      </c>
      <c r="B57" s="8">
        <v>55</v>
      </c>
      <c r="D57">
        <v>436.55412844036999</v>
      </c>
      <c r="E57">
        <v>271.55045871559997</v>
      </c>
      <c r="F57">
        <v>154.52358926919999</v>
      </c>
      <c r="G57">
        <v>124.16096207216</v>
      </c>
      <c r="I57" s="9">
        <f t="shared" si="1"/>
        <v>147.38949664343997</v>
      </c>
      <c r="J57" s="9">
        <f t="shared" si="2"/>
        <v>282.03053917117001</v>
      </c>
      <c r="K57" s="9">
        <f t="shared" si="3"/>
        <v>147.38949664343997</v>
      </c>
      <c r="L57" s="10">
        <f t="shared" si="0"/>
        <v>0.52260119445428677</v>
      </c>
      <c r="M57" s="10">
        <f t="shared" si="4"/>
        <v>0.55702487639048825</v>
      </c>
      <c r="P57" s="8">
        <f t="shared" si="5"/>
        <v>0.96269909647968122</v>
      </c>
      <c r="S57" s="11"/>
    </row>
    <row r="58" spans="1:25" x14ac:dyDescent="0.2">
      <c r="A58" s="8">
        <v>28</v>
      </c>
      <c r="B58" s="8">
        <v>56</v>
      </c>
      <c r="D58">
        <v>439.17889908257001</v>
      </c>
      <c r="E58">
        <v>275.56697247706001</v>
      </c>
      <c r="F58">
        <v>154.64662349675999</v>
      </c>
      <c r="G58">
        <v>124.34227567068</v>
      </c>
      <c r="I58" s="9">
        <f t="shared" si="1"/>
        <v>151.22469680638</v>
      </c>
      <c r="J58" s="9">
        <f t="shared" si="2"/>
        <v>284.53227558581</v>
      </c>
      <c r="K58" s="9">
        <f t="shared" si="3"/>
        <v>151.22469680638</v>
      </c>
      <c r="L58" s="10">
        <f t="shared" si="0"/>
        <v>0.53148521198528587</v>
      </c>
      <c r="M58" s="10">
        <f t="shared" si="4"/>
        <v>0.56653477904760019</v>
      </c>
      <c r="P58" s="8">
        <f t="shared" si="5"/>
        <v>2.6864020783438503</v>
      </c>
      <c r="S58" s="11"/>
    </row>
    <row r="59" spans="1:25" x14ac:dyDescent="0.2">
      <c r="A59" s="8">
        <v>28.5</v>
      </c>
      <c r="B59" s="8">
        <v>57</v>
      </c>
      <c r="D59">
        <v>438.83302752293997</v>
      </c>
      <c r="E59">
        <v>267.97798165137999</v>
      </c>
      <c r="F59">
        <v>154.60592044403001</v>
      </c>
      <c r="G59">
        <v>124.47733580019</v>
      </c>
      <c r="I59" s="9">
        <f t="shared" si="1"/>
        <v>143.50064585118997</v>
      </c>
      <c r="J59" s="9">
        <f t="shared" si="2"/>
        <v>284.22710707890997</v>
      </c>
      <c r="K59" s="9">
        <f t="shared" si="3"/>
        <v>143.50064585118997</v>
      </c>
      <c r="L59" s="10">
        <f t="shared" si="0"/>
        <v>0.50488022527474796</v>
      </c>
      <c r="M59" s="10">
        <f t="shared" si="4"/>
        <v>0.54055567746317501</v>
      </c>
      <c r="P59" s="8">
        <f t="shared" si="5"/>
        <v>-2.0224005752497853</v>
      </c>
      <c r="R59" s="1"/>
      <c r="S59" s="11"/>
    </row>
    <row r="60" spans="1:25" x14ac:dyDescent="0.2">
      <c r="A60" s="8">
        <v>29</v>
      </c>
      <c r="B60" s="8">
        <v>58</v>
      </c>
      <c r="D60">
        <v>431.95229357798002</v>
      </c>
      <c r="E60">
        <v>264.52844036697002</v>
      </c>
      <c r="F60">
        <v>154.69010175763</v>
      </c>
      <c r="G60">
        <v>124.65587419056</v>
      </c>
      <c r="I60" s="9">
        <f t="shared" si="1"/>
        <v>139.87256617641003</v>
      </c>
      <c r="J60" s="9">
        <f t="shared" si="2"/>
        <v>277.26219182035004</v>
      </c>
      <c r="K60" s="9">
        <f t="shared" si="3"/>
        <v>139.87256617641003</v>
      </c>
      <c r="L60" s="10">
        <f t="shared" si="0"/>
        <v>0.50447760388130891</v>
      </c>
      <c r="M60" s="10">
        <f t="shared" si="4"/>
        <v>0.54077894119584868</v>
      </c>
      <c r="P60" s="8">
        <f t="shared" si="5"/>
        <v>-1.9819332460217689</v>
      </c>
      <c r="S60" s="11"/>
    </row>
    <row r="61" spans="1:25" x14ac:dyDescent="0.2">
      <c r="A61" s="8">
        <v>29.5</v>
      </c>
      <c r="B61" s="8">
        <v>59</v>
      </c>
      <c r="C61" s="2"/>
      <c r="D61">
        <v>433.60825688072998</v>
      </c>
      <c r="E61">
        <v>264.51834862384999</v>
      </c>
      <c r="F61">
        <v>154.97409805735001</v>
      </c>
      <c r="G61">
        <v>124.15263644773</v>
      </c>
      <c r="I61" s="9">
        <f t="shared" si="1"/>
        <v>140.36571217611998</v>
      </c>
      <c r="J61" s="9">
        <f t="shared" si="2"/>
        <v>278.63415882337995</v>
      </c>
      <c r="K61" s="9">
        <f t="shared" si="3"/>
        <v>140.36571217611998</v>
      </c>
      <c r="L61" s="10">
        <f t="shared" si="0"/>
        <v>0.50376347526397403</v>
      </c>
      <c r="M61" s="10">
        <f t="shared" si="4"/>
        <v>0.54069069770462663</v>
      </c>
      <c r="P61" s="8">
        <f t="shared" si="5"/>
        <v>-1.9979276861789246</v>
      </c>
      <c r="S61" s="11"/>
    </row>
    <row r="62" spans="1:25" x14ac:dyDescent="0.2">
      <c r="A62" s="8">
        <v>30</v>
      </c>
      <c r="B62" s="8">
        <v>60</v>
      </c>
      <c r="D62">
        <v>433.97981651376</v>
      </c>
      <c r="E62">
        <v>270.97981651376</v>
      </c>
      <c r="F62">
        <v>154.21646623497</v>
      </c>
      <c r="G62">
        <v>124.19056429232</v>
      </c>
      <c r="I62" s="9">
        <f t="shared" si="1"/>
        <v>146.78925222143999</v>
      </c>
      <c r="J62" s="9">
        <f t="shared" si="2"/>
        <v>279.76335027878997</v>
      </c>
      <c r="K62" s="9">
        <f t="shared" si="3"/>
        <v>146.78925222143999</v>
      </c>
      <c r="L62" s="10">
        <f t="shared" si="0"/>
        <v>0.5246907862490261</v>
      </c>
      <c r="M62" s="10">
        <f t="shared" si="4"/>
        <v>0.56224389381579143</v>
      </c>
      <c r="P62" s="8">
        <f t="shared" si="5"/>
        <v>1.9086641839002656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431.32018348624001</v>
      </c>
      <c r="E63">
        <v>265.24036697247999</v>
      </c>
      <c r="F63">
        <v>154.36355226641999</v>
      </c>
      <c r="G63">
        <v>123.81406105457999</v>
      </c>
      <c r="I63" s="9">
        <f t="shared" si="1"/>
        <v>141.42630591789998</v>
      </c>
      <c r="J63" s="9">
        <f t="shared" si="2"/>
        <v>276.95663121982</v>
      </c>
      <c r="K63" s="9">
        <f t="shared" si="3"/>
        <v>141.42630591789998</v>
      </c>
      <c r="L63" s="10">
        <f t="shared" si="0"/>
        <v>0.51064423081334409</v>
      </c>
      <c r="M63" s="10">
        <f t="shared" si="4"/>
        <v>0.54882322350622215</v>
      </c>
      <c r="P63" s="8">
        <f t="shared" si="5"/>
        <v>-0.52387905710971516</v>
      </c>
    </row>
    <row r="64" spans="1:25" x14ac:dyDescent="0.2">
      <c r="A64" s="8">
        <v>31</v>
      </c>
      <c r="B64" s="8">
        <v>62</v>
      </c>
      <c r="D64">
        <v>432.48715596329998</v>
      </c>
      <c r="E64">
        <v>270.30733944954</v>
      </c>
      <c r="F64">
        <v>155.27659574468001</v>
      </c>
      <c r="G64">
        <v>124.0138760407</v>
      </c>
      <c r="I64" s="9">
        <f t="shared" si="1"/>
        <v>146.29346340884001</v>
      </c>
      <c r="J64" s="9">
        <f t="shared" si="2"/>
        <v>277.21056021862</v>
      </c>
      <c r="K64" s="9">
        <f t="shared" si="3"/>
        <v>146.29346340884001</v>
      </c>
      <c r="L64" s="10">
        <f t="shared" si="0"/>
        <v>0.52773409242947589</v>
      </c>
      <c r="M64" s="10">
        <f t="shared" si="4"/>
        <v>0.56653897024846667</v>
      </c>
      <c r="P64" s="8">
        <f t="shared" si="5"/>
        <v>2.6871617480998533</v>
      </c>
      <c r="U64" s="8">
        <v>30.5</v>
      </c>
      <c r="V64" s="10">
        <f>L62</f>
        <v>0.5246907862490261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439.47155963302998</v>
      </c>
      <c r="E65">
        <v>275.09633027523</v>
      </c>
      <c r="F65">
        <v>155.46438482886001</v>
      </c>
      <c r="G65">
        <v>124.48473635523</v>
      </c>
      <c r="I65" s="9">
        <f t="shared" si="1"/>
        <v>150.61159392000002</v>
      </c>
      <c r="J65" s="9">
        <f t="shared" si="2"/>
        <v>284.00717480416995</v>
      </c>
      <c r="K65" s="9">
        <f t="shared" si="3"/>
        <v>150.61159392000002</v>
      </c>
      <c r="L65" s="10">
        <f t="shared" si="0"/>
        <v>0.53030911639415612</v>
      </c>
      <c r="M65" s="10">
        <f t="shared" si="4"/>
        <v>0.56973987933925974</v>
      </c>
      <c r="P65" s="8">
        <f t="shared" si="5"/>
        <v>3.2673376703370769</v>
      </c>
      <c r="U65" s="8">
        <v>31</v>
      </c>
      <c r="V65" s="10">
        <f t="shared" ref="V65:V83" si="6">L63</f>
        <v>0.51064423081334409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439.77798165138</v>
      </c>
      <c r="E66">
        <v>283.99541284404</v>
      </c>
      <c r="F66">
        <v>154.81961147086</v>
      </c>
      <c r="G66">
        <v>124.14061054579</v>
      </c>
      <c r="I66" s="9">
        <f t="shared" si="1"/>
        <v>159.85480229825001</v>
      </c>
      <c r="J66" s="9">
        <f t="shared" si="2"/>
        <v>284.95837018051998</v>
      </c>
      <c r="K66" s="9">
        <f t="shared" si="3"/>
        <v>159.85480229825001</v>
      </c>
      <c r="L66" s="10">
        <f t="shared" ref="L66:L129" si="7">K66/J66</f>
        <v>0.560975984656926</v>
      </c>
      <c r="M66" s="10">
        <f t="shared" si="4"/>
        <v>0.60103263272814234</v>
      </c>
      <c r="P66" s="8">
        <f t="shared" si="5"/>
        <v>8.9392582222071528</v>
      </c>
      <c r="U66" s="8">
        <v>31.5</v>
      </c>
      <c r="V66" s="10">
        <f t="shared" si="6"/>
        <v>0.52773409242947589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436.56055045872</v>
      </c>
      <c r="E67">
        <v>279.60550458716</v>
      </c>
      <c r="F67">
        <v>155.26271970398</v>
      </c>
      <c r="G67">
        <v>124.38020351526001</v>
      </c>
      <c r="I67" s="9">
        <f t="shared" ref="I67:I130" si="8">E67-G67</f>
        <v>155.22530107189999</v>
      </c>
      <c r="J67" s="9">
        <f t="shared" ref="J67:J130" si="9">D67-F67</f>
        <v>281.29783075474</v>
      </c>
      <c r="K67" s="9">
        <f t="shared" ref="K67:K130" si="10">I67*1</f>
        <v>155.22530107189999</v>
      </c>
      <c r="L67" s="10">
        <f t="shared" si="7"/>
        <v>0.55181833665556757</v>
      </c>
      <c r="M67" s="10">
        <f t="shared" ref="M67:M130" si="11">L67+ABS($N$2)*A67</f>
        <v>0.59250086985289663</v>
      </c>
      <c r="P67" s="8">
        <f t="shared" ref="P67:P130" si="12">(M67-$O$2)/$O$2*100</f>
        <v>7.3928464829007501</v>
      </c>
      <c r="U67" s="8">
        <v>32</v>
      </c>
      <c r="V67" s="10">
        <f t="shared" si="6"/>
        <v>0.53030911639415612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434.25412844036998</v>
      </c>
      <c r="E68">
        <v>272.87706422017999</v>
      </c>
      <c r="F68">
        <v>154.24791859390001</v>
      </c>
      <c r="G68">
        <v>124.23311748381001</v>
      </c>
      <c r="I68" s="9">
        <f t="shared" si="8"/>
        <v>148.64394673636997</v>
      </c>
      <c r="J68" s="9">
        <f t="shared" si="9"/>
        <v>280.00620984646997</v>
      </c>
      <c r="K68" s="9">
        <f t="shared" si="10"/>
        <v>148.64394673636997</v>
      </c>
      <c r="L68" s="10">
        <f t="shared" si="7"/>
        <v>0.53085946493069869</v>
      </c>
      <c r="M68" s="10">
        <f t="shared" si="11"/>
        <v>0.57216788325414047</v>
      </c>
      <c r="P68" s="8">
        <f t="shared" si="12"/>
        <v>3.7074218372268355</v>
      </c>
      <c r="U68" s="8">
        <v>32.5</v>
      </c>
      <c r="V68" s="10">
        <f t="shared" si="6"/>
        <v>0.560975984656926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431.41651376147001</v>
      </c>
      <c r="E69">
        <v>264.00642201835001</v>
      </c>
      <c r="F69">
        <v>154.63552266420001</v>
      </c>
      <c r="G69">
        <v>123.95189639223</v>
      </c>
      <c r="I69" s="9">
        <f t="shared" si="8"/>
        <v>140.05452562612001</v>
      </c>
      <c r="J69" s="9">
        <f t="shared" si="9"/>
        <v>276.78099109726998</v>
      </c>
      <c r="K69" s="9">
        <f t="shared" si="10"/>
        <v>140.05452562612001</v>
      </c>
      <c r="L69" s="10">
        <f t="shared" si="7"/>
        <v>0.50601208222749738</v>
      </c>
      <c r="M69" s="10">
        <f t="shared" si="11"/>
        <v>0.54794638567705201</v>
      </c>
      <c r="P69" s="8">
        <f t="shared" si="12"/>
        <v>-0.68280896788241663</v>
      </c>
      <c r="U69" s="8">
        <v>33</v>
      </c>
      <c r="V69" s="10">
        <f t="shared" si="6"/>
        <v>0.55181833665556757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428.92568807339001</v>
      </c>
      <c r="E70">
        <v>261.32293577982</v>
      </c>
      <c r="F70">
        <v>154.76780758557001</v>
      </c>
      <c r="G70">
        <v>124.06382978723001</v>
      </c>
      <c r="I70" s="9">
        <f t="shared" si="8"/>
        <v>137.25910599258998</v>
      </c>
      <c r="J70" s="9">
        <f t="shared" si="9"/>
        <v>274.15788048781997</v>
      </c>
      <c r="K70" s="9">
        <f t="shared" si="10"/>
        <v>137.25910599258998</v>
      </c>
      <c r="L70" s="10">
        <f t="shared" si="7"/>
        <v>0.50065716056879128</v>
      </c>
      <c r="M70" s="10">
        <f t="shared" si="11"/>
        <v>0.54321734914445863</v>
      </c>
      <c r="P70" s="8">
        <f t="shared" si="12"/>
        <v>-1.5399633117788571</v>
      </c>
      <c r="U70" s="8">
        <v>33.5</v>
      </c>
      <c r="V70" s="10">
        <f t="shared" si="6"/>
        <v>0.53085946493069869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430.12018348624002</v>
      </c>
      <c r="E71">
        <v>258.26055045871999</v>
      </c>
      <c r="F71">
        <v>154.73820536540001</v>
      </c>
      <c r="G71">
        <v>123.88066604994999</v>
      </c>
      <c r="I71" s="9">
        <f t="shared" si="8"/>
        <v>134.37988440877001</v>
      </c>
      <c r="J71" s="9">
        <f t="shared" si="9"/>
        <v>275.38197812084002</v>
      </c>
      <c r="K71" s="9">
        <f t="shared" si="10"/>
        <v>134.37988440877001</v>
      </c>
      <c r="L71" s="10">
        <f t="shared" si="7"/>
        <v>0.48797632047585532</v>
      </c>
      <c r="M71" s="10">
        <f t="shared" si="11"/>
        <v>0.53116239417763544</v>
      </c>
      <c r="P71" s="8">
        <f t="shared" si="12"/>
        <v>-3.7249658898033342</v>
      </c>
      <c r="U71" s="8">
        <v>34</v>
      </c>
      <c r="V71" s="10">
        <f t="shared" si="6"/>
        <v>0.50601208222749738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432.89541284403998</v>
      </c>
      <c r="E72">
        <v>261.61376146789001</v>
      </c>
      <c r="F72">
        <v>154.23681776133</v>
      </c>
      <c r="G72">
        <v>124.29139685475999</v>
      </c>
      <c r="I72" s="9">
        <f t="shared" si="8"/>
        <v>137.32236461313002</v>
      </c>
      <c r="J72" s="9">
        <f t="shared" si="9"/>
        <v>278.65859508271001</v>
      </c>
      <c r="K72" s="9">
        <f t="shared" si="10"/>
        <v>137.32236461313002</v>
      </c>
      <c r="L72" s="10">
        <f t="shared" si="7"/>
        <v>0.49279787896860205</v>
      </c>
      <c r="M72" s="10">
        <f t="shared" si="11"/>
        <v>0.53660983779649496</v>
      </c>
      <c r="P72" s="8">
        <f t="shared" si="12"/>
        <v>-2.7375977591376652</v>
      </c>
      <c r="U72" s="8">
        <v>34.5</v>
      </c>
      <c r="V72" s="10">
        <f t="shared" si="6"/>
        <v>0.50065716056879128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436.35930339138002</v>
      </c>
      <c r="E73">
        <v>271.70119156737002</v>
      </c>
      <c r="F73">
        <v>154.95097132284999</v>
      </c>
      <c r="G73">
        <v>124.67715078630999</v>
      </c>
      <c r="I73" s="9">
        <f t="shared" si="8"/>
        <v>147.02404078106002</v>
      </c>
      <c r="J73" s="9">
        <f t="shared" si="9"/>
        <v>281.40833206853006</v>
      </c>
      <c r="K73" s="9">
        <f t="shared" si="10"/>
        <v>147.02404078106002</v>
      </c>
      <c r="L73" s="10">
        <f t="shared" si="7"/>
        <v>0.52245802283230169</v>
      </c>
      <c r="M73" s="10">
        <f t="shared" si="11"/>
        <v>0.56689586678630732</v>
      </c>
      <c r="P73" s="8">
        <f t="shared" si="12"/>
        <v>2.7518504887393673</v>
      </c>
      <c r="U73" s="8">
        <v>35</v>
      </c>
      <c r="V73" s="10">
        <f t="shared" si="6"/>
        <v>0.48797632047585532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434.11640696608998</v>
      </c>
      <c r="E74">
        <v>268.82951420715</v>
      </c>
      <c r="F74">
        <v>154.43570767808001</v>
      </c>
      <c r="G74">
        <v>123.91674375578</v>
      </c>
      <c r="I74" s="9">
        <f t="shared" si="8"/>
        <v>144.91277045136999</v>
      </c>
      <c r="J74" s="9">
        <f t="shared" si="9"/>
        <v>279.68069928800998</v>
      </c>
      <c r="K74" s="9">
        <f t="shared" si="10"/>
        <v>144.91277045136999</v>
      </c>
      <c r="L74" s="10">
        <f t="shared" si="7"/>
        <v>0.51813647069775637</v>
      </c>
      <c r="M74" s="10">
        <f t="shared" si="11"/>
        <v>0.56320019977787472</v>
      </c>
      <c r="P74" s="8">
        <f t="shared" si="12"/>
        <v>2.0819979705699656</v>
      </c>
      <c r="U74" s="8">
        <v>35.5</v>
      </c>
      <c r="V74" s="10">
        <f t="shared" si="6"/>
        <v>0.49279787896860205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430.75893675526999</v>
      </c>
      <c r="E75">
        <v>262.28047662695002</v>
      </c>
      <c r="F75">
        <v>155.48751156336999</v>
      </c>
      <c r="G75">
        <v>124.07585568918</v>
      </c>
      <c r="I75" s="9">
        <f t="shared" si="8"/>
        <v>138.20462093777002</v>
      </c>
      <c r="J75" s="9">
        <f t="shared" si="9"/>
        <v>275.27142519189999</v>
      </c>
      <c r="K75" s="9">
        <f t="shared" si="10"/>
        <v>138.20462093777002</v>
      </c>
      <c r="L75" s="10">
        <f t="shared" si="7"/>
        <v>0.50206671775475209</v>
      </c>
      <c r="M75" s="10">
        <f t="shared" si="11"/>
        <v>0.54775633196098317</v>
      </c>
      <c r="P75" s="8">
        <f t="shared" si="12"/>
        <v>-0.7172568659223858</v>
      </c>
      <c r="U75" s="8">
        <v>36</v>
      </c>
      <c r="V75" s="10">
        <f t="shared" si="6"/>
        <v>0.52245802283230169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435.41720629047001</v>
      </c>
      <c r="E76">
        <v>268.08788159111998</v>
      </c>
      <c r="F76">
        <v>154.65217391304</v>
      </c>
      <c r="G76">
        <v>123.81498612396</v>
      </c>
      <c r="I76" s="9">
        <f t="shared" si="8"/>
        <v>144.27289546715997</v>
      </c>
      <c r="J76" s="9">
        <f t="shared" si="9"/>
        <v>280.76503237742997</v>
      </c>
      <c r="K76" s="9">
        <f t="shared" si="10"/>
        <v>144.27289546715997</v>
      </c>
      <c r="L76" s="10">
        <f t="shared" si="7"/>
        <v>0.5138563525717661</v>
      </c>
      <c r="M76" s="10">
        <f t="shared" si="11"/>
        <v>0.56017185190411001</v>
      </c>
      <c r="P76" s="8">
        <f t="shared" si="12"/>
        <v>1.5330993699910711</v>
      </c>
      <c r="U76" s="8">
        <v>36.5</v>
      </c>
      <c r="V76" s="10">
        <f t="shared" si="6"/>
        <v>0.51813647069775637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433.15356151711001</v>
      </c>
      <c r="E77">
        <v>274.07585568918</v>
      </c>
      <c r="F77">
        <v>154.54856614246</v>
      </c>
      <c r="G77">
        <v>124.06938020352</v>
      </c>
      <c r="I77" s="9">
        <f t="shared" si="8"/>
        <v>150.00647548566002</v>
      </c>
      <c r="J77" s="9">
        <f t="shared" si="9"/>
        <v>278.60499537465</v>
      </c>
      <c r="K77" s="9">
        <f t="shared" si="10"/>
        <v>150.00647548566002</v>
      </c>
      <c r="L77" s="10">
        <f t="shared" si="7"/>
        <v>0.53841990623298408</v>
      </c>
      <c r="M77" s="10">
        <f t="shared" si="11"/>
        <v>0.58536129069144072</v>
      </c>
      <c r="P77" s="8">
        <f t="shared" si="12"/>
        <v>6.0987728910271803</v>
      </c>
      <c r="U77" s="8">
        <v>37</v>
      </c>
      <c r="V77" s="10">
        <f t="shared" si="6"/>
        <v>0.50206671775475209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428.13968547641002</v>
      </c>
      <c r="E78">
        <v>254.35892691952</v>
      </c>
      <c r="F78">
        <v>153.88621646624</v>
      </c>
      <c r="G78">
        <v>124.04810360777</v>
      </c>
      <c r="I78" s="9">
        <f t="shared" si="8"/>
        <v>130.31082331175</v>
      </c>
      <c r="J78" s="9">
        <f t="shared" si="9"/>
        <v>274.25346901017002</v>
      </c>
      <c r="K78" s="9">
        <f t="shared" si="10"/>
        <v>130.31082331175</v>
      </c>
      <c r="L78" s="10">
        <f t="shared" si="7"/>
        <v>0.47514740208051021</v>
      </c>
      <c r="M78" s="10">
        <f t="shared" si="11"/>
        <v>0.52271467166507957</v>
      </c>
      <c r="P78" s="8">
        <f t="shared" si="12"/>
        <v>-5.2561450206395461</v>
      </c>
      <c r="U78" s="8">
        <v>37.5</v>
      </c>
      <c r="V78" s="10">
        <f t="shared" si="6"/>
        <v>0.5138563525717661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427.76965772432999</v>
      </c>
      <c r="E79">
        <v>250.68270120259001</v>
      </c>
      <c r="F79">
        <v>154.65309898242</v>
      </c>
      <c r="G79">
        <v>123.81221091582</v>
      </c>
      <c r="I79" s="9">
        <f t="shared" si="8"/>
        <v>126.87049028677001</v>
      </c>
      <c r="J79" s="9">
        <f t="shared" si="9"/>
        <v>273.11655874191001</v>
      </c>
      <c r="K79" s="9">
        <f t="shared" si="10"/>
        <v>126.87049028677001</v>
      </c>
      <c r="L79" s="10">
        <f t="shared" si="7"/>
        <v>0.46452873773450049</v>
      </c>
      <c r="M79" s="10">
        <f t="shared" si="11"/>
        <v>0.51272189244518263</v>
      </c>
      <c r="P79" s="8">
        <f t="shared" si="12"/>
        <v>-7.0673710614829135</v>
      </c>
      <c r="U79" s="8">
        <v>38</v>
      </c>
      <c r="V79" s="10">
        <f t="shared" si="6"/>
        <v>0.53841990623298408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424.26179463459999</v>
      </c>
      <c r="E80">
        <v>244.23496762257</v>
      </c>
      <c r="F80">
        <v>154.53376503237999</v>
      </c>
      <c r="G80">
        <v>123.4532839963</v>
      </c>
      <c r="I80" s="9">
        <f t="shared" si="8"/>
        <v>120.78168362627</v>
      </c>
      <c r="J80" s="9">
        <f t="shared" si="9"/>
        <v>269.72802960221998</v>
      </c>
      <c r="K80" s="9">
        <f t="shared" si="10"/>
        <v>120.78168362627</v>
      </c>
      <c r="L80" s="10">
        <f t="shared" si="7"/>
        <v>0.44779062748648024</v>
      </c>
      <c r="M80" s="10">
        <f t="shared" si="11"/>
        <v>0.49660966732327516</v>
      </c>
      <c r="P80" s="8">
        <f t="shared" si="12"/>
        <v>-9.9877679875575449</v>
      </c>
      <c r="U80" s="8">
        <v>38.5</v>
      </c>
      <c r="V80" s="10">
        <f t="shared" si="6"/>
        <v>0.47514740208051021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420.69380203514999</v>
      </c>
      <c r="E81">
        <v>245.88991674376001</v>
      </c>
      <c r="F81">
        <v>154.24606845513</v>
      </c>
      <c r="G81">
        <v>124.0138760407</v>
      </c>
      <c r="I81" s="9">
        <f t="shared" si="8"/>
        <v>121.87604070306001</v>
      </c>
      <c r="J81" s="9">
        <f t="shared" si="9"/>
        <v>266.44773358001999</v>
      </c>
      <c r="K81" s="9">
        <f t="shared" si="10"/>
        <v>121.87604070306001</v>
      </c>
      <c r="L81" s="10">
        <f t="shared" si="7"/>
        <v>0.4574106863868595</v>
      </c>
      <c r="M81" s="10">
        <f t="shared" si="11"/>
        <v>0.5068556113497672</v>
      </c>
      <c r="P81" s="8">
        <f t="shared" si="12"/>
        <v>-8.1306549436853217</v>
      </c>
      <c r="U81" s="8">
        <v>39</v>
      </c>
      <c r="V81" s="10">
        <f t="shared" si="6"/>
        <v>0.46452873773450049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422.93339500462997</v>
      </c>
      <c r="E82">
        <v>239.41350601294999</v>
      </c>
      <c r="F82">
        <v>154.81961147086</v>
      </c>
      <c r="G82">
        <v>123.75578168363</v>
      </c>
      <c r="H82" s="13"/>
      <c r="I82" s="14">
        <f t="shared" si="8"/>
        <v>115.65772432931999</v>
      </c>
      <c r="J82" s="14">
        <f t="shared" si="9"/>
        <v>268.11378353376995</v>
      </c>
      <c r="K82" s="9">
        <f t="shared" si="10"/>
        <v>115.65772432931999</v>
      </c>
      <c r="L82" s="15">
        <f t="shared" si="7"/>
        <v>0.43137552573738702</v>
      </c>
      <c r="M82" s="15">
        <f t="shared" si="11"/>
        <v>0.48144633582640745</v>
      </c>
      <c r="N82" s="13"/>
      <c r="O82" s="13"/>
      <c r="P82" s="13">
        <f t="shared" si="12"/>
        <v>-12.73617463887056</v>
      </c>
      <c r="U82" s="8">
        <v>39.5</v>
      </c>
      <c r="V82" s="10">
        <f t="shared" si="6"/>
        <v>0.44779062748648024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427.94819611471002</v>
      </c>
      <c r="E83">
        <v>254.51063829787</v>
      </c>
      <c r="F83">
        <v>154.38575393155</v>
      </c>
      <c r="G83">
        <v>123.9019426457</v>
      </c>
      <c r="I83" s="9">
        <f t="shared" si="8"/>
        <v>130.60869565217001</v>
      </c>
      <c r="J83" s="9">
        <f t="shared" si="9"/>
        <v>273.56244218315999</v>
      </c>
      <c r="K83" s="9">
        <f t="shared" si="10"/>
        <v>130.60869565217001</v>
      </c>
      <c r="L83" s="10">
        <f t="shared" si="7"/>
        <v>0.47743650264944903</v>
      </c>
      <c r="M83" s="10">
        <f t="shared" si="11"/>
        <v>0.52813319786458224</v>
      </c>
      <c r="P83" s="8">
        <f t="shared" si="12"/>
        <v>-4.2740182729585845</v>
      </c>
      <c r="U83" s="8">
        <v>40</v>
      </c>
      <c r="V83" s="10">
        <f t="shared" si="6"/>
        <v>0.4574106863868595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426.46623496761998</v>
      </c>
      <c r="E84">
        <v>245.88714153562</v>
      </c>
      <c r="F84">
        <v>154.39130434782999</v>
      </c>
      <c r="G84">
        <v>123.86864014801</v>
      </c>
      <c r="I84" s="9">
        <f t="shared" si="8"/>
        <v>122.01850138761</v>
      </c>
      <c r="J84" s="9">
        <f t="shared" si="9"/>
        <v>272.07493061979</v>
      </c>
      <c r="K84" s="9">
        <f t="shared" si="10"/>
        <v>122.01850138761</v>
      </c>
      <c r="L84" s="10">
        <f t="shared" si="7"/>
        <v>0.44847388588742954</v>
      </c>
      <c r="M84" s="10">
        <f t="shared" si="11"/>
        <v>0.49979646622867546</v>
      </c>
      <c r="P84" s="8">
        <f t="shared" si="12"/>
        <v>-9.4101495855719079</v>
      </c>
      <c r="U84" s="8">
        <v>150.5</v>
      </c>
      <c r="V84" s="10">
        <f>L302</f>
        <v>0.36375705277132253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434.71309963099998</v>
      </c>
      <c r="E85">
        <v>257.36531365313999</v>
      </c>
      <c r="F85">
        <v>154.36540240517999</v>
      </c>
      <c r="G85">
        <v>123.57816836263</v>
      </c>
      <c r="I85" s="9">
        <f t="shared" si="8"/>
        <v>133.78714529051001</v>
      </c>
      <c r="J85" s="9">
        <f t="shared" si="9"/>
        <v>280.34769722581996</v>
      </c>
      <c r="K85" s="9">
        <f t="shared" si="10"/>
        <v>133.78714529051001</v>
      </c>
      <c r="L85" s="10">
        <f t="shared" si="7"/>
        <v>0.47721863462550407</v>
      </c>
      <c r="M85" s="10">
        <f t="shared" si="11"/>
        <v>0.52916710009286272</v>
      </c>
      <c r="P85" s="8">
        <f t="shared" si="12"/>
        <v>-4.0866198927543129</v>
      </c>
      <c r="U85" s="8">
        <v>151</v>
      </c>
      <c r="V85" s="10">
        <f t="shared" ref="V85:V103" si="13">L303</f>
        <v>0.35583141864705364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435.49354243542001</v>
      </c>
      <c r="E86">
        <v>279.03228782287999</v>
      </c>
      <c r="F86">
        <v>154.21276595744999</v>
      </c>
      <c r="G86">
        <v>123.64569842738</v>
      </c>
      <c r="I86" s="9">
        <f t="shared" si="8"/>
        <v>155.38658939549998</v>
      </c>
      <c r="J86" s="9">
        <f t="shared" si="9"/>
        <v>281.28077647796999</v>
      </c>
      <c r="K86" s="9">
        <f t="shared" si="10"/>
        <v>155.38658939549998</v>
      </c>
      <c r="L86" s="10">
        <f t="shared" si="7"/>
        <v>0.55242520068793222</v>
      </c>
      <c r="M86" s="10">
        <f t="shared" si="11"/>
        <v>0.60499955128140359</v>
      </c>
      <c r="P86" s="8">
        <f t="shared" si="12"/>
        <v>9.6582760277106736</v>
      </c>
      <c r="U86" s="8">
        <v>151.5</v>
      </c>
      <c r="V86" s="10">
        <f t="shared" si="13"/>
        <v>0.35432396341615191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443.54319852941001</v>
      </c>
      <c r="E87">
        <v>293.78308823528999</v>
      </c>
      <c r="F87">
        <v>154.53469010175999</v>
      </c>
      <c r="G87">
        <v>123.90101757632</v>
      </c>
      <c r="I87" s="9">
        <f t="shared" si="8"/>
        <v>169.88207065897001</v>
      </c>
      <c r="J87" s="9">
        <f t="shared" si="9"/>
        <v>289.00850842764999</v>
      </c>
      <c r="K87" s="9">
        <f t="shared" si="10"/>
        <v>169.88207065897001</v>
      </c>
      <c r="L87" s="10">
        <f t="shared" si="7"/>
        <v>0.58780992844540447</v>
      </c>
      <c r="M87" s="10">
        <f t="shared" si="11"/>
        <v>0.64101016416498868</v>
      </c>
      <c r="P87" s="8">
        <f t="shared" si="12"/>
        <v>16.185325046427174</v>
      </c>
      <c r="U87" s="8">
        <v>152</v>
      </c>
      <c r="V87" s="10">
        <f t="shared" si="13"/>
        <v>0.35205841282662903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441.57129629629998</v>
      </c>
      <c r="E88">
        <v>293.17962962963003</v>
      </c>
      <c r="F88">
        <v>153.62719703977999</v>
      </c>
      <c r="G88">
        <v>123.43200740056</v>
      </c>
      <c r="I88" s="9">
        <f t="shared" si="8"/>
        <v>169.74762222907003</v>
      </c>
      <c r="J88" s="9">
        <f t="shared" si="9"/>
        <v>287.94409925651996</v>
      </c>
      <c r="K88" s="9">
        <f t="shared" si="10"/>
        <v>169.74762222907003</v>
      </c>
      <c r="L88" s="10">
        <f t="shared" si="7"/>
        <v>0.58951589099190893</v>
      </c>
      <c r="M88" s="10">
        <f t="shared" si="11"/>
        <v>0.64334201183760586</v>
      </c>
      <c r="P88" s="8">
        <f t="shared" si="12"/>
        <v>16.6079805594715</v>
      </c>
      <c r="U88" s="8">
        <v>152.5</v>
      </c>
      <c r="V88" s="10">
        <f t="shared" si="13"/>
        <v>0.35877074784504198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431.36706531738997</v>
      </c>
      <c r="E89">
        <v>284.46550137995001</v>
      </c>
      <c r="F89">
        <v>153.13135985199</v>
      </c>
      <c r="G89">
        <v>123.26364477336</v>
      </c>
      <c r="I89" s="9">
        <f t="shared" si="8"/>
        <v>161.20185660659001</v>
      </c>
      <c r="J89" s="9">
        <f t="shared" si="9"/>
        <v>278.23570546539997</v>
      </c>
      <c r="K89" s="9">
        <f t="shared" si="10"/>
        <v>161.20185660659001</v>
      </c>
      <c r="L89" s="10">
        <f t="shared" si="7"/>
        <v>0.57937156676908341</v>
      </c>
      <c r="M89" s="10">
        <f t="shared" si="11"/>
        <v>0.63382357274089307</v>
      </c>
      <c r="P89" s="8">
        <f t="shared" si="12"/>
        <v>14.882730318195216</v>
      </c>
      <c r="U89" s="8">
        <v>153</v>
      </c>
      <c r="V89" s="10">
        <f t="shared" si="13"/>
        <v>0.35810149207840342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426.04415823366998</v>
      </c>
      <c r="E90">
        <v>267.71849126034999</v>
      </c>
      <c r="F90">
        <v>153.35337650324001</v>
      </c>
      <c r="G90">
        <v>123.69287696577</v>
      </c>
      <c r="I90" s="9">
        <f t="shared" si="8"/>
        <v>144.02561429458001</v>
      </c>
      <c r="J90" s="9">
        <f t="shared" si="9"/>
        <v>272.69078173042999</v>
      </c>
      <c r="K90" s="9">
        <f t="shared" si="10"/>
        <v>144.02561429458001</v>
      </c>
      <c r="L90" s="10">
        <f t="shared" si="7"/>
        <v>0.52816458767189767</v>
      </c>
      <c r="M90" s="10">
        <f t="shared" si="11"/>
        <v>0.58324247876982016</v>
      </c>
      <c r="P90" s="8">
        <f t="shared" si="12"/>
        <v>5.7147308499054015</v>
      </c>
      <c r="U90" s="8">
        <v>153.5</v>
      </c>
      <c r="V90" s="10">
        <f t="shared" si="13"/>
        <v>0.35126068195274601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422.62685185185001</v>
      </c>
      <c r="E91">
        <v>259.76203703703999</v>
      </c>
      <c r="F91">
        <v>153.68547641072999</v>
      </c>
      <c r="G91">
        <v>123.41535615171</v>
      </c>
      <c r="I91" s="9">
        <f t="shared" si="8"/>
        <v>136.34668088532999</v>
      </c>
      <c r="J91" s="9">
        <f t="shared" si="9"/>
        <v>268.94137544112004</v>
      </c>
      <c r="K91" s="9">
        <f t="shared" si="10"/>
        <v>136.34668088532999</v>
      </c>
      <c r="L91" s="10">
        <f t="shared" si="7"/>
        <v>0.50697547248612429</v>
      </c>
      <c r="M91" s="10">
        <f t="shared" si="11"/>
        <v>0.56267924871015951</v>
      </c>
      <c r="P91" s="8">
        <f t="shared" si="12"/>
        <v>1.9875737749495723</v>
      </c>
      <c r="U91" s="8">
        <v>154</v>
      </c>
      <c r="V91" s="10">
        <f t="shared" si="13"/>
        <v>0.35496793537104587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416.86944444443998</v>
      </c>
      <c r="E92">
        <v>259.68425925925999</v>
      </c>
      <c r="F92">
        <v>153.37095282146001</v>
      </c>
      <c r="G92">
        <v>123.54486586493999</v>
      </c>
      <c r="I92" s="9">
        <f t="shared" si="8"/>
        <v>136.13939339432</v>
      </c>
      <c r="J92" s="9">
        <f t="shared" si="9"/>
        <v>263.49849162297994</v>
      </c>
      <c r="K92" s="9">
        <f t="shared" si="10"/>
        <v>136.13939339432</v>
      </c>
      <c r="L92" s="10">
        <f t="shared" si="7"/>
        <v>0.51666099701667956</v>
      </c>
      <c r="M92" s="10">
        <f t="shared" si="11"/>
        <v>0.5729906583668275</v>
      </c>
      <c r="P92" s="8">
        <f t="shared" si="12"/>
        <v>3.8565526923236164</v>
      </c>
      <c r="U92" s="8">
        <v>154.5</v>
      </c>
      <c r="V92" s="10">
        <f t="shared" si="13"/>
        <v>0.35891194597428266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421.09510618652001</v>
      </c>
      <c r="E93">
        <v>255.40904893813999</v>
      </c>
      <c r="F93">
        <v>152.97502312673001</v>
      </c>
      <c r="G93">
        <v>123.39870490286999</v>
      </c>
      <c r="I93" s="9">
        <f t="shared" si="8"/>
        <v>132.01034403527001</v>
      </c>
      <c r="J93" s="9">
        <f t="shared" si="9"/>
        <v>268.12008305978998</v>
      </c>
      <c r="K93" s="9">
        <f t="shared" si="10"/>
        <v>132.01034403527001</v>
      </c>
      <c r="L93" s="10">
        <f t="shared" si="7"/>
        <v>0.4923553003891622</v>
      </c>
      <c r="M93" s="10">
        <f t="shared" si="11"/>
        <v>0.54931084686542286</v>
      </c>
      <c r="P93" s="8">
        <f t="shared" si="12"/>
        <v>-0.43549562474594411</v>
      </c>
      <c r="U93" s="8">
        <v>155</v>
      </c>
      <c r="V93" s="10">
        <f t="shared" si="13"/>
        <v>0.3554921680567717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405.51061865189001</v>
      </c>
      <c r="E94">
        <v>239.53554939982001</v>
      </c>
      <c r="F94">
        <v>153.07215541165999</v>
      </c>
      <c r="G94">
        <v>122.71322849214</v>
      </c>
      <c r="I94" s="9">
        <f t="shared" si="8"/>
        <v>116.82232090768001</v>
      </c>
      <c r="J94" s="9">
        <f t="shared" si="9"/>
        <v>252.43846324023002</v>
      </c>
      <c r="K94" s="9">
        <f t="shared" si="10"/>
        <v>116.82232090768001</v>
      </c>
      <c r="L94" s="10">
        <f t="shared" si="7"/>
        <v>0.46277544003469651</v>
      </c>
      <c r="M94" s="10">
        <f t="shared" si="11"/>
        <v>0.52035687163707001</v>
      </c>
      <c r="P94" s="8">
        <f t="shared" si="12"/>
        <v>-5.683504488496995</v>
      </c>
      <c r="U94" s="8">
        <v>155.5</v>
      </c>
      <c r="V94" s="10">
        <f t="shared" si="13"/>
        <v>0.35505435012724118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415.39374425022999</v>
      </c>
      <c r="E95">
        <v>249.16835326587</v>
      </c>
      <c r="F95">
        <v>153.20814061055</v>
      </c>
      <c r="G95">
        <v>122.86031452359001</v>
      </c>
      <c r="I95" s="9">
        <f t="shared" si="8"/>
        <v>126.30803874227999</v>
      </c>
      <c r="J95" s="9">
        <f t="shared" si="9"/>
        <v>262.18560363967998</v>
      </c>
      <c r="K95" s="9">
        <f t="shared" si="10"/>
        <v>126.30803874227999</v>
      </c>
      <c r="L95" s="10">
        <f t="shared" si="7"/>
        <v>0.48175047366774693</v>
      </c>
      <c r="M95" s="10">
        <f t="shared" si="11"/>
        <v>0.53995779039623315</v>
      </c>
      <c r="P95" s="8">
        <f t="shared" si="12"/>
        <v>-2.1307696887164713</v>
      </c>
      <c r="U95" s="8">
        <v>156</v>
      </c>
      <c r="V95" s="10">
        <f t="shared" si="13"/>
        <v>0.36240206605525349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429.06163753449999</v>
      </c>
      <c r="E96">
        <v>261.15087396503998</v>
      </c>
      <c r="F96">
        <v>153.90194264569999</v>
      </c>
      <c r="G96">
        <v>123.0138760407</v>
      </c>
      <c r="I96" s="9">
        <f t="shared" si="8"/>
        <v>138.13699792433999</v>
      </c>
      <c r="J96" s="9">
        <f t="shared" si="9"/>
        <v>275.1596948888</v>
      </c>
      <c r="K96" s="9">
        <f t="shared" si="10"/>
        <v>138.13699792433999</v>
      </c>
      <c r="L96" s="10">
        <f t="shared" si="7"/>
        <v>0.50202482591124098</v>
      </c>
      <c r="M96" s="10">
        <f t="shared" si="11"/>
        <v>0.56085802776583993</v>
      </c>
      <c r="P96" s="8">
        <f t="shared" si="12"/>
        <v>1.6574711350440556</v>
      </c>
      <c r="U96" s="8">
        <v>156.5</v>
      </c>
      <c r="V96" s="10">
        <f t="shared" si="13"/>
        <v>0.35702714648495992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424.46075715605002</v>
      </c>
      <c r="E97">
        <v>260.60849492150999</v>
      </c>
      <c r="F97">
        <v>152.92691951896001</v>
      </c>
      <c r="G97">
        <v>123.05550416281</v>
      </c>
      <c r="I97" s="9">
        <f t="shared" si="8"/>
        <v>137.55299075869999</v>
      </c>
      <c r="J97" s="9">
        <f t="shared" si="9"/>
        <v>271.53383763709002</v>
      </c>
      <c r="K97" s="9">
        <f t="shared" si="10"/>
        <v>137.55299075869999</v>
      </c>
      <c r="L97" s="10">
        <f t="shared" si="7"/>
        <v>0.50657771405471053</v>
      </c>
      <c r="M97" s="10">
        <f t="shared" si="11"/>
        <v>0.56603680103542231</v>
      </c>
      <c r="P97" s="8">
        <f t="shared" si="12"/>
        <v>2.5961418290602389</v>
      </c>
      <c r="U97" s="8">
        <v>157</v>
      </c>
      <c r="V97" s="10">
        <f t="shared" si="13"/>
        <v>0.35707499073018534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406.51892890120001</v>
      </c>
      <c r="E98">
        <v>242.12465373961001</v>
      </c>
      <c r="F98">
        <v>153.24051803885001</v>
      </c>
      <c r="G98">
        <v>123.11933395005001</v>
      </c>
      <c r="I98" s="9">
        <f t="shared" si="8"/>
        <v>119.00531978956001</v>
      </c>
      <c r="J98" s="9">
        <f t="shared" si="9"/>
        <v>253.27841086235</v>
      </c>
      <c r="K98" s="9">
        <f t="shared" si="10"/>
        <v>119.00531978956001</v>
      </c>
      <c r="L98" s="10">
        <f t="shared" si="7"/>
        <v>0.46985970649601161</v>
      </c>
      <c r="M98" s="10">
        <f t="shared" si="11"/>
        <v>0.52994467860283612</v>
      </c>
      <c r="P98" s="8">
        <f t="shared" si="12"/>
        <v>-3.9456810793299408</v>
      </c>
      <c r="U98" s="8">
        <v>157.5</v>
      </c>
      <c r="V98" s="10">
        <f t="shared" si="13"/>
        <v>0.3526730217576155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408.30527289547001</v>
      </c>
      <c r="E99">
        <v>234.06105457909001</v>
      </c>
      <c r="F99">
        <v>153.33765032376999</v>
      </c>
      <c r="G99">
        <v>122.98519888992</v>
      </c>
      <c r="I99" s="9">
        <f t="shared" si="8"/>
        <v>111.07585568917001</v>
      </c>
      <c r="J99" s="9">
        <f t="shared" si="9"/>
        <v>254.96762257170002</v>
      </c>
      <c r="K99" s="9">
        <f t="shared" si="10"/>
        <v>111.07585568917001</v>
      </c>
      <c r="L99" s="10">
        <f t="shared" si="7"/>
        <v>0.43564690515923887</v>
      </c>
      <c r="M99" s="10">
        <f t="shared" si="11"/>
        <v>0.49635776239217611</v>
      </c>
      <c r="P99" s="8">
        <f t="shared" si="12"/>
        <v>-10.033426633764297</v>
      </c>
      <c r="U99" s="8">
        <v>158</v>
      </c>
      <c r="V99" s="10">
        <f t="shared" si="13"/>
        <v>0.35370069715550151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404.60962072155002</v>
      </c>
      <c r="E100">
        <v>232.69565217390999</v>
      </c>
      <c r="F100">
        <v>152.77983348750999</v>
      </c>
      <c r="G100">
        <v>122.73358001850001</v>
      </c>
      <c r="I100" s="9">
        <f t="shared" si="8"/>
        <v>109.96207215540998</v>
      </c>
      <c r="J100" s="9">
        <f t="shared" si="9"/>
        <v>251.82978723404003</v>
      </c>
      <c r="K100" s="9">
        <f t="shared" si="10"/>
        <v>109.96207215540998</v>
      </c>
      <c r="L100" s="10">
        <f t="shared" si="7"/>
        <v>0.43665236492939519</v>
      </c>
      <c r="M100" s="10">
        <f t="shared" si="11"/>
        <v>0.4979891072884452</v>
      </c>
      <c r="P100" s="8">
        <f t="shared" si="12"/>
        <v>-9.7377396889515637</v>
      </c>
      <c r="U100" s="8">
        <v>158.5</v>
      </c>
      <c r="V100" s="10">
        <f t="shared" si="13"/>
        <v>0.36822813189377962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401.83441258094001</v>
      </c>
      <c r="E101">
        <v>226.55781683626</v>
      </c>
      <c r="F101">
        <v>152.40055504163001</v>
      </c>
      <c r="G101">
        <v>122.99629972248</v>
      </c>
      <c r="I101" s="9">
        <f t="shared" si="8"/>
        <v>103.56151711378</v>
      </c>
      <c r="J101" s="9">
        <f t="shared" si="9"/>
        <v>249.43385753931</v>
      </c>
      <c r="K101" s="9">
        <f t="shared" si="10"/>
        <v>103.56151711378</v>
      </c>
      <c r="L101" s="10">
        <f t="shared" si="7"/>
        <v>0.41518628679933328</v>
      </c>
      <c r="M101" s="10">
        <f t="shared" si="11"/>
        <v>0.47714891428449602</v>
      </c>
      <c r="P101" s="8">
        <f t="shared" si="12"/>
        <v>-13.515097262287783</v>
      </c>
      <c r="U101" s="8">
        <v>159</v>
      </c>
      <c r="V101" s="10">
        <f t="shared" si="13"/>
        <v>0.36660475021239852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396.01757631821999</v>
      </c>
      <c r="E102">
        <v>222.55041628122001</v>
      </c>
      <c r="F102">
        <v>153.75763182239001</v>
      </c>
      <c r="G102">
        <v>122.77520814061</v>
      </c>
      <c r="I102" s="9">
        <f t="shared" si="8"/>
        <v>99.775208140610005</v>
      </c>
      <c r="J102" s="9">
        <f t="shared" si="9"/>
        <v>242.25994449582998</v>
      </c>
      <c r="K102" s="9">
        <f t="shared" si="10"/>
        <v>99.775208140610005</v>
      </c>
      <c r="L102" s="10">
        <f t="shared" si="7"/>
        <v>0.41185185750889758</v>
      </c>
      <c r="M102" s="10">
        <f t="shared" si="11"/>
        <v>0.47444037012017309</v>
      </c>
      <c r="P102" s="8">
        <f t="shared" si="12"/>
        <v>-14.00603032657764</v>
      </c>
      <c r="U102" s="8">
        <v>159.5</v>
      </c>
      <c r="V102" s="10">
        <f t="shared" si="13"/>
        <v>0.3619239632182078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397.20074005549998</v>
      </c>
      <c r="E103">
        <v>231.55689176688</v>
      </c>
      <c r="F103">
        <v>152.65217391304</v>
      </c>
      <c r="G103">
        <v>122.49306197964999</v>
      </c>
      <c r="I103" s="9">
        <f t="shared" si="8"/>
        <v>109.06382978723001</v>
      </c>
      <c r="J103" s="9">
        <f t="shared" si="9"/>
        <v>244.54856614245998</v>
      </c>
      <c r="K103" s="9">
        <f t="shared" si="10"/>
        <v>109.06382978723001</v>
      </c>
      <c r="L103" s="10">
        <f t="shared" si="7"/>
        <v>0.44598024640919659</v>
      </c>
      <c r="M103" s="10">
        <f t="shared" si="11"/>
        <v>0.50919464414658488</v>
      </c>
      <c r="P103" s="8">
        <f t="shared" si="12"/>
        <v>-7.7066971018521491</v>
      </c>
      <c r="U103" s="8">
        <v>160</v>
      </c>
      <c r="V103" s="10">
        <f t="shared" si="13"/>
        <v>0.37187285910794809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396.73728029602</v>
      </c>
      <c r="E104">
        <v>229.75115633672999</v>
      </c>
      <c r="F104">
        <v>152.38390379277999</v>
      </c>
      <c r="G104">
        <v>122.23589269195</v>
      </c>
      <c r="I104" s="9">
        <f t="shared" si="8"/>
        <v>107.51526364477999</v>
      </c>
      <c r="J104" s="9">
        <f t="shared" si="9"/>
        <v>244.35337650324001</v>
      </c>
      <c r="K104" s="9">
        <f t="shared" si="10"/>
        <v>107.51526364477999</v>
      </c>
      <c r="L104" s="10">
        <f t="shared" si="7"/>
        <v>0.43999909141159088</v>
      </c>
      <c r="M104" s="10">
        <f t="shared" si="11"/>
        <v>0.50383937427509196</v>
      </c>
      <c r="P104" s="8">
        <f t="shared" si="12"/>
        <v>-8.6773584197444436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395.5282146161</v>
      </c>
      <c r="E105">
        <v>226.67437557816999</v>
      </c>
      <c r="F105">
        <v>152.90749306198001</v>
      </c>
      <c r="G105">
        <v>122.66327474561</v>
      </c>
      <c r="I105" s="9">
        <f t="shared" si="8"/>
        <v>104.01110083255999</v>
      </c>
      <c r="J105" s="9">
        <f t="shared" si="9"/>
        <v>242.62072155412</v>
      </c>
      <c r="K105" s="9">
        <f t="shared" si="10"/>
        <v>104.01110083255999</v>
      </c>
      <c r="L105" s="10">
        <f t="shared" si="7"/>
        <v>0.42869834104157023</v>
      </c>
      <c r="M105" s="10">
        <f t="shared" si="11"/>
        <v>0.49316450903118403</v>
      </c>
      <c r="P105" s="8">
        <f t="shared" si="12"/>
        <v>-10.612214928308356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396.17527675277</v>
      </c>
      <c r="E106">
        <v>224.25553505535001</v>
      </c>
      <c r="F106">
        <v>152.72617946346</v>
      </c>
      <c r="G106">
        <v>122.73265494912</v>
      </c>
      <c r="I106" s="9">
        <f t="shared" si="8"/>
        <v>101.52288010623001</v>
      </c>
      <c r="J106" s="9">
        <f t="shared" si="9"/>
        <v>243.44909728931</v>
      </c>
      <c r="K106" s="9">
        <f t="shared" si="10"/>
        <v>101.52288010623001</v>
      </c>
      <c r="L106" s="10">
        <f t="shared" si="7"/>
        <v>0.417018921970297</v>
      </c>
      <c r="M106" s="10">
        <f t="shared" si="11"/>
        <v>0.48211097508602352</v>
      </c>
      <c r="P106" s="8">
        <f t="shared" si="12"/>
        <v>-12.615706457967841</v>
      </c>
      <c r="X106" s="8">
        <v>-13</v>
      </c>
    </row>
    <row r="107" spans="1:25" x14ac:dyDescent="0.2">
      <c r="A107" s="8">
        <v>52.5</v>
      </c>
      <c r="B107" s="8">
        <v>105</v>
      </c>
      <c r="D107">
        <v>393.52306273062999</v>
      </c>
      <c r="E107">
        <v>217.50830258303</v>
      </c>
      <c r="F107">
        <v>152.55226641997999</v>
      </c>
      <c r="G107">
        <v>122.35060129510001</v>
      </c>
      <c r="I107" s="9">
        <f t="shared" si="8"/>
        <v>95.157701287929996</v>
      </c>
      <c r="J107" s="9">
        <f t="shared" si="9"/>
        <v>240.97079631065</v>
      </c>
      <c r="K107" s="9">
        <f t="shared" si="10"/>
        <v>95.157701287929996</v>
      </c>
      <c r="L107" s="10">
        <f t="shared" si="7"/>
        <v>0.39489308557231334</v>
      </c>
      <c r="M107" s="10">
        <f t="shared" si="11"/>
        <v>0.46061102381415264</v>
      </c>
      <c r="P107" s="8">
        <f t="shared" si="12"/>
        <v>-16.512647515460515</v>
      </c>
      <c r="X107" s="8">
        <v>-13</v>
      </c>
    </row>
    <row r="108" spans="1:25" x14ac:dyDescent="0.2">
      <c r="A108" s="8">
        <v>53</v>
      </c>
      <c r="B108" s="8">
        <v>106</v>
      </c>
      <c r="D108">
        <v>394.99446494465002</v>
      </c>
      <c r="E108">
        <v>220.15129151292001</v>
      </c>
      <c r="F108">
        <v>152.58464384829</v>
      </c>
      <c r="G108">
        <v>122.45698427382</v>
      </c>
      <c r="I108" s="9">
        <f t="shared" si="8"/>
        <v>97.694307239100013</v>
      </c>
      <c r="J108" s="9">
        <f t="shared" si="9"/>
        <v>242.40982109636002</v>
      </c>
      <c r="K108" s="9">
        <f t="shared" si="10"/>
        <v>97.694307239100013</v>
      </c>
      <c r="L108" s="10">
        <f t="shared" si="7"/>
        <v>0.40301299178908134</v>
      </c>
      <c r="M108" s="10">
        <f t="shared" si="11"/>
        <v>0.46935681515703337</v>
      </c>
      <c r="P108" s="8">
        <f t="shared" si="12"/>
        <v>-14.927442370882984</v>
      </c>
      <c r="X108" s="8">
        <v>-13</v>
      </c>
    </row>
    <row r="109" spans="1:25" x14ac:dyDescent="0.2">
      <c r="A109" s="8">
        <v>53.5</v>
      </c>
      <c r="B109" s="8">
        <v>107</v>
      </c>
      <c r="D109">
        <v>393.16605166052</v>
      </c>
      <c r="E109">
        <v>219.83948339483001</v>
      </c>
      <c r="F109">
        <v>152.62812210915999</v>
      </c>
      <c r="G109">
        <v>122.84088806661001</v>
      </c>
      <c r="I109" s="9">
        <f t="shared" si="8"/>
        <v>96.998595328220006</v>
      </c>
      <c r="J109" s="9">
        <f t="shared" si="9"/>
        <v>240.53792955136001</v>
      </c>
      <c r="K109" s="9">
        <f t="shared" si="10"/>
        <v>96.998595328220006</v>
      </c>
      <c r="L109" s="10">
        <f t="shared" si="7"/>
        <v>0.40325696454250359</v>
      </c>
      <c r="M109" s="10">
        <f t="shared" si="11"/>
        <v>0.4702266730365684</v>
      </c>
      <c r="P109" s="8">
        <f t="shared" si="12"/>
        <v>-14.769777600294479</v>
      </c>
      <c r="X109" s="8">
        <v>-13</v>
      </c>
    </row>
    <row r="110" spans="1:25" x14ac:dyDescent="0.2">
      <c r="A110" s="8">
        <v>54</v>
      </c>
      <c r="B110" s="8">
        <v>108</v>
      </c>
      <c r="D110">
        <v>391.20940959410001</v>
      </c>
      <c r="E110">
        <v>216.97693726937001</v>
      </c>
      <c r="F110">
        <v>152.88251618871001</v>
      </c>
      <c r="G110">
        <v>122.64107308048</v>
      </c>
      <c r="I110" s="9">
        <f t="shared" si="8"/>
        <v>94.335864188890014</v>
      </c>
      <c r="J110" s="9">
        <f t="shared" si="9"/>
        <v>238.32689340539</v>
      </c>
      <c r="K110" s="9">
        <f t="shared" si="10"/>
        <v>94.335864188890014</v>
      </c>
      <c r="L110" s="10">
        <f t="shared" si="7"/>
        <v>0.39582551025169582</v>
      </c>
      <c r="M110" s="10">
        <f t="shared" si="11"/>
        <v>0.46342110387187335</v>
      </c>
      <c r="P110" s="8">
        <f t="shared" si="12"/>
        <v>-16.003310716818536</v>
      </c>
      <c r="X110" s="8">
        <v>-13</v>
      </c>
    </row>
    <row r="111" spans="1:25" x14ac:dyDescent="0.2">
      <c r="A111" s="8">
        <v>54.5</v>
      </c>
      <c r="B111" s="8">
        <v>109</v>
      </c>
      <c r="D111">
        <v>395.62730627306001</v>
      </c>
      <c r="E111">
        <v>215.78044280443001</v>
      </c>
      <c r="F111">
        <v>152.32932469935</v>
      </c>
      <c r="G111">
        <v>121.78538390379001</v>
      </c>
      <c r="I111" s="9">
        <f t="shared" si="8"/>
        <v>93.995058900640004</v>
      </c>
      <c r="J111" s="9">
        <f t="shared" si="9"/>
        <v>243.29798157371002</v>
      </c>
      <c r="K111" s="9">
        <f t="shared" si="10"/>
        <v>93.995058900640004</v>
      </c>
      <c r="L111" s="10">
        <f t="shared" si="7"/>
        <v>0.38633719150753859</v>
      </c>
      <c r="M111" s="10">
        <f t="shared" si="11"/>
        <v>0.4545586702538289</v>
      </c>
      <c r="P111" s="8">
        <f t="shared" si="12"/>
        <v>-17.609657680062398</v>
      </c>
      <c r="X111" s="8">
        <v>-13</v>
      </c>
    </row>
    <row r="112" spans="1:25" x14ac:dyDescent="0.2">
      <c r="A112" s="8">
        <v>55</v>
      </c>
      <c r="B112" s="8">
        <v>110</v>
      </c>
      <c r="D112">
        <v>391.72785977860002</v>
      </c>
      <c r="E112">
        <v>212.03413284133001</v>
      </c>
      <c r="F112">
        <v>152.17853839038</v>
      </c>
      <c r="G112">
        <v>122.29232192414</v>
      </c>
      <c r="I112" s="9">
        <f t="shared" si="8"/>
        <v>89.741810917190008</v>
      </c>
      <c r="J112" s="9">
        <f t="shared" si="9"/>
        <v>239.54932138822002</v>
      </c>
      <c r="K112" s="9">
        <f t="shared" si="10"/>
        <v>89.741810917190008</v>
      </c>
      <c r="L112" s="10">
        <f t="shared" si="7"/>
        <v>0.37462769836760268</v>
      </c>
      <c r="M112" s="10">
        <f t="shared" si="11"/>
        <v>0.44347506224000577</v>
      </c>
      <c r="P112" s="8">
        <f t="shared" si="12"/>
        <v>-19.618600239422147</v>
      </c>
      <c r="X112" s="8">
        <v>-13</v>
      </c>
    </row>
    <row r="113" spans="1:24" x14ac:dyDescent="0.2">
      <c r="A113" s="8">
        <v>55.5</v>
      </c>
      <c r="B113" s="8">
        <v>111</v>
      </c>
      <c r="D113">
        <v>389.00276752768002</v>
      </c>
      <c r="E113">
        <v>207.94464944648999</v>
      </c>
      <c r="F113">
        <v>152.43108233117999</v>
      </c>
      <c r="G113">
        <v>122.17668825162001</v>
      </c>
      <c r="I113" s="9">
        <f t="shared" si="8"/>
        <v>85.767961194869983</v>
      </c>
      <c r="J113" s="9">
        <f t="shared" si="9"/>
        <v>236.57168519650003</v>
      </c>
      <c r="K113" s="9">
        <f t="shared" si="10"/>
        <v>85.767961194869983</v>
      </c>
      <c r="L113" s="10">
        <f t="shared" si="7"/>
        <v>0.36254533641094799</v>
      </c>
      <c r="M113" s="10">
        <f t="shared" si="11"/>
        <v>0.43201858540946381</v>
      </c>
      <c r="P113" s="8">
        <f t="shared" si="12"/>
        <v>-21.695126570603342</v>
      </c>
      <c r="X113" s="8">
        <v>-13</v>
      </c>
    </row>
    <row r="114" spans="1:24" x14ac:dyDescent="0.2">
      <c r="A114" s="8">
        <v>56</v>
      </c>
      <c r="B114" s="8">
        <v>112</v>
      </c>
      <c r="D114">
        <v>389.55442804427997</v>
      </c>
      <c r="E114">
        <v>211.31918819187999</v>
      </c>
      <c r="F114">
        <v>152.27567067530001</v>
      </c>
      <c r="G114">
        <v>122.42090656799</v>
      </c>
      <c r="I114" s="9">
        <f t="shared" si="8"/>
        <v>88.898281623889986</v>
      </c>
      <c r="J114" s="9">
        <f t="shared" si="9"/>
        <v>237.27875736897997</v>
      </c>
      <c r="K114" s="9">
        <f t="shared" si="10"/>
        <v>88.898281623889986</v>
      </c>
      <c r="L114" s="10">
        <f t="shared" si="7"/>
        <v>0.37465756568190745</v>
      </c>
      <c r="M114" s="10">
        <f t="shared" si="11"/>
        <v>0.44475669980653598</v>
      </c>
      <c r="P114" s="8">
        <f t="shared" si="12"/>
        <v>-19.386298966238748</v>
      </c>
      <c r="X114" s="8">
        <v>-13</v>
      </c>
    </row>
    <row r="115" spans="1:24" x14ac:dyDescent="0.2">
      <c r="A115" s="8">
        <v>56.5</v>
      </c>
      <c r="B115" s="8">
        <v>113</v>
      </c>
      <c r="D115">
        <v>393.85055350554001</v>
      </c>
      <c r="E115">
        <v>216.42896678967</v>
      </c>
      <c r="F115">
        <v>152.9814986124</v>
      </c>
      <c r="G115">
        <v>122.23034227567</v>
      </c>
      <c r="I115" s="9">
        <f t="shared" si="8"/>
        <v>94.198624514000002</v>
      </c>
      <c r="J115" s="9">
        <f t="shared" si="9"/>
        <v>240.86905489314</v>
      </c>
      <c r="K115" s="9">
        <f t="shared" si="10"/>
        <v>94.198624514000002</v>
      </c>
      <c r="L115" s="10">
        <f t="shared" si="7"/>
        <v>0.39107815055690992</v>
      </c>
      <c r="M115" s="10">
        <f t="shared" si="11"/>
        <v>0.46180316980765124</v>
      </c>
      <c r="P115" s="8">
        <f t="shared" si="12"/>
        <v>-16.296566901609623</v>
      </c>
      <c r="X115" s="8">
        <v>-13</v>
      </c>
    </row>
    <row r="116" spans="1:24" x14ac:dyDescent="0.2">
      <c r="A116" s="8">
        <v>57</v>
      </c>
      <c r="B116" s="8">
        <v>114</v>
      </c>
      <c r="D116">
        <v>393.44188191882</v>
      </c>
      <c r="E116">
        <v>214.98062730627001</v>
      </c>
      <c r="F116">
        <v>151.57539315449</v>
      </c>
      <c r="G116">
        <v>122.13506012950999</v>
      </c>
      <c r="I116" s="9">
        <f t="shared" si="8"/>
        <v>92.845567176760014</v>
      </c>
      <c r="J116" s="9">
        <f t="shared" si="9"/>
        <v>241.86648876433</v>
      </c>
      <c r="K116" s="9">
        <f t="shared" si="10"/>
        <v>92.845567176760014</v>
      </c>
      <c r="L116" s="10">
        <f t="shared" si="7"/>
        <v>0.38387114995176919</v>
      </c>
      <c r="M116" s="10">
        <f t="shared" si="11"/>
        <v>0.45522205432862328</v>
      </c>
      <c r="P116" s="8">
        <f t="shared" si="12"/>
        <v>-17.489417005780716</v>
      </c>
      <c r="X116" s="8">
        <v>-13</v>
      </c>
    </row>
    <row r="117" spans="1:24" x14ac:dyDescent="0.2">
      <c r="A117" s="8">
        <v>57.5</v>
      </c>
      <c r="B117" s="8">
        <v>115</v>
      </c>
      <c r="D117">
        <v>392.18542435424001</v>
      </c>
      <c r="E117">
        <v>210.90498154982001</v>
      </c>
      <c r="F117">
        <v>152.46160962072</v>
      </c>
      <c r="G117">
        <v>122.0888066605</v>
      </c>
      <c r="I117" s="9">
        <f t="shared" si="8"/>
        <v>88.81617488932001</v>
      </c>
      <c r="J117" s="9">
        <f t="shared" si="9"/>
        <v>239.72381473352002</v>
      </c>
      <c r="K117" s="9">
        <f t="shared" si="10"/>
        <v>88.81617488932001</v>
      </c>
      <c r="L117" s="10">
        <f t="shared" si="7"/>
        <v>0.37049374918403155</v>
      </c>
      <c r="M117" s="10">
        <f t="shared" si="11"/>
        <v>0.44247053868699837</v>
      </c>
      <c r="P117" s="8">
        <f t="shared" si="12"/>
        <v>-19.80067363240023</v>
      </c>
      <c r="X117" s="8">
        <v>-13</v>
      </c>
    </row>
    <row r="118" spans="1:24" x14ac:dyDescent="0.2">
      <c r="A118" s="8">
        <v>58</v>
      </c>
      <c r="B118" s="8">
        <v>116</v>
      </c>
      <c r="D118">
        <v>391.47047970480003</v>
      </c>
      <c r="E118">
        <v>208.88653136530999</v>
      </c>
      <c r="F118">
        <v>152.00647548565999</v>
      </c>
      <c r="G118">
        <v>122.3644773358</v>
      </c>
      <c r="I118" s="9">
        <f t="shared" si="8"/>
        <v>86.522054029509988</v>
      </c>
      <c r="J118" s="9">
        <f t="shared" si="9"/>
        <v>239.46400421914004</v>
      </c>
      <c r="K118" s="9">
        <f t="shared" si="10"/>
        <v>86.522054029509988</v>
      </c>
      <c r="L118" s="10">
        <f t="shared" si="7"/>
        <v>0.36131549003219415</v>
      </c>
      <c r="M118" s="10">
        <f t="shared" si="11"/>
        <v>0.43391816466127375</v>
      </c>
      <c r="P118" s="8">
        <f t="shared" si="12"/>
        <v>-21.350821214524494</v>
      </c>
      <c r="X118" s="8">
        <v>-13</v>
      </c>
    </row>
    <row r="119" spans="1:24" x14ac:dyDescent="0.2">
      <c r="A119" s="8">
        <v>58.5</v>
      </c>
      <c r="B119" s="8">
        <v>117</v>
      </c>
      <c r="D119">
        <v>384.51291512914997</v>
      </c>
      <c r="E119">
        <v>203.54797047970999</v>
      </c>
      <c r="F119">
        <v>152.18871415356</v>
      </c>
      <c r="G119">
        <v>122.5652173913</v>
      </c>
      <c r="I119" s="9">
        <f t="shared" si="8"/>
        <v>80.982753088409993</v>
      </c>
      <c r="J119" s="9">
        <f t="shared" si="9"/>
        <v>232.32420097558997</v>
      </c>
      <c r="K119" s="9">
        <f t="shared" si="10"/>
        <v>80.982753088409993</v>
      </c>
      <c r="L119" s="10">
        <f t="shared" si="7"/>
        <v>0.34857648384603185</v>
      </c>
      <c r="M119" s="10">
        <f t="shared" si="11"/>
        <v>0.42180504360122417</v>
      </c>
      <c r="P119" s="8">
        <f t="shared" si="12"/>
        <v>-23.546366599552652</v>
      </c>
      <c r="X119" s="8">
        <v>-13</v>
      </c>
    </row>
    <row r="120" spans="1:24" x14ac:dyDescent="0.2">
      <c r="A120" s="8">
        <v>59</v>
      </c>
      <c r="B120" s="8">
        <v>118</v>
      </c>
      <c r="D120">
        <v>388.28676470587999</v>
      </c>
      <c r="E120">
        <v>207.35845588235</v>
      </c>
      <c r="F120">
        <v>152.22756706753</v>
      </c>
      <c r="G120">
        <v>122.15818686402</v>
      </c>
      <c r="I120" s="9">
        <f t="shared" si="8"/>
        <v>85.200269018330005</v>
      </c>
      <c r="J120" s="9">
        <f t="shared" si="9"/>
        <v>236.05919763834999</v>
      </c>
      <c r="K120" s="9">
        <f t="shared" si="10"/>
        <v>85.200269018330005</v>
      </c>
      <c r="L120" s="10">
        <f t="shared" si="7"/>
        <v>0.3609275549129819</v>
      </c>
      <c r="M120" s="10">
        <f t="shared" si="11"/>
        <v>0.434781999794287</v>
      </c>
      <c r="P120" s="8">
        <f t="shared" si="12"/>
        <v>-21.194248087721725</v>
      </c>
      <c r="X120" s="8">
        <v>-13</v>
      </c>
    </row>
    <row r="121" spans="1:24" x14ac:dyDescent="0.2">
      <c r="A121" s="8">
        <v>59.5</v>
      </c>
      <c r="B121" s="8">
        <v>119</v>
      </c>
      <c r="D121">
        <v>398.81742354032002</v>
      </c>
      <c r="E121">
        <v>211.41149212234001</v>
      </c>
      <c r="F121">
        <v>152.24514338575</v>
      </c>
      <c r="G121">
        <v>122.15356151711001</v>
      </c>
      <c r="I121" s="9">
        <f t="shared" si="8"/>
        <v>89.257930605230001</v>
      </c>
      <c r="J121" s="9">
        <f t="shared" si="9"/>
        <v>246.57228015457002</v>
      </c>
      <c r="K121" s="9">
        <f t="shared" si="10"/>
        <v>89.257930605230001</v>
      </c>
      <c r="L121" s="10">
        <f t="shared" si="7"/>
        <v>0.36199499209431174</v>
      </c>
      <c r="M121" s="10">
        <f t="shared" si="11"/>
        <v>0.43647532210172957</v>
      </c>
      <c r="P121" s="8">
        <f t="shared" si="12"/>
        <v>-20.887327521251674</v>
      </c>
      <c r="X121" s="8">
        <v>-13</v>
      </c>
    </row>
    <row r="122" spans="1:24" x14ac:dyDescent="0.2">
      <c r="A122" s="8">
        <v>60</v>
      </c>
      <c r="B122" s="8">
        <v>120</v>
      </c>
      <c r="D122">
        <v>403.38368860055999</v>
      </c>
      <c r="E122">
        <v>215.77849860981999</v>
      </c>
      <c r="F122">
        <v>151.91119333949999</v>
      </c>
      <c r="G122">
        <v>121.96022201664999</v>
      </c>
      <c r="I122" s="9">
        <f t="shared" si="8"/>
        <v>93.818276593169998</v>
      </c>
      <c r="J122" s="9">
        <f t="shared" si="9"/>
        <v>251.47249526106</v>
      </c>
      <c r="K122" s="9">
        <f t="shared" si="10"/>
        <v>93.818276593169998</v>
      </c>
      <c r="L122" s="10">
        <f t="shared" si="7"/>
        <v>0.37307569758583281</v>
      </c>
      <c r="M122" s="10">
        <f t="shared" si="11"/>
        <v>0.44818191271936342</v>
      </c>
      <c r="P122" s="8">
        <f t="shared" si="12"/>
        <v>-18.765467194954006</v>
      </c>
      <c r="X122" s="8">
        <v>-13</v>
      </c>
    </row>
    <row r="123" spans="1:24" x14ac:dyDescent="0.2">
      <c r="A123" s="8">
        <v>60.5</v>
      </c>
      <c r="B123" s="8">
        <v>121</v>
      </c>
      <c r="D123">
        <v>398.61545538179001</v>
      </c>
      <c r="E123">
        <v>215.40938362465999</v>
      </c>
      <c r="F123">
        <v>150.84551341350999</v>
      </c>
      <c r="G123">
        <v>121.87511563367001</v>
      </c>
      <c r="I123" s="9">
        <f t="shared" si="8"/>
        <v>93.534267990989989</v>
      </c>
      <c r="J123" s="9">
        <f t="shared" si="9"/>
        <v>247.76994196828002</v>
      </c>
      <c r="K123" s="9">
        <f t="shared" si="10"/>
        <v>93.534267990989989</v>
      </c>
      <c r="L123" s="10">
        <f t="shared" si="7"/>
        <v>0.37750449973049766</v>
      </c>
      <c r="M123" s="10">
        <f t="shared" si="11"/>
        <v>0.45323659999014099</v>
      </c>
      <c r="P123" s="8">
        <f t="shared" si="12"/>
        <v>-17.84928752044237</v>
      </c>
      <c r="X123" s="8">
        <v>-13</v>
      </c>
    </row>
    <row r="124" spans="1:24" x14ac:dyDescent="0.2">
      <c r="A124" s="8">
        <v>61</v>
      </c>
      <c r="B124" s="8">
        <v>122</v>
      </c>
      <c r="D124">
        <v>389.97332106715999</v>
      </c>
      <c r="E124">
        <v>209.09567617294999</v>
      </c>
      <c r="F124">
        <v>151.30434782609001</v>
      </c>
      <c r="G124">
        <v>121.81776133210001</v>
      </c>
      <c r="I124" s="9">
        <f t="shared" si="8"/>
        <v>87.277914840849988</v>
      </c>
      <c r="J124" s="9">
        <f t="shared" si="9"/>
        <v>238.66897324106998</v>
      </c>
      <c r="K124" s="9">
        <f t="shared" si="10"/>
        <v>87.277914840849988</v>
      </c>
      <c r="L124" s="10">
        <f t="shared" si="7"/>
        <v>0.36568605317916231</v>
      </c>
      <c r="M124" s="10">
        <f t="shared" si="11"/>
        <v>0.44204403856491842</v>
      </c>
      <c r="P124" s="8">
        <f t="shared" si="12"/>
        <v>-19.877978265129027</v>
      </c>
      <c r="X124" s="8">
        <v>-13</v>
      </c>
    </row>
    <row r="125" spans="1:24" x14ac:dyDescent="0.2">
      <c r="A125" s="8">
        <v>61.5</v>
      </c>
      <c r="B125" s="8">
        <v>123</v>
      </c>
      <c r="D125">
        <v>398.54520295203002</v>
      </c>
      <c r="E125">
        <v>212.44095940958999</v>
      </c>
      <c r="F125">
        <v>151.36262719704001</v>
      </c>
      <c r="G125">
        <v>122.19703977798</v>
      </c>
      <c r="I125" s="9">
        <f t="shared" si="8"/>
        <v>90.243919631609998</v>
      </c>
      <c r="J125" s="9">
        <f t="shared" si="9"/>
        <v>247.18257575499001</v>
      </c>
      <c r="K125" s="9">
        <f t="shared" si="10"/>
        <v>90.243919631609998</v>
      </c>
      <c r="L125" s="10">
        <f t="shared" si="7"/>
        <v>0.36509013370368276</v>
      </c>
      <c r="M125" s="10">
        <f t="shared" si="11"/>
        <v>0.44207400421555165</v>
      </c>
      <c r="P125" s="8">
        <f t="shared" si="12"/>
        <v>-19.872546886574234</v>
      </c>
      <c r="X125" s="8">
        <v>-13</v>
      </c>
    </row>
    <row r="126" spans="1:24" x14ac:dyDescent="0.2">
      <c r="A126" s="8">
        <v>62</v>
      </c>
      <c r="B126" s="8">
        <v>124</v>
      </c>
      <c r="D126">
        <v>397.78690036900002</v>
      </c>
      <c r="E126">
        <v>218.58763837638</v>
      </c>
      <c r="F126">
        <v>151.6401480111</v>
      </c>
      <c r="G126">
        <v>121.93432007401</v>
      </c>
      <c r="I126" s="9">
        <f t="shared" si="8"/>
        <v>96.653318302369996</v>
      </c>
      <c r="J126" s="9">
        <f t="shared" si="9"/>
        <v>246.14675235790003</v>
      </c>
      <c r="K126" s="9">
        <f t="shared" si="10"/>
        <v>96.653318302369996</v>
      </c>
      <c r="L126" s="10">
        <f t="shared" si="7"/>
        <v>0.39266542164990675</v>
      </c>
      <c r="M126" s="10">
        <f t="shared" si="11"/>
        <v>0.47027517728788837</v>
      </c>
      <c r="P126" s="8">
        <f t="shared" si="12"/>
        <v>-14.760986035790841</v>
      </c>
      <c r="X126" s="8">
        <v>-13</v>
      </c>
    </row>
    <row r="127" spans="1:24" x14ac:dyDescent="0.2">
      <c r="A127" s="8">
        <v>62.5</v>
      </c>
      <c r="B127" s="8">
        <v>125</v>
      </c>
      <c r="D127">
        <v>396.05073800738001</v>
      </c>
      <c r="E127">
        <v>214.35424354244</v>
      </c>
      <c r="F127">
        <v>151.11008325623999</v>
      </c>
      <c r="G127">
        <v>122.03885291397</v>
      </c>
      <c r="I127" s="9">
        <f t="shared" si="8"/>
        <v>92.315390628469999</v>
      </c>
      <c r="J127" s="9">
        <f t="shared" si="9"/>
        <v>244.94065475114002</v>
      </c>
      <c r="K127" s="9">
        <f t="shared" si="10"/>
        <v>92.315390628469999</v>
      </c>
      <c r="L127" s="10">
        <f t="shared" si="7"/>
        <v>0.3768888048505567</v>
      </c>
      <c r="M127" s="10">
        <f t="shared" si="11"/>
        <v>0.4551244456146511</v>
      </c>
      <c r="P127" s="8">
        <f t="shared" si="12"/>
        <v>-17.507108925182642</v>
      </c>
      <c r="X127" s="8">
        <v>-13</v>
      </c>
    </row>
    <row r="128" spans="1:24" x14ac:dyDescent="0.2">
      <c r="A128" s="8">
        <v>63</v>
      </c>
      <c r="B128" s="8">
        <v>126</v>
      </c>
      <c r="D128">
        <v>393.87847866419003</v>
      </c>
      <c r="E128">
        <v>211.0853432282</v>
      </c>
      <c r="F128">
        <v>151.18131359852001</v>
      </c>
      <c r="G128">
        <v>121.56336725254</v>
      </c>
      <c r="I128" s="9">
        <f t="shared" si="8"/>
        <v>89.521975975659998</v>
      </c>
      <c r="J128" s="9">
        <f t="shared" si="9"/>
        <v>242.69716506567002</v>
      </c>
      <c r="K128" s="9">
        <f t="shared" si="10"/>
        <v>89.521975975659998</v>
      </c>
      <c r="L128" s="10">
        <f t="shared" si="7"/>
        <v>0.36886288289126395</v>
      </c>
      <c r="M128" s="10">
        <f t="shared" si="11"/>
        <v>0.44772440878147113</v>
      </c>
      <c r="P128" s="8">
        <f t="shared" si="12"/>
        <v>-18.848391377292483</v>
      </c>
      <c r="X128" s="8">
        <v>-13</v>
      </c>
    </row>
    <row r="129" spans="1:24" x14ac:dyDescent="0.2">
      <c r="A129" s="8">
        <v>63.5</v>
      </c>
      <c r="B129" s="8">
        <v>127</v>
      </c>
      <c r="D129">
        <v>383.61502782931001</v>
      </c>
      <c r="E129">
        <v>207.00649350648999</v>
      </c>
      <c r="F129">
        <v>151.27474560592</v>
      </c>
      <c r="G129">
        <v>122.08325624422</v>
      </c>
      <c r="I129" s="9">
        <f t="shared" si="8"/>
        <v>84.923237262269993</v>
      </c>
      <c r="J129" s="9">
        <f t="shared" si="9"/>
        <v>232.34028222339001</v>
      </c>
      <c r="K129" s="9">
        <f t="shared" si="10"/>
        <v>84.923237262269993</v>
      </c>
      <c r="L129" s="10">
        <f t="shared" si="7"/>
        <v>0.36551232721934196</v>
      </c>
      <c r="M129" s="10">
        <f t="shared" si="11"/>
        <v>0.44499973823566186</v>
      </c>
      <c r="P129" s="8">
        <f t="shared" si="12"/>
        <v>-19.342247404398783</v>
      </c>
      <c r="X129" s="8">
        <v>-13</v>
      </c>
    </row>
    <row r="130" spans="1:24" x14ac:dyDescent="0.2">
      <c r="A130" s="8">
        <v>64</v>
      </c>
      <c r="B130" s="8">
        <v>128</v>
      </c>
      <c r="D130">
        <v>392.76994434136998</v>
      </c>
      <c r="E130">
        <v>207.46011131725001</v>
      </c>
      <c r="F130">
        <v>151.06660499538</v>
      </c>
      <c r="G130">
        <v>121.91674375578</v>
      </c>
      <c r="I130" s="9">
        <f t="shared" si="8"/>
        <v>85.543367561470006</v>
      </c>
      <c r="J130" s="9">
        <f t="shared" si="9"/>
        <v>241.70333934598997</v>
      </c>
      <c r="K130" s="9">
        <f t="shared" si="10"/>
        <v>85.543367561470006</v>
      </c>
      <c r="L130" s="10">
        <f t="shared" ref="L130:L193" si="14">K130/J130</f>
        <v>0.35391884858908645</v>
      </c>
      <c r="M130" s="10">
        <f t="shared" si="11"/>
        <v>0.43403214473151908</v>
      </c>
      <c r="P130" s="8">
        <f t="shared" si="12"/>
        <v>-21.330161929772718</v>
      </c>
      <c r="X130" s="8">
        <v>-13</v>
      </c>
    </row>
    <row r="131" spans="1:24" x14ac:dyDescent="0.2">
      <c r="A131" s="8">
        <v>64.5</v>
      </c>
      <c r="B131" s="8">
        <v>129</v>
      </c>
      <c r="D131">
        <v>395.99165120594</v>
      </c>
      <c r="E131">
        <v>218.48886827458</v>
      </c>
      <c r="F131">
        <v>151.86308973173001</v>
      </c>
      <c r="G131">
        <v>121.72710453284</v>
      </c>
      <c r="I131" s="9">
        <f t="shared" ref="I131:I194" si="15">E131-G131</f>
        <v>96.761763741739998</v>
      </c>
      <c r="J131" s="9">
        <f t="shared" ref="J131:J194" si="16">D131-F131</f>
        <v>244.12856147420999</v>
      </c>
      <c r="K131" s="9">
        <f t="shared" ref="K131:K194" si="17">I131*1</f>
        <v>96.761763741739998</v>
      </c>
      <c r="L131" s="10">
        <f t="shared" si="14"/>
        <v>0.39635576909734921</v>
      </c>
      <c r="M131" s="10">
        <f t="shared" ref="M131:M181" si="18">L131+ABS($N$2)*A131</f>
        <v>0.47709495036589461</v>
      </c>
      <c r="P131" s="8">
        <f t="shared" ref="P131:P194" si="19">(M131-$O$2)/$O$2*100</f>
        <v>-13.524878410503508</v>
      </c>
      <c r="X131" s="8">
        <v>-13</v>
      </c>
    </row>
    <row r="132" spans="1:24" x14ac:dyDescent="0.2">
      <c r="A132" s="8">
        <v>65</v>
      </c>
      <c r="B132" s="8">
        <v>130</v>
      </c>
      <c r="D132">
        <v>394.47217068646</v>
      </c>
      <c r="E132">
        <v>219.39517625232</v>
      </c>
      <c r="F132">
        <v>150.57169287696999</v>
      </c>
      <c r="G132">
        <v>121.77983348751</v>
      </c>
      <c r="I132" s="9">
        <f t="shared" si="15"/>
        <v>97.615342764809995</v>
      </c>
      <c r="J132" s="9">
        <f t="shared" si="16"/>
        <v>243.90047780949001</v>
      </c>
      <c r="K132" s="9">
        <f t="shared" si="17"/>
        <v>97.615342764809995</v>
      </c>
      <c r="L132" s="10">
        <f t="shared" si="14"/>
        <v>0.40022612354641252</v>
      </c>
      <c r="M132" s="10">
        <f t="shared" si="18"/>
        <v>0.48159118994107064</v>
      </c>
      <c r="P132" s="8">
        <f t="shared" si="19"/>
        <v>-12.709919326026373</v>
      </c>
      <c r="X132" s="8">
        <v>-13</v>
      </c>
    </row>
    <row r="133" spans="1:24" x14ac:dyDescent="0.2">
      <c r="A133" s="8">
        <v>65.5</v>
      </c>
      <c r="B133" s="8">
        <v>131</v>
      </c>
      <c r="D133">
        <v>391.22886029412001</v>
      </c>
      <c r="E133">
        <v>214.85202205882001</v>
      </c>
      <c r="F133">
        <v>151.23496762257</v>
      </c>
      <c r="G133">
        <v>121.75023126735</v>
      </c>
      <c r="I133" s="9">
        <f t="shared" si="15"/>
        <v>93.101790791470009</v>
      </c>
      <c r="J133" s="9">
        <f t="shared" si="16"/>
        <v>239.99389267155001</v>
      </c>
      <c r="K133" s="9">
        <f t="shared" si="17"/>
        <v>93.101790791470009</v>
      </c>
      <c r="L133" s="10">
        <f t="shared" si="14"/>
        <v>0.3879340001326072</v>
      </c>
      <c r="M133" s="10">
        <f t="shared" si="18"/>
        <v>0.46992495165337811</v>
      </c>
      <c r="P133" s="8">
        <f t="shared" si="19"/>
        <v>-14.824465651965371</v>
      </c>
      <c r="X133" s="8">
        <v>-13</v>
      </c>
    </row>
    <row r="134" spans="1:24" x14ac:dyDescent="0.2">
      <c r="A134" s="8">
        <v>66</v>
      </c>
      <c r="B134" s="8">
        <v>132</v>
      </c>
      <c r="D134">
        <v>391.17463235294002</v>
      </c>
      <c r="E134">
        <v>213.48621323528999</v>
      </c>
      <c r="F134">
        <v>151.0749306198</v>
      </c>
      <c r="G134">
        <v>121.30804810361001</v>
      </c>
      <c r="I134" s="9">
        <f t="shared" si="15"/>
        <v>92.178165131679989</v>
      </c>
      <c r="J134" s="9">
        <f t="shared" si="16"/>
        <v>240.09970173314002</v>
      </c>
      <c r="K134" s="9">
        <f t="shared" si="17"/>
        <v>92.178165131679989</v>
      </c>
      <c r="L134" s="10">
        <f t="shared" si="14"/>
        <v>0.38391620008812782</v>
      </c>
      <c r="M134" s="10">
        <f t="shared" si="18"/>
        <v>0.46653303673501151</v>
      </c>
      <c r="P134" s="8">
        <f t="shared" si="19"/>
        <v>-15.439262045769219</v>
      </c>
      <c r="X134" s="8">
        <v>-13</v>
      </c>
    </row>
    <row r="135" spans="1:24" x14ac:dyDescent="0.2">
      <c r="A135" s="8">
        <v>66.5</v>
      </c>
      <c r="B135" s="8">
        <v>133</v>
      </c>
      <c r="D135">
        <v>390.17343173431999</v>
      </c>
      <c r="E135">
        <v>209.18542435424001</v>
      </c>
      <c r="F135">
        <v>151.14061054579</v>
      </c>
      <c r="G135">
        <v>121.49213691027001</v>
      </c>
      <c r="I135" s="9">
        <f t="shared" si="15"/>
        <v>87.693287443970007</v>
      </c>
      <c r="J135" s="9">
        <f t="shared" si="16"/>
        <v>239.03282118852999</v>
      </c>
      <c r="K135" s="9">
        <f t="shared" si="17"/>
        <v>87.693287443970007</v>
      </c>
      <c r="L135" s="10">
        <f t="shared" si="14"/>
        <v>0.3668671398678115</v>
      </c>
      <c r="M135" s="10">
        <f t="shared" si="18"/>
        <v>0.45010986164080791</v>
      </c>
      <c r="P135" s="8">
        <f t="shared" si="19"/>
        <v>-18.416019737435558</v>
      </c>
      <c r="X135" s="8">
        <v>-13</v>
      </c>
    </row>
    <row r="136" spans="1:24" x14ac:dyDescent="0.2">
      <c r="A136" s="8">
        <v>67</v>
      </c>
      <c r="B136" s="8">
        <v>134</v>
      </c>
      <c r="D136">
        <v>388.77675276753001</v>
      </c>
      <c r="E136">
        <v>205.69741697417001</v>
      </c>
      <c r="F136">
        <v>151.44125809435999</v>
      </c>
      <c r="G136">
        <v>121.58741905642999</v>
      </c>
      <c r="I136" s="9">
        <f t="shared" si="15"/>
        <v>84.109997917740017</v>
      </c>
      <c r="J136" s="9">
        <f t="shared" si="16"/>
        <v>237.33549467317002</v>
      </c>
      <c r="K136" s="9">
        <f t="shared" si="17"/>
        <v>84.109997917740017</v>
      </c>
      <c r="L136" s="10">
        <f t="shared" si="14"/>
        <v>0.35439283126852233</v>
      </c>
      <c r="M136" s="10">
        <f t="shared" si="18"/>
        <v>0.43826143816763152</v>
      </c>
      <c r="P136" s="8">
        <f t="shared" si="19"/>
        <v>-20.563587762838026</v>
      </c>
      <c r="X136" s="8">
        <v>-13</v>
      </c>
    </row>
    <row r="137" spans="1:24" x14ac:dyDescent="0.2">
      <c r="A137" s="8">
        <v>67.5</v>
      </c>
      <c r="B137" s="8">
        <v>135</v>
      </c>
      <c r="D137">
        <v>388.81365313652998</v>
      </c>
      <c r="E137">
        <v>208.13560885608999</v>
      </c>
      <c r="F137">
        <v>150.63737280295999</v>
      </c>
      <c r="G137">
        <v>121.23219241443</v>
      </c>
      <c r="I137" s="9">
        <f t="shared" si="15"/>
        <v>86.903416441659985</v>
      </c>
      <c r="J137" s="9">
        <f t="shared" si="16"/>
        <v>238.17628033356999</v>
      </c>
      <c r="K137" s="9">
        <f t="shared" si="17"/>
        <v>86.903416441659985</v>
      </c>
      <c r="L137" s="10">
        <f t="shared" si="14"/>
        <v>0.36487015549974267</v>
      </c>
      <c r="M137" s="10">
        <f t="shared" si="18"/>
        <v>0.44936464752496463</v>
      </c>
      <c r="P137" s="8">
        <f t="shared" si="19"/>
        <v>-18.551092391690933</v>
      </c>
      <c r="X137" s="8">
        <v>-13</v>
      </c>
    </row>
    <row r="138" spans="1:24" x14ac:dyDescent="0.2">
      <c r="A138" s="8">
        <v>68</v>
      </c>
      <c r="B138" s="8">
        <v>136</v>
      </c>
      <c r="D138">
        <v>386.72232472324998</v>
      </c>
      <c r="E138">
        <v>206.95664206641999</v>
      </c>
      <c r="F138">
        <v>150.11748381128999</v>
      </c>
      <c r="G138">
        <v>121.40795559667001</v>
      </c>
      <c r="I138" s="9">
        <f t="shared" si="15"/>
        <v>85.548686469749981</v>
      </c>
      <c r="J138" s="9">
        <f t="shared" si="16"/>
        <v>236.60484091196</v>
      </c>
      <c r="K138" s="9">
        <f t="shared" si="17"/>
        <v>85.548686469749981</v>
      </c>
      <c r="L138" s="10">
        <f t="shared" si="14"/>
        <v>0.36156777748086061</v>
      </c>
      <c r="M138" s="10">
        <f t="shared" si="18"/>
        <v>0.4466881546321953</v>
      </c>
      <c r="P138" s="8">
        <f t="shared" si="19"/>
        <v>-19.036216051369465</v>
      </c>
      <c r="X138" s="8">
        <v>-13</v>
      </c>
    </row>
    <row r="139" spans="1:24" x14ac:dyDescent="0.2">
      <c r="A139" s="8">
        <v>68.5</v>
      </c>
      <c r="B139" s="8">
        <v>137</v>
      </c>
      <c r="D139">
        <v>384.92357274402002</v>
      </c>
      <c r="E139">
        <v>211.05893186003999</v>
      </c>
      <c r="F139">
        <v>150.72710453284</v>
      </c>
      <c r="G139">
        <v>121.89084181314</v>
      </c>
      <c r="I139" s="9">
        <f t="shared" si="15"/>
        <v>89.168090046899991</v>
      </c>
      <c r="J139" s="9">
        <f t="shared" si="16"/>
        <v>234.19646821118002</v>
      </c>
      <c r="K139" s="9">
        <f t="shared" si="17"/>
        <v>89.168090046899991</v>
      </c>
      <c r="L139" s="10">
        <f t="shared" si="14"/>
        <v>0.38074054117031003</v>
      </c>
      <c r="M139" s="10">
        <f t="shared" si="18"/>
        <v>0.4664868034477575</v>
      </c>
      <c r="P139" s="8">
        <f t="shared" si="19"/>
        <v>-15.447641990125593</v>
      </c>
      <c r="X139" s="8">
        <v>-13</v>
      </c>
    </row>
    <row r="140" spans="1:24" x14ac:dyDescent="0.2">
      <c r="A140" s="8">
        <v>69</v>
      </c>
      <c r="B140" s="8">
        <v>138</v>
      </c>
      <c r="D140">
        <v>389.53130755065001</v>
      </c>
      <c r="E140">
        <v>217.21731123389</v>
      </c>
      <c r="F140">
        <v>150.61794634597999</v>
      </c>
      <c r="G140">
        <v>121.76503237743</v>
      </c>
      <c r="I140" s="9">
        <f t="shared" si="15"/>
        <v>95.452278856459998</v>
      </c>
      <c r="J140" s="9">
        <f t="shared" si="16"/>
        <v>238.91336120467003</v>
      </c>
      <c r="K140" s="9">
        <f t="shared" si="17"/>
        <v>95.452278856459998</v>
      </c>
      <c r="L140" s="10">
        <f t="shared" si="14"/>
        <v>0.39952675051391895</v>
      </c>
      <c r="M140" s="10">
        <f t="shared" si="18"/>
        <v>0.48589889791747914</v>
      </c>
      <c r="P140" s="8">
        <f t="shared" si="19"/>
        <v>-11.929132250526447</v>
      </c>
      <c r="X140" s="8">
        <v>-13</v>
      </c>
    </row>
    <row r="141" spans="1:24" x14ac:dyDescent="0.2">
      <c r="A141" s="8">
        <v>69.5</v>
      </c>
      <c r="B141" s="8">
        <v>139</v>
      </c>
      <c r="D141">
        <v>388.95764272560001</v>
      </c>
      <c r="E141">
        <v>217.89318600368</v>
      </c>
      <c r="F141">
        <v>150.41350601294999</v>
      </c>
      <c r="G141">
        <v>121.80758556892</v>
      </c>
      <c r="I141" s="9">
        <f t="shared" si="15"/>
        <v>96.085600434759996</v>
      </c>
      <c r="J141" s="9">
        <f t="shared" si="16"/>
        <v>238.54413671265002</v>
      </c>
      <c r="K141" s="9">
        <f t="shared" si="17"/>
        <v>96.085600434759996</v>
      </c>
      <c r="L141" s="10">
        <f t="shared" si="14"/>
        <v>0.40280009292579927</v>
      </c>
      <c r="M141" s="10">
        <f t="shared" si="18"/>
        <v>0.48979812545547224</v>
      </c>
      <c r="P141" s="8">
        <f t="shared" si="19"/>
        <v>-11.222383677324256</v>
      </c>
      <c r="X141" s="8">
        <v>-13</v>
      </c>
    </row>
    <row r="142" spans="1:24" x14ac:dyDescent="0.2">
      <c r="A142" s="8">
        <v>70</v>
      </c>
      <c r="B142" s="8">
        <v>140</v>
      </c>
      <c r="D142">
        <v>386.98066298343002</v>
      </c>
      <c r="E142">
        <v>212.06077348066</v>
      </c>
      <c r="F142">
        <v>151.04810360777</v>
      </c>
      <c r="G142">
        <v>121.16281221091999</v>
      </c>
      <c r="I142" s="9">
        <f t="shared" si="15"/>
        <v>90.897961269740009</v>
      </c>
      <c r="J142" s="9">
        <f t="shared" si="16"/>
        <v>235.93255937566002</v>
      </c>
      <c r="K142" s="9">
        <f t="shared" si="17"/>
        <v>90.897961269740009</v>
      </c>
      <c r="L142" s="10">
        <f t="shared" si="14"/>
        <v>0.38527094992857308</v>
      </c>
      <c r="M142" s="10">
        <f t="shared" si="18"/>
        <v>0.47289486758435878</v>
      </c>
      <c r="P142" s="8">
        <f t="shared" si="19"/>
        <v>-14.2861580445485</v>
      </c>
      <c r="X142" s="8">
        <v>-13</v>
      </c>
    </row>
    <row r="143" spans="1:24" x14ac:dyDescent="0.2">
      <c r="A143" s="8">
        <v>70.5</v>
      </c>
      <c r="B143" s="8">
        <v>141</v>
      </c>
      <c r="D143">
        <v>389.45940959410001</v>
      </c>
      <c r="E143">
        <v>210.03782287823</v>
      </c>
      <c r="F143">
        <v>150.73450508788</v>
      </c>
      <c r="G143">
        <v>121.13135985199</v>
      </c>
      <c r="I143" s="9">
        <f t="shared" si="15"/>
        <v>88.906463026240004</v>
      </c>
      <c r="J143" s="9">
        <f t="shared" si="16"/>
        <v>238.72490450622001</v>
      </c>
      <c r="K143" s="9">
        <f t="shared" si="17"/>
        <v>88.906463026240004</v>
      </c>
      <c r="L143" s="10">
        <f t="shared" si="14"/>
        <v>0.3724222372614816</v>
      </c>
      <c r="M143" s="10">
        <f t="shared" si="18"/>
        <v>0.46067204004338008</v>
      </c>
      <c r="P143" s="8">
        <f t="shared" si="19"/>
        <v>-16.50158811137894</v>
      </c>
      <c r="X143" s="8">
        <v>-13</v>
      </c>
    </row>
    <row r="144" spans="1:24" x14ac:dyDescent="0.2">
      <c r="A144" s="8">
        <v>71</v>
      </c>
      <c r="B144" s="8">
        <v>142</v>
      </c>
      <c r="D144">
        <v>387.07287822877998</v>
      </c>
      <c r="E144">
        <v>205.98985239851999</v>
      </c>
      <c r="F144">
        <v>150.77890841812999</v>
      </c>
      <c r="G144">
        <v>121.22294172063</v>
      </c>
      <c r="I144" s="9">
        <f t="shared" si="15"/>
        <v>84.766910677889982</v>
      </c>
      <c r="J144" s="9">
        <f t="shared" si="16"/>
        <v>236.29396981065</v>
      </c>
      <c r="K144" s="9">
        <f t="shared" si="17"/>
        <v>84.766910677889982</v>
      </c>
      <c r="L144" s="10">
        <f t="shared" si="14"/>
        <v>0.35873497214430167</v>
      </c>
      <c r="M144" s="10">
        <f t="shared" si="18"/>
        <v>0.44761066005231287</v>
      </c>
      <c r="P144" s="8">
        <f t="shared" si="19"/>
        <v>-18.869008730666415</v>
      </c>
    </row>
    <row r="145" spans="1:16" x14ac:dyDescent="0.2">
      <c r="A145" s="8">
        <v>71.5</v>
      </c>
      <c r="B145" s="8">
        <v>143</v>
      </c>
      <c r="D145">
        <v>390.51845018450001</v>
      </c>
      <c r="E145">
        <v>206.91143911438999</v>
      </c>
      <c r="F145">
        <v>149.95282146161</v>
      </c>
      <c r="G145">
        <v>121.93061979649001</v>
      </c>
      <c r="I145" s="9">
        <f t="shared" si="15"/>
        <v>84.980819317899986</v>
      </c>
      <c r="J145" s="9">
        <f t="shared" si="16"/>
        <v>240.56562872289001</v>
      </c>
      <c r="K145" s="9">
        <f t="shared" si="17"/>
        <v>84.980819317899986</v>
      </c>
      <c r="L145" s="10">
        <f t="shared" si="14"/>
        <v>0.35325420247707229</v>
      </c>
      <c r="M145" s="10">
        <f t="shared" si="18"/>
        <v>0.44275577551119627</v>
      </c>
      <c r="P145" s="8">
        <f t="shared" si="19"/>
        <v>-19.748973464466367</v>
      </c>
    </row>
    <row r="146" spans="1:16" x14ac:dyDescent="0.2">
      <c r="A146" s="8">
        <v>72</v>
      </c>
      <c r="B146" s="8">
        <v>144</v>
      </c>
      <c r="D146">
        <v>388.17896678967003</v>
      </c>
      <c r="E146">
        <v>205.19003690036999</v>
      </c>
      <c r="F146">
        <v>150.15541165587001</v>
      </c>
      <c r="G146">
        <v>121.43755781684</v>
      </c>
      <c r="I146" s="9">
        <f t="shared" si="15"/>
        <v>83.752479083529991</v>
      </c>
      <c r="J146" s="9">
        <f t="shared" si="16"/>
        <v>238.02355513380002</v>
      </c>
      <c r="K146" s="9">
        <f t="shared" si="17"/>
        <v>83.752479083529991</v>
      </c>
      <c r="L146" s="10">
        <f t="shared" si="14"/>
        <v>0.3518663480026179</v>
      </c>
      <c r="M146" s="10">
        <f t="shared" si="18"/>
        <v>0.44199380616285466</v>
      </c>
      <c r="P146" s="8">
        <f t="shared" si="19"/>
        <v>-19.887083062974536</v>
      </c>
    </row>
    <row r="147" spans="1:16" x14ac:dyDescent="0.2">
      <c r="A147" s="8">
        <v>72.5</v>
      </c>
      <c r="B147" s="8">
        <v>145</v>
      </c>
      <c r="D147">
        <v>386.69464944649002</v>
      </c>
      <c r="E147">
        <v>204.67619926199001</v>
      </c>
      <c r="F147">
        <v>150.00740055503999</v>
      </c>
      <c r="G147">
        <v>121.23589269195</v>
      </c>
      <c r="I147" s="9">
        <f t="shared" si="15"/>
        <v>83.440306570040008</v>
      </c>
      <c r="J147" s="9">
        <f t="shared" si="16"/>
        <v>236.68724889145003</v>
      </c>
      <c r="K147" s="9">
        <f t="shared" si="17"/>
        <v>83.440306570040008</v>
      </c>
      <c r="L147" s="10">
        <f t="shared" si="14"/>
        <v>0.3525340167704073</v>
      </c>
      <c r="M147" s="10">
        <f t="shared" si="18"/>
        <v>0.44328736005675679</v>
      </c>
      <c r="P147" s="8">
        <f t="shared" si="19"/>
        <v>-19.652621913947566</v>
      </c>
    </row>
    <row r="148" spans="1:16" x14ac:dyDescent="0.2">
      <c r="A148" s="8">
        <v>73</v>
      </c>
      <c r="B148" s="8">
        <v>146</v>
      </c>
      <c r="D148">
        <v>385.29151291513</v>
      </c>
      <c r="E148">
        <v>202.29981549816</v>
      </c>
      <c r="F148">
        <v>150.46345975948</v>
      </c>
      <c r="G148">
        <v>121.12025901942999</v>
      </c>
      <c r="I148" s="9">
        <f t="shared" si="15"/>
        <v>81.179556478730007</v>
      </c>
      <c r="J148" s="9">
        <f t="shared" si="16"/>
        <v>234.82805315565</v>
      </c>
      <c r="K148" s="9">
        <f t="shared" si="17"/>
        <v>81.179556478730007</v>
      </c>
      <c r="L148" s="10">
        <f t="shared" si="14"/>
        <v>0.34569786440686512</v>
      </c>
      <c r="M148" s="10">
        <f t="shared" si="18"/>
        <v>0.43707709281932738</v>
      </c>
      <c r="P148" s="8">
        <f t="shared" si="19"/>
        <v>-20.77825448257591</v>
      </c>
    </row>
    <row r="149" spans="1:16" x14ac:dyDescent="0.2">
      <c r="A149" s="8">
        <v>73.5</v>
      </c>
      <c r="B149" s="8">
        <v>147</v>
      </c>
      <c r="D149">
        <v>386.35793357934</v>
      </c>
      <c r="E149">
        <v>200.99354243542001</v>
      </c>
      <c r="F149">
        <v>150.27752081406001</v>
      </c>
      <c r="G149">
        <v>121.36817761332</v>
      </c>
      <c r="I149" s="9">
        <f t="shared" si="15"/>
        <v>79.625364822100011</v>
      </c>
      <c r="J149" s="9">
        <f t="shared" si="16"/>
        <v>236.08041276527999</v>
      </c>
      <c r="K149" s="9">
        <f t="shared" si="17"/>
        <v>79.625364822100011</v>
      </c>
      <c r="L149" s="10">
        <f t="shared" si="14"/>
        <v>0.33728069130947574</v>
      </c>
      <c r="M149" s="10">
        <f t="shared" si="18"/>
        <v>0.42928580484805073</v>
      </c>
      <c r="P149" s="8">
        <f t="shared" si="19"/>
        <v>-22.19045256628695</v>
      </c>
    </row>
    <row r="150" spans="1:16" x14ac:dyDescent="0.2">
      <c r="A150" s="8">
        <v>74</v>
      </c>
      <c r="B150" s="8">
        <v>148</v>
      </c>
      <c r="D150">
        <v>385.94003690036999</v>
      </c>
      <c r="E150">
        <v>199.62453874539</v>
      </c>
      <c r="F150">
        <v>149.48381128585001</v>
      </c>
      <c r="G150">
        <v>121.19888991674</v>
      </c>
      <c r="I150" s="9">
        <f t="shared" si="15"/>
        <v>78.425648828649997</v>
      </c>
      <c r="J150" s="9">
        <f t="shared" si="16"/>
        <v>236.45622561451998</v>
      </c>
      <c r="K150" s="9">
        <f t="shared" si="17"/>
        <v>78.425648828649997</v>
      </c>
      <c r="L150" s="10">
        <f t="shared" si="14"/>
        <v>0.33167089859796078</v>
      </c>
      <c r="M150" s="10">
        <f t="shared" si="18"/>
        <v>0.42430189726264855</v>
      </c>
      <c r="P150" s="8">
        <f t="shared" si="19"/>
        <v>-23.093803176281742</v>
      </c>
    </row>
    <row r="151" spans="1:16" x14ac:dyDescent="0.2">
      <c r="A151" s="8">
        <v>74.5</v>
      </c>
      <c r="B151" s="8">
        <v>149</v>
      </c>
      <c r="D151">
        <v>384.16143911439002</v>
      </c>
      <c r="E151">
        <v>199.42527675277</v>
      </c>
      <c r="F151">
        <v>150.06845513414001</v>
      </c>
      <c r="G151">
        <v>121.03052728954999</v>
      </c>
      <c r="I151" s="9">
        <f t="shared" si="15"/>
        <v>78.394749463220009</v>
      </c>
      <c r="J151" s="9">
        <f t="shared" si="16"/>
        <v>234.09298398025001</v>
      </c>
      <c r="K151" s="9">
        <f t="shared" si="17"/>
        <v>78.394749463220009</v>
      </c>
      <c r="L151" s="10">
        <f t="shared" si="14"/>
        <v>0.33488722357366346</v>
      </c>
      <c r="M151" s="10">
        <f t="shared" si="18"/>
        <v>0.42814410736446396</v>
      </c>
      <c r="P151" s="8">
        <f t="shared" si="19"/>
        <v>-22.39738921199211</v>
      </c>
    </row>
    <row r="152" spans="1:16" x14ac:dyDescent="0.2">
      <c r="A152" s="8">
        <v>75</v>
      </c>
      <c r="B152" s="8">
        <v>150</v>
      </c>
      <c r="D152">
        <v>385.43357933579</v>
      </c>
      <c r="E152">
        <v>199.73616236161999</v>
      </c>
      <c r="F152">
        <v>150.00832562442</v>
      </c>
      <c r="G152">
        <v>121.18686401479999</v>
      </c>
      <c r="I152" s="9">
        <f t="shared" si="15"/>
        <v>78.549298346819995</v>
      </c>
      <c r="J152" s="9">
        <f t="shared" si="16"/>
        <v>235.42525371137</v>
      </c>
      <c r="K152" s="9">
        <f t="shared" si="17"/>
        <v>78.549298346819995</v>
      </c>
      <c r="L152" s="10">
        <f t="shared" si="14"/>
        <v>0.33364856619469113</v>
      </c>
      <c r="M152" s="10">
        <f t="shared" si="18"/>
        <v>0.4275313351116044</v>
      </c>
      <c r="P152" s="8">
        <f t="shared" si="19"/>
        <v>-22.508456317255039</v>
      </c>
    </row>
    <row r="153" spans="1:16" x14ac:dyDescent="0.2">
      <c r="A153" s="8">
        <v>75.5</v>
      </c>
      <c r="B153" s="8">
        <v>151</v>
      </c>
      <c r="D153">
        <v>384.65774907749</v>
      </c>
      <c r="E153">
        <v>199.13191881918999</v>
      </c>
      <c r="F153">
        <v>150.07030527289999</v>
      </c>
      <c r="G153">
        <v>121.09250693801999</v>
      </c>
      <c r="I153" s="9">
        <f t="shared" si="15"/>
        <v>78.039411881169997</v>
      </c>
      <c r="J153" s="9">
        <f t="shared" si="16"/>
        <v>234.58744380459001</v>
      </c>
      <c r="K153" s="9">
        <f t="shared" si="17"/>
        <v>78.039411881169997</v>
      </c>
      <c r="L153" s="10">
        <f t="shared" si="14"/>
        <v>0.33266661938725234</v>
      </c>
      <c r="M153" s="10">
        <f t="shared" si="18"/>
        <v>0.42717527343027833</v>
      </c>
      <c r="P153" s="8">
        <f t="shared" si="19"/>
        <v>-22.572993737243277</v>
      </c>
    </row>
    <row r="154" spans="1:16" x14ac:dyDescent="0.2">
      <c r="A154" s="8">
        <v>76</v>
      </c>
      <c r="B154" s="8">
        <v>152</v>
      </c>
      <c r="D154">
        <v>383.44372693727001</v>
      </c>
      <c r="E154">
        <v>198.82287822878001</v>
      </c>
      <c r="F154">
        <v>150.20906567993001</v>
      </c>
      <c r="G154">
        <v>121.31822386679001</v>
      </c>
      <c r="I154" s="9">
        <f t="shared" si="15"/>
        <v>77.504654361990006</v>
      </c>
      <c r="J154" s="9">
        <f t="shared" si="16"/>
        <v>233.23466125734001</v>
      </c>
      <c r="K154" s="9">
        <f t="shared" si="17"/>
        <v>77.504654361990006</v>
      </c>
      <c r="L154" s="10">
        <f t="shared" si="14"/>
        <v>0.33230332894850079</v>
      </c>
      <c r="M154" s="10">
        <f t="shared" si="18"/>
        <v>0.42743786811763956</v>
      </c>
      <c r="P154" s="8">
        <f t="shared" si="19"/>
        <v>-22.52539753547903</v>
      </c>
    </row>
    <row r="155" spans="1:16" x14ac:dyDescent="0.2">
      <c r="A155" s="8">
        <v>76.5</v>
      </c>
      <c r="B155" s="8">
        <v>153</v>
      </c>
      <c r="D155">
        <v>383.94649446494998</v>
      </c>
      <c r="E155">
        <v>198.73800738007</v>
      </c>
      <c r="F155">
        <v>149.95374653099</v>
      </c>
      <c r="G155">
        <v>121.21184088807</v>
      </c>
      <c r="I155" s="9">
        <f t="shared" si="15"/>
        <v>77.526166492000002</v>
      </c>
      <c r="J155" s="9">
        <f t="shared" si="16"/>
        <v>233.99274793395998</v>
      </c>
      <c r="K155" s="9">
        <f t="shared" si="17"/>
        <v>77.526166492000002</v>
      </c>
      <c r="L155" s="10">
        <f t="shared" si="14"/>
        <v>0.33131867195251835</v>
      </c>
      <c r="M155" s="10">
        <f t="shared" si="18"/>
        <v>0.42707909624776985</v>
      </c>
      <c r="P155" s="8">
        <f t="shared" si="19"/>
        <v>-22.590426186581041</v>
      </c>
    </row>
    <row r="156" spans="1:16" x14ac:dyDescent="0.2">
      <c r="A156" s="8">
        <v>77</v>
      </c>
      <c r="B156" s="8">
        <v>154</v>
      </c>
      <c r="D156">
        <v>383.56088560886002</v>
      </c>
      <c r="E156">
        <v>198.63284132841</v>
      </c>
      <c r="F156">
        <v>150.19981498612</v>
      </c>
      <c r="G156">
        <v>121.07678075856001</v>
      </c>
      <c r="I156" s="9">
        <f t="shared" si="15"/>
        <v>77.55606056984999</v>
      </c>
      <c r="J156" s="9">
        <f t="shared" si="16"/>
        <v>233.36107062274002</v>
      </c>
      <c r="K156" s="9">
        <f t="shared" si="17"/>
        <v>77.55606056984999</v>
      </c>
      <c r="L156" s="10">
        <f t="shared" si="14"/>
        <v>0.33234360968128202</v>
      </c>
      <c r="M156" s="10">
        <f t="shared" si="18"/>
        <v>0.4287299191026463</v>
      </c>
      <c r="P156" s="8">
        <f t="shared" si="19"/>
        <v>-22.291208793924341</v>
      </c>
    </row>
    <row r="157" spans="1:16" x14ac:dyDescent="0.2">
      <c r="A157" s="8">
        <v>77.5</v>
      </c>
      <c r="B157" s="8">
        <v>155</v>
      </c>
      <c r="D157">
        <v>383.72693726937001</v>
      </c>
      <c r="E157">
        <v>198.31642066421</v>
      </c>
      <c r="F157">
        <v>149.60037002774999</v>
      </c>
      <c r="G157">
        <v>120.90934320074</v>
      </c>
      <c r="I157" s="9">
        <f t="shared" si="15"/>
        <v>77.407077463470003</v>
      </c>
      <c r="J157" s="9">
        <f t="shared" si="16"/>
        <v>234.12656724162002</v>
      </c>
      <c r="K157" s="9">
        <f t="shared" si="17"/>
        <v>77.407077463470003</v>
      </c>
      <c r="L157" s="10">
        <f t="shared" si="14"/>
        <v>0.33062064837599331</v>
      </c>
      <c r="M157" s="10">
        <f t="shared" si="18"/>
        <v>0.42763284292347037</v>
      </c>
      <c r="P157" s="8">
        <f t="shared" si="19"/>
        <v>-22.490057672778374</v>
      </c>
    </row>
    <row r="158" spans="1:16" x14ac:dyDescent="0.2">
      <c r="A158" s="8">
        <v>78</v>
      </c>
      <c r="B158" s="8">
        <v>156</v>
      </c>
      <c r="D158">
        <v>389.52675276753001</v>
      </c>
      <c r="E158">
        <v>199.74907749078</v>
      </c>
      <c r="F158">
        <v>150.19981498612</v>
      </c>
      <c r="G158">
        <v>121.0703052729</v>
      </c>
      <c r="I158" s="9">
        <f t="shared" si="15"/>
        <v>78.678772217879995</v>
      </c>
      <c r="J158" s="9">
        <f t="shared" si="16"/>
        <v>239.32693778141001</v>
      </c>
      <c r="K158" s="9">
        <f t="shared" si="17"/>
        <v>78.678772217879995</v>
      </c>
      <c r="L158" s="10">
        <f t="shared" si="14"/>
        <v>0.32875017307805732</v>
      </c>
      <c r="M158" s="10">
        <f t="shared" si="18"/>
        <v>0.4263882527516471</v>
      </c>
      <c r="P158" s="8">
        <f t="shared" si="19"/>
        <v>-22.715643976626211</v>
      </c>
    </row>
    <row r="159" spans="1:16" x14ac:dyDescent="0.2">
      <c r="A159" s="8">
        <v>78.5</v>
      </c>
      <c r="B159" s="8">
        <v>157</v>
      </c>
      <c r="D159">
        <v>381.91420664206998</v>
      </c>
      <c r="E159">
        <v>199.49723247233001</v>
      </c>
      <c r="F159">
        <v>149.19703977798</v>
      </c>
      <c r="G159">
        <v>120.82608695652</v>
      </c>
      <c r="I159" s="9">
        <f t="shared" si="15"/>
        <v>78.671145515810011</v>
      </c>
      <c r="J159" s="9">
        <f t="shared" si="16"/>
        <v>232.71716686408999</v>
      </c>
      <c r="K159" s="9">
        <f t="shared" si="17"/>
        <v>78.671145515810011</v>
      </c>
      <c r="L159" s="10">
        <f t="shared" si="14"/>
        <v>0.33805475795326712</v>
      </c>
      <c r="M159" s="10">
        <f t="shared" si="18"/>
        <v>0.43631872275296968</v>
      </c>
      <c r="P159" s="8">
        <f t="shared" si="19"/>
        <v>-20.915711698687343</v>
      </c>
    </row>
    <row r="160" spans="1:16" x14ac:dyDescent="0.2">
      <c r="A160" s="8">
        <v>79</v>
      </c>
      <c r="B160" s="8">
        <v>158</v>
      </c>
      <c r="D160">
        <v>385.87638376384001</v>
      </c>
      <c r="E160">
        <v>199.84040590405999</v>
      </c>
      <c r="F160">
        <v>149.85938945421</v>
      </c>
      <c r="G160">
        <v>120.51433857539</v>
      </c>
      <c r="I160" s="9">
        <f t="shared" si="15"/>
        <v>79.326067328669993</v>
      </c>
      <c r="J160" s="9">
        <f t="shared" si="16"/>
        <v>236.01699430963001</v>
      </c>
      <c r="K160" s="9">
        <f t="shared" si="17"/>
        <v>79.326067328669993</v>
      </c>
      <c r="L160" s="10">
        <f t="shared" si="14"/>
        <v>0.33610320121525805</v>
      </c>
      <c r="M160" s="10">
        <f t="shared" si="18"/>
        <v>0.43499305114107334</v>
      </c>
      <c r="P160" s="8">
        <f t="shared" si="19"/>
        <v>-21.155994295974445</v>
      </c>
    </row>
    <row r="161" spans="1:16" x14ac:dyDescent="0.2">
      <c r="A161" s="8">
        <v>79.5</v>
      </c>
      <c r="B161" s="8">
        <v>159</v>
      </c>
      <c r="D161">
        <v>385.02859778598003</v>
      </c>
      <c r="E161">
        <v>199.36531365313999</v>
      </c>
      <c r="F161">
        <v>149.71877890842001</v>
      </c>
      <c r="G161">
        <v>120.94634597595</v>
      </c>
      <c r="I161" s="9">
        <f t="shared" si="15"/>
        <v>78.418967677189997</v>
      </c>
      <c r="J161" s="9">
        <f t="shared" si="16"/>
        <v>235.30981887756002</v>
      </c>
      <c r="K161" s="9">
        <f t="shared" si="17"/>
        <v>78.418967677189997</v>
      </c>
      <c r="L161" s="10">
        <f t="shared" si="14"/>
        <v>0.33325837422021964</v>
      </c>
      <c r="M161" s="10">
        <f t="shared" si="18"/>
        <v>0.43277410927214771</v>
      </c>
      <c r="P161" s="8">
        <f t="shared" si="19"/>
        <v>-21.558185238821796</v>
      </c>
    </row>
    <row r="162" spans="1:16" x14ac:dyDescent="0.2">
      <c r="A162" s="8">
        <v>80</v>
      </c>
      <c r="B162" s="4">
        <v>160</v>
      </c>
      <c r="C162" s="4" t="s">
        <v>6</v>
      </c>
      <c r="D162">
        <v>380.49538745388003</v>
      </c>
      <c r="E162">
        <v>198.83671586716</v>
      </c>
      <c r="F162">
        <v>149.52728954672</v>
      </c>
      <c r="G162">
        <v>120.54486586493999</v>
      </c>
      <c r="H162" s="4"/>
      <c r="I162" s="5">
        <f t="shared" si="15"/>
        <v>78.291850002220002</v>
      </c>
      <c r="J162" s="5">
        <f t="shared" si="16"/>
        <v>230.96809790716003</v>
      </c>
      <c r="K162" s="9">
        <f t="shared" si="17"/>
        <v>78.291850002220002</v>
      </c>
      <c r="L162" s="6">
        <f t="shared" si="14"/>
        <v>0.33897257115435142</v>
      </c>
      <c r="M162" s="6">
        <f t="shared" si="18"/>
        <v>0.43911419133239227</v>
      </c>
      <c r="N162" s="4"/>
      <c r="O162" s="4"/>
      <c r="P162" s="4">
        <f t="shared" si="19"/>
        <v>-20.409023281382169</v>
      </c>
    </row>
    <row r="163" spans="1:16" x14ac:dyDescent="0.2">
      <c r="A163" s="8">
        <v>80.5</v>
      </c>
      <c r="B163" s="8">
        <v>161</v>
      </c>
      <c r="D163">
        <v>390.66204986150001</v>
      </c>
      <c r="E163">
        <v>201.53093259464001</v>
      </c>
      <c r="F163">
        <v>148.91396854764</v>
      </c>
      <c r="G163">
        <v>120.85198889917</v>
      </c>
      <c r="I163" s="9">
        <f t="shared" si="15"/>
        <v>80.678943695470011</v>
      </c>
      <c r="J163" s="9">
        <f t="shared" si="16"/>
        <v>241.74808131386001</v>
      </c>
      <c r="K163" s="9">
        <f t="shared" si="17"/>
        <v>80.678943695470011</v>
      </c>
      <c r="L163" s="10">
        <f t="shared" si="14"/>
        <v>0.33373147475253401</v>
      </c>
      <c r="M163" s="10">
        <f t="shared" si="18"/>
        <v>0.43449898005668758</v>
      </c>
      <c r="P163" s="8">
        <f t="shared" si="19"/>
        <v>-21.245546400986974</v>
      </c>
    </row>
    <row r="164" spans="1:16" x14ac:dyDescent="0.2">
      <c r="A164" s="8">
        <v>81</v>
      </c>
      <c r="B164" s="8">
        <v>162</v>
      </c>
      <c r="D164">
        <v>391.74145891043003</v>
      </c>
      <c r="E164">
        <v>201.37026777470001</v>
      </c>
      <c r="F164">
        <v>149.72617946346</v>
      </c>
      <c r="G164">
        <v>120.74375578167999</v>
      </c>
      <c r="I164" s="9">
        <f t="shared" si="15"/>
        <v>80.626511993020017</v>
      </c>
      <c r="J164" s="9">
        <f t="shared" si="16"/>
        <v>242.01527944697003</v>
      </c>
      <c r="K164" s="9">
        <f t="shared" si="17"/>
        <v>80.626511993020017</v>
      </c>
      <c r="L164" s="10">
        <f t="shared" si="14"/>
        <v>0.33314637066411651</v>
      </c>
      <c r="M164" s="10">
        <f t="shared" si="18"/>
        <v>0.43453976109438286</v>
      </c>
      <c r="P164" s="8">
        <f t="shared" si="19"/>
        <v>-21.238154695854607</v>
      </c>
    </row>
    <row r="165" spans="1:16" x14ac:dyDescent="0.2">
      <c r="A165" s="8">
        <v>81.5</v>
      </c>
      <c r="B165" s="8">
        <v>163</v>
      </c>
      <c r="D165">
        <v>391.98984302861999</v>
      </c>
      <c r="E165">
        <v>202.06555863342999</v>
      </c>
      <c r="F165">
        <v>149.28954671599999</v>
      </c>
      <c r="G165">
        <v>120.60684551340999</v>
      </c>
      <c r="I165" s="9">
        <f t="shared" si="15"/>
        <v>81.458713120019993</v>
      </c>
      <c r="J165" s="9">
        <f t="shared" si="16"/>
        <v>242.70029631262</v>
      </c>
      <c r="K165" s="9">
        <f t="shared" si="17"/>
        <v>81.458713120019993</v>
      </c>
      <c r="L165" s="10">
        <f t="shared" si="14"/>
        <v>0.33563499656833456</v>
      </c>
      <c r="M165" s="10">
        <f t="shared" si="18"/>
        <v>0.43765427212471364</v>
      </c>
      <c r="P165" s="8">
        <f t="shared" si="19"/>
        <v>-20.673638723021256</v>
      </c>
    </row>
    <row r="166" spans="1:16" x14ac:dyDescent="0.2">
      <c r="A166" s="8">
        <v>82</v>
      </c>
      <c r="B166" s="8">
        <v>164</v>
      </c>
      <c r="D166">
        <v>395.68882733149002</v>
      </c>
      <c r="E166">
        <v>203.60572483841</v>
      </c>
      <c r="F166">
        <v>150.35245143386001</v>
      </c>
      <c r="G166">
        <v>120.3829787234</v>
      </c>
      <c r="I166" s="9">
        <f t="shared" si="15"/>
        <v>83.222746115009997</v>
      </c>
      <c r="J166" s="9">
        <f t="shared" si="16"/>
        <v>245.33637589763001</v>
      </c>
      <c r="K166" s="9">
        <f t="shared" si="17"/>
        <v>83.222746115009997</v>
      </c>
      <c r="L166" s="10">
        <f t="shared" si="14"/>
        <v>0.33921894301453215</v>
      </c>
      <c r="M166" s="10">
        <f t="shared" si="18"/>
        <v>0.441864103697024</v>
      </c>
      <c r="P166" s="8">
        <f t="shared" si="19"/>
        <v>-19.910592086691015</v>
      </c>
    </row>
    <row r="167" spans="1:16" x14ac:dyDescent="0.2">
      <c r="A167" s="8">
        <v>82.5</v>
      </c>
      <c r="B167" s="8">
        <v>165</v>
      </c>
      <c r="D167">
        <v>395.77839335179999</v>
      </c>
      <c r="E167">
        <v>203.43397968606001</v>
      </c>
      <c r="F167">
        <v>149.49213691027001</v>
      </c>
      <c r="G167">
        <v>120.92876965772</v>
      </c>
      <c r="I167" s="9">
        <f t="shared" si="15"/>
        <v>82.505210028340016</v>
      </c>
      <c r="J167" s="9">
        <f t="shared" si="16"/>
        <v>246.28625644152999</v>
      </c>
      <c r="K167" s="9">
        <f t="shared" si="17"/>
        <v>82.505210028340016</v>
      </c>
      <c r="L167" s="10">
        <f t="shared" si="14"/>
        <v>0.33499721511227448</v>
      </c>
      <c r="M167" s="10">
        <f t="shared" si="18"/>
        <v>0.43826826092087906</v>
      </c>
      <c r="P167" s="8">
        <f t="shared" si="19"/>
        <v>-20.562351115046631</v>
      </c>
    </row>
    <row r="168" spans="1:16" x14ac:dyDescent="0.2">
      <c r="A168" s="8">
        <v>83</v>
      </c>
      <c r="B168" s="8">
        <v>166</v>
      </c>
      <c r="D168">
        <v>394.80426716141</v>
      </c>
      <c r="E168">
        <v>205.2987012987</v>
      </c>
      <c r="F168">
        <v>149.53376503237999</v>
      </c>
      <c r="G168">
        <v>120.94264569843</v>
      </c>
      <c r="I168" s="9">
        <f t="shared" si="15"/>
        <v>84.356055600269997</v>
      </c>
      <c r="J168" s="9">
        <f t="shared" si="16"/>
        <v>245.27050212903001</v>
      </c>
      <c r="K168" s="9">
        <f t="shared" si="17"/>
        <v>84.356055600269997</v>
      </c>
      <c r="L168" s="10">
        <f t="shared" si="14"/>
        <v>0.34393070046349322</v>
      </c>
      <c r="M168" s="10">
        <f t="shared" si="18"/>
        <v>0.44782763139821058</v>
      </c>
      <c r="P168" s="8">
        <f t="shared" si="19"/>
        <v>-18.829681918459428</v>
      </c>
    </row>
    <row r="169" spans="1:16" x14ac:dyDescent="0.2">
      <c r="A169" s="8">
        <v>83.5</v>
      </c>
      <c r="B169" s="8">
        <v>167</v>
      </c>
      <c r="D169">
        <v>383.63425925925998</v>
      </c>
      <c r="E169">
        <v>202.65740740741001</v>
      </c>
      <c r="F169">
        <v>149.65679925994999</v>
      </c>
      <c r="G169">
        <v>120.42738205365001</v>
      </c>
      <c r="I169" s="9">
        <f t="shared" si="15"/>
        <v>82.230025353759999</v>
      </c>
      <c r="J169" s="9">
        <f t="shared" si="16"/>
        <v>233.97745999930999</v>
      </c>
      <c r="K169" s="9">
        <f t="shared" si="17"/>
        <v>82.230025353759999</v>
      </c>
      <c r="L169" s="10">
        <f t="shared" si="14"/>
        <v>0.351444217549855</v>
      </c>
      <c r="M169" s="10">
        <f t="shared" si="18"/>
        <v>0.45596703361068508</v>
      </c>
      <c r="P169" s="8">
        <f t="shared" si="19"/>
        <v>-17.35438691596622</v>
      </c>
    </row>
    <row r="170" spans="1:16" x14ac:dyDescent="0.2">
      <c r="A170" s="8">
        <v>84</v>
      </c>
      <c r="B170" s="8">
        <v>168</v>
      </c>
      <c r="D170">
        <v>388.58156682027999</v>
      </c>
      <c r="E170">
        <v>206.58709677419</v>
      </c>
      <c r="F170">
        <v>149.26456984274</v>
      </c>
      <c r="G170">
        <v>120.17021276596</v>
      </c>
      <c r="I170" s="9">
        <f t="shared" si="15"/>
        <v>86.416884008229999</v>
      </c>
      <c r="J170" s="9">
        <f t="shared" si="16"/>
        <v>239.31699697753999</v>
      </c>
      <c r="K170" s="9">
        <f t="shared" si="17"/>
        <v>86.416884008229999</v>
      </c>
      <c r="L170" s="10">
        <f t="shared" si="14"/>
        <v>0.36109797924775172</v>
      </c>
      <c r="M170" s="10">
        <f t="shared" si="18"/>
        <v>0.46624668043469458</v>
      </c>
      <c r="P170" s="8">
        <f t="shared" si="19"/>
        <v>-15.491165122649061</v>
      </c>
    </row>
    <row r="171" spans="1:16" x14ac:dyDescent="0.2">
      <c r="A171" s="8">
        <v>84.5</v>
      </c>
      <c r="B171" s="8">
        <v>169</v>
      </c>
      <c r="D171">
        <v>389.02211981567001</v>
      </c>
      <c r="E171">
        <v>208.0930875576</v>
      </c>
      <c r="F171">
        <v>149.13968547640999</v>
      </c>
      <c r="G171">
        <v>121.01110083256</v>
      </c>
      <c r="I171" s="9">
        <f t="shared" si="15"/>
        <v>87.081986725039997</v>
      </c>
      <c r="J171" s="9">
        <f t="shared" si="16"/>
        <v>239.88243433926002</v>
      </c>
      <c r="K171" s="9">
        <f t="shared" si="17"/>
        <v>87.081986725039997</v>
      </c>
      <c r="L171" s="10">
        <f t="shared" si="14"/>
        <v>0.36301943893850108</v>
      </c>
      <c r="M171" s="10">
        <f t="shared" si="18"/>
        <v>0.46879402525155667</v>
      </c>
      <c r="P171" s="8">
        <f t="shared" si="19"/>
        <v>-15.029450001582315</v>
      </c>
    </row>
    <row r="172" spans="1:16" x14ac:dyDescent="0.2">
      <c r="A172" s="8">
        <v>85</v>
      </c>
      <c r="B172" s="8">
        <v>170</v>
      </c>
      <c r="D172">
        <v>389.40368663595001</v>
      </c>
      <c r="E172">
        <v>206.08940092166</v>
      </c>
      <c r="F172">
        <v>149.56151711378001</v>
      </c>
      <c r="G172">
        <v>120.81868640147999</v>
      </c>
      <c r="I172" s="9">
        <f t="shared" si="15"/>
        <v>85.270714520180007</v>
      </c>
      <c r="J172" s="9">
        <f t="shared" si="16"/>
        <v>239.84216952217</v>
      </c>
      <c r="K172" s="9">
        <f t="shared" si="17"/>
        <v>85.270714520180007</v>
      </c>
      <c r="L172" s="10">
        <f t="shared" si="14"/>
        <v>0.35552844893815866</v>
      </c>
      <c r="M172" s="10">
        <f t="shared" si="18"/>
        <v>0.46192892037732702</v>
      </c>
      <c r="P172" s="8">
        <f t="shared" si="19"/>
        <v>-16.273774172836617</v>
      </c>
    </row>
    <row r="173" spans="1:16" x14ac:dyDescent="0.2">
      <c r="A173" s="8">
        <v>85.5</v>
      </c>
      <c r="B173" s="8">
        <v>171</v>
      </c>
      <c r="D173">
        <v>384.49400921658997</v>
      </c>
      <c r="E173">
        <v>204.63502304148</v>
      </c>
      <c r="F173">
        <v>149.45790934319999</v>
      </c>
      <c r="G173">
        <v>120.83533765032</v>
      </c>
      <c r="I173" s="9">
        <f t="shared" si="15"/>
        <v>83.799685391159997</v>
      </c>
      <c r="J173" s="9">
        <f t="shared" si="16"/>
        <v>235.03609987338999</v>
      </c>
      <c r="K173" s="9">
        <f t="shared" si="17"/>
        <v>83.799685391159997</v>
      </c>
      <c r="L173" s="10">
        <f t="shared" si="14"/>
        <v>0.35653963555514018</v>
      </c>
      <c r="M173" s="10">
        <f t="shared" si="18"/>
        <v>0.46356599212042127</v>
      </c>
      <c r="P173" s="8">
        <f t="shared" si="19"/>
        <v>-15.977049217088849</v>
      </c>
    </row>
    <row r="174" spans="1:16" x14ac:dyDescent="0.2">
      <c r="A174" s="8">
        <v>86</v>
      </c>
      <c r="B174" s="8">
        <v>172</v>
      </c>
      <c r="D174">
        <v>386.00368663594998</v>
      </c>
      <c r="E174">
        <v>207.12442396313</v>
      </c>
      <c r="F174">
        <v>149.46623496762001</v>
      </c>
      <c r="G174">
        <v>120.70397779834001</v>
      </c>
      <c r="I174" s="9">
        <f t="shared" si="15"/>
        <v>86.420446164789993</v>
      </c>
      <c r="J174" s="9">
        <f t="shared" si="16"/>
        <v>236.53745166832996</v>
      </c>
      <c r="K174" s="9">
        <f t="shared" si="17"/>
        <v>86.420446164789993</v>
      </c>
      <c r="L174" s="10">
        <f t="shared" si="14"/>
        <v>0.36535629159465083</v>
      </c>
      <c r="M174" s="10">
        <f t="shared" si="18"/>
        <v>0.4730085332860447</v>
      </c>
      <c r="P174" s="8">
        <f t="shared" si="19"/>
        <v>-14.265555740193136</v>
      </c>
    </row>
    <row r="175" spans="1:16" x14ac:dyDescent="0.2">
      <c r="A175" s="8">
        <v>86.5</v>
      </c>
      <c r="B175" s="8">
        <v>173</v>
      </c>
      <c r="D175">
        <v>385.23317972349997</v>
      </c>
      <c r="E175">
        <v>206.71612903226</v>
      </c>
      <c r="F175">
        <v>149.27382053654</v>
      </c>
      <c r="G175">
        <v>121.13876040703001</v>
      </c>
      <c r="I175" s="9">
        <f t="shared" si="15"/>
        <v>85.577368625229994</v>
      </c>
      <c r="J175" s="9">
        <f t="shared" si="16"/>
        <v>235.95935918695997</v>
      </c>
      <c r="K175" s="9">
        <f t="shared" si="17"/>
        <v>85.577368625229994</v>
      </c>
      <c r="L175" s="10">
        <f t="shared" si="14"/>
        <v>0.36267842445454196</v>
      </c>
      <c r="M175" s="10">
        <f t="shared" si="18"/>
        <v>0.47095655127204861</v>
      </c>
      <c r="P175" s="8">
        <f t="shared" si="19"/>
        <v>-14.637484627773448</v>
      </c>
    </row>
    <row r="176" spans="1:16" x14ac:dyDescent="0.2">
      <c r="A176" s="8">
        <v>87</v>
      </c>
      <c r="B176" s="8">
        <v>174</v>
      </c>
      <c r="D176">
        <v>388.94624652456002</v>
      </c>
      <c r="E176">
        <v>207.65338276182001</v>
      </c>
      <c r="F176">
        <v>149.51988899167</v>
      </c>
      <c r="G176">
        <v>120.91304347825999</v>
      </c>
      <c r="I176" s="9">
        <f t="shared" si="15"/>
        <v>86.740339283560019</v>
      </c>
      <c r="J176" s="9">
        <f t="shared" si="16"/>
        <v>239.42635753289002</v>
      </c>
      <c r="K176" s="9">
        <f t="shared" si="17"/>
        <v>86.740339283560019</v>
      </c>
      <c r="L176" s="10">
        <f t="shared" si="14"/>
        <v>0.362284003220675</v>
      </c>
      <c r="M176" s="10">
        <f t="shared" si="18"/>
        <v>0.47118801516429437</v>
      </c>
      <c r="P176" s="8">
        <f t="shared" si="19"/>
        <v>-14.595530991059876</v>
      </c>
    </row>
    <row r="177" spans="1:16" x14ac:dyDescent="0.2">
      <c r="A177" s="8">
        <v>87.5</v>
      </c>
      <c r="B177" s="8">
        <v>175</v>
      </c>
      <c r="D177">
        <v>380.97590361445998</v>
      </c>
      <c r="E177">
        <v>204.71733086191</v>
      </c>
      <c r="F177">
        <v>149.49121184089</v>
      </c>
      <c r="G177">
        <v>121.09250693801999</v>
      </c>
      <c r="I177" s="9">
        <f t="shared" si="15"/>
        <v>83.624823923890006</v>
      </c>
      <c r="J177" s="9">
        <f t="shared" si="16"/>
        <v>231.48469177356998</v>
      </c>
      <c r="K177" s="9">
        <f t="shared" si="17"/>
        <v>83.624823923890006</v>
      </c>
      <c r="L177" s="10">
        <f t="shared" si="14"/>
        <v>0.36125422931071749</v>
      </c>
      <c r="M177" s="10">
        <f t="shared" si="18"/>
        <v>0.47078412638044964</v>
      </c>
      <c r="P177" s="8">
        <f t="shared" si="19"/>
        <v>-14.668737239972845</v>
      </c>
    </row>
    <row r="178" spans="1:16" x14ac:dyDescent="0.2">
      <c r="A178" s="8">
        <v>88</v>
      </c>
      <c r="B178" s="8">
        <v>176</v>
      </c>
      <c r="D178">
        <v>384.33055555556001</v>
      </c>
      <c r="E178">
        <v>208.36851851852001</v>
      </c>
      <c r="F178">
        <v>149.05272895466999</v>
      </c>
      <c r="G178">
        <v>120.88344125809</v>
      </c>
      <c r="I178" s="9">
        <f t="shared" si="15"/>
        <v>87.485077260430003</v>
      </c>
      <c r="J178" s="9">
        <f t="shared" si="16"/>
        <v>235.27782660089002</v>
      </c>
      <c r="K178" s="9">
        <f t="shared" si="17"/>
        <v>87.485077260430003</v>
      </c>
      <c r="L178" s="10">
        <f t="shared" si="14"/>
        <v>0.37183732323757812</v>
      </c>
      <c r="M178" s="10">
        <f t="shared" si="18"/>
        <v>0.481993105433423</v>
      </c>
      <c r="P178" s="8">
        <f t="shared" si="19"/>
        <v>-12.637070743069842</v>
      </c>
    </row>
    <row r="179" spans="1:16" x14ac:dyDescent="0.2">
      <c r="A179" s="8">
        <v>88.5</v>
      </c>
      <c r="B179" s="8">
        <v>177</v>
      </c>
      <c r="D179">
        <v>386.43055555555998</v>
      </c>
      <c r="E179">
        <v>208.09722222222001</v>
      </c>
      <c r="F179">
        <v>149.177613321</v>
      </c>
      <c r="G179">
        <v>120.70675300648</v>
      </c>
      <c r="I179" s="9">
        <f t="shared" si="15"/>
        <v>87.390469215740012</v>
      </c>
      <c r="J179" s="9">
        <f t="shared" si="16"/>
        <v>237.25294223455998</v>
      </c>
      <c r="K179" s="9">
        <f t="shared" si="17"/>
        <v>87.390469215740012</v>
      </c>
      <c r="L179" s="10">
        <f t="shared" si="14"/>
        <v>0.36834303672972568</v>
      </c>
      <c r="M179" s="10">
        <f t="shared" si="18"/>
        <v>0.47912470405168334</v>
      </c>
      <c r="P179" s="8">
        <f t="shared" si="19"/>
        <v>-13.156978484837357</v>
      </c>
    </row>
    <row r="180" spans="1:16" x14ac:dyDescent="0.2">
      <c r="A180" s="8">
        <v>89</v>
      </c>
      <c r="B180" s="8">
        <v>178</v>
      </c>
      <c r="D180">
        <v>387.81018518518999</v>
      </c>
      <c r="E180">
        <v>212.16203703703999</v>
      </c>
      <c r="F180">
        <v>149.69842738205</v>
      </c>
      <c r="G180">
        <v>120.40518038853</v>
      </c>
      <c r="I180" s="9">
        <f t="shared" si="15"/>
        <v>91.756856648509995</v>
      </c>
      <c r="J180" s="9">
        <f t="shared" si="16"/>
        <v>238.11175780313999</v>
      </c>
      <c r="K180" s="9">
        <f t="shared" si="17"/>
        <v>91.756856648509995</v>
      </c>
      <c r="L180" s="10">
        <f t="shared" si="14"/>
        <v>0.38535206112908715</v>
      </c>
      <c r="M180" s="10">
        <f t="shared" si="18"/>
        <v>0.49675961357715759</v>
      </c>
      <c r="P180" s="8">
        <f t="shared" si="19"/>
        <v>-9.9605897067427343</v>
      </c>
    </row>
    <row r="181" spans="1:16" x14ac:dyDescent="0.2">
      <c r="A181" s="8">
        <v>89.5</v>
      </c>
      <c r="B181" s="8">
        <v>179</v>
      </c>
      <c r="D181">
        <v>391.19444444444002</v>
      </c>
      <c r="E181">
        <v>217.37962962962999</v>
      </c>
      <c r="F181">
        <v>149.93617021277001</v>
      </c>
      <c r="G181">
        <v>121.10453283996</v>
      </c>
      <c r="I181" s="9">
        <f t="shared" si="15"/>
        <v>96.275096789669988</v>
      </c>
      <c r="J181" s="9">
        <f t="shared" si="16"/>
        <v>241.25827423167001</v>
      </c>
      <c r="K181" s="9">
        <f t="shared" si="17"/>
        <v>96.275096789669988</v>
      </c>
      <c r="L181" s="10">
        <f t="shared" si="14"/>
        <v>0.39905407222311939</v>
      </c>
      <c r="M181" s="10">
        <f t="shared" si="18"/>
        <v>0.51108750979730255</v>
      </c>
      <c r="P181" s="8">
        <f t="shared" si="19"/>
        <v>-7.3636086093563522</v>
      </c>
    </row>
    <row r="182" spans="1:16" x14ac:dyDescent="0.2">
      <c r="A182" s="8">
        <v>90</v>
      </c>
      <c r="B182" s="8">
        <v>180</v>
      </c>
      <c r="D182">
        <v>379.85648148147999</v>
      </c>
      <c r="E182">
        <v>214.03333333333001</v>
      </c>
      <c r="F182">
        <v>149.90471785384</v>
      </c>
      <c r="G182">
        <v>120.14801110083</v>
      </c>
      <c r="I182" s="9">
        <f t="shared" si="15"/>
        <v>93.885322232500002</v>
      </c>
      <c r="J182" s="9">
        <f t="shared" si="16"/>
        <v>229.95176362763999</v>
      </c>
      <c r="K182" s="9">
        <f t="shared" si="17"/>
        <v>93.885322232500002</v>
      </c>
      <c r="L182" s="10">
        <f t="shared" si="14"/>
        <v>0.40828267959939696</v>
      </c>
      <c r="M182" s="10">
        <f>L182+ABS($N$2)*A182</f>
        <v>0.5209420022996929</v>
      </c>
      <c r="P182" s="8">
        <f t="shared" si="19"/>
        <v>-5.5774475177467258</v>
      </c>
    </row>
    <row r="183" spans="1:16" x14ac:dyDescent="0.2">
      <c r="A183" s="8">
        <v>90.5</v>
      </c>
      <c r="B183" s="8">
        <v>181</v>
      </c>
      <c r="D183">
        <v>390.92407407407001</v>
      </c>
      <c r="E183">
        <v>215.73333333332999</v>
      </c>
      <c r="F183">
        <v>149.98704902867999</v>
      </c>
      <c r="G183">
        <v>120.39870490286999</v>
      </c>
      <c r="I183" s="9">
        <f t="shared" si="15"/>
        <v>95.33462843046</v>
      </c>
      <c r="J183" s="9">
        <f t="shared" si="16"/>
        <v>240.93702504539002</v>
      </c>
      <c r="K183" s="9">
        <f t="shared" si="17"/>
        <v>95.33462843046</v>
      </c>
      <c r="L183" s="10">
        <f t="shared" si="14"/>
        <v>0.39568276570402555</v>
      </c>
      <c r="M183" s="10">
        <f t="shared" ref="M183:M241" si="20">L183+ABS($N$2)*A183</f>
        <v>0.50896797353043421</v>
      </c>
      <c r="P183" s="8">
        <f t="shared" si="19"/>
        <v>-7.747781940577358</v>
      </c>
    </row>
    <row r="184" spans="1:16" x14ac:dyDescent="0.2">
      <c r="A184" s="8">
        <v>91</v>
      </c>
      <c r="B184" s="8">
        <v>182</v>
      </c>
      <c r="D184">
        <v>389.01481481482</v>
      </c>
      <c r="E184">
        <v>217.47777777778001</v>
      </c>
      <c r="F184">
        <v>148.94449583719</v>
      </c>
      <c r="G184">
        <v>120.63367252544001</v>
      </c>
      <c r="I184" s="9">
        <f t="shared" si="15"/>
        <v>96.84410525234</v>
      </c>
      <c r="J184" s="9">
        <f t="shared" si="16"/>
        <v>240.07031897763</v>
      </c>
      <c r="K184" s="9">
        <f t="shared" si="17"/>
        <v>96.84410525234</v>
      </c>
      <c r="L184" s="10">
        <f t="shared" si="14"/>
        <v>0.40339891105557302</v>
      </c>
      <c r="M184" s="10">
        <f t="shared" si="20"/>
        <v>0.51731000400809446</v>
      </c>
      <c r="P184" s="8">
        <f t="shared" si="19"/>
        <v>-6.2357598592165848</v>
      </c>
    </row>
    <row r="185" spans="1:16" x14ac:dyDescent="0.2">
      <c r="A185" s="8">
        <v>91.5</v>
      </c>
      <c r="B185" s="8">
        <v>183</v>
      </c>
      <c r="D185">
        <v>388.70588235294002</v>
      </c>
      <c r="E185">
        <v>215.61672794117999</v>
      </c>
      <c r="F185">
        <v>149.28677150786001</v>
      </c>
      <c r="G185">
        <v>120.57261794634999</v>
      </c>
      <c r="I185" s="9">
        <f t="shared" si="15"/>
        <v>95.044109994829995</v>
      </c>
      <c r="J185" s="9">
        <f t="shared" si="16"/>
        <v>239.41911084508001</v>
      </c>
      <c r="K185" s="9">
        <f t="shared" si="17"/>
        <v>95.044109994829995</v>
      </c>
      <c r="L185" s="10">
        <f t="shared" si="14"/>
        <v>0.39697795910840977</v>
      </c>
      <c r="M185" s="10">
        <f t="shared" si="20"/>
        <v>0.51151493718704399</v>
      </c>
      <c r="P185" s="8">
        <f t="shared" si="19"/>
        <v>-7.2861359061340156</v>
      </c>
    </row>
    <row r="186" spans="1:16" x14ac:dyDescent="0.2">
      <c r="A186" s="8">
        <v>92</v>
      </c>
      <c r="B186" s="8">
        <v>184</v>
      </c>
      <c r="D186">
        <v>384.16911764705998</v>
      </c>
      <c r="E186">
        <v>211.63143382352999</v>
      </c>
      <c r="F186">
        <v>148.69565217390999</v>
      </c>
      <c r="G186">
        <v>120.68270120259</v>
      </c>
      <c r="I186" s="9">
        <f t="shared" si="15"/>
        <v>90.948732620939992</v>
      </c>
      <c r="J186" s="9">
        <f t="shared" si="16"/>
        <v>235.47346547314999</v>
      </c>
      <c r="K186" s="9">
        <f t="shared" si="17"/>
        <v>90.948732620939992</v>
      </c>
      <c r="L186" s="10">
        <f t="shared" si="14"/>
        <v>0.38623771233922949</v>
      </c>
      <c r="M186" s="10">
        <f t="shared" si="20"/>
        <v>0.50140057554397643</v>
      </c>
      <c r="P186" s="8">
        <f t="shared" si="19"/>
        <v>-9.119399184677679</v>
      </c>
    </row>
    <row r="187" spans="1:16" x14ac:dyDescent="0.2">
      <c r="A187" s="8">
        <v>92.5</v>
      </c>
      <c r="B187" s="8">
        <v>185</v>
      </c>
      <c r="D187">
        <v>389.07599629286</v>
      </c>
      <c r="E187">
        <v>213.05746061168</v>
      </c>
      <c r="F187">
        <v>149.31452358927001</v>
      </c>
      <c r="G187">
        <v>120.37742830712</v>
      </c>
      <c r="I187" s="9">
        <f t="shared" si="15"/>
        <v>92.680032304560001</v>
      </c>
      <c r="J187" s="9">
        <f t="shared" si="16"/>
        <v>239.76147270358999</v>
      </c>
      <c r="K187" s="9">
        <f t="shared" si="17"/>
        <v>92.680032304560001</v>
      </c>
      <c r="L187" s="10">
        <f t="shared" si="14"/>
        <v>0.3865509802700352</v>
      </c>
      <c r="M187" s="10">
        <f t="shared" si="20"/>
        <v>0.50233972860089493</v>
      </c>
      <c r="P187" s="8">
        <f t="shared" si="19"/>
        <v>-8.9491744218167657</v>
      </c>
    </row>
    <row r="188" spans="1:16" x14ac:dyDescent="0.2">
      <c r="A188" s="8">
        <v>93</v>
      </c>
      <c r="B188" s="8">
        <v>186</v>
      </c>
      <c r="D188">
        <v>384.19926199261999</v>
      </c>
      <c r="E188">
        <v>213.84132841328</v>
      </c>
      <c r="F188">
        <v>149.21276595744999</v>
      </c>
      <c r="G188">
        <v>120.56614246069</v>
      </c>
      <c r="I188" s="9">
        <f t="shared" si="15"/>
        <v>93.275185952589993</v>
      </c>
      <c r="J188" s="9">
        <f t="shared" si="16"/>
        <v>234.98649603517001</v>
      </c>
      <c r="K188" s="9">
        <f t="shared" si="17"/>
        <v>93.275185952589993</v>
      </c>
      <c r="L188" s="10">
        <f t="shared" si="14"/>
        <v>0.39693849445131374</v>
      </c>
      <c r="M188" s="10">
        <f t="shared" si="20"/>
        <v>0.51335312790828613</v>
      </c>
      <c r="P188" s="8">
        <f t="shared" si="19"/>
        <v>-6.9529574350514975</v>
      </c>
    </row>
    <row r="189" spans="1:16" x14ac:dyDescent="0.2">
      <c r="A189" s="8">
        <v>93.5</v>
      </c>
      <c r="B189" s="8">
        <v>187</v>
      </c>
      <c r="D189">
        <v>370.21033210332001</v>
      </c>
      <c r="E189">
        <v>206.90682656826999</v>
      </c>
      <c r="F189">
        <v>148.67807585569</v>
      </c>
      <c r="G189">
        <v>120.72155411656</v>
      </c>
      <c r="I189" s="9">
        <f t="shared" si="15"/>
        <v>86.185272451709992</v>
      </c>
      <c r="J189" s="9">
        <f t="shared" si="16"/>
        <v>221.53225624763002</v>
      </c>
      <c r="K189" s="9">
        <f t="shared" si="17"/>
        <v>86.185272451709992</v>
      </c>
      <c r="L189" s="10">
        <f t="shared" si="14"/>
        <v>0.38904164075940079</v>
      </c>
      <c r="M189" s="10">
        <f t="shared" si="20"/>
        <v>0.50608215934248602</v>
      </c>
      <c r="P189" s="8">
        <f t="shared" si="19"/>
        <v>-8.2708458141231365</v>
      </c>
    </row>
    <row r="190" spans="1:16" x14ac:dyDescent="0.2">
      <c r="A190" s="8">
        <v>94</v>
      </c>
      <c r="B190" s="8">
        <v>188</v>
      </c>
      <c r="D190">
        <v>383.18064516128999</v>
      </c>
      <c r="E190">
        <v>211.4</v>
      </c>
      <c r="F190">
        <v>149.05920444033001</v>
      </c>
      <c r="G190">
        <v>120.55504162811999</v>
      </c>
      <c r="I190" s="9">
        <f t="shared" si="15"/>
        <v>90.844958371880011</v>
      </c>
      <c r="J190" s="9">
        <f t="shared" si="16"/>
        <v>234.12144072095998</v>
      </c>
      <c r="K190" s="9">
        <f t="shared" si="17"/>
        <v>90.844958371880011</v>
      </c>
      <c r="L190" s="10">
        <f t="shared" si="14"/>
        <v>0.38802494163767981</v>
      </c>
      <c r="M190" s="10">
        <f t="shared" si="20"/>
        <v>0.50569134534687776</v>
      </c>
      <c r="P190" s="8">
        <f t="shared" si="19"/>
        <v>-8.3416822121256331</v>
      </c>
    </row>
    <row r="191" spans="1:16" x14ac:dyDescent="0.2">
      <c r="A191" s="8">
        <v>94.5</v>
      </c>
      <c r="B191" s="8">
        <v>189</v>
      </c>
      <c r="D191">
        <v>378.55391705069002</v>
      </c>
      <c r="E191">
        <v>206.47834101383</v>
      </c>
      <c r="F191">
        <v>149.40518038853</v>
      </c>
      <c r="G191">
        <v>120.37002775208001</v>
      </c>
      <c r="I191" s="9">
        <f t="shared" si="15"/>
        <v>86.108313261749998</v>
      </c>
      <c r="J191" s="9">
        <f t="shared" si="16"/>
        <v>229.14873666216002</v>
      </c>
      <c r="K191" s="9">
        <f t="shared" si="17"/>
        <v>86.108313261749998</v>
      </c>
      <c r="L191" s="10">
        <f t="shared" si="14"/>
        <v>0.37577476758556927</v>
      </c>
      <c r="M191" s="10">
        <f t="shared" si="20"/>
        <v>0.49406705642088</v>
      </c>
      <c r="P191" s="8">
        <f t="shared" si="19"/>
        <v>-10.448625070137807</v>
      </c>
    </row>
    <row r="192" spans="1:16" x14ac:dyDescent="0.2">
      <c r="A192" s="8">
        <v>95</v>
      </c>
      <c r="B192" s="8">
        <v>190</v>
      </c>
      <c r="D192">
        <v>371.73271889401002</v>
      </c>
      <c r="E192">
        <v>205.18894009216999</v>
      </c>
      <c r="F192">
        <v>149.03885291397</v>
      </c>
      <c r="G192">
        <v>120.31359851988999</v>
      </c>
      <c r="I192" s="9">
        <f t="shared" si="15"/>
        <v>84.875341572279993</v>
      </c>
      <c r="J192" s="9">
        <f t="shared" si="16"/>
        <v>222.69386598004002</v>
      </c>
      <c r="K192" s="9">
        <f t="shared" si="17"/>
        <v>84.875341572279993</v>
      </c>
      <c r="L192" s="10">
        <f t="shared" si="14"/>
        <v>0.38113012766991677</v>
      </c>
      <c r="M192" s="10">
        <f t="shared" si="20"/>
        <v>0.50004830163134029</v>
      </c>
      <c r="P192" s="8">
        <f t="shared" si="19"/>
        <v>-9.3645035416360436</v>
      </c>
    </row>
    <row r="193" spans="1:16" x14ac:dyDescent="0.2">
      <c r="A193" s="8">
        <v>95.5</v>
      </c>
      <c r="B193" s="8">
        <v>191</v>
      </c>
      <c r="D193">
        <v>382.39981617646998</v>
      </c>
      <c r="E193">
        <v>213.89338235293999</v>
      </c>
      <c r="F193">
        <v>149.46160962072</v>
      </c>
      <c r="G193">
        <v>120.76410730805</v>
      </c>
      <c r="I193" s="9">
        <f t="shared" si="15"/>
        <v>93.129275044889994</v>
      </c>
      <c r="J193" s="9">
        <f t="shared" si="16"/>
        <v>232.93820655574999</v>
      </c>
      <c r="K193" s="9">
        <f t="shared" si="17"/>
        <v>93.129275044889994</v>
      </c>
      <c r="L193" s="10">
        <f t="shared" si="14"/>
        <v>0.3998024902050622</v>
      </c>
      <c r="M193" s="10">
        <f t="shared" si="20"/>
        <v>0.51934654929259838</v>
      </c>
      <c r="P193" s="8">
        <f t="shared" si="19"/>
        <v>-5.8666289326265444</v>
      </c>
    </row>
    <row r="194" spans="1:16" x14ac:dyDescent="0.2">
      <c r="A194" s="8">
        <v>96</v>
      </c>
      <c r="B194" s="8">
        <v>192</v>
      </c>
      <c r="D194">
        <v>381.84191176471001</v>
      </c>
      <c r="E194">
        <v>218.61580882352999</v>
      </c>
      <c r="F194">
        <v>149.55226641997999</v>
      </c>
      <c r="G194">
        <v>120.65032377428</v>
      </c>
      <c r="I194" s="9">
        <f t="shared" si="15"/>
        <v>97.965485049249992</v>
      </c>
      <c r="J194" s="9">
        <f t="shared" si="16"/>
        <v>232.28964534473002</v>
      </c>
      <c r="K194" s="9">
        <f t="shared" si="17"/>
        <v>97.965485049249992</v>
      </c>
      <c r="L194" s="10">
        <f t="shared" ref="L194:L257" si="21">K194/J194</f>
        <v>0.42173849335326191</v>
      </c>
      <c r="M194" s="10">
        <f t="shared" si="20"/>
        <v>0.54190843756691087</v>
      </c>
      <c r="P194" s="8">
        <f t="shared" si="19"/>
        <v>-1.7772080944610784</v>
      </c>
    </row>
    <row r="195" spans="1:16" x14ac:dyDescent="0.2">
      <c r="A195" s="8">
        <v>96.5</v>
      </c>
      <c r="B195" s="8">
        <v>193</v>
      </c>
      <c r="D195">
        <v>380.71231617646998</v>
      </c>
      <c r="E195">
        <v>218.78860294117999</v>
      </c>
      <c r="F195">
        <v>149.58741905643001</v>
      </c>
      <c r="G195">
        <v>120.54764107308</v>
      </c>
      <c r="I195" s="9">
        <f t="shared" ref="I195:I241" si="22">E195-G195</f>
        <v>98.240961868099987</v>
      </c>
      <c r="J195" s="9">
        <f t="shared" ref="J195:J241" si="23">D195-F195</f>
        <v>231.12489712003998</v>
      </c>
      <c r="K195" s="9">
        <f t="shared" ref="K195:K258" si="24">I195*1</f>
        <v>98.240961868099987</v>
      </c>
      <c r="L195" s="10">
        <f t="shared" si="21"/>
        <v>0.42505573000677771</v>
      </c>
      <c r="M195" s="10">
        <f t="shared" si="20"/>
        <v>0.54585155934653939</v>
      </c>
      <c r="P195" s="8">
        <f t="shared" ref="P195:P241" si="25">(M195-$O$2)/$O$2*100</f>
        <v>-1.062503537068338</v>
      </c>
    </row>
    <row r="196" spans="1:16" x14ac:dyDescent="0.2">
      <c r="A196" s="8">
        <v>97</v>
      </c>
      <c r="B196" s="8">
        <v>194</v>
      </c>
      <c r="D196">
        <v>367.43566176471001</v>
      </c>
      <c r="E196">
        <v>210.41727941177001</v>
      </c>
      <c r="F196">
        <v>148.82053654024</v>
      </c>
      <c r="G196">
        <v>120.35337650324</v>
      </c>
      <c r="I196" s="9">
        <f t="shared" si="22"/>
        <v>90.063902908530011</v>
      </c>
      <c r="J196" s="9">
        <f t="shared" si="23"/>
        <v>218.61512522447001</v>
      </c>
      <c r="K196" s="9">
        <f t="shared" si="24"/>
        <v>90.063902908530011</v>
      </c>
      <c r="L196" s="10">
        <f t="shared" si="21"/>
        <v>0.41197471042341671</v>
      </c>
      <c r="M196" s="10">
        <f t="shared" si="20"/>
        <v>0.53339642488929118</v>
      </c>
      <c r="P196" s="8">
        <f t="shared" si="25"/>
        <v>-3.32004004165311</v>
      </c>
    </row>
    <row r="197" spans="1:16" x14ac:dyDescent="0.2">
      <c r="A197" s="8">
        <v>97.5</v>
      </c>
      <c r="B197" s="8">
        <v>195</v>
      </c>
      <c r="D197">
        <v>375.47004608294998</v>
      </c>
      <c r="E197">
        <v>209.68387096774001</v>
      </c>
      <c r="F197">
        <v>149.65772432932999</v>
      </c>
      <c r="G197">
        <v>120.29324699353</v>
      </c>
      <c r="I197" s="9">
        <f t="shared" si="22"/>
        <v>89.390623974210001</v>
      </c>
      <c r="J197" s="9">
        <f t="shared" si="23"/>
        <v>225.81232175361998</v>
      </c>
      <c r="K197" s="9">
        <f t="shared" si="24"/>
        <v>89.390623974210001</v>
      </c>
      <c r="L197" s="10">
        <f t="shared" si="21"/>
        <v>0.39586247233993993</v>
      </c>
      <c r="M197" s="10">
        <f t="shared" si="20"/>
        <v>0.51791007193192717</v>
      </c>
      <c r="P197" s="8">
        <f t="shared" si="25"/>
        <v>-6.1269954578419856</v>
      </c>
    </row>
    <row r="198" spans="1:16" x14ac:dyDescent="0.2">
      <c r="A198" s="8">
        <v>98</v>
      </c>
      <c r="B198" s="8">
        <v>196</v>
      </c>
      <c r="D198">
        <v>379.03225806452002</v>
      </c>
      <c r="E198">
        <v>217.24884792627</v>
      </c>
      <c r="F198">
        <v>148.94819611470999</v>
      </c>
      <c r="G198">
        <v>120.38112858464</v>
      </c>
      <c r="I198" s="9">
        <f t="shared" si="22"/>
        <v>96.867719341630007</v>
      </c>
      <c r="J198" s="9">
        <f t="shared" si="23"/>
        <v>230.08406194981004</v>
      </c>
      <c r="K198" s="9">
        <f t="shared" si="24"/>
        <v>96.867719341630007</v>
      </c>
      <c r="L198" s="10">
        <f t="shared" si="21"/>
        <v>0.42101012352068301</v>
      </c>
      <c r="M198" s="10">
        <f t="shared" si="20"/>
        <v>0.54368360823878303</v>
      </c>
      <c r="P198" s="8">
        <f t="shared" si="25"/>
        <v>-1.4554522268407555</v>
      </c>
    </row>
    <row r="199" spans="1:16" x14ac:dyDescent="0.2">
      <c r="A199" s="8">
        <v>98.5</v>
      </c>
      <c r="B199" s="8">
        <v>197</v>
      </c>
      <c r="D199">
        <v>384.37972350230001</v>
      </c>
      <c r="E199">
        <v>226.19262672811001</v>
      </c>
      <c r="F199">
        <v>149.30989824237</v>
      </c>
      <c r="G199">
        <v>120.43293246994</v>
      </c>
      <c r="I199" s="9">
        <f t="shared" si="22"/>
        <v>105.75969425817001</v>
      </c>
      <c r="J199" s="9">
        <f t="shared" si="23"/>
        <v>235.06982525993001</v>
      </c>
      <c r="K199" s="9">
        <f t="shared" si="24"/>
        <v>105.75969425817001</v>
      </c>
      <c r="L199" s="10">
        <f t="shared" si="21"/>
        <v>0.4499075716809911</v>
      </c>
      <c r="M199" s="10">
        <f t="shared" si="20"/>
        <v>0.57320694152520391</v>
      </c>
      <c r="P199" s="8">
        <f t="shared" si="25"/>
        <v>3.8957547681452454</v>
      </c>
    </row>
    <row r="200" spans="1:16" x14ac:dyDescent="0.2">
      <c r="A200" s="8">
        <v>99</v>
      </c>
      <c r="B200" s="8">
        <v>198</v>
      </c>
      <c r="D200">
        <v>388.52680221812</v>
      </c>
      <c r="E200">
        <v>222.9685767098</v>
      </c>
      <c r="F200">
        <v>149.31914893617</v>
      </c>
      <c r="G200">
        <v>120.19703977798</v>
      </c>
      <c r="I200" s="9">
        <f t="shared" si="22"/>
        <v>102.77153693182001</v>
      </c>
      <c r="J200" s="9">
        <f t="shared" si="23"/>
        <v>239.20765328195</v>
      </c>
      <c r="K200" s="9">
        <f t="shared" si="24"/>
        <v>102.77153693182001</v>
      </c>
      <c r="L200" s="10">
        <f t="shared" si="21"/>
        <v>0.42963314727512059</v>
      </c>
      <c r="M200" s="10">
        <f t="shared" si="20"/>
        <v>0.55355840224544606</v>
      </c>
      <c r="P200" s="8">
        <f t="shared" si="25"/>
        <v>0.3343885831332824</v>
      </c>
    </row>
    <row r="201" spans="1:16" x14ac:dyDescent="0.2">
      <c r="A201" s="8">
        <v>99.5</v>
      </c>
      <c r="B201" s="8">
        <v>199</v>
      </c>
      <c r="D201">
        <v>383.77541589649002</v>
      </c>
      <c r="E201">
        <v>223.46487985213</v>
      </c>
      <c r="F201">
        <v>149.25994449583999</v>
      </c>
      <c r="G201">
        <v>120.67715078630999</v>
      </c>
      <c r="I201" s="9">
        <f t="shared" si="22"/>
        <v>102.78772906582</v>
      </c>
      <c r="J201" s="9">
        <f t="shared" si="23"/>
        <v>234.51547140065003</v>
      </c>
      <c r="K201" s="9">
        <f t="shared" si="24"/>
        <v>102.78772906582</v>
      </c>
      <c r="L201" s="10">
        <f t="shared" si="21"/>
        <v>0.43829828561807671</v>
      </c>
      <c r="M201" s="10">
        <f t="shared" si="20"/>
        <v>0.56284942571451502</v>
      </c>
      <c r="P201" s="8">
        <f t="shared" si="25"/>
        <v>2.0184189497561658</v>
      </c>
    </row>
    <row r="202" spans="1:16" x14ac:dyDescent="0.2">
      <c r="A202" s="8">
        <v>100</v>
      </c>
      <c r="B202" s="8">
        <v>200</v>
      </c>
      <c r="D202">
        <v>386.20129270544999</v>
      </c>
      <c r="E202">
        <v>221.85687903971001</v>
      </c>
      <c r="F202">
        <v>149.23219241442999</v>
      </c>
      <c r="G202">
        <v>120.37927844588</v>
      </c>
      <c r="I202" s="9">
        <f t="shared" si="22"/>
        <v>101.47760059383</v>
      </c>
      <c r="J202" s="9">
        <f t="shared" si="23"/>
        <v>236.96910029102</v>
      </c>
      <c r="K202" s="9">
        <f t="shared" si="24"/>
        <v>101.47760059383</v>
      </c>
      <c r="L202" s="10">
        <f t="shared" si="21"/>
        <v>0.42823136210251089</v>
      </c>
      <c r="M202" s="10">
        <f t="shared" si="20"/>
        <v>0.55340838732506192</v>
      </c>
      <c r="P202" s="8">
        <f t="shared" si="25"/>
        <v>0.30719785627585561</v>
      </c>
    </row>
    <row r="203" spans="1:16" x14ac:dyDescent="0.2">
      <c r="A203" s="8">
        <v>100.5</v>
      </c>
      <c r="B203" s="8">
        <v>201</v>
      </c>
      <c r="D203">
        <v>377.75069252077998</v>
      </c>
      <c r="E203">
        <v>217.01846722068001</v>
      </c>
      <c r="F203">
        <v>149.04162812211001</v>
      </c>
      <c r="G203">
        <v>120.467160037</v>
      </c>
      <c r="I203" s="9">
        <f t="shared" si="22"/>
        <v>96.551307183680009</v>
      </c>
      <c r="J203" s="9">
        <f t="shared" si="23"/>
        <v>228.70906439866997</v>
      </c>
      <c r="K203" s="9">
        <f t="shared" si="24"/>
        <v>96.551307183680009</v>
      </c>
      <c r="L203" s="10">
        <f t="shared" si="21"/>
        <v>0.42215776378402908</v>
      </c>
      <c r="M203" s="10">
        <f t="shared" si="20"/>
        <v>0.54796067413269289</v>
      </c>
      <c r="P203" s="8">
        <f t="shared" si="25"/>
        <v>-0.68021913552740165</v>
      </c>
    </row>
    <row r="204" spans="1:16" x14ac:dyDescent="0.2">
      <c r="A204" s="8">
        <v>101</v>
      </c>
      <c r="B204" s="8">
        <v>202</v>
      </c>
      <c r="D204">
        <v>387.46765249537998</v>
      </c>
      <c r="E204">
        <v>219.13401109057</v>
      </c>
      <c r="F204">
        <v>148.77150786308999</v>
      </c>
      <c r="G204">
        <v>120.45605920444</v>
      </c>
      <c r="I204" s="9">
        <f t="shared" si="22"/>
        <v>98.677951886130003</v>
      </c>
      <c r="J204" s="9">
        <f t="shared" si="23"/>
        <v>238.69614463228999</v>
      </c>
      <c r="K204" s="9">
        <f t="shared" si="24"/>
        <v>98.677951886130003</v>
      </c>
      <c r="L204" s="10">
        <f t="shared" si="21"/>
        <v>0.41340404570900302</v>
      </c>
      <c r="M204" s="10">
        <f t="shared" si="20"/>
        <v>0.53983284118377961</v>
      </c>
      <c r="P204" s="8">
        <f t="shared" si="25"/>
        <v>-2.1534171687016301</v>
      </c>
    </row>
    <row r="205" spans="1:16" x14ac:dyDescent="0.2">
      <c r="A205" s="8">
        <v>101.5</v>
      </c>
      <c r="B205" s="8">
        <v>203</v>
      </c>
      <c r="D205">
        <v>382.64325323474998</v>
      </c>
      <c r="E205">
        <v>213.33733826247999</v>
      </c>
      <c r="F205">
        <v>148.79555966698001</v>
      </c>
      <c r="G205">
        <v>120.09528214616</v>
      </c>
      <c r="I205" s="9">
        <f t="shared" si="22"/>
        <v>93.242056116319986</v>
      </c>
      <c r="J205" s="9">
        <f t="shared" si="23"/>
        <v>233.84769356776997</v>
      </c>
      <c r="K205" s="9">
        <f t="shared" si="24"/>
        <v>93.242056116319986</v>
      </c>
      <c r="L205" s="10">
        <f t="shared" si="21"/>
        <v>0.39872985144195178</v>
      </c>
      <c r="M205" s="10">
        <f t="shared" si="20"/>
        <v>0.52578453204284104</v>
      </c>
      <c r="P205" s="8">
        <f t="shared" si="25"/>
        <v>-4.699722134113272</v>
      </c>
    </row>
    <row r="206" spans="1:16" x14ac:dyDescent="0.2">
      <c r="A206" s="8">
        <v>102</v>
      </c>
      <c r="B206" s="8">
        <v>204</v>
      </c>
      <c r="D206">
        <v>380.63031423289999</v>
      </c>
      <c r="E206">
        <v>210.4584103512</v>
      </c>
      <c r="F206">
        <v>149.81961147086</v>
      </c>
      <c r="G206">
        <v>120.45235892692</v>
      </c>
      <c r="I206" s="9">
        <f t="shared" si="22"/>
        <v>90.006051424280002</v>
      </c>
      <c r="J206" s="9">
        <f t="shared" si="23"/>
        <v>230.81070276203999</v>
      </c>
      <c r="K206" s="9">
        <f t="shared" si="24"/>
        <v>90.006051424280002</v>
      </c>
      <c r="L206" s="10">
        <f t="shared" si="21"/>
        <v>0.38995614305231752</v>
      </c>
      <c r="M206" s="10">
        <f t="shared" si="20"/>
        <v>0.51763670877931955</v>
      </c>
      <c r="P206" s="8">
        <f t="shared" si="25"/>
        <v>-6.1765434814412767</v>
      </c>
    </row>
    <row r="207" spans="1:16" x14ac:dyDescent="0.2">
      <c r="A207" s="8">
        <v>102.5</v>
      </c>
      <c r="B207" s="8">
        <v>205</v>
      </c>
      <c r="D207">
        <v>381.56799259945001</v>
      </c>
      <c r="E207">
        <v>208.33024976873</v>
      </c>
      <c r="F207">
        <v>148.70952821462001</v>
      </c>
      <c r="G207">
        <v>120.26734505088</v>
      </c>
      <c r="I207" s="9">
        <f t="shared" si="22"/>
        <v>88.062904717850003</v>
      </c>
      <c r="J207" s="9">
        <f t="shared" si="23"/>
        <v>232.85846438483</v>
      </c>
      <c r="K207" s="9">
        <f t="shared" si="24"/>
        <v>88.062904717850003</v>
      </c>
      <c r="L207" s="10">
        <f t="shared" si="21"/>
        <v>0.37818210710311212</v>
      </c>
      <c r="M207" s="10">
        <f t="shared" si="20"/>
        <v>0.50648855795622694</v>
      </c>
      <c r="P207" s="8">
        <f t="shared" si="25"/>
        <v>-8.1971846497991425</v>
      </c>
    </row>
    <row r="208" spans="1:16" x14ac:dyDescent="0.2">
      <c r="A208" s="8">
        <v>103</v>
      </c>
      <c r="B208" s="8">
        <v>206</v>
      </c>
      <c r="D208">
        <v>378.19056429232</v>
      </c>
      <c r="E208">
        <v>205.26919518963999</v>
      </c>
      <c r="F208">
        <v>148.85568917668999</v>
      </c>
      <c r="G208">
        <v>120.11193339501</v>
      </c>
      <c r="I208" s="9">
        <f t="shared" si="22"/>
        <v>85.157261794629989</v>
      </c>
      <c r="J208" s="9">
        <f t="shared" si="23"/>
        <v>229.33487511563001</v>
      </c>
      <c r="K208" s="9">
        <f t="shared" si="24"/>
        <v>85.157261794629989</v>
      </c>
      <c r="L208" s="10">
        <f t="shared" si="21"/>
        <v>0.37132277309194223</v>
      </c>
      <c r="M208" s="10">
        <f t="shared" si="20"/>
        <v>0.50025510907116977</v>
      </c>
      <c r="P208" s="8">
        <f t="shared" si="25"/>
        <v>-9.3270189728072364</v>
      </c>
    </row>
    <row r="209" spans="1:16" x14ac:dyDescent="0.2">
      <c r="A209" s="8">
        <v>103.5</v>
      </c>
      <c r="B209" s="8">
        <v>207</v>
      </c>
      <c r="D209">
        <v>385.77613320999001</v>
      </c>
      <c r="E209">
        <v>207.24514338575</v>
      </c>
      <c r="F209">
        <v>149.81221091582</v>
      </c>
      <c r="G209">
        <v>120.13135985199</v>
      </c>
      <c r="I209" s="9">
        <f t="shared" si="22"/>
        <v>87.11378353376</v>
      </c>
      <c r="J209" s="9">
        <f t="shared" si="23"/>
        <v>235.96392229417</v>
      </c>
      <c r="K209" s="9">
        <f t="shared" si="24"/>
        <v>87.11378353376</v>
      </c>
      <c r="L209" s="10">
        <f t="shared" si="21"/>
        <v>0.369182638967823</v>
      </c>
      <c r="M209" s="10">
        <f t="shared" si="20"/>
        <v>0.49874086007316332</v>
      </c>
      <c r="P209" s="8">
        <f t="shared" si="25"/>
        <v>-9.6014818781868811</v>
      </c>
    </row>
    <row r="210" spans="1:16" x14ac:dyDescent="0.2">
      <c r="A210" s="8">
        <v>104</v>
      </c>
      <c r="B210" s="8">
        <v>208</v>
      </c>
      <c r="D210">
        <v>386.67341306347998</v>
      </c>
      <c r="E210">
        <v>211.00643974241001</v>
      </c>
      <c r="F210">
        <v>149.15726179463999</v>
      </c>
      <c r="G210">
        <v>120.42460684551</v>
      </c>
      <c r="I210" s="9">
        <f t="shared" si="22"/>
        <v>90.581832896900011</v>
      </c>
      <c r="J210" s="9">
        <f t="shared" si="23"/>
        <v>237.51615126883999</v>
      </c>
      <c r="K210" s="9">
        <f t="shared" si="24"/>
        <v>90.581832896900011</v>
      </c>
      <c r="L210" s="10">
        <f t="shared" si="21"/>
        <v>0.38137125586197362</v>
      </c>
      <c r="M210" s="10">
        <f t="shared" si="20"/>
        <v>0.51155536209342667</v>
      </c>
      <c r="P210" s="8">
        <f t="shared" si="25"/>
        <v>-7.2788087510425497</v>
      </c>
    </row>
    <row r="211" spans="1:16" x14ac:dyDescent="0.2">
      <c r="A211" s="8">
        <v>104.5</v>
      </c>
      <c r="B211" s="8">
        <v>209</v>
      </c>
      <c r="D211">
        <v>384.70322580645001</v>
      </c>
      <c r="E211">
        <v>207.39723502304</v>
      </c>
      <c r="F211">
        <v>149.23589269195</v>
      </c>
      <c r="G211">
        <v>120.04625346901</v>
      </c>
      <c r="I211" s="9">
        <f t="shared" si="22"/>
        <v>87.35098155403</v>
      </c>
      <c r="J211" s="9">
        <f t="shared" si="23"/>
        <v>235.46733311450001</v>
      </c>
      <c r="K211" s="9">
        <f t="shared" si="24"/>
        <v>87.35098155403</v>
      </c>
      <c r="L211" s="10">
        <f t="shared" si="21"/>
        <v>0.37096857724869248</v>
      </c>
      <c r="M211" s="10">
        <f t="shared" si="20"/>
        <v>0.50177856860625825</v>
      </c>
      <c r="P211" s="8">
        <f t="shared" si="25"/>
        <v>-9.0508866254989719</v>
      </c>
    </row>
    <row r="212" spans="1:16" x14ac:dyDescent="0.2">
      <c r="A212" s="8">
        <v>105</v>
      </c>
      <c r="B212" s="8">
        <v>210</v>
      </c>
      <c r="D212">
        <v>377.72903225806999</v>
      </c>
      <c r="E212">
        <v>204.75483870968</v>
      </c>
      <c r="F212">
        <v>148.80203515264</v>
      </c>
      <c r="G212">
        <v>120.42275670674999</v>
      </c>
      <c r="I212" s="9">
        <f t="shared" si="22"/>
        <v>84.332082002930008</v>
      </c>
      <c r="J212" s="9">
        <f t="shared" si="23"/>
        <v>228.92699710542999</v>
      </c>
      <c r="K212" s="9">
        <f t="shared" si="24"/>
        <v>84.332082002930008</v>
      </c>
      <c r="L212" s="10">
        <f t="shared" si="21"/>
        <v>0.36837980259747055</v>
      </c>
      <c r="M212" s="10">
        <f t="shared" si="20"/>
        <v>0.4998156790811491</v>
      </c>
      <c r="P212" s="8">
        <f t="shared" si="25"/>
        <v>-9.4066671891381048</v>
      </c>
    </row>
    <row r="213" spans="1:16" x14ac:dyDescent="0.2">
      <c r="A213" s="8">
        <v>105.5</v>
      </c>
      <c r="B213" s="8">
        <v>211</v>
      </c>
      <c r="D213">
        <v>375.13456221197998</v>
      </c>
      <c r="E213">
        <v>205.12442396313</v>
      </c>
      <c r="F213">
        <v>148.91026827012001</v>
      </c>
      <c r="G213">
        <v>120.39592969473</v>
      </c>
      <c r="I213" s="9">
        <f t="shared" si="22"/>
        <v>84.728494268399999</v>
      </c>
      <c r="J213" s="9">
        <f t="shared" si="23"/>
        <v>226.22429394185997</v>
      </c>
      <c r="K213" s="9">
        <f t="shared" si="24"/>
        <v>84.728494268399999</v>
      </c>
      <c r="L213" s="10">
        <f t="shared" si="21"/>
        <v>0.37453313608385208</v>
      </c>
      <c r="M213" s="10">
        <f t="shared" si="20"/>
        <v>0.50659489769364341</v>
      </c>
      <c r="P213" s="8">
        <f t="shared" si="25"/>
        <v>-8.1779102019857</v>
      </c>
    </row>
    <row r="214" spans="1:16" x14ac:dyDescent="0.2">
      <c r="A214" s="8">
        <v>106</v>
      </c>
      <c r="B214" s="8">
        <v>212</v>
      </c>
      <c r="D214">
        <v>378.59631336405999</v>
      </c>
      <c r="E214">
        <v>205.85161290323001</v>
      </c>
      <c r="F214">
        <v>148.89546716004</v>
      </c>
      <c r="G214">
        <v>120.21554116559</v>
      </c>
      <c r="I214" s="9">
        <f t="shared" si="22"/>
        <v>85.636071737640009</v>
      </c>
      <c r="J214" s="9">
        <f t="shared" si="23"/>
        <v>229.70084620402</v>
      </c>
      <c r="K214" s="9">
        <f t="shared" si="24"/>
        <v>85.636071737640009</v>
      </c>
      <c r="L214" s="10">
        <f t="shared" si="21"/>
        <v>0.37281565633231567</v>
      </c>
      <c r="M214" s="10">
        <f t="shared" si="20"/>
        <v>0.50550330306821978</v>
      </c>
      <c r="P214" s="8">
        <f t="shared" si="25"/>
        <v>-8.3757655301285681</v>
      </c>
    </row>
    <row r="215" spans="1:16" x14ac:dyDescent="0.2">
      <c r="A215" s="8">
        <v>106.5</v>
      </c>
      <c r="B215" s="8">
        <v>213</v>
      </c>
      <c r="D215">
        <v>377.73824884792998</v>
      </c>
      <c r="E215">
        <v>213.19354838710001</v>
      </c>
      <c r="F215">
        <v>148.88621646624</v>
      </c>
      <c r="G215">
        <v>120.06567992599</v>
      </c>
      <c r="I215" s="9">
        <f t="shared" si="22"/>
        <v>93.127868461110012</v>
      </c>
      <c r="J215" s="9">
        <f t="shared" si="23"/>
        <v>228.85203238168998</v>
      </c>
      <c r="K215" s="9">
        <f t="shared" si="24"/>
        <v>93.127868461110012</v>
      </c>
      <c r="L215" s="10">
        <f t="shared" si="21"/>
        <v>0.40693485433324472</v>
      </c>
      <c r="M215" s="10">
        <f t="shared" si="20"/>
        <v>0.54024838619526161</v>
      </c>
      <c r="P215" s="8">
        <f t="shared" si="25"/>
        <v>-2.0780981879279792</v>
      </c>
    </row>
    <row r="216" spans="1:16" x14ac:dyDescent="0.2">
      <c r="A216" s="8">
        <v>107</v>
      </c>
      <c r="B216" s="8">
        <v>214</v>
      </c>
      <c r="D216">
        <v>381.45253456221002</v>
      </c>
      <c r="E216">
        <v>224.54193548386999</v>
      </c>
      <c r="F216">
        <v>148.77428307123</v>
      </c>
      <c r="G216">
        <v>120.17483811286</v>
      </c>
      <c r="I216" s="9">
        <f t="shared" si="22"/>
        <v>104.36709737100999</v>
      </c>
      <c r="J216" s="9">
        <f t="shared" si="23"/>
        <v>232.67825149098002</v>
      </c>
      <c r="K216" s="9">
        <f t="shared" si="24"/>
        <v>104.36709737100999</v>
      </c>
      <c r="L216" s="10">
        <f t="shared" si="21"/>
        <v>0.44854685258392479</v>
      </c>
      <c r="M216" s="10">
        <f t="shared" si="20"/>
        <v>0.5824862695720544</v>
      </c>
      <c r="P216" s="8">
        <f t="shared" si="25"/>
        <v>5.5776652987530833</v>
      </c>
    </row>
    <row r="217" spans="1:16" x14ac:dyDescent="0.2">
      <c r="A217" s="8">
        <v>107.5</v>
      </c>
      <c r="B217" s="8">
        <v>215</v>
      </c>
      <c r="D217">
        <v>383.08018433180001</v>
      </c>
      <c r="E217">
        <v>230.01198156682</v>
      </c>
      <c r="F217">
        <v>148.29232192414</v>
      </c>
      <c r="G217">
        <v>120.2849213691</v>
      </c>
      <c r="I217" s="9">
        <f t="shared" si="22"/>
        <v>109.72706019771999</v>
      </c>
      <c r="J217" s="9">
        <f t="shared" si="23"/>
        <v>234.78786240766001</v>
      </c>
      <c r="K217" s="9">
        <f t="shared" si="24"/>
        <v>109.72706019771999</v>
      </c>
      <c r="L217" s="10">
        <f t="shared" si="21"/>
        <v>0.46734553938398188</v>
      </c>
      <c r="M217" s="10">
        <f t="shared" si="20"/>
        <v>0.60191084149822416</v>
      </c>
      <c r="P217" s="8">
        <f t="shared" si="25"/>
        <v>9.098436620795411</v>
      </c>
    </row>
    <row r="218" spans="1:16" x14ac:dyDescent="0.2">
      <c r="A218" s="8">
        <v>108</v>
      </c>
      <c r="B218" s="8">
        <v>216</v>
      </c>
      <c r="D218">
        <v>387.80645161289999</v>
      </c>
      <c r="E218">
        <v>233.29216589862</v>
      </c>
      <c r="F218">
        <v>148.80296022202</v>
      </c>
      <c r="G218">
        <v>120.30989824237</v>
      </c>
      <c r="I218" s="9">
        <f t="shared" si="22"/>
        <v>112.98226765625</v>
      </c>
      <c r="J218" s="9">
        <f t="shared" si="23"/>
        <v>239.00349139087999</v>
      </c>
      <c r="K218" s="9">
        <f t="shared" si="24"/>
        <v>112.98226765625</v>
      </c>
      <c r="L218" s="10">
        <f t="shared" si="21"/>
        <v>0.47272224769081861</v>
      </c>
      <c r="M218" s="10">
        <f t="shared" si="20"/>
        <v>0.60791343493117367</v>
      </c>
      <c r="P218" s="8">
        <f t="shared" si="25"/>
        <v>10.186427588984305</v>
      </c>
    </row>
    <row r="219" spans="1:16" x14ac:dyDescent="0.2">
      <c r="A219" s="8">
        <v>108.5</v>
      </c>
      <c r="B219" s="8">
        <v>217</v>
      </c>
      <c r="D219">
        <v>386.56313364055001</v>
      </c>
      <c r="E219">
        <v>236.20552995392001</v>
      </c>
      <c r="F219">
        <v>148.58649398705001</v>
      </c>
      <c r="G219">
        <v>119.76225716929</v>
      </c>
      <c r="I219" s="9">
        <f t="shared" si="22"/>
        <v>116.44327278463001</v>
      </c>
      <c r="J219" s="9">
        <f t="shared" si="23"/>
        <v>237.9766396535</v>
      </c>
      <c r="K219" s="9">
        <f t="shared" si="24"/>
        <v>116.44327278463001</v>
      </c>
      <c r="L219" s="10">
        <f t="shared" si="21"/>
        <v>0.48930547533646312</v>
      </c>
      <c r="M219" s="10">
        <f t="shared" si="20"/>
        <v>0.62512254770293096</v>
      </c>
      <c r="P219" s="8">
        <f t="shared" si="25"/>
        <v>13.305639222315923</v>
      </c>
    </row>
    <row r="220" spans="1:16" x14ac:dyDescent="0.2">
      <c r="A220" s="8">
        <v>109</v>
      </c>
      <c r="B220" s="8">
        <v>218</v>
      </c>
      <c r="D220">
        <v>382.68847926267</v>
      </c>
      <c r="E220">
        <v>225.99447004608001</v>
      </c>
      <c r="F220">
        <v>148.48658649398999</v>
      </c>
      <c r="G220">
        <v>119.89084181314</v>
      </c>
      <c r="I220" s="9">
        <f t="shared" si="22"/>
        <v>106.10362823294001</v>
      </c>
      <c r="J220" s="9">
        <f t="shared" si="23"/>
        <v>234.20189276868001</v>
      </c>
      <c r="K220" s="9">
        <f t="shared" si="24"/>
        <v>106.10362823294001</v>
      </c>
      <c r="L220" s="10">
        <f t="shared" si="21"/>
        <v>0.45304342752574595</v>
      </c>
      <c r="M220" s="10">
        <f t="shared" si="20"/>
        <v>0.58948638501832651</v>
      </c>
      <c r="P220" s="8">
        <f t="shared" si="25"/>
        <v>6.8464606064641522</v>
      </c>
    </row>
    <row r="221" spans="1:16" x14ac:dyDescent="0.2">
      <c r="A221" s="8">
        <v>109.5</v>
      </c>
      <c r="B221" s="8">
        <v>219</v>
      </c>
      <c r="D221">
        <v>381.29124423962998</v>
      </c>
      <c r="E221">
        <v>219.32165898618001</v>
      </c>
      <c r="F221">
        <v>148.42553191489</v>
      </c>
      <c r="G221">
        <v>120.36355226642</v>
      </c>
      <c r="I221" s="9">
        <f t="shared" si="22"/>
        <v>98.958106719760011</v>
      </c>
      <c r="J221" s="9">
        <f t="shared" si="23"/>
        <v>232.86571232473997</v>
      </c>
      <c r="K221" s="9">
        <f t="shared" si="24"/>
        <v>98.958106719760011</v>
      </c>
      <c r="L221" s="10">
        <f t="shared" si="21"/>
        <v>0.42495782540007099</v>
      </c>
      <c r="M221" s="10">
        <f t="shared" si="20"/>
        <v>0.56202666801876433</v>
      </c>
      <c r="P221" s="8">
        <f t="shared" si="25"/>
        <v>1.8692912515397633</v>
      </c>
    </row>
    <row r="222" spans="1:16" x14ac:dyDescent="0.2">
      <c r="A222" s="8">
        <v>110</v>
      </c>
      <c r="B222" s="8">
        <v>220</v>
      </c>
      <c r="D222">
        <v>378.81474654378002</v>
      </c>
      <c r="E222">
        <v>215.83870967742001</v>
      </c>
      <c r="F222">
        <v>148.68270120259001</v>
      </c>
      <c r="G222">
        <v>119.93894542091</v>
      </c>
      <c r="I222" s="9">
        <f t="shared" si="22"/>
        <v>95.899764256510011</v>
      </c>
      <c r="J222" s="9">
        <f t="shared" si="23"/>
        <v>230.13204534119001</v>
      </c>
      <c r="K222" s="9">
        <f t="shared" si="24"/>
        <v>95.899764256510011</v>
      </c>
      <c r="L222" s="10">
        <f t="shared" si="21"/>
        <v>0.41671625572323312</v>
      </c>
      <c r="M222" s="10">
        <f t="shared" si="20"/>
        <v>0.5544109834680393</v>
      </c>
      <c r="P222" s="8">
        <f t="shared" si="25"/>
        <v>0.48892189947236564</v>
      </c>
    </row>
    <row r="223" spans="1:16" x14ac:dyDescent="0.2">
      <c r="A223" s="8">
        <v>110.5</v>
      </c>
      <c r="B223" s="8">
        <v>221</v>
      </c>
      <c r="D223">
        <v>378.31152073733</v>
      </c>
      <c r="E223">
        <v>211.91705069124001</v>
      </c>
      <c r="F223">
        <v>148.62719703977999</v>
      </c>
      <c r="G223">
        <v>120.10453283996</v>
      </c>
      <c r="I223" s="9">
        <f t="shared" si="22"/>
        <v>91.812517851280006</v>
      </c>
      <c r="J223" s="9">
        <f t="shared" si="23"/>
        <v>229.68432369755001</v>
      </c>
      <c r="K223" s="9">
        <f t="shared" si="24"/>
        <v>91.812517851280006</v>
      </c>
      <c r="L223" s="10">
        <f t="shared" si="21"/>
        <v>0.39973349671081337</v>
      </c>
      <c r="M223" s="10">
        <f t="shared" si="20"/>
        <v>0.53805410958173228</v>
      </c>
      <c r="P223" s="8">
        <f t="shared" si="25"/>
        <v>-2.4758184673197734</v>
      </c>
    </row>
    <row r="224" spans="1:16" x14ac:dyDescent="0.2">
      <c r="A224" s="8">
        <v>111</v>
      </c>
      <c r="B224" s="8">
        <v>222</v>
      </c>
      <c r="D224">
        <v>378.73413063478</v>
      </c>
      <c r="E224">
        <v>208.04139834406999</v>
      </c>
      <c r="F224">
        <v>148.43015726179999</v>
      </c>
      <c r="G224">
        <v>119.99352451434</v>
      </c>
      <c r="I224" s="9">
        <f t="shared" si="22"/>
        <v>88.047873829729994</v>
      </c>
      <c r="J224" s="9">
        <f t="shared" si="23"/>
        <v>230.30397337298001</v>
      </c>
      <c r="K224" s="9">
        <f t="shared" si="24"/>
        <v>88.047873829729994</v>
      </c>
      <c r="L224" s="10">
        <f t="shared" si="21"/>
        <v>0.38231157083484363</v>
      </c>
      <c r="M224" s="10">
        <f t="shared" si="20"/>
        <v>0.52125806883187531</v>
      </c>
      <c r="P224" s="8">
        <f t="shared" si="25"/>
        <v>-5.5201593578534309</v>
      </c>
    </row>
    <row r="225" spans="1:16" x14ac:dyDescent="0.2">
      <c r="A225" s="8">
        <v>111.5</v>
      </c>
      <c r="B225" s="8">
        <v>223</v>
      </c>
      <c r="D225">
        <v>379.01379944801999</v>
      </c>
      <c r="E225">
        <v>205.02943882245</v>
      </c>
      <c r="F225">
        <v>148.70397779833999</v>
      </c>
      <c r="G225">
        <v>120.12673450509</v>
      </c>
      <c r="I225" s="9">
        <f t="shared" si="22"/>
        <v>84.902704317360005</v>
      </c>
      <c r="J225" s="9">
        <f t="shared" si="23"/>
        <v>230.30982164968</v>
      </c>
      <c r="K225" s="9">
        <f t="shared" si="24"/>
        <v>84.902704317360005</v>
      </c>
      <c r="L225" s="10">
        <f t="shared" si="21"/>
        <v>0.36864560837750088</v>
      </c>
      <c r="M225" s="10">
        <f t="shared" si="20"/>
        <v>0.50821799150064528</v>
      </c>
      <c r="P225" s="8">
        <f t="shared" si="25"/>
        <v>-7.8837187958431638</v>
      </c>
    </row>
    <row r="226" spans="1:16" x14ac:dyDescent="0.2">
      <c r="A226" s="8">
        <v>112</v>
      </c>
      <c r="B226" s="8">
        <v>224</v>
      </c>
      <c r="D226">
        <v>374.93284268628997</v>
      </c>
      <c r="E226">
        <v>204.92916283349001</v>
      </c>
      <c r="F226">
        <v>148.90194264569999</v>
      </c>
      <c r="G226">
        <v>119.96392229417</v>
      </c>
      <c r="I226" s="9">
        <f t="shared" si="22"/>
        <v>84.965240539320007</v>
      </c>
      <c r="J226" s="9">
        <f t="shared" si="23"/>
        <v>226.03090004058998</v>
      </c>
      <c r="K226" s="9">
        <f t="shared" si="24"/>
        <v>84.965240539320007</v>
      </c>
      <c r="L226" s="10">
        <f t="shared" si="21"/>
        <v>0.37590099638616753</v>
      </c>
      <c r="M226" s="10">
        <f t="shared" si="20"/>
        <v>0.51609926463542466</v>
      </c>
      <c r="P226" s="8">
        <f t="shared" si="25"/>
        <v>-6.4552105878074357</v>
      </c>
    </row>
    <row r="227" spans="1:16" x14ac:dyDescent="0.2">
      <c r="A227" s="8">
        <v>112.5</v>
      </c>
      <c r="B227" s="8">
        <v>225</v>
      </c>
      <c r="D227">
        <v>377.81416743329999</v>
      </c>
      <c r="E227">
        <v>203.51517939281999</v>
      </c>
      <c r="F227">
        <v>148.02497687326999</v>
      </c>
      <c r="G227">
        <v>119.68547641073</v>
      </c>
      <c r="I227" s="9">
        <f t="shared" si="22"/>
        <v>83.829702982089984</v>
      </c>
      <c r="J227" s="9">
        <f t="shared" si="23"/>
        <v>229.78919056002999</v>
      </c>
      <c r="K227" s="9">
        <f t="shared" si="24"/>
        <v>83.829702982089984</v>
      </c>
      <c r="L227" s="10">
        <f t="shared" si="21"/>
        <v>0.3648113419860381</v>
      </c>
      <c r="M227" s="10">
        <f t="shared" si="20"/>
        <v>0.50563549536140795</v>
      </c>
      <c r="P227" s="8">
        <f t="shared" si="25"/>
        <v>-8.3518052165308774</v>
      </c>
    </row>
    <row r="228" spans="1:16" x14ac:dyDescent="0.2">
      <c r="A228" s="8">
        <v>113</v>
      </c>
      <c r="B228" s="8">
        <v>226</v>
      </c>
      <c r="D228">
        <v>383.30082796687998</v>
      </c>
      <c r="E228">
        <v>202.08647654094</v>
      </c>
      <c r="F228">
        <v>148.37372802959999</v>
      </c>
      <c r="G228">
        <v>119.91304347825999</v>
      </c>
      <c r="I228" s="9">
        <f t="shared" si="22"/>
        <v>82.173433062680004</v>
      </c>
      <c r="J228" s="9">
        <f t="shared" si="23"/>
        <v>234.92709993727999</v>
      </c>
      <c r="K228" s="9">
        <f t="shared" si="24"/>
        <v>82.173433062680004</v>
      </c>
      <c r="L228" s="10">
        <f t="shared" si="21"/>
        <v>0.34978269039467297</v>
      </c>
      <c r="M228" s="10">
        <f t="shared" si="20"/>
        <v>0.4912327288961556</v>
      </c>
      <c r="P228" s="8">
        <f t="shared" si="25"/>
        <v>-10.962356806633922</v>
      </c>
    </row>
    <row r="229" spans="1:16" x14ac:dyDescent="0.2">
      <c r="A229" s="8">
        <v>113.5</v>
      </c>
      <c r="B229" s="8">
        <v>227</v>
      </c>
      <c r="D229">
        <v>379.83348666053001</v>
      </c>
      <c r="E229">
        <v>201.96320147194001</v>
      </c>
      <c r="F229">
        <v>148.06660499538</v>
      </c>
      <c r="G229">
        <v>119.86679000925</v>
      </c>
      <c r="I229" s="9">
        <f t="shared" si="22"/>
        <v>82.096411462690014</v>
      </c>
      <c r="J229" s="9">
        <f t="shared" si="23"/>
        <v>231.76688166515001</v>
      </c>
      <c r="K229" s="9">
        <f t="shared" si="24"/>
        <v>82.096411462690014</v>
      </c>
      <c r="L229" s="10">
        <f t="shared" si="21"/>
        <v>0.35421976976546848</v>
      </c>
      <c r="M229" s="10">
        <f t="shared" si="20"/>
        <v>0.4962956933930639</v>
      </c>
      <c r="P229" s="8">
        <f t="shared" si="25"/>
        <v>-10.044676856054537</v>
      </c>
    </row>
    <row r="230" spans="1:16" x14ac:dyDescent="0.2">
      <c r="A230" s="8">
        <v>114</v>
      </c>
      <c r="B230" s="8">
        <v>228</v>
      </c>
      <c r="D230">
        <v>380.36338546458001</v>
      </c>
      <c r="E230">
        <v>202.73229070836999</v>
      </c>
      <c r="F230">
        <v>148.11563367253001</v>
      </c>
      <c r="G230">
        <v>119.87419056429</v>
      </c>
      <c r="I230" s="9">
        <f t="shared" si="22"/>
        <v>82.858100144079984</v>
      </c>
      <c r="J230" s="9">
        <f t="shared" si="23"/>
        <v>232.24775179205</v>
      </c>
      <c r="K230" s="9">
        <f t="shared" si="24"/>
        <v>82.858100144079984</v>
      </c>
      <c r="L230" s="10">
        <f t="shared" si="21"/>
        <v>0.35676599452411267</v>
      </c>
      <c r="M230" s="10">
        <f t="shared" si="20"/>
        <v>0.49946780327782081</v>
      </c>
      <c r="P230" s="8">
        <f t="shared" si="25"/>
        <v>-9.4697208902258794</v>
      </c>
    </row>
    <row r="231" spans="1:16" x14ac:dyDescent="0.2">
      <c r="A231" s="8">
        <v>114.5</v>
      </c>
      <c r="B231" s="8">
        <v>229</v>
      </c>
      <c r="D231">
        <v>381.93100275989002</v>
      </c>
      <c r="E231">
        <v>203.70561177553</v>
      </c>
      <c r="F231">
        <v>147.88066604995001</v>
      </c>
      <c r="G231">
        <v>120.1026827012</v>
      </c>
      <c r="I231" s="9">
        <f t="shared" si="22"/>
        <v>83.602929074330007</v>
      </c>
      <c r="J231" s="9">
        <f t="shared" si="23"/>
        <v>234.05033670994001</v>
      </c>
      <c r="K231" s="9">
        <f t="shared" si="24"/>
        <v>83.602929074330007</v>
      </c>
      <c r="L231" s="10">
        <f t="shared" si="21"/>
        <v>0.35720063576725214</v>
      </c>
      <c r="M231" s="10">
        <f t="shared" si="20"/>
        <v>0.50052832964707306</v>
      </c>
      <c r="P231" s="8">
        <f t="shared" si="25"/>
        <v>-9.2774967917322329</v>
      </c>
    </row>
    <row r="232" spans="1:16" x14ac:dyDescent="0.2">
      <c r="A232" s="8">
        <v>115</v>
      </c>
      <c r="B232" s="8">
        <v>230</v>
      </c>
      <c r="D232">
        <v>388.59761686526002</v>
      </c>
      <c r="E232">
        <v>203.20898258478999</v>
      </c>
      <c r="F232">
        <v>148.17298797410001</v>
      </c>
      <c r="G232">
        <v>119.96392229417</v>
      </c>
      <c r="I232" s="9">
        <f t="shared" si="22"/>
        <v>83.245060290619989</v>
      </c>
      <c r="J232" s="9">
        <f t="shared" si="23"/>
        <v>240.42462889116001</v>
      </c>
      <c r="K232" s="9">
        <f t="shared" si="24"/>
        <v>83.245060290619989</v>
      </c>
      <c r="L232" s="10">
        <f t="shared" si="21"/>
        <v>0.34624181671631049</v>
      </c>
      <c r="M232" s="10">
        <f t="shared" si="20"/>
        <v>0.49019539572224413</v>
      </c>
      <c r="P232" s="8">
        <f t="shared" si="25"/>
        <v>-11.150377057684615</v>
      </c>
    </row>
    <row r="233" spans="1:16" x14ac:dyDescent="0.2">
      <c r="A233" s="8">
        <v>115.5</v>
      </c>
      <c r="B233" s="8">
        <v>231</v>
      </c>
      <c r="D233">
        <v>395.15673693858997</v>
      </c>
      <c r="E233">
        <v>205.59670027498001</v>
      </c>
      <c r="F233">
        <v>148.65217391304</v>
      </c>
      <c r="G233">
        <v>120.03422756707</v>
      </c>
      <c r="I233" s="9">
        <f t="shared" si="22"/>
        <v>85.562472707910004</v>
      </c>
      <c r="J233" s="9">
        <f t="shared" si="23"/>
        <v>246.50456302554997</v>
      </c>
      <c r="K233" s="9">
        <f t="shared" si="24"/>
        <v>85.562472707910004</v>
      </c>
      <c r="L233" s="10">
        <f t="shared" si="21"/>
        <v>0.34710299743636602</v>
      </c>
      <c r="M233" s="10">
        <f t="shared" si="20"/>
        <v>0.49168246156841244</v>
      </c>
      <c r="P233" s="8">
        <f t="shared" si="25"/>
        <v>-10.880841193261043</v>
      </c>
    </row>
    <row r="234" spans="1:16" x14ac:dyDescent="0.2">
      <c r="A234" s="8">
        <v>116</v>
      </c>
      <c r="B234" s="8">
        <v>232</v>
      </c>
      <c r="D234">
        <v>390.74793767185997</v>
      </c>
      <c r="E234">
        <v>206.12557286892999</v>
      </c>
      <c r="F234">
        <v>148.11285846439</v>
      </c>
      <c r="G234">
        <v>119.69010175763</v>
      </c>
      <c r="I234" s="9">
        <f t="shared" si="22"/>
        <v>86.435471111299989</v>
      </c>
      <c r="J234" s="9">
        <f t="shared" si="23"/>
        <v>242.63507920746997</v>
      </c>
      <c r="K234" s="9">
        <f t="shared" si="24"/>
        <v>86.435471111299989</v>
      </c>
      <c r="L234" s="10">
        <f t="shared" si="21"/>
        <v>0.3562364988344971</v>
      </c>
      <c r="M234" s="10">
        <f t="shared" si="20"/>
        <v>0.50144184809265624</v>
      </c>
      <c r="P234" s="8">
        <f t="shared" si="25"/>
        <v>-9.1119183914673183</v>
      </c>
    </row>
    <row r="235" spans="1:16" x14ac:dyDescent="0.2">
      <c r="A235" s="8">
        <v>116.5</v>
      </c>
      <c r="B235" s="8">
        <v>233</v>
      </c>
      <c r="D235">
        <v>383.76901924840001</v>
      </c>
      <c r="E235">
        <v>204.47021081577</v>
      </c>
      <c r="F235">
        <v>148.39685476411</v>
      </c>
      <c r="G235">
        <v>119.80296022202</v>
      </c>
      <c r="I235" s="9">
        <f t="shared" si="22"/>
        <v>84.667250593749998</v>
      </c>
      <c r="J235" s="9">
        <f t="shared" si="23"/>
        <v>235.37216448429001</v>
      </c>
      <c r="K235" s="9">
        <f t="shared" si="24"/>
        <v>84.667250593749998</v>
      </c>
      <c r="L235" s="10">
        <f t="shared" si="21"/>
        <v>0.35971649740001921</v>
      </c>
      <c r="M235" s="10">
        <f t="shared" si="20"/>
        <v>0.50554773178429113</v>
      </c>
      <c r="P235" s="8">
        <f t="shared" si="25"/>
        <v>-8.3677126705848046</v>
      </c>
    </row>
    <row r="236" spans="1:16" x14ac:dyDescent="0.2">
      <c r="A236" s="8">
        <v>117</v>
      </c>
      <c r="B236" s="8">
        <v>234</v>
      </c>
      <c r="D236">
        <v>380.46012832264</v>
      </c>
      <c r="E236">
        <v>202.78093492209001</v>
      </c>
      <c r="F236">
        <v>148.23959296947001</v>
      </c>
      <c r="G236">
        <v>119.76965772433</v>
      </c>
      <c r="I236" s="9">
        <f t="shared" si="22"/>
        <v>83.011277197760009</v>
      </c>
      <c r="J236" s="9">
        <f t="shared" si="23"/>
        <v>232.22053535316999</v>
      </c>
      <c r="K236" s="9">
        <f t="shared" si="24"/>
        <v>83.011277197760009</v>
      </c>
      <c r="L236" s="10">
        <f t="shared" si="21"/>
        <v>0.35746742669210213</v>
      </c>
      <c r="M236" s="10">
        <f t="shared" si="20"/>
        <v>0.50392454620248683</v>
      </c>
      <c r="P236" s="8">
        <f t="shared" si="25"/>
        <v>-8.6619207112299534</v>
      </c>
    </row>
    <row r="237" spans="1:16" x14ac:dyDescent="0.2">
      <c r="A237" s="8">
        <v>117.5</v>
      </c>
      <c r="B237" s="8">
        <v>235</v>
      </c>
      <c r="D237">
        <v>380.96058661778</v>
      </c>
      <c r="E237">
        <v>203.89825847846001</v>
      </c>
      <c r="F237">
        <v>147.74005550416001</v>
      </c>
      <c r="G237">
        <v>119.47456059204001</v>
      </c>
      <c r="I237" s="9">
        <f t="shared" si="22"/>
        <v>84.423697886420001</v>
      </c>
      <c r="J237" s="9">
        <f t="shared" si="23"/>
        <v>233.22053111361998</v>
      </c>
      <c r="K237" s="9">
        <f t="shared" si="24"/>
        <v>84.423697886420001</v>
      </c>
      <c r="L237" s="10">
        <f t="shared" si="21"/>
        <v>0.361990848246935</v>
      </c>
      <c r="M237" s="10">
        <f t="shared" si="20"/>
        <v>0.50907385288343243</v>
      </c>
      <c r="P237" s="8">
        <f t="shared" si="25"/>
        <v>-7.7285909390433529</v>
      </c>
    </row>
    <row r="238" spans="1:16" x14ac:dyDescent="0.2">
      <c r="A238" s="8">
        <v>118</v>
      </c>
      <c r="B238" s="8">
        <v>236</v>
      </c>
      <c r="D238">
        <v>384.45087235995999</v>
      </c>
      <c r="E238">
        <v>205.49862258952999</v>
      </c>
      <c r="F238">
        <v>148.41628122109</v>
      </c>
      <c r="G238">
        <v>119.76133209991001</v>
      </c>
      <c r="I238" s="9">
        <f t="shared" si="22"/>
        <v>85.73729048961998</v>
      </c>
      <c r="J238" s="9">
        <f t="shared" si="23"/>
        <v>236.03459113886998</v>
      </c>
      <c r="K238" s="9">
        <f t="shared" si="24"/>
        <v>85.73729048961998</v>
      </c>
      <c r="L238" s="10">
        <f t="shared" si="21"/>
        <v>0.36324036267708232</v>
      </c>
      <c r="M238" s="10">
        <f t="shared" si="20"/>
        <v>0.51094925243969258</v>
      </c>
      <c r="P238" s="8">
        <f t="shared" si="25"/>
        <v>-7.3886682370065611</v>
      </c>
    </row>
    <row r="239" spans="1:16" x14ac:dyDescent="0.2">
      <c r="A239" s="8">
        <v>118.5</v>
      </c>
      <c r="B239" s="8">
        <v>237</v>
      </c>
      <c r="D239">
        <v>378.11111111111001</v>
      </c>
      <c r="E239">
        <v>204.63085399449</v>
      </c>
      <c r="F239">
        <v>148.54024051804001</v>
      </c>
      <c r="G239">
        <v>120.03607770583</v>
      </c>
      <c r="I239" s="9">
        <f t="shared" si="22"/>
        <v>84.59477628866</v>
      </c>
      <c r="J239" s="9">
        <f t="shared" si="23"/>
        <v>229.57087059307</v>
      </c>
      <c r="K239" s="9">
        <f t="shared" si="24"/>
        <v>84.59477628866</v>
      </c>
      <c r="L239" s="10">
        <f t="shared" si="21"/>
        <v>0.36849089812709734</v>
      </c>
      <c r="M239" s="10">
        <f t="shared" si="20"/>
        <v>0.51682567301582027</v>
      </c>
      <c r="P239" s="8">
        <f t="shared" si="25"/>
        <v>-6.3235465386068208</v>
      </c>
    </row>
    <row r="240" spans="1:16" x14ac:dyDescent="0.2">
      <c r="A240" s="8">
        <v>119</v>
      </c>
      <c r="B240" s="8">
        <v>238</v>
      </c>
      <c r="D240">
        <v>382.4</v>
      </c>
      <c r="E240">
        <v>203.74351851852001</v>
      </c>
      <c r="F240">
        <v>148.06105457909001</v>
      </c>
      <c r="G240">
        <v>119.74560592044</v>
      </c>
      <c r="I240" s="9">
        <f t="shared" si="22"/>
        <v>83.997912598080006</v>
      </c>
      <c r="J240" s="9">
        <f t="shared" si="23"/>
        <v>234.33894542090997</v>
      </c>
      <c r="K240" s="9">
        <f t="shared" si="24"/>
        <v>83.997912598080006</v>
      </c>
      <c r="L240" s="10">
        <f t="shared" si="21"/>
        <v>0.35844623456509295</v>
      </c>
      <c r="M240" s="10">
        <f t="shared" si="20"/>
        <v>0.5074068945799286</v>
      </c>
      <c r="P240" s="8">
        <f t="shared" si="25"/>
        <v>-8.0307329379673895</v>
      </c>
    </row>
    <row r="241" spans="1:16" x14ac:dyDescent="0.2">
      <c r="A241" s="8">
        <v>119.5</v>
      </c>
      <c r="B241" s="8">
        <v>239</v>
      </c>
      <c r="D241">
        <v>381.15925925926001</v>
      </c>
      <c r="E241">
        <v>202.68240740741001</v>
      </c>
      <c r="F241">
        <v>147.33117483811</v>
      </c>
      <c r="G241">
        <v>119.32007400555</v>
      </c>
      <c r="I241" s="9">
        <f t="shared" si="22"/>
        <v>83.362333401860013</v>
      </c>
      <c r="J241" s="9">
        <f t="shared" si="23"/>
        <v>233.82808442115001</v>
      </c>
      <c r="K241" s="9">
        <f t="shared" si="24"/>
        <v>83.362333401860013</v>
      </c>
      <c r="L241" s="10">
        <f t="shared" si="21"/>
        <v>0.3565112103972734</v>
      </c>
      <c r="M241" s="10">
        <f t="shared" si="20"/>
        <v>0.50609775553822189</v>
      </c>
      <c r="P241" s="8">
        <f t="shared" si="25"/>
        <v>-8.2680189493207319</v>
      </c>
    </row>
    <row r="242" spans="1:16" x14ac:dyDescent="0.2">
      <c r="A242" s="8">
        <v>120</v>
      </c>
      <c r="B242" s="8">
        <v>240</v>
      </c>
      <c r="D242">
        <v>390.25</v>
      </c>
      <c r="E242">
        <v>204.75555555555999</v>
      </c>
      <c r="F242">
        <v>148.84181313599001</v>
      </c>
      <c r="G242">
        <v>119.95559666974999</v>
      </c>
      <c r="I242" s="9">
        <f>E242-G242</f>
        <v>84.79995888581</v>
      </c>
      <c r="J242" s="9">
        <f>D242-F242</f>
        <v>241.40818686400999</v>
      </c>
      <c r="K242" s="9">
        <f t="shared" si="24"/>
        <v>84.79995888581</v>
      </c>
      <c r="L242" s="10">
        <f t="shared" si="21"/>
        <v>0.35127209224921396</v>
      </c>
      <c r="M242" s="10">
        <f>L242+ABS($N$2)*A242</f>
        <v>0.50148452251627518</v>
      </c>
      <c r="O242" s="11"/>
      <c r="P242" s="8">
        <f>(M242-$O$2)/$O$2*100</f>
        <v>-9.104183503541174</v>
      </c>
    </row>
    <row r="243" spans="1:16" x14ac:dyDescent="0.2">
      <c r="A243" s="8">
        <v>120.5</v>
      </c>
      <c r="B243" s="8">
        <v>241</v>
      </c>
      <c r="D243">
        <v>390.86506469501001</v>
      </c>
      <c r="E243">
        <v>203.40665434381</v>
      </c>
      <c r="F243">
        <v>147.72525439408</v>
      </c>
      <c r="G243">
        <v>119.81683626272</v>
      </c>
      <c r="I243" s="9">
        <f t="shared" ref="I243:I274" si="26">E243-G243</f>
        <v>83.589818081090002</v>
      </c>
      <c r="J243" s="9">
        <f t="shared" ref="J243:J274" si="27">D243-F243</f>
        <v>243.13981030093001</v>
      </c>
      <c r="K243" s="9">
        <f t="shared" si="24"/>
        <v>83.589818081090002</v>
      </c>
      <c r="L243" s="10">
        <f t="shared" si="21"/>
        <v>0.34379321912619865</v>
      </c>
      <c r="M243" s="10">
        <f t="shared" ref="M243:M274" si="28">L243+ABS($N$2)*A243</f>
        <v>0.49463153451937258</v>
      </c>
      <c r="P243" s="8">
        <f t="shared" ref="P243:P274" si="29">(M243-$O$2)/$O$2*100</f>
        <v>-10.346311448573969</v>
      </c>
    </row>
    <row r="244" spans="1:16" x14ac:dyDescent="0.2">
      <c r="A244" s="8">
        <v>121</v>
      </c>
      <c r="B244" s="8">
        <v>242</v>
      </c>
      <c r="D244">
        <v>390.02033271719</v>
      </c>
      <c r="E244">
        <v>203.82439926063</v>
      </c>
      <c r="F244">
        <v>148.13968547640999</v>
      </c>
      <c r="G244">
        <v>119.63737280296</v>
      </c>
      <c r="I244" s="9">
        <f t="shared" si="26"/>
        <v>84.187026457670001</v>
      </c>
      <c r="J244" s="9">
        <f t="shared" si="27"/>
        <v>241.88064724078001</v>
      </c>
      <c r="K244" s="9">
        <f t="shared" si="24"/>
        <v>84.187026457670001</v>
      </c>
      <c r="L244" s="10">
        <f t="shared" si="21"/>
        <v>0.34805193147125185</v>
      </c>
      <c r="M244" s="10">
        <f t="shared" si="28"/>
        <v>0.49951613199053857</v>
      </c>
      <c r="N244" s="1"/>
      <c r="P244" s="8">
        <f t="shared" si="29"/>
        <v>-9.4609611427053348</v>
      </c>
    </row>
    <row r="245" spans="1:16" x14ac:dyDescent="0.2">
      <c r="A245" s="8">
        <v>121.5</v>
      </c>
      <c r="B245" s="8">
        <v>243</v>
      </c>
      <c r="D245">
        <v>391.76247689463997</v>
      </c>
      <c r="E245">
        <v>203.09426987060999</v>
      </c>
      <c r="F245">
        <v>148.3598519889</v>
      </c>
      <c r="G245">
        <v>119.63274745606</v>
      </c>
      <c r="I245" s="9">
        <f t="shared" si="26"/>
        <v>83.461522414549989</v>
      </c>
      <c r="J245" s="9">
        <f t="shared" si="27"/>
        <v>243.40262490573997</v>
      </c>
      <c r="K245" s="9">
        <f t="shared" si="24"/>
        <v>83.461522414549989</v>
      </c>
      <c r="L245" s="10">
        <f t="shared" si="21"/>
        <v>0.34289491515085868</v>
      </c>
      <c r="M245" s="10">
        <f t="shared" si="28"/>
        <v>0.49498500079625818</v>
      </c>
      <c r="P245" s="8">
        <f t="shared" si="29"/>
        <v>-10.282244454680979</v>
      </c>
    </row>
    <row r="246" spans="1:16" x14ac:dyDescent="0.2">
      <c r="A246" s="8">
        <v>122</v>
      </c>
      <c r="B246" s="8">
        <v>244</v>
      </c>
      <c r="D246">
        <v>382.35397412200001</v>
      </c>
      <c r="E246">
        <v>202.07670979667</v>
      </c>
      <c r="F246">
        <v>147.36262719704001</v>
      </c>
      <c r="G246">
        <v>119.36355226642</v>
      </c>
      <c r="I246" s="9">
        <f t="shared" si="26"/>
        <v>82.713157530250001</v>
      </c>
      <c r="J246" s="9">
        <f t="shared" si="27"/>
        <v>234.99134692496</v>
      </c>
      <c r="K246" s="9">
        <f t="shared" si="24"/>
        <v>82.713157530250001</v>
      </c>
      <c r="L246" s="10">
        <f t="shared" si="21"/>
        <v>0.35198384371430863</v>
      </c>
      <c r="M246" s="10">
        <f t="shared" si="28"/>
        <v>0.50469981448582091</v>
      </c>
      <c r="P246" s="8">
        <f t="shared" si="29"/>
        <v>-8.5214006344310302</v>
      </c>
    </row>
    <row r="247" spans="1:16" x14ac:dyDescent="0.2">
      <c r="A247" s="8">
        <v>122.5</v>
      </c>
      <c r="B247" s="8">
        <v>245</v>
      </c>
      <c r="D247">
        <v>387.53357865685001</v>
      </c>
      <c r="E247">
        <v>213.13523459062</v>
      </c>
      <c r="F247">
        <v>147.87974098057001</v>
      </c>
      <c r="G247">
        <v>119.77983348751</v>
      </c>
      <c r="I247" s="9">
        <f t="shared" si="26"/>
        <v>93.355401103109998</v>
      </c>
      <c r="J247" s="9">
        <f t="shared" si="27"/>
        <v>239.65383767628001</v>
      </c>
      <c r="K247" s="9">
        <f t="shared" si="24"/>
        <v>93.355401103109998</v>
      </c>
      <c r="L247" s="10">
        <f t="shared" si="21"/>
        <v>0.38954269211083009</v>
      </c>
      <c r="M247" s="10">
        <f t="shared" si="28"/>
        <v>0.54288454800845509</v>
      </c>
      <c r="P247" s="8">
        <f t="shared" si="29"/>
        <v>-1.6002846769053523</v>
      </c>
    </row>
    <row r="248" spans="1:16" x14ac:dyDescent="0.2">
      <c r="A248" s="8">
        <v>123</v>
      </c>
      <c r="B248" s="8">
        <v>246</v>
      </c>
      <c r="D248">
        <v>388.54553817847</v>
      </c>
      <c r="E248">
        <v>214.83624655014</v>
      </c>
      <c r="F248">
        <v>147.61979648473999</v>
      </c>
      <c r="G248">
        <v>119.57076780759</v>
      </c>
      <c r="I248" s="9">
        <f t="shared" si="26"/>
        <v>95.265478742550002</v>
      </c>
      <c r="J248" s="9">
        <f t="shared" si="27"/>
        <v>240.92574169373</v>
      </c>
      <c r="K248" s="9">
        <f t="shared" si="24"/>
        <v>95.265478742550002</v>
      </c>
      <c r="L248" s="10">
        <f t="shared" si="21"/>
        <v>0.39541428023765735</v>
      </c>
      <c r="M248" s="10">
        <f t="shared" si="28"/>
        <v>0.54938202126139513</v>
      </c>
      <c r="P248" s="8">
        <f t="shared" si="29"/>
        <v>-0.42259501755854861</v>
      </c>
    </row>
    <row r="249" spans="1:16" x14ac:dyDescent="0.2">
      <c r="A249" s="8">
        <v>123.5</v>
      </c>
      <c r="B249" s="8">
        <v>247</v>
      </c>
      <c r="D249">
        <v>384.17019319227001</v>
      </c>
      <c r="E249">
        <v>220.88960441582</v>
      </c>
      <c r="F249">
        <v>147.99907493062</v>
      </c>
      <c r="G249">
        <v>119.81868640147999</v>
      </c>
      <c r="I249" s="9">
        <f t="shared" si="26"/>
        <v>101.07091801434001</v>
      </c>
      <c r="J249" s="9">
        <f t="shared" si="27"/>
        <v>236.17111826165001</v>
      </c>
      <c r="K249" s="9">
        <f t="shared" si="24"/>
        <v>101.07091801434001</v>
      </c>
      <c r="L249" s="10">
        <f t="shared" si="21"/>
        <v>0.4279563003227399</v>
      </c>
      <c r="M249" s="10">
        <f t="shared" si="28"/>
        <v>0.58254992647259041</v>
      </c>
      <c r="P249" s="8">
        <f t="shared" si="29"/>
        <v>5.5892033337074238</v>
      </c>
    </row>
    <row r="250" spans="1:16" x14ac:dyDescent="0.2">
      <c r="A250" s="8">
        <v>124</v>
      </c>
      <c r="B250" s="8">
        <v>248</v>
      </c>
      <c r="D250">
        <v>389.57313707451999</v>
      </c>
      <c r="E250">
        <v>226.86568537259001</v>
      </c>
      <c r="F250">
        <v>148.0092506938</v>
      </c>
      <c r="G250">
        <v>119.76595744681001</v>
      </c>
      <c r="I250" s="9">
        <f t="shared" si="26"/>
        <v>107.09972792578</v>
      </c>
      <c r="J250" s="9">
        <f t="shared" si="27"/>
        <v>241.56388638071999</v>
      </c>
      <c r="K250" s="9">
        <f t="shared" si="24"/>
        <v>107.09972792578</v>
      </c>
      <c r="L250" s="10">
        <f t="shared" si="21"/>
        <v>0.44335984790782856</v>
      </c>
      <c r="M250" s="10">
        <f t="shared" si="28"/>
        <v>0.59857935918379179</v>
      </c>
      <c r="P250" s="8">
        <f t="shared" si="29"/>
        <v>8.4945938469558371</v>
      </c>
    </row>
    <row r="251" spans="1:16" x14ac:dyDescent="0.2">
      <c r="A251" s="8">
        <v>124.5</v>
      </c>
      <c r="B251" s="8">
        <v>249</v>
      </c>
      <c r="D251">
        <v>388.06531738731002</v>
      </c>
      <c r="E251">
        <v>227.40938362465999</v>
      </c>
      <c r="F251">
        <v>147.74560592044</v>
      </c>
      <c r="G251">
        <v>119.32469935245</v>
      </c>
      <c r="I251" s="9">
        <f t="shared" si="26"/>
        <v>108.08468427221</v>
      </c>
      <c r="J251" s="9">
        <f t="shared" si="27"/>
        <v>240.31971146687002</v>
      </c>
      <c r="K251" s="9">
        <f t="shared" si="24"/>
        <v>108.08468427221</v>
      </c>
      <c r="L251" s="10">
        <f t="shared" si="21"/>
        <v>0.44975372021079646</v>
      </c>
      <c r="M251" s="10">
        <f t="shared" si="28"/>
        <v>0.60559911661287247</v>
      </c>
      <c r="P251" s="8">
        <f t="shared" si="29"/>
        <v>9.7669493324686769</v>
      </c>
    </row>
    <row r="252" spans="1:16" x14ac:dyDescent="0.2">
      <c r="A252" s="8">
        <v>125</v>
      </c>
      <c r="B252" s="8">
        <v>250</v>
      </c>
      <c r="D252">
        <v>390.18215271388999</v>
      </c>
      <c r="E252">
        <v>231.8739650414</v>
      </c>
      <c r="F252">
        <v>148.05550416281</v>
      </c>
      <c r="G252">
        <v>119.22941720628999</v>
      </c>
      <c r="I252" s="9">
        <f t="shared" si="26"/>
        <v>112.64454783511</v>
      </c>
      <c r="J252" s="9">
        <f t="shared" si="27"/>
        <v>242.12664855108</v>
      </c>
      <c r="K252" s="9">
        <f t="shared" si="24"/>
        <v>112.64454783511</v>
      </c>
      <c r="L252" s="10">
        <f t="shared" si="21"/>
        <v>0.46522986424332413</v>
      </c>
      <c r="M252" s="10">
        <f t="shared" si="28"/>
        <v>0.62170114577151292</v>
      </c>
      <c r="P252" s="8">
        <f t="shared" si="29"/>
        <v>12.685498204686189</v>
      </c>
    </row>
    <row r="253" spans="1:16" x14ac:dyDescent="0.2">
      <c r="A253" s="8">
        <v>125.5</v>
      </c>
      <c r="B253" s="8">
        <v>251</v>
      </c>
      <c r="D253">
        <v>388.25022999079999</v>
      </c>
      <c r="E253">
        <v>233.09475620974999</v>
      </c>
      <c r="F253">
        <v>147.99537465309999</v>
      </c>
      <c r="G253">
        <v>119.81498612396</v>
      </c>
      <c r="I253" s="9">
        <f t="shared" si="26"/>
        <v>113.27977008578999</v>
      </c>
      <c r="J253" s="9">
        <f t="shared" si="27"/>
        <v>240.25485533770001</v>
      </c>
      <c r="K253" s="9">
        <f t="shared" si="24"/>
        <v>113.27977008578999</v>
      </c>
      <c r="L253" s="10">
        <f t="shared" si="21"/>
        <v>0.4714983592176108</v>
      </c>
      <c r="M253" s="10">
        <f t="shared" si="28"/>
        <v>0.62859552587191225</v>
      </c>
      <c r="P253" s="8">
        <f t="shared" si="29"/>
        <v>13.935128612656349</v>
      </c>
    </row>
    <row r="254" spans="1:16" x14ac:dyDescent="0.2">
      <c r="A254" s="8">
        <v>126</v>
      </c>
      <c r="B254" s="8">
        <v>252</v>
      </c>
      <c r="D254">
        <v>391.19595216190999</v>
      </c>
      <c r="E254">
        <v>222.48942042318001</v>
      </c>
      <c r="F254">
        <v>147.52173913044001</v>
      </c>
      <c r="G254">
        <v>119.11840888067</v>
      </c>
      <c r="I254" s="9">
        <f t="shared" si="26"/>
        <v>103.37101154251</v>
      </c>
      <c r="J254" s="9">
        <f t="shared" si="27"/>
        <v>243.67421303146998</v>
      </c>
      <c r="K254" s="9">
        <f t="shared" si="24"/>
        <v>103.37101154251</v>
      </c>
      <c r="L254" s="10">
        <f t="shared" si="21"/>
        <v>0.42421809947185452</v>
      </c>
      <c r="M254" s="10">
        <f t="shared" si="28"/>
        <v>0.58194115125226875</v>
      </c>
      <c r="P254" s="8">
        <f t="shared" si="29"/>
        <v>5.4788607045146103</v>
      </c>
    </row>
    <row r="255" spans="1:16" x14ac:dyDescent="0.2">
      <c r="A255" s="8">
        <v>126.5</v>
      </c>
      <c r="B255" s="8">
        <v>253</v>
      </c>
      <c r="D255">
        <v>390.96872125114999</v>
      </c>
      <c r="E255">
        <v>219.04047838087001</v>
      </c>
      <c r="F255">
        <v>147.86123959297001</v>
      </c>
      <c r="G255">
        <v>120.11748381129</v>
      </c>
      <c r="I255" s="9">
        <f t="shared" si="26"/>
        <v>98.922994569580013</v>
      </c>
      <c r="J255" s="9">
        <f t="shared" si="27"/>
        <v>243.10748165817998</v>
      </c>
      <c r="K255" s="9">
        <f t="shared" si="24"/>
        <v>98.922994569580013</v>
      </c>
      <c r="L255" s="10">
        <f t="shared" si="21"/>
        <v>0.40691053148528838</v>
      </c>
      <c r="M255" s="10">
        <f t="shared" si="28"/>
        <v>0.5652594683918154</v>
      </c>
      <c r="P255" s="8">
        <f t="shared" si="29"/>
        <v>2.4552475797712034</v>
      </c>
    </row>
    <row r="256" spans="1:16" x14ac:dyDescent="0.2">
      <c r="A256" s="8">
        <v>127</v>
      </c>
      <c r="B256" s="8">
        <v>254</v>
      </c>
      <c r="D256">
        <v>388.76617375231001</v>
      </c>
      <c r="E256">
        <v>213.62014787430999</v>
      </c>
      <c r="F256">
        <v>147.87696577243</v>
      </c>
      <c r="G256">
        <v>119.71415356152001</v>
      </c>
      <c r="I256" s="9">
        <f t="shared" si="26"/>
        <v>93.905994312789986</v>
      </c>
      <c r="J256" s="9">
        <f t="shared" si="27"/>
        <v>240.88920797988001</v>
      </c>
      <c r="K256" s="9">
        <f t="shared" si="24"/>
        <v>93.905994312789986</v>
      </c>
      <c r="L256" s="10">
        <f t="shared" si="21"/>
        <v>0.38983064081738927</v>
      </c>
      <c r="M256" s="10">
        <f t="shared" si="28"/>
        <v>0.54880546285002907</v>
      </c>
      <c r="P256" s="8">
        <f t="shared" si="29"/>
        <v>-0.52709823790931865</v>
      </c>
    </row>
    <row r="257" spans="1:16" x14ac:dyDescent="0.2">
      <c r="A257" s="8">
        <v>127.5</v>
      </c>
      <c r="B257" s="8">
        <v>255</v>
      </c>
      <c r="D257">
        <v>375.04805914972002</v>
      </c>
      <c r="E257">
        <v>206.73105360444001</v>
      </c>
      <c r="F257">
        <v>147.27104532839999</v>
      </c>
      <c r="G257">
        <v>119.07678075856001</v>
      </c>
      <c r="I257" s="9">
        <f t="shared" si="26"/>
        <v>87.654272845880001</v>
      </c>
      <c r="J257" s="9">
        <f t="shared" si="27"/>
        <v>227.77701382132003</v>
      </c>
      <c r="K257" s="9">
        <f t="shared" si="24"/>
        <v>87.654272845880001</v>
      </c>
      <c r="L257" s="10">
        <f t="shared" si="21"/>
        <v>0.3848249275699106</v>
      </c>
      <c r="M257" s="10">
        <f t="shared" si="28"/>
        <v>0.54442563472866312</v>
      </c>
      <c r="P257" s="8">
        <f t="shared" si="29"/>
        <v>-1.3209573408944739</v>
      </c>
    </row>
    <row r="258" spans="1:16" x14ac:dyDescent="0.2">
      <c r="A258" s="8">
        <v>128</v>
      </c>
      <c r="B258" s="8">
        <v>256</v>
      </c>
      <c r="D258">
        <v>379.51338873499998</v>
      </c>
      <c r="E258">
        <v>211.85872576176999</v>
      </c>
      <c r="F258">
        <v>147.35245143386001</v>
      </c>
      <c r="G258">
        <v>118.91211840888</v>
      </c>
      <c r="I258" s="9">
        <f t="shared" si="26"/>
        <v>92.946607352889984</v>
      </c>
      <c r="J258" s="9">
        <f t="shared" si="27"/>
        <v>232.16093730113997</v>
      </c>
      <c r="K258" s="9">
        <f t="shared" si="24"/>
        <v>92.946607352889984</v>
      </c>
      <c r="L258" s="10">
        <f t="shared" ref="L258:L321" si="30">K258/J258</f>
        <v>0.40035420442986641</v>
      </c>
      <c r="M258" s="10">
        <f t="shared" si="28"/>
        <v>0.56058079671473171</v>
      </c>
      <c r="P258" s="8">
        <f t="shared" si="29"/>
        <v>1.6072220413687166</v>
      </c>
    </row>
    <row r="259" spans="1:16" x14ac:dyDescent="0.2">
      <c r="A259" s="8">
        <v>128.5</v>
      </c>
      <c r="B259" s="8">
        <v>257</v>
      </c>
      <c r="D259">
        <v>390.10294117646998</v>
      </c>
      <c r="E259">
        <v>211.95955882352999</v>
      </c>
      <c r="F259">
        <v>147.22016651249001</v>
      </c>
      <c r="G259">
        <v>119.44125809435999</v>
      </c>
      <c r="I259" s="9">
        <f t="shared" si="26"/>
        <v>92.518300729169994</v>
      </c>
      <c r="J259" s="9">
        <f t="shared" si="27"/>
        <v>242.88277466397997</v>
      </c>
      <c r="K259" s="9">
        <f t="shared" ref="K259:K322" si="31">I259*1</f>
        <v>92.518300729169994</v>
      </c>
      <c r="L259" s="10">
        <f t="shared" si="30"/>
        <v>0.3809175058098126</v>
      </c>
      <c r="M259" s="10">
        <f t="shared" si="28"/>
        <v>0.54176998322079062</v>
      </c>
      <c r="P259" s="8">
        <f t="shared" si="29"/>
        <v>-1.8023034269649352</v>
      </c>
    </row>
    <row r="260" spans="1:16" x14ac:dyDescent="0.2">
      <c r="A260" s="8">
        <v>129</v>
      </c>
      <c r="B260" s="8">
        <v>258</v>
      </c>
      <c r="D260">
        <v>384.51930147058999</v>
      </c>
      <c r="E260">
        <v>204.33455882352999</v>
      </c>
      <c r="F260">
        <v>147.4625346901</v>
      </c>
      <c r="G260">
        <v>118.96484736355001</v>
      </c>
      <c r="I260" s="9">
        <f t="shared" si="26"/>
        <v>85.369711459979982</v>
      </c>
      <c r="J260" s="9">
        <f t="shared" si="27"/>
        <v>237.05676678048999</v>
      </c>
      <c r="K260" s="9">
        <f t="shared" si="31"/>
        <v>85.369711459979982</v>
      </c>
      <c r="L260" s="10">
        <f t="shared" si="30"/>
        <v>0.36012349539480004</v>
      </c>
      <c r="M260" s="10">
        <f t="shared" si="28"/>
        <v>0.52160185793189084</v>
      </c>
      <c r="P260" s="8">
        <f t="shared" si="29"/>
        <v>-5.4578463859760573</v>
      </c>
    </row>
    <row r="261" spans="1:16" x14ac:dyDescent="0.2">
      <c r="A261" s="8">
        <v>129.5</v>
      </c>
      <c r="B261" s="8">
        <v>259</v>
      </c>
      <c r="D261">
        <v>385.21987120515001</v>
      </c>
      <c r="E261">
        <v>208.40938362465999</v>
      </c>
      <c r="F261">
        <v>147.66975023127</v>
      </c>
      <c r="G261">
        <v>119.51988899167</v>
      </c>
      <c r="I261" s="9">
        <f t="shared" si="26"/>
        <v>88.889494632989994</v>
      </c>
      <c r="J261" s="9">
        <f t="shared" si="27"/>
        <v>237.55012097388001</v>
      </c>
      <c r="K261" s="9">
        <f t="shared" si="31"/>
        <v>88.889494632989994</v>
      </c>
      <c r="L261" s="10">
        <f t="shared" si="30"/>
        <v>0.37419258836228458</v>
      </c>
      <c r="M261" s="10">
        <f t="shared" si="28"/>
        <v>0.53629683602548817</v>
      </c>
      <c r="P261" s="8">
        <f t="shared" si="29"/>
        <v>-2.7943304203925829</v>
      </c>
    </row>
    <row r="262" spans="1:16" x14ac:dyDescent="0.2">
      <c r="A262" s="8">
        <v>130</v>
      </c>
      <c r="B262" s="8">
        <v>260</v>
      </c>
      <c r="D262">
        <v>376.19573283859</v>
      </c>
      <c r="E262">
        <v>204.97959183674001</v>
      </c>
      <c r="F262">
        <v>147.17021276596</v>
      </c>
      <c r="G262">
        <v>119.23311748381001</v>
      </c>
      <c r="I262" s="9">
        <f t="shared" si="26"/>
        <v>85.746474352930008</v>
      </c>
      <c r="J262" s="9">
        <f t="shared" si="27"/>
        <v>229.02552007263</v>
      </c>
      <c r="K262" s="9">
        <f t="shared" si="31"/>
        <v>85.746474352930008</v>
      </c>
      <c r="L262" s="10">
        <f t="shared" si="30"/>
        <v>0.37439702931680957</v>
      </c>
      <c r="M262" s="10">
        <f t="shared" si="28"/>
        <v>0.53712716210612588</v>
      </c>
      <c r="P262" s="8">
        <f t="shared" si="29"/>
        <v>-2.6438309260529151</v>
      </c>
    </row>
    <row r="263" spans="1:16" x14ac:dyDescent="0.2">
      <c r="A263" s="8">
        <v>130.5</v>
      </c>
      <c r="B263" s="8">
        <v>261</v>
      </c>
      <c r="D263">
        <v>380.75231910946002</v>
      </c>
      <c r="E263">
        <v>210.08719851577001</v>
      </c>
      <c r="F263">
        <v>147.06567992599</v>
      </c>
      <c r="G263">
        <v>119.48658649399</v>
      </c>
      <c r="I263" s="9">
        <f t="shared" si="26"/>
        <v>90.600612021780009</v>
      </c>
      <c r="J263" s="9">
        <f t="shared" si="27"/>
        <v>233.68663918347002</v>
      </c>
      <c r="K263" s="9">
        <f t="shared" si="31"/>
        <v>90.600612021780009</v>
      </c>
      <c r="L263" s="10">
        <f t="shared" si="30"/>
        <v>0.38770129237319573</v>
      </c>
      <c r="M263" s="10">
        <f t="shared" si="28"/>
        <v>0.55105731028862481</v>
      </c>
      <c r="P263" s="8">
        <f t="shared" si="29"/>
        <v>-0.11894304594130166</v>
      </c>
    </row>
    <row r="264" spans="1:16" x14ac:dyDescent="0.2">
      <c r="A264" s="8">
        <v>131</v>
      </c>
      <c r="B264" s="8">
        <v>262</v>
      </c>
      <c r="D264">
        <v>376.12708719851997</v>
      </c>
      <c r="E264">
        <v>208.20222634507999</v>
      </c>
      <c r="F264">
        <v>148.35430157261999</v>
      </c>
      <c r="G264">
        <v>118.80203515264</v>
      </c>
      <c r="I264" s="9">
        <f t="shared" si="26"/>
        <v>89.400191192439991</v>
      </c>
      <c r="J264" s="9">
        <f t="shared" si="27"/>
        <v>227.77278562589999</v>
      </c>
      <c r="K264" s="9">
        <f t="shared" si="31"/>
        <v>89.400191192439991</v>
      </c>
      <c r="L264" s="10">
        <f t="shared" si="30"/>
        <v>0.39249724652914952</v>
      </c>
      <c r="M264" s="10">
        <f t="shared" si="28"/>
        <v>0.55647914957069133</v>
      </c>
      <c r="P264" s="8">
        <f t="shared" si="29"/>
        <v>0.86378420949461554</v>
      </c>
    </row>
    <row r="265" spans="1:16" x14ac:dyDescent="0.2">
      <c r="A265" s="8">
        <v>131.5</v>
      </c>
      <c r="B265" s="8">
        <v>263</v>
      </c>
      <c r="D265">
        <v>375.81767441861001</v>
      </c>
      <c r="E265">
        <v>205.93953488372</v>
      </c>
      <c r="F265">
        <v>147.46160962072</v>
      </c>
      <c r="G265">
        <v>118.84643848288999</v>
      </c>
      <c r="I265" s="9">
        <f t="shared" si="26"/>
        <v>87.093096400830007</v>
      </c>
      <c r="J265" s="9">
        <f t="shared" si="27"/>
        <v>228.35606479789001</v>
      </c>
      <c r="K265" s="9">
        <f t="shared" si="31"/>
        <v>87.093096400830007</v>
      </c>
      <c r="L265" s="10">
        <f t="shared" si="30"/>
        <v>0.38139165026299199</v>
      </c>
      <c r="M265" s="10">
        <f t="shared" si="28"/>
        <v>0.54599943843064658</v>
      </c>
      <c r="P265" s="8">
        <f t="shared" si="29"/>
        <v>-1.0356999379757366</v>
      </c>
    </row>
    <row r="266" spans="1:16" x14ac:dyDescent="0.2">
      <c r="A266" s="8">
        <v>132</v>
      </c>
      <c r="B266" s="8">
        <v>264</v>
      </c>
      <c r="D266">
        <v>376.0688372093</v>
      </c>
      <c r="E266">
        <v>203.52279069766999</v>
      </c>
      <c r="F266">
        <v>147.46716003700001</v>
      </c>
      <c r="G266">
        <v>119.22386679001001</v>
      </c>
      <c r="I266" s="9">
        <f t="shared" si="26"/>
        <v>84.298923907659983</v>
      </c>
      <c r="J266" s="9">
        <f t="shared" si="27"/>
        <v>228.60167717229999</v>
      </c>
      <c r="K266" s="9">
        <f t="shared" si="31"/>
        <v>84.298923907659983</v>
      </c>
      <c r="L266" s="10">
        <f t="shared" si="30"/>
        <v>0.36875899140548657</v>
      </c>
      <c r="M266" s="10">
        <f t="shared" si="28"/>
        <v>0.53399266469925388</v>
      </c>
      <c r="P266" s="8">
        <f t="shared" si="29"/>
        <v>-3.2119694992516843</v>
      </c>
    </row>
    <row r="267" spans="1:16" x14ac:dyDescent="0.2">
      <c r="A267" s="8">
        <v>132.5</v>
      </c>
      <c r="B267" s="8">
        <v>265</v>
      </c>
      <c r="D267">
        <v>368.68558139535003</v>
      </c>
      <c r="E267">
        <v>199.20372093022999</v>
      </c>
      <c r="F267">
        <v>147.50786308972999</v>
      </c>
      <c r="G267">
        <v>119.35707678076</v>
      </c>
      <c r="I267" s="9">
        <f t="shared" si="26"/>
        <v>79.846644149469995</v>
      </c>
      <c r="J267" s="9">
        <f t="shared" si="27"/>
        <v>221.17771830562003</v>
      </c>
      <c r="K267" s="9">
        <f t="shared" si="31"/>
        <v>79.846644149469995</v>
      </c>
      <c r="L267" s="10">
        <f t="shared" si="30"/>
        <v>0.36100672690338143</v>
      </c>
      <c r="M267" s="10">
        <f t="shared" si="28"/>
        <v>0.52686628532326152</v>
      </c>
      <c r="P267" s="8">
        <f t="shared" si="29"/>
        <v>-4.5036505840319796</v>
      </c>
    </row>
    <row r="268" spans="1:16" x14ac:dyDescent="0.2">
      <c r="A268" s="8">
        <v>133</v>
      </c>
      <c r="B268" s="8">
        <v>266</v>
      </c>
      <c r="D268">
        <v>373.72458410350998</v>
      </c>
      <c r="E268">
        <v>204.67282809612001</v>
      </c>
      <c r="F268">
        <v>147.22849213691001</v>
      </c>
      <c r="G268">
        <v>118.93524514339001</v>
      </c>
      <c r="I268" s="9">
        <f t="shared" si="26"/>
        <v>85.737582952730008</v>
      </c>
      <c r="J268" s="9">
        <f t="shared" si="27"/>
        <v>226.49609196659998</v>
      </c>
      <c r="K268" s="9">
        <f t="shared" si="31"/>
        <v>85.737582952730008</v>
      </c>
      <c r="L268" s="10">
        <f t="shared" si="30"/>
        <v>0.37853890638154242</v>
      </c>
      <c r="M268" s="10">
        <f t="shared" si="28"/>
        <v>0.54502434992753523</v>
      </c>
      <c r="P268" s="8">
        <f t="shared" si="29"/>
        <v>-1.2124381256308479</v>
      </c>
    </row>
    <row r="269" spans="1:16" x14ac:dyDescent="0.2">
      <c r="A269" s="8">
        <v>133.5</v>
      </c>
      <c r="B269" s="8">
        <v>267</v>
      </c>
      <c r="D269">
        <v>373.72273567468</v>
      </c>
      <c r="E269">
        <v>205.06931608132999</v>
      </c>
      <c r="F269">
        <v>147.13320999075</v>
      </c>
      <c r="G269">
        <v>119.33024976873</v>
      </c>
      <c r="I269" s="9">
        <f t="shared" si="26"/>
        <v>85.739066312599988</v>
      </c>
      <c r="J269" s="9">
        <f t="shared" si="27"/>
        <v>226.58952568392999</v>
      </c>
      <c r="K269" s="9">
        <f t="shared" si="31"/>
        <v>85.739066312599988</v>
      </c>
      <c r="L269" s="10">
        <f t="shared" si="30"/>
        <v>0.37838936311732924</v>
      </c>
      <c r="M269" s="10">
        <f t="shared" si="28"/>
        <v>0.54550069178943483</v>
      </c>
      <c r="P269" s="8">
        <f t="shared" si="29"/>
        <v>-1.1260995039490544</v>
      </c>
    </row>
    <row r="270" spans="1:16" x14ac:dyDescent="0.2">
      <c r="A270" s="8">
        <v>134</v>
      </c>
      <c r="B270" s="8">
        <v>268</v>
      </c>
      <c r="D270">
        <v>367.96303142328998</v>
      </c>
      <c r="E270">
        <v>202.31977818854</v>
      </c>
      <c r="F270">
        <v>147.27197039778</v>
      </c>
      <c r="G270">
        <v>118.87326549491</v>
      </c>
      <c r="I270" s="9">
        <f t="shared" si="26"/>
        <v>83.446512693629998</v>
      </c>
      <c r="J270" s="9">
        <f t="shared" si="27"/>
        <v>220.69106102550998</v>
      </c>
      <c r="K270" s="9">
        <f t="shared" si="31"/>
        <v>83.446512693629998</v>
      </c>
      <c r="L270" s="10">
        <f t="shared" si="30"/>
        <v>0.37811460195020902</v>
      </c>
      <c r="M270" s="10">
        <f t="shared" si="28"/>
        <v>0.54585181574842734</v>
      </c>
      <c r="P270" s="8">
        <f t="shared" si="29"/>
        <v>-1.0624570633330392</v>
      </c>
    </row>
    <row r="271" spans="1:16" x14ac:dyDescent="0.2">
      <c r="A271" s="8">
        <v>134.5</v>
      </c>
      <c r="B271" s="8">
        <v>269</v>
      </c>
      <c r="D271">
        <v>372.20018450185</v>
      </c>
      <c r="E271">
        <v>203.32749077490999</v>
      </c>
      <c r="F271">
        <v>146.95004625346999</v>
      </c>
      <c r="G271">
        <v>119.15448658648999</v>
      </c>
      <c r="I271" s="9">
        <f t="shared" si="26"/>
        <v>84.173004188419995</v>
      </c>
      <c r="J271" s="9">
        <f t="shared" si="27"/>
        <v>225.25013824838001</v>
      </c>
      <c r="K271" s="9">
        <f t="shared" si="31"/>
        <v>84.173004188419995</v>
      </c>
      <c r="L271" s="10">
        <f t="shared" si="30"/>
        <v>0.37368680367069812</v>
      </c>
      <c r="M271" s="10">
        <f t="shared" si="28"/>
        <v>0.54204990259502928</v>
      </c>
      <c r="P271" s="8">
        <f t="shared" si="29"/>
        <v>-1.7515670653581326</v>
      </c>
    </row>
    <row r="272" spans="1:16" x14ac:dyDescent="0.2">
      <c r="A272" s="8">
        <v>135</v>
      </c>
      <c r="B272" s="8">
        <v>270</v>
      </c>
      <c r="D272">
        <v>365.20664206641999</v>
      </c>
      <c r="E272">
        <v>199.64206642066</v>
      </c>
      <c r="F272">
        <v>146.92321924143999</v>
      </c>
      <c r="G272">
        <v>119.16928769658</v>
      </c>
      <c r="I272" s="9">
        <f t="shared" si="26"/>
        <v>80.472778724080001</v>
      </c>
      <c r="J272" s="9">
        <f t="shared" si="27"/>
        <v>218.28342282497999</v>
      </c>
      <c r="K272" s="9">
        <f t="shared" si="31"/>
        <v>80.472778724080001</v>
      </c>
      <c r="L272" s="10">
        <f t="shared" si="30"/>
        <v>0.36866188775408387</v>
      </c>
      <c r="M272" s="10">
        <f t="shared" si="28"/>
        <v>0.53765087180452775</v>
      </c>
      <c r="P272" s="8">
        <f t="shared" si="29"/>
        <v>-2.5489067190115944</v>
      </c>
    </row>
    <row r="273" spans="1:16" x14ac:dyDescent="0.2">
      <c r="A273" s="8">
        <v>135.5</v>
      </c>
      <c r="B273" s="8">
        <v>271</v>
      </c>
      <c r="D273">
        <v>374.44783010156999</v>
      </c>
      <c r="E273">
        <v>206.66666666667001</v>
      </c>
      <c r="F273">
        <v>147.82978723404</v>
      </c>
      <c r="G273">
        <v>119.16096207216</v>
      </c>
      <c r="I273" s="9">
        <f t="shared" si="26"/>
        <v>87.505704594510007</v>
      </c>
      <c r="J273" s="9">
        <f t="shared" si="27"/>
        <v>226.61804286752999</v>
      </c>
      <c r="K273" s="9">
        <f t="shared" si="31"/>
        <v>87.505704594510007</v>
      </c>
      <c r="L273" s="10">
        <f t="shared" si="30"/>
        <v>0.38613741204031859</v>
      </c>
      <c r="M273" s="10">
        <f t="shared" si="28"/>
        <v>0.55575228121687525</v>
      </c>
      <c r="P273" s="8">
        <f t="shared" si="29"/>
        <v>0.73203678850934428</v>
      </c>
    </row>
    <row r="274" spans="1:16" x14ac:dyDescent="0.2">
      <c r="A274" s="8">
        <v>136</v>
      </c>
      <c r="B274" s="8">
        <v>272</v>
      </c>
      <c r="D274">
        <v>368.74884579871002</v>
      </c>
      <c r="E274">
        <v>210.26685133887</v>
      </c>
      <c r="F274">
        <v>146.47826086956999</v>
      </c>
      <c r="G274">
        <v>118.87511563367001</v>
      </c>
      <c r="I274" s="9">
        <f t="shared" si="26"/>
        <v>91.391735705199991</v>
      </c>
      <c r="J274" s="9">
        <f t="shared" si="27"/>
        <v>222.27058492914003</v>
      </c>
      <c r="K274" s="9">
        <f t="shared" si="31"/>
        <v>91.391735705199991</v>
      </c>
      <c r="L274" s="10">
        <f t="shared" si="30"/>
        <v>0.41117332612561269</v>
      </c>
      <c r="M274" s="10">
        <f t="shared" si="28"/>
        <v>0.58141408042828213</v>
      </c>
      <c r="P274" s="8">
        <f t="shared" si="29"/>
        <v>5.3833272817534521</v>
      </c>
    </row>
    <row r="275" spans="1:16" x14ac:dyDescent="0.2">
      <c r="A275" s="8">
        <v>136.5</v>
      </c>
      <c r="B275" s="8">
        <v>273</v>
      </c>
      <c r="D275">
        <v>377.12118408881003</v>
      </c>
      <c r="E275">
        <v>211.35707678076</v>
      </c>
      <c r="F275">
        <v>147.34042553192</v>
      </c>
      <c r="G275">
        <v>119.0749306198</v>
      </c>
      <c r="I275" s="9">
        <f>E275-G275</f>
        <v>92.282146160959996</v>
      </c>
      <c r="J275" s="9">
        <f>D275-F275</f>
        <v>229.78075855689002</v>
      </c>
      <c r="K275" s="9">
        <f t="shared" si="31"/>
        <v>92.282146160959996</v>
      </c>
      <c r="L275" s="10">
        <f t="shared" si="30"/>
        <v>0.40160954616272809</v>
      </c>
      <c r="M275" s="10">
        <f>L275+ABS($N$2)*A275</f>
        <v>0.57247618559151026</v>
      </c>
      <c r="O275" s="11"/>
      <c r="P275" s="8">
        <f>(M275-$O$2)/$O$2*100</f>
        <v>3.763302709765795</v>
      </c>
    </row>
    <row r="276" spans="1:16" x14ac:dyDescent="0.2">
      <c r="A276" s="8">
        <v>137</v>
      </c>
      <c r="B276" s="8">
        <v>274</v>
      </c>
      <c r="D276">
        <v>374.39962997225001</v>
      </c>
      <c r="E276">
        <v>213.38482886217</v>
      </c>
      <c r="F276">
        <v>147.27844588344001</v>
      </c>
      <c r="G276">
        <v>118.9019426457</v>
      </c>
      <c r="I276" s="9">
        <f t="shared" ref="I276:I291" si="32">E276-G276</f>
        <v>94.482886216469993</v>
      </c>
      <c r="J276" s="9">
        <f t="shared" ref="J276:J291" si="33">D276-F276</f>
        <v>227.12118408881</v>
      </c>
      <c r="K276" s="9">
        <f t="shared" si="31"/>
        <v>94.482886216469993</v>
      </c>
      <c r="L276" s="10">
        <f t="shared" si="30"/>
        <v>0.41600208538682526</v>
      </c>
      <c r="M276" s="10">
        <f t="shared" ref="M276:M291" si="34">L276+ABS($N$2)*A276</f>
        <v>0.5874946099417202</v>
      </c>
      <c r="P276" s="8">
        <f t="shared" ref="P276:P291" si="35">(M276-$O$2)/$O$2*100</f>
        <v>6.4854444360008827</v>
      </c>
    </row>
    <row r="277" spans="1:16" x14ac:dyDescent="0.2">
      <c r="A277" s="8">
        <v>137.5</v>
      </c>
      <c r="B277" s="8">
        <v>275</v>
      </c>
      <c r="D277">
        <v>375.48751156336999</v>
      </c>
      <c r="E277">
        <v>215.57446808511</v>
      </c>
      <c r="F277">
        <v>146.96762257168999</v>
      </c>
      <c r="G277">
        <v>119.05457909342999</v>
      </c>
      <c r="I277" s="9">
        <f t="shared" si="32"/>
        <v>96.519888991680006</v>
      </c>
      <c r="J277" s="9">
        <f t="shared" si="33"/>
        <v>228.51988899168001</v>
      </c>
      <c r="K277" s="9">
        <f t="shared" si="31"/>
        <v>96.519888991680006</v>
      </c>
      <c r="L277" s="10">
        <f t="shared" si="30"/>
        <v>0.42236975266163429</v>
      </c>
      <c r="M277" s="10">
        <f t="shared" si="34"/>
        <v>0.5944881623426419</v>
      </c>
      <c r="N277" s="1"/>
      <c r="P277" s="8">
        <f t="shared" si="35"/>
        <v>7.7530501688815363</v>
      </c>
    </row>
    <row r="278" spans="1:16" x14ac:dyDescent="0.2">
      <c r="A278" s="8">
        <v>138</v>
      </c>
      <c r="B278" s="8">
        <v>276</v>
      </c>
      <c r="D278">
        <v>374.52451433857999</v>
      </c>
      <c r="E278">
        <v>212.38852913969001</v>
      </c>
      <c r="F278">
        <v>146.81591119334001</v>
      </c>
      <c r="G278">
        <v>118.98242368178001</v>
      </c>
      <c r="I278" s="9">
        <f t="shared" si="32"/>
        <v>93.406105457910002</v>
      </c>
      <c r="J278" s="9">
        <f t="shared" si="33"/>
        <v>227.70860314523998</v>
      </c>
      <c r="K278" s="9">
        <f t="shared" si="31"/>
        <v>93.406105457910002</v>
      </c>
      <c r="L278" s="10">
        <f t="shared" si="30"/>
        <v>0.41020016006304577</v>
      </c>
      <c r="M278" s="10">
        <f t="shared" si="34"/>
        <v>0.58294445487016611</v>
      </c>
      <c r="P278" s="8">
        <f t="shared" si="35"/>
        <v>5.6607129800046714</v>
      </c>
    </row>
    <row r="279" spans="1:16" x14ac:dyDescent="0.2">
      <c r="A279" s="8">
        <v>138.5</v>
      </c>
      <c r="B279" s="8">
        <v>277</v>
      </c>
      <c r="D279">
        <v>377.21091581869001</v>
      </c>
      <c r="E279">
        <v>214.69010175763</v>
      </c>
      <c r="F279">
        <v>147.63274745606</v>
      </c>
      <c r="G279">
        <v>119.35060129510001</v>
      </c>
      <c r="I279" s="9">
        <f t="shared" si="32"/>
        <v>95.339500462529998</v>
      </c>
      <c r="J279" s="9">
        <f t="shared" si="33"/>
        <v>229.57816836263001</v>
      </c>
      <c r="K279" s="9">
        <f t="shared" si="31"/>
        <v>95.339500462529998</v>
      </c>
      <c r="L279" s="10">
        <f t="shared" si="30"/>
        <v>0.41528121398693524</v>
      </c>
      <c r="M279" s="10">
        <f t="shared" si="34"/>
        <v>0.58865139392016841</v>
      </c>
      <c r="P279" s="8">
        <f t="shared" si="35"/>
        <v>6.6951155614495441</v>
      </c>
    </row>
    <row r="280" spans="1:16" x14ac:dyDescent="0.2">
      <c r="A280" s="8">
        <v>139</v>
      </c>
      <c r="B280" s="8">
        <v>278</v>
      </c>
      <c r="D280">
        <v>379.17668825162002</v>
      </c>
      <c r="E280">
        <v>216.6216466235</v>
      </c>
      <c r="F280">
        <v>147.34042553192</v>
      </c>
      <c r="G280">
        <v>119.13320999075</v>
      </c>
      <c r="I280" s="9">
        <f t="shared" si="32"/>
        <v>97.488436632749995</v>
      </c>
      <c r="J280" s="9">
        <f t="shared" si="33"/>
        <v>231.83626271970002</v>
      </c>
      <c r="K280" s="9">
        <f t="shared" si="31"/>
        <v>97.488436632749995</v>
      </c>
      <c r="L280" s="10">
        <f t="shared" si="30"/>
        <v>0.42050555633144282</v>
      </c>
      <c r="M280" s="10">
        <f t="shared" si="34"/>
        <v>0.59450162139078877</v>
      </c>
      <c r="P280" s="8">
        <f t="shared" si="35"/>
        <v>7.7554896682392362</v>
      </c>
    </row>
    <row r="281" spans="1:16" x14ac:dyDescent="0.2">
      <c r="A281" s="8">
        <v>139.5</v>
      </c>
      <c r="B281" s="8">
        <v>279</v>
      </c>
      <c r="D281">
        <v>378.66327474561001</v>
      </c>
      <c r="E281">
        <v>215.24144310822999</v>
      </c>
      <c r="F281">
        <v>147.24144310822999</v>
      </c>
      <c r="G281">
        <v>119.12950971322999</v>
      </c>
      <c r="I281" s="9">
        <f t="shared" si="32"/>
        <v>96.111933394999994</v>
      </c>
      <c r="J281" s="9">
        <f t="shared" si="33"/>
        <v>231.42183163738002</v>
      </c>
      <c r="K281" s="9">
        <f t="shared" si="31"/>
        <v>96.111933394999994</v>
      </c>
      <c r="L281" s="10">
        <f t="shared" si="30"/>
        <v>0.41531057253751197</v>
      </c>
      <c r="M281" s="10">
        <f t="shared" si="34"/>
        <v>0.58993252272297059</v>
      </c>
      <c r="P281" s="8">
        <f t="shared" si="35"/>
        <v>6.9273246194350877</v>
      </c>
    </row>
    <row r="282" spans="1:16" x14ac:dyDescent="0.2">
      <c r="A282" s="8">
        <v>140</v>
      </c>
      <c r="B282" s="8">
        <v>280</v>
      </c>
      <c r="D282">
        <v>382.89483394834002</v>
      </c>
      <c r="E282">
        <v>212.64206642066</v>
      </c>
      <c r="F282">
        <v>146.30342275671001</v>
      </c>
      <c r="G282">
        <v>118.81868640147999</v>
      </c>
      <c r="I282" s="9">
        <f t="shared" si="32"/>
        <v>93.823380019180007</v>
      </c>
      <c r="J282" s="9">
        <f t="shared" si="33"/>
        <v>236.59141119163002</v>
      </c>
      <c r="K282" s="9">
        <f t="shared" si="31"/>
        <v>93.823380019180007</v>
      </c>
      <c r="L282" s="10">
        <f t="shared" si="30"/>
        <v>0.39656291640775854</v>
      </c>
      <c r="M282" s="10">
        <f t="shared" si="34"/>
        <v>0.57181075171932993</v>
      </c>
      <c r="P282" s="8">
        <f t="shared" si="35"/>
        <v>3.6426905025679792</v>
      </c>
    </row>
    <row r="283" spans="1:16" x14ac:dyDescent="0.2">
      <c r="A283" s="8">
        <v>140.5</v>
      </c>
      <c r="B283" s="8">
        <v>281</v>
      </c>
      <c r="D283">
        <v>371.07948243993002</v>
      </c>
      <c r="E283">
        <v>205.4426987061</v>
      </c>
      <c r="F283">
        <v>146.53469010175999</v>
      </c>
      <c r="G283">
        <v>119.03885291397</v>
      </c>
      <c r="I283" s="9">
        <f t="shared" si="32"/>
        <v>86.403845792129999</v>
      </c>
      <c r="J283" s="9">
        <f t="shared" si="33"/>
        <v>224.54479233817003</v>
      </c>
      <c r="K283" s="9">
        <f t="shared" si="31"/>
        <v>86.403845792129999</v>
      </c>
      <c r="L283" s="10">
        <f t="shared" si="30"/>
        <v>0.3847955897458698</v>
      </c>
      <c r="M283" s="10">
        <f t="shared" si="34"/>
        <v>0.56066931018355404</v>
      </c>
      <c r="P283" s="8">
        <f t="shared" si="35"/>
        <v>1.6232654159063189</v>
      </c>
    </row>
    <row r="284" spans="1:16" x14ac:dyDescent="0.2">
      <c r="A284" s="8">
        <v>141</v>
      </c>
      <c r="B284" s="8">
        <v>282</v>
      </c>
      <c r="D284">
        <v>371.92606284658001</v>
      </c>
      <c r="E284">
        <v>202.45009242143999</v>
      </c>
      <c r="F284">
        <v>146.73358001849999</v>
      </c>
      <c r="G284">
        <v>119.02497687327001</v>
      </c>
      <c r="I284" s="9">
        <f t="shared" si="32"/>
        <v>83.425115548169984</v>
      </c>
      <c r="J284" s="9">
        <f t="shared" si="33"/>
        <v>225.19248282808002</v>
      </c>
      <c r="K284" s="9">
        <f t="shared" si="31"/>
        <v>83.425115548169984</v>
      </c>
      <c r="L284" s="10">
        <f t="shared" si="30"/>
        <v>0.37046136931604284</v>
      </c>
      <c r="M284" s="10">
        <f t="shared" si="34"/>
        <v>0.54696097487983975</v>
      </c>
      <c r="P284" s="8">
        <f t="shared" si="35"/>
        <v>-0.86141810729833534</v>
      </c>
    </row>
    <row r="285" spans="1:16" x14ac:dyDescent="0.2">
      <c r="A285" s="8">
        <v>141.5</v>
      </c>
      <c r="B285" s="8">
        <v>283</v>
      </c>
      <c r="D285">
        <v>377.10443622921002</v>
      </c>
      <c r="E285">
        <v>204.92883548982999</v>
      </c>
      <c r="F285">
        <v>146.50878815911</v>
      </c>
      <c r="G285">
        <v>119.26827012026</v>
      </c>
      <c r="I285" s="9">
        <f t="shared" si="32"/>
        <v>85.660565369569994</v>
      </c>
      <c r="J285" s="9">
        <f t="shared" si="33"/>
        <v>230.59564807010003</v>
      </c>
      <c r="K285" s="9">
        <f t="shared" si="31"/>
        <v>85.660565369569994</v>
      </c>
      <c r="L285" s="10">
        <f t="shared" si="30"/>
        <v>0.37147520383181548</v>
      </c>
      <c r="M285" s="10">
        <f t="shared" si="34"/>
        <v>0.54860069452172522</v>
      </c>
      <c r="P285" s="8">
        <f t="shared" si="35"/>
        <v>-0.56421321067139296</v>
      </c>
    </row>
    <row r="286" spans="1:16" x14ac:dyDescent="0.2">
      <c r="A286" s="8">
        <v>142</v>
      </c>
      <c r="B286" s="8">
        <v>284</v>
      </c>
      <c r="D286">
        <v>377.05360443622999</v>
      </c>
      <c r="E286">
        <v>204.79297597043001</v>
      </c>
      <c r="F286">
        <v>146.8973172988</v>
      </c>
      <c r="G286">
        <v>118.85013876041</v>
      </c>
      <c r="I286" s="9">
        <f t="shared" si="32"/>
        <v>85.942837210020002</v>
      </c>
      <c r="J286" s="9">
        <f t="shared" si="33"/>
        <v>230.15628713742998</v>
      </c>
      <c r="K286" s="9">
        <f t="shared" si="31"/>
        <v>85.942837210020002</v>
      </c>
      <c r="L286" s="10">
        <f t="shared" si="30"/>
        <v>0.37341077351800589</v>
      </c>
      <c r="M286" s="10">
        <f t="shared" si="34"/>
        <v>0.5511621493340283</v>
      </c>
      <c r="P286" s="8">
        <f t="shared" si="35"/>
        <v>-9.9940603782481985E-2</v>
      </c>
    </row>
    <row r="287" spans="1:16" x14ac:dyDescent="0.2">
      <c r="A287" s="8">
        <v>142.5</v>
      </c>
      <c r="B287" s="8">
        <v>285</v>
      </c>
      <c r="D287">
        <v>373.06654343807998</v>
      </c>
      <c r="E287">
        <v>201.86136783734</v>
      </c>
      <c r="F287">
        <v>146.32747456058999</v>
      </c>
      <c r="G287">
        <v>118.75763182239</v>
      </c>
      <c r="I287" s="9">
        <f t="shared" si="32"/>
        <v>83.103736014950002</v>
      </c>
      <c r="J287" s="9">
        <f t="shared" si="33"/>
        <v>226.73906887748998</v>
      </c>
      <c r="K287" s="9">
        <f t="shared" si="31"/>
        <v>83.103736014950002</v>
      </c>
      <c r="L287" s="10">
        <f t="shared" si="30"/>
        <v>0.36651705604318247</v>
      </c>
      <c r="M287" s="10">
        <f t="shared" si="34"/>
        <v>0.54489431698531765</v>
      </c>
      <c r="P287" s="8">
        <f t="shared" si="35"/>
        <v>-1.2360070493435842</v>
      </c>
    </row>
    <row r="288" spans="1:16" x14ac:dyDescent="0.2">
      <c r="A288" s="8">
        <v>143</v>
      </c>
      <c r="B288" s="8">
        <v>286</v>
      </c>
      <c r="D288">
        <v>372.71323529412001</v>
      </c>
      <c r="E288">
        <v>200.15533088235</v>
      </c>
      <c r="F288">
        <v>146.77705827937001</v>
      </c>
      <c r="G288">
        <v>119.11378353377</v>
      </c>
      <c r="I288" s="9">
        <f t="shared" si="32"/>
        <v>81.041547348579996</v>
      </c>
      <c r="J288" s="9">
        <f t="shared" si="33"/>
        <v>225.93617701475</v>
      </c>
      <c r="K288" s="9">
        <f t="shared" si="31"/>
        <v>81.041547348579996</v>
      </c>
      <c r="L288" s="10">
        <f t="shared" si="30"/>
        <v>0.35869221308143712</v>
      </c>
      <c r="M288" s="10">
        <f t="shared" si="34"/>
        <v>0.53769535914968514</v>
      </c>
      <c r="P288" s="8">
        <f t="shared" si="35"/>
        <v>-2.5408432327417687</v>
      </c>
    </row>
    <row r="289" spans="1:16" x14ac:dyDescent="0.2">
      <c r="A289" s="8">
        <v>143.5</v>
      </c>
      <c r="B289" s="8">
        <v>287</v>
      </c>
      <c r="D289">
        <v>367.16911764705998</v>
      </c>
      <c r="E289">
        <v>198.07904411765</v>
      </c>
      <c r="F289">
        <v>146.46623496762001</v>
      </c>
      <c r="G289">
        <v>118.85106382978999</v>
      </c>
      <c r="I289" s="9">
        <f t="shared" si="32"/>
        <v>79.227980287860007</v>
      </c>
      <c r="J289" s="9">
        <f t="shared" si="33"/>
        <v>220.70288267943997</v>
      </c>
      <c r="K289" s="9">
        <f t="shared" si="31"/>
        <v>79.227980287860007</v>
      </c>
      <c r="L289" s="10">
        <f t="shared" si="30"/>
        <v>0.3589802694282645</v>
      </c>
      <c r="M289" s="10">
        <f t="shared" si="34"/>
        <v>0.53860930062262524</v>
      </c>
      <c r="P289" s="8">
        <f t="shared" si="35"/>
        <v>-2.3751881572949065</v>
      </c>
    </row>
    <row r="290" spans="1:16" x14ac:dyDescent="0.2">
      <c r="A290" s="8">
        <v>144</v>
      </c>
      <c r="B290" s="8">
        <v>288</v>
      </c>
      <c r="D290">
        <v>366.48611111111001</v>
      </c>
      <c r="E290">
        <v>196.94259259258999</v>
      </c>
      <c r="F290">
        <v>146.05087881591001</v>
      </c>
      <c r="G290">
        <v>118.79925994449999</v>
      </c>
      <c r="I290" s="9">
        <f t="shared" si="32"/>
        <v>78.143332648089995</v>
      </c>
      <c r="J290" s="9">
        <f t="shared" si="33"/>
        <v>220.4352322952</v>
      </c>
      <c r="K290" s="9">
        <f t="shared" si="31"/>
        <v>78.143332648089995</v>
      </c>
      <c r="L290" s="10">
        <f t="shared" si="30"/>
        <v>0.35449565767890895</v>
      </c>
      <c r="M290" s="10">
        <f t="shared" si="34"/>
        <v>0.53475057399938242</v>
      </c>
      <c r="P290" s="8">
        <f t="shared" si="35"/>
        <v>-3.0745957986242503</v>
      </c>
    </row>
    <row r="291" spans="1:16" x14ac:dyDescent="0.2">
      <c r="A291" s="8">
        <v>144.5</v>
      </c>
      <c r="B291" s="8">
        <v>289</v>
      </c>
      <c r="D291">
        <v>368.03055555556</v>
      </c>
      <c r="E291">
        <v>198.94444444443999</v>
      </c>
      <c r="F291">
        <v>146.70305272895999</v>
      </c>
      <c r="G291">
        <v>118.75393154487</v>
      </c>
      <c r="I291" s="9">
        <f t="shared" si="32"/>
        <v>80.190512899569995</v>
      </c>
      <c r="J291" s="9">
        <f t="shared" si="33"/>
        <v>221.32750282660001</v>
      </c>
      <c r="K291" s="9">
        <f t="shared" si="31"/>
        <v>80.190512899569995</v>
      </c>
      <c r="L291" s="10">
        <f t="shared" si="30"/>
        <v>0.36231607855077819</v>
      </c>
      <c r="M291" s="10">
        <f t="shared" si="34"/>
        <v>0.54319687999736443</v>
      </c>
      <c r="P291" s="8">
        <f t="shared" si="35"/>
        <v>-1.5436734159886085</v>
      </c>
    </row>
    <row r="292" spans="1:16" x14ac:dyDescent="0.2">
      <c r="A292" s="8">
        <v>145</v>
      </c>
      <c r="B292" s="8">
        <v>290</v>
      </c>
      <c r="D292">
        <v>373.91162790698002</v>
      </c>
      <c r="E292">
        <v>198.33581395349</v>
      </c>
      <c r="F292">
        <v>146.10083256243999</v>
      </c>
      <c r="G292">
        <v>118.51988899167</v>
      </c>
      <c r="I292" s="9">
        <f>E292-G292</f>
        <v>79.815924961820002</v>
      </c>
      <c r="J292" s="9">
        <f>D292-F292</f>
        <v>227.81079534454003</v>
      </c>
      <c r="K292" s="9">
        <f t="shared" si="31"/>
        <v>79.815924961820002</v>
      </c>
      <c r="L292" s="10">
        <f t="shared" si="30"/>
        <v>0.35036059130168418</v>
      </c>
      <c r="M292" s="10">
        <f>L292+ABS($N$2)*A292</f>
        <v>0.53186727787438315</v>
      </c>
      <c r="O292" s="11"/>
      <c r="P292" s="8">
        <f>(M292-$O$2)/$O$2*100</f>
        <v>-3.5972032644895178</v>
      </c>
    </row>
    <row r="293" spans="1:16" x14ac:dyDescent="0.2">
      <c r="A293" s="8">
        <v>145.5</v>
      </c>
      <c r="B293" s="8">
        <v>291</v>
      </c>
      <c r="D293">
        <v>369.57488372093002</v>
      </c>
      <c r="E293">
        <v>197.09023255814</v>
      </c>
      <c r="F293">
        <v>146.67252543941001</v>
      </c>
      <c r="G293">
        <v>118.64847363552001</v>
      </c>
      <c r="I293" s="9">
        <f t="shared" ref="I293:I301" si="36">E293-G293</f>
        <v>78.441758922619996</v>
      </c>
      <c r="J293" s="9">
        <f t="shared" ref="J293:J301" si="37">D293-F293</f>
        <v>222.90235828152001</v>
      </c>
      <c r="K293" s="9">
        <f t="shared" si="31"/>
        <v>78.441758922619996</v>
      </c>
      <c r="L293" s="10">
        <f t="shared" si="30"/>
        <v>0.35191085247985598</v>
      </c>
      <c r="M293" s="10">
        <f t="shared" ref="M293:M301" si="38">L293+ABS($N$2)*A293</f>
        <v>0.53404342417866768</v>
      </c>
      <c r="P293" s="8">
        <f t="shared" ref="P293:P301" si="39">(M293-$O$2)/$O$2*100</f>
        <v>-3.2027691668005418</v>
      </c>
    </row>
    <row r="294" spans="1:16" x14ac:dyDescent="0.2">
      <c r="A294" s="8">
        <v>146</v>
      </c>
      <c r="B294" s="8">
        <v>292</v>
      </c>
      <c r="D294">
        <v>363.62349676226</v>
      </c>
      <c r="E294">
        <v>194.82793709527999</v>
      </c>
      <c r="F294">
        <v>145.95559666975001</v>
      </c>
      <c r="G294">
        <v>118.94079555966999</v>
      </c>
      <c r="I294" s="9">
        <f t="shared" si="36"/>
        <v>75.887141535609999</v>
      </c>
      <c r="J294" s="9">
        <f t="shared" si="37"/>
        <v>217.66790009251</v>
      </c>
      <c r="K294" s="9">
        <f t="shared" si="31"/>
        <v>75.887141535609999</v>
      </c>
      <c r="L294" s="10">
        <f t="shared" si="30"/>
        <v>0.34863726577670645</v>
      </c>
      <c r="M294" s="10">
        <f t="shared" si="38"/>
        <v>0.53139572260163093</v>
      </c>
      <c r="N294" s="1"/>
      <c r="P294" s="8">
        <f t="shared" si="39"/>
        <v>-3.6826743002155151</v>
      </c>
    </row>
    <row r="295" spans="1:16" x14ac:dyDescent="0.2">
      <c r="A295" s="8">
        <v>146.5</v>
      </c>
      <c r="B295" s="8">
        <v>293</v>
      </c>
      <c r="D295">
        <v>364.47276084948999</v>
      </c>
      <c r="E295">
        <v>195.04524469066999</v>
      </c>
      <c r="F295">
        <v>146.69472710452999</v>
      </c>
      <c r="G295">
        <v>118.75578168363</v>
      </c>
      <c r="I295" s="9">
        <f t="shared" si="36"/>
        <v>76.289463007039984</v>
      </c>
      <c r="J295" s="9">
        <f t="shared" si="37"/>
        <v>217.77803374496</v>
      </c>
      <c r="K295" s="9">
        <f t="shared" si="31"/>
        <v>76.289463007039984</v>
      </c>
      <c r="L295" s="10">
        <f t="shared" si="30"/>
        <v>0.35030834696754876</v>
      </c>
      <c r="M295" s="10">
        <f t="shared" si="38"/>
        <v>0.53369268891858601</v>
      </c>
      <c r="P295" s="8">
        <f t="shared" si="39"/>
        <v>-3.2663411543850369</v>
      </c>
    </row>
    <row r="296" spans="1:16" x14ac:dyDescent="0.2">
      <c r="A296" s="8">
        <v>147</v>
      </c>
      <c r="B296" s="8">
        <v>294</v>
      </c>
      <c r="D296">
        <v>370.90489381347999</v>
      </c>
      <c r="E296">
        <v>196.24469067404999</v>
      </c>
      <c r="F296">
        <v>145.98519888992001</v>
      </c>
      <c r="G296">
        <v>118.56984273821</v>
      </c>
      <c r="I296" s="9">
        <f t="shared" si="36"/>
        <v>77.674847935839992</v>
      </c>
      <c r="J296" s="9">
        <f t="shared" si="37"/>
        <v>224.91969492355997</v>
      </c>
      <c r="K296" s="9">
        <f t="shared" si="31"/>
        <v>77.674847935839992</v>
      </c>
      <c r="L296" s="10">
        <f t="shared" si="30"/>
        <v>0.3453448038965114</v>
      </c>
      <c r="M296" s="10">
        <f t="shared" si="38"/>
        <v>0.52935503097366143</v>
      </c>
      <c r="P296" s="8">
        <f t="shared" si="39"/>
        <v>-4.0525567660013966</v>
      </c>
    </row>
    <row r="297" spans="1:16" x14ac:dyDescent="0.2">
      <c r="A297" s="8">
        <v>147.5</v>
      </c>
      <c r="B297" s="8">
        <v>295</v>
      </c>
      <c r="D297">
        <v>366.46438482885998</v>
      </c>
      <c r="E297">
        <v>194.82608695651999</v>
      </c>
      <c r="F297">
        <v>146.79648473635999</v>
      </c>
      <c r="G297">
        <v>118.87696577243</v>
      </c>
      <c r="I297" s="9">
        <f t="shared" si="36"/>
        <v>75.949121184089989</v>
      </c>
      <c r="J297" s="9">
        <f t="shared" si="37"/>
        <v>219.66790009249999</v>
      </c>
      <c r="K297" s="9">
        <f t="shared" si="31"/>
        <v>75.949121184089989</v>
      </c>
      <c r="L297" s="10">
        <f t="shared" si="30"/>
        <v>0.34574519605326298</v>
      </c>
      <c r="M297" s="10">
        <f t="shared" si="38"/>
        <v>0.53038130825652574</v>
      </c>
      <c r="P297" s="8">
        <f t="shared" si="39"/>
        <v>-3.8665404337133129</v>
      </c>
    </row>
    <row r="298" spans="1:16" x14ac:dyDescent="0.2">
      <c r="A298" s="8">
        <v>148</v>
      </c>
      <c r="B298" s="8">
        <v>296</v>
      </c>
      <c r="D298">
        <v>368.06382978723002</v>
      </c>
      <c r="E298">
        <v>195.21831637373</v>
      </c>
      <c r="F298">
        <v>146.43848288621999</v>
      </c>
      <c r="G298">
        <v>118.4440333025</v>
      </c>
      <c r="I298" s="9">
        <f t="shared" si="36"/>
        <v>76.774283071230002</v>
      </c>
      <c r="J298" s="9">
        <f t="shared" si="37"/>
        <v>221.62534690101003</v>
      </c>
      <c r="K298" s="9">
        <f t="shared" si="31"/>
        <v>76.774283071230002</v>
      </c>
      <c r="L298" s="10">
        <f t="shared" si="30"/>
        <v>0.34641472261528633</v>
      </c>
      <c r="M298" s="10">
        <f t="shared" si="38"/>
        <v>0.53167671994466181</v>
      </c>
      <c r="P298" s="8">
        <f t="shared" si="39"/>
        <v>-3.6317425530102985</v>
      </c>
    </row>
    <row r="299" spans="1:16" x14ac:dyDescent="0.2">
      <c r="A299" s="8">
        <v>148.5</v>
      </c>
      <c r="B299" s="8">
        <v>297</v>
      </c>
      <c r="D299">
        <v>365.47548566143001</v>
      </c>
      <c r="E299">
        <v>194.03885291397</v>
      </c>
      <c r="F299">
        <v>146.59204440332999</v>
      </c>
      <c r="G299">
        <v>118.68270120259</v>
      </c>
      <c r="I299" s="9">
        <f t="shared" si="36"/>
        <v>75.356151711380008</v>
      </c>
      <c r="J299" s="9">
        <f t="shared" si="37"/>
        <v>218.88344125810002</v>
      </c>
      <c r="K299" s="9">
        <f t="shared" si="31"/>
        <v>75.356151711380008</v>
      </c>
      <c r="L299" s="10">
        <f t="shared" si="30"/>
        <v>0.3442752511484985</v>
      </c>
      <c r="M299" s="10">
        <f t="shared" si="38"/>
        <v>0.5301631336039867</v>
      </c>
      <c r="P299" s="8">
        <f t="shared" si="39"/>
        <v>-3.9060853494404446</v>
      </c>
    </row>
    <row r="300" spans="1:16" x14ac:dyDescent="0.2">
      <c r="A300" s="8">
        <v>149</v>
      </c>
      <c r="B300" s="8">
        <v>298</v>
      </c>
      <c r="D300">
        <v>375.36817761331997</v>
      </c>
      <c r="E300">
        <v>196.96114708603</v>
      </c>
      <c r="F300">
        <v>145.81776133209999</v>
      </c>
      <c r="G300">
        <v>118.33487511563</v>
      </c>
      <c r="I300" s="9">
        <f t="shared" si="36"/>
        <v>78.626271970399998</v>
      </c>
      <c r="J300" s="9">
        <f t="shared" si="37"/>
        <v>229.55041628121998</v>
      </c>
      <c r="K300" s="9">
        <f t="shared" si="31"/>
        <v>78.626271970399998</v>
      </c>
      <c r="L300" s="10">
        <f t="shared" si="30"/>
        <v>0.34252288993488783</v>
      </c>
      <c r="M300" s="10">
        <f t="shared" si="38"/>
        <v>0.52903665751648887</v>
      </c>
      <c r="P300" s="8">
        <f t="shared" si="39"/>
        <v>-4.1102630640847257</v>
      </c>
    </row>
    <row r="301" spans="1:16" x14ac:dyDescent="0.2">
      <c r="A301" s="8">
        <v>149.5</v>
      </c>
      <c r="B301" s="8">
        <v>299</v>
      </c>
      <c r="D301">
        <v>371.55311355310999</v>
      </c>
      <c r="E301">
        <v>198.47619047619</v>
      </c>
      <c r="F301">
        <v>145.82978723404</v>
      </c>
      <c r="G301">
        <v>118.62442183164001</v>
      </c>
      <c r="I301" s="9">
        <f t="shared" si="36"/>
        <v>79.851768644549992</v>
      </c>
      <c r="J301" s="9">
        <f t="shared" si="37"/>
        <v>225.72332631907</v>
      </c>
      <c r="K301" s="9">
        <f t="shared" si="31"/>
        <v>79.851768644549992</v>
      </c>
      <c r="L301" s="10">
        <f t="shared" si="30"/>
        <v>0.35375948931248669</v>
      </c>
      <c r="M301" s="10">
        <f t="shared" si="38"/>
        <v>0.54089914202020051</v>
      </c>
      <c r="P301" s="8">
        <f t="shared" si="39"/>
        <v>-1.9601464279198166</v>
      </c>
    </row>
    <row r="302" spans="1:16" x14ac:dyDescent="0.2">
      <c r="A302" s="8">
        <v>150</v>
      </c>
      <c r="B302" s="8">
        <v>300</v>
      </c>
      <c r="D302">
        <v>366.53931544865998</v>
      </c>
      <c r="E302">
        <v>198.68917668825</v>
      </c>
      <c r="F302">
        <v>146.34782608696</v>
      </c>
      <c r="G302">
        <v>118.59296947271</v>
      </c>
      <c r="I302" s="9">
        <f>E302-G302</f>
        <v>80.096207215540005</v>
      </c>
      <c r="J302" s="9">
        <f>D302-F302</f>
        <v>220.19148936169998</v>
      </c>
      <c r="K302" s="9">
        <f t="shared" si="31"/>
        <v>80.096207215540005</v>
      </c>
      <c r="L302" s="10">
        <f t="shared" si="30"/>
        <v>0.36375705277132253</v>
      </c>
      <c r="M302" s="10">
        <f>L302+ABS($N$2)*A302</f>
        <v>0.55152259060514908</v>
      </c>
      <c r="O302" s="11"/>
      <c r="P302" s="8">
        <f>(M302-$O$2)/$O$2*100</f>
        <v>-3.460936788879266E-2</v>
      </c>
    </row>
    <row r="303" spans="1:16" x14ac:dyDescent="0.2">
      <c r="A303" s="8">
        <v>150.5</v>
      </c>
      <c r="B303" s="8">
        <v>301</v>
      </c>
      <c r="D303">
        <v>368.5467160037</v>
      </c>
      <c r="E303">
        <v>197.61609620722001</v>
      </c>
      <c r="F303">
        <v>146.70305272895999</v>
      </c>
      <c r="G303">
        <v>118.67715078630999</v>
      </c>
      <c r="I303" s="9">
        <f t="shared" ref="I303:I309" si="40">E303-G303</f>
        <v>78.938945420910017</v>
      </c>
      <c r="J303" s="9">
        <f t="shared" ref="J303:J309" si="41">D303-F303</f>
        <v>221.84366327474001</v>
      </c>
      <c r="K303" s="9">
        <f t="shared" si="31"/>
        <v>78.938945420910017</v>
      </c>
      <c r="L303" s="10">
        <f t="shared" si="30"/>
        <v>0.35583141864705364</v>
      </c>
      <c r="M303" s="10">
        <f t="shared" ref="M303:M309" si="42">L303+ABS($N$2)*A303</f>
        <v>0.54422284160699297</v>
      </c>
      <c r="P303" s="8">
        <f t="shared" ref="P303:P309" si="43">(M303-$O$2)/$O$2*100</f>
        <v>-1.3577143005740742</v>
      </c>
    </row>
    <row r="304" spans="1:16" x14ac:dyDescent="0.2">
      <c r="A304" s="8">
        <v>151</v>
      </c>
      <c r="B304" s="8">
        <v>302</v>
      </c>
      <c r="D304">
        <v>366.44680851063998</v>
      </c>
      <c r="E304">
        <v>196.72617946346</v>
      </c>
      <c r="F304">
        <v>146.15263644773</v>
      </c>
      <c r="G304">
        <v>118.67067530065</v>
      </c>
      <c r="I304" s="9">
        <f t="shared" si="40"/>
        <v>78.055504162809996</v>
      </c>
      <c r="J304" s="9">
        <f t="shared" si="41"/>
        <v>220.29417206290998</v>
      </c>
      <c r="K304" s="9">
        <f t="shared" si="31"/>
        <v>78.055504162809996</v>
      </c>
      <c r="L304" s="10">
        <f t="shared" si="30"/>
        <v>0.35432396341615191</v>
      </c>
      <c r="M304" s="10">
        <f t="shared" si="42"/>
        <v>0.5433412715022039</v>
      </c>
      <c r="N304" s="1"/>
      <c r="P304" s="8">
        <f t="shared" si="43"/>
        <v>-1.5175019527863518</v>
      </c>
    </row>
    <row r="305" spans="1:16" x14ac:dyDescent="0.2">
      <c r="A305" s="8">
        <v>151.5</v>
      </c>
      <c r="B305" s="8">
        <v>303</v>
      </c>
      <c r="D305">
        <v>366.37187789083998</v>
      </c>
      <c r="E305">
        <v>195.93061979648999</v>
      </c>
      <c r="F305">
        <v>146.43108233117999</v>
      </c>
      <c r="G305">
        <v>118.49861239593</v>
      </c>
      <c r="I305" s="9">
        <f t="shared" si="40"/>
        <v>77.432007400559996</v>
      </c>
      <c r="J305" s="9">
        <f t="shared" si="41"/>
        <v>219.94079555965999</v>
      </c>
      <c r="K305" s="9">
        <f t="shared" si="31"/>
        <v>77.432007400559996</v>
      </c>
      <c r="L305" s="10">
        <f t="shared" si="30"/>
        <v>0.35205841282662903</v>
      </c>
      <c r="M305" s="10">
        <f t="shared" si="42"/>
        <v>0.5417016060387938</v>
      </c>
      <c r="P305" s="8">
        <f t="shared" si="43"/>
        <v>-1.8146970293759164</v>
      </c>
    </row>
    <row r="306" spans="1:16" x14ac:dyDescent="0.2">
      <c r="A306" s="8">
        <v>152</v>
      </c>
      <c r="B306" s="8">
        <v>304</v>
      </c>
      <c r="D306">
        <v>366.08872458410002</v>
      </c>
      <c r="E306">
        <v>197.23197781885</v>
      </c>
      <c r="F306">
        <v>146.2849213691</v>
      </c>
      <c r="G306">
        <v>118.37280296022</v>
      </c>
      <c r="I306" s="9">
        <f t="shared" si="40"/>
        <v>78.859174858629999</v>
      </c>
      <c r="J306" s="9">
        <f t="shared" si="41"/>
        <v>219.80380321500002</v>
      </c>
      <c r="K306" s="9">
        <f t="shared" si="31"/>
        <v>78.859174858629999</v>
      </c>
      <c r="L306" s="10">
        <f t="shared" si="30"/>
        <v>0.35877074784504198</v>
      </c>
      <c r="M306" s="10">
        <f t="shared" si="42"/>
        <v>0.54903982618331959</v>
      </c>
      <c r="P306" s="8">
        <f t="shared" si="43"/>
        <v>-0.48461906740693822</v>
      </c>
    </row>
    <row r="307" spans="1:16" x14ac:dyDescent="0.2">
      <c r="A307" s="8">
        <v>152.5</v>
      </c>
      <c r="B307" s="8">
        <v>305</v>
      </c>
      <c r="D307">
        <v>363.80683918669001</v>
      </c>
      <c r="E307">
        <v>196.73844731977999</v>
      </c>
      <c r="F307">
        <v>146.01665124883999</v>
      </c>
      <c r="G307">
        <v>118.7474560592</v>
      </c>
      <c r="I307" s="9">
        <f t="shared" si="40"/>
        <v>77.990991260579989</v>
      </c>
      <c r="J307" s="9">
        <f t="shared" si="41"/>
        <v>217.79018793785002</v>
      </c>
      <c r="K307" s="9">
        <f t="shared" si="31"/>
        <v>77.990991260579989</v>
      </c>
      <c r="L307" s="10">
        <f t="shared" si="30"/>
        <v>0.35810149207840342</v>
      </c>
      <c r="M307" s="10">
        <f t="shared" si="42"/>
        <v>0.54899645554279375</v>
      </c>
      <c r="P307" s="8">
        <f t="shared" si="43"/>
        <v>-0.49248014707254817</v>
      </c>
    </row>
    <row r="308" spans="1:16" x14ac:dyDescent="0.2">
      <c r="A308" s="8">
        <v>153</v>
      </c>
      <c r="B308" s="8">
        <v>306</v>
      </c>
      <c r="D308">
        <v>364.86308973172999</v>
      </c>
      <c r="E308">
        <v>195.64847363551999</v>
      </c>
      <c r="F308">
        <v>146.19518963921999</v>
      </c>
      <c r="G308">
        <v>118.83903792785</v>
      </c>
      <c r="I308" s="9">
        <f t="shared" si="40"/>
        <v>76.809435707669991</v>
      </c>
      <c r="J308" s="9">
        <f t="shared" si="41"/>
        <v>218.66790009251</v>
      </c>
      <c r="K308" s="9">
        <f t="shared" si="31"/>
        <v>76.809435707669991</v>
      </c>
      <c r="L308" s="10">
        <f t="shared" si="30"/>
        <v>0.35126068195274601</v>
      </c>
      <c r="M308" s="10">
        <f t="shared" si="42"/>
        <v>0.54278153054324907</v>
      </c>
      <c r="P308" s="8">
        <f t="shared" si="43"/>
        <v>-1.6189569513083837</v>
      </c>
    </row>
    <row r="309" spans="1:16" x14ac:dyDescent="0.2">
      <c r="A309" s="8">
        <v>153.5</v>
      </c>
      <c r="B309" s="8">
        <v>307</v>
      </c>
      <c r="D309">
        <v>368.24606845513</v>
      </c>
      <c r="E309">
        <v>197.85291396855001</v>
      </c>
      <c r="F309">
        <v>146.09990749305999</v>
      </c>
      <c r="G309">
        <v>118.99814986123999</v>
      </c>
      <c r="I309" s="9">
        <f t="shared" si="40"/>
        <v>78.854764107310018</v>
      </c>
      <c r="J309" s="9">
        <f t="shared" si="41"/>
        <v>222.14616096207001</v>
      </c>
      <c r="K309" s="9">
        <f t="shared" si="31"/>
        <v>78.854764107310018</v>
      </c>
      <c r="L309" s="10">
        <f t="shared" si="30"/>
        <v>0.35496793537104587</v>
      </c>
      <c r="M309" s="10">
        <f t="shared" si="42"/>
        <v>0.54711466908766171</v>
      </c>
      <c r="P309" s="8">
        <f t="shared" si="43"/>
        <v>-0.83356049677696487</v>
      </c>
    </row>
    <row r="310" spans="1:16" x14ac:dyDescent="0.2">
      <c r="A310" s="8">
        <v>154</v>
      </c>
      <c r="B310" s="8">
        <v>308</v>
      </c>
      <c r="D310">
        <v>372.05180388528998</v>
      </c>
      <c r="E310">
        <v>199.37650323774</v>
      </c>
      <c r="F310">
        <v>146.30527289547001</v>
      </c>
      <c r="G310">
        <v>118.35337650324</v>
      </c>
      <c r="I310" s="9">
        <f>E310-G310</f>
        <v>81.023126734499996</v>
      </c>
      <c r="J310" s="9">
        <f>D310-F310</f>
        <v>225.74653098981997</v>
      </c>
      <c r="K310" s="9">
        <f t="shared" si="31"/>
        <v>81.023126734499996</v>
      </c>
      <c r="L310" s="10">
        <f t="shared" si="30"/>
        <v>0.35891194597428266</v>
      </c>
      <c r="M310" s="10">
        <f>L310+ABS($N$2)*A310</f>
        <v>0.55168456481701122</v>
      </c>
      <c r="O310" s="11"/>
      <c r="P310" s="8">
        <f>(M310-$O$2)/$O$2*100</f>
        <v>-5.2509777939068426E-3</v>
      </c>
    </row>
    <row r="311" spans="1:16" x14ac:dyDescent="0.2">
      <c r="A311" s="8">
        <v>154.5</v>
      </c>
      <c r="B311" s="8">
        <v>309</v>
      </c>
      <c r="D311">
        <v>372.27937095281999</v>
      </c>
      <c r="E311">
        <v>199.10453283996</v>
      </c>
      <c r="F311">
        <v>145.91211840887999</v>
      </c>
      <c r="G311">
        <v>118.63274745606</v>
      </c>
      <c r="I311" s="9">
        <f t="shared" ref="I311:I322" si="44">E311-G311</f>
        <v>80.471785383899999</v>
      </c>
      <c r="J311" s="9">
        <f t="shared" ref="J311:J322" si="45">D311-F311</f>
        <v>226.36725254394</v>
      </c>
      <c r="K311" s="9">
        <f t="shared" si="31"/>
        <v>80.471785383899999</v>
      </c>
      <c r="L311" s="10">
        <f t="shared" si="30"/>
        <v>0.3554921680567717</v>
      </c>
      <c r="M311" s="10">
        <f t="shared" ref="M311:M322" si="46">L311+ABS($N$2)*A311</f>
        <v>0.54889067202561304</v>
      </c>
      <c r="P311" s="8">
        <f t="shared" ref="P311:P322" si="47">(M311-$O$2)/$O$2*100</f>
        <v>-0.5116537780308118</v>
      </c>
    </row>
    <row r="312" spans="1:16" x14ac:dyDescent="0.2">
      <c r="A312" s="8">
        <v>155</v>
      </c>
      <c r="B312" s="8">
        <v>310</v>
      </c>
      <c r="D312">
        <v>375.87534626039002</v>
      </c>
      <c r="E312">
        <v>200.28439519852</v>
      </c>
      <c r="F312">
        <v>145.79648473635999</v>
      </c>
      <c r="G312">
        <v>118.59389454209</v>
      </c>
      <c r="I312" s="9">
        <f t="shared" si="44"/>
        <v>81.690500656430004</v>
      </c>
      <c r="J312" s="9">
        <f t="shared" si="45"/>
        <v>230.07886152403003</v>
      </c>
      <c r="K312" s="9">
        <f t="shared" si="31"/>
        <v>81.690500656430004</v>
      </c>
      <c r="L312" s="10">
        <f t="shared" si="30"/>
        <v>0.35505435012724118</v>
      </c>
      <c r="M312" s="10">
        <f t="shared" si="46"/>
        <v>0.54907873922219519</v>
      </c>
      <c r="N312" s="1"/>
      <c r="P312" s="8">
        <f t="shared" si="47"/>
        <v>-0.47756594356732618</v>
      </c>
    </row>
    <row r="313" spans="1:16" x14ac:dyDescent="0.2">
      <c r="A313" s="8">
        <v>155.5</v>
      </c>
      <c r="B313" s="8">
        <v>311</v>
      </c>
      <c r="D313">
        <v>380.10823311747998</v>
      </c>
      <c r="E313">
        <v>203.06938020352001</v>
      </c>
      <c r="F313">
        <v>146.20536540241</v>
      </c>
      <c r="G313">
        <v>118.30249768733</v>
      </c>
      <c r="I313" s="9">
        <f t="shared" si="44"/>
        <v>84.766882516190009</v>
      </c>
      <c r="J313" s="9">
        <f t="shared" si="45"/>
        <v>233.90286771506999</v>
      </c>
      <c r="K313" s="9">
        <f t="shared" si="31"/>
        <v>84.766882516190009</v>
      </c>
      <c r="L313" s="10">
        <f t="shared" si="30"/>
        <v>0.36240206605525349</v>
      </c>
      <c r="M313" s="10">
        <f t="shared" si="46"/>
        <v>0.55705234027632033</v>
      </c>
      <c r="P313" s="8">
        <f t="shared" si="47"/>
        <v>0.96767702145002055</v>
      </c>
    </row>
    <row r="314" spans="1:16" x14ac:dyDescent="0.2">
      <c r="A314" s="8">
        <v>156</v>
      </c>
      <c r="B314" s="8">
        <v>312</v>
      </c>
      <c r="D314">
        <v>379.05658627087001</v>
      </c>
      <c r="E314">
        <v>201.4146567718</v>
      </c>
      <c r="F314">
        <v>145.82146160962</v>
      </c>
      <c r="G314">
        <v>118.14338575393</v>
      </c>
      <c r="I314" s="9">
        <f t="shared" si="44"/>
        <v>83.271271017869992</v>
      </c>
      <c r="J314" s="9">
        <f t="shared" si="45"/>
        <v>233.23512466125001</v>
      </c>
      <c r="K314" s="9">
        <f t="shared" si="31"/>
        <v>83.271271017869992</v>
      </c>
      <c r="L314" s="10">
        <f t="shared" si="30"/>
        <v>0.35702714648495992</v>
      </c>
      <c r="M314" s="10">
        <f t="shared" si="46"/>
        <v>0.55230330583213949</v>
      </c>
      <c r="P314" s="8">
        <f t="shared" si="47"/>
        <v>0.10689798642084865</v>
      </c>
    </row>
    <row r="315" spans="1:16" x14ac:dyDescent="0.2">
      <c r="A315" s="8">
        <v>156.5</v>
      </c>
      <c r="B315" s="8">
        <v>313</v>
      </c>
      <c r="D315">
        <v>367.16697588125999</v>
      </c>
      <c r="E315">
        <v>197.47959183674001</v>
      </c>
      <c r="F315">
        <v>145.80203515264</v>
      </c>
      <c r="G315">
        <v>118.43570767808001</v>
      </c>
      <c r="I315" s="9">
        <f t="shared" si="44"/>
        <v>79.043884158660006</v>
      </c>
      <c r="J315" s="9">
        <f t="shared" si="45"/>
        <v>221.36494072861998</v>
      </c>
      <c r="K315" s="9">
        <f t="shared" si="31"/>
        <v>79.043884158660006</v>
      </c>
      <c r="L315" s="10">
        <f t="shared" si="30"/>
        <v>0.35707499073018534</v>
      </c>
      <c r="M315" s="10">
        <f t="shared" si="46"/>
        <v>0.55297703520347774</v>
      </c>
      <c r="P315" s="8">
        <f t="shared" si="47"/>
        <v>0.22901378173624379</v>
      </c>
    </row>
    <row r="316" spans="1:16" x14ac:dyDescent="0.2">
      <c r="A316" s="8">
        <v>157</v>
      </c>
      <c r="B316" s="8">
        <v>314</v>
      </c>
      <c r="D316">
        <v>370.20891364903002</v>
      </c>
      <c r="E316">
        <v>197.37790157846001</v>
      </c>
      <c r="F316">
        <v>145.91026827012001</v>
      </c>
      <c r="G316">
        <v>118.27382053654</v>
      </c>
      <c r="I316" s="9">
        <f t="shared" si="44"/>
        <v>79.104081041920011</v>
      </c>
      <c r="J316" s="9">
        <f t="shared" si="45"/>
        <v>224.29864537891001</v>
      </c>
      <c r="K316" s="9">
        <f t="shared" si="31"/>
        <v>79.104081041920011</v>
      </c>
      <c r="L316" s="10">
        <f t="shared" si="30"/>
        <v>0.3526730217576155</v>
      </c>
      <c r="M316" s="10">
        <f t="shared" si="46"/>
        <v>0.54920095135702063</v>
      </c>
      <c r="P316" s="8">
        <f t="shared" si="47"/>
        <v>-0.45541456843615641</v>
      </c>
    </row>
    <row r="317" spans="1:16" x14ac:dyDescent="0.2">
      <c r="A317" s="8">
        <v>157.5</v>
      </c>
      <c r="B317" s="8">
        <v>315</v>
      </c>
      <c r="D317">
        <v>353.78333333333001</v>
      </c>
      <c r="E317">
        <v>191.67314814815001</v>
      </c>
      <c r="F317">
        <v>145.74468085106</v>
      </c>
      <c r="G317">
        <v>118.08973172988</v>
      </c>
      <c r="I317" s="9">
        <f t="shared" si="44"/>
        <v>73.583416418270005</v>
      </c>
      <c r="J317" s="9">
        <f t="shared" si="45"/>
        <v>208.03865248227001</v>
      </c>
      <c r="K317" s="9">
        <f t="shared" si="31"/>
        <v>73.583416418270005</v>
      </c>
      <c r="L317" s="10">
        <f t="shared" si="30"/>
        <v>0.35370069715550151</v>
      </c>
      <c r="M317" s="10">
        <f t="shared" si="46"/>
        <v>0.5508545118810193</v>
      </c>
      <c r="P317" s="8">
        <f t="shared" si="47"/>
        <v>-0.15570096371509726</v>
      </c>
    </row>
    <row r="318" spans="1:16" x14ac:dyDescent="0.2">
      <c r="A318" s="8">
        <v>158</v>
      </c>
      <c r="B318" s="8">
        <v>316</v>
      </c>
      <c r="D318">
        <v>351.75438596491</v>
      </c>
      <c r="E318">
        <v>194.84210526315999</v>
      </c>
      <c r="F318">
        <v>145.96022201664999</v>
      </c>
      <c r="G318">
        <v>119.06290471785</v>
      </c>
      <c r="I318" s="9">
        <f t="shared" si="44"/>
        <v>75.77920054530999</v>
      </c>
      <c r="J318" s="9">
        <f t="shared" si="45"/>
        <v>205.79416394826001</v>
      </c>
      <c r="K318" s="9">
        <f t="shared" si="31"/>
        <v>75.77920054530999</v>
      </c>
      <c r="L318" s="10">
        <f t="shared" si="30"/>
        <v>0.36822813189377962</v>
      </c>
      <c r="M318" s="10">
        <f t="shared" si="46"/>
        <v>0.56600783174541025</v>
      </c>
      <c r="P318" s="8">
        <f t="shared" si="47"/>
        <v>2.590891044338596</v>
      </c>
    </row>
    <row r="319" spans="1:16" x14ac:dyDescent="0.2">
      <c r="A319" s="8">
        <v>158.5</v>
      </c>
      <c r="B319" s="8">
        <v>317</v>
      </c>
      <c r="D319">
        <v>357.46629732225</v>
      </c>
      <c r="E319">
        <v>195.65096952908999</v>
      </c>
      <c r="F319">
        <v>145.90749306198001</v>
      </c>
      <c r="G319">
        <v>118.09250693801999</v>
      </c>
      <c r="I319" s="9">
        <f t="shared" si="44"/>
        <v>77.558462591069997</v>
      </c>
      <c r="J319" s="9">
        <f t="shared" si="45"/>
        <v>211.55880426026999</v>
      </c>
      <c r="K319" s="9">
        <f t="shared" si="31"/>
        <v>77.558462591069997</v>
      </c>
      <c r="L319" s="10">
        <f t="shared" si="30"/>
        <v>0.36660475021239852</v>
      </c>
      <c r="M319" s="10">
        <f t="shared" si="46"/>
        <v>0.56501033519014188</v>
      </c>
      <c r="P319" s="8">
        <f t="shared" si="47"/>
        <v>2.4100913191774245</v>
      </c>
    </row>
    <row r="320" spans="1:16" x14ac:dyDescent="0.2">
      <c r="A320" s="8">
        <v>159</v>
      </c>
      <c r="B320" s="8">
        <v>318</v>
      </c>
      <c r="D320">
        <v>347.39150507849001</v>
      </c>
      <c r="E320">
        <v>191.33333333332999</v>
      </c>
      <c r="F320">
        <v>146.07678075856001</v>
      </c>
      <c r="G320">
        <v>118.47271045328</v>
      </c>
      <c r="I320" s="9">
        <f t="shared" si="44"/>
        <v>72.860622880049988</v>
      </c>
      <c r="J320" s="9">
        <f t="shared" si="45"/>
        <v>201.31472431993001</v>
      </c>
      <c r="K320" s="9">
        <f t="shared" si="31"/>
        <v>72.860622880049988</v>
      </c>
      <c r="L320" s="10">
        <f t="shared" si="30"/>
        <v>0.3619239632182078</v>
      </c>
      <c r="M320" s="10">
        <f t="shared" si="46"/>
        <v>0.56095543332206388</v>
      </c>
      <c r="P320" s="8">
        <f t="shared" si="47"/>
        <v>1.675126231396467</v>
      </c>
    </row>
    <row r="321" spans="1:16" x14ac:dyDescent="0.2">
      <c r="A321" s="8">
        <v>159.5</v>
      </c>
      <c r="B321" s="8">
        <v>319</v>
      </c>
      <c r="D321">
        <v>347.02770083103002</v>
      </c>
      <c r="E321">
        <v>193.12557710064999</v>
      </c>
      <c r="F321">
        <v>146.13506012951001</v>
      </c>
      <c r="G321">
        <v>118.41905642923</v>
      </c>
      <c r="I321" s="9">
        <f t="shared" si="44"/>
        <v>74.706520671419995</v>
      </c>
      <c r="J321" s="9">
        <f t="shared" si="45"/>
        <v>200.89264070152001</v>
      </c>
      <c r="K321" s="9">
        <f t="shared" si="31"/>
        <v>74.706520671419995</v>
      </c>
      <c r="L321" s="10">
        <f t="shared" si="30"/>
        <v>0.37187285910794809</v>
      </c>
      <c r="M321" s="10">
        <f t="shared" si="46"/>
        <v>0.57153021433791695</v>
      </c>
      <c r="P321" s="8">
        <f t="shared" si="47"/>
        <v>3.5918421250081636</v>
      </c>
    </row>
    <row r="322" spans="1:16" x14ac:dyDescent="0.2">
      <c r="A322" s="8">
        <v>160</v>
      </c>
      <c r="B322" s="8">
        <v>320</v>
      </c>
      <c r="D322">
        <v>349.65281625115</v>
      </c>
      <c r="E322">
        <v>192.44967682364</v>
      </c>
      <c r="F322">
        <v>146.09065679925999</v>
      </c>
      <c r="G322">
        <v>118.50971322849</v>
      </c>
      <c r="I322" s="9">
        <f t="shared" si="44"/>
        <v>73.939963595150004</v>
      </c>
      <c r="J322" s="9">
        <f t="shared" si="45"/>
        <v>203.56215945189001</v>
      </c>
      <c r="K322" s="9">
        <f t="shared" si="31"/>
        <v>73.939963595150004</v>
      </c>
      <c r="L322" s="10">
        <f t="shared" ref="L322" si="48">K322/J322</f>
        <v>0.36323039505102622</v>
      </c>
      <c r="M322" s="10">
        <f t="shared" si="46"/>
        <v>0.56351363540710786</v>
      </c>
      <c r="P322" s="8">
        <f t="shared" si="47"/>
        <v>2.1388092701396406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0A40-394B-D748-9870-3CDFF4CB6DEF}">
  <dimension ref="A1:Y798"/>
  <sheetViews>
    <sheetView tabSelected="1" topLeftCell="F1" zoomScale="75" zoomScaleNormal="70" workbookViewId="0">
      <selection activeCell="D2" sqref="D2:E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1409.1964594128001</v>
      </c>
      <c r="E2">
        <v>480.25993091536998</v>
      </c>
      <c r="F2">
        <v>137.95137693632</v>
      </c>
      <c r="G2">
        <v>117.20826161790001</v>
      </c>
      <c r="H2" s="4"/>
      <c r="I2" s="5">
        <f>E2-G2</f>
        <v>363.05166929746997</v>
      </c>
      <c r="J2" s="5">
        <f>D2-F2</f>
        <v>1271.2450824764801</v>
      </c>
      <c r="K2" s="9">
        <f>I2*1</f>
        <v>363.05166929746997</v>
      </c>
      <c r="L2" s="6">
        <f t="shared" ref="L2:L65" si="0">K2/J2</f>
        <v>0.28558747192179362</v>
      </c>
      <c r="M2" s="6">
        <f>L2+ABS($N$2)*A2</f>
        <v>0.28558747192179362</v>
      </c>
      <c r="N2" s="4">
        <f>LINEST(V64:V103,U64:U103)</f>
        <v>8.9124186786870309E-5</v>
      </c>
      <c r="O2" s="7">
        <f>AVERAGE(M62:M81)</f>
        <v>0.28636127092418345</v>
      </c>
      <c r="P2" s="4">
        <f>(M2-$O$2)/$O$2*100</f>
        <v>-0.27021775671427989</v>
      </c>
    </row>
    <row r="3" spans="1:16" x14ac:dyDescent="0.2">
      <c r="A3" s="8">
        <v>0.5</v>
      </c>
      <c r="B3" s="8">
        <v>1</v>
      </c>
      <c r="D3">
        <v>1266.9624352332</v>
      </c>
      <c r="E3">
        <v>447.33117443869003</v>
      </c>
      <c r="F3">
        <v>137.90533562823001</v>
      </c>
      <c r="G3">
        <v>117.05507745267001</v>
      </c>
      <c r="I3" s="9">
        <f t="shared" ref="I3:I66" si="1">E3-G3</f>
        <v>330.27609698602004</v>
      </c>
      <c r="J3" s="9">
        <f t="shared" ref="J3:J66" si="2">D3-F3</f>
        <v>1129.0570996049701</v>
      </c>
      <c r="K3" s="9">
        <f t="shared" ref="K3:K66" si="3">I3*1</f>
        <v>330.27609698602004</v>
      </c>
      <c r="L3" s="10">
        <f t="shared" si="0"/>
        <v>0.29252382107297825</v>
      </c>
      <c r="M3" s="10">
        <f t="shared" ref="M3:M66" si="4">L3+ABS($N$2)*A3</f>
        <v>0.29256838316637168</v>
      </c>
      <c r="P3" s="8">
        <f t="shared" ref="P3:P66" si="5">(M3-$O$2)/$O$2*100</f>
        <v>2.167580910000785</v>
      </c>
    </row>
    <row r="4" spans="1:16" ht="16" x14ac:dyDescent="0.2">
      <c r="A4" s="8">
        <v>1</v>
      </c>
      <c r="B4" s="8">
        <v>2</v>
      </c>
      <c r="D4">
        <v>1354.3540587218999</v>
      </c>
      <c r="E4">
        <v>467.93696027634002</v>
      </c>
      <c r="F4">
        <v>137.78012048193</v>
      </c>
      <c r="G4">
        <v>116.97977624785</v>
      </c>
      <c r="I4" s="9">
        <f t="shared" si="1"/>
        <v>350.95718402849002</v>
      </c>
      <c r="J4" s="9">
        <f t="shared" si="2"/>
        <v>1216.5739382399699</v>
      </c>
      <c r="K4" s="9">
        <f t="shared" si="3"/>
        <v>350.95718402849002</v>
      </c>
      <c r="L4" s="10">
        <f t="shared" si="0"/>
        <v>0.28847994601645288</v>
      </c>
      <c r="M4" s="10">
        <f t="shared" si="4"/>
        <v>0.28856907020323974</v>
      </c>
      <c r="N4" s="1" t="s">
        <v>7</v>
      </c>
      <c r="P4" s="8">
        <f t="shared" si="5"/>
        <v>0.77098389455074801</v>
      </c>
    </row>
    <row r="5" spans="1:16" x14ac:dyDescent="0.2">
      <c r="A5" s="8">
        <v>1.5</v>
      </c>
      <c r="B5" s="8">
        <v>3</v>
      </c>
      <c r="D5">
        <v>1375.2176165803</v>
      </c>
      <c r="E5">
        <v>472.87046632123997</v>
      </c>
      <c r="F5">
        <v>137.92340791737999</v>
      </c>
      <c r="G5">
        <v>117.20180722892</v>
      </c>
      <c r="I5" s="9">
        <f t="shared" si="1"/>
        <v>355.66865909231996</v>
      </c>
      <c r="J5" s="9">
        <f t="shared" si="2"/>
        <v>1237.29420866292</v>
      </c>
      <c r="K5" s="9">
        <f t="shared" si="3"/>
        <v>355.66865909231996</v>
      </c>
      <c r="L5" s="10">
        <f t="shared" si="0"/>
        <v>0.28745682037635389</v>
      </c>
      <c r="M5" s="10">
        <f t="shared" si="4"/>
        <v>0.28759050665653418</v>
      </c>
      <c r="N5" s="8">
        <f>RSQ(V64:V83,U64:U83)</f>
        <v>0.65840200680049432</v>
      </c>
      <c r="P5" s="8">
        <f t="shared" si="5"/>
        <v>0.42926046821330854</v>
      </c>
    </row>
    <row r="6" spans="1:16" x14ac:dyDescent="0.2">
      <c r="A6" s="8">
        <v>2</v>
      </c>
      <c r="B6" s="8">
        <v>4</v>
      </c>
      <c r="D6">
        <v>1370.6191709845</v>
      </c>
      <c r="E6">
        <v>468.07987910190002</v>
      </c>
      <c r="F6">
        <v>137.95869191049999</v>
      </c>
      <c r="G6">
        <v>117.21815834768</v>
      </c>
      <c r="I6" s="9">
        <f t="shared" si="1"/>
        <v>350.86172075422002</v>
      </c>
      <c r="J6" s="9">
        <f t="shared" si="2"/>
        <v>1232.660479074</v>
      </c>
      <c r="K6" s="9">
        <f t="shared" si="3"/>
        <v>350.86172075422002</v>
      </c>
      <c r="L6" s="10">
        <f t="shared" si="0"/>
        <v>0.28463776255550483</v>
      </c>
      <c r="M6" s="10">
        <f t="shared" si="4"/>
        <v>0.28481601092907854</v>
      </c>
      <c r="P6" s="8">
        <f t="shared" si="5"/>
        <v>-0.53961905886149986</v>
      </c>
    </row>
    <row r="7" spans="1:16" x14ac:dyDescent="0.2">
      <c r="A7" s="8">
        <v>2.5</v>
      </c>
      <c r="B7" s="8">
        <v>5</v>
      </c>
      <c r="D7">
        <v>1314.7810880828999</v>
      </c>
      <c r="E7">
        <v>454.25</v>
      </c>
      <c r="F7">
        <v>138.47934595525001</v>
      </c>
      <c r="G7">
        <v>117.41308089501</v>
      </c>
      <c r="I7" s="9">
        <f t="shared" si="1"/>
        <v>336.83691910498999</v>
      </c>
      <c r="J7" s="9">
        <f t="shared" si="2"/>
        <v>1176.30174212765</v>
      </c>
      <c r="K7" s="9">
        <f t="shared" si="3"/>
        <v>336.83691910498999</v>
      </c>
      <c r="L7" s="10">
        <f t="shared" si="0"/>
        <v>0.28635247831541261</v>
      </c>
      <c r="M7" s="10">
        <f t="shared" si="4"/>
        <v>0.28657528878237976</v>
      </c>
      <c r="P7" s="8">
        <f t="shared" si="5"/>
        <v>7.4737012273201439E-2</v>
      </c>
    </row>
    <row r="8" spans="1:16" x14ac:dyDescent="0.2">
      <c r="A8" s="8">
        <v>3</v>
      </c>
      <c r="B8" s="8">
        <v>6</v>
      </c>
      <c r="D8">
        <v>1210.0863557857999</v>
      </c>
      <c r="E8">
        <v>433.59585492228001</v>
      </c>
      <c r="F8">
        <v>137.80938037865999</v>
      </c>
      <c r="G8">
        <v>117.252151463</v>
      </c>
      <c r="I8" s="9">
        <f t="shared" si="1"/>
        <v>316.34370345927999</v>
      </c>
      <c r="J8" s="9">
        <f t="shared" si="2"/>
        <v>1072.2769754071398</v>
      </c>
      <c r="K8" s="9">
        <f t="shared" si="3"/>
        <v>316.34370345927999</v>
      </c>
      <c r="L8" s="10">
        <f t="shared" si="0"/>
        <v>0.29502051309006744</v>
      </c>
      <c r="M8" s="10">
        <f t="shared" si="4"/>
        <v>0.29528788565042807</v>
      </c>
      <c r="P8" s="8">
        <f t="shared" si="5"/>
        <v>3.1172562886857755</v>
      </c>
    </row>
    <row r="9" spans="1:16" x14ac:dyDescent="0.2">
      <c r="A9" s="8">
        <v>3.5</v>
      </c>
      <c r="B9" s="8">
        <v>7</v>
      </c>
      <c r="D9">
        <v>1343.3583765112</v>
      </c>
      <c r="E9">
        <v>470.64810017270997</v>
      </c>
      <c r="F9">
        <v>138.30981067126001</v>
      </c>
      <c r="G9">
        <v>117.31497418244</v>
      </c>
      <c r="I9" s="9">
        <f t="shared" si="1"/>
        <v>353.33312599026999</v>
      </c>
      <c r="J9" s="9">
        <f t="shared" si="2"/>
        <v>1205.04856583994</v>
      </c>
      <c r="K9" s="9">
        <f t="shared" si="3"/>
        <v>353.33312599026999</v>
      </c>
      <c r="L9" s="10">
        <f t="shared" si="0"/>
        <v>0.2932106937482562</v>
      </c>
      <c r="M9" s="10">
        <f t="shared" si="4"/>
        <v>0.29352262840201027</v>
      </c>
      <c r="P9" s="8">
        <f t="shared" si="5"/>
        <v>2.5008121575640172</v>
      </c>
    </row>
    <row r="10" spans="1:16" x14ac:dyDescent="0.2">
      <c r="A10" s="8">
        <v>4</v>
      </c>
      <c r="B10" s="8">
        <v>8</v>
      </c>
      <c r="D10">
        <v>1497.6269430052</v>
      </c>
      <c r="E10">
        <v>505.14248704662998</v>
      </c>
      <c r="F10">
        <v>138.50817555937999</v>
      </c>
      <c r="G10">
        <v>116.97332185886</v>
      </c>
      <c r="I10" s="9">
        <f t="shared" si="1"/>
        <v>388.16916518776998</v>
      </c>
      <c r="J10" s="9">
        <f t="shared" si="2"/>
        <v>1359.1187674458201</v>
      </c>
      <c r="K10" s="9">
        <f t="shared" si="3"/>
        <v>388.16916518776998</v>
      </c>
      <c r="L10" s="10">
        <f t="shared" si="0"/>
        <v>0.28560356496088479</v>
      </c>
      <c r="M10" s="10">
        <f t="shared" si="4"/>
        <v>0.28596006170803229</v>
      </c>
      <c r="P10" s="8">
        <f t="shared" si="5"/>
        <v>-0.14010596295243763</v>
      </c>
    </row>
    <row r="11" spans="1:16" x14ac:dyDescent="0.2">
      <c r="A11" s="8">
        <v>4.5</v>
      </c>
      <c r="B11" s="8">
        <v>9</v>
      </c>
      <c r="D11">
        <v>1680.5954231434</v>
      </c>
      <c r="E11">
        <v>546.1670984456</v>
      </c>
      <c r="F11">
        <v>138.17125645439</v>
      </c>
      <c r="G11">
        <v>117.09724612737</v>
      </c>
      <c r="I11" s="9">
        <f t="shared" si="1"/>
        <v>429.06985231823001</v>
      </c>
      <c r="J11" s="9">
        <f t="shared" si="2"/>
        <v>1542.42416668901</v>
      </c>
      <c r="K11" s="9">
        <f t="shared" si="3"/>
        <v>429.06985231823001</v>
      </c>
      <c r="L11" s="10">
        <f t="shared" si="0"/>
        <v>0.27817889630144838</v>
      </c>
      <c r="M11" s="10">
        <f t="shared" si="4"/>
        <v>0.2785799551419893</v>
      </c>
      <c r="P11" s="8">
        <f t="shared" si="5"/>
        <v>-2.7173073219996717</v>
      </c>
    </row>
    <row r="12" spans="1:16" x14ac:dyDescent="0.2">
      <c r="A12" s="8">
        <v>5</v>
      </c>
      <c r="B12" s="8">
        <v>10</v>
      </c>
      <c r="D12">
        <v>1717.5138169257</v>
      </c>
      <c r="E12">
        <v>552.39464594128003</v>
      </c>
      <c r="F12">
        <v>138.24870912220001</v>
      </c>
      <c r="G12">
        <v>117.20309810671</v>
      </c>
      <c r="I12" s="9">
        <f t="shared" si="1"/>
        <v>435.19154783457003</v>
      </c>
      <c r="J12" s="9">
        <f t="shared" si="2"/>
        <v>1579.2651078035001</v>
      </c>
      <c r="K12" s="9">
        <f t="shared" si="3"/>
        <v>435.19154783457003</v>
      </c>
      <c r="L12" s="10">
        <f t="shared" si="0"/>
        <v>0.27556586014861711</v>
      </c>
      <c r="M12" s="10">
        <f t="shared" si="4"/>
        <v>0.27601148108255147</v>
      </c>
      <c r="P12" s="8">
        <f t="shared" si="5"/>
        <v>-3.6142421802465665</v>
      </c>
    </row>
    <row r="13" spans="1:16" x14ac:dyDescent="0.2">
      <c r="A13" s="8">
        <v>5.5</v>
      </c>
      <c r="B13" s="8">
        <v>11</v>
      </c>
      <c r="D13">
        <v>1719.3169257340001</v>
      </c>
      <c r="E13">
        <v>551.34283246977998</v>
      </c>
      <c r="F13">
        <v>138.47805507744999</v>
      </c>
      <c r="G13">
        <v>117.22848537005</v>
      </c>
      <c r="I13" s="9">
        <f t="shared" si="1"/>
        <v>434.11434709972997</v>
      </c>
      <c r="J13" s="9">
        <f t="shared" si="2"/>
        <v>1580.8388706565502</v>
      </c>
      <c r="K13" s="9">
        <f t="shared" si="3"/>
        <v>434.11434709972997</v>
      </c>
      <c r="L13" s="10">
        <f t="shared" si="0"/>
        <v>0.27461011691813642</v>
      </c>
      <c r="M13" s="10">
        <f t="shared" si="4"/>
        <v>0.2751002999454642</v>
      </c>
      <c r="P13" s="8">
        <f t="shared" si="5"/>
        <v>-3.9324350469518237</v>
      </c>
    </row>
    <row r="14" spans="1:16" x14ac:dyDescent="0.2">
      <c r="A14" s="8">
        <v>6</v>
      </c>
      <c r="B14" s="8">
        <v>12</v>
      </c>
      <c r="D14">
        <v>1724.8264248705</v>
      </c>
      <c r="E14">
        <v>544.30785837651001</v>
      </c>
      <c r="F14">
        <v>138.49010327022</v>
      </c>
      <c r="G14">
        <v>117.10068846816</v>
      </c>
      <c r="I14" s="9">
        <f t="shared" si="1"/>
        <v>427.20716990835001</v>
      </c>
      <c r="J14" s="9">
        <f t="shared" si="2"/>
        <v>1586.3363216002799</v>
      </c>
      <c r="K14" s="9">
        <f t="shared" si="3"/>
        <v>427.20716990835001</v>
      </c>
      <c r="L14" s="10">
        <f t="shared" si="0"/>
        <v>0.26930428566206427</v>
      </c>
      <c r="M14" s="10">
        <f t="shared" si="4"/>
        <v>0.26983903078278548</v>
      </c>
      <c r="P14" s="8">
        <f t="shared" si="5"/>
        <v>-5.7697188198932015</v>
      </c>
    </row>
    <row r="15" spans="1:16" x14ac:dyDescent="0.2">
      <c r="A15" s="8">
        <v>6.5</v>
      </c>
      <c r="B15" s="8">
        <v>13</v>
      </c>
      <c r="D15">
        <v>1614.1416234888</v>
      </c>
      <c r="E15">
        <v>524.34326424871006</v>
      </c>
      <c r="F15">
        <v>138.53700516351</v>
      </c>
      <c r="G15">
        <v>117.07228915663001</v>
      </c>
      <c r="I15" s="9">
        <f t="shared" si="1"/>
        <v>407.27097509208005</v>
      </c>
      <c r="J15" s="9">
        <f t="shared" si="2"/>
        <v>1475.6046183252899</v>
      </c>
      <c r="K15" s="9">
        <f t="shared" si="3"/>
        <v>407.27097509208005</v>
      </c>
      <c r="L15" s="10">
        <f t="shared" si="0"/>
        <v>0.27600277881639101</v>
      </c>
      <c r="M15" s="10">
        <f t="shared" si="4"/>
        <v>0.27658208603050566</v>
      </c>
      <c r="P15" s="8">
        <f t="shared" si="5"/>
        <v>-3.4149816635877817</v>
      </c>
    </row>
    <row r="16" spans="1:16" x14ac:dyDescent="0.2">
      <c r="A16" s="8">
        <v>7</v>
      </c>
      <c r="B16" s="8">
        <v>14</v>
      </c>
      <c r="D16">
        <v>1791.3337656722999</v>
      </c>
      <c r="E16">
        <v>547.68698659748998</v>
      </c>
      <c r="F16">
        <v>138.85757314974001</v>
      </c>
      <c r="G16">
        <v>117.07228915663001</v>
      </c>
      <c r="I16" s="9">
        <f t="shared" si="1"/>
        <v>430.61469744085997</v>
      </c>
      <c r="J16" s="9">
        <f t="shared" si="2"/>
        <v>1652.4761925225598</v>
      </c>
      <c r="K16" s="9">
        <f t="shared" si="3"/>
        <v>430.61469744085997</v>
      </c>
      <c r="L16" s="10">
        <f t="shared" si="0"/>
        <v>0.26058753487002578</v>
      </c>
      <c r="M16" s="10">
        <f t="shared" si="4"/>
        <v>0.26121140417753386</v>
      </c>
      <c r="P16" s="8">
        <f t="shared" si="5"/>
        <v>-8.7825656959415568</v>
      </c>
    </row>
    <row r="17" spans="1:16" x14ac:dyDescent="0.2">
      <c r="A17" s="8">
        <v>7.5</v>
      </c>
      <c r="B17" s="8">
        <v>15</v>
      </c>
      <c r="D17">
        <v>1732.0452781371</v>
      </c>
      <c r="E17">
        <v>532.52048296680005</v>
      </c>
      <c r="F17">
        <v>138.76850258176</v>
      </c>
      <c r="G17">
        <v>117.31411359725</v>
      </c>
      <c r="I17" s="9">
        <f t="shared" si="1"/>
        <v>415.20636936955003</v>
      </c>
      <c r="J17" s="9">
        <f t="shared" si="2"/>
        <v>1593.27677555534</v>
      </c>
      <c r="K17" s="9">
        <f t="shared" si="3"/>
        <v>415.20636936955003</v>
      </c>
      <c r="L17" s="10">
        <f t="shared" si="0"/>
        <v>0.26059902192751727</v>
      </c>
      <c r="M17" s="10">
        <f t="shared" si="4"/>
        <v>0.26126745332841878</v>
      </c>
      <c r="P17" s="8">
        <f t="shared" si="5"/>
        <v>-8.7629928149077383</v>
      </c>
    </row>
    <row r="18" spans="1:16" x14ac:dyDescent="0.2">
      <c r="A18" s="8">
        <v>8</v>
      </c>
      <c r="B18" s="8">
        <v>16</v>
      </c>
      <c r="D18">
        <v>1699.7819905213</v>
      </c>
      <c r="E18">
        <v>516.21800947866996</v>
      </c>
      <c r="F18">
        <v>138.60197934595999</v>
      </c>
      <c r="G18">
        <v>117.28141135973</v>
      </c>
      <c r="I18" s="9">
        <f t="shared" si="1"/>
        <v>398.93659811893997</v>
      </c>
      <c r="J18" s="9">
        <f t="shared" si="2"/>
        <v>1561.18001117534</v>
      </c>
      <c r="K18" s="9">
        <f t="shared" si="3"/>
        <v>398.93659811893997</v>
      </c>
      <c r="L18" s="10">
        <f t="shared" si="0"/>
        <v>0.25553529718754153</v>
      </c>
      <c r="M18" s="10">
        <f t="shared" si="4"/>
        <v>0.25624829068183652</v>
      </c>
      <c r="P18" s="8">
        <f t="shared" si="5"/>
        <v>-10.515730756873054</v>
      </c>
    </row>
    <row r="19" spans="1:16" x14ac:dyDescent="0.2">
      <c r="A19" s="8">
        <v>8.5</v>
      </c>
      <c r="B19" s="8">
        <v>17</v>
      </c>
      <c r="D19">
        <v>1671.7001292545999</v>
      </c>
      <c r="E19">
        <v>513.00904782421003</v>
      </c>
      <c r="F19">
        <v>138.85197934595999</v>
      </c>
      <c r="G19">
        <v>117.2512908778</v>
      </c>
      <c r="I19" s="9">
        <f t="shared" si="1"/>
        <v>395.75775694641004</v>
      </c>
      <c r="J19" s="9">
        <f t="shared" si="2"/>
        <v>1532.8481499086399</v>
      </c>
      <c r="K19" s="9">
        <f t="shared" si="3"/>
        <v>395.75775694641004</v>
      </c>
      <c r="L19" s="10">
        <f t="shared" si="0"/>
        <v>0.25818458075576356</v>
      </c>
      <c r="M19" s="10">
        <f t="shared" si="4"/>
        <v>0.25894213634345198</v>
      </c>
      <c r="P19" s="8">
        <f t="shared" si="5"/>
        <v>-9.5750149774935593</v>
      </c>
    </row>
    <row r="20" spans="1:16" x14ac:dyDescent="0.2">
      <c r="A20" s="8">
        <v>9</v>
      </c>
      <c r="B20" s="8">
        <v>18</v>
      </c>
      <c r="D20">
        <v>1616.5685344828</v>
      </c>
      <c r="E20">
        <v>495.8125</v>
      </c>
      <c r="F20">
        <v>138.54819277108001</v>
      </c>
      <c r="G20">
        <v>117.48666092943</v>
      </c>
      <c r="I20" s="9">
        <f t="shared" si="1"/>
        <v>378.32583907057</v>
      </c>
      <c r="J20" s="9">
        <f t="shared" si="2"/>
        <v>1478.02034171172</v>
      </c>
      <c r="K20" s="9">
        <f t="shared" si="3"/>
        <v>378.32583907057</v>
      </c>
      <c r="L20" s="10">
        <f t="shared" si="0"/>
        <v>0.25596795145080653</v>
      </c>
      <c r="M20" s="10">
        <f t="shared" si="4"/>
        <v>0.25677006913188838</v>
      </c>
      <c r="P20" s="8">
        <f t="shared" si="5"/>
        <v>-10.333520904134271</v>
      </c>
    </row>
    <row r="21" spans="1:16" x14ac:dyDescent="0.2">
      <c r="A21" s="8">
        <v>9.5</v>
      </c>
      <c r="B21" s="8">
        <v>19</v>
      </c>
      <c r="D21">
        <v>1628.9828030954</v>
      </c>
      <c r="E21">
        <v>501.07523645743998</v>
      </c>
      <c r="F21">
        <v>138.64500860584999</v>
      </c>
      <c r="G21">
        <v>117.51376936317</v>
      </c>
      <c r="I21" s="9">
        <f t="shared" si="1"/>
        <v>383.56146709426997</v>
      </c>
      <c r="J21" s="9">
        <f t="shared" si="2"/>
        <v>1490.3377944895499</v>
      </c>
      <c r="K21" s="9">
        <f t="shared" si="3"/>
        <v>383.56146709426997</v>
      </c>
      <c r="L21" s="10">
        <f t="shared" si="0"/>
        <v>0.25736545668536992</v>
      </c>
      <c r="M21" s="10">
        <f t="shared" si="4"/>
        <v>0.2582121364598452</v>
      </c>
      <c r="P21" s="8">
        <f t="shared" si="5"/>
        <v>-9.8299376774979361</v>
      </c>
    </row>
    <row r="22" spans="1:16" x14ac:dyDescent="0.2">
      <c r="A22" s="8">
        <v>10</v>
      </c>
      <c r="B22" s="8">
        <v>20</v>
      </c>
      <c r="D22">
        <v>1655.2159482759</v>
      </c>
      <c r="E22">
        <v>505.28663793102999</v>
      </c>
      <c r="F22">
        <v>138.87607573150001</v>
      </c>
      <c r="G22">
        <v>117.23537005164</v>
      </c>
      <c r="I22" s="9">
        <f t="shared" si="1"/>
        <v>388.05126787938997</v>
      </c>
      <c r="J22" s="9">
        <f t="shared" si="2"/>
        <v>1516.3398725443999</v>
      </c>
      <c r="K22" s="9">
        <f t="shared" si="3"/>
        <v>388.05126787938997</v>
      </c>
      <c r="L22" s="10">
        <f t="shared" si="0"/>
        <v>0.25591312007659911</v>
      </c>
      <c r="M22" s="10">
        <f t="shared" si="4"/>
        <v>0.25680436194446782</v>
      </c>
      <c r="P22" s="8">
        <f t="shared" si="5"/>
        <v>-10.321545537329687</v>
      </c>
    </row>
    <row r="23" spans="1:16" x14ac:dyDescent="0.2">
      <c r="A23" s="8">
        <v>10.5</v>
      </c>
      <c r="B23" s="8">
        <v>21</v>
      </c>
      <c r="D23">
        <v>1642.8488372093</v>
      </c>
      <c r="E23">
        <v>496.37683031869</v>
      </c>
      <c r="F23">
        <v>138.90748709121999</v>
      </c>
      <c r="G23">
        <v>117.73192771084</v>
      </c>
      <c r="I23" s="9">
        <f t="shared" si="1"/>
        <v>378.64490260784999</v>
      </c>
      <c r="J23" s="9">
        <f t="shared" si="2"/>
        <v>1503.94135011808</v>
      </c>
      <c r="K23" s="9">
        <f t="shared" si="3"/>
        <v>378.64490260784999</v>
      </c>
      <c r="L23" s="10">
        <f t="shared" si="0"/>
        <v>0.25176839680491608</v>
      </c>
      <c r="M23" s="10">
        <f t="shared" si="4"/>
        <v>0.25270420076617822</v>
      </c>
      <c r="P23" s="8">
        <f t="shared" si="5"/>
        <v>-11.753359680721708</v>
      </c>
    </row>
    <row r="24" spans="1:16" x14ac:dyDescent="0.2">
      <c r="A24" s="8">
        <v>11</v>
      </c>
      <c r="B24" s="8">
        <v>22</v>
      </c>
      <c r="D24">
        <v>1604.7850990525001</v>
      </c>
      <c r="E24">
        <v>488.64427217916</v>
      </c>
      <c r="F24">
        <v>139.07874354561</v>
      </c>
      <c r="G24">
        <v>117.40103270224</v>
      </c>
      <c r="I24" s="9">
        <f t="shared" si="1"/>
        <v>371.24323947692</v>
      </c>
      <c r="J24" s="9">
        <f t="shared" si="2"/>
        <v>1465.7063555068901</v>
      </c>
      <c r="K24" s="9">
        <f t="shared" si="3"/>
        <v>371.24323947692</v>
      </c>
      <c r="L24" s="10">
        <f t="shared" si="0"/>
        <v>0.25328623163985103</v>
      </c>
      <c r="M24" s="10">
        <f t="shared" si="4"/>
        <v>0.2542665976945066</v>
      </c>
      <c r="P24" s="8">
        <f t="shared" si="5"/>
        <v>-11.207756246540121</v>
      </c>
    </row>
    <row r="25" spans="1:16" x14ac:dyDescent="0.2">
      <c r="A25" s="8">
        <v>11.5</v>
      </c>
      <c r="B25" s="8">
        <v>23</v>
      </c>
      <c r="D25">
        <v>1604.7646551723999</v>
      </c>
      <c r="E25">
        <v>484.17112068965997</v>
      </c>
      <c r="F25">
        <v>139.0434595525</v>
      </c>
      <c r="G25">
        <v>117.36617900172</v>
      </c>
      <c r="I25" s="9">
        <f t="shared" si="1"/>
        <v>366.80494168793996</v>
      </c>
      <c r="J25" s="9">
        <f t="shared" si="2"/>
        <v>1465.7211956198998</v>
      </c>
      <c r="K25" s="9">
        <f t="shared" si="3"/>
        <v>366.80494168793996</v>
      </c>
      <c r="L25" s="10">
        <f t="shared" si="0"/>
        <v>0.25025560303288552</v>
      </c>
      <c r="M25" s="10">
        <f t="shared" si="4"/>
        <v>0.25128053118093452</v>
      </c>
      <c r="P25" s="8">
        <f t="shared" si="5"/>
        <v>-12.250518245722152</v>
      </c>
    </row>
    <row r="26" spans="1:16" x14ac:dyDescent="0.2">
      <c r="A26" s="8">
        <v>12</v>
      </c>
      <c r="B26" s="8">
        <v>24</v>
      </c>
      <c r="D26">
        <v>1616.0388601036</v>
      </c>
      <c r="E26">
        <v>494.37262521589003</v>
      </c>
      <c r="F26">
        <v>139.2065404475</v>
      </c>
      <c r="G26">
        <v>117.38166953528</v>
      </c>
      <c r="I26" s="9">
        <f t="shared" si="1"/>
        <v>376.99095568061</v>
      </c>
      <c r="J26" s="9">
        <f t="shared" si="2"/>
        <v>1476.8323196561</v>
      </c>
      <c r="K26" s="9">
        <f t="shared" si="3"/>
        <v>376.99095568061</v>
      </c>
      <c r="L26" s="10">
        <f t="shared" si="0"/>
        <v>0.25526997930841422</v>
      </c>
      <c r="M26" s="10">
        <f t="shared" si="4"/>
        <v>0.25633946954985665</v>
      </c>
      <c r="P26" s="8">
        <f t="shared" si="5"/>
        <v>-10.483890254235996</v>
      </c>
    </row>
    <row r="27" spans="1:16" x14ac:dyDescent="0.2">
      <c r="A27" s="8">
        <v>12.5</v>
      </c>
      <c r="B27" s="8">
        <v>25</v>
      </c>
      <c r="D27">
        <v>1664.9463899697</v>
      </c>
      <c r="E27">
        <v>517.22049286641004</v>
      </c>
      <c r="F27">
        <v>139.55249569706999</v>
      </c>
      <c r="G27">
        <v>117.51204819277</v>
      </c>
      <c r="I27" s="9">
        <f t="shared" si="1"/>
        <v>399.70844467364003</v>
      </c>
      <c r="J27" s="9">
        <f t="shared" si="2"/>
        <v>1525.39389427263</v>
      </c>
      <c r="K27" s="9">
        <f t="shared" si="3"/>
        <v>399.70844467364003</v>
      </c>
      <c r="L27" s="10">
        <f t="shared" si="0"/>
        <v>0.262036216464756</v>
      </c>
      <c r="M27" s="10">
        <f t="shared" si="4"/>
        <v>0.26315026879959186</v>
      </c>
      <c r="P27" s="8">
        <f t="shared" si="5"/>
        <v>-8.1054962668945905</v>
      </c>
    </row>
    <row r="28" spans="1:16" x14ac:dyDescent="0.2">
      <c r="A28" s="8">
        <v>13</v>
      </c>
      <c r="B28" s="8">
        <v>26</v>
      </c>
      <c r="D28">
        <v>1495.6821505375999</v>
      </c>
      <c r="E28">
        <v>476.03354838709998</v>
      </c>
      <c r="F28">
        <v>139.13511187608</v>
      </c>
      <c r="G28">
        <v>117.63296041308</v>
      </c>
      <c r="I28" s="9">
        <f t="shared" si="1"/>
        <v>358.40058797401997</v>
      </c>
      <c r="J28" s="9">
        <f t="shared" si="2"/>
        <v>1356.54703866152</v>
      </c>
      <c r="K28" s="9">
        <f t="shared" si="3"/>
        <v>358.40058797401997</v>
      </c>
      <c r="L28" s="10">
        <f t="shared" si="0"/>
        <v>0.26420063422765439</v>
      </c>
      <c r="M28" s="10">
        <f t="shared" si="4"/>
        <v>0.26535924865588367</v>
      </c>
      <c r="P28" s="8">
        <f t="shared" si="5"/>
        <v>-7.3341001038720224</v>
      </c>
    </row>
    <row r="29" spans="1:16" x14ac:dyDescent="0.2">
      <c r="A29" s="8">
        <v>13.5</v>
      </c>
      <c r="B29" s="8">
        <v>27</v>
      </c>
      <c r="D29">
        <v>1444.9421915444</v>
      </c>
      <c r="E29">
        <v>463.40724762727001</v>
      </c>
      <c r="F29">
        <v>139.02065404474999</v>
      </c>
      <c r="G29">
        <v>117.60370051635</v>
      </c>
      <c r="I29" s="9">
        <f t="shared" si="1"/>
        <v>345.80354711092002</v>
      </c>
      <c r="J29" s="9">
        <f t="shared" si="2"/>
        <v>1305.92153749965</v>
      </c>
      <c r="K29" s="9">
        <f t="shared" si="3"/>
        <v>345.80354711092002</v>
      </c>
      <c r="L29" s="10">
        <f t="shared" si="0"/>
        <v>0.26479657252073824</v>
      </c>
      <c r="M29" s="10">
        <f t="shared" si="4"/>
        <v>0.26599974904236101</v>
      </c>
      <c r="P29" s="8">
        <f t="shared" si="5"/>
        <v>-7.1104314546827547</v>
      </c>
    </row>
    <row r="30" spans="1:16" x14ac:dyDescent="0.2">
      <c r="A30" s="8">
        <v>14</v>
      </c>
      <c r="B30" s="8">
        <v>28</v>
      </c>
      <c r="D30">
        <v>1513.5351629503</v>
      </c>
      <c r="E30">
        <v>480.60548885076997</v>
      </c>
      <c r="F30">
        <v>139.18545611016</v>
      </c>
      <c r="G30">
        <v>117.79948364888</v>
      </c>
      <c r="I30" s="9">
        <f t="shared" si="1"/>
        <v>362.80600520189</v>
      </c>
      <c r="J30" s="9">
        <f t="shared" si="2"/>
        <v>1374.34970684014</v>
      </c>
      <c r="K30" s="9">
        <f t="shared" si="3"/>
        <v>362.80600520189</v>
      </c>
      <c r="L30" s="10">
        <f t="shared" si="0"/>
        <v>0.26398376148094194</v>
      </c>
      <c r="M30" s="10">
        <f t="shared" si="4"/>
        <v>0.26523150009595814</v>
      </c>
      <c r="P30" s="8">
        <f t="shared" si="5"/>
        <v>-7.3787110805984639</v>
      </c>
    </row>
    <row r="31" spans="1:16" x14ac:dyDescent="0.2">
      <c r="A31" s="8">
        <v>14.5</v>
      </c>
      <c r="B31" s="8">
        <v>29</v>
      </c>
      <c r="D31">
        <v>1565.1011187608001</v>
      </c>
      <c r="E31">
        <v>509.67254733218999</v>
      </c>
      <c r="F31">
        <v>139.90791738382001</v>
      </c>
      <c r="G31">
        <v>117.8321858864</v>
      </c>
      <c r="I31" s="9">
        <f t="shared" si="1"/>
        <v>391.84036144578999</v>
      </c>
      <c r="J31" s="9">
        <f t="shared" si="2"/>
        <v>1425.1932013769801</v>
      </c>
      <c r="K31" s="9">
        <f t="shared" si="3"/>
        <v>391.84036144578999</v>
      </c>
      <c r="L31" s="10">
        <f t="shared" si="0"/>
        <v>0.274938416115938</v>
      </c>
      <c r="M31" s="10">
        <f t="shared" si="4"/>
        <v>0.27623071682434763</v>
      </c>
      <c r="P31" s="8">
        <f t="shared" si="5"/>
        <v>-3.5376830348395711</v>
      </c>
    </row>
    <row r="32" spans="1:16" x14ac:dyDescent="0.2">
      <c r="A32" s="8">
        <v>15</v>
      </c>
      <c r="B32" s="8">
        <v>30</v>
      </c>
      <c r="D32">
        <v>1651.0433275563</v>
      </c>
      <c r="E32">
        <v>529.91247833622003</v>
      </c>
      <c r="F32">
        <v>140.18201376936</v>
      </c>
      <c r="G32">
        <v>117.78915662651001</v>
      </c>
      <c r="I32" s="9">
        <f t="shared" si="1"/>
        <v>412.12332170971001</v>
      </c>
      <c r="J32" s="9">
        <f t="shared" si="2"/>
        <v>1510.8613137869399</v>
      </c>
      <c r="K32" s="9">
        <f t="shared" si="3"/>
        <v>412.12332170971001</v>
      </c>
      <c r="L32" s="10">
        <f t="shared" si="0"/>
        <v>0.27277376020485439</v>
      </c>
      <c r="M32" s="10">
        <f t="shared" si="4"/>
        <v>0.27411062300665745</v>
      </c>
      <c r="P32" s="8">
        <f t="shared" si="5"/>
        <v>-4.2780393724294736</v>
      </c>
    </row>
    <row r="33" spans="1:16" x14ac:dyDescent="0.2">
      <c r="A33" s="8">
        <v>15.5</v>
      </c>
      <c r="B33" s="8">
        <v>31</v>
      </c>
      <c r="D33">
        <v>1620.8630849220001</v>
      </c>
      <c r="E33">
        <v>515.20667244366996</v>
      </c>
      <c r="F33">
        <v>139.99139414801999</v>
      </c>
      <c r="G33">
        <v>117.97547332185999</v>
      </c>
      <c r="I33" s="9">
        <f t="shared" si="1"/>
        <v>397.23119912180994</v>
      </c>
      <c r="J33" s="9">
        <f t="shared" si="2"/>
        <v>1480.8716907739802</v>
      </c>
      <c r="K33" s="9">
        <f t="shared" si="3"/>
        <v>397.23119912180994</v>
      </c>
      <c r="L33" s="10">
        <f t="shared" si="0"/>
        <v>0.26824146993734233</v>
      </c>
      <c r="M33" s="10">
        <f t="shared" si="4"/>
        <v>0.26962289483253882</v>
      </c>
      <c r="P33" s="8">
        <f t="shared" si="5"/>
        <v>-5.8451954894683578</v>
      </c>
    </row>
    <row r="34" spans="1:16" x14ac:dyDescent="0.2">
      <c r="A34" s="8">
        <v>16</v>
      </c>
      <c r="B34" s="8">
        <v>32</v>
      </c>
      <c r="D34">
        <v>1670.455372617</v>
      </c>
      <c r="E34">
        <v>528.77642980936002</v>
      </c>
      <c r="F34">
        <v>140.04259896729999</v>
      </c>
      <c r="G34">
        <v>117.68588640275</v>
      </c>
      <c r="I34" s="9">
        <f t="shared" si="1"/>
        <v>411.09054340661004</v>
      </c>
      <c r="J34" s="9">
        <f t="shared" si="2"/>
        <v>1530.4127736497001</v>
      </c>
      <c r="K34" s="9">
        <f t="shared" si="3"/>
        <v>411.09054340661004</v>
      </c>
      <c r="L34" s="10">
        <f t="shared" si="0"/>
        <v>0.26861416114964132</v>
      </c>
      <c r="M34" s="10">
        <f t="shared" si="4"/>
        <v>0.27004014813823124</v>
      </c>
      <c r="P34" s="8">
        <f t="shared" si="5"/>
        <v>-5.6994867823007276</v>
      </c>
    </row>
    <row r="35" spans="1:16" x14ac:dyDescent="0.2">
      <c r="A35" s="8">
        <v>16.5</v>
      </c>
      <c r="B35" s="8">
        <v>33</v>
      </c>
      <c r="D35">
        <v>1707.7824956672</v>
      </c>
      <c r="E35">
        <v>534.26343154246001</v>
      </c>
      <c r="F35">
        <v>140.33132530121</v>
      </c>
      <c r="G35">
        <v>117.90490533563</v>
      </c>
      <c r="I35" s="9">
        <f t="shared" si="1"/>
        <v>416.35852620682999</v>
      </c>
      <c r="J35" s="9">
        <f t="shared" si="2"/>
        <v>1567.45117036599</v>
      </c>
      <c r="K35" s="9">
        <f t="shared" si="3"/>
        <v>416.35852620682999</v>
      </c>
      <c r="L35" s="10">
        <f t="shared" si="0"/>
        <v>0.26562774909894826</v>
      </c>
      <c r="M35" s="10">
        <f t="shared" si="4"/>
        <v>0.26709829818093161</v>
      </c>
      <c r="P35" s="8">
        <f t="shared" si="5"/>
        <v>-6.7268079517470341</v>
      </c>
    </row>
    <row r="36" spans="1:16" x14ac:dyDescent="0.2">
      <c r="A36" s="8">
        <v>17</v>
      </c>
      <c r="B36" s="8">
        <v>34</v>
      </c>
      <c r="D36">
        <v>1730.3472461274</v>
      </c>
      <c r="E36">
        <v>538.39543889845004</v>
      </c>
      <c r="F36">
        <v>140.30034423408</v>
      </c>
      <c r="G36">
        <v>117.85370051635</v>
      </c>
      <c r="I36" s="9">
        <f t="shared" si="1"/>
        <v>420.54173838210005</v>
      </c>
      <c r="J36" s="9">
        <f t="shared" si="2"/>
        <v>1590.04690189332</v>
      </c>
      <c r="K36" s="9">
        <f t="shared" si="3"/>
        <v>420.54173838210005</v>
      </c>
      <c r="L36" s="10">
        <f t="shared" si="0"/>
        <v>0.26448385760278359</v>
      </c>
      <c r="M36" s="10">
        <f t="shared" si="4"/>
        <v>0.26599896877816037</v>
      </c>
      <c r="P36" s="8">
        <f t="shared" si="5"/>
        <v>-7.1107039301463963</v>
      </c>
    </row>
    <row r="37" spans="1:16" x14ac:dyDescent="0.2">
      <c r="A37" s="8">
        <v>17.5</v>
      </c>
      <c r="B37" s="8">
        <v>35</v>
      </c>
      <c r="D37">
        <v>1729.6592082616</v>
      </c>
      <c r="E37">
        <v>540.90318416522996</v>
      </c>
      <c r="F37">
        <v>140.05378657487</v>
      </c>
      <c r="G37">
        <v>117.94535283993</v>
      </c>
      <c r="I37" s="9">
        <f t="shared" si="1"/>
        <v>422.95783132529994</v>
      </c>
      <c r="J37" s="9">
        <f t="shared" si="2"/>
        <v>1589.6054216867301</v>
      </c>
      <c r="K37" s="9">
        <f t="shared" si="3"/>
        <v>422.95783132529994</v>
      </c>
      <c r="L37" s="10">
        <f t="shared" si="0"/>
        <v>0.26607724505399549</v>
      </c>
      <c r="M37" s="10">
        <f t="shared" si="4"/>
        <v>0.2676369183227657</v>
      </c>
      <c r="P37" s="8">
        <f t="shared" si="5"/>
        <v>-6.538716824725638</v>
      </c>
    </row>
    <row r="38" spans="1:16" x14ac:dyDescent="0.2">
      <c r="A38" s="8">
        <v>18</v>
      </c>
      <c r="B38" s="8">
        <v>36</v>
      </c>
      <c r="D38">
        <v>1751.5481927711</v>
      </c>
      <c r="E38">
        <v>551.05378657486995</v>
      </c>
      <c r="F38">
        <v>140.01764199656</v>
      </c>
      <c r="G38">
        <v>117.90404475043</v>
      </c>
      <c r="I38" s="9">
        <f t="shared" si="1"/>
        <v>433.14974182443996</v>
      </c>
      <c r="J38" s="9">
        <f t="shared" si="2"/>
        <v>1611.53055077454</v>
      </c>
      <c r="K38" s="9">
        <f t="shared" si="3"/>
        <v>433.14974182443996</v>
      </c>
      <c r="L38" s="10">
        <f t="shared" si="0"/>
        <v>0.26878158879225583</v>
      </c>
      <c r="M38" s="10">
        <f t="shared" si="4"/>
        <v>0.27038582415441947</v>
      </c>
      <c r="P38" s="8">
        <f t="shared" si="5"/>
        <v>-5.5787735255559792</v>
      </c>
    </row>
    <row r="39" spans="1:16" x14ac:dyDescent="0.2">
      <c r="A39" s="8">
        <v>18.5</v>
      </c>
      <c r="B39" s="8">
        <v>37</v>
      </c>
      <c r="D39">
        <v>1700.7048192770999</v>
      </c>
      <c r="E39">
        <v>539.11101549053001</v>
      </c>
      <c r="F39">
        <v>139.87521514630001</v>
      </c>
      <c r="G39">
        <v>117.94578313253</v>
      </c>
      <c r="I39" s="9">
        <f t="shared" si="1"/>
        <v>421.16523235800003</v>
      </c>
      <c r="J39" s="9">
        <f t="shared" si="2"/>
        <v>1560.8296041307999</v>
      </c>
      <c r="K39" s="9">
        <f t="shared" si="3"/>
        <v>421.16523235800003</v>
      </c>
      <c r="L39" s="10">
        <f t="shared" si="0"/>
        <v>0.26983421588325135</v>
      </c>
      <c r="M39" s="10">
        <f t="shared" si="4"/>
        <v>0.27148301333880848</v>
      </c>
      <c r="P39" s="8">
        <f t="shared" si="5"/>
        <v>-5.1956249311779734</v>
      </c>
    </row>
    <row r="40" spans="1:16" x14ac:dyDescent="0.2">
      <c r="A40" s="8">
        <v>19</v>
      </c>
      <c r="B40" s="8">
        <v>38</v>
      </c>
      <c r="D40">
        <v>1700.4865096359999</v>
      </c>
      <c r="E40">
        <v>536.89207708778997</v>
      </c>
      <c r="F40">
        <v>140.25387263338999</v>
      </c>
      <c r="G40">
        <v>118.01247848537</v>
      </c>
      <c r="I40" s="9">
        <f t="shared" si="1"/>
        <v>418.87959860241995</v>
      </c>
      <c r="J40" s="9">
        <f t="shared" si="2"/>
        <v>1560.2326370026099</v>
      </c>
      <c r="K40" s="9">
        <f t="shared" si="3"/>
        <v>418.87959860241995</v>
      </c>
      <c r="L40" s="10">
        <f t="shared" si="0"/>
        <v>0.26847252689646134</v>
      </c>
      <c r="M40" s="10">
        <f t="shared" si="4"/>
        <v>0.2701658864454119</v>
      </c>
      <c r="P40" s="8">
        <f t="shared" si="5"/>
        <v>-5.6555778043950022</v>
      </c>
    </row>
    <row r="41" spans="1:16" x14ac:dyDescent="0.2">
      <c r="A41" s="8">
        <v>19.5</v>
      </c>
      <c r="B41" s="8">
        <v>39</v>
      </c>
      <c r="D41">
        <v>1540.8112554113</v>
      </c>
      <c r="E41">
        <v>495.78961038961</v>
      </c>
      <c r="F41">
        <v>140.02581755593999</v>
      </c>
      <c r="G41">
        <v>117.90576592083001</v>
      </c>
      <c r="I41" s="9">
        <f t="shared" si="1"/>
        <v>377.88384446878001</v>
      </c>
      <c r="J41" s="9">
        <f t="shared" si="2"/>
        <v>1400.78543785536</v>
      </c>
      <c r="K41" s="9">
        <f t="shared" si="3"/>
        <v>377.88384446878001</v>
      </c>
      <c r="L41" s="10">
        <f t="shared" si="0"/>
        <v>0.26976568591927275</v>
      </c>
      <c r="M41" s="10">
        <f t="shared" si="4"/>
        <v>0.27150360756161673</v>
      </c>
      <c r="P41" s="8">
        <f t="shared" si="5"/>
        <v>-5.1884332384110738</v>
      </c>
    </row>
    <row r="42" spans="1:16" x14ac:dyDescent="0.2">
      <c r="A42" s="8">
        <v>20</v>
      </c>
      <c r="B42" s="8">
        <v>40</v>
      </c>
      <c r="D42">
        <v>1511.7986230637</v>
      </c>
      <c r="E42">
        <v>484.24354561102001</v>
      </c>
      <c r="F42">
        <v>140.14672977625</v>
      </c>
      <c r="G42">
        <v>117.7900172117</v>
      </c>
      <c r="I42" s="9">
        <f t="shared" si="1"/>
        <v>366.45352839932002</v>
      </c>
      <c r="J42" s="9">
        <f t="shared" si="2"/>
        <v>1371.6518932874501</v>
      </c>
      <c r="K42" s="9">
        <f t="shared" si="3"/>
        <v>366.45352839932002</v>
      </c>
      <c r="L42" s="10">
        <f t="shared" si="0"/>
        <v>0.26716219340538194</v>
      </c>
      <c r="M42" s="10">
        <f t="shared" si="4"/>
        <v>0.26894467714111936</v>
      </c>
      <c r="P42" s="8">
        <f t="shared" si="5"/>
        <v>-6.0820353698162215</v>
      </c>
    </row>
    <row r="43" spans="1:16" x14ac:dyDescent="0.2">
      <c r="A43" s="8">
        <v>20.5</v>
      </c>
      <c r="B43" s="8">
        <v>41</v>
      </c>
      <c r="D43">
        <v>1498.3364969802001</v>
      </c>
      <c r="E43">
        <v>484.84728213978002</v>
      </c>
      <c r="F43">
        <v>140.30249569706999</v>
      </c>
      <c r="G43">
        <v>117.84681583477</v>
      </c>
      <c r="I43" s="9">
        <f t="shared" si="1"/>
        <v>367.00046630501004</v>
      </c>
      <c r="J43" s="9">
        <f t="shared" si="2"/>
        <v>1358.03400128313</v>
      </c>
      <c r="K43" s="9">
        <f t="shared" si="3"/>
        <v>367.00046630501004</v>
      </c>
      <c r="L43" s="10">
        <f t="shared" si="0"/>
        <v>0.27024394526076073</v>
      </c>
      <c r="M43" s="10">
        <f t="shared" si="4"/>
        <v>0.27207099108989158</v>
      </c>
      <c r="P43" s="8">
        <f t="shared" si="5"/>
        <v>-4.990297671250155</v>
      </c>
    </row>
    <row r="44" spans="1:16" x14ac:dyDescent="0.2">
      <c r="A44" s="8">
        <v>21</v>
      </c>
      <c r="B44" s="8">
        <v>42</v>
      </c>
      <c r="D44">
        <v>1491.2079378774999</v>
      </c>
      <c r="E44">
        <v>487.01725625539001</v>
      </c>
      <c r="F44">
        <v>140.61488812392</v>
      </c>
      <c r="G44">
        <v>118.0434595525</v>
      </c>
      <c r="I44" s="9">
        <f t="shared" si="1"/>
        <v>368.97379670289001</v>
      </c>
      <c r="J44" s="9">
        <f t="shared" si="2"/>
        <v>1350.5930497535799</v>
      </c>
      <c r="K44" s="9">
        <f t="shared" si="3"/>
        <v>368.97379670289001</v>
      </c>
      <c r="L44" s="10">
        <f t="shared" si="0"/>
        <v>0.27319391046045327</v>
      </c>
      <c r="M44" s="10">
        <f t="shared" si="4"/>
        <v>0.27506551838297755</v>
      </c>
      <c r="P44" s="8">
        <f t="shared" si="5"/>
        <v>-3.9445810897370093</v>
      </c>
    </row>
    <row r="45" spans="1:16" x14ac:dyDescent="0.2">
      <c r="A45" s="8">
        <v>21.5</v>
      </c>
      <c r="B45" s="8">
        <v>43</v>
      </c>
      <c r="D45">
        <v>1512.3514445881999</v>
      </c>
      <c r="E45">
        <v>488.23027166882002</v>
      </c>
      <c r="F45">
        <v>140.08089500861001</v>
      </c>
      <c r="G45">
        <v>118.06368330465</v>
      </c>
      <c r="I45" s="9">
        <f t="shared" si="1"/>
        <v>370.16658836417002</v>
      </c>
      <c r="J45" s="9">
        <f t="shared" si="2"/>
        <v>1372.2705495795899</v>
      </c>
      <c r="K45" s="9">
        <f t="shared" si="3"/>
        <v>370.16658836417002</v>
      </c>
      <c r="L45" s="10">
        <f t="shared" si="0"/>
        <v>0.26974752790371737</v>
      </c>
      <c r="M45" s="10">
        <f t="shared" si="4"/>
        <v>0.27166369791963507</v>
      </c>
      <c r="P45" s="8">
        <f t="shared" si="5"/>
        <v>-5.1325282071539924</v>
      </c>
    </row>
    <row r="46" spans="1:16" x14ac:dyDescent="0.2">
      <c r="A46" s="8">
        <v>22</v>
      </c>
      <c r="B46" s="8">
        <v>44</v>
      </c>
      <c r="D46">
        <v>1301.5873221216</v>
      </c>
      <c r="E46">
        <v>435.42000862441</v>
      </c>
      <c r="F46">
        <v>140.334767642</v>
      </c>
      <c r="G46">
        <v>118.05679862306</v>
      </c>
      <c r="I46" s="9">
        <f t="shared" si="1"/>
        <v>317.36321000135001</v>
      </c>
      <c r="J46" s="9">
        <f t="shared" si="2"/>
        <v>1161.2525544795999</v>
      </c>
      <c r="K46" s="9">
        <f t="shared" si="3"/>
        <v>317.36321000135001</v>
      </c>
      <c r="L46" s="10">
        <f t="shared" si="0"/>
        <v>0.27329387459868465</v>
      </c>
      <c r="M46" s="10">
        <f t="shared" si="4"/>
        <v>0.27525460670799579</v>
      </c>
      <c r="P46" s="8">
        <f t="shared" si="5"/>
        <v>-3.8785497006430907</v>
      </c>
    </row>
    <row r="47" spans="1:16" x14ac:dyDescent="0.2">
      <c r="A47" s="8">
        <v>22.5</v>
      </c>
      <c r="B47" s="8">
        <v>45</v>
      </c>
      <c r="D47">
        <v>1396.8113126078999</v>
      </c>
      <c r="E47">
        <v>462.82858376511001</v>
      </c>
      <c r="F47">
        <v>140.77237521514999</v>
      </c>
      <c r="G47">
        <v>118.13898450947001</v>
      </c>
      <c r="I47" s="9">
        <f t="shared" si="1"/>
        <v>344.68959925564002</v>
      </c>
      <c r="J47" s="9">
        <f t="shared" si="2"/>
        <v>1256.0389373927499</v>
      </c>
      <c r="K47" s="9">
        <f t="shared" si="3"/>
        <v>344.68959925564002</v>
      </c>
      <c r="L47" s="10">
        <f t="shared" si="0"/>
        <v>0.27442588680501973</v>
      </c>
      <c r="M47" s="10">
        <f t="shared" si="4"/>
        <v>0.27643118100772429</v>
      </c>
      <c r="P47" s="8">
        <f t="shared" si="5"/>
        <v>-3.4676790909648663</v>
      </c>
    </row>
    <row r="48" spans="1:16" x14ac:dyDescent="0.2">
      <c r="A48" s="8">
        <v>23</v>
      </c>
      <c r="B48" s="8">
        <v>46</v>
      </c>
      <c r="D48">
        <v>1411.3957612457</v>
      </c>
      <c r="E48">
        <v>467.65614186851002</v>
      </c>
      <c r="F48">
        <v>140.29905335628001</v>
      </c>
      <c r="G48">
        <v>118.05120481928</v>
      </c>
      <c r="I48" s="9">
        <f t="shared" si="1"/>
        <v>349.60493704922999</v>
      </c>
      <c r="J48" s="9">
        <f t="shared" si="2"/>
        <v>1271.09670788942</v>
      </c>
      <c r="K48" s="9">
        <f t="shared" si="3"/>
        <v>349.60493704922999</v>
      </c>
      <c r="L48" s="10">
        <f t="shared" si="0"/>
        <v>0.27504196563432853</v>
      </c>
      <c r="M48" s="10">
        <f t="shared" si="4"/>
        <v>0.27709182193042653</v>
      </c>
      <c r="P48" s="8">
        <f t="shared" si="5"/>
        <v>-3.2369771805528433</v>
      </c>
    </row>
    <row r="49" spans="1:25" x14ac:dyDescent="0.2">
      <c r="A49" s="8">
        <v>23.5</v>
      </c>
      <c r="B49" s="8">
        <v>47</v>
      </c>
      <c r="D49">
        <v>1410.8092560554001</v>
      </c>
      <c r="E49">
        <v>465.09342560554001</v>
      </c>
      <c r="F49">
        <v>141.05464716007</v>
      </c>
      <c r="G49">
        <v>118.06368330465</v>
      </c>
      <c r="I49" s="9">
        <f t="shared" si="1"/>
        <v>347.02974230089001</v>
      </c>
      <c r="J49" s="9">
        <f t="shared" si="2"/>
        <v>1269.75460889533</v>
      </c>
      <c r="K49" s="9">
        <f t="shared" si="3"/>
        <v>347.02974230089001</v>
      </c>
      <c r="L49" s="10">
        <f t="shared" si="0"/>
        <v>0.2733045738678605</v>
      </c>
      <c r="M49" s="10">
        <f t="shared" si="4"/>
        <v>0.27539899225735193</v>
      </c>
      <c r="P49" s="8">
        <f t="shared" si="5"/>
        <v>-3.8281289335853943</v>
      </c>
    </row>
    <row r="50" spans="1:25" x14ac:dyDescent="0.2">
      <c r="A50" s="8">
        <v>24</v>
      </c>
      <c r="B50" s="8">
        <v>48</v>
      </c>
      <c r="D50">
        <v>1423.4995674741001</v>
      </c>
      <c r="E50">
        <v>466.01384083045002</v>
      </c>
      <c r="F50">
        <v>140.70309810671</v>
      </c>
      <c r="G50">
        <v>118.07271944922999</v>
      </c>
      <c r="I50" s="9">
        <f t="shared" si="1"/>
        <v>347.94112138122</v>
      </c>
      <c r="J50" s="9">
        <f t="shared" si="2"/>
        <v>1282.79646936739</v>
      </c>
      <c r="K50" s="9">
        <f t="shared" si="3"/>
        <v>347.94112138122</v>
      </c>
      <c r="L50" s="10">
        <f t="shared" si="0"/>
        <v>0.27123641956452132</v>
      </c>
      <c r="M50" s="10">
        <f t="shared" si="4"/>
        <v>0.27337540004740624</v>
      </c>
      <c r="P50" s="8">
        <f t="shared" si="5"/>
        <v>-4.5347860186775524</v>
      </c>
    </row>
    <row r="51" spans="1:25" x14ac:dyDescent="0.2">
      <c r="A51" s="8">
        <v>24.5</v>
      </c>
      <c r="B51" s="8">
        <v>49</v>
      </c>
      <c r="D51">
        <v>1388.9202242346</v>
      </c>
      <c r="E51">
        <v>456.97326433808001</v>
      </c>
      <c r="F51">
        <v>140.70912220310001</v>
      </c>
      <c r="G51">
        <v>118.57185886403001</v>
      </c>
      <c r="I51" s="9">
        <f t="shared" si="1"/>
        <v>338.40140547405002</v>
      </c>
      <c r="J51" s="9">
        <f t="shared" si="2"/>
        <v>1248.2111020315001</v>
      </c>
      <c r="K51" s="9">
        <f t="shared" si="3"/>
        <v>338.40140547405002</v>
      </c>
      <c r="L51" s="10">
        <f t="shared" si="0"/>
        <v>0.27110911361330775</v>
      </c>
      <c r="M51" s="10">
        <f t="shared" si="4"/>
        <v>0.27329265618958609</v>
      </c>
      <c r="P51" s="8">
        <f t="shared" si="5"/>
        <v>-4.5636809378658567</v>
      </c>
    </row>
    <row r="52" spans="1:25" x14ac:dyDescent="0.2">
      <c r="A52" s="8">
        <v>25</v>
      </c>
      <c r="B52" s="8">
        <v>50</v>
      </c>
      <c r="D52">
        <v>1416.3786114704999</v>
      </c>
      <c r="E52">
        <v>471.19016817594002</v>
      </c>
      <c r="F52">
        <v>140.91179001721</v>
      </c>
      <c r="G52">
        <v>118.29130808950001</v>
      </c>
      <c r="I52" s="9">
        <f t="shared" si="1"/>
        <v>352.89886008643998</v>
      </c>
      <c r="J52" s="9">
        <f t="shared" si="2"/>
        <v>1275.4668214532899</v>
      </c>
      <c r="K52" s="9">
        <f t="shared" si="3"/>
        <v>352.89886008643998</v>
      </c>
      <c r="L52" s="10">
        <f t="shared" si="0"/>
        <v>0.27668211681456417</v>
      </c>
      <c r="M52" s="10">
        <f t="shared" si="4"/>
        <v>0.27891022148423594</v>
      </c>
      <c r="P52" s="8">
        <f t="shared" si="5"/>
        <v>-2.6019752656846662</v>
      </c>
    </row>
    <row r="53" spans="1:25" x14ac:dyDescent="0.2">
      <c r="A53" s="8">
        <v>25.5</v>
      </c>
      <c r="B53" s="8">
        <v>51</v>
      </c>
      <c r="D53">
        <v>1392.8425129088</v>
      </c>
      <c r="E53">
        <v>463.82659208261998</v>
      </c>
      <c r="F53">
        <v>141.15791738382001</v>
      </c>
      <c r="G53">
        <v>118.22633390706</v>
      </c>
      <c r="I53" s="9">
        <f t="shared" si="1"/>
        <v>345.60025817555999</v>
      </c>
      <c r="J53" s="9">
        <f t="shared" si="2"/>
        <v>1251.6845955249801</v>
      </c>
      <c r="K53" s="9">
        <f t="shared" si="3"/>
        <v>345.60025817555999</v>
      </c>
      <c r="L53" s="10">
        <f t="shared" si="0"/>
        <v>0.27610810216179799</v>
      </c>
      <c r="M53" s="10">
        <f t="shared" si="4"/>
        <v>0.27838076892486319</v>
      </c>
      <c r="P53" s="8">
        <f t="shared" si="5"/>
        <v>-2.7868649882592438</v>
      </c>
      <c r="S53" s="11"/>
      <c r="U53" s="12"/>
    </row>
    <row r="54" spans="1:25" x14ac:dyDescent="0.2">
      <c r="A54" s="8">
        <v>26</v>
      </c>
      <c r="B54" s="8">
        <v>52</v>
      </c>
      <c r="D54">
        <v>1391.574010327</v>
      </c>
      <c r="E54">
        <v>465.84380378658</v>
      </c>
      <c r="F54">
        <v>140.54604130809</v>
      </c>
      <c r="G54">
        <v>118.31196213425</v>
      </c>
      <c r="I54" s="9">
        <f t="shared" si="1"/>
        <v>347.53184165233</v>
      </c>
      <c r="J54" s="9">
        <f t="shared" si="2"/>
        <v>1251.02796901891</v>
      </c>
      <c r="K54" s="9">
        <f t="shared" si="3"/>
        <v>347.53184165233</v>
      </c>
      <c r="L54" s="10">
        <f t="shared" si="0"/>
        <v>0.27779701993783074</v>
      </c>
      <c r="M54" s="10">
        <f t="shared" si="4"/>
        <v>0.28011424879428937</v>
      </c>
      <c r="P54" s="8">
        <f t="shared" si="5"/>
        <v>-2.1815178113062776</v>
      </c>
      <c r="S54" s="11"/>
    </row>
    <row r="55" spans="1:25" x14ac:dyDescent="0.2">
      <c r="A55" s="8">
        <v>26.5</v>
      </c>
      <c r="B55" s="8">
        <v>53</v>
      </c>
      <c r="D55">
        <v>1331.6333907057001</v>
      </c>
      <c r="E55">
        <v>449.57013769362999</v>
      </c>
      <c r="F55">
        <v>140.96299483649</v>
      </c>
      <c r="G55">
        <v>118.59079173838001</v>
      </c>
      <c r="I55" s="9">
        <f t="shared" si="1"/>
        <v>330.97934595524998</v>
      </c>
      <c r="J55" s="9">
        <f t="shared" si="2"/>
        <v>1190.6703958692101</v>
      </c>
      <c r="K55" s="9">
        <f t="shared" si="3"/>
        <v>330.97934595524998</v>
      </c>
      <c r="L55" s="10">
        <f t="shared" si="0"/>
        <v>0.27797730346157579</v>
      </c>
      <c r="M55" s="10">
        <f t="shared" si="4"/>
        <v>0.28033909441142785</v>
      </c>
      <c r="P55" s="8">
        <f t="shared" si="5"/>
        <v>-2.1029996456294637</v>
      </c>
      <c r="S55" s="11"/>
    </row>
    <row r="56" spans="1:25" x14ac:dyDescent="0.2">
      <c r="A56" s="8">
        <v>27</v>
      </c>
      <c r="B56" s="8">
        <v>54</v>
      </c>
      <c r="D56">
        <v>1320.4733218588999</v>
      </c>
      <c r="E56">
        <v>445.13554216867999</v>
      </c>
      <c r="F56">
        <v>140.80593803786999</v>
      </c>
      <c r="G56">
        <v>118.36015490534</v>
      </c>
      <c r="I56" s="9">
        <f t="shared" si="1"/>
        <v>326.77538726334001</v>
      </c>
      <c r="J56" s="9">
        <f t="shared" si="2"/>
        <v>1179.6673838210299</v>
      </c>
      <c r="K56" s="9">
        <f t="shared" si="3"/>
        <v>326.77538726334001</v>
      </c>
      <c r="L56" s="10">
        <f t="shared" si="0"/>
        <v>0.27700637632693575</v>
      </c>
      <c r="M56" s="10">
        <f t="shared" si="4"/>
        <v>0.27941272937018125</v>
      </c>
      <c r="P56" s="8">
        <f t="shared" si="5"/>
        <v>-2.4264948718717942</v>
      </c>
      <c r="S56" s="11"/>
    </row>
    <row r="57" spans="1:25" x14ac:dyDescent="0.2">
      <c r="A57" s="8">
        <v>27.5</v>
      </c>
      <c r="B57" s="8">
        <v>55</v>
      </c>
      <c r="D57">
        <v>1387.5598106713001</v>
      </c>
      <c r="E57">
        <v>462.14586919105</v>
      </c>
      <c r="F57">
        <v>140.44061962134001</v>
      </c>
      <c r="G57">
        <v>118.17512908777999</v>
      </c>
      <c r="I57" s="9">
        <f t="shared" si="1"/>
        <v>343.97074010327003</v>
      </c>
      <c r="J57" s="9">
        <f t="shared" si="2"/>
        <v>1247.1191910499601</v>
      </c>
      <c r="K57" s="9">
        <f t="shared" si="3"/>
        <v>343.97074010327003</v>
      </c>
      <c r="L57" s="10">
        <f t="shared" si="0"/>
        <v>0.27581224198280374</v>
      </c>
      <c r="M57" s="10">
        <f t="shared" si="4"/>
        <v>0.27826315711944266</v>
      </c>
      <c r="P57" s="8">
        <f t="shared" si="5"/>
        <v>-2.8279361167121078</v>
      </c>
      <c r="S57" s="11"/>
    </row>
    <row r="58" spans="1:25" x14ac:dyDescent="0.2">
      <c r="A58" s="8">
        <v>28</v>
      </c>
      <c r="B58" s="8">
        <v>56</v>
      </c>
      <c r="D58">
        <v>1390.8244933161</v>
      </c>
      <c r="E58">
        <v>464.99310047434</v>
      </c>
      <c r="F58">
        <v>141.09681583477001</v>
      </c>
      <c r="G58">
        <v>118.11617900172</v>
      </c>
      <c r="I58" s="9">
        <f t="shared" si="1"/>
        <v>346.87692147261998</v>
      </c>
      <c r="J58" s="9">
        <f t="shared" si="2"/>
        <v>1249.7276774813299</v>
      </c>
      <c r="K58" s="9">
        <f t="shared" si="3"/>
        <v>346.87692147261998</v>
      </c>
      <c r="L58" s="10">
        <f t="shared" si="0"/>
        <v>0.27756200628580707</v>
      </c>
      <c r="M58" s="10">
        <f t="shared" si="4"/>
        <v>0.28005748351583942</v>
      </c>
      <c r="P58" s="8">
        <f t="shared" si="5"/>
        <v>-2.2013407706983572</v>
      </c>
      <c r="S58" s="11"/>
    </row>
    <row r="59" spans="1:25" x14ac:dyDescent="0.2">
      <c r="A59" s="8">
        <v>28.5</v>
      </c>
      <c r="B59" s="8">
        <v>57</v>
      </c>
      <c r="D59">
        <v>1501.9896507115</v>
      </c>
      <c r="E59">
        <v>492.15998275119</v>
      </c>
      <c r="F59">
        <v>140.91222030981001</v>
      </c>
      <c r="G59">
        <v>118.54647160069</v>
      </c>
      <c r="I59" s="9">
        <f t="shared" si="1"/>
        <v>373.61351115050002</v>
      </c>
      <c r="J59" s="9">
        <f t="shared" si="2"/>
        <v>1361.07743040169</v>
      </c>
      <c r="K59" s="9">
        <f t="shared" si="3"/>
        <v>373.61351115050002</v>
      </c>
      <c r="L59" s="10">
        <f t="shared" si="0"/>
        <v>0.27449835167734488</v>
      </c>
      <c r="M59" s="10">
        <f t="shared" si="4"/>
        <v>0.27703839100077066</v>
      </c>
      <c r="P59" s="8">
        <f t="shared" si="5"/>
        <v>-3.2556357545574337</v>
      </c>
      <c r="R59" s="1"/>
      <c r="S59" s="11"/>
    </row>
    <row r="60" spans="1:25" x14ac:dyDescent="0.2">
      <c r="A60" s="8">
        <v>29</v>
      </c>
      <c r="B60" s="8">
        <v>58</v>
      </c>
      <c r="D60">
        <v>1505.2602503236999</v>
      </c>
      <c r="E60">
        <v>497.30729391454997</v>
      </c>
      <c r="F60">
        <v>141.10111876075999</v>
      </c>
      <c r="G60">
        <v>118.26807228916</v>
      </c>
      <c r="I60" s="9">
        <f t="shared" si="1"/>
        <v>379.03922162538998</v>
      </c>
      <c r="J60" s="9">
        <f t="shared" si="2"/>
        <v>1364.1591315629398</v>
      </c>
      <c r="K60" s="9">
        <f t="shared" si="3"/>
        <v>379.03922162538998</v>
      </c>
      <c r="L60" s="10">
        <f t="shared" si="0"/>
        <v>0.27785557627072321</v>
      </c>
      <c r="M60" s="10">
        <f t="shared" si="4"/>
        <v>0.28044017768754248</v>
      </c>
      <c r="P60" s="8">
        <f t="shared" si="5"/>
        <v>-2.067700432230807</v>
      </c>
      <c r="S60" s="11"/>
    </row>
    <row r="61" spans="1:25" x14ac:dyDescent="0.2">
      <c r="A61" s="8">
        <v>29.5</v>
      </c>
      <c r="B61" s="8">
        <v>59</v>
      </c>
      <c r="C61" s="2"/>
      <c r="D61">
        <v>1439.7721191195999</v>
      </c>
      <c r="E61">
        <v>479.44756150194002</v>
      </c>
      <c r="F61">
        <v>141.27065404474999</v>
      </c>
      <c r="G61">
        <v>118.71557659208</v>
      </c>
      <c r="I61" s="9">
        <f t="shared" si="1"/>
        <v>360.73198490985999</v>
      </c>
      <c r="J61" s="9">
        <f t="shared" si="2"/>
        <v>1298.5014650748499</v>
      </c>
      <c r="K61" s="9">
        <f t="shared" si="3"/>
        <v>360.73198490985999</v>
      </c>
      <c r="L61" s="10">
        <f t="shared" si="0"/>
        <v>0.27780637497322053</v>
      </c>
      <c r="M61" s="10">
        <f t="shared" si="4"/>
        <v>0.28043553848343322</v>
      </c>
      <c r="P61" s="8">
        <f t="shared" si="5"/>
        <v>-2.06932048514309</v>
      </c>
      <c r="S61" s="11"/>
    </row>
    <row r="62" spans="1:25" x14ac:dyDescent="0.2">
      <c r="A62" s="8">
        <v>30</v>
      </c>
      <c r="B62" s="8">
        <v>60</v>
      </c>
      <c r="D62">
        <v>1440.4842468710001</v>
      </c>
      <c r="E62">
        <v>478.01122140698999</v>
      </c>
      <c r="F62">
        <v>140.77022375215</v>
      </c>
      <c r="G62">
        <v>118.64199655765999</v>
      </c>
      <c r="I62" s="9">
        <f t="shared" si="1"/>
        <v>359.36922484933001</v>
      </c>
      <c r="J62" s="9">
        <f t="shared" si="2"/>
        <v>1299.71402311885</v>
      </c>
      <c r="K62" s="9">
        <f t="shared" si="3"/>
        <v>359.36922484933001</v>
      </c>
      <c r="L62" s="10">
        <f t="shared" si="0"/>
        <v>0.27649869006335104</v>
      </c>
      <c r="M62" s="10">
        <f t="shared" si="4"/>
        <v>0.27917241566695716</v>
      </c>
      <c r="P62" s="8">
        <f t="shared" si="5"/>
        <v>-2.5104146360384045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1449.8428324698</v>
      </c>
      <c r="E63">
        <v>476.87176165802998</v>
      </c>
      <c r="F63">
        <v>141.56454388985</v>
      </c>
      <c r="G63">
        <v>118.44621342513</v>
      </c>
      <c r="I63" s="9">
        <f t="shared" si="1"/>
        <v>358.42554823289998</v>
      </c>
      <c r="J63" s="9">
        <f t="shared" si="2"/>
        <v>1308.27828857995</v>
      </c>
      <c r="K63" s="9">
        <f t="shared" si="3"/>
        <v>358.42554823289998</v>
      </c>
      <c r="L63" s="10">
        <f t="shared" si="0"/>
        <v>0.27396735951488377</v>
      </c>
      <c r="M63" s="10">
        <f t="shared" si="4"/>
        <v>0.27668564721188332</v>
      </c>
      <c r="P63" s="8">
        <f t="shared" si="5"/>
        <v>-3.378817142790874</v>
      </c>
    </row>
    <row r="64" spans="1:25" x14ac:dyDescent="0.2">
      <c r="A64" s="8">
        <v>31</v>
      </c>
      <c r="B64" s="8">
        <v>62</v>
      </c>
      <c r="D64">
        <v>1417.2692804825999</v>
      </c>
      <c r="E64">
        <v>465.66996984059</v>
      </c>
      <c r="F64">
        <v>141.42598967297999</v>
      </c>
      <c r="G64">
        <v>118.60456110155</v>
      </c>
      <c r="I64" s="9">
        <f t="shared" si="1"/>
        <v>347.06540873903998</v>
      </c>
      <c r="J64" s="9">
        <f t="shared" si="2"/>
        <v>1275.8432908096199</v>
      </c>
      <c r="K64" s="9">
        <f t="shared" si="3"/>
        <v>347.06540873903998</v>
      </c>
      <c r="L64" s="10">
        <f t="shared" si="0"/>
        <v>0.27202824299746131</v>
      </c>
      <c r="M64" s="10">
        <f t="shared" si="4"/>
        <v>0.2747910927878543</v>
      </c>
      <c r="P64" s="8">
        <f t="shared" si="5"/>
        <v>-4.0404130415360733</v>
      </c>
      <c r="U64" s="8">
        <v>30.5</v>
      </c>
      <c r="V64" s="10">
        <f>L62</f>
        <v>0.27649869006335104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1362.4818809318001</v>
      </c>
      <c r="E65">
        <v>456.56557377049</v>
      </c>
      <c r="F65">
        <v>141.27839931152999</v>
      </c>
      <c r="G65">
        <v>118.69578313253</v>
      </c>
      <c r="I65" s="9">
        <f t="shared" si="1"/>
        <v>337.86979063796002</v>
      </c>
      <c r="J65" s="9">
        <f t="shared" si="2"/>
        <v>1221.2034816202702</v>
      </c>
      <c r="K65" s="9">
        <f t="shared" si="3"/>
        <v>337.86979063796002</v>
      </c>
      <c r="L65" s="10">
        <f t="shared" si="0"/>
        <v>0.27666952782486393</v>
      </c>
      <c r="M65" s="10">
        <f t="shared" si="4"/>
        <v>0.27947693970865034</v>
      </c>
      <c r="P65" s="8">
        <f t="shared" si="5"/>
        <v>-2.4040720287750772</v>
      </c>
      <c r="U65" s="8">
        <v>31</v>
      </c>
      <c r="V65" s="10">
        <f t="shared" ref="V65:V83" si="6">L63</f>
        <v>0.27396735951488377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1402.6128614587999</v>
      </c>
      <c r="E66">
        <v>473.00863185153003</v>
      </c>
      <c r="F66">
        <v>141.30335628226999</v>
      </c>
      <c r="G66">
        <v>118.5834767642</v>
      </c>
      <c r="I66" s="9">
        <f t="shared" si="1"/>
        <v>354.42515508733004</v>
      </c>
      <c r="J66" s="9">
        <f t="shared" si="2"/>
        <v>1261.3095051765299</v>
      </c>
      <c r="K66" s="9">
        <f t="shared" si="3"/>
        <v>354.42515508733004</v>
      </c>
      <c r="L66" s="10">
        <f t="shared" ref="L66:L129" si="7">K66/J66</f>
        <v>0.2809977675049119</v>
      </c>
      <c r="M66" s="10">
        <f t="shared" si="4"/>
        <v>0.28384974148209174</v>
      </c>
      <c r="P66" s="8">
        <f t="shared" si="5"/>
        <v>-0.87704927205629613</v>
      </c>
      <c r="U66" s="8">
        <v>31.5</v>
      </c>
      <c r="V66" s="10">
        <f t="shared" si="6"/>
        <v>0.27202824299746131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1409.4441087613</v>
      </c>
      <c r="E67">
        <v>474.60466119982999</v>
      </c>
      <c r="F67">
        <v>141.74784853700999</v>
      </c>
      <c r="G67">
        <v>118.47504302925999</v>
      </c>
      <c r="I67" s="9">
        <f t="shared" ref="I67:I130" si="8">E67-G67</f>
        <v>356.12961817056998</v>
      </c>
      <c r="J67" s="9">
        <f t="shared" ref="J67:J130" si="9">D67-F67</f>
        <v>1267.69626022429</v>
      </c>
      <c r="K67" s="9">
        <f t="shared" ref="K67:K130" si="10">I67*1</f>
        <v>356.12961817056998</v>
      </c>
      <c r="L67" s="10">
        <f t="shared" si="7"/>
        <v>0.2809266141619452</v>
      </c>
      <c r="M67" s="10">
        <f t="shared" ref="M67:M130" si="11">L67+ABS($N$2)*A67</f>
        <v>0.28382315023251847</v>
      </c>
      <c r="P67" s="8">
        <f t="shared" ref="P67:P130" si="12">(M67-$O$2)/$O$2*100</f>
        <v>-0.88633518194468719</v>
      </c>
      <c r="U67" s="8">
        <v>32</v>
      </c>
      <c r="V67" s="10">
        <f t="shared" si="6"/>
        <v>0.27666952782486393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1415.3223996546999</v>
      </c>
      <c r="E68">
        <v>480.68493741907997</v>
      </c>
      <c r="F68">
        <v>141.79862306368</v>
      </c>
      <c r="G68">
        <v>118.65662650602</v>
      </c>
      <c r="I68" s="9">
        <f t="shared" si="8"/>
        <v>362.02831091305995</v>
      </c>
      <c r="J68" s="9">
        <f t="shared" si="9"/>
        <v>1273.5237765910199</v>
      </c>
      <c r="K68" s="9">
        <f t="shared" si="10"/>
        <v>362.02831091305995</v>
      </c>
      <c r="L68" s="10">
        <f t="shared" si="7"/>
        <v>0.28427291077528261</v>
      </c>
      <c r="M68" s="10">
        <f t="shared" si="11"/>
        <v>0.28721400893924931</v>
      </c>
      <c r="P68" s="8">
        <f t="shared" si="12"/>
        <v>0.29778398884520474</v>
      </c>
      <c r="U68" s="8">
        <v>32.5</v>
      </c>
      <c r="V68" s="10">
        <f t="shared" si="6"/>
        <v>0.2809977675049119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1450.1444588185</v>
      </c>
      <c r="E69">
        <v>488.99094437257003</v>
      </c>
      <c r="F69">
        <v>141.88597246127</v>
      </c>
      <c r="G69">
        <v>118.7930292599</v>
      </c>
      <c r="I69" s="9">
        <f t="shared" si="8"/>
        <v>370.19791511267005</v>
      </c>
      <c r="J69" s="9">
        <f t="shared" si="9"/>
        <v>1308.2584863572299</v>
      </c>
      <c r="K69" s="9">
        <f t="shared" si="10"/>
        <v>370.19791511267005</v>
      </c>
      <c r="L69" s="10">
        <f t="shared" si="7"/>
        <v>0.28297000858252769</v>
      </c>
      <c r="M69" s="10">
        <f t="shared" si="11"/>
        <v>0.28595566883988782</v>
      </c>
      <c r="P69" s="8">
        <f t="shared" si="12"/>
        <v>-0.14163999307120603</v>
      </c>
      <c r="U69" s="8">
        <v>33</v>
      </c>
      <c r="V69" s="10">
        <f t="shared" si="6"/>
        <v>0.2809266141619452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1485.2518326864999</v>
      </c>
      <c r="E70">
        <v>500.14359637774999</v>
      </c>
      <c r="F70">
        <v>142.11101549053001</v>
      </c>
      <c r="G70">
        <v>118.57960413081</v>
      </c>
      <c r="I70" s="9">
        <f t="shared" si="8"/>
        <v>381.56399224693996</v>
      </c>
      <c r="J70" s="9">
        <f t="shared" si="9"/>
        <v>1343.1408171959699</v>
      </c>
      <c r="K70" s="9">
        <f t="shared" si="10"/>
        <v>381.56399224693996</v>
      </c>
      <c r="L70" s="10">
        <f t="shared" si="7"/>
        <v>0.2840833867617234</v>
      </c>
      <c r="M70" s="10">
        <f t="shared" si="11"/>
        <v>0.28711360911247696</v>
      </c>
      <c r="P70" s="8">
        <f t="shared" si="12"/>
        <v>0.26272344226768668</v>
      </c>
      <c r="U70" s="8">
        <v>33.5</v>
      </c>
      <c r="V70" s="10">
        <f t="shared" si="6"/>
        <v>0.28427291077528261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1443.1394044021999</v>
      </c>
      <c r="E71">
        <v>489.05222270177001</v>
      </c>
      <c r="F71">
        <v>141.77237521514999</v>
      </c>
      <c r="G71">
        <v>118.44793459553</v>
      </c>
      <c r="I71" s="9">
        <f t="shared" si="8"/>
        <v>370.60428810624001</v>
      </c>
      <c r="J71" s="9">
        <f t="shared" si="9"/>
        <v>1301.3670291870499</v>
      </c>
      <c r="K71" s="9">
        <f t="shared" si="10"/>
        <v>370.60428810624001</v>
      </c>
      <c r="L71" s="10">
        <f t="shared" si="7"/>
        <v>0.2847807573069932</v>
      </c>
      <c r="M71" s="10">
        <f t="shared" si="11"/>
        <v>0.28785554175114025</v>
      </c>
      <c r="P71" s="8">
        <f t="shared" si="12"/>
        <v>0.52181317052207843</v>
      </c>
      <c r="U71" s="8">
        <v>34</v>
      </c>
      <c r="V71" s="10">
        <f t="shared" si="6"/>
        <v>0.28297000858252769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1482.2209753991999</v>
      </c>
      <c r="E72">
        <v>496.94000863184999</v>
      </c>
      <c r="F72">
        <v>142.22375215145999</v>
      </c>
      <c r="G72">
        <v>118.48364888124</v>
      </c>
      <c r="I72" s="9">
        <f t="shared" si="8"/>
        <v>378.45635975060998</v>
      </c>
      <c r="J72" s="9">
        <f t="shared" si="9"/>
        <v>1339.9972232477398</v>
      </c>
      <c r="K72" s="9">
        <f t="shared" si="10"/>
        <v>378.45635975060998</v>
      </c>
      <c r="L72" s="10">
        <f t="shared" si="7"/>
        <v>0.28243070447067681</v>
      </c>
      <c r="M72" s="10">
        <f t="shared" si="11"/>
        <v>0.28555005100821729</v>
      </c>
      <c r="P72" s="8">
        <f t="shared" si="12"/>
        <v>-0.28328548527113612</v>
      </c>
      <c r="U72" s="8">
        <v>34.5</v>
      </c>
      <c r="V72" s="10">
        <f t="shared" si="6"/>
        <v>0.2840833867617234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1471.9547608789001</v>
      </c>
      <c r="E73">
        <v>491.29426971133</v>
      </c>
      <c r="F73">
        <v>142.27925989673</v>
      </c>
      <c r="G73">
        <v>118.60671256454</v>
      </c>
      <c r="I73" s="9">
        <f t="shared" si="8"/>
        <v>372.68755714679003</v>
      </c>
      <c r="J73" s="9">
        <f t="shared" si="9"/>
        <v>1329.67550098217</v>
      </c>
      <c r="K73" s="9">
        <f t="shared" si="10"/>
        <v>372.68755714679003</v>
      </c>
      <c r="L73" s="10">
        <f t="shared" si="7"/>
        <v>0.28028459340004602</v>
      </c>
      <c r="M73" s="10">
        <f t="shared" si="11"/>
        <v>0.28344850203097993</v>
      </c>
      <c r="P73" s="8">
        <f t="shared" si="12"/>
        <v>-1.017165793336174</v>
      </c>
      <c r="U73" s="8">
        <v>35</v>
      </c>
      <c r="V73" s="10">
        <f t="shared" si="6"/>
        <v>0.2847807573069932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1474.3321873657001</v>
      </c>
      <c r="E74">
        <v>491.14224323163</v>
      </c>
      <c r="F74">
        <v>141.72676419966001</v>
      </c>
      <c r="G74">
        <v>118.54905335628</v>
      </c>
      <c r="I74" s="9">
        <f t="shared" si="8"/>
        <v>372.59318987534999</v>
      </c>
      <c r="J74" s="9">
        <f t="shared" si="9"/>
        <v>1332.6054231660401</v>
      </c>
      <c r="K74" s="9">
        <f t="shared" si="10"/>
        <v>372.59318987534999</v>
      </c>
      <c r="L74" s="10">
        <f t="shared" si="7"/>
        <v>0.27959753382222696</v>
      </c>
      <c r="M74" s="10">
        <f t="shared" si="11"/>
        <v>0.2828060045465543</v>
      </c>
      <c r="P74" s="8">
        <f t="shared" si="12"/>
        <v>-1.2415318475697219</v>
      </c>
      <c r="U74" s="8">
        <v>35.5</v>
      </c>
      <c r="V74" s="10">
        <f t="shared" si="6"/>
        <v>0.28243070447067681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1459.0459819509999</v>
      </c>
      <c r="E75">
        <v>485.87451654491002</v>
      </c>
      <c r="F75">
        <v>142.22461273665999</v>
      </c>
      <c r="G75">
        <v>118.86876075732</v>
      </c>
      <c r="I75" s="9">
        <f t="shared" si="8"/>
        <v>367.00575578759003</v>
      </c>
      <c r="J75" s="9">
        <f t="shared" si="9"/>
        <v>1316.8213692143399</v>
      </c>
      <c r="K75" s="9">
        <f t="shared" si="10"/>
        <v>367.00575578759003</v>
      </c>
      <c r="L75" s="10">
        <f t="shared" si="7"/>
        <v>0.27870580199238265</v>
      </c>
      <c r="M75" s="10">
        <f t="shared" si="11"/>
        <v>0.28195883481010342</v>
      </c>
      <c r="P75" s="8">
        <f t="shared" si="12"/>
        <v>-1.5373713421063893</v>
      </c>
      <c r="U75" s="8">
        <v>36</v>
      </c>
      <c r="V75" s="10">
        <f t="shared" si="6"/>
        <v>0.28028459340004602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1392.7504295532999</v>
      </c>
      <c r="E76">
        <v>470.76932989690999</v>
      </c>
      <c r="F76">
        <v>141.84982788296</v>
      </c>
      <c r="G76">
        <v>118.69492254732999</v>
      </c>
      <c r="I76" s="9">
        <f t="shared" si="8"/>
        <v>352.07440734957999</v>
      </c>
      <c r="J76" s="9">
        <f t="shared" si="9"/>
        <v>1250.9006016703399</v>
      </c>
      <c r="K76" s="9">
        <f t="shared" si="10"/>
        <v>352.07440734957999</v>
      </c>
      <c r="L76" s="10">
        <f t="shared" si="7"/>
        <v>0.28145674155040901</v>
      </c>
      <c r="M76" s="10">
        <f t="shared" si="11"/>
        <v>0.28475433646152321</v>
      </c>
      <c r="P76" s="8">
        <f t="shared" si="12"/>
        <v>-0.56115635241949213</v>
      </c>
      <c r="U76" s="8">
        <v>36.5</v>
      </c>
      <c r="V76" s="10">
        <f t="shared" si="6"/>
        <v>0.27959753382222696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1309.5154639175</v>
      </c>
      <c r="E77">
        <v>453.09106529209998</v>
      </c>
      <c r="F77">
        <v>142.01376936317001</v>
      </c>
      <c r="G77">
        <v>118.82444061962001</v>
      </c>
      <c r="I77" s="9">
        <f t="shared" si="8"/>
        <v>334.26662467247996</v>
      </c>
      <c r="J77" s="9">
        <f t="shared" si="9"/>
        <v>1167.50169455433</v>
      </c>
      <c r="K77" s="9">
        <f t="shared" si="10"/>
        <v>334.26662467247996</v>
      </c>
      <c r="L77" s="10">
        <f t="shared" si="7"/>
        <v>0.28630932719980284</v>
      </c>
      <c r="M77" s="10">
        <f t="shared" si="11"/>
        <v>0.28965148420431047</v>
      </c>
      <c r="P77" s="8">
        <f t="shared" si="12"/>
        <v>1.1489728584834122</v>
      </c>
      <c r="U77" s="8">
        <v>37</v>
      </c>
      <c r="V77" s="10">
        <f t="shared" si="6"/>
        <v>0.27870580199238265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1353.1885738832</v>
      </c>
      <c r="E78">
        <v>467.75214776631998</v>
      </c>
      <c r="F78">
        <v>142.00258175559</v>
      </c>
      <c r="G78">
        <v>118.79130808950001</v>
      </c>
      <c r="I78" s="9">
        <f t="shared" si="8"/>
        <v>348.96083967682</v>
      </c>
      <c r="J78" s="9">
        <f t="shared" si="9"/>
        <v>1211.18599212761</v>
      </c>
      <c r="K78" s="9">
        <f t="shared" si="10"/>
        <v>348.96083967682</v>
      </c>
      <c r="L78" s="10">
        <f t="shared" si="7"/>
        <v>0.28811498972492544</v>
      </c>
      <c r="M78" s="10">
        <f t="shared" si="11"/>
        <v>0.2915017088228265</v>
      </c>
      <c r="P78" s="8">
        <f t="shared" si="12"/>
        <v>1.7950883798123738</v>
      </c>
      <c r="U78" s="8">
        <v>37.5</v>
      </c>
      <c r="V78" s="10">
        <f t="shared" si="6"/>
        <v>0.28145674155040901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1389.7573656846</v>
      </c>
      <c r="E79">
        <v>489.39818024263002</v>
      </c>
      <c r="F79">
        <v>142.28743545610999</v>
      </c>
      <c r="G79">
        <v>119.02667814114</v>
      </c>
      <c r="I79" s="9">
        <f t="shared" si="8"/>
        <v>370.37150210149002</v>
      </c>
      <c r="J79" s="9">
        <f t="shared" si="9"/>
        <v>1247.4699302284901</v>
      </c>
      <c r="K79" s="9">
        <f t="shared" si="10"/>
        <v>370.37150210149002</v>
      </c>
      <c r="L79" s="10">
        <f t="shared" si="7"/>
        <v>0.29689814008875687</v>
      </c>
      <c r="M79" s="10">
        <f t="shared" si="11"/>
        <v>0.30032942128005136</v>
      </c>
      <c r="P79" s="8">
        <f t="shared" si="12"/>
        <v>4.8778070829159326</v>
      </c>
      <c r="U79" s="8">
        <v>38</v>
      </c>
      <c r="V79" s="10">
        <f t="shared" si="6"/>
        <v>0.28630932719980284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1375.1494800692999</v>
      </c>
      <c r="E80">
        <v>483.25389948007</v>
      </c>
      <c r="F80">
        <v>142.17986230637001</v>
      </c>
      <c r="G80">
        <v>118.65877796901999</v>
      </c>
      <c r="I80" s="9">
        <f t="shared" si="8"/>
        <v>364.59512151105002</v>
      </c>
      <c r="J80" s="9">
        <f t="shared" si="9"/>
        <v>1232.9696177629298</v>
      </c>
      <c r="K80" s="9">
        <f t="shared" si="10"/>
        <v>364.59512151105002</v>
      </c>
      <c r="L80" s="10">
        <f t="shared" si="7"/>
        <v>0.29570487079200097</v>
      </c>
      <c r="M80" s="10">
        <f t="shared" si="11"/>
        <v>0.29918071407668889</v>
      </c>
      <c r="P80" s="8">
        <f t="shared" si="12"/>
        <v>4.4766679206070057</v>
      </c>
      <c r="U80" s="8">
        <v>38.5</v>
      </c>
      <c r="V80" s="10">
        <f t="shared" si="6"/>
        <v>0.28811498972492544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1361.9163778162999</v>
      </c>
      <c r="E81">
        <v>483.00996533796001</v>
      </c>
      <c r="F81">
        <v>142.11402753873</v>
      </c>
      <c r="G81">
        <v>118.7938898451</v>
      </c>
      <c r="I81" s="9">
        <f t="shared" si="8"/>
        <v>364.21607549286</v>
      </c>
      <c r="J81" s="9">
        <f t="shared" si="9"/>
        <v>1219.80235027757</v>
      </c>
      <c r="K81" s="9">
        <f t="shared" si="10"/>
        <v>364.21607549286</v>
      </c>
      <c r="L81" s="10">
        <f t="shared" si="7"/>
        <v>0.29858614013162171</v>
      </c>
      <c r="M81" s="10">
        <f t="shared" si="11"/>
        <v>0.30210654550970312</v>
      </c>
      <c r="P81" s="8">
        <f t="shared" si="12"/>
        <v>5.4983952734615285</v>
      </c>
      <c r="U81" s="8">
        <v>39</v>
      </c>
      <c r="V81" s="10">
        <f t="shared" si="6"/>
        <v>0.29689814008875687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1397.5823223570001</v>
      </c>
      <c r="E82">
        <v>493.59965337954998</v>
      </c>
      <c r="F82">
        <v>141.75387263338999</v>
      </c>
      <c r="G82">
        <v>118.75860585197999</v>
      </c>
      <c r="H82" s="13"/>
      <c r="I82" s="14">
        <f t="shared" si="8"/>
        <v>374.84104752756997</v>
      </c>
      <c r="J82" s="14">
        <f t="shared" si="9"/>
        <v>1255.82844972361</v>
      </c>
      <c r="K82" s="9">
        <f t="shared" si="10"/>
        <v>374.84104752756997</v>
      </c>
      <c r="L82" s="15">
        <f t="shared" si="7"/>
        <v>0.29848109238970272</v>
      </c>
      <c r="M82" s="15">
        <f t="shared" si="11"/>
        <v>0.30204605986117755</v>
      </c>
      <c r="N82" s="13"/>
      <c r="O82" s="13"/>
      <c r="P82" s="13">
        <f t="shared" si="12"/>
        <v>5.4772731264860104</v>
      </c>
      <c r="U82" s="8">
        <v>39.5</v>
      </c>
      <c r="V82" s="10">
        <f t="shared" si="6"/>
        <v>0.29570487079200097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1455.3334773218</v>
      </c>
      <c r="E83">
        <v>515.38574514038999</v>
      </c>
      <c r="F83">
        <v>142.31024096386</v>
      </c>
      <c r="G83">
        <v>119.21557659208</v>
      </c>
      <c r="I83" s="9">
        <f t="shared" si="8"/>
        <v>396.17016854831002</v>
      </c>
      <c r="J83" s="9">
        <f t="shared" si="9"/>
        <v>1313.02323635794</v>
      </c>
      <c r="K83" s="9">
        <f t="shared" si="10"/>
        <v>396.17016854831002</v>
      </c>
      <c r="L83" s="10">
        <f t="shared" si="7"/>
        <v>0.30172365391430972</v>
      </c>
      <c r="M83" s="10">
        <f t="shared" si="11"/>
        <v>0.30533318347917798</v>
      </c>
      <c r="P83" s="8">
        <f t="shared" si="12"/>
        <v>6.6251670464255978</v>
      </c>
      <c r="U83" s="8">
        <v>40</v>
      </c>
      <c r="V83" s="10">
        <f t="shared" si="6"/>
        <v>0.29858614013162171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1448.3487667676</v>
      </c>
      <c r="E84">
        <v>509.91042838598003</v>
      </c>
      <c r="F84">
        <v>142.44965576592</v>
      </c>
      <c r="G84">
        <v>118.72934595525</v>
      </c>
      <c r="I84" s="9">
        <f t="shared" si="8"/>
        <v>391.18108243073004</v>
      </c>
      <c r="J84" s="9">
        <f t="shared" si="9"/>
        <v>1305.89911100168</v>
      </c>
      <c r="K84" s="9">
        <f t="shared" si="10"/>
        <v>391.18108243073004</v>
      </c>
      <c r="L84" s="10">
        <f t="shared" si="7"/>
        <v>0.29954923710046605</v>
      </c>
      <c r="M84" s="10">
        <f t="shared" si="11"/>
        <v>0.30320332875872774</v>
      </c>
      <c r="P84" s="8">
        <f t="shared" si="12"/>
        <v>5.8814021114619806</v>
      </c>
      <c r="U84" s="8">
        <v>150.5</v>
      </c>
      <c r="V84" s="10">
        <f>L302</f>
        <v>0.29628616781943229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1475.5263157894999</v>
      </c>
      <c r="E85">
        <v>511.23425366695</v>
      </c>
      <c r="F85">
        <v>142.27237521514999</v>
      </c>
      <c r="G85">
        <v>118.62048192771</v>
      </c>
      <c r="I85" s="9">
        <f t="shared" si="8"/>
        <v>392.61377173924001</v>
      </c>
      <c r="J85" s="9">
        <f t="shared" si="9"/>
        <v>1333.2539405743498</v>
      </c>
      <c r="K85" s="9">
        <f t="shared" si="10"/>
        <v>392.61377173924001</v>
      </c>
      <c r="L85" s="10">
        <f t="shared" si="7"/>
        <v>0.29447786336195392</v>
      </c>
      <c r="M85" s="10">
        <f t="shared" si="11"/>
        <v>0.29817651711360904</v>
      </c>
      <c r="P85" s="8">
        <f t="shared" si="12"/>
        <v>4.1259930685786674</v>
      </c>
      <c r="U85" s="8">
        <v>151</v>
      </c>
      <c r="V85" s="10">
        <f t="shared" ref="V85:V103" si="13">L303</f>
        <v>0.29252262746547886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1512.7502157032</v>
      </c>
      <c r="E86">
        <v>524.65487489215002</v>
      </c>
      <c r="F86">
        <v>142.00602409639001</v>
      </c>
      <c r="G86">
        <v>118.91092943200999</v>
      </c>
      <c r="I86" s="9">
        <f t="shared" si="8"/>
        <v>405.74394546014003</v>
      </c>
      <c r="J86" s="9">
        <f t="shared" si="9"/>
        <v>1370.7441916068099</v>
      </c>
      <c r="K86" s="9">
        <f t="shared" si="10"/>
        <v>405.74394546014003</v>
      </c>
      <c r="L86" s="10">
        <f t="shared" si="7"/>
        <v>0.29600267354371934</v>
      </c>
      <c r="M86" s="10">
        <f t="shared" si="11"/>
        <v>0.29974588938876789</v>
      </c>
      <c r="P86" s="8">
        <f t="shared" si="12"/>
        <v>4.674032358282183</v>
      </c>
      <c r="U86" s="8">
        <v>151.5</v>
      </c>
      <c r="V86" s="10">
        <f t="shared" si="13"/>
        <v>0.29655816233473703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1449.9433476395</v>
      </c>
      <c r="E87">
        <v>503.60987124463998</v>
      </c>
      <c r="F87">
        <v>142.34724612737</v>
      </c>
      <c r="G87">
        <v>119.13511187608</v>
      </c>
      <c r="I87" s="9">
        <f t="shared" si="8"/>
        <v>384.47475936855994</v>
      </c>
      <c r="J87" s="9">
        <f t="shared" si="9"/>
        <v>1307.59610151213</v>
      </c>
      <c r="K87" s="9">
        <f t="shared" si="10"/>
        <v>384.47475936855994</v>
      </c>
      <c r="L87" s="10">
        <f t="shared" si="7"/>
        <v>0.29403174185357828</v>
      </c>
      <c r="M87" s="10">
        <f t="shared" si="11"/>
        <v>0.29781951979202026</v>
      </c>
      <c r="P87" s="8">
        <f t="shared" si="12"/>
        <v>4.0013263074497507</v>
      </c>
      <c r="U87" s="8">
        <v>152</v>
      </c>
      <c r="V87" s="10">
        <f t="shared" si="13"/>
        <v>0.29533463554421419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1345.5647109577001</v>
      </c>
      <c r="E88">
        <v>473.49525452977002</v>
      </c>
      <c r="F88">
        <v>141.64199655766001</v>
      </c>
      <c r="G88">
        <v>119.12220309811001</v>
      </c>
      <c r="I88" s="9">
        <f t="shared" si="8"/>
        <v>354.37305143166003</v>
      </c>
      <c r="J88" s="9">
        <f t="shared" si="9"/>
        <v>1203.9227144000401</v>
      </c>
      <c r="K88" s="9">
        <f t="shared" si="10"/>
        <v>354.37305143166003</v>
      </c>
      <c r="L88" s="10">
        <f t="shared" si="7"/>
        <v>0.29434867138316051</v>
      </c>
      <c r="M88" s="10">
        <f t="shared" si="11"/>
        <v>0.29818101141499592</v>
      </c>
      <c r="P88" s="8">
        <f t="shared" si="12"/>
        <v>4.1275625201222983</v>
      </c>
      <c r="U88" s="8">
        <v>152.5</v>
      </c>
      <c r="V88" s="10">
        <f t="shared" si="13"/>
        <v>0.29463195110550117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1465.7584124245</v>
      </c>
      <c r="E89">
        <v>504.19628990509</v>
      </c>
      <c r="F89">
        <v>142.55507745266999</v>
      </c>
      <c r="G89">
        <v>119.08046471601</v>
      </c>
      <c r="I89" s="9">
        <f t="shared" si="8"/>
        <v>385.11582518908</v>
      </c>
      <c r="J89" s="9">
        <f t="shared" si="9"/>
        <v>1323.2033349718299</v>
      </c>
      <c r="K89" s="9">
        <f t="shared" si="10"/>
        <v>385.11582518908</v>
      </c>
      <c r="L89" s="10">
        <f t="shared" si="7"/>
        <v>0.29104810652346103</v>
      </c>
      <c r="M89" s="10">
        <f t="shared" si="11"/>
        <v>0.29492500864868987</v>
      </c>
      <c r="P89" s="8">
        <f t="shared" si="12"/>
        <v>2.9905362889570832</v>
      </c>
      <c r="U89" s="8">
        <v>153</v>
      </c>
      <c r="V89" s="10">
        <f t="shared" si="13"/>
        <v>0.29021854139483383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1368.9089732528</v>
      </c>
      <c r="E90">
        <v>475.59879206212003</v>
      </c>
      <c r="F90">
        <v>142.08261617900001</v>
      </c>
      <c r="G90">
        <v>118.82401032702001</v>
      </c>
      <c r="I90" s="9">
        <f t="shared" si="8"/>
        <v>356.77478173510002</v>
      </c>
      <c r="J90" s="9">
        <f t="shared" si="9"/>
        <v>1226.8263570738</v>
      </c>
      <c r="K90" s="9">
        <f t="shared" si="10"/>
        <v>356.77478173510002</v>
      </c>
      <c r="L90" s="10">
        <f t="shared" si="7"/>
        <v>0.29081114835686417</v>
      </c>
      <c r="M90" s="10">
        <f t="shared" si="11"/>
        <v>0.29473261257548644</v>
      </c>
      <c r="P90" s="8">
        <f t="shared" si="12"/>
        <v>2.9233498036539207</v>
      </c>
      <c r="U90" s="8">
        <v>153.5</v>
      </c>
      <c r="V90" s="10">
        <f t="shared" si="13"/>
        <v>0.29133117027055694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1423.6777251184999</v>
      </c>
      <c r="E91">
        <v>487.66436880654999</v>
      </c>
      <c r="F91">
        <v>142.24784853700999</v>
      </c>
      <c r="G91">
        <v>118.82444061962001</v>
      </c>
      <c r="I91" s="9">
        <f t="shared" si="8"/>
        <v>368.83992818692997</v>
      </c>
      <c r="J91" s="9">
        <f t="shared" si="9"/>
        <v>1281.4298765814899</v>
      </c>
      <c r="K91" s="9">
        <f t="shared" si="10"/>
        <v>368.83992818692997</v>
      </c>
      <c r="L91" s="10">
        <f t="shared" si="7"/>
        <v>0.28783465636909888</v>
      </c>
      <c r="M91" s="10">
        <f t="shared" si="11"/>
        <v>0.29180068268111459</v>
      </c>
      <c r="P91" s="8">
        <f t="shared" si="12"/>
        <v>1.8994928117815428</v>
      </c>
      <c r="U91" s="8">
        <v>154</v>
      </c>
      <c r="V91" s="10">
        <f t="shared" si="13"/>
        <v>0.29562833654108356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1357.3675140026</v>
      </c>
      <c r="E92">
        <v>462.46143903490002</v>
      </c>
      <c r="F92">
        <v>142.59767641997001</v>
      </c>
      <c r="G92">
        <v>118.9991394148</v>
      </c>
      <c r="I92" s="9">
        <f t="shared" si="8"/>
        <v>343.4622996201</v>
      </c>
      <c r="J92" s="9">
        <f t="shared" si="9"/>
        <v>1214.7698375826301</v>
      </c>
      <c r="K92" s="9">
        <f t="shared" si="10"/>
        <v>343.4622996201</v>
      </c>
      <c r="L92" s="10">
        <f t="shared" si="7"/>
        <v>0.2827385805887177</v>
      </c>
      <c r="M92" s="10">
        <f t="shared" si="11"/>
        <v>0.28674916899412689</v>
      </c>
      <c r="P92" s="8">
        <f t="shared" si="12"/>
        <v>0.13545758778467526</v>
      </c>
      <c r="U92" s="8">
        <v>154.5</v>
      </c>
      <c r="V92" s="10">
        <f t="shared" si="13"/>
        <v>0.30114478335529676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1417.3580353295999</v>
      </c>
      <c r="E93">
        <v>479.76691081429999</v>
      </c>
      <c r="F93">
        <v>142.25731497417999</v>
      </c>
      <c r="G93">
        <v>119.13941480206999</v>
      </c>
      <c r="I93" s="9">
        <f t="shared" si="8"/>
        <v>360.62749601222998</v>
      </c>
      <c r="J93" s="9">
        <f t="shared" si="9"/>
        <v>1275.10072035542</v>
      </c>
      <c r="K93" s="9">
        <f t="shared" si="10"/>
        <v>360.62749601222998</v>
      </c>
      <c r="L93" s="10">
        <f t="shared" si="7"/>
        <v>0.28282275294433928</v>
      </c>
      <c r="M93" s="10">
        <f t="shared" si="11"/>
        <v>0.2868779034431419</v>
      </c>
      <c r="P93" s="8">
        <f t="shared" si="12"/>
        <v>0.18041284608463393</v>
      </c>
      <c r="U93" s="8">
        <v>155</v>
      </c>
      <c r="V93" s="10">
        <f t="shared" si="13"/>
        <v>0.30089348492771412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1399.4691943128</v>
      </c>
      <c r="E94">
        <v>471.54545454546002</v>
      </c>
      <c r="F94">
        <v>142.40920826161999</v>
      </c>
      <c r="G94">
        <v>119.2495697074</v>
      </c>
      <c r="I94" s="9">
        <f t="shared" si="8"/>
        <v>352.29588483806003</v>
      </c>
      <c r="J94" s="9">
        <f t="shared" si="9"/>
        <v>1257.05998605118</v>
      </c>
      <c r="K94" s="9">
        <f t="shared" si="10"/>
        <v>352.29588483806003</v>
      </c>
      <c r="L94" s="10">
        <f t="shared" si="7"/>
        <v>0.2802538373246069</v>
      </c>
      <c r="M94" s="10">
        <f t="shared" si="11"/>
        <v>0.28435354991680295</v>
      </c>
      <c r="P94" s="8">
        <f t="shared" si="12"/>
        <v>-0.70111471460540631</v>
      </c>
      <c r="U94" s="8">
        <v>155.5</v>
      </c>
      <c r="V94" s="10">
        <f t="shared" si="13"/>
        <v>0.299050762479321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1454.5371009491</v>
      </c>
      <c r="E95">
        <v>493.06988783434002</v>
      </c>
      <c r="F95">
        <v>142.64586919105</v>
      </c>
      <c r="G95">
        <v>119.13080895009</v>
      </c>
      <c r="I95" s="9">
        <f t="shared" si="8"/>
        <v>373.93907888425002</v>
      </c>
      <c r="J95" s="9">
        <f t="shared" si="9"/>
        <v>1311.89123175805</v>
      </c>
      <c r="K95" s="9">
        <f t="shared" si="10"/>
        <v>373.93907888425002</v>
      </c>
      <c r="L95" s="10">
        <f t="shared" si="7"/>
        <v>0.28503817224476657</v>
      </c>
      <c r="M95" s="10">
        <f t="shared" si="11"/>
        <v>0.28918244693035605</v>
      </c>
      <c r="P95" s="8">
        <f t="shared" si="12"/>
        <v>0.98518071143759123</v>
      </c>
      <c r="U95" s="8">
        <v>156</v>
      </c>
      <c r="V95" s="10">
        <f t="shared" si="13"/>
        <v>0.29402763673415433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1481.2686825054</v>
      </c>
      <c r="E96">
        <v>510.06825053995999</v>
      </c>
      <c r="F96">
        <v>142.17469879518001</v>
      </c>
      <c r="G96">
        <v>119.12779690188999</v>
      </c>
      <c r="I96" s="9">
        <f t="shared" si="8"/>
        <v>390.94045363806998</v>
      </c>
      <c r="J96" s="9">
        <f t="shared" si="9"/>
        <v>1339.0939837102201</v>
      </c>
      <c r="K96" s="9">
        <f t="shared" si="10"/>
        <v>390.94045363806998</v>
      </c>
      <c r="L96" s="10">
        <f t="shared" si="7"/>
        <v>0.2919439997444343</v>
      </c>
      <c r="M96" s="10">
        <f t="shared" si="11"/>
        <v>0.29613283652341721</v>
      </c>
      <c r="P96" s="8">
        <f t="shared" si="12"/>
        <v>3.4123209356131334</v>
      </c>
      <c r="U96" s="8">
        <v>156.5</v>
      </c>
      <c r="V96" s="10">
        <f t="shared" si="13"/>
        <v>0.29750780562440426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1506.3364726027</v>
      </c>
      <c r="E97">
        <v>530.50642123288003</v>
      </c>
      <c r="F97">
        <v>142.25602409639001</v>
      </c>
      <c r="G97">
        <v>119.16437177281</v>
      </c>
      <c r="I97" s="9">
        <f t="shared" si="8"/>
        <v>411.34204946007003</v>
      </c>
      <c r="J97" s="9">
        <f t="shared" si="9"/>
        <v>1364.0804485063099</v>
      </c>
      <c r="K97" s="9">
        <f t="shared" si="10"/>
        <v>411.34204946007003</v>
      </c>
      <c r="L97" s="10">
        <f t="shared" si="7"/>
        <v>0.30155263196572912</v>
      </c>
      <c r="M97" s="10">
        <f t="shared" si="11"/>
        <v>0.30578603083810546</v>
      </c>
      <c r="P97" s="8">
        <f t="shared" si="12"/>
        <v>6.783305525650106</v>
      </c>
      <c r="U97" s="8">
        <v>157</v>
      </c>
      <c r="V97" s="10">
        <f t="shared" si="13"/>
        <v>0.29570351375793752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1533.3572656921999</v>
      </c>
      <c r="E98">
        <v>560.00558899398004</v>
      </c>
      <c r="F98">
        <v>142.57788296040999</v>
      </c>
      <c r="G98">
        <v>119.21772805508</v>
      </c>
      <c r="I98" s="9">
        <f t="shared" si="8"/>
        <v>440.78786093890005</v>
      </c>
      <c r="J98" s="9">
        <f t="shared" si="9"/>
        <v>1390.7793827317898</v>
      </c>
      <c r="K98" s="9">
        <f t="shared" si="10"/>
        <v>440.78786093890005</v>
      </c>
      <c r="L98" s="10">
        <f t="shared" si="7"/>
        <v>0.31693586086464548</v>
      </c>
      <c r="M98" s="10">
        <f t="shared" si="11"/>
        <v>0.32121382183041525</v>
      </c>
      <c r="P98" s="8">
        <f t="shared" si="12"/>
        <v>12.170832596793195</v>
      </c>
      <c r="U98" s="8">
        <v>157.5</v>
      </c>
      <c r="V98" s="10">
        <f t="shared" si="13"/>
        <v>0.29314063084474468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1546.3413585554999</v>
      </c>
      <c r="E99">
        <v>572.87188306104997</v>
      </c>
      <c r="F99">
        <v>142.52452667814001</v>
      </c>
      <c r="G99">
        <v>119.26678141136</v>
      </c>
      <c r="I99" s="9">
        <f t="shared" si="8"/>
        <v>453.60510164968997</v>
      </c>
      <c r="J99" s="9">
        <f t="shared" si="9"/>
        <v>1403.8168318773598</v>
      </c>
      <c r="K99" s="9">
        <f t="shared" si="10"/>
        <v>453.60510164968997</v>
      </c>
      <c r="L99" s="10">
        <f t="shared" si="7"/>
        <v>0.32312271184487251</v>
      </c>
      <c r="M99" s="10">
        <f t="shared" si="11"/>
        <v>0.32744523490403571</v>
      </c>
      <c r="P99" s="8">
        <f t="shared" si="12"/>
        <v>14.346899581518333</v>
      </c>
      <c r="U99" s="8">
        <v>158</v>
      </c>
      <c r="V99" s="10">
        <f t="shared" si="13"/>
        <v>0.2924610099863823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1547.0993121238</v>
      </c>
      <c r="E100">
        <v>588.40584694755</v>
      </c>
      <c r="F100">
        <v>142.84466437176999</v>
      </c>
      <c r="G100">
        <v>119.29173838209999</v>
      </c>
      <c r="I100" s="9">
        <f t="shared" si="8"/>
        <v>469.11410856545001</v>
      </c>
      <c r="J100" s="9">
        <f t="shared" si="9"/>
        <v>1404.25464775203</v>
      </c>
      <c r="K100" s="9">
        <f t="shared" si="10"/>
        <v>469.11410856545001</v>
      </c>
      <c r="L100" s="10">
        <f t="shared" si="7"/>
        <v>0.33406626733721051</v>
      </c>
      <c r="M100" s="10">
        <f t="shared" si="11"/>
        <v>0.33843335248976714</v>
      </c>
      <c r="P100" s="8">
        <f t="shared" si="12"/>
        <v>18.184051704174131</v>
      </c>
      <c r="U100" s="8">
        <v>158.5</v>
      </c>
      <c r="V100" s="10">
        <f t="shared" si="13"/>
        <v>0.28783491029663666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1551.7966393796</v>
      </c>
      <c r="E101">
        <v>596.26798793623004</v>
      </c>
      <c r="F101">
        <v>143.05593803786999</v>
      </c>
      <c r="G101">
        <v>119.26204819277</v>
      </c>
      <c r="I101" s="9">
        <f t="shared" si="8"/>
        <v>477.00593974346003</v>
      </c>
      <c r="J101" s="9">
        <f t="shared" si="9"/>
        <v>1408.7407013417301</v>
      </c>
      <c r="K101" s="9">
        <f t="shared" si="10"/>
        <v>477.00593974346003</v>
      </c>
      <c r="L101" s="10">
        <f t="shared" si="7"/>
        <v>0.33860449924471137</v>
      </c>
      <c r="M101" s="10">
        <f t="shared" si="11"/>
        <v>0.34301614649066142</v>
      </c>
      <c r="P101" s="8">
        <f t="shared" si="12"/>
        <v>19.784405685738776</v>
      </c>
      <c r="U101" s="8">
        <v>159</v>
      </c>
      <c r="V101" s="10">
        <f t="shared" si="13"/>
        <v>0.2867996718499316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1521.9534683326001</v>
      </c>
      <c r="E102">
        <v>591.35674278327997</v>
      </c>
      <c r="F102">
        <v>142.88683304647</v>
      </c>
      <c r="G102">
        <v>119.50301204819</v>
      </c>
      <c r="I102" s="9">
        <f t="shared" si="8"/>
        <v>471.85373073508998</v>
      </c>
      <c r="J102" s="9">
        <f t="shared" si="9"/>
        <v>1379.0666352861301</v>
      </c>
      <c r="K102" s="9">
        <f t="shared" si="10"/>
        <v>471.85373073508998</v>
      </c>
      <c r="L102" s="10">
        <f t="shared" si="7"/>
        <v>0.34215440984633011</v>
      </c>
      <c r="M102" s="10">
        <f t="shared" si="11"/>
        <v>0.34661061918567365</v>
      </c>
      <c r="P102" s="8">
        <f t="shared" si="12"/>
        <v>21.039628741360669</v>
      </c>
      <c r="U102" s="8">
        <v>159.5</v>
      </c>
      <c r="V102" s="10">
        <f t="shared" si="13"/>
        <v>0.28777307314646861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1554.8293838863001</v>
      </c>
      <c r="E103">
        <v>599.81473502800998</v>
      </c>
      <c r="F103">
        <v>142.60197934595999</v>
      </c>
      <c r="G103">
        <v>119.17254733219001</v>
      </c>
      <c r="I103" s="9">
        <f t="shared" si="8"/>
        <v>480.64218769581998</v>
      </c>
      <c r="J103" s="9">
        <f t="shared" si="9"/>
        <v>1412.2274045403401</v>
      </c>
      <c r="K103" s="9">
        <f t="shared" si="10"/>
        <v>480.64218769581998</v>
      </c>
      <c r="L103" s="10">
        <f t="shared" si="7"/>
        <v>0.34034333716407533</v>
      </c>
      <c r="M103" s="10">
        <f t="shared" si="11"/>
        <v>0.3448441085968123</v>
      </c>
      <c r="P103" s="8">
        <f t="shared" si="12"/>
        <v>20.422746932182974</v>
      </c>
      <c r="U103" s="8">
        <v>160</v>
      </c>
      <c r="V103" s="10">
        <f t="shared" si="13"/>
        <v>0.2873694580733111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1533.7949159845</v>
      </c>
      <c r="E104">
        <v>600.23524342956</v>
      </c>
      <c r="F104">
        <v>142.37736660928999</v>
      </c>
      <c r="G104">
        <v>119.20309810671</v>
      </c>
      <c r="I104" s="9">
        <f t="shared" si="8"/>
        <v>481.03214532285</v>
      </c>
      <c r="J104" s="9">
        <f t="shared" si="9"/>
        <v>1391.41754937521</v>
      </c>
      <c r="K104" s="9">
        <f t="shared" si="10"/>
        <v>481.03214532285</v>
      </c>
      <c r="L104" s="10">
        <f t="shared" si="7"/>
        <v>0.34571372593284344</v>
      </c>
      <c r="M104" s="10">
        <f t="shared" si="11"/>
        <v>0.35025905945897384</v>
      </c>
      <c r="P104" s="8">
        <f t="shared" si="12"/>
        <v>22.313697773644769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1520.7113313227001</v>
      </c>
      <c r="E105">
        <v>590.91856958207995</v>
      </c>
      <c r="F105">
        <v>142.97934595525001</v>
      </c>
      <c r="G105">
        <v>119.39974182444</v>
      </c>
      <c r="I105" s="9">
        <f t="shared" si="8"/>
        <v>471.51882775763994</v>
      </c>
      <c r="J105" s="9">
        <f t="shared" si="9"/>
        <v>1377.7319853674501</v>
      </c>
      <c r="K105" s="9">
        <f t="shared" si="10"/>
        <v>471.51882775763994</v>
      </c>
      <c r="L105" s="10">
        <f t="shared" si="7"/>
        <v>0.34224278217064313</v>
      </c>
      <c r="M105" s="10">
        <f t="shared" si="11"/>
        <v>0.34683267779016697</v>
      </c>
      <c r="P105" s="8">
        <f t="shared" si="12"/>
        <v>21.117173656487168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1535.7427832830999</v>
      </c>
      <c r="E106">
        <v>589.06333476949999</v>
      </c>
      <c r="F106">
        <v>142.59165232358001</v>
      </c>
      <c r="G106">
        <v>119.04087779690001</v>
      </c>
      <c r="I106" s="9">
        <f t="shared" si="8"/>
        <v>470.02245697259997</v>
      </c>
      <c r="J106" s="9">
        <f t="shared" si="9"/>
        <v>1393.1511309595198</v>
      </c>
      <c r="K106" s="9">
        <f t="shared" si="10"/>
        <v>470.02245697259997</v>
      </c>
      <c r="L106" s="10">
        <f t="shared" si="7"/>
        <v>0.33738080996917857</v>
      </c>
      <c r="M106" s="10">
        <f t="shared" si="11"/>
        <v>0.34201526768209584</v>
      </c>
      <c r="P106" s="8">
        <f t="shared" si="12"/>
        <v>19.434889563905884</v>
      </c>
      <c r="X106" s="8">
        <v>-13</v>
      </c>
    </row>
    <row r="107" spans="1:25" x14ac:dyDescent="0.2">
      <c r="A107" s="8">
        <v>52.5</v>
      </c>
      <c r="B107" s="8">
        <v>105</v>
      </c>
      <c r="D107">
        <v>1554.4029272493001</v>
      </c>
      <c r="E107">
        <v>586.82350408954005</v>
      </c>
      <c r="F107">
        <v>142.78743545610999</v>
      </c>
      <c r="G107">
        <v>119.50344234079</v>
      </c>
      <c r="I107" s="9">
        <f t="shared" si="8"/>
        <v>467.32006174875005</v>
      </c>
      <c r="J107" s="9">
        <f t="shared" si="9"/>
        <v>1411.6154917931901</v>
      </c>
      <c r="K107" s="9">
        <f t="shared" si="10"/>
        <v>467.32006174875005</v>
      </c>
      <c r="L107" s="10">
        <f t="shared" si="7"/>
        <v>0.33105336719924233</v>
      </c>
      <c r="M107" s="10">
        <f t="shared" si="11"/>
        <v>0.33573238700555302</v>
      </c>
      <c r="P107" s="8">
        <f t="shared" si="12"/>
        <v>17.240849617000404</v>
      </c>
      <c r="X107" s="8">
        <v>-13</v>
      </c>
    </row>
    <row r="108" spans="1:25" x14ac:dyDescent="0.2">
      <c r="A108" s="8">
        <v>53</v>
      </c>
      <c r="B108" s="8">
        <v>106</v>
      </c>
      <c r="D108">
        <v>1588.997428204</v>
      </c>
      <c r="E108">
        <v>601.40977282468998</v>
      </c>
      <c r="F108">
        <v>142.83003442341001</v>
      </c>
      <c r="G108">
        <v>119.18760757315</v>
      </c>
      <c r="I108" s="9">
        <f t="shared" si="8"/>
        <v>482.22216525153999</v>
      </c>
      <c r="J108" s="9">
        <f t="shared" si="9"/>
        <v>1446.1673937805899</v>
      </c>
      <c r="K108" s="9">
        <f t="shared" si="10"/>
        <v>482.22216525153999</v>
      </c>
      <c r="L108" s="10">
        <f t="shared" si="7"/>
        <v>0.33344837349078132</v>
      </c>
      <c r="M108" s="10">
        <f t="shared" si="11"/>
        <v>0.33817195539048545</v>
      </c>
      <c r="P108" s="8">
        <f t="shared" si="12"/>
        <v>18.092769423425036</v>
      </c>
      <c r="X108" s="8">
        <v>-13</v>
      </c>
    </row>
    <row r="109" spans="1:25" x14ac:dyDescent="0.2">
      <c r="A109" s="8">
        <v>53.5</v>
      </c>
      <c r="B109" s="8">
        <v>107</v>
      </c>
      <c r="D109">
        <v>1580.2584654950999</v>
      </c>
      <c r="E109">
        <v>595.80068581225999</v>
      </c>
      <c r="F109">
        <v>142.86660929432</v>
      </c>
      <c r="G109">
        <v>118.94148020654001</v>
      </c>
      <c r="I109" s="9">
        <f t="shared" si="8"/>
        <v>476.85920560571998</v>
      </c>
      <c r="J109" s="9">
        <f t="shared" si="9"/>
        <v>1437.39185620078</v>
      </c>
      <c r="K109" s="9">
        <f t="shared" si="10"/>
        <v>476.85920560571998</v>
      </c>
      <c r="L109" s="10">
        <f t="shared" si="7"/>
        <v>0.33175310097145183</v>
      </c>
      <c r="M109" s="10">
        <f t="shared" si="11"/>
        <v>0.33652124496454938</v>
      </c>
      <c r="P109" s="8">
        <f t="shared" si="12"/>
        <v>17.516326100412581</v>
      </c>
      <c r="X109" s="8">
        <v>-13</v>
      </c>
    </row>
    <row r="110" spans="1:25" x14ac:dyDescent="0.2">
      <c r="A110" s="8">
        <v>54</v>
      </c>
      <c r="B110" s="8">
        <v>108</v>
      </c>
      <c r="D110">
        <v>1569.4736390912999</v>
      </c>
      <c r="E110">
        <v>586.53236176596999</v>
      </c>
      <c r="F110">
        <v>142.84466437176999</v>
      </c>
      <c r="G110">
        <v>119.17340791738</v>
      </c>
      <c r="I110" s="9">
        <f t="shared" si="8"/>
        <v>467.35895384858998</v>
      </c>
      <c r="J110" s="9">
        <f t="shared" si="9"/>
        <v>1426.6289747195299</v>
      </c>
      <c r="K110" s="9">
        <f t="shared" si="10"/>
        <v>467.35895384858998</v>
      </c>
      <c r="L110" s="10">
        <f t="shared" si="7"/>
        <v>0.32759670673341756</v>
      </c>
      <c r="M110" s="10">
        <f t="shared" si="11"/>
        <v>0.33240941281990855</v>
      </c>
      <c r="P110" s="8">
        <f t="shared" si="12"/>
        <v>16.080436347803722</v>
      </c>
      <c r="X110" s="8">
        <v>-13</v>
      </c>
    </row>
    <row r="111" spans="1:25" x14ac:dyDescent="0.2">
      <c r="A111" s="8">
        <v>54.5</v>
      </c>
      <c r="B111" s="8">
        <v>109</v>
      </c>
      <c r="D111">
        <v>1551.2501076195001</v>
      </c>
      <c r="E111">
        <v>583.15152819629998</v>
      </c>
      <c r="F111">
        <v>142.71514629948001</v>
      </c>
      <c r="G111">
        <v>119.24139414802001</v>
      </c>
      <c r="I111" s="9">
        <f t="shared" si="8"/>
        <v>463.91013404827999</v>
      </c>
      <c r="J111" s="9">
        <f t="shared" si="9"/>
        <v>1408.5349613200201</v>
      </c>
      <c r="K111" s="9">
        <f t="shared" si="10"/>
        <v>463.91013404827999</v>
      </c>
      <c r="L111" s="10">
        <f t="shared" si="7"/>
        <v>0.32935649223326541</v>
      </c>
      <c r="M111" s="10">
        <f t="shared" si="11"/>
        <v>0.33421376041314982</v>
      </c>
      <c r="P111" s="8">
        <f t="shared" si="12"/>
        <v>16.710531188288975</v>
      </c>
      <c r="X111" s="8">
        <v>-13</v>
      </c>
    </row>
    <row r="112" spans="1:25" x14ac:dyDescent="0.2">
      <c r="A112" s="8">
        <v>55</v>
      </c>
      <c r="B112" s="8">
        <v>110</v>
      </c>
      <c r="D112">
        <v>1572.6792940164</v>
      </c>
      <c r="E112">
        <v>602.42617305209001</v>
      </c>
      <c r="F112">
        <v>142.81411359725001</v>
      </c>
      <c r="G112">
        <v>119.00387263339</v>
      </c>
      <c r="I112" s="9">
        <f t="shared" si="8"/>
        <v>483.42230041869999</v>
      </c>
      <c r="J112" s="9">
        <f t="shared" si="9"/>
        <v>1429.86518041915</v>
      </c>
      <c r="K112" s="9">
        <f t="shared" si="10"/>
        <v>483.42230041869999</v>
      </c>
      <c r="L112" s="10">
        <f t="shared" si="7"/>
        <v>0.33808942761791699</v>
      </c>
      <c r="M112" s="10">
        <f t="shared" si="11"/>
        <v>0.34299125789119483</v>
      </c>
      <c r="P112" s="8">
        <f t="shared" si="12"/>
        <v>19.775714356989514</v>
      </c>
      <c r="X112" s="8">
        <v>-13</v>
      </c>
    </row>
    <row r="113" spans="1:24" x14ac:dyDescent="0.2">
      <c r="A113" s="8">
        <v>55.5</v>
      </c>
      <c r="B113" s="8">
        <v>111</v>
      </c>
      <c r="D113">
        <v>1553.6565180103</v>
      </c>
      <c r="E113">
        <v>596.00514579759999</v>
      </c>
      <c r="F113">
        <v>142.80808950086001</v>
      </c>
      <c r="G113">
        <v>119.05120481928</v>
      </c>
      <c r="I113" s="9">
        <f t="shared" si="8"/>
        <v>476.95394097832002</v>
      </c>
      <c r="J113" s="9">
        <f t="shared" si="9"/>
        <v>1410.8484285094401</v>
      </c>
      <c r="K113" s="9">
        <f t="shared" si="10"/>
        <v>476.95394097832002</v>
      </c>
      <c r="L113" s="10">
        <f t="shared" si="7"/>
        <v>0.338061787035636</v>
      </c>
      <c r="M113" s="10">
        <f t="shared" si="11"/>
        <v>0.34300817940230732</v>
      </c>
      <c r="P113" s="8">
        <f t="shared" si="12"/>
        <v>19.781623504919285</v>
      </c>
      <c r="X113" s="8">
        <v>-13</v>
      </c>
    </row>
    <row r="114" spans="1:24" x14ac:dyDescent="0.2">
      <c r="A114" s="8">
        <v>56</v>
      </c>
      <c r="B114" s="8">
        <v>112</v>
      </c>
      <c r="D114">
        <v>1519.9618353344999</v>
      </c>
      <c r="E114">
        <v>588.44639794167995</v>
      </c>
      <c r="F114">
        <v>143.12865748709001</v>
      </c>
      <c r="G114">
        <v>119.26807228916</v>
      </c>
      <c r="I114" s="9">
        <f t="shared" si="8"/>
        <v>469.17832565251996</v>
      </c>
      <c r="J114" s="9">
        <f t="shared" si="9"/>
        <v>1376.8331778474098</v>
      </c>
      <c r="K114" s="9">
        <f t="shared" si="10"/>
        <v>469.17832565251996</v>
      </c>
      <c r="L114" s="10">
        <f t="shared" si="7"/>
        <v>0.34076628396335573</v>
      </c>
      <c r="M114" s="10">
        <f t="shared" si="11"/>
        <v>0.34575723842342049</v>
      </c>
      <c r="P114" s="8">
        <f t="shared" si="12"/>
        <v>20.741620299262681</v>
      </c>
      <c r="X114" s="8">
        <v>-13</v>
      </c>
    </row>
    <row r="115" spans="1:24" x14ac:dyDescent="0.2">
      <c r="A115" s="8">
        <v>56.5</v>
      </c>
      <c r="B115" s="8">
        <v>113</v>
      </c>
      <c r="D115">
        <v>1589.2230835487001</v>
      </c>
      <c r="E115">
        <v>608.35357450473998</v>
      </c>
      <c r="F115">
        <v>142.67297762479001</v>
      </c>
      <c r="G115">
        <v>119.45869191049999</v>
      </c>
      <c r="I115" s="9">
        <f t="shared" si="8"/>
        <v>488.89488259424002</v>
      </c>
      <c r="J115" s="9">
        <f t="shared" si="9"/>
        <v>1446.55010592391</v>
      </c>
      <c r="K115" s="9">
        <f t="shared" si="10"/>
        <v>488.89488259424002</v>
      </c>
      <c r="L115" s="10">
        <f t="shared" si="7"/>
        <v>0.33797300251966272</v>
      </c>
      <c r="M115" s="10">
        <f t="shared" si="11"/>
        <v>0.34300851907312091</v>
      </c>
      <c r="P115" s="8">
        <f t="shared" si="12"/>
        <v>19.781742121103832</v>
      </c>
      <c r="X115" s="8">
        <v>-13</v>
      </c>
    </row>
    <row r="116" spans="1:24" x14ac:dyDescent="0.2">
      <c r="A116" s="8">
        <v>57</v>
      </c>
      <c r="B116" s="8">
        <v>114</v>
      </c>
      <c r="D116">
        <v>1576.1076658053</v>
      </c>
      <c r="E116">
        <v>594.85615848406997</v>
      </c>
      <c r="F116">
        <v>142.94707401033</v>
      </c>
      <c r="G116">
        <v>118.98623063683</v>
      </c>
      <c r="I116" s="9">
        <f t="shared" si="8"/>
        <v>475.86992784723998</v>
      </c>
      <c r="J116" s="9">
        <f t="shared" si="9"/>
        <v>1433.1605917949701</v>
      </c>
      <c r="K116" s="9">
        <f t="shared" si="10"/>
        <v>475.86992784723998</v>
      </c>
      <c r="L116" s="10">
        <f t="shared" si="7"/>
        <v>0.33204229210017144</v>
      </c>
      <c r="M116" s="10">
        <f t="shared" si="11"/>
        <v>0.33712237074702306</v>
      </c>
      <c r="P116" s="8">
        <f t="shared" si="12"/>
        <v>17.726244774307848</v>
      </c>
      <c r="X116" s="8">
        <v>-13</v>
      </c>
    </row>
    <row r="117" spans="1:24" x14ac:dyDescent="0.2">
      <c r="A117" s="8">
        <v>57.5</v>
      </c>
      <c r="B117" s="8">
        <v>115</v>
      </c>
      <c r="D117">
        <v>1549.1993970715</v>
      </c>
      <c r="E117">
        <v>580.15891472867997</v>
      </c>
      <c r="F117">
        <v>143.165232358</v>
      </c>
      <c r="G117">
        <v>119.33993115318</v>
      </c>
      <c r="I117" s="9">
        <f t="shared" si="8"/>
        <v>460.81898357549994</v>
      </c>
      <c r="J117" s="9">
        <f t="shared" si="9"/>
        <v>1406.0341647135001</v>
      </c>
      <c r="K117" s="9">
        <f t="shared" si="10"/>
        <v>460.81898357549994</v>
      </c>
      <c r="L117" s="10">
        <f t="shared" si="7"/>
        <v>0.32774380249102875</v>
      </c>
      <c r="M117" s="10">
        <f t="shared" si="11"/>
        <v>0.33286844323127379</v>
      </c>
      <c r="P117" s="8">
        <f t="shared" si="12"/>
        <v>16.240734006032369</v>
      </c>
      <c r="X117" s="8">
        <v>-13</v>
      </c>
    </row>
    <row r="118" spans="1:24" x14ac:dyDescent="0.2">
      <c r="A118" s="8">
        <v>58</v>
      </c>
      <c r="B118" s="8">
        <v>116</v>
      </c>
      <c r="D118">
        <v>1605.4685615848</v>
      </c>
      <c r="E118">
        <v>585.35874246338994</v>
      </c>
      <c r="F118">
        <v>142.94018932873999</v>
      </c>
      <c r="G118">
        <v>119.31282271945</v>
      </c>
      <c r="I118" s="9">
        <f t="shared" si="8"/>
        <v>466.04591974393998</v>
      </c>
      <c r="J118" s="9">
        <f t="shared" si="9"/>
        <v>1462.52837225606</v>
      </c>
      <c r="K118" s="9">
        <f t="shared" si="10"/>
        <v>466.04591974393998</v>
      </c>
      <c r="L118" s="10">
        <f t="shared" si="7"/>
        <v>0.31865769484186424</v>
      </c>
      <c r="M118" s="10">
        <f t="shared" si="11"/>
        <v>0.32382689767550271</v>
      </c>
      <c r="P118" s="8">
        <f t="shared" si="12"/>
        <v>13.083342810431443</v>
      </c>
      <c r="X118" s="8">
        <v>-13</v>
      </c>
    </row>
    <row r="119" spans="1:24" x14ac:dyDescent="0.2">
      <c r="A119" s="8">
        <v>58.5</v>
      </c>
      <c r="B119" s="8">
        <v>117</v>
      </c>
      <c r="D119">
        <v>1530.8669250646001</v>
      </c>
      <c r="E119">
        <v>563.09517657191998</v>
      </c>
      <c r="F119">
        <v>143.14242685025999</v>
      </c>
      <c r="G119">
        <v>119.34251290877999</v>
      </c>
      <c r="I119" s="9">
        <f t="shared" si="8"/>
        <v>443.75266366313997</v>
      </c>
      <c r="J119" s="9">
        <f t="shared" si="9"/>
        <v>1387.7244982143402</v>
      </c>
      <c r="K119" s="9">
        <f t="shared" si="10"/>
        <v>443.75266366313997</v>
      </c>
      <c r="L119" s="10">
        <f t="shared" si="7"/>
        <v>0.31977000062630617</v>
      </c>
      <c r="M119" s="10">
        <f t="shared" si="11"/>
        <v>0.32498376555333808</v>
      </c>
      <c r="P119" s="8">
        <f t="shared" si="12"/>
        <v>13.487331755620072</v>
      </c>
      <c r="X119" s="8">
        <v>-13</v>
      </c>
    </row>
    <row r="120" spans="1:24" x14ac:dyDescent="0.2">
      <c r="A120" s="8">
        <v>59</v>
      </c>
      <c r="B120" s="8">
        <v>118</v>
      </c>
      <c r="D120">
        <v>1552.0460017196999</v>
      </c>
      <c r="E120">
        <v>569.15735167670005</v>
      </c>
      <c r="F120">
        <v>142.88123924268999</v>
      </c>
      <c r="G120">
        <v>119.03786574871</v>
      </c>
      <c r="I120" s="9">
        <f t="shared" si="8"/>
        <v>450.11948592799001</v>
      </c>
      <c r="J120" s="9">
        <f t="shared" si="9"/>
        <v>1409.1647624770098</v>
      </c>
      <c r="K120" s="9">
        <f t="shared" si="10"/>
        <v>450.11948592799001</v>
      </c>
      <c r="L120" s="10">
        <f t="shared" si="7"/>
        <v>0.31942289355630521</v>
      </c>
      <c r="M120" s="10">
        <f t="shared" si="11"/>
        <v>0.32468122057673054</v>
      </c>
      <c r="P120" s="8">
        <f t="shared" si="12"/>
        <v>13.381680256158878</v>
      </c>
      <c r="X120" s="8">
        <v>-13</v>
      </c>
    </row>
    <row r="121" spans="1:24" x14ac:dyDescent="0.2">
      <c r="A121" s="8">
        <v>59.5</v>
      </c>
      <c r="B121" s="8">
        <v>119</v>
      </c>
      <c r="D121">
        <v>1461.8110440035</v>
      </c>
      <c r="E121">
        <v>539.14408973253001</v>
      </c>
      <c r="F121">
        <v>143.04862306368</v>
      </c>
      <c r="G121">
        <v>119.1669535284</v>
      </c>
      <c r="I121" s="9">
        <f t="shared" si="8"/>
        <v>419.97713620413003</v>
      </c>
      <c r="J121" s="9">
        <f t="shared" si="9"/>
        <v>1318.76242093982</v>
      </c>
      <c r="K121" s="9">
        <f t="shared" si="10"/>
        <v>419.97713620413003</v>
      </c>
      <c r="L121" s="10">
        <f t="shared" si="7"/>
        <v>0.3184630753315158</v>
      </c>
      <c r="M121" s="10">
        <f t="shared" si="11"/>
        <v>0.32376596444533456</v>
      </c>
      <c r="P121" s="8">
        <f t="shared" si="12"/>
        <v>13.062064363813469</v>
      </c>
      <c r="X121" s="8">
        <v>-13</v>
      </c>
    </row>
    <row r="122" spans="1:24" x14ac:dyDescent="0.2">
      <c r="A122" s="8">
        <v>60</v>
      </c>
      <c r="B122" s="8">
        <v>120</v>
      </c>
      <c r="D122">
        <v>1520.8895599655</v>
      </c>
      <c r="E122">
        <v>560.19327006039998</v>
      </c>
      <c r="F122">
        <v>142.94148020654001</v>
      </c>
      <c r="G122">
        <v>119.20567986231001</v>
      </c>
      <c r="I122" s="9">
        <f t="shared" si="8"/>
        <v>440.98759019808995</v>
      </c>
      <c r="J122" s="9">
        <f t="shared" si="9"/>
        <v>1377.9480797589599</v>
      </c>
      <c r="K122" s="9">
        <f t="shared" si="10"/>
        <v>440.98759019808995</v>
      </c>
      <c r="L122" s="10">
        <f t="shared" si="7"/>
        <v>0.32003208007316974</v>
      </c>
      <c r="M122" s="10">
        <f t="shared" si="11"/>
        <v>0.32537953128038194</v>
      </c>
      <c r="P122" s="8">
        <f t="shared" si="12"/>
        <v>13.625536801912331</v>
      </c>
      <c r="X122" s="8">
        <v>-13</v>
      </c>
    </row>
    <row r="123" spans="1:24" x14ac:dyDescent="0.2">
      <c r="A123" s="8">
        <v>60.5</v>
      </c>
      <c r="B123" s="8">
        <v>121</v>
      </c>
      <c r="D123">
        <v>1560.1090517241</v>
      </c>
      <c r="E123">
        <v>575.19310344828</v>
      </c>
      <c r="F123">
        <v>142.79302925990001</v>
      </c>
      <c r="G123">
        <v>119.0843373494</v>
      </c>
      <c r="I123" s="9">
        <f t="shared" si="8"/>
        <v>456.10876609887998</v>
      </c>
      <c r="J123" s="9">
        <f t="shared" si="9"/>
        <v>1417.3160224641999</v>
      </c>
      <c r="K123" s="9">
        <f t="shared" si="10"/>
        <v>456.10876609887998</v>
      </c>
      <c r="L123" s="10">
        <f t="shared" si="7"/>
        <v>0.3218116206051716</v>
      </c>
      <c r="M123" s="10">
        <f t="shared" si="11"/>
        <v>0.32720363390577728</v>
      </c>
      <c r="P123" s="8">
        <f t="shared" si="12"/>
        <v>14.262530282039146</v>
      </c>
      <c r="X123" s="8">
        <v>-13</v>
      </c>
    </row>
    <row r="124" spans="1:24" x14ac:dyDescent="0.2">
      <c r="A124" s="8">
        <v>61</v>
      </c>
      <c r="B124" s="8">
        <v>122</v>
      </c>
      <c r="D124">
        <v>1559.2759810263001</v>
      </c>
      <c r="E124">
        <v>567.45364381198999</v>
      </c>
      <c r="F124">
        <v>142.90275387263</v>
      </c>
      <c r="G124">
        <v>119.31970740103</v>
      </c>
      <c r="I124" s="9">
        <f t="shared" si="8"/>
        <v>448.13393641096002</v>
      </c>
      <c r="J124" s="9">
        <f t="shared" si="9"/>
        <v>1416.3732271536701</v>
      </c>
      <c r="K124" s="9">
        <f t="shared" si="10"/>
        <v>448.13393641096002</v>
      </c>
      <c r="L124" s="10">
        <f t="shared" si="7"/>
        <v>0.31639537363433906</v>
      </c>
      <c r="M124" s="10">
        <f t="shared" si="11"/>
        <v>0.32183194902833817</v>
      </c>
      <c r="P124" s="8">
        <f t="shared" si="12"/>
        <v>12.38668832195045</v>
      </c>
      <c r="X124" s="8">
        <v>-13</v>
      </c>
    </row>
    <row r="125" spans="1:24" x14ac:dyDescent="0.2">
      <c r="A125" s="8">
        <v>61.5</v>
      </c>
      <c r="B125" s="8">
        <v>123</v>
      </c>
      <c r="D125">
        <v>1524.5557476232</v>
      </c>
      <c r="E125">
        <v>552.59593777010002</v>
      </c>
      <c r="F125">
        <v>142.46987951807</v>
      </c>
      <c r="G125">
        <v>118.96901893287</v>
      </c>
      <c r="I125" s="9">
        <f t="shared" si="8"/>
        <v>433.62691883723005</v>
      </c>
      <c r="J125" s="9">
        <f t="shared" si="9"/>
        <v>1382.08586810513</v>
      </c>
      <c r="K125" s="9">
        <f t="shared" si="10"/>
        <v>433.62691883723005</v>
      </c>
      <c r="L125" s="10">
        <f t="shared" si="7"/>
        <v>0.31374817501877944</v>
      </c>
      <c r="M125" s="10">
        <f t="shared" si="11"/>
        <v>0.31922931250617198</v>
      </c>
      <c r="P125" s="8">
        <f t="shared" si="12"/>
        <v>11.477823616270587</v>
      </c>
      <c r="X125" s="8">
        <v>-13</v>
      </c>
    </row>
    <row r="126" spans="1:24" x14ac:dyDescent="0.2">
      <c r="A126" s="8">
        <v>62</v>
      </c>
      <c r="B126" s="8">
        <v>124</v>
      </c>
      <c r="D126">
        <v>1412.0868817204</v>
      </c>
      <c r="E126">
        <v>524.34580645160997</v>
      </c>
      <c r="F126">
        <v>142.76721170395999</v>
      </c>
      <c r="G126">
        <v>119.10456110155</v>
      </c>
      <c r="I126" s="9">
        <f t="shared" si="8"/>
        <v>405.24124535005996</v>
      </c>
      <c r="J126" s="9">
        <f t="shared" si="9"/>
        <v>1269.3196700164401</v>
      </c>
      <c r="K126" s="9">
        <f t="shared" si="10"/>
        <v>405.24124535005996</v>
      </c>
      <c r="L126" s="10">
        <f t="shared" si="7"/>
        <v>0.31925861933961153</v>
      </c>
      <c r="M126" s="10">
        <f t="shared" si="11"/>
        <v>0.3247843189203975</v>
      </c>
      <c r="P126" s="8">
        <f t="shared" si="12"/>
        <v>13.41768314975347</v>
      </c>
      <c r="X126" s="8">
        <v>-13</v>
      </c>
    </row>
    <row r="127" spans="1:24" x14ac:dyDescent="0.2">
      <c r="A127" s="8">
        <v>62.5</v>
      </c>
      <c r="B127" s="8">
        <v>125</v>
      </c>
      <c r="D127">
        <v>1339.6266666667</v>
      </c>
      <c r="E127">
        <v>523.66623655913997</v>
      </c>
      <c r="F127">
        <v>143.19492254733001</v>
      </c>
      <c r="G127">
        <v>119.24354561102</v>
      </c>
      <c r="I127" s="9">
        <f t="shared" si="8"/>
        <v>404.42269094811996</v>
      </c>
      <c r="J127" s="9">
        <f t="shared" si="9"/>
        <v>1196.43174411937</v>
      </c>
      <c r="K127" s="9">
        <f t="shared" si="10"/>
        <v>404.42269094811996</v>
      </c>
      <c r="L127" s="10">
        <f t="shared" si="7"/>
        <v>0.33802403934525665</v>
      </c>
      <c r="M127" s="10">
        <f t="shared" si="11"/>
        <v>0.34359430101943605</v>
      </c>
      <c r="P127" s="8">
        <f t="shared" si="12"/>
        <v>19.986302585731131</v>
      </c>
      <c r="X127" s="8">
        <v>-13</v>
      </c>
    </row>
    <row r="128" spans="1:24" x14ac:dyDescent="0.2">
      <c r="A128" s="8">
        <v>63</v>
      </c>
      <c r="B128" s="8">
        <v>126</v>
      </c>
      <c r="D128">
        <v>1417.0814304179</v>
      </c>
      <c r="E128">
        <v>543.90392072382997</v>
      </c>
      <c r="F128">
        <v>142.68545611016</v>
      </c>
      <c r="G128">
        <v>119.53313253012</v>
      </c>
      <c r="I128" s="9">
        <f t="shared" si="8"/>
        <v>424.37078819370998</v>
      </c>
      <c r="J128" s="9">
        <f t="shared" si="9"/>
        <v>1274.3959743077401</v>
      </c>
      <c r="K128" s="9">
        <f t="shared" si="10"/>
        <v>424.37078819370998</v>
      </c>
      <c r="L128" s="10">
        <f t="shared" si="7"/>
        <v>0.33299759003415785</v>
      </c>
      <c r="M128" s="10">
        <f t="shared" si="11"/>
        <v>0.33861241380173068</v>
      </c>
      <c r="P128" s="8">
        <f t="shared" si="12"/>
        <v>18.246581567722249</v>
      </c>
      <c r="X128" s="8">
        <v>-13</v>
      </c>
    </row>
    <row r="129" spans="1:24" x14ac:dyDescent="0.2">
      <c r="A129" s="8">
        <v>63.5</v>
      </c>
      <c r="B129" s="8">
        <v>127</v>
      </c>
      <c r="D129">
        <v>1495.4847048685999</v>
      </c>
      <c r="E129">
        <v>573.12365359758996</v>
      </c>
      <c r="F129">
        <v>142.70998278830001</v>
      </c>
      <c r="G129">
        <v>119.31325301205</v>
      </c>
      <c r="I129" s="9">
        <f t="shared" si="8"/>
        <v>453.81040058553998</v>
      </c>
      <c r="J129" s="9">
        <f t="shared" si="9"/>
        <v>1352.7747220802999</v>
      </c>
      <c r="K129" s="9">
        <f t="shared" si="10"/>
        <v>453.81040058553998</v>
      </c>
      <c r="L129" s="10">
        <f t="shared" si="7"/>
        <v>0.33546635162406746</v>
      </c>
      <c r="M129" s="10">
        <f t="shared" si="11"/>
        <v>0.34112573748503372</v>
      </c>
      <c r="P129" s="8">
        <f t="shared" si="12"/>
        <v>19.124257405377147</v>
      </c>
      <c r="X129" s="8">
        <v>-13</v>
      </c>
    </row>
    <row r="130" spans="1:24" x14ac:dyDescent="0.2">
      <c r="A130" s="8">
        <v>64</v>
      </c>
      <c r="B130" s="8">
        <v>128</v>
      </c>
      <c r="D130">
        <v>1514.7630331754001</v>
      </c>
      <c r="E130">
        <v>580.41318397243003</v>
      </c>
      <c r="F130">
        <v>142.35499139415001</v>
      </c>
      <c r="G130">
        <v>119.20826161790001</v>
      </c>
      <c r="I130" s="9">
        <f t="shared" si="8"/>
        <v>461.20492235453003</v>
      </c>
      <c r="J130" s="9">
        <f t="shared" si="9"/>
        <v>1372.4080417812502</v>
      </c>
      <c r="K130" s="9">
        <f t="shared" si="10"/>
        <v>461.20492235453003</v>
      </c>
      <c r="L130" s="10">
        <f t="shared" ref="L130:L193" si="14">K130/J130</f>
        <v>0.33605524619043442</v>
      </c>
      <c r="M130" s="10">
        <f t="shared" si="11"/>
        <v>0.34175919414479411</v>
      </c>
      <c r="P130" s="8">
        <f t="shared" si="12"/>
        <v>19.345466320156724</v>
      </c>
      <c r="X130" s="8">
        <v>-13</v>
      </c>
    </row>
    <row r="131" spans="1:24" x14ac:dyDescent="0.2">
      <c r="A131" s="8">
        <v>64.5</v>
      </c>
      <c r="B131" s="8">
        <v>129</v>
      </c>
      <c r="D131">
        <v>1470.8112398112</v>
      </c>
      <c r="E131">
        <v>563.58215358215</v>
      </c>
      <c r="F131">
        <v>142.66092943200999</v>
      </c>
      <c r="G131">
        <v>119.36187607573</v>
      </c>
      <c r="I131" s="9">
        <f t="shared" ref="I131:I194" si="15">E131-G131</f>
        <v>444.22027750642002</v>
      </c>
      <c r="J131" s="9">
        <f t="shared" ref="J131:J194" si="16">D131-F131</f>
        <v>1328.1503103791902</v>
      </c>
      <c r="K131" s="9">
        <f t="shared" ref="K131:K194" si="17">I131*1</f>
        <v>444.22027750642002</v>
      </c>
      <c r="L131" s="10">
        <f t="shared" si="14"/>
        <v>0.33446536437550811</v>
      </c>
      <c r="M131" s="10">
        <f t="shared" ref="M131:M181" si="18">L131+ABS($N$2)*A131</f>
        <v>0.34021387442326123</v>
      </c>
      <c r="P131" s="8">
        <f t="shared" ref="P131:P194" si="19">(M131-$O$2)/$O$2*100</f>
        <v>18.805826404275074</v>
      </c>
      <c r="X131" s="8">
        <v>-13</v>
      </c>
    </row>
    <row r="132" spans="1:24" x14ac:dyDescent="0.2">
      <c r="A132" s="8">
        <v>65</v>
      </c>
      <c r="B132" s="8">
        <v>130</v>
      </c>
      <c r="D132">
        <v>1515.2175032175001</v>
      </c>
      <c r="E132">
        <v>572.49806949806998</v>
      </c>
      <c r="F132">
        <v>142.92082616178999</v>
      </c>
      <c r="G132">
        <v>119.084767642</v>
      </c>
      <c r="I132" s="9">
        <f t="shared" si="15"/>
        <v>453.41330185607001</v>
      </c>
      <c r="J132" s="9">
        <f t="shared" si="16"/>
        <v>1372.29667705571</v>
      </c>
      <c r="K132" s="9">
        <f t="shared" si="17"/>
        <v>453.41330185607001</v>
      </c>
      <c r="L132" s="10">
        <f t="shared" si="14"/>
        <v>0.33040472183382191</v>
      </c>
      <c r="M132" s="10">
        <f t="shared" si="18"/>
        <v>0.33619779397496846</v>
      </c>
      <c r="P132" s="8">
        <f t="shared" si="19"/>
        <v>17.403374028179826</v>
      </c>
      <c r="X132" s="8">
        <v>-13</v>
      </c>
    </row>
    <row r="133" spans="1:24" x14ac:dyDescent="0.2">
      <c r="A133" s="8">
        <v>65.5</v>
      </c>
      <c r="B133" s="8">
        <v>131</v>
      </c>
      <c r="D133">
        <v>1512.1685971685999</v>
      </c>
      <c r="E133">
        <v>560.92063492064005</v>
      </c>
      <c r="F133">
        <v>142.77194492255001</v>
      </c>
      <c r="G133">
        <v>119.18502581756</v>
      </c>
      <c r="I133" s="9">
        <f t="shared" si="15"/>
        <v>441.73560910308004</v>
      </c>
      <c r="J133" s="9">
        <f t="shared" si="16"/>
        <v>1369.3966522460501</v>
      </c>
      <c r="K133" s="9">
        <f t="shared" si="17"/>
        <v>441.73560910308004</v>
      </c>
      <c r="L133" s="10">
        <f t="shared" si="14"/>
        <v>0.32257681394105669</v>
      </c>
      <c r="M133" s="10">
        <f t="shared" si="18"/>
        <v>0.32841444817559667</v>
      </c>
      <c r="P133" s="8">
        <f t="shared" si="19"/>
        <v>14.685357805437018</v>
      </c>
      <c r="X133" s="8">
        <v>-13</v>
      </c>
    </row>
    <row r="134" spans="1:24" x14ac:dyDescent="0.2">
      <c r="A134" s="8">
        <v>66</v>
      </c>
      <c r="B134" s="8">
        <v>132</v>
      </c>
      <c r="D134">
        <v>1488.6860112602999</v>
      </c>
      <c r="E134">
        <v>549.01905586834005</v>
      </c>
      <c r="F134">
        <v>142.45094664371999</v>
      </c>
      <c r="G134">
        <v>119.31067125644999</v>
      </c>
      <c r="I134" s="9">
        <f t="shared" si="15"/>
        <v>429.70838461189004</v>
      </c>
      <c r="J134" s="9">
        <f t="shared" si="16"/>
        <v>1346.2350646165798</v>
      </c>
      <c r="K134" s="9">
        <f t="shared" si="17"/>
        <v>429.70838461189004</v>
      </c>
      <c r="L134" s="10">
        <f t="shared" si="14"/>
        <v>0.31919268477401824</v>
      </c>
      <c r="M134" s="10">
        <f t="shared" si="18"/>
        <v>0.32507488110195171</v>
      </c>
      <c r="P134" s="8">
        <f t="shared" si="19"/>
        <v>13.519150146535704</v>
      </c>
      <c r="X134" s="8">
        <v>-13</v>
      </c>
    </row>
    <row r="135" spans="1:24" x14ac:dyDescent="0.2">
      <c r="A135" s="8">
        <v>66.5</v>
      </c>
      <c r="B135" s="8">
        <v>133</v>
      </c>
      <c r="D135">
        <v>1490.4370689655</v>
      </c>
      <c r="E135">
        <v>546.46810344827998</v>
      </c>
      <c r="F135">
        <v>143.13640275386999</v>
      </c>
      <c r="G135">
        <v>118.97030981067</v>
      </c>
      <c r="I135" s="9">
        <f t="shared" si="15"/>
        <v>427.49779363760996</v>
      </c>
      <c r="J135" s="9">
        <f t="shared" si="16"/>
        <v>1347.30066621163</v>
      </c>
      <c r="K135" s="9">
        <f t="shared" si="17"/>
        <v>427.49779363760996</v>
      </c>
      <c r="L135" s="10">
        <f t="shared" si="14"/>
        <v>0.31729947468938596</v>
      </c>
      <c r="M135" s="10">
        <f t="shared" si="18"/>
        <v>0.32322623311071286</v>
      </c>
      <c r="P135" s="8">
        <f t="shared" si="19"/>
        <v>12.873585198010144</v>
      </c>
      <c r="X135" s="8">
        <v>-13</v>
      </c>
    </row>
    <row r="136" spans="1:24" x14ac:dyDescent="0.2">
      <c r="A136" s="8">
        <v>67</v>
      </c>
      <c r="B136" s="8">
        <v>134</v>
      </c>
      <c r="D136">
        <v>1481.6909482758999</v>
      </c>
      <c r="E136">
        <v>541.91336206896995</v>
      </c>
      <c r="F136">
        <v>142.77194492255001</v>
      </c>
      <c r="G136">
        <v>119.09079173838001</v>
      </c>
      <c r="I136" s="9">
        <f t="shared" si="15"/>
        <v>422.82257033058994</v>
      </c>
      <c r="J136" s="9">
        <f t="shared" si="16"/>
        <v>1338.91900335335</v>
      </c>
      <c r="K136" s="9">
        <f t="shared" si="17"/>
        <v>422.82257033058994</v>
      </c>
      <c r="L136" s="10">
        <f t="shared" si="14"/>
        <v>0.31579398699370326</v>
      </c>
      <c r="M136" s="10">
        <f t="shared" si="18"/>
        <v>0.32176530750842358</v>
      </c>
      <c r="P136" s="8">
        <f t="shared" si="19"/>
        <v>12.363416487844002</v>
      </c>
      <c r="X136" s="8">
        <v>-13</v>
      </c>
    </row>
    <row r="137" spans="1:24" x14ac:dyDescent="0.2">
      <c r="A137" s="8">
        <v>67.5</v>
      </c>
      <c r="B137" s="8">
        <v>135</v>
      </c>
      <c r="D137">
        <v>1430.818612667</v>
      </c>
      <c r="E137">
        <v>534.04093063334994</v>
      </c>
      <c r="F137">
        <v>142.78829604130999</v>
      </c>
      <c r="G137">
        <v>119.32013769363</v>
      </c>
      <c r="I137" s="9">
        <f t="shared" si="15"/>
        <v>414.72079293971996</v>
      </c>
      <c r="J137" s="9">
        <f t="shared" si="16"/>
        <v>1288.0303166256899</v>
      </c>
      <c r="K137" s="9">
        <f t="shared" si="17"/>
        <v>414.72079293971996</v>
      </c>
      <c r="L137" s="10">
        <f t="shared" si="14"/>
        <v>0.32198061457604693</v>
      </c>
      <c r="M137" s="10">
        <f t="shared" si="18"/>
        <v>0.32799649718416068</v>
      </c>
      <c r="P137" s="8">
        <f t="shared" si="19"/>
        <v>14.539405459965465</v>
      </c>
      <c r="X137" s="8">
        <v>-13</v>
      </c>
    </row>
    <row r="138" spans="1:24" x14ac:dyDescent="0.2">
      <c r="A138" s="8">
        <v>68</v>
      </c>
      <c r="B138" s="8">
        <v>136</v>
      </c>
      <c r="D138">
        <v>1377.7763894873001</v>
      </c>
      <c r="E138">
        <v>515.95045239120998</v>
      </c>
      <c r="F138">
        <v>143.06067125645001</v>
      </c>
      <c r="G138">
        <v>119.26376936317</v>
      </c>
      <c r="I138" s="9">
        <f t="shared" si="15"/>
        <v>396.68668302803997</v>
      </c>
      <c r="J138" s="9">
        <f t="shared" si="16"/>
        <v>1234.7157182308501</v>
      </c>
      <c r="K138" s="9">
        <f t="shared" si="17"/>
        <v>396.68668302803997</v>
      </c>
      <c r="L138" s="10">
        <f t="shared" si="14"/>
        <v>0.32127774610047766</v>
      </c>
      <c r="M138" s="10">
        <f t="shared" si="18"/>
        <v>0.32733819080198484</v>
      </c>
      <c r="P138" s="8">
        <f t="shared" si="19"/>
        <v>14.309518792661866</v>
      </c>
      <c r="X138" s="8">
        <v>-13</v>
      </c>
    </row>
    <row r="139" spans="1:24" x14ac:dyDescent="0.2">
      <c r="A139" s="8">
        <v>68.5</v>
      </c>
      <c r="B139" s="8">
        <v>137</v>
      </c>
      <c r="D139">
        <v>1361.8685911245</v>
      </c>
      <c r="E139">
        <v>506.91296854804</v>
      </c>
      <c r="F139">
        <v>142.42986230637001</v>
      </c>
      <c r="G139">
        <v>119.08950086058999</v>
      </c>
      <c r="I139" s="9">
        <f t="shared" si="15"/>
        <v>387.82346768745003</v>
      </c>
      <c r="J139" s="9">
        <f t="shared" si="16"/>
        <v>1219.4387288181299</v>
      </c>
      <c r="K139" s="9">
        <f t="shared" si="17"/>
        <v>387.82346768745003</v>
      </c>
      <c r="L139" s="10">
        <f t="shared" si="14"/>
        <v>0.3180344026495906</v>
      </c>
      <c r="M139" s="10">
        <f t="shared" si="18"/>
        <v>0.32413940944449121</v>
      </c>
      <c r="P139" s="8">
        <f t="shared" si="19"/>
        <v>13.19247480582311</v>
      </c>
      <c r="X139" s="8">
        <v>-13</v>
      </c>
    </row>
    <row r="140" spans="1:24" x14ac:dyDescent="0.2">
      <c r="A140" s="8">
        <v>69</v>
      </c>
      <c r="B140" s="8">
        <v>138</v>
      </c>
      <c r="D140">
        <v>1431.6831470335001</v>
      </c>
      <c r="E140">
        <v>517.63929492691</v>
      </c>
      <c r="F140">
        <v>142.53614457831</v>
      </c>
      <c r="G140">
        <v>119.02753872632999</v>
      </c>
      <c r="I140" s="9">
        <f t="shared" si="15"/>
        <v>398.61175620057998</v>
      </c>
      <c r="J140" s="9">
        <f t="shared" si="16"/>
        <v>1289.14700245519</v>
      </c>
      <c r="K140" s="9">
        <f t="shared" si="17"/>
        <v>398.61175620057998</v>
      </c>
      <c r="L140" s="10">
        <f t="shared" si="14"/>
        <v>0.30920582015970322</v>
      </c>
      <c r="M140" s="10">
        <f t="shared" si="18"/>
        <v>0.31535538904799726</v>
      </c>
      <c r="P140" s="8">
        <f t="shared" si="19"/>
        <v>10.125013773769094</v>
      </c>
      <c r="X140" s="8">
        <v>-13</v>
      </c>
    </row>
    <row r="141" spans="1:24" x14ac:dyDescent="0.2">
      <c r="A141" s="8">
        <v>69.5</v>
      </c>
      <c r="B141" s="8">
        <v>139</v>
      </c>
      <c r="D141">
        <v>1408.5687876182001</v>
      </c>
      <c r="E141">
        <v>505.36801375751998</v>
      </c>
      <c r="F141">
        <v>142.69965576592</v>
      </c>
      <c r="G141">
        <v>119.32444061962001</v>
      </c>
      <c r="I141" s="9">
        <f t="shared" si="15"/>
        <v>386.04357313789995</v>
      </c>
      <c r="J141" s="9">
        <f t="shared" si="16"/>
        <v>1265.8691318522801</v>
      </c>
      <c r="K141" s="9">
        <f t="shared" si="17"/>
        <v>386.04357313789995</v>
      </c>
      <c r="L141" s="10">
        <f t="shared" si="14"/>
        <v>0.30496325680445541</v>
      </c>
      <c r="M141" s="10">
        <f t="shared" si="18"/>
        <v>0.31115738778614288</v>
      </c>
      <c r="P141" s="8">
        <f t="shared" si="19"/>
        <v>8.659032969763711</v>
      </c>
      <c r="X141" s="8">
        <v>-13</v>
      </c>
    </row>
    <row r="142" spans="1:24" x14ac:dyDescent="0.2">
      <c r="A142" s="8">
        <v>70</v>
      </c>
      <c r="B142" s="8">
        <v>140</v>
      </c>
      <c r="D142">
        <v>1388.3570815451001</v>
      </c>
      <c r="E142">
        <v>493.93648068670001</v>
      </c>
      <c r="F142">
        <v>142.38166953528</v>
      </c>
      <c r="G142">
        <v>119.01807228916</v>
      </c>
      <c r="I142" s="9">
        <f t="shared" si="15"/>
        <v>374.91840839754002</v>
      </c>
      <c r="J142" s="9">
        <f t="shared" si="16"/>
        <v>1245.97541200982</v>
      </c>
      <c r="K142" s="9">
        <f t="shared" si="17"/>
        <v>374.91840839754002</v>
      </c>
      <c r="L142" s="10">
        <f t="shared" si="14"/>
        <v>0.30090353692676652</v>
      </c>
      <c r="M142" s="10">
        <f t="shared" si="18"/>
        <v>0.30714223000184743</v>
      </c>
      <c r="P142" s="8">
        <f t="shared" si="19"/>
        <v>7.2569027964559867</v>
      </c>
      <c r="X142" s="8">
        <v>-13</v>
      </c>
    </row>
    <row r="143" spans="1:24" x14ac:dyDescent="0.2">
      <c r="A143" s="8">
        <v>70.5</v>
      </c>
      <c r="B143" s="8">
        <v>141</v>
      </c>
      <c r="D143">
        <v>1409.5703862661001</v>
      </c>
      <c r="E143">
        <v>495.76351931330998</v>
      </c>
      <c r="F143">
        <v>142.35197934595999</v>
      </c>
      <c r="G143">
        <v>119.01419965577</v>
      </c>
      <c r="I143" s="9">
        <f t="shared" si="15"/>
        <v>376.74931965754001</v>
      </c>
      <c r="J143" s="9">
        <f t="shared" si="16"/>
        <v>1267.2184069201401</v>
      </c>
      <c r="K143" s="9">
        <f t="shared" si="17"/>
        <v>376.74931965754001</v>
      </c>
      <c r="L143" s="10">
        <f t="shared" si="14"/>
        <v>0.29730417235115392</v>
      </c>
      <c r="M143" s="10">
        <f t="shared" si="18"/>
        <v>0.30358742751962825</v>
      </c>
      <c r="P143" s="8">
        <f t="shared" si="19"/>
        <v>6.01553294544693</v>
      </c>
      <c r="X143" s="8">
        <v>-13</v>
      </c>
    </row>
    <row r="144" spans="1:24" x14ac:dyDescent="0.2">
      <c r="A144" s="8">
        <v>71</v>
      </c>
      <c r="B144" s="8">
        <v>142</v>
      </c>
      <c r="D144">
        <v>1422.4832618026001</v>
      </c>
      <c r="E144">
        <v>495.59914163090002</v>
      </c>
      <c r="F144">
        <v>142.13425129088</v>
      </c>
      <c r="G144">
        <v>119.28958691910999</v>
      </c>
      <c r="I144" s="9">
        <f t="shared" si="15"/>
        <v>376.30955471179004</v>
      </c>
      <c r="J144" s="9">
        <f t="shared" si="16"/>
        <v>1280.3490105117201</v>
      </c>
      <c r="K144" s="9">
        <f t="shared" si="17"/>
        <v>376.30955471179004</v>
      </c>
      <c r="L144" s="10">
        <f t="shared" si="14"/>
        <v>0.2939117003428538</v>
      </c>
      <c r="M144" s="10">
        <f t="shared" si="18"/>
        <v>0.30023951760472162</v>
      </c>
      <c r="P144" s="8">
        <f t="shared" si="19"/>
        <v>4.8464118893411907</v>
      </c>
    </row>
    <row r="145" spans="1:16" x14ac:dyDescent="0.2">
      <c r="A145" s="8">
        <v>71.5</v>
      </c>
      <c r="B145" s="8">
        <v>143</v>
      </c>
      <c r="D145">
        <v>1414.7819742489</v>
      </c>
      <c r="E145">
        <v>491.14763948498</v>
      </c>
      <c r="F145">
        <v>142.64845094664</v>
      </c>
      <c r="G145">
        <v>119.17641996558</v>
      </c>
      <c r="I145" s="9">
        <f t="shared" si="15"/>
        <v>371.97121951939999</v>
      </c>
      <c r="J145" s="9">
        <f t="shared" si="16"/>
        <v>1272.1335233022601</v>
      </c>
      <c r="K145" s="9">
        <f t="shared" si="17"/>
        <v>371.97121951939999</v>
      </c>
      <c r="L145" s="10">
        <f t="shared" si="14"/>
        <v>0.29239951051193175</v>
      </c>
      <c r="M145" s="10">
        <f t="shared" si="18"/>
        <v>0.298771889867193</v>
      </c>
      <c r="P145" s="8">
        <f t="shared" si="19"/>
        <v>4.3339027316635148</v>
      </c>
    </row>
    <row r="146" spans="1:16" x14ac:dyDescent="0.2">
      <c r="A146" s="8">
        <v>72</v>
      </c>
      <c r="B146" s="8">
        <v>144</v>
      </c>
      <c r="D146">
        <v>1363.1905579398999</v>
      </c>
      <c r="E146">
        <v>474.30386266094001</v>
      </c>
      <c r="F146">
        <v>142.20180722891999</v>
      </c>
      <c r="G146">
        <v>119.4569707401</v>
      </c>
      <c r="I146" s="9">
        <f t="shared" si="15"/>
        <v>354.84689192083999</v>
      </c>
      <c r="J146" s="9">
        <f t="shared" si="16"/>
        <v>1220.98875071098</v>
      </c>
      <c r="K146" s="9">
        <f t="shared" si="17"/>
        <v>354.84689192083999</v>
      </c>
      <c r="L146" s="10">
        <f t="shared" si="14"/>
        <v>0.29062257266024211</v>
      </c>
      <c r="M146" s="10">
        <f t="shared" si="18"/>
        <v>0.29703951410889678</v>
      </c>
      <c r="P146" s="8">
        <f t="shared" si="19"/>
        <v>3.7289411205122378</v>
      </c>
    </row>
    <row r="147" spans="1:16" x14ac:dyDescent="0.2">
      <c r="A147" s="8">
        <v>72.5</v>
      </c>
      <c r="B147" s="8">
        <v>145</v>
      </c>
      <c r="D147">
        <v>1507.5121212121001</v>
      </c>
      <c r="E147">
        <v>514.18874458874996</v>
      </c>
      <c r="F147">
        <v>142.61359724613001</v>
      </c>
      <c r="G147">
        <v>119.09896729776</v>
      </c>
      <c r="I147" s="9">
        <f t="shared" si="15"/>
        <v>395.08977729098996</v>
      </c>
      <c r="J147" s="9">
        <f t="shared" si="16"/>
        <v>1364.8985239659701</v>
      </c>
      <c r="K147" s="9">
        <f t="shared" si="17"/>
        <v>395.08977729098996</v>
      </c>
      <c r="L147" s="10">
        <f t="shared" si="14"/>
        <v>0.28946457949341325</v>
      </c>
      <c r="M147" s="10">
        <f t="shared" si="18"/>
        <v>0.29592608303546136</v>
      </c>
      <c r="P147" s="8">
        <f t="shared" si="19"/>
        <v>3.3401207085054017</v>
      </c>
    </row>
    <row r="148" spans="1:16" x14ac:dyDescent="0.2">
      <c r="A148" s="8">
        <v>73</v>
      </c>
      <c r="B148" s="8">
        <v>146</v>
      </c>
      <c r="D148">
        <v>1500.1393939394</v>
      </c>
      <c r="E148">
        <v>508.02164502164999</v>
      </c>
      <c r="F148">
        <v>142.36790017211999</v>
      </c>
      <c r="G148">
        <v>118.85628227194999</v>
      </c>
      <c r="I148" s="9">
        <f t="shared" si="15"/>
        <v>389.16536274969997</v>
      </c>
      <c r="J148" s="9">
        <f t="shared" si="16"/>
        <v>1357.7714937672799</v>
      </c>
      <c r="K148" s="9">
        <f t="shared" si="17"/>
        <v>389.16536274969997</v>
      </c>
      <c r="L148" s="10">
        <f t="shared" si="14"/>
        <v>0.28662066079316462</v>
      </c>
      <c r="M148" s="10">
        <f t="shared" si="18"/>
        <v>0.29312672642860615</v>
      </c>
      <c r="P148" s="8">
        <f t="shared" si="19"/>
        <v>2.3625595327846942</v>
      </c>
    </row>
    <row r="149" spans="1:16" x14ac:dyDescent="0.2">
      <c r="A149" s="8">
        <v>73.5</v>
      </c>
      <c r="B149" s="8">
        <v>147</v>
      </c>
      <c r="D149">
        <v>1599.3813852814001</v>
      </c>
      <c r="E149">
        <v>543.88181818181999</v>
      </c>
      <c r="F149">
        <v>142.49440619621001</v>
      </c>
      <c r="G149">
        <v>118.93287435456</v>
      </c>
      <c r="I149" s="9">
        <f t="shared" si="15"/>
        <v>424.94894382726</v>
      </c>
      <c r="J149" s="9">
        <f t="shared" si="16"/>
        <v>1456.88697908519</v>
      </c>
      <c r="K149" s="9">
        <f t="shared" si="17"/>
        <v>424.94894382726</v>
      </c>
      <c r="L149" s="10">
        <f t="shared" si="14"/>
        <v>0.29168284837997138</v>
      </c>
      <c r="M149" s="10">
        <f t="shared" si="18"/>
        <v>0.29823347610880635</v>
      </c>
      <c r="P149" s="8">
        <f t="shared" si="19"/>
        <v>4.1458836756476627</v>
      </c>
    </row>
    <row r="150" spans="1:16" x14ac:dyDescent="0.2">
      <c r="A150" s="8">
        <v>74</v>
      </c>
      <c r="B150" s="8">
        <v>148</v>
      </c>
      <c r="D150">
        <v>1559.8307359307</v>
      </c>
      <c r="E150">
        <v>545.26406926407003</v>
      </c>
      <c r="F150">
        <v>142.41179001721</v>
      </c>
      <c r="G150">
        <v>119.14672977625</v>
      </c>
      <c r="I150" s="9">
        <f t="shared" si="15"/>
        <v>426.11733948782</v>
      </c>
      <c r="J150" s="9">
        <f t="shared" si="16"/>
        <v>1417.41894591349</v>
      </c>
      <c r="K150" s="9">
        <f t="shared" si="17"/>
        <v>426.11733948782</v>
      </c>
      <c r="L150" s="10">
        <f t="shared" si="14"/>
        <v>0.30062906998410294</v>
      </c>
      <c r="M150" s="10">
        <f t="shared" si="18"/>
        <v>0.30722425980633133</v>
      </c>
      <c r="P150" s="8">
        <f t="shared" si="19"/>
        <v>7.2855483616258754</v>
      </c>
    </row>
    <row r="151" spans="1:16" x14ac:dyDescent="0.2">
      <c r="A151" s="8">
        <v>74.5</v>
      </c>
      <c r="B151" s="8">
        <v>149</v>
      </c>
      <c r="D151">
        <v>1556.2225108225</v>
      </c>
      <c r="E151">
        <v>546.39393939393995</v>
      </c>
      <c r="F151">
        <v>142.85929432014001</v>
      </c>
      <c r="G151">
        <v>119.06454388985</v>
      </c>
      <c r="I151" s="9">
        <f t="shared" si="15"/>
        <v>427.32939550408992</v>
      </c>
      <c r="J151" s="9">
        <f t="shared" si="16"/>
        <v>1413.36321650236</v>
      </c>
      <c r="K151" s="9">
        <f t="shared" si="17"/>
        <v>427.32939550408992</v>
      </c>
      <c r="L151" s="10">
        <f t="shared" si="14"/>
        <v>0.30234931156734002</v>
      </c>
      <c r="M151" s="10">
        <f t="shared" si="18"/>
        <v>0.30898906348296185</v>
      </c>
      <c r="P151" s="8">
        <f t="shared" si="19"/>
        <v>7.9018341012913327</v>
      </c>
    </row>
    <row r="152" spans="1:16" x14ac:dyDescent="0.2">
      <c r="A152" s="8">
        <v>75</v>
      </c>
      <c r="B152" s="8">
        <v>150</v>
      </c>
      <c r="D152">
        <v>1611.0623376623</v>
      </c>
      <c r="E152">
        <v>562.3038961039</v>
      </c>
      <c r="F152">
        <v>142.29561101549001</v>
      </c>
      <c r="G152">
        <v>118.82788296040999</v>
      </c>
      <c r="I152" s="9">
        <f t="shared" si="15"/>
        <v>443.47601314349004</v>
      </c>
      <c r="J152" s="9">
        <f t="shared" si="16"/>
        <v>1468.76672664681</v>
      </c>
      <c r="K152" s="9">
        <f t="shared" si="17"/>
        <v>443.47601314349004</v>
      </c>
      <c r="L152" s="10">
        <f t="shared" si="14"/>
        <v>0.3019376767582041</v>
      </c>
      <c r="M152" s="10">
        <f t="shared" si="18"/>
        <v>0.30862199076721936</v>
      </c>
      <c r="P152" s="8">
        <f t="shared" si="19"/>
        <v>7.7736489194900988</v>
      </c>
    </row>
    <row r="153" spans="1:16" x14ac:dyDescent="0.2">
      <c r="A153" s="8">
        <v>75.5</v>
      </c>
      <c r="B153" s="8">
        <v>151</v>
      </c>
      <c r="D153">
        <v>1651.1692640693</v>
      </c>
      <c r="E153">
        <v>571.69437229437005</v>
      </c>
      <c r="F153">
        <v>142.63855421687001</v>
      </c>
      <c r="G153">
        <v>118.917383821</v>
      </c>
      <c r="I153" s="9">
        <f t="shared" si="15"/>
        <v>452.77698847337007</v>
      </c>
      <c r="J153" s="9">
        <f t="shared" si="16"/>
        <v>1508.5307098524299</v>
      </c>
      <c r="K153" s="9">
        <f t="shared" si="17"/>
        <v>452.77698847337007</v>
      </c>
      <c r="L153" s="10">
        <f t="shared" si="14"/>
        <v>0.30014436266773936</v>
      </c>
      <c r="M153" s="10">
        <f t="shared" si="18"/>
        <v>0.30687323877014805</v>
      </c>
      <c r="P153" s="8">
        <f t="shared" si="19"/>
        <v>7.1629685745441858</v>
      </c>
    </row>
    <row r="154" spans="1:16" x14ac:dyDescent="0.2">
      <c r="A154" s="8">
        <v>76</v>
      </c>
      <c r="B154" s="8">
        <v>152</v>
      </c>
      <c r="D154">
        <v>1614.0909090908999</v>
      </c>
      <c r="E154">
        <v>559.43506493507005</v>
      </c>
      <c r="F154">
        <v>142.31196213425</v>
      </c>
      <c r="G154">
        <v>118.98450946644</v>
      </c>
      <c r="I154" s="9">
        <f t="shared" si="15"/>
        <v>440.45055546863006</v>
      </c>
      <c r="J154" s="9">
        <f t="shared" si="16"/>
        <v>1471.7789469566499</v>
      </c>
      <c r="K154" s="9">
        <f t="shared" si="17"/>
        <v>440.45055546863006</v>
      </c>
      <c r="L154" s="10">
        <f t="shared" si="14"/>
        <v>0.29926406841149306</v>
      </c>
      <c r="M154" s="10">
        <f t="shared" si="18"/>
        <v>0.30603750660729517</v>
      </c>
      <c r="P154" s="8">
        <f t="shared" si="19"/>
        <v>6.8711231863198314</v>
      </c>
    </row>
    <row r="155" spans="1:16" x14ac:dyDescent="0.2">
      <c r="A155" s="8">
        <v>76.5</v>
      </c>
      <c r="B155" s="8">
        <v>153</v>
      </c>
      <c r="D155">
        <v>1649.5849056604</v>
      </c>
      <c r="E155">
        <v>568.51243567752999</v>
      </c>
      <c r="F155">
        <v>142.62564543889999</v>
      </c>
      <c r="G155">
        <v>119.00602409638999</v>
      </c>
      <c r="I155" s="9">
        <f t="shared" si="15"/>
        <v>449.50641158114001</v>
      </c>
      <c r="J155" s="9">
        <f t="shared" si="16"/>
        <v>1506.9592602215</v>
      </c>
      <c r="K155" s="9">
        <f t="shared" si="17"/>
        <v>449.50641158114001</v>
      </c>
      <c r="L155" s="10">
        <f t="shared" si="14"/>
        <v>0.29828703631647574</v>
      </c>
      <c r="M155" s="10">
        <f t="shared" si="18"/>
        <v>0.30510503660567134</v>
      </c>
      <c r="P155" s="8">
        <f t="shared" si="19"/>
        <v>6.5454960515419911</v>
      </c>
    </row>
    <row r="156" spans="1:16" x14ac:dyDescent="0.2">
      <c r="A156" s="8">
        <v>77</v>
      </c>
      <c r="B156" s="8">
        <v>154</v>
      </c>
      <c r="D156">
        <v>1679.391509434</v>
      </c>
      <c r="E156">
        <v>583.98670668954003</v>
      </c>
      <c r="F156">
        <v>142.36445783132999</v>
      </c>
      <c r="G156">
        <v>119.31239242685</v>
      </c>
      <c r="I156" s="9">
        <f t="shared" si="15"/>
        <v>464.67431426269002</v>
      </c>
      <c r="J156" s="9">
        <f t="shared" si="16"/>
        <v>1537.0270516026701</v>
      </c>
      <c r="K156" s="9">
        <f t="shared" si="17"/>
        <v>464.67431426269002</v>
      </c>
      <c r="L156" s="10">
        <f t="shared" si="14"/>
        <v>0.30232019259398885</v>
      </c>
      <c r="M156" s="10">
        <f t="shared" si="18"/>
        <v>0.30918275497657788</v>
      </c>
      <c r="P156" s="8">
        <f t="shared" si="19"/>
        <v>7.9694729593641895</v>
      </c>
    </row>
    <row r="157" spans="1:16" x14ac:dyDescent="0.2">
      <c r="A157" s="8">
        <v>77.5</v>
      </c>
      <c r="B157" s="8">
        <v>155</v>
      </c>
      <c r="D157">
        <v>1731.1522207848</v>
      </c>
      <c r="E157">
        <v>613.06856403621998</v>
      </c>
      <c r="F157">
        <v>142.56755593803999</v>
      </c>
      <c r="G157">
        <v>118.97547332185999</v>
      </c>
      <c r="I157" s="9">
        <f t="shared" si="15"/>
        <v>494.09309071435996</v>
      </c>
      <c r="J157" s="9">
        <f t="shared" si="16"/>
        <v>1588.58466484676</v>
      </c>
      <c r="K157" s="9">
        <f t="shared" si="17"/>
        <v>494.09309071435996</v>
      </c>
      <c r="L157" s="10">
        <f t="shared" si="14"/>
        <v>0.31102723175413616</v>
      </c>
      <c r="M157" s="10">
        <f t="shared" si="18"/>
        <v>0.31793435623011862</v>
      </c>
      <c r="P157" s="8">
        <f t="shared" si="19"/>
        <v>11.025612927348128</v>
      </c>
    </row>
    <row r="158" spans="1:16" x14ac:dyDescent="0.2">
      <c r="A158" s="8">
        <v>78</v>
      </c>
      <c r="B158" s="8">
        <v>156</v>
      </c>
      <c r="D158">
        <v>1667.4812419146001</v>
      </c>
      <c r="E158">
        <v>585.96636481242001</v>
      </c>
      <c r="F158">
        <v>142.00301204818999</v>
      </c>
      <c r="G158">
        <v>119.20223752152</v>
      </c>
      <c r="I158" s="9">
        <f t="shared" si="15"/>
        <v>466.76412729089998</v>
      </c>
      <c r="J158" s="9">
        <f t="shared" si="16"/>
        <v>1525.4782298664102</v>
      </c>
      <c r="K158" s="9">
        <f t="shared" si="17"/>
        <v>466.76412729089998</v>
      </c>
      <c r="L158" s="10">
        <f t="shared" si="14"/>
        <v>0.3059788846228082</v>
      </c>
      <c r="M158" s="10">
        <f t="shared" si="18"/>
        <v>0.31293057119218409</v>
      </c>
      <c r="P158" s="8">
        <f t="shared" si="19"/>
        <v>9.2782449883158549</v>
      </c>
    </row>
    <row r="159" spans="1:16" x14ac:dyDescent="0.2">
      <c r="A159" s="8">
        <v>78.5</v>
      </c>
      <c r="B159" s="8">
        <v>157</v>
      </c>
      <c r="D159">
        <v>1722.1254310345</v>
      </c>
      <c r="E159">
        <v>603.61077586207</v>
      </c>
      <c r="F159">
        <v>142.13941480207001</v>
      </c>
      <c r="G159">
        <v>118.91179001721</v>
      </c>
      <c r="I159" s="9">
        <f t="shared" si="15"/>
        <v>484.69898584485998</v>
      </c>
      <c r="J159" s="9">
        <f t="shared" si="16"/>
        <v>1579.9860162324301</v>
      </c>
      <c r="K159" s="9">
        <f t="shared" si="17"/>
        <v>484.69898584485998</v>
      </c>
      <c r="L159" s="10">
        <f t="shared" si="14"/>
        <v>0.30677422512931685</v>
      </c>
      <c r="M159" s="10">
        <f t="shared" si="18"/>
        <v>0.31377047379208617</v>
      </c>
      <c r="P159" s="8">
        <f t="shared" si="19"/>
        <v>9.5715467316666327</v>
      </c>
    </row>
    <row r="160" spans="1:16" x14ac:dyDescent="0.2">
      <c r="A160" s="8">
        <v>79</v>
      </c>
      <c r="B160" s="8">
        <v>158</v>
      </c>
      <c r="D160">
        <v>1735.4586206897</v>
      </c>
      <c r="E160">
        <v>600.91637931034995</v>
      </c>
      <c r="F160">
        <v>142.38898450946999</v>
      </c>
      <c r="G160">
        <v>119.01419965577</v>
      </c>
      <c r="I160" s="9">
        <f t="shared" si="15"/>
        <v>481.90217965457998</v>
      </c>
      <c r="J160" s="9">
        <f t="shared" si="16"/>
        <v>1593.06963618023</v>
      </c>
      <c r="K160" s="9">
        <f t="shared" si="17"/>
        <v>481.90217965457998</v>
      </c>
      <c r="L160" s="10">
        <f t="shared" si="14"/>
        <v>0.30249913042725307</v>
      </c>
      <c r="M160" s="10">
        <f t="shared" si="18"/>
        <v>0.30953994118341582</v>
      </c>
      <c r="P160" s="8">
        <f t="shared" si="19"/>
        <v>8.0942056809662351</v>
      </c>
    </row>
    <row r="161" spans="1:16" x14ac:dyDescent="0.2">
      <c r="A161" s="8">
        <v>79.5</v>
      </c>
      <c r="B161" s="8">
        <v>159</v>
      </c>
      <c r="D161">
        <v>1738.9159482759001</v>
      </c>
      <c r="E161">
        <v>602.91250000000002</v>
      </c>
      <c r="F161">
        <v>142.46901893287</v>
      </c>
      <c r="G161">
        <v>118.88209982788</v>
      </c>
      <c r="I161" s="9">
        <f t="shared" si="15"/>
        <v>484.03040017212004</v>
      </c>
      <c r="J161" s="9">
        <f t="shared" si="16"/>
        <v>1596.44692934303</v>
      </c>
      <c r="K161" s="9">
        <f t="shared" si="17"/>
        <v>484.03040017212004</v>
      </c>
      <c r="L161" s="10">
        <f t="shared" si="14"/>
        <v>0.30319228987543501</v>
      </c>
      <c r="M161" s="10">
        <f t="shared" si="18"/>
        <v>0.31027766272499119</v>
      </c>
      <c r="P161" s="8">
        <f t="shared" si="19"/>
        <v>8.3518248552332341</v>
      </c>
    </row>
    <row r="162" spans="1:16" x14ac:dyDescent="0.2">
      <c r="A162" s="8">
        <v>80</v>
      </c>
      <c r="B162" s="4">
        <v>160</v>
      </c>
      <c r="C162" s="4" t="s">
        <v>6</v>
      </c>
      <c r="D162">
        <v>1818.5151122625</v>
      </c>
      <c r="E162">
        <v>652.7085492228</v>
      </c>
      <c r="F162">
        <v>142.55249569706999</v>
      </c>
      <c r="G162">
        <v>118.99053356282</v>
      </c>
      <c r="H162" s="4"/>
      <c r="I162" s="5">
        <f t="shared" si="15"/>
        <v>533.71801565997998</v>
      </c>
      <c r="J162" s="5">
        <f t="shared" si="16"/>
        <v>1675.9626165654299</v>
      </c>
      <c r="K162" s="9">
        <f t="shared" si="17"/>
        <v>533.71801565997998</v>
      </c>
      <c r="L162" s="6">
        <f t="shared" si="14"/>
        <v>0.31845460655544611</v>
      </c>
      <c r="M162" s="6">
        <f t="shared" si="18"/>
        <v>0.32558454149839572</v>
      </c>
      <c r="N162" s="4"/>
      <c r="O162" s="4"/>
      <c r="P162" s="4">
        <f t="shared" si="19"/>
        <v>13.697128263059341</v>
      </c>
    </row>
    <row r="163" spans="1:16" x14ac:dyDescent="0.2">
      <c r="A163" s="8">
        <v>80.5</v>
      </c>
      <c r="B163" s="8">
        <v>161</v>
      </c>
      <c r="D163">
        <v>1838.1833117164001</v>
      </c>
      <c r="E163">
        <v>662.75572849113996</v>
      </c>
      <c r="F163">
        <v>142.84982788296</v>
      </c>
      <c r="G163">
        <v>118.92598967297999</v>
      </c>
      <c r="I163" s="9">
        <f t="shared" si="15"/>
        <v>543.82973881815997</v>
      </c>
      <c r="J163" s="9">
        <f t="shared" si="16"/>
        <v>1695.3334838334401</v>
      </c>
      <c r="K163" s="9">
        <f t="shared" si="17"/>
        <v>543.82973881815997</v>
      </c>
      <c r="L163" s="10">
        <f t="shared" si="14"/>
        <v>0.32078039158907401</v>
      </c>
      <c r="M163" s="10">
        <f t="shared" si="18"/>
        <v>0.32795488862541705</v>
      </c>
      <c r="P163" s="8">
        <f t="shared" si="19"/>
        <v>14.524875367048452</v>
      </c>
    </row>
    <row r="164" spans="1:16" x14ac:dyDescent="0.2">
      <c r="A164" s="8">
        <v>81</v>
      </c>
      <c r="B164" s="8">
        <v>162</v>
      </c>
      <c r="D164">
        <v>1788.0345871162999</v>
      </c>
      <c r="E164">
        <v>643.61997405965997</v>
      </c>
      <c r="F164">
        <v>142.3765060241</v>
      </c>
      <c r="G164">
        <v>118.84251290877999</v>
      </c>
      <c r="I164" s="9">
        <f t="shared" si="15"/>
        <v>524.77746115087996</v>
      </c>
      <c r="J164" s="9">
        <f t="shared" si="16"/>
        <v>1645.6580810921998</v>
      </c>
      <c r="K164" s="9">
        <f t="shared" si="17"/>
        <v>524.77746115087996</v>
      </c>
      <c r="L164" s="10">
        <f t="shared" si="14"/>
        <v>0.31888608404158453</v>
      </c>
      <c r="M164" s="10">
        <f t="shared" si="18"/>
        <v>0.326105143171321</v>
      </c>
      <c r="P164" s="8">
        <f t="shared" si="19"/>
        <v>13.878927174359438</v>
      </c>
    </row>
    <row r="165" spans="1:16" x14ac:dyDescent="0.2">
      <c r="A165" s="8">
        <v>81.5</v>
      </c>
      <c r="B165" s="8">
        <v>163</v>
      </c>
      <c r="D165">
        <v>1823.1504117902</v>
      </c>
      <c r="E165">
        <v>653.10923276982999</v>
      </c>
      <c r="F165">
        <v>142.1678141136</v>
      </c>
      <c r="G165">
        <v>118.99311531842</v>
      </c>
      <c r="I165" s="9">
        <f t="shared" si="15"/>
        <v>534.11611745140999</v>
      </c>
      <c r="J165" s="9">
        <f t="shared" si="16"/>
        <v>1680.9825976766001</v>
      </c>
      <c r="K165" s="9">
        <f t="shared" si="17"/>
        <v>534.11611745140999</v>
      </c>
      <c r="L165" s="10">
        <f t="shared" si="14"/>
        <v>0.31774042050741513</v>
      </c>
      <c r="M165" s="10">
        <f t="shared" si="18"/>
        <v>0.32500404173054509</v>
      </c>
      <c r="P165" s="8">
        <f t="shared" si="19"/>
        <v>13.494412383926257</v>
      </c>
    </row>
    <row r="166" spans="1:16" x14ac:dyDescent="0.2">
      <c r="A166" s="8">
        <v>82</v>
      </c>
      <c r="B166" s="8">
        <v>164</v>
      </c>
      <c r="D166">
        <v>1821.1296055483001</v>
      </c>
      <c r="E166">
        <v>674.59557867360002</v>
      </c>
      <c r="F166">
        <v>142.30593803786999</v>
      </c>
      <c r="G166">
        <v>118.78184165232</v>
      </c>
      <c r="I166" s="9">
        <f t="shared" si="15"/>
        <v>555.81373702128008</v>
      </c>
      <c r="J166" s="9">
        <f t="shared" si="16"/>
        <v>1678.8236675104301</v>
      </c>
      <c r="K166" s="9">
        <f t="shared" si="17"/>
        <v>555.81373702128008</v>
      </c>
      <c r="L166" s="10">
        <f t="shared" si="14"/>
        <v>0.33107332698347663</v>
      </c>
      <c r="M166" s="10">
        <f t="shared" si="18"/>
        <v>0.33838151030000002</v>
      </c>
      <c r="P166" s="8">
        <f t="shared" si="19"/>
        <v>18.165947932808752</v>
      </c>
    </row>
    <row r="167" spans="1:16" x14ac:dyDescent="0.2">
      <c r="A167" s="8">
        <v>82.5</v>
      </c>
      <c r="B167" s="8">
        <v>165</v>
      </c>
      <c r="D167">
        <v>1814.5539661898999</v>
      </c>
      <c r="E167">
        <v>676.67533593410997</v>
      </c>
      <c r="F167">
        <v>142.35197934595999</v>
      </c>
      <c r="G167">
        <v>119.01247848537</v>
      </c>
      <c r="I167" s="9">
        <f t="shared" si="15"/>
        <v>557.66285744873994</v>
      </c>
      <c r="J167" s="9">
        <f t="shared" si="16"/>
        <v>1672.2019868439399</v>
      </c>
      <c r="K167" s="9">
        <f t="shared" si="17"/>
        <v>557.66285744873994</v>
      </c>
      <c r="L167" s="10">
        <f t="shared" si="14"/>
        <v>0.33349012968299052</v>
      </c>
      <c r="M167" s="10">
        <f t="shared" si="18"/>
        <v>0.34084287509290734</v>
      </c>
      <c r="P167" s="8">
        <f t="shared" si="19"/>
        <v>19.025479246161169</v>
      </c>
    </row>
    <row r="168" spans="1:16" x14ac:dyDescent="0.2">
      <c r="A168" s="8">
        <v>83</v>
      </c>
      <c r="B168" s="8">
        <v>166</v>
      </c>
      <c r="D168">
        <v>1890.4568703944999</v>
      </c>
      <c r="E168">
        <v>728.64976159515004</v>
      </c>
      <c r="F168">
        <v>142.72246127367001</v>
      </c>
      <c r="G168">
        <v>118.94061962134001</v>
      </c>
      <c r="I168" s="9">
        <f t="shared" si="15"/>
        <v>609.70914197381001</v>
      </c>
      <c r="J168" s="9">
        <f t="shared" si="16"/>
        <v>1747.7344091208299</v>
      </c>
      <c r="K168" s="9">
        <f t="shared" si="17"/>
        <v>609.70914197381001</v>
      </c>
      <c r="L168" s="10">
        <f t="shared" si="14"/>
        <v>0.34885686222800555</v>
      </c>
      <c r="M168" s="10">
        <f t="shared" si="18"/>
        <v>0.3562541697313158</v>
      </c>
      <c r="P168" s="8">
        <f t="shared" si="19"/>
        <v>24.407245638198425</v>
      </c>
    </row>
    <row r="169" spans="1:16" x14ac:dyDescent="0.2">
      <c r="A169" s="8">
        <v>83.5</v>
      </c>
      <c r="B169" s="8">
        <v>167</v>
      </c>
      <c r="D169">
        <v>1876.2228001733999</v>
      </c>
      <c r="E169">
        <v>708.51365409622997</v>
      </c>
      <c r="F169">
        <v>142.78700516351</v>
      </c>
      <c r="G169">
        <v>118.99096385542001</v>
      </c>
      <c r="I169" s="9">
        <f t="shared" si="15"/>
        <v>589.52269024080999</v>
      </c>
      <c r="J169" s="9">
        <f t="shared" si="16"/>
        <v>1733.4357950098899</v>
      </c>
      <c r="K169" s="9">
        <f t="shared" si="17"/>
        <v>589.52269024080999</v>
      </c>
      <c r="L169" s="10">
        <f t="shared" si="14"/>
        <v>0.34008914084841924</v>
      </c>
      <c r="M169" s="10">
        <f t="shared" si="18"/>
        <v>0.34753101044512291</v>
      </c>
      <c r="P169" s="8">
        <f t="shared" si="19"/>
        <v>21.36103786783886</v>
      </c>
    </row>
    <row r="170" spans="1:16" x14ac:dyDescent="0.2">
      <c r="A170" s="8">
        <v>84</v>
      </c>
      <c r="B170" s="8">
        <v>168</v>
      </c>
      <c r="D170">
        <v>1874.4155507559001</v>
      </c>
      <c r="E170">
        <v>700.49503239741</v>
      </c>
      <c r="F170">
        <v>142.50602409639001</v>
      </c>
      <c r="G170">
        <v>118.75645438898999</v>
      </c>
      <c r="I170" s="9">
        <f t="shared" si="15"/>
        <v>581.73857800842006</v>
      </c>
      <c r="J170" s="9">
        <f t="shared" si="16"/>
        <v>1731.90952665951</v>
      </c>
      <c r="K170" s="9">
        <f t="shared" si="17"/>
        <v>581.73857800842006</v>
      </c>
      <c r="L170" s="10">
        <f t="shared" si="14"/>
        <v>0.33589432303110645</v>
      </c>
      <c r="M170" s="10">
        <f t="shared" si="18"/>
        <v>0.34338075472120355</v>
      </c>
      <c r="P170" s="8">
        <f t="shared" si="19"/>
        <v>19.911730246551564</v>
      </c>
    </row>
    <row r="171" spans="1:16" x14ac:dyDescent="0.2">
      <c r="A171" s="8">
        <v>84.5</v>
      </c>
      <c r="B171" s="8">
        <v>169</v>
      </c>
      <c r="D171">
        <v>1901.8060475161999</v>
      </c>
      <c r="E171">
        <v>725.49157667386999</v>
      </c>
      <c r="F171">
        <v>142.40920826161999</v>
      </c>
      <c r="G171">
        <v>119.09552495697</v>
      </c>
      <c r="I171" s="9">
        <f t="shared" si="15"/>
        <v>606.39605171690005</v>
      </c>
      <c r="J171" s="9">
        <f t="shared" si="16"/>
        <v>1759.3968392545798</v>
      </c>
      <c r="K171" s="9">
        <f t="shared" si="17"/>
        <v>606.39605171690005</v>
      </c>
      <c r="L171" s="10">
        <f t="shared" si="14"/>
        <v>0.3446613283526288</v>
      </c>
      <c r="M171" s="10">
        <f t="shared" si="18"/>
        <v>0.35219232213611934</v>
      </c>
      <c r="P171" s="8">
        <f t="shared" si="19"/>
        <v>22.988810951801234</v>
      </c>
    </row>
    <row r="172" spans="1:16" x14ac:dyDescent="0.2">
      <c r="A172" s="8">
        <v>85</v>
      </c>
      <c r="B172" s="8">
        <v>170</v>
      </c>
      <c r="D172">
        <v>1900.3718224903</v>
      </c>
      <c r="E172">
        <v>737.07712193019995</v>
      </c>
      <c r="F172">
        <v>142.71213425129</v>
      </c>
      <c r="G172">
        <v>119.25817555938001</v>
      </c>
      <c r="I172" s="9">
        <f t="shared" si="15"/>
        <v>617.81894637081996</v>
      </c>
      <c r="J172" s="9">
        <f t="shared" si="16"/>
        <v>1757.6596882390099</v>
      </c>
      <c r="K172" s="9">
        <f t="shared" si="17"/>
        <v>617.81894637081996</v>
      </c>
      <c r="L172" s="10">
        <f t="shared" si="14"/>
        <v>0.35150089093174203</v>
      </c>
      <c r="M172" s="10">
        <f t="shared" si="18"/>
        <v>0.35907644680862599</v>
      </c>
      <c r="P172" s="8">
        <f t="shared" si="19"/>
        <v>25.392810853844299</v>
      </c>
    </row>
    <row r="173" spans="1:16" x14ac:dyDescent="0.2">
      <c r="A173" s="8">
        <v>85.5</v>
      </c>
      <c r="B173" s="8">
        <v>171</v>
      </c>
      <c r="D173">
        <v>1919.7677725118999</v>
      </c>
      <c r="E173">
        <v>745.53080568719997</v>
      </c>
      <c r="F173">
        <v>142.67297762479001</v>
      </c>
      <c r="G173">
        <v>118.98537005164</v>
      </c>
      <c r="I173" s="9">
        <f t="shared" si="15"/>
        <v>626.54543563556001</v>
      </c>
      <c r="J173" s="9">
        <f t="shared" si="16"/>
        <v>1777.0947948871099</v>
      </c>
      <c r="K173" s="9">
        <f t="shared" si="17"/>
        <v>626.54543563556001</v>
      </c>
      <c r="L173" s="10">
        <f t="shared" si="14"/>
        <v>0.3525672560845925</v>
      </c>
      <c r="M173" s="10">
        <f t="shared" si="18"/>
        <v>0.36018737405486989</v>
      </c>
      <c r="P173" s="8">
        <f t="shared" si="19"/>
        <v>25.780756906276096</v>
      </c>
    </row>
    <row r="174" spans="1:16" x14ac:dyDescent="0.2">
      <c r="A174" s="8">
        <v>86</v>
      </c>
      <c r="B174" s="8">
        <v>172</v>
      </c>
      <c r="D174">
        <v>1938.7205692109001</v>
      </c>
      <c r="E174">
        <v>755.36006899526001</v>
      </c>
      <c r="F174">
        <v>142.2934595525</v>
      </c>
      <c r="G174">
        <v>118.76118760756999</v>
      </c>
      <c r="I174" s="9">
        <f t="shared" si="15"/>
        <v>636.59888138768997</v>
      </c>
      <c r="J174" s="9">
        <f t="shared" si="16"/>
        <v>1796.4271096584</v>
      </c>
      <c r="K174" s="9">
        <f t="shared" si="17"/>
        <v>636.59888138768997</v>
      </c>
      <c r="L174" s="10">
        <f t="shared" si="14"/>
        <v>0.35436944697897738</v>
      </c>
      <c r="M174" s="10">
        <f t="shared" si="18"/>
        <v>0.3620341270426482</v>
      </c>
      <c r="P174" s="8">
        <f t="shared" si="19"/>
        <v>26.425660102095222</v>
      </c>
    </row>
    <row r="175" spans="1:16" x14ac:dyDescent="0.2">
      <c r="A175" s="8">
        <v>86.5</v>
      </c>
      <c r="B175" s="8">
        <v>173</v>
      </c>
      <c r="D175">
        <v>1872.5545493746999</v>
      </c>
      <c r="E175">
        <v>723.25959465286996</v>
      </c>
      <c r="F175">
        <v>143.06325301205001</v>
      </c>
      <c r="G175">
        <v>118.9595524957</v>
      </c>
      <c r="I175" s="9">
        <f t="shared" si="15"/>
        <v>604.30004215716997</v>
      </c>
      <c r="J175" s="9">
        <f t="shared" si="16"/>
        <v>1729.49129636265</v>
      </c>
      <c r="K175" s="9">
        <f t="shared" si="17"/>
        <v>604.30004215716997</v>
      </c>
      <c r="L175" s="10">
        <f t="shared" si="14"/>
        <v>0.34940912592511641</v>
      </c>
      <c r="M175" s="10">
        <f t="shared" si="18"/>
        <v>0.35711836808218067</v>
      </c>
      <c r="P175" s="8">
        <f t="shared" si="19"/>
        <v>24.709031682126721</v>
      </c>
    </row>
    <row r="176" spans="1:16" x14ac:dyDescent="0.2">
      <c r="A176" s="8">
        <v>87</v>
      </c>
      <c r="B176" s="8">
        <v>174</v>
      </c>
      <c r="D176">
        <v>1817.5968089693999</v>
      </c>
      <c r="E176">
        <v>690.15523932730002</v>
      </c>
      <c r="F176">
        <v>142.34939759036001</v>
      </c>
      <c r="G176">
        <v>118.94535283993</v>
      </c>
      <c r="I176" s="9">
        <f t="shared" si="15"/>
        <v>571.20988648737</v>
      </c>
      <c r="J176" s="9">
        <f t="shared" si="16"/>
        <v>1675.2474113790399</v>
      </c>
      <c r="K176" s="9">
        <f t="shared" si="17"/>
        <v>571.20988648737</v>
      </c>
      <c r="L176" s="10">
        <f t="shared" si="14"/>
        <v>0.34097046359090216</v>
      </c>
      <c r="M176" s="10">
        <f t="shared" si="18"/>
        <v>0.3487242678413599</v>
      </c>
      <c r="P176" s="8">
        <f t="shared" si="19"/>
        <v>21.777734368865676</v>
      </c>
    </row>
    <row r="177" spans="1:16" x14ac:dyDescent="0.2">
      <c r="A177" s="8">
        <v>87.5</v>
      </c>
      <c r="B177" s="8">
        <v>175</v>
      </c>
      <c r="D177">
        <v>1824.5377317809</v>
      </c>
      <c r="E177">
        <v>700.64812419146006</v>
      </c>
      <c r="F177">
        <v>142.48235800344</v>
      </c>
      <c r="G177">
        <v>118.76678141136</v>
      </c>
      <c r="I177" s="9">
        <f t="shared" si="15"/>
        <v>581.88134278010011</v>
      </c>
      <c r="J177" s="9">
        <f t="shared" si="16"/>
        <v>1682.0553737774601</v>
      </c>
      <c r="K177" s="9">
        <f t="shared" si="17"/>
        <v>581.88134278010011</v>
      </c>
      <c r="L177" s="10">
        <f t="shared" si="14"/>
        <v>0.34593471288245736</v>
      </c>
      <c r="M177" s="10">
        <f t="shared" si="18"/>
        <v>0.35373307922630853</v>
      </c>
      <c r="P177" s="8">
        <f t="shared" si="19"/>
        <v>23.526857554687393</v>
      </c>
    </row>
    <row r="178" spans="1:16" x14ac:dyDescent="0.2">
      <c r="A178" s="8">
        <v>88</v>
      </c>
      <c r="B178" s="8">
        <v>176</v>
      </c>
      <c r="D178">
        <v>1844.7287623975999</v>
      </c>
      <c r="E178">
        <v>704.50194049158995</v>
      </c>
      <c r="F178">
        <v>142.25688468158</v>
      </c>
      <c r="G178">
        <v>119.19363166954</v>
      </c>
      <c r="I178" s="9">
        <f t="shared" si="15"/>
        <v>585.30830882204998</v>
      </c>
      <c r="J178" s="9">
        <f t="shared" si="16"/>
        <v>1702.4718777160199</v>
      </c>
      <c r="K178" s="9">
        <f t="shared" si="17"/>
        <v>585.30830882204998</v>
      </c>
      <c r="L178" s="10">
        <f t="shared" si="14"/>
        <v>0.34379910557305671</v>
      </c>
      <c r="M178" s="10">
        <f t="shared" si="18"/>
        <v>0.35164203401030131</v>
      </c>
      <c r="P178" s="8">
        <f t="shared" si="19"/>
        <v>22.796645257033198</v>
      </c>
    </row>
    <row r="179" spans="1:16" x14ac:dyDescent="0.2">
      <c r="A179" s="8">
        <v>88.5</v>
      </c>
      <c r="B179" s="8">
        <v>177</v>
      </c>
      <c r="D179">
        <v>1834.7602414834</v>
      </c>
      <c r="E179">
        <v>715.74213022854997</v>
      </c>
      <c r="F179">
        <v>142.64113597246001</v>
      </c>
      <c r="G179">
        <v>118.74053356282</v>
      </c>
      <c r="I179" s="9">
        <f t="shared" si="15"/>
        <v>597.00159666572995</v>
      </c>
      <c r="J179" s="9">
        <f t="shared" si="16"/>
        <v>1692.11910551094</v>
      </c>
      <c r="K179" s="9">
        <f t="shared" si="17"/>
        <v>597.00159666572995</v>
      </c>
      <c r="L179" s="10">
        <f t="shared" si="14"/>
        <v>0.35281298740815509</v>
      </c>
      <c r="M179" s="10">
        <f t="shared" si="18"/>
        <v>0.36070047793879312</v>
      </c>
      <c r="P179" s="8">
        <f t="shared" si="19"/>
        <v>25.959937520423843</v>
      </c>
    </row>
    <row r="180" spans="1:16" x14ac:dyDescent="0.2">
      <c r="A180" s="8">
        <v>89</v>
      </c>
      <c r="B180" s="8">
        <v>178</v>
      </c>
      <c r="D180">
        <v>1803.5381630013001</v>
      </c>
      <c r="E180">
        <v>694.78697714531995</v>
      </c>
      <c r="F180">
        <v>142.54001721169999</v>
      </c>
      <c r="G180">
        <v>118.87951807229</v>
      </c>
      <c r="I180" s="9">
        <f t="shared" si="15"/>
        <v>575.90745907302994</v>
      </c>
      <c r="J180" s="9">
        <f t="shared" si="16"/>
        <v>1660.9981457896001</v>
      </c>
      <c r="K180" s="9">
        <f t="shared" si="17"/>
        <v>575.90745907302994</v>
      </c>
      <c r="L180" s="10">
        <f t="shared" si="14"/>
        <v>0.34672372183730332</v>
      </c>
      <c r="M180" s="10">
        <f t="shared" si="18"/>
        <v>0.35465577446133478</v>
      </c>
      <c r="P180" s="8">
        <f t="shared" si="19"/>
        <v>23.84907125071144</v>
      </c>
    </row>
    <row r="181" spans="1:16" x14ac:dyDescent="0.2">
      <c r="A181" s="8">
        <v>89.5</v>
      </c>
      <c r="B181" s="8">
        <v>179</v>
      </c>
      <c r="D181">
        <v>1804.5743855109999</v>
      </c>
      <c r="E181">
        <v>692.77792151790004</v>
      </c>
      <c r="F181">
        <v>142.62693631670001</v>
      </c>
      <c r="G181">
        <v>118.75731497418001</v>
      </c>
      <c r="I181" s="9">
        <f t="shared" si="15"/>
        <v>574.02060654372008</v>
      </c>
      <c r="J181" s="9">
        <f t="shared" si="16"/>
        <v>1661.9474491942999</v>
      </c>
      <c r="K181" s="9">
        <f t="shared" si="17"/>
        <v>574.02060654372008</v>
      </c>
      <c r="L181" s="10">
        <f t="shared" si="14"/>
        <v>0.34539034722307321</v>
      </c>
      <c r="M181" s="10">
        <f t="shared" si="18"/>
        <v>0.3533669619404981</v>
      </c>
      <c r="P181" s="8">
        <f t="shared" si="19"/>
        <v>23.399006017840648</v>
      </c>
    </row>
    <row r="182" spans="1:16" x14ac:dyDescent="0.2">
      <c r="A182" s="8">
        <v>90</v>
      </c>
      <c r="B182" s="8">
        <v>180</v>
      </c>
      <c r="D182">
        <v>1834.4971970677</v>
      </c>
      <c r="E182">
        <v>709.16774471755002</v>
      </c>
      <c r="F182">
        <v>142.6678141136</v>
      </c>
      <c r="G182">
        <v>118.89371772806</v>
      </c>
      <c r="I182" s="9">
        <f t="shared" si="15"/>
        <v>590.27402698949004</v>
      </c>
      <c r="J182" s="9">
        <f t="shared" si="16"/>
        <v>1691.8293829540999</v>
      </c>
      <c r="K182" s="9">
        <f t="shared" si="17"/>
        <v>590.27402698949004</v>
      </c>
      <c r="L182" s="10">
        <f t="shared" si="14"/>
        <v>0.34889689996920004</v>
      </c>
      <c r="M182" s="10">
        <f>L182+ABS($N$2)*A182</f>
        <v>0.35691807678001836</v>
      </c>
      <c r="P182" s="8">
        <f t="shared" si="19"/>
        <v>24.639088109968409</v>
      </c>
    </row>
    <row r="183" spans="1:16" x14ac:dyDescent="0.2">
      <c r="A183" s="8">
        <v>90.5</v>
      </c>
      <c r="B183" s="8">
        <v>181</v>
      </c>
      <c r="D183">
        <v>1852.7352307029</v>
      </c>
      <c r="E183">
        <v>722.46054333765005</v>
      </c>
      <c r="F183">
        <v>142.31110154904999</v>
      </c>
      <c r="G183">
        <v>119.02753872632999</v>
      </c>
      <c r="I183" s="9">
        <f t="shared" si="15"/>
        <v>603.43300461132003</v>
      </c>
      <c r="J183" s="9">
        <f t="shared" si="16"/>
        <v>1710.4241291538501</v>
      </c>
      <c r="K183" s="9">
        <f t="shared" si="17"/>
        <v>603.43300461132003</v>
      </c>
      <c r="L183" s="10">
        <f t="shared" si="14"/>
        <v>0.35279729414822941</v>
      </c>
      <c r="M183" s="10">
        <f t="shared" ref="M183:M241" si="20">L183+ABS($N$2)*A183</f>
        <v>0.36086303305244116</v>
      </c>
      <c r="P183" s="8">
        <f t="shared" si="19"/>
        <v>26.016703267105797</v>
      </c>
    </row>
    <row r="184" spans="1:16" x14ac:dyDescent="0.2">
      <c r="A184" s="8">
        <v>91</v>
      </c>
      <c r="B184" s="8">
        <v>182</v>
      </c>
      <c r="D184">
        <v>1884.7433247201</v>
      </c>
      <c r="E184">
        <v>742.11283376400002</v>
      </c>
      <c r="F184">
        <v>142.54991394148001</v>
      </c>
      <c r="G184">
        <v>118.82228915663001</v>
      </c>
      <c r="I184" s="9">
        <f t="shared" si="15"/>
        <v>623.29054460737007</v>
      </c>
      <c r="J184" s="9">
        <f t="shared" si="16"/>
        <v>1742.1934107786199</v>
      </c>
      <c r="K184" s="9">
        <f t="shared" si="17"/>
        <v>623.29054460737007</v>
      </c>
      <c r="L184" s="10">
        <f t="shared" si="14"/>
        <v>0.35776196876373761</v>
      </c>
      <c r="M184" s="10">
        <f t="shared" si="20"/>
        <v>0.36587226976134279</v>
      </c>
      <c r="P184" s="8">
        <f t="shared" si="19"/>
        <v>27.765974979979241</v>
      </c>
    </row>
    <row r="185" spans="1:16" x14ac:dyDescent="0.2">
      <c r="A185" s="8">
        <v>91.5</v>
      </c>
      <c r="B185" s="8">
        <v>183</v>
      </c>
      <c r="D185">
        <v>1762.8285960379001</v>
      </c>
      <c r="E185">
        <v>690.26744186046994</v>
      </c>
      <c r="F185">
        <v>142.77624784854001</v>
      </c>
      <c r="G185">
        <v>118.88941480206999</v>
      </c>
      <c r="I185" s="9">
        <f t="shared" si="15"/>
        <v>571.37802705839999</v>
      </c>
      <c r="J185" s="9">
        <f t="shared" si="16"/>
        <v>1620.0523481893601</v>
      </c>
      <c r="K185" s="9">
        <f t="shared" si="17"/>
        <v>571.37802705839999</v>
      </c>
      <c r="L185" s="10">
        <f t="shared" si="14"/>
        <v>0.3526910890854833</v>
      </c>
      <c r="M185" s="10">
        <f t="shared" si="20"/>
        <v>0.36084595217648191</v>
      </c>
      <c r="P185" s="8">
        <f t="shared" si="19"/>
        <v>26.010738467499994</v>
      </c>
    </row>
    <row r="186" spans="1:16" x14ac:dyDescent="0.2">
      <c r="A186" s="8">
        <v>92</v>
      </c>
      <c r="B186" s="8">
        <v>184</v>
      </c>
      <c r="D186">
        <v>1755.4616709733</v>
      </c>
      <c r="E186">
        <v>684.90783807062996</v>
      </c>
      <c r="F186">
        <v>142.19191049913999</v>
      </c>
      <c r="G186">
        <v>118.41135972460999</v>
      </c>
      <c r="I186" s="9">
        <f t="shared" si="15"/>
        <v>566.49647834602001</v>
      </c>
      <c r="J186" s="9">
        <f t="shared" si="16"/>
        <v>1613.26976047416</v>
      </c>
      <c r="K186" s="9">
        <f t="shared" si="17"/>
        <v>566.49647834602001</v>
      </c>
      <c r="L186" s="10">
        <f t="shared" si="14"/>
        <v>0.35114801766291071</v>
      </c>
      <c r="M186" s="10">
        <f t="shared" si="20"/>
        <v>0.3593474428473028</v>
      </c>
      <c r="P186" s="8">
        <f t="shared" si="19"/>
        <v>25.487445172864543</v>
      </c>
    </row>
    <row r="187" spans="1:16" x14ac:dyDescent="0.2">
      <c r="A187" s="8">
        <v>92.5</v>
      </c>
      <c r="B187" s="8">
        <v>185</v>
      </c>
      <c r="D187">
        <v>1670.9805531546999</v>
      </c>
      <c r="E187">
        <v>648.41573033708005</v>
      </c>
      <c r="F187">
        <v>142.65576592082999</v>
      </c>
      <c r="G187">
        <v>118.92469879518001</v>
      </c>
      <c r="I187" s="9">
        <f t="shared" si="15"/>
        <v>529.49103154190004</v>
      </c>
      <c r="J187" s="9">
        <f t="shared" si="16"/>
        <v>1528.32478723387</v>
      </c>
      <c r="K187" s="9">
        <f t="shared" si="17"/>
        <v>529.49103154190004</v>
      </c>
      <c r="L187" s="10">
        <f t="shared" si="14"/>
        <v>0.34645190339432436</v>
      </c>
      <c r="M187" s="10">
        <f t="shared" si="20"/>
        <v>0.35469589067210988</v>
      </c>
      <c r="P187" s="8">
        <f t="shared" si="19"/>
        <v>23.863080201937851</v>
      </c>
    </row>
    <row r="188" spans="1:16" x14ac:dyDescent="0.2">
      <c r="A188" s="8">
        <v>93</v>
      </c>
      <c r="B188" s="8">
        <v>186</v>
      </c>
      <c r="D188">
        <v>1702.7363440859999</v>
      </c>
      <c r="E188">
        <v>660.08817204300999</v>
      </c>
      <c r="F188">
        <v>142.60499139415001</v>
      </c>
      <c r="G188">
        <v>118.7099827883</v>
      </c>
      <c r="I188" s="9">
        <f t="shared" si="15"/>
        <v>541.37818925471004</v>
      </c>
      <c r="J188" s="9">
        <f t="shared" si="16"/>
        <v>1560.13135269185</v>
      </c>
      <c r="K188" s="9">
        <f t="shared" si="17"/>
        <v>541.37818925471004</v>
      </c>
      <c r="L188" s="10">
        <f t="shared" si="14"/>
        <v>0.34700808256985305</v>
      </c>
      <c r="M188" s="10">
        <f t="shared" si="20"/>
        <v>0.355296631941032</v>
      </c>
      <c r="P188" s="8">
        <f t="shared" si="19"/>
        <v>24.072864600150403</v>
      </c>
    </row>
    <row r="189" spans="1:16" x14ac:dyDescent="0.2">
      <c r="A189" s="8">
        <v>93.5</v>
      </c>
      <c r="B189" s="8">
        <v>187</v>
      </c>
      <c r="D189">
        <v>1623.8933333333</v>
      </c>
      <c r="E189">
        <v>623.42107526882</v>
      </c>
      <c r="F189">
        <v>142.66996557658999</v>
      </c>
      <c r="G189">
        <v>118.8343373494</v>
      </c>
      <c r="I189" s="9">
        <f t="shared" si="15"/>
        <v>504.58673791941999</v>
      </c>
      <c r="J189" s="9">
        <f t="shared" si="16"/>
        <v>1481.2233677567101</v>
      </c>
      <c r="K189" s="9">
        <f t="shared" si="17"/>
        <v>504.58673791941999</v>
      </c>
      <c r="L189" s="10">
        <f t="shared" si="14"/>
        <v>0.34065539938355738</v>
      </c>
      <c r="M189" s="10">
        <f t="shared" si="20"/>
        <v>0.34898851084812976</v>
      </c>
      <c r="P189" s="8">
        <f t="shared" si="19"/>
        <v>21.870010466788088</v>
      </c>
    </row>
    <row r="190" spans="1:16" x14ac:dyDescent="0.2">
      <c r="A190" s="8">
        <v>94</v>
      </c>
      <c r="B190" s="8">
        <v>188</v>
      </c>
      <c r="D190">
        <v>1737.4164146868</v>
      </c>
      <c r="E190">
        <v>659.43153347732004</v>
      </c>
      <c r="F190">
        <v>142.5434595525</v>
      </c>
      <c r="G190">
        <v>118.90705679862</v>
      </c>
      <c r="I190" s="9">
        <f t="shared" si="15"/>
        <v>540.52447667870001</v>
      </c>
      <c r="J190" s="9">
        <f t="shared" si="16"/>
        <v>1594.8729551342999</v>
      </c>
      <c r="K190" s="9">
        <f t="shared" si="17"/>
        <v>540.52447667870001</v>
      </c>
      <c r="L190" s="10">
        <f t="shared" si="14"/>
        <v>0.33891381438165019</v>
      </c>
      <c r="M190" s="10">
        <f t="shared" si="20"/>
        <v>0.34729148793961601</v>
      </c>
      <c r="P190" s="8">
        <f t="shared" si="19"/>
        <v>21.277394397220821</v>
      </c>
    </row>
    <row r="191" spans="1:16" x14ac:dyDescent="0.2">
      <c r="A191" s="8">
        <v>94.5</v>
      </c>
      <c r="B191" s="8">
        <v>189</v>
      </c>
      <c r="D191">
        <v>1686.5476804124</v>
      </c>
      <c r="E191">
        <v>636.79939862542994</v>
      </c>
      <c r="F191">
        <v>142.65533562823001</v>
      </c>
      <c r="G191">
        <v>118.80550774527001</v>
      </c>
      <c r="I191" s="9">
        <f t="shared" si="15"/>
        <v>517.99389088015994</v>
      </c>
      <c r="J191" s="9">
        <f t="shared" si="16"/>
        <v>1543.8923447841701</v>
      </c>
      <c r="K191" s="9">
        <f t="shared" si="17"/>
        <v>517.99389088015994</v>
      </c>
      <c r="L191" s="10">
        <f t="shared" si="14"/>
        <v>0.33551166480624878</v>
      </c>
      <c r="M191" s="10">
        <f t="shared" si="20"/>
        <v>0.34393390045760802</v>
      </c>
      <c r="P191" s="8">
        <f t="shared" si="19"/>
        <v>20.104893845322891</v>
      </c>
    </row>
    <row r="192" spans="1:16" x14ac:dyDescent="0.2">
      <c r="A192" s="8">
        <v>95</v>
      </c>
      <c r="B192" s="8">
        <v>190</v>
      </c>
      <c r="D192">
        <v>1639.2178217822</v>
      </c>
      <c r="E192">
        <v>615.50107619458004</v>
      </c>
      <c r="F192">
        <v>142.72117039586999</v>
      </c>
      <c r="G192">
        <v>118.96428571429</v>
      </c>
      <c r="I192" s="9">
        <f t="shared" si="15"/>
        <v>496.53679048029005</v>
      </c>
      <c r="J192" s="9">
        <f t="shared" si="16"/>
        <v>1496.4966513863301</v>
      </c>
      <c r="K192" s="9">
        <f t="shared" si="17"/>
        <v>496.53679048029005</v>
      </c>
      <c r="L192" s="10">
        <f t="shared" si="14"/>
        <v>0.33179946645407221</v>
      </c>
      <c r="M192" s="10">
        <f t="shared" si="20"/>
        <v>0.34026626419882489</v>
      </c>
      <c r="P192" s="8">
        <f t="shared" si="19"/>
        <v>18.824121397656889</v>
      </c>
    </row>
    <row r="193" spans="1:16" x14ac:dyDescent="0.2">
      <c r="A193" s="8">
        <v>95.5</v>
      </c>
      <c r="B193" s="8">
        <v>191</v>
      </c>
      <c r="D193">
        <v>1617.3809114359001</v>
      </c>
      <c r="E193">
        <v>610.78761822872002</v>
      </c>
      <c r="F193">
        <v>142.59423407917001</v>
      </c>
      <c r="G193">
        <v>119.02323580034</v>
      </c>
      <c r="I193" s="9">
        <f t="shared" si="15"/>
        <v>491.76438242838003</v>
      </c>
      <c r="J193" s="9">
        <f t="shared" si="16"/>
        <v>1474.78667735673</v>
      </c>
      <c r="K193" s="9">
        <f t="shared" si="17"/>
        <v>491.76438242838003</v>
      </c>
      <c r="L193" s="10">
        <f t="shared" si="14"/>
        <v>0.3334478063700525</v>
      </c>
      <c r="M193" s="10">
        <f t="shared" si="20"/>
        <v>0.34195916620819861</v>
      </c>
      <c r="P193" s="8">
        <f t="shared" si="19"/>
        <v>19.415298411193028</v>
      </c>
    </row>
    <row r="194" spans="1:16" x14ac:dyDescent="0.2">
      <c r="A194" s="8">
        <v>96</v>
      </c>
      <c r="B194" s="8">
        <v>192</v>
      </c>
      <c r="D194">
        <v>1651.8345540715</v>
      </c>
      <c r="E194">
        <v>627.88194743644999</v>
      </c>
      <c r="F194">
        <v>142.69104991393999</v>
      </c>
      <c r="G194">
        <v>119.07573149741999</v>
      </c>
      <c r="I194" s="9">
        <f t="shared" si="15"/>
        <v>508.80621593902998</v>
      </c>
      <c r="J194" s="9">
        <f t="shared" si="16"/>
        <v>1509.1435041575601</v>
      </c>
      <c r="K194" s="9">
        <f t="shared" si="17"/>
        <v>508.80621593902998</v>
      </c>
      <c r="L194" s="10">
        <f t="shared" ref="L194:L257" si="21">K194/J194</f>
        <v>0.33714899513353952</v>
      </c>
      <c r="M194" s="10">
        <f t="shared" si="20"/>
        <v>0.34570491706507905</v>
      </c>
      <c r="P194" s="8">
        <f t="shared" si="19"/>
        <v>20.723349197806616</v>
      </c>
    </row>
    <row r="195" spans="1:16" x14ac:dyDescent="0.2">
      <c r="A195" s="8">
        <v>96.5</v>
      </c>
      <c r="B195" s="8">
        <v>193</v>
      </c>
      <c r="D195">
        <v>1641.7341663075999</v>
      </c>
      <c r="E195">
        <v>620.54631624299998</v>
      </c>
      <c r="F195">
        <v>142.01118760757001</v>
      </c>
      <c r="G195">
        <v>118.92814113596999</v>
      </c>
      <c r="I195" s="9">
        <f t="shared" ref="I195:I241" si="22">E195-G195</f>
        <v>501.61817510702997</v>
      </c>
      <c r="J195" s="9">
        <f t="shared" ref="J195:J241" si="23">D195-F195</f>
        <v>1499.7229787000299</v>
      </c>
      <c r="K195" s="9">
        <f t="shared" ref="K195:K258" si="24">I195*1</f>
        <v>501.61817510702997</v>
      </c>
      <c r="L195" s="10">
        <f t="shared" si="21"/>
        <v>0.33447388766546476</v>
      </c>
      <c r="M195" s="10">
        <f t="shared" si="20"/>
        <v>0.34307437169039773</v>
      </c>
      <c r="P195" s="8">
        <f t="shared" ref="P195:P241" si="25">(M195-$O$2)/$O$2*100</f>
        <v>19.804738463124625</v>
      </c>
    </row>
    <row r="196" spans="1:16" x14ac:dyDescent="0.2">
      <c r="A196" s="8">
        <v>97</v>
      </c>
      <c r="B196" s="8">
        <v>194</v>
      </c>
      <c r="D196">
        <v>1678.2944706387</v>
      </c>
      <c r="E196">
        <v>634.16630947277997</v>
      </c>
      <c r="F196">
        <v>142.7517211704</v>
      </c>
      <c r="G196">
        <v>118.99784853701</v>
      </c>
      <c r="I196" s="9">
        <f t="shared" si="22"/>
        <v>515.16846093576999</v>
      </c>
      <c r="J196" s="9">
        <f t="shared" si="23"/>
        <v>1535.5427494682999</v>
      </c>
      <c r="K196" s="9">
        <f t="shared" si="24"/>
        <v>515.16846093576999</v>
      </c>
      <c r="L196" s="10">
        <f t="shared" si="21"/>
        <v>0.33549600694227055</v>
      </c>
      <c r="M196" s="10">
        <f t="shared" si="20"/>
        <v>0.34414105306059695</v>
      </c>
      <c r="P196" s="8">
        <f t="shared" si="25"/>
        <v>20.177233447085506</v>
      </c>
    </row>
    <row r="197" spans="1:16" x14ac:dyDescent="0.2">
      <c r="A197" s="8">
        <v>97.5</v>
      </c>
      <c r="B197" s="8">
        <v>195</v>
      </c>
      <c r="D197">
        <v>1645.3651950279</v>
      </c>
      <c r="E197">
        <v>636.40291470210002</v>
      </c>
      <c r="F197">
        <v>142.86488812392</v>
      </c>
      <c r="G197">
        <v>118.7482788296</v>
      </c>
      <c r="I197" s="9">
        <f t="shared" si="22"/>
        <v>517.65463587249997</v>
      </c>
      <c r="J197" s="9">
        <f t="shared" si="23"/>
        <v>1502.5003069039799</v>
      </c>
      <c r="K197" s="9">
        <f t="shared" si="24"/>
        <v>517.65463587249997</v>
      </c>
      <c r="L197" s="10">
        <f t="shared" si="21"/>
        <v>0.34452880541446818</v>
      </c>
      <c r="M197" s="10">
        <f t="shared" si="20"/>
        <v>0.35321841362618805</v>
      </c>
      <c r="P197" s="8">
        <f t="shared" si="25"/>
        <v>23.347131574823045</v>
      </c>
    </row>
    <row r="198" spans="1:16" x14ac:dyDescent="0.2">
      <c r="A198" s="8">
        <v>98</v>
      </c>
      <c r="B198" s="8">
        <v>196</v>
      </c>
      <c r="D198">
        <v>1688.8778065629999</v>
      </c>
      <c r="E198">
        <v>647.06433506045005</v>
      </c>
      <c r="F198">
        <v>142.70137693632</v>
      </c>
      <c r="G198">
        <v>118.77581755593999</v>
      </c>
      <c r="I198" s="9">
        <f t="shared" si="22"/>
        <v>528.28851750451008</v>
      </c>
      <c r="J198" s="9">
        <f t="shared" si="23"/>
        <v>1546.1764296266799</v>
      </c>
      <c r="K198" s="9">
        <f t="shared" si="24"/>
        <v>528.28851750451008</v>
      </c>
      <c r="L198" s="10">
        <f t="shared" si="21"/>
        <v>0.34167415010463192</v>
      </c>
      <c r="M198" s="10">
        <f t="shared" si="20"/>
        <v>0.35040832040974523</v>
      </c>
      <c r="P198" s="8">
        <f t="shared" si="25"/>
        <v>22.365821075894992</v>
      </c>
    </row>
    <row r="199" spans="1:16" x14ac:dyDescent="0.2">
      <c r="A199" s="8">
        <v>98.5</v>
      </c>
      <c r="B199" s="8">
        <v>197</v>
      </c>
      <c r="D199">
        <v>1739.9638865003999</v>
      </c>
      <c r="E199">
        <v>663.43121238177002</v>
      </c>
      <c r="F199">
        <v>142.46256454389001</v>
      </c>
      <c r="G199">
        <v>118.73537005164</v>
      </c>
      <c r="I199" s="9">
        <f t="shared" si="22"/>
        <v>544.69584233013006</v>
      </c>
      <c r="J199" s="9">
        <f t="shared" si="23"/>
        <v>1597.5013219565099</v>
      </c>
      <c r="K199" s="9">
        <f t="shared" si="24"/>
        <v>544.69584233013006</v>
      </c>
      <c r="L199" s="10">
        <f t="shared" si="21"/>
        <v>0.34096738127454196</v>
      </c>
      <c r="M199" s="10">
        <f t="shared" si="20"/>
        <v>0.3497461136730487</v>
      </c>
      <c r="P199" s="8">
        <f t="shared" si="25"/>
        <v>22.1345723687778</v>
      </c>
    </row>
    <row r="200" spans="1:16" x14ac:dyDescent="0.2">
      <c r="A200" s="8">
        <v>99</v>
      </c>
      <c r="B200" s="8">
        <v>198</v>
      </c>
      <c r="D200">
        <v>1705.247205503</v>
      </c>
      <c r="E200">
        <v>647.20034393808999</v>
      </c>
      <c r="F200">
        <v>142.53700516351</v>
      </c>
      <c r="G200">
        <v>118.75817555938001</v>
      </c>
      <c r="I200" s="9">
        <f t="shared" si="22"/>
        <v>528.44216837870999</v>
      </c>
      <c r="J200" s="9">
        <f t="shared" si="23"/>
        <v>1562.71020033949</v>
      </c>
      <c r="K200" s="9">
        <f t="shared" si="24"/>
        <v>528.44216837870999</v>
      </c>
      <c r="L200" s="10">
        <f t="shared" si="21"/>
        <v>0.3381574960372748</v>
      </c>
      <c r="M200" s="10">
        <f t="shared" si="20"/>
        <v>0.34698079052917497</v>
      </c>
      <c r="P200" s="8">
        <f t="shared" si="25"/>
        <v>21.168895992587291</v>
      </c>
    </row>
    <row r="201" spans="1:16" x14ac:dyDescent="0.2">
      <c r="A201" s="8">
        <v>99.5</v>
      </c>
      <c r="B201" s="8">
        <v>199</v>
      </c>
      <c r="D201">
        <v>1706.0838349097</v>
      </c>
      <c r="E201">
        <v>639.33404987102006</v>
      </c>
      <c r="F201">
        <v>142.74612736661001</v>
      </c>
      <c r="G201">
        <v>118.75817555938001</v>
      </c>
      <c r="I201" s="9">
        <f t="shared" si="22"/>
        <v>520.57587431164006</v>
      </c>
      <c r="J201" s="9">
        <f t="shared" si="23"/>
        <v>1563.3377075430901</v>
      </c>
      <c r="K201" s="9">
        <f t="shared" si="24"/>
        <v>520.57587431164006</v>
      </c>
      <c r="L201" s="10">
        <f t="shared" si="21"/>
        <v>0.3329900326716782</v>
      </c>
      <c r="M201" s="10">
        <f t="shared" si="20"/>
        <v>0.3418578892569718</v>
      </c>
      <c r="P201" s="8">
        <f t="shared" si="25"/>
        <v>19.379931564656854</v>
      </c>
    </row>
    <row r="202" spans="1:16" x14ac:dyDescent="0.2">
      <c r="A202" s="8">
        <v>100</v>
      </c>
      <c r="B202" s="8">
        <v>200</v>
      </c>
      <c r="D202">
        <v>1654.3796216681001</v>
      </c>
      <c r="E202">
        <v>616.50042992261001</v>
      </c>
      <c r="F202">
        <v>142.36316695353</v>
      </c>
      <c r="G202">
        <v>118.65189328744</v>
      </c>
      <c r="I202" s="9">
        <f t="shared" si="22"/>
        <v>497.84853663517003</v>
      </c>
      <c r="J202" s="9">
        <f t="shared" si="23"/>
        <v>1512.01645471457</v>
      </c>
      <c r="K202" s="9">
        <f t="shared" si="24"/>
        <v>497.84853663517003</v>
      </c>
      <c r="L202" s="10">
        <f t="shared" si="21"/>
        <v>0.32926132191408664</v>
      </c>
      <c r="M202" s="10">
        <f t="shared" si="20"/>
        <v>0.33817374059277366</v>
      </c>
      <c r="P202" s="8">
        <f t="shared" si="25"/>
        <v>18.093392832548226</v>
      </c>
    </row>
    <row r="203" spans="1:16" x14ac:dyDescent="0.2">
      <c r="A203" s="8">
        <v>100.5</v>
      </c>
      <c r="B203" s="8">
        <v>201</v>
      </c>
      <c r="D203">
        <v>1679.2894736841999</v>
      </c>
      <c r="E203">
        <v>617.59792924935005</v>
      </c>
      <c r="F203">
        <v>142.45826161790001</v>
      </c>
      <c r="G203">
        <v>118.84079173838001</v>
      </c>
      <c r="I203" s="9">
        <f t="shared" si="22"/>
        <v>498.75713751097004</v>
      </c>
      <c r="J203" s="9">
        <f t="shared" si="23"/>
        <v>1536.8312120662999</v>
      </c>
      <c r="K203" s="9">
        <f t="shared" si="24"/>
        <v>498.75713751097004</v>
      </c>
      <c r="L203" s="10">
        <f t="shared" si="21"/>
        <v>0.32453605418410342</v>
      </c>
      <c r="M203" s="10">
        <f t="shared" si="20"/>
        <v>0.33349303495618388</v>
      </c>
      <c r="P203" s="8">
        <f t="shared" si="25"/>
        <v>16.458847203705474</v>
      </c>
    </row>
    <row r="204" spans="1:16" x14ac:dyDescent="0.2">
      <c r="A204" s="8">
        <v>101</v>
      </c>
      <c r="B204" s="8">
        <v>202</v>
      </c>
      <c r="D204">
        <v>1717.1505608283001</v>
      </c>
      <c r="E204">
        <v>641.38438308886998</v>
      </c>
      <c r="F204">
        <v>142.77151462994999</v>
      </c>
      <c r="G204">
        <v>118.91996557659</v>
      </c>
      <c r="I204" s="9">
        <f t="shared" si="22"/>
        <v>522.46441751227997</v>
      </c>
      <c r="J204" s="9">
        <f t="shared" si="23"/>
        <v>1574.3790461983501</v>
      </c>
      <c r="K204" s="9">
        <f t="shared" si="24"/>
        <v>522.46441751227997</v>
      </c>
      <c r="L204" s="10">
        <f t="shared" si="21"/>
        <v>0.33185427535628964</v>
      </c>
      <c r="M204" s="10">
        <f t="shared" si="20"/>
        <v>0.34085581822176353</v>
      </c>
      <c r="P204" s="8">
        <f t="shared" si="25"/>
        <v>19.029999106271589</v>
      </c>
    </row>
    <row r="205" spans="1:16" x14ac:dyDescent="0.2">
      <c r="A205" s="8">
        <v>101.5</v>
      </c>
      <c r="B205" s="8">
        <v>203</v>
      </c>
      <c r="D205">
        <v>1700.0506493507</v>
      </c>
      <c r="E205">
        <v>637.67662337662</v>
      </c>
      <c r="F205">
        <v>142.74956970740001</v>
      </c>
      <c r="G205">
        <v>118.88941480206999</v>
      </c>
      <c r="I205" s="9">
        <f t="shared" si="22"/>
        <v>518.78720857455005</v>
      </c>
      <c r="J205" s="9">
        <f t="shared" si="23"/>
        <v>1557.3010796433</v>
      </c>
      <c r="K205" s="9">
        <f t="shared" si="24"/>
        <v>518.78720857455005</v>
      </c>
      <c r="L205" s="10">
        <f t="shared" si="21"/>
        <v>0.33313224742217368</v>
      </c>
      <c r="M205" s="10">
        <f t="shared" si="20"/>
        <v>0.342178352381041</v>
      </c>
      <c r="P205" s="8">
        <f t="shared" si="25"/>
        <v>19.491840246663656</v>
      </c>
    </row>
    <row r="206" spans="1:16" x14ac:dyDescent="0.2">
      <c r="A206" s="8">
        <v>102</v>
      </c>
      <c r="B206" s="8">
        <v>204</v>
      </c>
      <c r="D206">
        <v>1653.4538793103</v>
      </c>
      <c r="E206">
        <v>616.96637931035002</v>
      </c>
      <c r="F206">
        <v>142.7508605852</v>
      </c>
      <c r="G206">
        <v>118.68416523236</v>
      </c>
      <c r="I206" s="9">
        <f t="shared" si="22"/>
        <v>498.28221407799003</v>
      </c>
      <c r="J206" s="9">
        <f t="shared" si="23"/>
        <v>1510.7030187251</v>
      </c>
      <c r="K206" s="9">
        <f t="shared" si="24"/>
        <v>498.28221407799003</v>
      </c>
      <c r="L206" s="10">
        <f t="shared" si="21"/>
        <v>0.32983465836885412</v>
      </c>
      <c r="M206" s="10">
        <f t="shared" si="20"/>
        <v>0.33892532542111486</v>
      </c>
      <c r="P206" s="8">
        <f t="shared" si="25"/>
        <v>18.355853194564215</v>
      </c>
    </row>
    <row r="207" spans="1:16" x14ac:dyDescent="0.2">
      <c r="A207" s="8">
        <v>102.5</v>
      </c>
      <c r="B207" s="8">
        <v>205</v>
      </c>
      <c r="D207">
        <v>1649.9064655172001</v>
      </c>
      <c r="E207">
        <v>608.87241379310001</v>
      </c>
      <c r="F207">
        <v>142.50516351119001</v>
      </c>
      <c r="G207">
        <v>118.56196213425</v>
      </c>
      <c r="I207" s="9">
        <f t="shared" si="22"/>
        <v>490.31045165885001</v>
      </c>
      <c r="J207" s="9">
        <f t="shared" si="23"/>
        <v>1507.4013020060102</v>
      </c>
      <c r="K207" s="9">
        <f t="shared" si="24"/>
        <v>490.31045165885001</v>
      </c>
      <c r="L207" s="10">
        <f t="shared" si="21"/>
        <v>0.32526869321816143</v>
      </c>
      <c r="M207" s="10">
        <f t="shared" si="20"/>
        <v>0.33440392236381566</v>
      </c>
      <c r="P207" s="8">
        <f t="shared" si="25"/>
        <v>16.77693749737265</v>
      </c>
    </row>
    <row r="208" spans="1:16" x14ac:dyDescent="0.2">
      <c r="A208" s="8">
        <v>103</v>
      </c>
      <c r="B208" s="8">
        <v>206</v>
      </c>
      <c r="D208">
        <v>1689.4235901851</v>
      </c>
      <c r="E208">
        <v>627.88506241928997</v>
      </c>
      <c r="F208">
        <v>142.49311531842</v>
      </c>
      <c r="G208">
        <v>118.65920826161999</v>
      </c>
      <c r="I208" s="9">
        <f t="shared" si="22"/>
        <v>509.22585415766997</v>
      </c>
      <c r="J208" s="9">
        <f t="shared" si="23"/>
        <v>1546.93047486668</v>
      </c>
      <c r="K208" s="9">
        <f t="shared" si="24"/>
        <v>509.22585415766997</v>
      </c>
      <c r="L208" s="10">
        <f t="shared" si="21"/>
        <v>0.32918470637897085</v>
      </c>
      <c r="M208" s="10">
        <f t="shared" si="20"/>
        <v>0.33836449761801851</v>
      </c>
      <c r="P208" s="8">
        <f t="shared" si="25"/>
        <v>18.160006947169663</v>
      </c>
    </row>
    <row r="209" spans="1:16" x14ac:dyDescent="0.2">
      <c r="A209" s="8">
        <v>103.5</v>
      </c>
      <c r="B209" s="8">
        <v>207</v>
      </c>
      <c r="D209">
        <v>1640.3292946776</v>
      </c>
      <c r="E209">
        <v>615.58459541323998</v>
      </c>
      <c r="F209">
        <v>142.47547332185999</v>
      </c>
      <c r="G209">
        <v>118.83864027539001</v>
      </c>
      <c r="I209" s="9">
        <f t="shared" si="22"/>
        <v>496.74595513784999</v>
      </c>
      <c r="J209" s="9">
        <f t="shared" si="23"/>
        <v>1497.8538213557401</v>
      </c>
      <c r="K209" s="9">
        <f t="shared" si="24"/>
        <v>496.74595513784999</v>
      </c>
      <c r="L209" s="10">
        <f t="shared" si="21"/>
        <v>0.33163847369847771</v>
      </c>
      <c r="M209" s="10">
        <f t="shared" si="20"/>
        <v>0.3408628270309188</v>
      </c>
      <c r="P209" s="8">
        <f t="shared" si="25"/>
        <v>19.032446647146323</v>
      </c>
    </row>
    <row r="210" spans="1:16" x14ac:dyDescent="0.2">
      <c r="A210" s="8">
        <v>104</v>
      </c>
      <c r="B210" s="8">
        <v>208</v>
      </c>
      <c r="D210">
        <v>1636.3418433579</v>
      </c>
      <c r="E210">
        <v>617.91475551709004</v>
      </c>
      <c r="F210">
        <v>142.69965576592</v>
      </c>
      <c r="G210">
        <v>118.93889845095001</v>
      </c>
      <c r="I210" s="9">
        <f t="shared" si="22"/>
        <v>498.97585706614007</v>
      </c>
      <c r="J210" s="9">
        <f t="shared" si="23"/>
        <v>1493.64218759198</v>
      </c>
      <c r="K210" s="9">
        <f t="shared" si="24"/>
        <v>498.97585706614007</v>
      </c>
      <c r="L210" s="10">
        <f t="shared" si="21"/>
        <v>0.33406652624788197</v>
      </c>
      <c r="M210" s="10">
        <f t="shared" si="20"/>
        <v>0.34333544167371649</v>
      </c>
      <c r="P210" s="8">
        <f t="shared" si="25"/>
        <v>19.895906511958952</v>
      </c>
    </row>
    <row r="211" spans="1:16" x14ac:dyDescent="0.2">
      <c r="A211" s="8">
        <v>104.5</v>
      </c>
      <c r="B211" s="8">
        <v>209</v>
      </c>
      <c r="D211">
        <v>1687.3992231334</v>
      </c>
      <c r="E211">
        <v>623.73198100993</v>
      </c>
      <c r="F211">
        <v>142.92728055078001</v>
      </c>
      <c r="G211">
        <v>118.76936316695</v>
      </c>
      <c r="I211" s="9">
        <f t="shared" si="22"/>
        <v>504.96261784297997</v>
      </c>
      <c r="J211" s="9">
        <f t="shared" si="23"/>
        <v>1544.4719425826199</v>
      </c>
      <c r="K211" s="9">
        <f t="shared" si="24"/>
        <v>504.96261784297997</v>
      </c>
      <c r="L211" s="10">
        <f t="shared" si="21"/>
        <v>0.32694839182290131</v>
      </c>
      <c r="M211" s="10">
        <f t="shared" si="20"/>
        <v>0.33626186934212926</v>
      </c>
      <c r="P211" s="8">
        <f t="shared" si="25"/>
        <v>17.425749738049394</v>
      </c>
    </row>
    <row r="212" spans="1:16" x14ac:dyDescent="0.2">
      <c r="A212" s="8">
        <v>105</v>
      </c>
      <c r="B212" s="8">
        <v>210</v>
      </c>
      <c r="D212">
        <v>1678.5959552495999</v>
      </c>
      <c r="E212">
        <v>611.24225473321997</v>
      </c>
      <c r="F212">
        <v>142.52796901893001</v>
      </c>
      <c r="G212">
        <v>118.92469879518001</v>
      </c>
      <c r="I212" s="9">
        <f t="shared" si="22"/>
        <v>492.31755593803996</v>
      </c>
      <c r="J212" s="9">
        <f t="shared" si="23"/>
        <v>1536.0679862306699</v>
      </c>
      <c r="K212" s="9">
        <f t="shared" si="24"/>
        <v>492.31755593803996</v>
      </c>
      <c r="L212" s="10">
        <f t="shared" si="21"/>
        <v>0.32050505599438295</v>
      </c>
      <c r="M212" s="10">
        <f t="shared" si="20"/>
        <v>0.32986309560700433</v>
      </c>
      <c r="P212" s="8">
        <f t="shared" si="25"/>
        <v>15.19123886495753</v>
      </c>
    </row>
    <row r="213" spans="1:16" x14ac:dyDescent="0.2">
      <c r="A213" s="8">
        <v>105.5</v>
      </c>
      <c r="B213" s="8">
        <v>211</v>
      </c>
      <c r="D213">
        <v>1678.0124784853999</v>
      </c>
      <c r="E213">
        <v>601.82917383820995</v>
      </c>
      <c r="F213">
        <v>142.47203098106999</v>
      </c>
      <c r="G213">
        <v>118.90318416523</v>
      </c>
      <c r="I213" s="9">
        <f t="shared" si="22"/>
        <v>482.92598967297994</v>
      </c>
      <c r="J213" s="9">
        <f t="shared" si="23"/>
        <v>1535.5404475043299</v>
      </c>
      <c r="K213" s="9">
        <f t="shared" si="24"/>
        <v>482.92598967297994</v>
      </c>
      <c r="L213" s="10">
        <f t="shared" si="21"/>
        <v>0.3144990354750119</v>
      </c>
      <c r="M213" s="10">
        <f t="shared" si="20"/>
        <v>0.32390163718102671</v>
      </c>
      <c r="P213" s="8">
        <f t="shared" si="25"/>
        <v>13.109442535887608</v>
      </c>
    </row>
    <row r="214" spans="1:16" x14ac:dyDescent="0.2">
      <c r="A214" s="8">
        <v>106</v>
      </c>
      <c r="B214" s="8">
        <v>212</v>
      </c>
      <c r="D214">
        <v>1682.7728055078001</v>
      </c>
      <c r="E214">
        <v>602.85800344233996</v>
      </c>
      <c r="F214">
        <v>142.54905335628001</v>
      </c>
      <c r="G214">
        <v>118.61316695353</v>
      </c>
      <c r="I214" s="9">
        <f t="shared" si="22"/>
        <v>484.24483648880994</v>
      </c>
      <c r="J214" s="9">
        <f t="shared" si="23"/>
        <v>1540.2237521515201</v>
      </c>
      <c r="K214" s="9">
        <f t="shared" si="24"/>
        <v>484.24483648880994</v>
      </c>
      <c r="L214" s="10">
        <f t="shared" si="21"/>
        <v>0.31439901885188704</v>
      </c>
      <c r="M214" s="10">
        <f t="shared" si="20"/>
        <v>0.32384618265129528</v>
      </c>
      <c r="P214" s="8">
        <f t="shared" si="25"/>
        <v>13.090077302051181</v>
      </c>
    </row>
    <row r="215" spans="1:16" x14ac:dyDescent="0.2">
      <c r="A215" s="8">
        <v>106.5</v>
      </c>
      <c r="B215" s="8">
        <v>213</v>
      </c>
      <c r="D215">
        <v>1603.2719449225999</v>
      </c>
      <c r="E215">
        <v>581.77151462995005</v>
      </c>
      <c r="F215">
        <v>142.34509466437001</v>
      </c>
      <c r="G215">
        <v>118.77452667814001</v>
      </c>
      <c r="I215" s="9">
        <f t="shared" si="22"/>
        <v>462.99698795181007</v>
      </c>
      <c r="J215" s="9">
        <f t="shared" si="23"/>
        <v>1460.9268502582299</v>
      </c>
      <c r="K215" s="9">
        <f t="shared" si="24"/>
        <v>462.99698795181007</v>
      </c>
      <c r="L215" s="10">
        <f t="shared" si="21"/>
        <v>0.31692003461362345</v>
      </c>
      <c r="M215" s="10">
        <f t="shared" si="20"/>
        <v>0.32641176050642512</v>
      </c>
      <c r="P215" s="8">
        <f t="shared" si="25"/>
        <v>13.986000779010849</v>
      </c>
    </row>
    <row r="216" spans="1:16" x14ac:dyDescent="0.2">
      <c r="A216" s="8">
        <v>107</v>
      </c>
      <c r="B216" s="8">
        <v>214</v>
      </c>
      <c r="D216">
        <v>1641.1463624623</v>
      </c>
      <c r="E216">
        <v>599.18252260009001</v>
      </c>
      <c r="F216">
        <v>142.40146299483999</v>
      </c>
      <c r="G216">
        <v>118.66437177281</v>
      </c>
      <c r="I216" s="9">
        <f t="shared" si="22"/>
        <v>480.51815082728001</v>
      </c>
      <c r="J216" s="9">
        <f t="shared" si="23"/>
        <v>1498.7448994674601</v>
      </c>
      <c r="K216" s="9">
        <f t="shared" si="24"/>
        <v>480.51815082728001</v>
      </c>
      <c r="L216" s="10">
        <f t="shared" si="21"/>
        <v>0.32061370217040913</v>
      </c>
      <c r="M216" s="10">
        <f t="shared" si="20"/>
        <v>0.33014999015660423</v>
      </c>
      <c r="P216" s="8">
        <f t="shared" si="25"/>
        <v>15.29142509079526</v>
      </c>
    </row>
    <row r="217" spans="1:16" x14ac:dyDescent="0.2">
      <c r="A217" s="8">
        <v>107.5</v>
      </c>
      <c r="B217" s="8">
        <v>215</v>
      </c>
      <c r="D217">
        <v>1668.8131726216</v>
      </c>
      <c r="E217">
        <v>621.88764528626996</v>
      </c>
      <c r="F217">
        <v>142.23407917384</v>
      </c>
      <c r="G217">
        <v>118.45094664372</v>
      </c>
      <c r="I217" s="9">
        <f t="shared" si="22"/>
        <v>503.43669864254997</v>
      </c>
      <c r="J217" s="9">
        <f t="shared" si="23"/>
        <v>1526.57909344776</v>
      </c>
      <c r="K217" s="9">
        <f t="shared" si="24"/>
        <v>503.43669864254997</v>
      </c>
      <c r="L217" s="10">
        <f t="shared" si="21"/>
        <v>0.32978094669536212</v>
      </c>
      <c r="M217" s="10">
        <f t="shared" si="20"/>
        <v>0.33936179677495065</v>
      </c>
      <c r="P217" s="8">
        <f t="shared" si="25"/>
        <v>18.508273021598487</v>
      </c>
    </row>
    <row r="218" spans="1:16" x14ac:dyDescent="0.2">
      <c r="A218" s="8">
        <v>108</v>
      </c>
      <c r="B218" s="8">
        <v>216</v>
      </c>
      <c r="D218">
        <v>1639.5118381402999</v>
      </c>
      <c r="E218">
        <v>618.31424881619</v>
      </c>
      <c r="F218">
        <v>142.06196213425</v>
      </c>
      <c r="G218">
        <v>118.56454388985</v>
      </c>
      <c r="I218" s="9">
        <f t="shared" si="22"/>
        <v>499.74970492633997</v>
      </c>
      <c r="J218" s="9">
        <f t="shared" si="23"/>
        <v>1497.4498760060499</v>
      </c>
      <c r="K218" s="9">
        <f t="shared" si="24"/>
        <v>499.74970492633997</v>
      </c>
      <c r="L218" s="10">
        <f t="shared" si="21"/>
        <v>0.33373384507483905</v>
      </c>
      <c r="M218" s="10">
        <f t="shared" si="20"/>
        <v>0.34335925724782107</v>
      </c>
      <c r="P218" s="8">
        <f t="shared" si="25"/>
        <v>19.904223130343738</v>
      </c>
    </row>
    <row r="219" spans="1:16" x14ac:dyDescent="0.2">
      <c r="A219" s="8">
        <v>108.5</v>
      </c>
      <c r="B219" s="8">
        <v>217</v>
      </c>
      <c r="D219">
        <v>1683.3789974071001</v>
      </c>
      <c r="E219">
        <v>617.04407951599001</v>
      </c>
      <c r="F219">
        <v>142.55550774527001</v>
      </c>
      <c r="G219">
        <v>118.64716006885</v>
      </c>
      <c r="I219" s="9">
        <f t="shared" si="22"/>
        <v>498.39691944714002</v>
      </c>
      <c r="J219" s="9">
        <f t="shared" si="23"/>
        <v>1540.8234896618301</v>
      </c>
      <c r="K219" s="9">
        <f t="shared" si="24"/>
        <v>498.39691944714002</v>
      </c>
      <c r="L219" s="10">
        <f t="shared" si="21"/>
        <v>0.32346139761701381</v>
      </c>
      <c r="M219" s="10">
        <f t="shared" si="20"/>
        <v>0.33313137188338926</v>
      </c>
      <c r="P219" s="8">
        <f t="shared" si="25"/>
        <v>16.332551119173019</v>
      </c>
    </row>
    <row r="220" spans="1:16" x14ac:dyDescent="0.2">
      <c r="A220" s="8">
        <v>109</v>
      </c>
      <c r="B220" s="8">
        <v>218</v>
      </c>
      <c r="D220">
        <v>1718.3134135856001</v>
      </c>
      <c r="E220">
        <v>626.26913155631996</v>
      </c>
      <c r="F220">
        <v>142.22762478485001</v>
      </c>
      <c r="G220">
        <v>118.86058519794</v>
      </c>
      <c r="I220" s="9">
        <f t="shared" si="22"/>
        <v>507.40854635837997</v>
      </c>
      <c r="J220" s="9">
        <f t="shared" si="23"/>
        <v>1576.0857888007502</v>
      </c>
      <c r="K220" s="9">
        <f t="shared" si="24"/>
        <v>507.40854635837997</v>
      </c>
      <c r="L220" s="10">
        <f t="shared" si="21"/>
        <v>0.32194221276778917</v>
      </c>
      <c r="M220" s="10">
        <f t="shared" si="20"/>
        <v>0.33165674912755805</v>
      </c>
      <c r="P220" s="8">
        <f t="shared" si="25"/>
        <v>15.817599236513708</v>
      </c>
    </row>
    <row r="221" spans="1:16" x14ac:dyDescent="0.2">
      <c r="A221" s="8">
        <v>109.5</v>
      </c>
      <c r="B221" s="8">
        <v>219</v>
      </c>
      <c r="D221">
        <v>1662.5814353245</v>
      </c>
      <c r="E221">
        <v>601.74774387623995</v>
      </c>
      <c r="F221">
        <v>142.45783132529999</v>
      </c>
      <c r="G221">
        <v>118.68545611016</v>
      </c>
      <c r="I221" s="9">
        <f t="shared" si="22"/>
        <v>483.06228776607998</v>
      </c>
      <c r="J221" s="9">
        <f t="shared" si="23"/>
        <v>1520.1236039992</v>
      </c>
      <c r="K221" s="9">
        <f t="shared" si="24"/>
        <v>483.06228776607998</v>
      </c>
      <c r="L221" s="10">
        <f t="shared" si="21"/>
        <v>0.31777829545914621</v>
      </c>
      <c r="M221" s="10">
        <f t="shared" si="20"/>
        <v>0.32753739391230852</v>
      </c>
      <c r="P221" s="8">
        <f t="shared" si="25"/>
        <v>14.379082358182012</v>
      </c>
    </row>
    <row r="222" spans="1:16" x14ac:dyDescent="0.2">
      <c r="A222" s="8">
        <v>110</v>
      </c>
      <c r="B222" s="8">
        <v>220</v>
      </c>
      <c r="D222">
        <v>1673.9522990976</v>
      </c>
      <c r="E222">
        <v>601.09110442630003</v>
      </c>
      <c r="F222">
        <v>142.37994836489</v>
      </c>
      <c r="G222">
        <v>118.77969018933</v>
      </c>
      <c r="I222" s="9">
        <f t="shared" si="22"/>
        <v>482.31141423697005</v>
      </c>
      <c r="J222" s="9">
        <f t="shared" si="23"/>
        <v>1531.57235073271</v>
      </c>
      <c r="K222" s="9">
        <f t="shared" si="24"/>
        <v>482.31141423697005</v>
      </c>
      <c r="L222" s="10">
        <f t="shared" si="21"/>
        <v>0.3149125890175743</v>
      </c>
      <c r="M222" s="10">
        <f t="shared" si="20"/>
        <v>0.32471624956413003</v>
      </c>
      <c r="P222" s="8">
        <f t="shared" si="25"/>
        <v>13.39391270200829</v>
      </c>
    </row>
    <row r="223" spans="1:16" x14ac:dyDescent="0.2">
      <c r="A223" s="8">
        <v>110.5</v>
      </c>
      <c r="B223" s="8">
        <v>221</v>
      </c>
      <c r="D223">
        <v>1658.427960667</v>
      </c>
      <c r="E223">
        <v>590.77554510474999</v>
      </c>
      <c r="F223">
        <v>142.40791738382001</v>
      </c>
      <c r="G223">
        <v>118.46600688468</v>
      </c>
      <c r="I223" s="9">
        <f t="shared" si="22"/>
        <v>472.30953822007001</v>
      </c>
      <c r="J223" s="9">
        <f t="shared" si="23"/>
        <v>1516.02004328318</v>
      </c>
      <c r="K223" s="9">
        <f t="shared" si="24"/>
        <v>472.30953822007001</v>
      </c>
      <c r="L223" s="10">
        <f t="shared" si="21"/>
        <v>0.3115457083253394</v>
      </c>
      <c r="M223" s="10">
        <f t="shared" si="20"/>
        <v>0.32139393096528857</v>
      </c>
      <c r="P223" s="8">
        <f t="shared" si="25"/>
        <v>12.233728369776758</v>
      </c>
    </row>
    <row r="224" spans="1:16" x14ac:dyDescent="0.2">
      <c r="A224" s="8">
        <v>111</v>
      </c>
      <c r="B224" s="8">
        <v>222</v>
      </c>
      <c r="D224">
        <v>1659.1639554794999</v>
      </c>
      <c r="E224">
        <v>589.45119863013997</v>
      </c>
      <c r="F224">
        <v>142.10843373494001</v>
      </c>
      <c r="G224">
        <v>118.53657487091</v>
      </c>
      <c r="I224" s="9">
        <f t="shared" si="22"/>
        <v>470.91462375922998</v>
      </c>
      <c r="J224" s="9">
        <f t="shared" si="23"/>
        <v>1517.0555217445599</v>
      </c>
      <c r="K224" s="9">
        <f t="shared" si="24"/>
        <v>470.91462375922998</v>
      </c>
      <c r="L224" s="10">
        <f t="shared" si="21"/>
        <v>0.31041357221896199</v>
      </c>
      <c r="M224" s="10">
        <f t="shared" si="20"/>
        <v>0.32030635695230458</v>
      </c>
      <c r="P224" s="8">
        <f t="shared" si="25"/>
        <v>11.853937482037638</v>
      </c>
    </row>
    <row r="225" spans="1:16" x14ac:dyDescent="0.2">
      <c r="A225" s="8">
        <v>111.5</v>
      </c>
      <c r="B225" s="8">
        <v>223</v>
      </c>
      <c r="D225">
        <v>1620.9914383562</v>
      </c>
      <c r="E225">
        <v>570.56549657534003</v>
      </c>
      <c r="F225">
        <v>141.93545611016</v>
      </c>
      <c r="G225">
        <v>118.90103270224</v>
      </c>
      <c r="I225" s="9">
        <f t="shared" si="22"/>
        <v>451.66446387310003</v>
      </c>
      <c r="J225" s="9">
        <f t="shared" si="23"/>
        <v>1479.05598224604</v>
      </c>
      <c r="K225" s="9">
        <f t="shared" si="24"/>
        <v>451.66446387310003</v>
      </c>
      <c r="L225" s="10">
        <f t="shared" si="21"/>
        <v>0.30537347422591737</v>
      </c>
      <c r="M225" s="10">
        <f t="shared" si="20"/>
        <v>0.3153108210526534</v>
      </c>
      <c r="P225" s="8">
        <f t="shared" si="25"/>
        <v>10.109450218264531</v>
      </c>
    </row>
    <row r="226" spans="1:16" x14ac:dyDescent="0.2">
      <c r="A226" s="8">
        <v>112</v>
      </c>
      <c r="B226" s="8">
        <v>224</v>
      </c>
      <c r="D226">
        <v>1599.7658390411</v>
      </c>
      <c r="E226">
        <v>556.77354452054999</v>
      </c>
      <c r="F226">
        <v>142.21514629948001</v>
      </c>
      <c r="G226">
        <v>118.56669535284</v>
      </c>
      <c r="I226" s="9">
        <f t="shared" si="22"/>
        <v>438.20684916771</v>
      </c>
      <c r="J226" s="9">
        <f t="shared" si="23"/>
        <v>1457.55069274162</v>
      </c>
      <c r="K226" s="9">
        <f t="shared" si="24"/>
        <v>438.20684916771</v>
      </c>
      <c r="L226" s="10">
        <f t="shared" si="21"/>
        <v>0.30064604363327685</v>
      </c>
      <c r="M226" s="10">
        <f t="shared" si="20"/>
        <v>0.31062795255340631</v>
      </c>
      <c r="P226" s="8">
        <f t="shared" si="25"/>
        <v>8.4741492978104773</v>
      </c>
    </row>
    <row r="227" spans="1:16" x14ac:dyDescent="0.2">
      <c r="A227" s="8">
        <v>112.5</v>
      </c>
      <c r="B227" s="8">
        <v>225</v>
      </c>
      <c r="D227">
        <v>1669.2869415808</v>
      </c>
      <c r="E227">
        <v>585.36984536083003</v>
      </c>
      <c r="F227">
        <v>141.90963855422001</v>
      </c>
      <c r="G227">
        <v>118.60929432013999</v>
      </c>
      <c r="I227" s="9">
        <f t="shared" si="22"/>
        <v>466.76055104069002</v>
      </c>
      <c r="J227" s="9">
        <f t="shared" si="23"/>
        <v>1527.37730302658</v>
      </c>
      <c r="K227" s="9">
        <f t="shared" si="24"/>
        <v>466.76055104069002</v>
      </c>
      <c r="L227" s="10">
        <f t="shared" si="21"/>
        <v>0.30559610262361431</v>
      </c>
      <c r="M227" s="10">
        <f t="shared" si="20"/>
        <v>0.31562257363713719</v>
      </c>
      <c r="P227" s="8">
        <f t="shared" si="25"/>
        <v>10.218317099417021</v>
      </c>
    </row>
    <row r="228" spans="1:16" x14ac:dyDescent="0.2">
      <c r="A228" s="8">
        <v>113</v>
      </c>
      <c r="B228" s="8">
        <v>226</v>
      </c>
      <c r="D228">
        <v>1479.3353422299001</v>
      </c>
      <c r="E228">
        <v>529.03745157124001</v>
      </c>
      <c r="F228">
        <v>142.02538726334001</v>
      </c>
      <c r="G228">
        <v>118.4604130809</v>
      </c>
      <c r="I228" s="9">
        <f t="shared" si="22"/>
        <v>410.57703849033999</v>
      </c>
      <c r="J228" s="9">
        <f t="shared" si="23"/>
        <v>1337.3099549665601</v>
      </c>
      <c r="K228" s="9">
        <f t="shared" si="24"/>
        <v>410.57703849033999</v>
      </c>
      <c r="L228" s="10">
        <f t="shared" si="21"/>
        <v>0.30701711070460597</v>
      </c>
      <c r="M228" s="10">
        <f t="shared" si="20"/>
        <v>0.31708814381152234</v>
      </c>
      <c r="P228" s="8">
        <f t="shared" si="25"/>
        <v>10.730107737045937</v>
      </c>
    </row>
    <row r="229" spans="1:16" x14ac:dyDescent="0.2">
      <c r="A229" s="8">
        <v>113.5</v>
      </c>
      <c r="B229" s="8">
        <v>227</v>
      </c>
      <c r="D229">
        <v>1538.8766233766</v>
      </c>
      <c r="E229">
        <v>559.01948051948</v>
      </c>
      <c r="F229">
        <v>142.21471600689</v>
      </c>
      <c r="G229">
        <v>118.41179001721</v>
      </c>
      <c r="I229" s="9">
        <f t="shared" si="22"/>
        <v>440.60769050226997</v>
      </c>
      <c r="J229" s="9">
        <f t="shared" si="23"/>
        <v>1396.66190736971</v>
      </c>
      <c r="K229" s="9">
        <f t="shared" si="24"/>
        <v>440.60769050226997</v>
      </c>
      <c r="L229" s="10">
        <f t="shared" si="21"/>
        <v>0.31547197512678837</v>
      </c>
      <c r="M229" s="10">
        <f t="shared" si="20"/>
        <v>0.32558757032709817</v>
      </c>
      <c r="P229" s="8">
        <f t="shared" si="25"/>
        <v>13.698185958009738</v>
      </c>
    </row>
    <row r="230" spans="1:16" x14ac:dyDescent="0.2">
      <c r="A230" s="8">
        <v>114</v>
      </c>
      <c r="B230" s="8">
        <v>228</v>
      </c>
      <c r="D230">
        <v>1570.7428571429</v>
      </c>
      <c r="E230">
        <v>576.53116883117002</v>
      </c>
      <c r="F230">
        <v>142.21815834768</v>
      </c>
      <c r="G230">
        <v>118.64716006885</v>
      </c>
      <c r="I230" s="9">
        <f t="shared" si="22"/>
        <v>457.88400876232004</v>
      </c>
      <c r="J230" s="9">
        <f t="shared" si="23"/>
        <v>1428.52469879522</v>
      </c>
      <c r="K230" s="9">
        <f t="shared" si="24"/>
        <v>457.88400876232004</v>
      </c>
      <c r="L230" s="10">
        <f t="shared" si="21"/>
        <v>0.32052929091704702</v>
      </c>
      <c r="M230" s="10">
        <f t="shared" si="20"/>
        <v>0.33068944821075025</v>
      </c>
      <c r="P230" s="8">
        <f t="shared" si="25"/>
        <v>15.479808824533068</v>
      </c>
    </row>
    <row r="231" spans="1:16" x14ac:dyDescent="0.2">
      <c r="A231" s="8">
        <v>114.5</v>
      </c>
      <c r="B231" s="8">
        <v>229</v>
      </c>
      <c r="D231">
        <v>1585.4523809524001</v>
      </c>
      <c r="E231">
        <v>589.36623376623004</v>
      </c>
      <c r="F231">
        <v>142.13382099827999</v>
      </c>
      <c r="G231">
        <v>118.62306368330999</v>
      </c>
      <c r="I231" s="9">
        <f t="shared" si="22"/>
        <v>470.74317008292007</v>
      </c>
      <c r="J231" s="9">
        <f t="shared" si="23"/>
        <v>1443.31855995412</v>
      </c>
      <c r="K231" s="9">
        <f t="shared" si="24"/>
        <v>470.74317008292007</v>
      </c>
      <c r="L231" s="10">
        <f t="shared" si="21"/>
        <v>0.32615334074127333</v>
      </c>
      <c r="M231" s="10">
        <f t="shared" si="20"/>
        <v>0.33635806012837</v>
      </c>
      <c r="P231" s="8">
        <f t="shared" si="25"/>
        <v>17.459340448807971</v>
      </c>
    </row>
    <row r="232" spans="1:16" x14ac:dyDescent="0.2">
      <c r="A232" s="8">
        <v>115</v>
      </c>
      <c r="B232" s="8">
        <v>230</v>
      </c>
      <c r="D232">
        <v>1630.5827213823</v>
      </c>
      <c r="E232">
        <v>595.93218142548994</v>
      </c>
      <c r="F232">
        <v>141.98364888123999</v>
      </c>
      <c r="G232">
        <v>118.40103270224</v>
      </c>
      <c r="I232" s="9">
        <f t="shared" si="22"/>
        <v>477.53114872324994</v>
      </c>
      <c r="J232" s="9">
        <f t="shared" si="23"/>
        <v>1488.5990725010599</v>
      </c>
      <c r="K232" s="9">
        <f t="shared" si="24"/>
        <v>477.53114872324994</v>
      </c>
      <c r="L232" s="10">
        <f t="shared" si="21"/>
        <v>0.32079231913058304</v>
      </c>
      <c r="M232" s="10">
        <f t="shared" si="20"/>
        <v>0.33104160061107313</v>
      </c>
      <c r="P232" s="8">
        <f t="shared" si="25"/>
        <v>15.602783694419056</v>
      </c>
    </row>
    <row r="233" spans="1:16" x14ac:dyDescent="0.2">
      <c r="A233" s="8">
        <v>115.5</v>
      </c>
      <c r="B233" s="8">
        <v>231</v>
      </c>
      <c r="D233">
        <v>1580.7987041036999</v>
      </c>
      <c r="E233">
        <v>573.97408207343005</v>
      </c>
      <c r="F233">
        <v>142.11790017211999</v>
      </c>
      <c r="G233">
        <v>118.63941480206999</v>
      </c>
      <c r="I233" s="9">
        <f t="shared" si="22"/>
        <v>455.33466727136005</v>
      </c>
      <c r="J233" s="9">
        <f t="shared" si="23"/>
        <v>1438.6808039315799</v>
      </c>
      <c r="K233" s="9">
        <f t="shared" si="24"/>
        <v>455.33466727136005</v>
      </c>
      <c r="L233" s="10">
        <f t="shared" si="21"/>
        <v>0.31649457338072234</v>
      </c>
      <c r="M233" s="10">
        <f t="shared" si="20"/>
        <v>0.32678841695460586</v>
      </c>
      <c r="P233" s="8">
        <f t="shared" si="25"/>
        <v>14.117532688673476</v>
      </c>
    </row>
    <row r="234" spans="1:16" x14ac:dyDescent="0.2">
      <c r="A234" s="8">
        <v>116</v>
      </c>
      <c r="B234" s="8">
        <v>232</v>
      </c>
      <c r="D234">
        <v>1572.4993520518001</v>
      </c>
      <c r="E234">
        <v>561.69028077754001</v>
      </c>
      <c r="F234">
        <v>141.57917383821001</v>
      </c>
      <c r="G234">
        <v>118.63640275387</v>
      </c>
      <c r="I234" s="9">
        <f t="shared" si="22"/>
        <v>443.05387802366999</v>
      </c>
      <c r="J234" s="9">
        <f t="shared" si="23"/>
        <v>1430.9201782135901</v>
      </c>
      <c r="K234" s="9">
        <f t="shared" si="24"/>
        <v>443.05387802366999</v>
      </c>
      <c r="L234" s="10">
        <f t="shared" si="21"/>
        <v>0.30962864649570715</v>
      </c>
      <c r="M234" s="10">
        <f t="shared" si="20"/>
        <v>0.3199670521629841</v>
      </c>
      <c r="P234" s="8">
        <f t="shared" si="25"/>
        <v>11.735449116545533</v>
      </c>
    </row>
    <row r="235" spans="1:16" x14ac:dyDescent="0.2">
      <c r="A235" s="8">
        <v>116.5</v>
      </c>
      <c r="B235" s="8">
        <v>233</v>
      </c>
      <c r="D235">
        <v>1552.1455723542001</v>
      </c>
      <c r="E235">
        <v>548.98185745139995</v>
      </c>
      <c r="F235">
        <v>141.90619621343001</v>
      </c>
      <c r="G235">
        <v>118.60714285714</v>
      </c>
      <c r="I235" s="9">
        <f t="shared" si="22"/>
        <v>430.37471459425996</v>
      </c>
      <c r="J235" s="9">
        <f t="shared" si="23"/>
        <v>1410.2393761407702</v>
      </c>
      <c r="K235" s="9">
        <f t="shared" si="24"/>
        <v>430.37471459425996</v>
      </c>
      <c r="L235" s="10">
        <f t="shared" si="21"/>
        <v>0.30517848379188917</v>
      </c>
      <c r="M235" s="10">
        <f t="shared" si="20"/>
        <v>0.31556145155255955</v>
      </c>
      <c r="P235" s="8">
        <f t="shared" si="25"/>
        <v>10.196972703095415</v>
      </c>
    </row>
    <row r="236" spans="1:16" x14ac:dyDescent="0.2">
      <c r="A236" s="8">
        <v>117</v>
      </c>
      <c r="B236" s="8">
        <v>234</v>
      </c>
      <c r="D236">
        <v>1381.8436285097</v>
      </c>
      <c r="E236">
        <v>490.14859611230997</v>
      </c>
      <c r="F236">
        <v>141.78915662650999</v>
      </c>
      <c r="G236">
        <v>118.39371772806</v>
      </c>
      <c r="I236" s="9">
        <f t="shared" si="22"/>
        <v>371.75487838424999</v>
      </c>
      <c r="J236" s="9">
        <f t="shared" si="23"/>
        <v>1240.05447188319</v>
      </c>
      <c r="K236" s="9">
        <f t="shared" si="24"/>
        <v>371.75487838424999</v>
      </c>
      <c r="L236" s="10">
        <f t="shared" si="21"/>
        <v>0.29978915185853899</v>
      </c>
      <c r="M236" s="10">
        <f t="shared" si="20"/>
        <v>0.3102166817126028</v>
      </c>
      <c r="P236" s="8">
        <f t="shared" si="25"/>
        <v>8.3305297226227459</v>
      </c>
    </row>
    <row r="237" spans="1:16" x14ac:dyDescent="0.2">
      <c r="A237" s="8">
        <v>117.5</v>
      </c>
      <c r="B237" s="8">
        <v>235</v>
      </c>
      <c r="D237">
        <v>1425.5352536543</v>
      </c>
      <c r="E237">
        <v>502.00257953568001</v>
      </c>
      <c r="F237">
        <v>142.15834767641999</v>
      </c>
      <c r="G237">
        <v>118.38123924269</v>
      </c>
      <c r="I237" s="9">
        <f t="shared" si="22"/>
        <v>383.62134029299</v>
      </c>
      <c r="J237" s="9">
        <f t="shared" si="23"/>
        <v>1283.3769059778801</v>
      </c>
      <c r="K237" s="9">
        <f t="shared" si="24"/>
        <v>383.62134029299</v>
      </c>
      <c r="L237" s="10">
        <f t="shared" si="21"/>
        <v>0.29891557071512548</v>
      </c>
      <c r="M237" s="10">
        <f t="shared" si="20"/>
        <v>0.30938766266258272</v>
      </c>
      <c r="P237" s="8">
        <f t="shared" si="25"/>
        <v>8.0410286153869226</v>
      </c>
    </row>
    <row r="238" spans="1:16" x14ac:dyDescent="0.2">
      <c r="A238" s="8">
        <v>118</v>
      </c>
      <c r="B238" s="8">
        <v>236</v>
      </c>
      <c r="D238">
        <v>1431.1711092003</v>
      </c>
      <c r="E238">
        <v>511.44453998279999</v>
      </c>
      <c r="F238">
        <v>141.91566265060001</v>
      </c>
      <c r="G238">
        <v>118.7512908778</v>
      </c>
      <c r="I238" s="9">
        <f t="shared" si="22"/>
        <v>392.69324910500001</v>
      </c>
      <c r="J238" s="9">
        <f t="shared" si="23"/>
        <v>1289.2554465496999</v>
      </c>
      <c r="K238" s="9">
        <f t="shared" si="24"/>
        <v>392.69324910500001</v>
      </c>
      <c r="L238" s="10">
        <f t="shared" si="21"/>
        <v>0.30458917211164327</v>
      </c>
      <c r="M238" s="10">
        <f t="shared" si="20"/>
        <v>0.31510582615249394</v>
      </c>
      <c r="P238" s="8">
        <f t="shared" si="25"/>
        <v>10.037864106253688</v>
      </c>
    </row>
    <row r="239" spans="1:16" x14ac:dyDescent="0.2">
      <c r="A239" s="8">
        <v>118.5</v>
      </c>
      <c r="B239" s="8">
        <v>237</v>
      </c>
      <c r="D239">
        <v>1570.1030927835</v>
      </c>
      <c r="E239">
        <v>565.38058419243998</v>
      </c>
      <c r="F239">
        <v>142.13339070568</v>
      </c>
      <c r="G239">
        <v>118.80163511188</v>
      </c>
      <c r="I239" s="9">
        <f t="shared" si="22"/>
        <v>446.57894908055999</v>
      </c>
      <c r="J239" s="9">
        <f t="shared" si="23"/>
        <v>1427.9697020778199</v>
      </c>
      <c r="K239" s="9">
        <f t="shared" si="24"/>
        <v>446.57894908055999</v>
      </c>
      <c r="L239" s="10">
        <f t="shared" si="21"/>
        <v>0.31273699184986126</v>
      </c>
      <c r="M239" s="10">
        <f t="shared" si="20"/>
        <v>0.32329820798410541</v>
      </c>
      <c r="P239" s="8">
        <f t="shared" si="25"/>
        <v>12.898719488398038</v>
      </c>
    </row>
    <row r="240" spans="1:16" x14ac:dyDescent="0.2">
      <c r="A240" s="8">
        <v>119</v>
      </c>
      <c r="B240" s="8">
        <v>238</v>
      </c>
      <c r="D240">
        <v>1596.6121134021</v>
      </c>
      <c r="E240">
        <v>569.93642611684004</v>
      </c>
      <c r="F240">
        <v>142.38726333906999</v>
      </c>
      <c r="G240">
        <v>118.43588640275</v>
      </c>
      <c r="I240" s="9">
        <f t="shared" si="22"/>
        <v>451.50053971409005</v>
      </c>
      <c r="J240" s="9">
        <f t="shared" si="23"/>
        <v>1454.2248500630301</v>
      </c>
      <c r="K240" s="9">
        <f t="shared" si="24"/>
        <v>451.50053971409005</v>
      </c>
      <c r="L240" s="10">
        <f t="shared" si="21"/>
        <v>0.31047505459318808</v>
      </c>
      <c r="M240" s="10">
        <f t="shared" si="20"/>
        <v>0.32108083282082567</v>
      </c>
      <c r="P240" s="8">
        <f t="shared" si="25"/>
        <v>12.124391606654976</v>
      </c>
    </row>
    <row r="241" spans="1:16" x14ac:dyDescent="0.2">
      <c r="A241" s="8">
        <v>119.5</v>
      </c>
      <c r="B241" s="8">
        <v>239</v>
      </c>
      <c r="D241">
        <v>1570.7521477662999</v>
      </c>
      <c r="E241">
        <v>553.20189003435996</v>
      </c>
      <c r="F241">
        <v>142.4186746988</v>
      </c>
      <c r="G241">
        <v>118.42857142857</v>
      </c>
      <c r="I241" s="9">
        <f t="shared" si="22"/>
        <v>434.77331860579</v>
      </c>
      <c r="J241" s="9">
        <f t="shared" si="23"/>
        <v>1428.3334730674999</v>
      </c>
      <c r="K241" s="9">
        <f t="shared" si="24"/>
        <v>434.77331860579</v>
      </c>
      <c r="L241" s="10">
        <f t="shared" si="21"/>
        <v>0.30439202525448589</v>
      </c>
      <c r="M241" s="10">
        <f t="shared" si="20"/>
        <v>0.3150423655755169</v>
      </c>
      <c r="P241" s="8">
        <f t="shared" si="25"/>
        <v>10.015703086793119</v>
      </c>
    </row>
    <row r="242" spans="1:16" x14ac:dyDescent="0.2">
      <c r="A242" s="8">
        <v>120</v>
      </c>
      <c r="B242" s="8">
        <v>240</v>
      </c>
      <c r="D242">
        <v>1621.4536082474001</v>
      </c>
      <c r="E242">
        <v>573.10867697594995</v>
      </c>
      <c r="F242">
        <v>142.21299483649</v>
      </c>
      <c r="G242">
        <v>118.36359724613</v>
      </c>
      <c r="I242" s="9">
        <f>E242-G242</f>
        <v>454.74507972981996</v>
      </c>
      <c r="J242" s="9">
        <f>D242-F242</f>
        <v>1479.2406134109101</v>
      </c>
      <c r="K242" s="9">
        <f t="shared" si="24"/>
        <v>454.74507972981996</v>
      </c>
      <c r="L242" s="10">
        <f t="shared" si="21"/>
        <v>0.30741792485080915</v>
      </c>
      <c r="M242" s="10">
        <f>L242+ABS($N$2)*A242</f>
        <v>0.3181128272652336</v>
      </c>
      <c r="O242" s="11"/>
      <c r="P242" s="8">
        <f>(M242-$O$2)/$O$2*100</f>
        <v>11.087936660770247</v>
      </c>
    </row>
    <row r="243" spans="1:16" x14ac:dyDescent="0.2">
      <c r="A243" s="8">
        <v>120.5</v>
      </c>
      <c r="B243" s="8">
        <v>241</v>
      </c>
      <c r="D243">
        <v>1658.1554982818</v>
      </c>
      <c r="E243">
        <v>583.27620274914</v>
      </c>
      <c r="F243">
        <v>141.88898450946999</v>
      </c>
      <c r="G243">
        <v>118.39156626506001</v>
      </c>
      <c r="I243" s="9">
        <f t="shared" ref="I243:I274" si="26">E243-G243</f>
        <v>464.88463648407998</v>
      </c>
      <c r="J243" s="9">
        <f t="shared" ref="J243:J274" si="27">D243-F243</f>
        <v>1516.26651377233</v>
      </c>
      <c r="K243" s="9">
        <f t="shared" si="24"/>
        <v>464.88463648407998</v>
      </c>
      <c r="L243" s="10">
        <f t="shared" si="21"/>
        <v>0.30659823471764885</v>
      </c>
      <c r="M243" s="10">
        <f t="shared" ref="M243:M274" si="28">L243+ABS($N$2)*A243</f>
        <v>0.31733769922546673</v>
      </c>
      <c r="P243" s="8">
        <f t="shared" ref="P243:P274" si="29">(M243-$O$2)/$O$2*100</f>
        <v>10.817254791931882</v>
      </c>
    </row>
    <row r="244" spans="1:16" x14ac:dyDescent="0.2">
      <c r="A244" s="8">
        <v>121</v>
      </c>
      <c r="B244" s="8">
        <v>242</v>
      </c>
      <c r="D244">
        <v>1671.7179046801</v>
      </c>
      <c r="E244">
        <v>583.52340060111999</v>
      </c>
      <c r="F244">
        <v>142.1678141136</v>
      </c>
      <c r="G244">
        <v>118.12435456110001</v>
      </c>
      <c r="I244" s="9">
        <f t="shared" si="26"/>
        <v>465.39904604001998</v>
      </c>
      <c r="J244" s="9">
        <f t="shared" si="27"/>
        <v>1529.5500905664999</v>
      </c>
      <c r="K244" s="9">
        <f t="shared" si="24"/>
        <v>465.39904604001998</v>
      </c>
      <c r="L244" s="10">
        <f t="shared" si="21"/>
        <v>0.30427185674425999</v>
      </c>
      <c r="M244" s="10">
        <f t="shared" si="28"/>
        <v>0.3150558833454713</v>
      </c>
      <c r="N244" s="1"/>
      <c r="P244" s="8">
        <f t="shared" si="29"/>
        <v>10.020423616881134</v>
      </c>
    </row>
    <row r="245" spans="1:16" x14ac:dyDescent="0.2">
      <c r="A245" s="8">
        <v>121.5</v>
      </c>
      <c r="B245" s="8">
        <v>243</v>
      </c>
      <c r="D245">
        <v>1710.7338779019999</v>
      </c>
      <c r="E245">
        <v>594.45872742905999</v>
      </c>
      <c r="F245">
        <v>142.21084337349001</v>
      </c>
      <c r="G245">
        <v>118.33950086058999</v>
      </c>
      <c r="I245" s="9">
        <f t="shared" si="26"/>
        <v>476.11922656847003</v>
      </c>
      <c r="J245" s="9">
        <f t="shared" si="27"/>
        <v>1568.5230345285099</v>
      </c>
      <c r="K245" s="9">
        <f t="shared" si="24"/>
        <v>476.11922656847003</v>
      </c>
      <c r="L245" s="10">
        <f t="shared" si="21"/>
        <v>0.30354621263919729</v>
      </c>
      <c r="M245" s="10">
        <f t="shared" si="28"/>
        <v>0.31437480133380202</v>
      </c>
      <c r="P245" s="8">
        <f t="shared" si="29"/>
        <v>9.7825834894535681</v>
      </c>
    </row>
    <row r="246" spans="1:16" x14ac:dyDescent="0.2">
      <c r="A246" s="8">
        <v>122</v>
      </c>
      <c r="B246" s="8">
        <v>244</v>
      </c>
      <c r="D246">
        <v>1697.8684436801</v>
      </c>
      <c r="E246">
        <v>582.75967325881004</v>
      </c>
      <c r="F246">
        <v>141.81325301205001</v>
      </c>
      <c r="G246">
        <v>118.40877796901999</v>
      </c>
      <c r="I246" s="9">
        <f t="shared" si="26"/>
        <v>464.35089528979006</v>
      </c>
      <c r="J246" s="9">
        <f t="shared" si="27"/>
        <v>1556.05519066805</v>
      </c>
      <c r="K246" s="9">
        <f t="shared" si="24"/>
        <v>464.35089528979006</v>
      </c>
      <c r="L246" s="10">
        <f t="shared" si="21"/>
        <v>0.29841544057986374</v>
      </c>
      <c r="M246" s="10">
        <f t="shared" si="28"/>
        <v>0.30928859136786191</v>
      </c>
      <c r="P246" s="8">
        <f t="shared" si="29"/>
        <v>8.0064320044691577</v>
      </c>
    </row>
    <row r="247" spans="1:16" x14ac:dyDescent="0.2">
      <c r="A247" s="8">
        <v>122.5</v>
      </c>
      <c r="B247" s="8">
        <v>245</v>
      </c>
      <c r="D247">
        <v>1711.7126833477</v>
      </c>
      <c r="E247">
        <v>590.13675582399003</v>
      </c>
      <c r="F247">
        <v>141.72848537005001</v>
      </c>
      <c r="G247">
        <v>118.63080895009</v>
      </c>
      <c r="I247" s="9">
        <f t="shared" si="26"/>
        <v>471.50594687390003</v>
      </c>
      <c r="J247" s="9">
        <f t="shared" si="27"/>
        <v>1569.98419797765</v>
      </c>
      <c r="K247" s="9">
        <f t="shared" si="24"/>
        <v>471.50594687390003</v>
      </c>
      <c r="L247" s="10">
        <f t="shared" si="21"/>
        <v>0.30032528192402375</v>
      </c>
      <c r="M247" s="10">
        <f t="shared" si="28"/>
        <v>0.31124299480541534</v>
      </c>
      <c r="P247" s="8">
        <f t="shared" si="29"/>
        <v>8.6889277313689295</v>
      </c>
    </row>
    <row r="248" spans="1:16" x14ac:dyDescent="0.2">
      <c r="A248" s="8">
        <v>123</v>
      </c>
      <c r="B248" s="8">
        <v>246</v>
      </c>
      <c r="D248">
        <v>1665.6376186368</v>
      </c>
      <c r="E248">
        <v>576.22346850733004</v>
      </c>
      <c r="F248">
        <v>141.78657487090999</v>
      </c>
      <c r="G248">
        <v>118.62134251291</v>
      </c>
      <c r="I248" s="9">
        <f t="shared" si="26"/>
        <v>457.60212599442002</v>
      </c>
      <c r="J248" s="9">
        <f t="shared" si="27"/>
        <v>1523.8510437658899</v>
      </c>
      <c r="K248" s="9">
        <f t="shared" si="24"/>
        <v>457.60212599442002</v>
      </c>
      <c r="L248" s="10">
        <f t="shared" si="21"/>
        <v>0.30029321295311701</v>
      </c>
      <c r="M248" s="10">
        <f t="shared" si="28"/>
        <v>0.31125548792790203</v>
      </c>
      <c r="P248" s="8">
        <f t="shared" si="29"/>
        <v>8.6932904450998638</v>
      </c>
    </row>
    <row r="249" spans="1:16" x14ac:dyDescent="0.2">
      <c r="A249" s="8">
        <v>123.5</v>
      </c>
      <c r="B249" s="8">
        <v>247</v>
      </c>
      <c r="D249">
        <v>1685.7276247848999</v>
      </c>
      <c r="E249">
        <v>569.53184165232005</v>
      </c>
      <c r="F249">
        <v>141.60111876075999</v>
      </c>
      <c r="G249">
        <v>118.26764199656</v>
      </c>
      <c r="I249" s="9">
        <f t="shared" si="26"/>
        <v>451.26419965576008</v>
      </c>
      <c r="J249" s="9">
        <f t="shared" si="27"/>
        <v>1544.1265060241399</v>
      </c>
      <c r="K249" s="9">
        <f t="shared" si="24"/>
        <v>451.26419965576008</v>
      </c>
      <c r="L249" s="10">
        <f t="shared" si="21"/>
        <v>0.29224561452396008</v>
      </c>
      <c r="M249" s="10">
        <f t="shared" si="28"/>
        <v>0.30325245159213859</v>
      </c>
      <c r="P249" s="8">
        <f t="shared" si="29"/>
        <v>5.8985562584778526</v>
      </c>
    </row>
    <row r="250" spans="1:16" x14ac:dyDescent="0.2">
      <c r="A250" s="8">
        <v>124</v>
      </c>
      <c r="B250" s="8">
        <v>248</v>
      </c>
      <c r="D250">
        <v>1622.4208261618001</v>
      </c>
      <c r="E250">
        <v>546.38554216867999</v>
      </c>
      <c r="F250">
        <v>141.93416523235999</v>
      </c>
      <c r="G250">
        <v>118.52667814114</v>
      </c>
      <c r="I250" s="9">
        <f t="shared" si="26"/>
        <v>427.85886402753999</v>
      </c>
      <c r="J250" s="9">
        <f t="shared" si="27"/>
        <v>1480.4866609294399</v>
      </c>
      <c r="K250" s="9">
        <f t="shared" si="24"/>
        <v>427.85886402753999</v>
      </c>
      <c r="L250" s="10">
        <f t="shared" si="21"/>
        <v>0.28899879702997999</v>
      </c>
      <c r="M250" s="10">
        <f t="shared" si="28"/>
        <v>0.30005019619155193</v>
      </c>
      <c r="P250" s="8">
        <f t="shared" si="29"/>
        <v>4.7802991037125047</v>
      </c>
    </row>
    <row r="251" spans="1:16" x14ac:dyDescent="0.2">
      <c r="A251" s="8">
        <v>124.5</v>
      </c>
      <c r="B251" s="8">
        <v>249</v>
      </c>
      <c r="D251">
        <v>1635.6242476354</v>
      </c>
      <c r="E251">
        <v>546.51762682717003</v>
      </c>
      <c r="F251">
        <v>141.82917383821001</v>
      </c>
      <c r="G251">
        <v>118.14543889845</v>
      </c>
      <c r="I251" s="9">
        <f t="shared" si="26"/>
        <v>428.37218792872005</v>
      </c>
      <c r="J251" s="9">
        <f t="shared" si="27"/>
        <v>1493.7950737971901</v>
      </c>
      <c r="K251" s="9">
        <f t="shared" si="24"/>
        <v>428.37218792872005</v>
      </c>
      <c r="L251" s="10">
        <f t="shared" si="21"/>
        <v>0.2867677069250259</v>
      </c>
      <c r="M251" s="10">
        <f t="shared" si="28"/>
        <v>0.29786366817999127</v>
      </c>
      <c r="P251" s="8">
        <f t="shared" si="29"/>
        <v>4.0167433321851593</v>
      </c>
    </row>
    <row r="252" spans="1:16" x14ac:dyDescent="0.2">
      <c r="A252" s="8">
        <v>125</v>
      </c>
      <c r="B252" s="8">
        <v>250</v>
      </c>
      <c r="D252">
        <v>1592.0584694755</v>
      </c>
      <c r="E252">
        <v>531.72914875321999</v>
      </c>
      <c r="F252">
        <v>141.5434595525</v>
      </c>
      <c r="G252">
        <v>118.19061962134001</v>
      </c>
      <c r="I252" s="9">
        <f t="shared" si="26"/>
        <v>413.53852913187995</v>
      </c>
      <c r="J252" s="9">
        <f t="shared" si="27"/>
        <v>1450.515009923</v>
      </c>
      <c r="K252" s="9">
        <f t="shared" si="24"/>
        <v>413.53852913187995</v>
      </c>
      <c r="L252" s="10">
        <f t="shared" si="21"/>
        <v>0.28509772481005385</v>
      </c>
      <c r="M252" s="10">
        <f t="shared" si="28"/>
        <v>0.29623824815841265</v>
      </c>
      <c r="P252" s="8">
        <f t="shared" si="29"/>
        <v>3.4491316519000268</v>
      </c>
    </row>
    <row r="253" spans="1:16" x14ac:dyDescent="0.2">
      <c r="A253" s="8">
        <v>125.5</v>
      </c>
      <c r="B253" s="8">
        <v>251</v>
      </c>
      <c r="D253">
        <v>1587.3188468158</v>
      </c>
      <c r="E253">
        <v>523.90662650601996</v>
      </c>
      <c r="F253">
        <v>141.35499139415001</v>
      </c>
      <c r="G253">
        <v>118.06884681584</v>
      </c>
      <c r="I253" s="9">
        <f t="shared" si="26"/>
        <v>405.83777969017996</v>
      </c>
      <c r="J253" s="9">
        <f t="shared" si="27"/>
        <v>1445.9638554216501</v>
      </c>
      <c r="K253" s="9">
        <f t="shared" si="24"/>
        <v>405.83777969017996</v>
      </c>
      <c r="L253" s="10">
        <f t="shared" si="21"/>
        <v>0.28066938061313829</v>
      </c>
      <c r="M253" s="10">
        <f t="shared" si="28"/>
        <v>0.29185446605489052</v>
      </c>
      <c r="P253" s="8">
        <f t="shared" si="29"/>
        <v>1.918274462527243</v>
      </c>
    </row>
    <row r="254" spans="1:16" x14ac:dyDescent="0.2">
      <c r="A254" s="8">
        <v>126</v>
      </c>
      <c r="B254" s="8">
        <v>252</v>
      </c>
      <c r="D254">
        <v>1598.5692175408001</v>
      </c>
      <c r="E254">
        <v>533.90154772141</v>
      </c>
      <c r="F254">
        <v>141.63296041308001</v>
      </c>
      <c r="G254">
        <v>118.25989672978</v>
      </c>
      <c r="I254" s="9">
        <f t="shared" si="26"/>
        <v>415.64165099163</v>
      </c>
      <c r="J254" s="9">
        <f t="shared" si="27"/>
        <v>1456.9362571277202</v>
      </c>
      <c r="K254" s="9">
        <f t="shared" si="24"/>
        <v>415.64165099163</v>
      </c>
      <c r="L254" s="10">
        <f t="shared" si="21"/>
        <v>0.28528471918946374</v>
      </c>
      <c r="M254" s="10">
        <f t="shared" si="28"/>
        <v>0.2965143667246094</v>
      </c>
      <c r="P254" s="8">
        <f t="shared" si="29"/>
        <v>3.545554804830457</v>
      </c>
    </row>
    <row r="255" spans="1:16" x14ac:dyDescent="0.2">
      <c r="A255" s="8">
        <v>126.5</v>
      </c>
      <c r="B255" s="8">
        <v>253</v>
      </c>
      <c r="D255">
        <v>1606.9488392088999</v>
      </c>
      <c r="E255">
        <v>539.18185726569004</v>
      </c>
      <c r="F255">
        <v>141.80593803786999</v>
      </c>
      <c r="G255">
        <v>118.43975903614999</v>
      </c>
      <c r="I255" s="9">
        <f t="shared" si="26"/>
        <v>420.74209822954003</v>
      </c>
      <c r="J255" s="9">
        <f t="shared" si="27"/>
        <v>1465.14290117103</v>
      </c>
      <c r="K255" s="9">
        <f t="shared" si="24"/>
        <v>420.74209822954003</v>
      </c>
      <c r="L255" s="10">
        <f t="shared" si="21"/>
        <v>0.2871679601308908</v>
      </c>
      <c r="M255" s="10">
        <f t="shared" si="28"/>
        <v>0.29844216975942989</v>
      </c>
      <c r="P255" s="8">
        <f t="shared" si="29"/>
        <v>4.2187614254739616</v>
      </c>
    </row>
    <row r="256" spans="1:16" x14ac:dyDescent="0.2">
      <c r="A256" s="8">
        <v>127</v>
      </c>
      <c r="B256" s="8">
        <v>254</v>
      </c>
      <c r="D256">
        <v>1578.9806534823999</v>
      </c>
      <c r="E256">
        <v>532.14918314703004</v>
      </c>
      <c r="F256">
        <v>141.32056798623</v>
      </c>
      <c r="G256">
        <v>118.42082616179</v>
      </c>
      <c r="I256" s="9">
        <f t="shared" si="26"/>
        <v>413.72835698524005</v>
      </c>
      <c r="J256" s="9">
        <f t="shared" si="27"/>
        <v>1437.6600854961698</v>
      </c>
      <c r="K256" s="9">
        <f t="shared" si="24"/>
        <v>413.72835698524005</v>
      </c>
      <c r="L256" s="10">
        <f t="shared" si="21"/>
        <v>0.28777898277843111</v>
      </c>
      <c r="M256" s="10">
        <f t="shared" si="28"/>
        <v>0.29909775450036363</v>
      </c>
      <c r="P256" s="8">
        <f t="shared" si="29"/>
        <v>4.4476976705248212</v>
      </c>
    </row>
    <row r="257" spans="1:16" x14ac:dyDescent="0.2">
      <c r="A257" s="8">
        <v>127.5</v>
      </c>
      <c r="B257" s="8">
        <v>255</v>
      </c>
      <c r="D257">
        <v>1591.4068309555</v>
      </c>
      <c r="E257">
        <v>526.90575010809005</v>
      </c>
      <c r="F257">
        <v>141.03614457831</v>
      </c>
      <c r="G257">
        <v>118.25559380379001</v>
      </c>
      <c r="I257" s="9">
        <f t="shared" si="26"/>
        <v>408.65015630430003</v>
      </c>
      <c r="J257" s="9">
        <f t="shared" si="27"/>
        <v>1450.3706863771899</v>
      </c>
      <c r="K257" s="9">
        <f t="shared" si="24"/>
        <v>408.65015630430003</v>
      </c>
      <c r="L257" s="10">
        <f t="shared" si="21"/>
        <v>0.2817556643571219</v>
      </c>
      <c r="M257" s="10">
        <f t="shared" si="28"/>
        <v>0.29311899817244785</v>
      </c>
      <c r="P257" s="8">
        <f t="shared" si="29"/>
        <v>2.3598607543732983</v>
      </c>
    </row>
    <row r="258" spans="1:16" x14ac:dyDescent="0.2">
      <c r="A258" s="8">
        <v>128</v>
      </c>
      <c r="B258" s="8">
        <v>256</v>
      </c>
      <c r="D258">
        <v>1572.5801988758999</v>
      </c>
      <c r="E258">
        <v>518.72373540855995</v>
      </c>
      <c r="F258">
        <v>141.29302925990001</v>
      </c>
      <c r="G258">
        <v>118.60154905336</v>
      </c>
      <c r="I258" s="9">
        <f t="shared" si="26"/>
        <v>400.12218635519991</v>
      </c>
      <c r="J258" s="9">
        <f t="shared" si="27"/>
        <v>1431.2871696159998</v>
      </c>
      <c r="K258" s="9">
        <f t="shared" si="24"/>
        <v>400.12218635519991</v>
      </c>
      <c r="L258" s="10">
        <f t="shared" ref="L258:L321" si="30">K258/J258</f>
        <v>0.27955409288168825</v>
      </c>
      <c r="M258" s="10">
        <f t="shared" si="28"/>
        <v>0.29096198879040763</v>
      </c>
      <c r="P258" s="8">
        <f t="shared" si="29"/>
        <v>1.6066131608426399</v>
      </c>
    </row>
    <row r="259" spans="1:16" x14ac:dyDescent="0.2">
      <c r="A259" s="8">
        <v>128.5</v>
      </c>
      <c r="B259" s="8">
        <v>257</v>
      </c>
      <c r="D259">
        <v>1545.5300475572999</v>
      </c>
      <c r="E259">
        <v>509.19066147860002</v>
      </c>
      <c r="F259">
        <v>141.20567986231001</v>
      </c>
      <c r="G259">
        <v>118.40447504303</v>
      </c>
      <c r="I259" s="9">
        <f t="shared" si="26"/>
        <v>390.78618643557002</v>
      </c>
      <c r="J259" s="9">
        <f t="shared" si="27"/>
        <v>1404.3243676949899</v>
      </c>
      <c r="K259" s="9">
        <f t="shared" ref="K259:K322" si="31">I259*1</f>
        <v>390.78618643557002</v>
      </c>
      <c r="L259" s="10">
        <f t="shared" si="30"/>
        <v>0.27827344979920354</v>
      </c>
      <c r="M259" s="10">
        <f t="shared" si="28"/>
        <v>0.28972590780131635</v>
      </c>
      <c r="P259" s="8">
        <f t="shared" si="29"/>
        <v>1.174962265768025</v>
      </c>
    </row>
    <row r="260" spans="1:16" x14ac:dyDescent="0.2">
      <c r="A260" s="8">
        <v>129</v>
      </c>
      <c r="B260" s="8">
        <v>258</v>
      </c>
      <c r="D260">
        <v>1574.3159707274999</v>
      </c>
      <c r="E260">
        <v>512.36762806716001</v>
      </c>
      <c r="F260">
        <v>141.4160929432</v>
      </c>
      <c r="G260">
        <v>118.25387263339</v>
      </c>
      <c r="I260" s="9">
        <f t="shared" si="26"/>
        <v>394.11375543377</v>
      </c>
      <c r="J260" s="9">
        <f t="shared" si="27"/>
        <v>1432.8998777842999</v>
      </c>
      <c r="K260" s="9">
        <f t="shared" si="31"/>
        <v>394.11375543377</v>
      </c>
      <c r="L260" s="10">
        <f t="shared" si="30"/>
        <v>0.2750462621597749</v>
      </c>
      <c r="M260" s="10">
        <f t="shared" si="28"/>
        <v>0.2865432822552812</v>
      </c>
      <c r="P260" s="8">
        <f t="shared" si="29"/>
        <v>6.3560037469568051E-2</v>
      </c>
    </row>
    <row r="261" spans="1:16" x14ac:dyDescent="0.2">
      <c r="A261" s="8">
        <v>129.5</v>
      </c>
      <c r="B261" s="8">
        <v>259</v>
      </c>
      <c r="D261">
        <v>1588.5501506671999</v>
      </c>
      <c r="E261">
        <v>520.36246233319002</v>
      </c>
      <c r="F261">
        <v>141.71772805507999</v>
      </c>
      <c r="G261">
        <v>118.05077452668</v>
      </c>
      <c r="I261" s="9">
        <f t="shared" si="26"/>
        <v>402.31168780651001</v>
      </c>
      <c r="J261" s="9">
        <f t="shared" si="27"/>
        <v>1446.8324226121199</v>
      </c>
      <c r="K261" s="9">
        <f t="shared" si="31"/>
        <v>402.31168780651001</v>
      </c>
      <c r="L261" s="10">
        <f t="shared" si="30"/>
        <v>0.27806377678499494</v>
      </c>
      <c r="M261" s="10">
        <f t="shared" si="28"/>
        <v>0.28960535897389467</v>
      </c>
      <c r="P261" s="8">
        <f t="shared" si="29"/>
        <v>1.1328655021125791</v>
      </c>
    </row>
    <row r="262" spans="1:16" x14ac:dyDescent="0.2">
      <c r="A262" s="8">
        <v>130</v>
      </c>
      <c r="B262" s="8">
        <v>260</v>
      </c>
      <c r="D262">
        <v>1592.0641411966999</v>
      </c>
      <c r="E262">
        <v>523.05165733964998</v>
      </c>
      <c r="F262">
        <v>141.1669535284</v>
      </c>
      <c r="G262">
        <v>118.03141135973</v>
      </c>
      <c r="I262" s="9">
        <f t="shared" si="26"/>
        <v>405.02024597991999</v>
      </c>
      <c r="J262" s="9">
        <f t="shared" si="27"/>
        <v>1450.8971876682999</v>
      </c>
      <c r="K262" s="9">
        <f t="shared" si="31"/>
        <v>405.02024597991999</v>
      </c>
      <c r="L262" s="10">
        <f t="shared" si="30"/>
        <v>0.27915158249828698</v>
      </c>
      <c r="M262" s="10">
        <f t="shared" si="28"/>
        <v>0.29073772678058013</v>
      </c>
      <c r="P262" s="8">
        <f t="shared" si="29"/>
        <v>1.5282987962277135</v>
      </c>
    </row>
    <row r="263" spans="1:16" x14ac:dyDescent="0.2">
      <c r="A263" s="8">
        <v>130.5</v>
      </c>
      <c r="B263" s="8">
        <v>261</v>
      </c>
      <c r="D263">
        <v>1585.2759362893</v>
      </c>
      <c r="E263">
        <v>517.96427034008002</v>
      </c>
      <c r="F263">
        <v>141.64586919105</v>
      </c>
      <c r="G263">
        <v>118.52108433735</v>
      </c>
      <c r="I263" s="9">
        <f t="shared" si="26"/>
        <v>399.44318600273004</v>
      </c>
      <c r="J263" s="9">
        <f t="shared" si="27"/>
        <v>1443.63006709825</v>
      </c>
      <c r="K263" s="9">
        <f t="shared" si="31"/>
        <v>399.44318600273004</v>
      </c>
      <c r="L263" s="10">
        <f t="shared" si="30"/>
        <v>0.27669359007299266</v>
      </c>
      <c r="M263" s="10">
        <f t="shared" si="28"/>
        <v>0.28832429644867924</v>
      </c>
      <c r="P263" s="8">
        <f t="shared" si="29"/>
        <v>0.68550663927438527</v>
      </c>
    </row>
    <row r="264" spans="1:16" x14ac:dyDescent="0.2">
      <c r="A264" s="8">
        <v>131</v>
      </c>
      <c r="B264" s="8">
        <v>262</v>
      </c>
      <c r="D264">
        <v>1598.3762376238001</v>
      </c>
      <c r="E264">
        <v>535.02195436935006</v>
      </c>
      <c r="F264">
        <v>141.45740103270001</v>
      </c>
      <c r="G264">
        <v>118.15490533563</v>
      </c>
      <c r="I264" s="9">
        <f t="shared" si="26"/>
        <v>416.86704903372004</v>
      </c>
      <c r="J264" s="9">
        <f t="shared" si="27"/>
        <v>1456.9188365911</v>
      </c>
      <c r="K264" s="9">
        <f t="shared" si="31"/>
        <v>416.86704903372004</v>
      </c>
      <c r="L264" s="10">
        <f t="shared" si="30"/>
        <v>0.28612921911910066</v>
      </c>
      <c r="M264" s="10">
        <f t="shared" si="28"/>
        <v>0.29780448758818068</v>
      </c>
      <c r="P264" s="8">
        <f t="shared" si="29"/>
        <v>3.9960769230650999</v>
      </c>
    </row>
    <row r="265" spans="1:16" x14ac:dyDescent="0.2">
      <c r="A265" s="8">
        <v>131.5</v>
      </c>
      <c r="B265" s="8">
        <v>263</v>
      </c>
      <c r="D265">
        <v>1600.4997847611</v>
      </c>
      <c r="E265">
        <v>528.48816185965995</v>
      </c>
      <c r="F265">
        <v>141.28786574871</v>
      </c>
      <c r="G265">
        <v>118.11101549052999</v>
      </c>
      <c r="I265" s="9">
        <f t="shared" si="26"/>
        <v>410.37714636912995</v>
      </c>
      <c r="J265" s="9">
        <f t="shared" si="27"/>
        <v>1459.2119190123901</v>
      </c>
      <c r="K265" s="9">
        <f t="shared" si="31"/>
        <v>410.37714636912995</v>
      </c>
      <c r="L265" s="10">
        <f t="shared" si="30"/>
        <v>0.28123204109165822</v>
      </c>
      <c r="M265" s="10">
        <f t="shared" si="28"/>
        <v>0.29295187165413167</v>
      </c>
      <c r="P265" s="8">
        <f t="shared" si="29"/>
        <v>2.3014986309699439</v>
      </c>
    </row>
    <row r="266" spans="1:16" x14ac:dyDescent="0.2">
      <c r="A266" s="8">
        <v>132</v>
      </c>
      <c r="B266" s="8">
        <v>264</v>
      </c>
      <c r="D266">
        <v>1583.8708566508999</v>
      </c>
      <c r="E266">
        <v>518.20792079208002</v>
      </c>
      <c r="F266">
        <v>141.24741824441</v>
      </c>
      <c r="G266">
        <v>118.25</v>
      </c>
      <c r="I266" s="9">
        <f t="shared" si="26"/>
        <v>399.95792079208002</v>
      </c>
      <c r="J266" s="9">
        <f t="shared" si="27"/>
        <v>1442.6234384064899</v>
      </c>
      <c r="K266" s="9">
        <f t="shared" si="31"/>
        <v>399.95792079208002</v>
      </c>
      <c r="L266" s="10">
        <f t="shared" si="30"/>
        <v>0.27724346502637603</v>
      </c>
      <c r="M266" s="10">
        <f t="shared" si="28"/>
        <v>0.28900785768224291</v>
      </c>
      <c r="P266" s="8">
        <f t="shared" si="29"/>
        <v>0.92421253388003044</v>
      </c>
    </row>
    <row r="267" spans="1:16" x14ac:dyDescent="0.2">
      <c r="A267" s="8">
        <v>132.5</v>
      </c>
      <c r="B267" s="8">
        <v>265</v>
      </c>
      <c r="D267">
        <v>1604.8107296137</v>
      </c>
      <c r="E267">
        <v>522.44935622317996</v>
      </c>
      <c r="F267">
        <v>141.54819277108001</v>
      </c>
      <c r="G267">
        <v>118.18932874355001</v>
      </c>
      <c r="I267" s="9">
        <f t="shared" si="26"/>
        <v>404.26002747962997</v>
      </c>
      <c r="J267" s="9">
        <f t="shared" si="27"/>
        <v>1463.26253684262</v>
      </c>
      <c r="K267" s="9">
        <f t="shared" si="31"/>
        <v>404.26002747962997</v>
      </c>
      <c r="L267" s="10">
        <f t="shared" si="30"/>
        <v>0.27627306604317842</v>
      </c>
      <c r="M267" s="10">
        <f t="shared" si="28"/>
        <v>0.28808202079243872</v>
      </c>
      <c r="P267" s="8">
        <f t="shared" si="29"/>
        <v>0.60090174299821775</v>
      </c>
    </row>
    <row r="268" spans="1:16" x14ac:dyDescent="0.2">
      <c r="A268" s="8">
        <v>133</v>
      </c>
      <c r="B268" s="8">
        <v>266</v>
      </c>
      <c r="D268">
        <v>1600.9184549356</v>
      </c>
      <c r="E268">
        <v>524.30085836909996</v>
      </c>
      <c r="F268">
        <v>141.31755593803999</v>
      </c>
      <c r="G268">
        <v>118.26333907057</v>
      </c>
      <c r="I268" s="9">
        <f t="shared" si="26"/>
        <v>406.03751929852996</v>
      </c>
      <c r="J268" s="9">
        <f t="shared" si="27"/>
        <v>1459.6008989975601</v>
      </c>
      <c r="K268" s="9">
        <f t="shared" si="31"/>
        <v>406.03751929852996</v>
      </c>
      <c r="L268" s="10">
        <f t="shared" si="30"/>
        <v>0.27818393341453312</v>
      </c>
      <c r="M268" s="10">
        <f t="shared" si="28"/>
        <v>0.29003745025718686</v>
      </c>
      <c r="P268" s="8">
        <f t="shared" si="29"/>
        <v>1.2837557680684772</v>
      </c>
    </row>
    <row r="269" spans="1:16" x14ac:dyDescent="0.2">
      <c r="A269" s="8">
        <v>133.5</v>
      </c>
      <c r="B269" s="8">
        <v>267</v>
      </c>
      <c r="D269">
        <v>1595.3124463519</v>
      </c>
      <c r="E269">
        <v>519.56266094421005</v>
      </c>
      <c r="F269">
        <v>141.43502581755999</v>
      </c>
      <c r="G269">
        <v>117.99440619620999</v>
      </c>
      <c r="I269" s="9">
        <f t="shared" si="26"/>
        <v>401.56825474800007</v>
      </c>
      <c r="J269" s="9">
        <f t="shared" si="27"/>
        <v>1453.87742053434</v>
      </c>
      <c r="K269" s="9">
        <f t="shared" si="31"/>
        <v>401.56825474800007</v>
      </c>
      <c r="L269" s="10">
        <f t="shared" si="30"/>
        <v>0.27620502875710984</v>
      </c>
      <c r="M269" s="10">
        <f t="shared" si="28"/>
        <v>0.288103107693157</v>
      </c>
      <c r="P269" s="8">
        <f t="shared" si="29"/>
        <v>0.60826548344057108</v>
      </c>
    </row>
    <row r="270" spans="1:16" x14ac:dyDescent="0.2">
      <c r="A270" s="8">
        <v>134</v>
      </c>
      <c r="B270" s="8">
        <v>268</v>
      </c>
      <c r="D270">
        <v>1595.0768240343</v>
      </c>
      <c r="E270">
        <v>514.29012875537001</v>
      </c>
      <c r="F270">
        <v>141.30938037865999</v>
      </c>
      <c r="G270">
        <v>118.05895008605999</v>
      </c>
      <c r="I270" s="9">
        <f t="shared" si="26"/>
        <v>396.23117866931</v>
      </c>
      <c r="J270" s="9">
        <f t="shared" si="27"/>
        <v>1453.7674436556399</v>
      </c>
      <c r="K270" s="9">
        <f t="shared" si="31"/>
        <v>396.23117866931</v>
      </c>
      <c r="L270" s="10">
        <f t="shared" si="30"/>
        <v>0.27255472008160264</v>
      </c>
      <c r="M270" s="10">
        <f t="shared" si="28"/>
        <v>0.28449736111104329</v>
      </c>
      <c r="P270" s="8">
        <f t="shared" si="29"/>
        <v>-0.6508945176576092</v>
      </c>
    </row>
    <row r="271" spans="1:16" x14ac:dyDescent="0.2">
      <c r="A271" s="8">
        <v>134.5</v>
      </c>
      <c r="B271" s="8">
        <v>269</v>
      </c>
      <c r="D271">
        <v>1583.6532188840999</v>
      </c>
      <c r="E271">
        <v>511.67210300429002</v>
      </c>
      <c r="F271">
        <v>141.23450946643999</v>
      </c>
      <c r="G271">
        <v>118.52065404475</v>
      </c>
      <c r="I271" s="9">
        <f t="shared" si="26"/>
        <v>393.15144895954001</v>
      </c>
      <c r="J271" s="9">
        <f t="shared" si="27"/>
        <v>1442.41870941766</v>
      </c>
      <c r="K271" s="9">
        <f t="shared" si="31"/>
        <v>393.15144895954001</v>
      </c>
      <c r="L271" s="10">
        <f t="shared" si="30"/>
        <v>0.27256402485119241</v>
      </c>
      <c r="M271" s="10">
        <f t="shared" si="28"/>
        <v>0.28455122797402649</v>
      </c>
      <c r="P271" s="8">
        <f t="shared" si="29"/>
        <v>-0.63208371170981037</v>
      </c>
    </row>
    <row r="272" spans="1:16" x14ac:dyDescent="0.2">
      <c r="A272" s="8">
        <v>135</v>
      </c>
      <c r="B272" s="8">
        <v>270</v>
      </c>
      <c r="D272">
        <v>1570.5895779499999</v>
      </c>
      <c r="E272">
        <v>510.96726959518003</v>
      </c>
      <c r="F272">
        <v>141.25860585198001</v>
      </c>
      <c r="G272">
        <v>118.25731497418001</v>
      </c>
      <c r="I272" s="9">
        <f t="shared" si="26"/>
        <v>392.70995462100001</v>
      </c>
      <c r="J272" s="9">
        <f t="shared" si="27"/>
        <v>1429.3309720980199</v>
      </c>
      <c r="K272" s="9">
        <f t="shared" si="31"/>
        <v>392.70995462100001</v>
      </c>
      <c r="L272" s="10">
        <f t="shared" si="30"/>
        <v>0.27475088855352181</v>
      </c>
      <c r="M272" s="10">
        <f t="shared" si="28"/>
        <v>0.28678265376974932</v>
      </c>
      <c r="P272" s="8">
        <f t="shared" si="29"/>
        <v>0.14715078062264569</v>
      </c>
    </row>
    <row r="273" spans="1:16" x14ac:dyDescent="0.2">
      <c r="A273" s="8">
        <v>135.5</v>
      </c>
      <c r="B273" s="8">
        <v>271</v>
      </c>
      <c r="D273">
        <v>1516.2149009474999</v>
      </c>
      <c r="E273">
        <v>493.67829457364002</v>
      </c>
      <c r="F273">
        <v>141.20697074009999</v>
      </c>
      <c r="G273">
        <v>118.19406196212999</v>
      </c>
      <c r="I273" s="9">
        <f t="shared" si="26"/>
        <v>375.48423261151004</v>
      </c>
      <c r="J273" s="9">
        <f t="shared" si="27"/>
        <v>1375.0079302074</v>
      </c>
      <c r="K273" s="9">
        <f t="shared" si="31"/>
        <v>375.48423261151004</v>
      </c>
      <c r="L273" s="10">
        <f t="shared" si="30"/>
        <v>0.27307786694355551</v>
      </c>
      <c r="M273" s="10">
        <f t="shared" si="28"/>
        <v>0.28515419425317645</v>
      </c>
      <c r="P273" s="8">
        <f t="shared" si="29"/>
        <v>-0.42152231938046719</v>
      </c>
    </row>
    <row r="274" spans="1:16" x14ac:dyDescent="0.2">
      <c r="A274" s="8">
        <v>136</v>
      </c>
      <c r="B274" s="8">
        <v>272</v>
      </c>
      <c r="D274">
        <v>1620.7141627205999</v>
      </c>
      <c r="E274">
        <v>527.22513990530001</v>
      </c>
      <c r="F274">
        <v>141.41092943200999</v>
      </c>
      <c r="G274">
        <v>118.02624784854</v>
      </c>
      <c r="I274" s="9">
        <f t="shared" si="26"/>
        <v>409.19889205676003</v>
      </c>
      <c r="J274" s="9">
        <f t="shared" si="27"/>
        <v>1479.30323328859</v>
      </c>
      <c r="K274" s="9">
        <f t="shared" si="31"/>
        <v>409.19889205676003</v>
      </c>
      <c r="L274" s="10">
        <f t="shared" si="30"/>
        <v>0.27661596544143524</v>
      </c>
      <c r="M274" s="10">
        <f t="shared" si="28"/>
        <v>0.28873685484444961</v>
      </c>
      <c r="P274" s="8">
        <f t="shared" si="29"/>
        <v>0.82957584054552946</v>
      </c>
    </row>
    <row r="275" spans="1:16" x14ac:dyDescent="0.2">
      <c r="A275" s="8">
        <v>136.5</v>
      </c>
      <c r="B275" s="8">
        <v>273</v>
      </c>
      <c r="D275">
        <v>1628.2416774751</v>
      </c>
      <c r="E275">
        <v>539.15391266752999</v>
      </c>
      <c r="F275">
        <v>140.94148020654001</v>
      </c>
      <c r="G275">
        <v>118.21471600689</v>
      </c>
      <c r="I275" s="9">
        <f>E275-G275</f>
        <v>420.93919666063999</v>
      </c>
      <c r="J275" s="9">
        <f>D275-F275</f>
        <v>1487.3001972685599</v>
      </c>
      <c r="K275" s="9">
        <f t="shared" si="31"/>
        <v>420.93919666063999</v>
      </c>
      <c r="L275" s="10">
        <f t="shared" si="30"/>
        <v>0.28302234978096458</v>
      </c>
      <c r="M275" s="10">
        <f>L275+ABS($N$2)*A275</f>
        <v>0.29518780127737237</v>
      </c>
      <c r="O275" s="11"/>
      <c r="P275" s="8">
        <f>(M275-$O$2)/$O$2*100</f>
        <v>3.0823059014589371</v>
      </c>
    </row>
    <row r="276" spans="1:16" x14ac:dyDescent="0.2">
      <c r="A276" s="8">
        <v>137</v>
      </c>
      <c r="B276" s="8">
        <v>274</v>
      </c>
      <c r="D276">
        <v>1601.5544041451001</v>
      </c>
      <c r="E276">
        <v>527.60233160621999</v>
      </c>
      <c r="F276">
        <v>140.68588640274999</v>
      </c>
      <c r="G276">
        <v>117.90791738382001</v>
      </c>
      <c r="I276" s="9">
        <f t="shared" ref="I276:I291" si="32">E276-G276</f>
        <v>409.69441422239998</v>
      </c>
      <c r="J276" s="9">
        <f t="shared" ref="J276:J291" si="33">D276-F276</f>
        <v>1460.8685177423502</v>
      </c>
      <c r="K276" s="9">
        <f t="shared" si="31"/>
        <v>409.69441422239998</v>
      </c>
      <c r="L276" s="10">
        <f t="shared" si="30"/>
        <v>0.28044578224982791</v>
      </c>
      <c r="M276" s="10">
        <f t="shared" ref="M276:M291" si="34">L276+ABS($N$2)*A276</f>
        <v>0.29265579583962914</v>
      </c>
      <c r="P276" s="8">
        <f t="shared" ref="P276:P291" si="35">(M276-$O$2)/$O$2*100</f>
        <v>2.1981062226505537</v>
      </c>
    </row>
    <row r="277" spans="1:16" x14ac:dyDescent="0.2">
      <c r="A277" s="8">
        <v>137.5</v>
      </c>
      <c r="B277" s="8">
        <v>275</v>
      </c>
      <c r="D277">
        <v>1576.5928324698</v>
      </c>
      <c r="E277">
        <v>526.95639032814995</v>
      </c>
      <c r="F277">
        <v>141.35413080895</v>
      </c>
      <c r="G277">
        <v>118.05378657487</v>
      </c>
      <c r="I277" s="9">
        <f t="shared" si="32"/>
        <v>408.90260375327995</v>
      </c>
      <c r="J277" s="9">
        <f t="shared" si="33"/>
        <v>1435.23870166085</v>
      </c>
      <c r="K277" s="9">
        <f t="shared" si="31"/>
        <v>408.90260375327995</v>
      </c>
      <c r="L277" s="10">
        <f t="shared" si="30"/>
        <v>0.28490215828217297</v>
      </c>
      <c r="M277" s="10">
        <f t="shared" si="34"/>
        <v>0.29715673396536763</v>
      </c>
      <c r="N277" s="1"/>
      <c r="P277" s="8">
        <f t="shared" si="35"/>
        <v>3.7698753767727062</v>
      </c>
    </row>
    <row r="278" spans="1:16" x14ac:dyDescent="0.2">
      <c r="A278" s="8">
        <v>138</v>
      </c>
      <c r="B278" s="8">
        <v>276</v>
      </c>
      <c r="D278">
        <v>1651.4277730009001</v>
      </c>
      <c r="E278">
        <v>564.53482373172994</v>
      </c>
      <c r="F278">
        <v>141.07960413081</v>
      </c>
      <c r="G278">
        <v>118.11316695353</v>
      </c>
      <c r="I278" s="9">
        <f t="shared" si="32"/>
        <v>446.42165677819992</v>
      </c>
      <c r="J278" s="9">
        <f t="shared" si="33"/>
        <v>1510.3481688700901</v>
      </c>
      <c r="K278" s="9">
        <f t="shared" si="31"/>
        <v>446.42165677819992</v>
      </c>
      <c r="L278" s="10">
        <f t="shared" si="30"/>
        <v>0.29557532890722371</v>
      </c>
      <c r="M278" s="10">
        <f t="shared" si="34"/>
        <v>0.3078744666838118</v>
      </c>
      <c r="P278" s="8">
        <f t="shared" si="35"/>
        <v>7.5126066071009108</v>
      </c>
    </row>
    <row r="279" spans="1:16" x14ac:dyDescent="0.2">
      <c r="A279" s="8">
        <v>138.5</v>
      </c>
      <c r="B279" s="8">
        <v>277</v>
      </c>
      <c r="D279">
        <v>1656.0163370593</v>
      </c>
      <c r="E279">
        <v>553.16680997420997</v>
      </c>
      <c r="F279">
        <v>141.73580034423</v>
      </c>
      <c r="G279">
        <v>118.05765920826001</v>
      </c>
      <c r="I279" s="9">
        <f t="shared" si="32"/>
        <v>435.10915076594995</v>
      </c>
      <c r="J279" s="9">
        <f t="shared" si="33"/>
        <v>1514.28053671507</v>
      </c>
      <c r="K279" s="9">
        <f t="shared" si="31"/>
        <v>435.10915076594995</v>
      </c>
      <c r="L279" s="10">
        <f t="shared" si="30"/>
        <v>0.28733721408704926</v>
      </c>
      <c r="M279" s="10">
        <f t="shared" si="34"/>
        <v>0.29968091395703078</v>
      </c>
      <c r="P279" s="8">
        <f t="shared" si="35"/>
        <v>4.6513423375515801</v>
      </c>
    </row>
    <row r="280" spans="1:16" x14ac:dyDescent="0.2">
      <c r="A280" s="8">
        <v>139</v>
      </c>
      <c r="B280" s="8">
        <v>278</v>
      </c>
      <c r="D280">
        <v>1622.7506448838999</v>
      </c>
      <c r="E280">
        <v>539.23559759243005</v>
      </c>
      <c r="F280">
        <v>141.10972461274</v>
      </c>
      <c r="G280">
        <v>118.00860585197999</v>
      </c>
      <c r="I280" s="9">
        <f t="shared" si="32"/>
        <v>421.22699174045005</v>
      </c>
      <c r="J280" s="9">
        <f t="shared" si="33"/>
        <v>1481.64092027116</v>
      </c>
      <c r="K280" s="9">
        <f t="shared" si="31"/>
        <v>421.22699174045005</v>
      </c>
      <c r="L280" s="10">
        <f t="shared" si="30"/>
        <v>0.28429762297828537</v>
      </c>
      <c r="M280" s="10">
        <f t="shared" si="34"/>
        <v>0.29668588494166032</v>
      </c>
      <c r="P280" s="8">
        <f t="shared" si="35"/>
        <v>3.6054505499839018</v>
      </c>
    </row>
    <row r="281" spans="1:16" x14ac:dyDescent="0.2">
      <c r="A281" s="8">
        <v>139.5</v>
      </c>
      <c r="B281" s="8">
        <v>279</v>
      </c>
      <c r="D281">
        <v>1600.1888984510001</v>
      </c>
      <c r="E281">
        <v>543.75516351118995</v>
      </c>
      <c r="F281">
        <v>141.06927710842999</v>
      </c>
      <c r="G281">
        <v>118.34337349398</v>
      </c>
      <c r="I281" s="9">
        <f t="shared" si="32"/>
        <v>425.41179001720997</v>
      </c>
      <c r="J281" s="9">
        <f t="shared" si="33"/>
        <v>1459.1196213425701</v>
      </c>
      <c r="K281" s="9">
        <f t="shared" si="31"/>
        <v>425.41179001720997</v>
      </c>
      <c r="L281" s="10">
        <f t="shared" si="30"/>
        <v>0.29155374500808823</v>
      </c>
      <c r="M281" s="10">
        <f t="shared" si="34"/>
        <v>0.30398656906485666</v>
      </c>
      <c r="P281" s="8">
        <f t="shared" si="35"/>
        <v>6.1549168586207497</v>
      </c>
    </row>
    <row r="282" spans="1:16" x14ac:dyDescent="0.2">
      <c r="A282" s="8">
        <v>140</v>
      </c>
      <c r="B282" s="8">
        <v>280</v>
      </c>
      <c r="D282">
        <v>1622.0185025818</v>
      </c>
      <c r="E282">
        <v>555.91996557659002</v>
      </c>
      <c r="F282">
        <v>141.20740103270001</v>
      </c>
      <c r="G282">
        <v>117.86531841652</v>
      </c>
      <c r="I282" s="9">
        <f t="shared" si="32"/>
        <v>438.05464716007003</v>
      </c>
      <c r="J282" s="9">
        <f t="shared" si="33"/>
        <v>1480.8111015490999</v>
      </c>
      <c r="K282" s="9">
        <f t="shared" si="31"/>
        <v>438.05464716007003</v>
      </c>
      <c r="L282" s="10">
        <f t="shared" si="30"/>
        <v>0.29582074763068306</v>
      </c>
      <c r="M282" s="10">
        <f t="shared" si="34"/>
        <v>0.30829813378084492</v>
      </c>
      <c r="P282" s="8">
        <f t="shared" si="35"/>
        <v>7.6605550694281686</v>
      </c>
    </row>
    <row r="283" spans="1:16" x14ac:dyDescent="0.2">
      <c r="A283" s="8">
        <v>140.5</v>
      </c>
      <c r="B283" s="8">
        <v>281</v>
      </c>
      <c r="D283">
        <v>1618.6153184165</v>
      </c>
      <c r="E283">
        <v>553.34810671257003</v>
      </c>
      <c r="F283">
        <v>140.99698795181001</v>
      </c>
      <c r="G283">
        <v>117.96213425129</v>
      </c>
      <c r="I283" s="9">
        <f t="shared" si="32"/>
        <v>435.38597246128006</v>
      </c>
      <c r="J283" s="9">
        <f t="shared" si="33"/>
        <v>1477.61833046469</v>
      </c>
      <c r="K283" s="9">
        <f t="shared" si="31"/>
        <v>435.38597246128006</v>
      </c>
      <c r="L283" s="10">
        <f t="shared" si="30"/>
        <v>0.29465387880262517</v>
      </c>
      <c r="M283" s="10">
        <f t="shared" si="34"/>
        <v>0.30717582704618046</v>
      </c>
      <c r="P283" s="8">
        <f t="shared" si="35"/>
        <v>7.2686351945643644</v>
      </c>
    </row>
    <row r="284" spans="1:16" x14ac:dyDescent="0.2">
      <c r="A284" s="8">
        <v>141</v>
      </c>
      <c r="B284" s="8">
        <v>282</v>
      </c>
      <c r="D284">
        <v>1604.2839879154001</v>
      </c>
      <c r="E284">
        <v>546.58610271903001</v>
      </c>
      <c r="F284">
        <v>140.73321858864</v>
      </c>
      <c r="G284">
        <v>118.18846815835001</v>
      </c>
      <c r="I284" s="9">
        <f t="shared" si="32"/>
        <v>428.39763456067999</v>
      </c>
      <c r="J284" s="9">
        <f t="shared" si="33"/>
        <v>1463.55076932676</v>
      </c>
      <c r="K284" s="9">
        <f t="shared" si="31"/>
        <v>428.39763456067999</v>
      </c>
      <c r="L284" s="10">
        <f t="shared" si="30"/>
        <v>0.29271115395453268</v>
      </c>
      <c r="M284" s="10">
        <f t="shared" si="34"/>
        <v>0.3052776642914814</v>
      </c>
      <c r="P284" s="8">
        <f t="shared" si="35"/>
        <v>6.6057792334307033</v>
      </c>
    </row>
    <row r="285" spans="1:16" x14ac:dyDescent="0.2">
      <c r="A285" s="8">
        <v>141.5</v>
      </c>
      <c r="B285" s="8">
        <v>283</v>
      </c>
      <c r="D285">
        <v>1573.9421665947</v>
      </c>
      <c r="E285">
        <v>530.67112645662996</v>
      </c>
      <c r="F285">
        <v>140.82228915663001</v>
      </c>
      <c r="G285">
        <v>118.17254733219001</v>
      </c>
      <c r="I285" s="9">
        <f t="shared" si="32"/>
        <v>412.49857912443997</v>
      </c>
      <c r="J285" s="9">
        <f t="shared" si="33"/>
        <v>1433.11987743807</v>
      </c>
      <c r="K285" s="9">
        <f t="shared" si="31"/>
        <v>412.49857912443997</v>
      </c>
      <c r="L285" s="10">
        <f t="shared" si="30"/>
        <v>0.28783257117460881</v>
      </c>
      <c r="M285" s="10">
        <f t="shared" si="34"/>
        <v>0.30044364360495096</v>
      </c>
      <c r="P285" s="8">
        <f t="shared" si="35"/>
        <v>4.9176945734732174</v>
      </c>
    </row>
    <row r="286" spans="1:16" x14ac:dyDescent="0.2">
      <c r="A286" s="8">
        <v>142</v>
      </c>
      <c r="B286" s="8">
        <v>284</v>
      </c>
      <c r="D286">
        <v>1666.2256123765001</v>
      </c>
      <c r="E286">
        <v>568.87064890417003</v>
      </c>
      <c r="F286">
        <v>141.14414802064999</v>
      </c>
      <c r="G286">
        <v>117.87263339071001</v>
      </c>
      <c r="I286" s="9">
        <f t="shared" si="32"/>
        <v>450.99801551346002</v>
      </c>
      <c r="J286" s="9">
        <f t="shared" si="33"/>
        <v>1525.0814643558501</v>
      </c>
      <c r="K286" s="9">
        <f t="shared" si="31"/>
        <v>450.99801551346002</v>
      </c>
      <c r="L286" s="10">
        <f t="shared" si="30"/>
        <v>0.29572060644245546</v>
      </c>
      <c r="M286" s="10">
        <f t="shared" si="34"/>
        <v>0.30837624096619104</v>
      </c>
      <c r="P286" s="8">
        <f t="shared" si="35"/>
        <v>7.6878308197745895</v>
      </c>
    </row>
    <row r="287" spans="1:16" x14ac:dyDescent="0.2">
      <c r="A287" s="8">
        <v>142.5</v>
      </c>
      <c r="B287" s="8">
        <v>285</v>
      </c>
      <c r="D287">
        <v>1609.0263954997999</v>
      </c>
      <c r="E287">
        <v>543.37083513631001</v>
      </c>
      <c r="F287">
        <v>141.31755593803999</v>
      </c>
      <c r="G287">
        <v>118.20309810671</v>
      </c>
      <c r="I287" s="9">
        <f t="shared" si="32"/>
        <v>425.1677370296</v>
      </c>
      <c r="J287" s="9">
        <f t="shared" si="33"/>
        <v>1467.70883956176</v>
      </c>
      <c r="K287" s="9">
        <f t="shared" si="31"/>
        <v>425.1677370296</v>
      </c>
      <c r="L287" s="10">
        <f t="shared" si="30"/>
        <v>0.28968125391719379</v>
      </c>
      <c r="M287" s="10">
        <f t="shared" si="34"/>
        <v>0.3023814505343228</v>
      </c>
      <c r="P287" s="8">
        <f t="shared" si="35"/>
        <v>5.5943946464676886</v>
      </c>
    </row>
    <row r="288" spans="1:16" x14ac:dyDescent="0.2">
      <c r="A288" s="8">
        <v>143</v>
      </c>
      <c r="B288" s="8">
        <v>286</v>
      </c>
      <c r="D288">
        <v>1601.4686282994001</v>
      </c>
      <c r="E288">
        <v>539.25140631760996</v>
      </c>
      <c r="F288">
        <v>141.13382099827999</v>
      </c>
      <c r="G288">
        <v>117.85671256454</v>
      </c>
      <c r="I288" s="9">
        <f t="shared" si="32"/>
        <v>421.39469375306999</v>
      </c>
      <c r="J288" s="9">
        <f t="shared" si="33"/>
        <v>1460.33480730112</v>
      </c>
      <c r="K288" s="9">
        <f t="shared" si="31"/>
        <v>421.39469375306999</v>
      </c>
      <c r="L288" s="10">
        <f t="shared" si="30"/>
        <v>0.28856032989575842</v>
      </c>
      <c r="M288" s="10">
        <f t="shared" si="34"/>
        <v>0.30130508860628086</v>
      </c>
      <c r="P288" s="8">
        <f t="shared" si="35"/>
        <v>5.2185191223201084</v>
      </c>
    </row>
    <row r="289" spans="1:16" x14ac:dyDescent="0.2">
      <c r="A289" s="8">
        <v>143.5</v>
      </c>
      <c r="B289" s="8">
        <v>287</v>
      </c>
      <c r="D289">
        <v>1592.6971133131999</v>
      </c>
      <c r="E289">
        <v>533.00215424385999</v>
      </c>
      <c r="F289">
        <v>141.19578313253001</v>
      </c>
      <c r="G289">
        <v>117.94922547332</v>
      </c>
      <c r="I289" s="9">
        <f t="shared" si="32"/>
        <v>415.05292877054001</v>
      </c>
      <c r="J289" s="9">
        <f t="shared" si="33"/>
        <v>1451.5013301806698</v>
      </c>
      <c r="K289" s="9">
        <f t="shared" si="31"/>
        <v>415.05292877054001</v>
      </c>
      <c r="L289" s="10">
        <f t="shared" si="30"/>
        <v>0.28594732925176031</v>
      </c>
      <c r="M289" s="10">
        <f t="shared" si="34"/>
        <v>0.29873665005567618</v>
      </c>
      <c r="P289" s="8">
        <f t="shared" si="35"/>
        <v>4.3215966640856296</v>
      </c>
    </row>
    <row r="290" spans="1:16" x14ac:dyDescent="0.2">
      <c r="A290" s="8">
        <v>144</v>
      </c>
      <c r="B290" s="8">
        <v>288</v>
      </c>
      <c r="D290">
        <v>1565.5657044377001</v>
      </c>
      <c r="E290">
        <v>522.30159414046</v>
      </c>
      <c r="F290">
        <v>140.93932874354999</v>
      </c>
      <c r="G290">
        <v>117.75430292599</v>
      </c>
      <c r="I290" s="9">
        <f t="shared" si="32"/>
        <v>404.54729121446996</v>
      </c>
      <c r="J290" s="9">
        <f t="shared" si="33"/>
        <v>1424.6263756941501</v>
      </c>
      <c r="K290" s="9">
        <f t="shared" si="31"/>
        <v>404.54729121446996</v>
      </c>
      <c r="L290" s="10">
        <f t="shared" si="30"/>
        <v>0.28396729003234555</v>
      </c>
      <c r="M290" s="10">
        <f t="shared" si="34"/>
        <v>0.29680117292965486</v>
      </c>
      <c r="P290" s="8">
        <f t="shared" si="35"/>
        <v>3.6457101799340226</v>
      </c>
    </row>
    <row r="291" spans="1:16" x14ac:dyDescent="0.2">
      <c r="A291" s="8">
        <v>144.5</v>
      </c>
      <c r="B291" s="8">
        <v>289</v>
      </c>
      <c r="D291">
        <v>1575.3959500215001</v>
      </c>
      <c r="E291">
        <v>522.75613959500004</v>
      </c>
      <c r="F291">
        <v>140.65533562823001</v>
      </c>
      <c r="G291">
        <v>117.84294320138</v>
      </c>
      <c r="I291" s="9">
        <f t="shared" si="32"/>
        <v>404.91319639362007</v>
      </c>
      <c r="J291" s="9">
        <f t="shared" si="33"/>
        <v>1434.7406143932701</v>
      </c>
      <c r="K291" s="9">
        <f t="shared" si="31"/>
        <v>404.91319639362007</v>
      </c>
      <c r="L291" s="10">
        <f t="shared" si="30"/>
        <v>0.28222048803215322</v>
      </c>
      <c r="M291" s="10">
        <f t="shared" si="34"/>
        <v>0.295098933022856</v>
      </c>
      <c r="P291" s="8">
        <f t="shared" si="35"/>
        <v>3.0512722863930573</v>
      </c>
    </row>
    <row r="292" spans="1:16" x14ac:dyDescent="0.2">
      <c r="A292" s="8">
        <v>145</v>
      </c>
      <c r="B292" s="8">
        <v>290</v>
      </c>
      <c r="D292">
        <v>1573.1365790607999</v>
      </c>
      <c r="E292">
        <v>524.30245583800001</v>
      </c>
      <c r="F292">
        <v>140.77022375215</v>
      </c>
      <c r="G292">
        <v>117.87607573149999</v>
      </c>
      <c r="I292" s="9">
        <f>E292-G292</f>
        <v>406.42638010650001</v>
      </c>
      <c r="J292" s="9">
        <f>D292-F292</f>
        <v>1432.3663553086499</v>
      </c>
      <c r="K292" s="9">
        <f t="shared" si="31"/>
        <v>406.42638010650001</v>
      </c>
      <c r="L292" s="10">
        <f t="shared" si="30"/>
        <v>0.28374471279655422</v>
      </c>
      <c r="M292" s="10">
        <f>L292+ABS($N$2)*A292</f>
        <v>0.29666771988065044</v>
      </c>
      <c r="O292" s="11"/>
      <c r="P292" s="8">
        <f>(M292-$O$2)/$O$2*100</f>
        <v>3.59910714294731</v>
      </c>
    </row>
    <row r="293" spans="1:16" x14ac:dyDescent="0.2">
      <c r="A293" s="8">
        <v>145.5</v>
      </c>
      <c r="B293" s="8">
        <v>291</v>
      </c>
      <c r="D293">
        <v>1616.8834700043001</v>
      </c>
      <c r="E293">
        <v>532.26758739750005</v>
      </c>
      <c r="F293">
        <v>140.91006884682</v>
      </c>
      <c r="G293">
        <v>118.09810671257</v>
      </c>
      <c r="I293" s="9">
        <f t="shared" ref="I293:I301" si="36">E293-G293</f>
        <v>414.16948068493002</v>
      </c>
      <c r="J293" s="9">
        <f t="shared" ref="J293:J301" si="37">D293-F293</f>
        <v>1475.9734011574801</v>
      </c>
      <c r="K293" s="9">
        <f t="shared" si="31"/>
        <v>414.16948068493002</v>
      </c>
      <c r="L293" s="10">
        <f t="shared" si="30"/>
        <v>0.2806076859922626</v>
      </c>
      <c r="M293" s="10">
        <f t="shared" ref="M293:M301" si="38">L293+ABS($N$2)*A293</f>
        <v>0.29357525516975225</v>
      </c>
      <c r="P293" s="8">
        <f t="shared" ref="P293:P301" si="39">(M293-$O$2)/$O$2*100</f>
        <v>2.5191899108028322</v>
      </c>
    </row>
    <row r="294" spans="1:16" x14ac:dyDescent="0.2">
      <c r="A294" s="8">
        <v>146</v>
      </c>
      <c r="B294" s="8">
        <v>292</v>
      </c>
      <c r="D294">
        <v>1611.9823047043999</v>
      </c>
      <c r="E294">
        <v>532.22701769529999</v>
      </c>
      <c r="F294">
        <v>140.76247848537</v>
      </c>
      <c r="G294">
        <v>118.01247848537</v>
      </c>
      <c r="I294" s="9">
        <f t="shared" si="36"/>
        <v>414.21453920992997</v>
      </c>
      <c r="J294" s="9">
        <f t="shared" si="37"/>
        <v>1471.21982621903</v>
      </c>
      <c r="K294" s="9">
        <f t="shared" si="31"/>
        <v>414.21453920992997</v>
      </c>
      <c r="L294" s="10">
        <f t="shared" si="30"/>
        <v>0.28154496821487451</v>
      </c>
      <c r="M294" s="10">
        <f t="shared" si="38"/>
        <v>0.29455709948575759</v>
      </c>
      <c r="N294" s="1"/>
      <c r="P294" s="8">
        <f t="shared" si="39"/>
        <v>2.8620590120736162</v>
      </c>
    </row>
    <row r="295" spans="1:16" x14ac:dyDescent="0.2">
      <c r="A295" s="8">
        <v>146.5</v>
      </c>
      <c r="B295" s="8">
        <v>293</v>
      </c>
      <c r="D295">
        <v>1588.3449762829</v>
      </c>
      <c r="E295">
        <v>537.99137559293001</v>
      </c>
      <c r="F295">
        <v>140.97977624785</v>
      </c>
      <c r="G295">
        <v>117.50473321859</v>
      </c>
      <c r="I295" s="9">
        <f t="shared" si="36"/>
        <v>420.48664237434002</v>
      </c>
      <c r="J295" s="9">
        <f t="shared" si="37"/>
        <v>1447.3652000350501</v>
      </c>
      <c r="K295" s="9">
        <f t="shared" si="31"/>
        <v>420.48664237434002</v>
      </c>
      <c r="L295" s="10">
        <f t="shared" si="30"/>
        <v>0.29051869035137595</v>
      </c>
      <c r="M295" s="10">
        <f t="shared" si="38"/>
        <v>0.30357538371565246</v>
      </c>
      <c r="P295" s="8">
        <f t="shared" si="39"/>
        <v>6.0113271378889035</v>
      </c>
    </row>
    <row r="296" spans="1:16" x14ac:dyDescent="0.2">
      <c r="A296" s="8">
        <v>147</v>
      </c>
      <c r="B296" s="8">
        <v>294</v>
      </c>
      <c r="D296">
        <v>1622.5839793282</v>
      </c>
      <c r="E296">
        <v>544.46210163651995</v>
      </c>
      <c r="F296">
        <v>140.54432013768999</v>
      </c>
      <c r="G296">
        <v>117.74397590361001</v>
      </c>
      <c r="I296" s="9">
        <f t="shared" si="36"/>
        <v>426.71812573290993</v>
      </c>
      <c r="J296" s="9">
        <f t="shared" si="37"/>
        <v>1482.0396591905101</v>
      </c>
      <c r="K296" s="9">
        <f t="shared" si="31"/>
        <v>426.71812573290993</v>
      </c>
      <c r="L296" s="10">
        <f t="shared" si="30"/>
        <v>0.28792625290876717</v>
      </c>
      <c r="M296" s="10">
        <f t="shared" si="38"/>
        <v>0.3010275083664371</v>
      </c>
      <c r="P296" s="8">
        <f t="shared" si="39"/>
        <v>5.1215855394553884</v>
      </c>
    </row>
    <row r="297" spans="1:16" x14ac:dyDescent="0.2">
      <c r="A297" s="8">
        <v>147.5</v>
      </c>
      <c r="B297" s="8">
        <v>295</v>
      </c>
      <c r="D297">
        <v>1546.5572782084</v>
      </c>
      <c r="E297">
        <v>517.76701119723998</v>
      </c>
      <c r="F297">
        <v>140.84724612737</v>
      </c>
      <c r="G297">
        <v>117.61445783133</v>
      </c>
      <c r="I297" s="9">
        <f t="shared" si="36"/>
        <v>400.15255336590997</v>
      </c>
      <c r="J297" s="9">
        <f t="shared" si="37"/>
        <v>1405.71003208103</v>
      </c>
      <c r="K297" s="9">
        <f t="shared" si="31"/>
        <v>400.15255336590997</v>
      </c>
      <c r="L297" s="10">
        <f t="shared" si="30"/>
        <v>0.28466223064049656</v>
      </c>
      <c r="M297" s="10">
        <f t="shared" si="38"/>
        <v>0.29780804819155993</v>
      </c>
      <c r="P297" s="8">
        <f t="shared" si="39"/>
        <v>3.9973203186429154</v>
      </c>
    </row>
    <row r="298" spans="1:16" x14ac:dyDescent="0.2">
      <c r="A298" s="8">
        <v>148</v>
      </c>
      <c r="B298" s="8">
        <v>296</v>
      </c>
      <c r="D298">
        <v>1524.2874354561</v>
      </c>
      <c r="E298">
        <v>515.71557659207997</v>
      </c>
      <c r="F298">
        <v>140.71471600689</v>
      </c>
      <c r="G298">
        <v>117.82874354561</v>
      </c>
      <c r="I298" s="9">
        <f t="shared" si="36"/>
        <v>397.88683304646997</v>
      </c>
      <c r="J298" s="9">
        <f t="shared" si="37"/>
        <v>1383.5727194492099</v>
      </c>
      <c r="K298" s="9">
        <f t="shared" si="31"/>
        <v>397.88683304646997</v>
      </c>
      <c r="L298" s="10">
        <f t="shared" si="30"/>
        <v>0.28757927028574676</v>
      </c>
      <c r="M298" s="10">
        <f t="shared" si="38"/>
        <v>0.30076964993020355</v>
      </c>
      <c r="P298" s="8">
        <f t="shared" si="39"/>
        <v>5.0315389925178948</v>
      </c>
    </row>
    <row r="299" spans="1:16" x14ac:dyDescent="0.2">
      <c r="A299" s="8">
        <v>148.5</v>
      </c>
      <c r="B299" s="8">
        <v>297</v>
      </c>
      <c r="D299">
        <v>1559.2835628227001</v>
      </c>
      <c r="E299">
        <v>536.48020654045001</v>
      </c>
      <c r="F299">
        <v>140.89027538726</v>
      </c>
      <c r="G299">
        <v>118.10499139415001</v>
      </c>
      <c r="I299" s="9">
        <f t="shared" si="36"/>
        <v>418.37521514629998</v>
      </c>
      <c r="J299" s="9">
        <f t="shared" si="37"/>
        <v>1418.39328743544</v>
      </c>
      <c r="K299" s="9">
        <f t="shared" si="31"/>
        <v>418.37521514629998</v>
      </c>
      <c r="L299" s="10">
        <f t="shared" si="30"/>
        <v>0.29496418155133358</v>
      </c>
      <c r="M299" s="10">
        <f t="shared" si="38"/>
        <v>0.30819912328918381</v>
      </c>
      <c r="P299" s="8">
        <f t="shared" si="39"/>
        <v>7.62597969150029</v>
      </c>
    </row>
    <row r="300" spans="1:16" x14ac:dyDescent="0.2">
      <c r="A300" s="8">
        <v>149</v>
      </c>
      <c r="B300" s="8">
        <v>298</v>
      </c>
      <c r="D300">
        <v>1610.7654905336001</v>
      </c>
      <c r="E300">
        <v>562.45524956970996</v>
      </c>
      <c r="F300">
        <v>141.2491394148</v>
      </c>
      <c r="G300">
        <v>118.02538726333999</v>
      </c>
      <c r="I300" s="9">
        <f t="shared" si="36"/>
        <v>444.42986230636996</v>
      </c>
      <c r="J300" s="9">
        <f t="shared" si="37"/>
        <v>1469.5163511188</v>
      </c>
      <c r="K300" s="9">
        <f t="shared" si="31"/>
        <v>444.42986230636996</v>
      </c>
      <c r="L300" s="10">
        <f t="shared" si="30"/>
        <v>0.30243274392150055</v>
      </c>
      <c r="M300" s="10">
        <f t="shared" si="38"/>
        <v>0.3157122477527442</v>
      </c>
      <c r="P300" s="8">
        <f t="shared" si="39"/>
        <v>10.249632128616886</v>
      </c>
    </row>
    <row r="301" spans="1:16" x14ac:dyDescent="0.2">
      <c r="A301" s="8">
        <v>149.5</v>
      </c>
      <c r="B301" s="8">
        <v>299</v>
      </c>
      <c r="D301">
        <v>1598.1742685025999</v>
      </c>
      <c r="E301">
        <v>554.17039586918997</v>
      </c>
      <c r="F301">
        <v>140.93717728055</v>
      </c>
      <c r="G301">
        <v>118.03528399312</v>
      </c>
      <c r="I301" s="9">
        <f t="shared" si="36"/>
        <v>436.13511187606997</v>
      </c>
      <c r="J301" s="9">
        <f t="shared" si="37"/>
        <v>1457.2370912220499</v>
      </c>
      <c r="K301" s="9">
        <f t="shared" si="31"/>
        <v>436.13511187606997</v>
      </c>
      <c r="L301" s="10">
        <f t="shared" si="30"/>
        <v>0.29928905495421049</v>
      </c>
      <c r="M301" s="10">
        <f t="shared" si="38"/>
        <v>0.31261312087884757</v>
      </c>
      <c r="P301" s="8">
        <f t="shared" si="39"/>
        <v>9.1673884076364907</v>
      </c>
    </row>
    <row r="302" spans="1:16" x14ac:dyDescent="0.2">
      <c r="A302" s="8">
        <v>150</v>
      </c>
      <c r="B302" s="8">
        <v>300</v>
      </c>
      <c r="D302">
        <v>1597.6179245282999</v>
      </c>
      <c r="E302">
        <v>549.62692967409998</v>
      </c>
      <c r="F302">
        <v>140.79819277108001</v>
      </c>
      <c r="G302">
        <v>117.99139414802001</v>
      </c>
      <c r="I302" s="9">
        <f>E302-G302</f>
        <v>431.63553552607999</v>
      </c>
      <c r="J302" s="9">
        <f>D302-F302</f>
        <v>1456.8197317572199</v>
      </c>
      <c r="K302" s="9">
        <f t="shared" si="31"/>
        <v>431.63553552607999</v>
      </c>
      <c r="L302" s="10">
        <f t="shared" si="30"/>
        <v>0.29628616781943229</v>
      </c>
      <c r="M302" s="10">
        <f>L302+ABS($N$2)*A302</f>
        <v>0.30965479583746286</v>
      </c>
      <c r="O302" s="11"/>
      <c r="P302" s="8">
        <f>(M302-$O$2)/$O$2*100</f>
        <v>8.1343139867005831</v>
      </c>
    </row>
    <row r="303" spans="1:16" x14ac:dyDescent="0.2">
      <c r="A303" s="8">
        <v>150.5</v>
      </c>
      <c r="B303" s="8">
        <v>301</v>
      </c>
      <c r="D303">
        <v>1607.3464362851</v>
      </c>
      <c r="E303">
        <v>546.7585313175</v>
      </c>
      <c r="F303">
        <v>141.09208261617999</v>
      </c>
      <c r="G303">
        <v>117.84595524957</v>
      </c>
      <c r="I303" s="9">
        <f t="shared" ref="I303:I309" si="40">E303-G303</f>
        <v>428.91257606792999</v>
      </c>
      <c r="J303" s="9">
        <f t="shared" ref="J303:J309" si="41">D303-F303</f>
        <v>1466.25435366892</v>
      </c>
      <c r="K303" s="9">
        <f t="shared" si="31"/>
        <v>428.91257606792999</v>
      </c>
      <c r="L303" s="10">
        <f t="shared" si="30"/>
        <v>0.29252262746547886</v>
      </c>
      <c r="M303" s="10">
        <f t="shared" ref="M303:M309" si="42">L303+ABS($N$2)*A303</f>
        <v>0.30593581757690286</v>
      </c>
      <c r="P303" s="8">
        <f t="shared" ref="P303:P309" si="43">(M303-$O$2)/$O$2*100</f>
        <v>6.8356124379340146</v>
      </c>
    </row>
    <row r="304" spans="1:16" x14ac:dyDescent="0.2">
      <c r="A304" s="8">
        <v>151</v>
      </c>
      <c r="B304" s="8">
        <v>302</v>
      </c>
      <c r="D304">
        <v>1618.1887688985</v>
      </c>
      <c r="E304">
        <v>555.91706263498997</v>
      </c>
      <c r="F304">
        <v>140.59079173838001</v>
      </c>
      <c r="G304">
        <v>117.72332185886</v>
      </c>
      <c r="I304" s="9">
        <f t="shared" si="40"/>
        <v>438.19374077612997</v>
      </c>
      <c r="J304" s="9">
        <f t="shared" si="41"/>
        <v>1477.5979771601201</v>
      </c>
      <c r="K304" s="9">
        <f t="shared" si="31"/>
        <v>438.19374077612997</v>
      </c>
      <c r="L304" s="10">
        <f t="shared" si="30"/>
        <v>0.29655816233473703</v>
      </c>
      <c r="M304" s="10">
        <f t="shared" si="42"/>
        <v>0.31001591453955446</v>
      </c>
      <c r="N304" s="1"/>
      <c r="P304" s="8">
        <f t="shared" si="43"/>
        <v>8.2604199719569511</v>
      </c>
    </row>
    <row r="305" spans="1:16" x14ac:dyDescent="0.2">
      <c r="A305" s="8">
        <v>151.5</v>
      </c>
      <c r="B305" s="8">
        <v>303</v>
      </c>
      <c r="D305">
        <v>1601.7477360931</v>
      </c>
      <c r="E305">
        <v>549.76541612764004</v>
      </c>
      <c r="F305">
        <v>140.49096385542001</v>
      </c>
      <c r="G305">
        <v>118.20567986231001</v>
      </c>
      <c r="I305" s="9">
        <f t="shared" si="40"/>
        <v>431.55973626533</v>
      </c>
      <c r="J305" s="9">
        <f t="shared" si="41"/>
        <v>1461.25677223768</v>
      </c>
      <c r="K305" s="9">
        <f t="shared" si="31"/>
        <v>431.55973626533</v>
      </c>
      <c r="L305" s="10">
        <f t="shared" si="30"/>
        <v>0.29533463554421419</v>
      </c>
      <c r="M305" s="10">
        <f t="shared" si="42"/>
        <v>0.30883694984242505</v>
      </c>
      <c r="P305" s="8">
        <f t="shared" si="43"/>
        <v>7.8487146134339572</v>
      </c>
    </row>
    <row r="306" spans="1:16" x14ac:dyDescent="0.2">
      <c r="A306" s="8">
        <v>152</v>
      </c>
      <c r="B306" s="8">
        <v>304</v>
      </c>
      <c r="D306">
        <v>1594.0254420009001</v>
      </c>
      <c r="E306">
        <v>546.02975420439998</v>
      </c>
      <c r="F306">
        <v>141.06454388985</v>
      </c>
      <c r="G306">
        <v>117.94104991394001</v>
      </c>
      <c r="I306" s="9">
        <f t="shared" si="40"/>
        <v>428.08870429045999</v>
      </c>
      <c r="J306" s="9">
        <f t="shared" si="41"/>
        <v>1452.96089811105</v>
      </c>
      <c r="K306" s="9">
        <f t="shared" si="31"/>
        <v>428.08870429045999</v>
      </c>
      <c r="L306" s="10">
        <f t="shared" si="30"/>
        <v>0.29463195110550117</v>
      </c>
      <c r="M306" s="10">
        <f t="shared" si="42"/>
        <v>0.30817882749710546</v>
      </c>
      <c r="P306" s="8">
        <f t="shared" si="43"/>
        <v>7.6188922134999126</v>
      </c>
    </row>
    <row r="307" spans="1:16" x14ac:dyDescent="0.2">
      <c r="A307" s="8">
        <v>152.5</v>
      </c>
      <c r="B307" s="8">
        <v>305</v>
      </c>
      <c r="D307">
        <v>1584.3803363519</v>
      </c>
      <c r="E307">
        <v>536.54721862871997</v>
      </c>
      <c r="F307">
        <v>141.32314974182</v>
      </c>
      <c r="G307">
        <v>117.74526678141</v>
      </c>
      <c r="I307" s="9">
        <f t="shared" si="40"/>
        <v>418.80195184730997</v>
      </c>
      <c r="J307" s="9">
        <f t="shared" si="41"/>
        <v>1443.05718661008</v>
      </c>
      <c r="K307" s="9">
        <f t="shared" si="31"/>
        <v>418.80195184730997</v>
      </c>
      <c r="L307" s="10">
        <f t="shared" si="30"/>
        <v>0.29021854139483383</v>
      </c>
      <c r="M307" s="10">
        <f t="shared" si="42"/>
        <v>0.30380997987983155</v>
      </c>
      <c r="P307" s="8">
        <f t="shared" si="43"/>
        <v>6.0932502846265786</v>
      </c>
    </row>
    <row r="308" spans="1:16" x14ac:dyDescent="0.2">
      <c r="A308" s="8">
        <v>153</v>
      </c>
      <c r="B308" s="8">
        <v>306</v>
      </c>
      <c r="D308">
        <v>1558.7309184994001</v>
      </c>
      <c r="E308">
        <v>530.90038809832004</v>
      </c>
      <c r="F308">
        <v>140.62392426849999</v>
      </c>
      <c r="G308">
        <v>117.76161790016999</v>
      </c>
      <c r="I308" s="9">
        <f t="shared" si="40"/>
        <v>413.13877019815004</v>
      </c>
      <c r="J308" s="9">
        <f t="shared" si="41"/>
        <v>1418.1069942309</v>
      </c>
      <c r="K308" s="9">
        <f t="shared" si="31"/>
        <v>413.13877019815004</v>
      </c>
      <c r="L308" s="10">
        <f t="shared" si="30"/>
        <v>0.29133117027055694</v>
      </c>
      <c r="M308" s="10">
        <f t="shared" si="42"/>
        <v>0.30496717084894809</v>
      </c>
      <c r="P308" s="8">
        <f t="shared" si="43"/>
        <v>6.4973520562739449</v>
      </c>
    </row>
    <row r="309" spans="1:16" x14ac:dyDescent="0.2">
      <c r="A309" s="8">
        <v>153.5</v>
      </c>
      <c r="B309" s="8">
        <v>307</v>
      </c>
      <c r="D309">
        <v>1626.1359516616001</v>
      </c>
      <c r="E309">
        <v>556.64350453172005</v>
      </c>
      <c r="F309">
        <v>140.70697074009999</v>
      </c>
      <c r="G309">
        <v>117.50860585197999</v>
      </c>
      <c r="I309" s="9">
        <f t="shared" si="40"/>
        <v>439.13489867974005</v>
      </c>
      <c r="J309" s="9">
        <f t="shared" si="41"/>
        <v>1485.4289809215002</v>
      </c>
      <c r="K309" s="9">
        <f t="shared" si="31"/>
        <v>439.13489867974005</v>
      </c>
      <c r="L309" s="10">
        <f t="shared" si="30"/>
        <v>0.29562833654108356</v>
      </c>
      <c r="M309" s="10">
        <f t="shared" si="42"/>
        <v>0.30930889921286814</v>
      </c>
      <c r="P309" s="8">
        <f t="shared" si="43"/>
        <v>8.0135236914632433</v>
      </c>
    </row>
    <row r="310" spans="1:16" x14ac:dyDescent="0.2">
      <c r="A310" s="8">
        <v>154</v>
      </c>
      <c r="B310" s="8">
        <v>308</v>
      </c>
      <c r="D310">
        <v>1632.3340526543</v>
      </c>
      <c r="E310">
        <v>566.90159689253005</v>
      </c>
      <c r="F310">
        <v>140.45481927711</v>
      </c>
      <c r="G310">
        <v>117.62994836489</v>
      </c>
      <c r="I310" s="9">
        <f>E310-G310</f>
        <v>449.27164852764008</v>
      </c>
      <c r="J310" s="9">
        <f>D310-F310</f>
        <v>1491.8792333771898</v>
      </c>
      <c r="K310" s="9">
        <f t="shared" si="31"/>
        <v>449.27164852764008</v>
      </c>
      <c r="L310" s="10">
        <f t="shared" si="30"/>
        <v>0.30114478335529676</v>
      </c>
      <c r="M310" s="10">
        <f>L310+ABS($N$2)*A310</f>
        <v>0.31486990812047477</v>
      </c>
      <c r="O310" s="11"/>
      <c r="P310" s="8">
        <f>(M310-$O$2)/$O$2*100</f>
        <v>9.955479351060438</v>
      </c>
    </row>
    <row r="311" spans="1:16" x14ac:dyDescent="0.2">
      <c r="A311" s="8">
        <v>154.5</v>
      </c>
      <c r="B311" s="8">
        <v>309</v>
      </c>
      <c r="D311">
        <v>1625.4579197237999</v>
      </c>
      <c r="E311">
        <v>564.35735865342997</v>
      </c>
      <c r="F311">
        <v>141.13296041308001</v>
      </c>
      <c r="G311">
        <v>117.73364888124</v>
      </c>
      <c r="I311" s="9">
        <f t="shared" ref="I311:I322" si="44">E311-G311</f>
        <v>446.62370977218995</v>
      </c>
      <c r="J311" s="9">
        <f t="shared" ref="J311:J322" si="45">D311-F311</f>
        <v>1484.3249593107198</v>
      </c>
      <c r="K311" s="9">
        <f t="shared" si="31"/>
        <v>446.62370977218995</v>
      </c>
      <c r="L311" s="10">
        <f t="shared" si="30"/>
        <v>0.30089348492771412</v>
      </c>
      <c r="M311" s="10">
        <f t="shared" ref="M311:M322" si="46">L311+ABS($N$2)*A311</f>
        <v>0.31466317178628556</v>
      </c>
      <c r="P311" s="8">
        <f t="shared" ref="P311:P322" si="47">(M311-$O$2)/$O$2*100</f>
        <v>9.8832851142064069</v>
      </c>
    </row>
    <row r="312" spans="1:16" x14ac:dyDescent="0.2">
      <c r="A312" s="8">
        <v>155</v>
      </c>
      <c r="B312" s="8">
        <v>310</v>
      </c>
      <c r="D312">
        <v>1619.2179542511999</v>
      </c>
      <c r="E312">
        <v>559.63487268019003</v>
      </c>
      <c r="F312">
        <v>140.94406196213001</v>
      </c>
      <c r="G312">
        <v>117.55593803787001</v>
      </c>
      <c r="I312" s="9">
        <f t="shared" si="44"/>
        <v>442.07893464232001</v>
      </c>
      <c r="J312" s="9">
        <f t="shared" si="45"/>
        <v>1478.2738922890699</v>
      </c>
      <c r="K312" s="9">
        <f t="shared" si="31"/>
        <v>442.07893464232001</v>
      </c>
      <c r="L312" s="10">
        <f t="shared" si="30"/>
        <v>0.299050762479321</v>
      </c>
      <c r="M312" s="10">
        <f t="shared" si="46"/>
        <v>0.31286501143128592</v>
      </c>
      <c r="N312" s="1"/>
      <c r="P312" s="8">
        <f t="shared" si="47"/>
        <v>9.2553509144466535</v>
      </c>
    </row>
    <row r="313" spans="1:16" x14ac:dyDescent="0.2">
      <c r="A313" s="8">
        <v>155.5</v>
      </c>
      <c r="B313" s="8">
        <v>311</v>
      </c>
      <c r="D313">
        <v>1624.3815278377001</v>
      </c>
      <c r="E313">
        <v>554.04618040570006</v>
      </c>
      <c r="F313">
        <v>140.78528399312</v>
      </c>
      <c r="G313">
        <v>117.82788296040999</v>
      </c>
      <c r="I313" s="9">
        <f t="shared" si="44"/>
        <v>436.21829744529009</v>
      </c>
      <c r="J313" s="9">
        <f t="shared" si="45"/>
        <v>1483.5962438445802</v>
      </c>
      <c r="K313" s="9">
        <f t="shared" si="31"/>
        <v>436.21829744529009</v>
      </c>
      <c r="L313" s="10">
        <f t="shared" si="30"/>
        <v>0.29402763673415433</v>
      </c>
      <c r="M313" s="10">
        <f t="shared" si="46"/>
        <v>0.30788644777951268</v>
      </c>
      <c r="P313" s="8">
        <f t="shared" si="47"/>
        <v>7.5167905163503068</v>
      </c>
    </row>
    <row r="314" spans="1:16" x14ac:dyDescent="0.2">
      <c r="A314" s="8">
        <v>156</v>
      </c>
      <c r="B314" s="8">
        <v>312</v>
      </c>
      <c r="D314">
        <v>1620.4117393181</v>
      </c>
      <c r="E314">
        <v>557.97108329737</v>
      </c>
      <c r="F314">
        <v>140.68545611016</v>
      </c>
      <c r="G314">
        <v>117.74096385542001</v>
      </c>
      <c r="I314" s="9">
        <f t="shared" si="44"/>
        <v>440.23011944195002</v>
      </c>
      <c r="J314" s="9">
        <f t="shared" si="45"/>
        <v>1479.72628320794</v>
      </c>
      <c r="K314" s="9">
        <f t="shared" si="31"/>
        <v>440.23011944195002</v>
      </c>
      <c r="L314" s="10">
        <f t="shared" si="30"/>
        <v>0.29750780562440426</v>
      </c>
      <c r="M314" s="10">
        <f t="shared" si="46"/>
        <v>0.31141117876315605</v>
      </c>
      <c r="P314" s="8">
        <f t="shared" si="47"/>
        <v>8.7476591223834763</v>
      </c>
    </row>
    <row r="315" spans="1:16" x14ac:dyDescent="0.2">
      <c r="A315" s="8">
        <v>156.5</v>
      </c>
      <c r="B315" s="8">
        <v>313</v>
      </c>
      <c r="D315">
        <v>1627.2157962883</v>
      </c>
      <c r="E315">
        <v>557.10444540354001</v>
      </c>
      <c r="F315">
        <v>141.12951807229001</v>
      </c>
      <c r="G315">
        <v>117.66351118761</v>
      </c>
      <c r="I315" s="9">
        <f t="shared" si="44"/>
        <v>439.44093421593004</v>
      </c>
      <c r="J315" s="9">
        <f t="shared" si="45"/>
        <v>1486.08627821601</v>
      </c>
      <c r="K315" s="9">
        <f t="shared" si="31"/>
        <v>439.44093421593004</v>
      </c>
      <c r="L315" s="10">
        <f t="shared" si="30"/>
        <v>0.29570351375793752</v>
      </c>
      <c r="M315" s="10">
        <f t="shared" si="46"/>
        <v>0.30965144899008273</v>
      </c>
      <c r="P315" s="8">
        <f t="shared" si="47"/>
        <v>8.1331452366914352</v>
      </c>
    </row>
    <row r="316" spans="1:16" x14ac:dyDescent="0.2">
      <c r="A316" s="8">
        <v>157</v>
      </c>
      <c r="B316" s="8">
        <v>314</v>
      </c>
      <c r="D316">
        <v>1610.2365127319999</v>
      </c>
      <c r="E316">
        <v>548.64479930945004</v>
      </c>
      <c r="F316">
        <v>140.60929432014001</v>
      </c>
      <c r="G316">
        <v>117.83734939759</v>
      </c>
      <c r="I316" s="9">
        <f t="shared" si="44"/>
        <v>430.80744991186003</v>
      </c>
      <c r="J316" s="9">
        <f t="shared" si="45"/>
        <v>1469.62721841186</v>
      </c>
      <c r="K316" s="9">
        <f t="shared" si="31"/>
        <v>430.80744991186003</v>
      </c>
      <c r="L316" s="10">
        <f t="shared" si="30"/>
        <v>0.29314063084474468</v>
      </c>
      <c r="M316" s="10">
        <f t="shared" si="46"/>
        <v>0.30713312817028332</v>
      </c>
      <c r="P316" s="8">
        <f t="shared" si="47"/>
        <v>7.2537243528296091</v>
      </c>
    </row>
    <row r="317" spans="1:16" x14ac:dyDescent="0.2">
      <c r="A317" s="8">
        <v>157.5</v>
      </c>
      <c r="B317" s="8">
        <v>315</v>
      </c>
      <c r="D317">
        <v>1602.8511005611001</v>
      </c>
      <c r="E317">
        <v>545.23823910228998</v>
      </c>
      <c r="F317">
        <v>140.80636833047001</v>
      </c>
      <c r="G317">
        <v>117.64716006885</v>
      </c>
      <c r="I317" s="9">
        <f t="shared" si="44"/>
        <v>427.59107903344</v>
      </c>
      <c r="J317" s="9">
        <f t="shared" si="45"/>
        <v>1462.0447322306302</v>
      </c>
      <c r="K317" s="9">
        <f t="shared" si="31"/>
        <v>427.59107903344</v>
      </c>
      <c r="L317" s="10">
        <f t="shared" si="30"/>
        <v>0.2924610099863823</v>
      </c>
      <c r="M317" s="10">
        <f t="shared" si="46"/>
        <v>0.30649806940531438</v>
      </c>
      <c r="P317" s="8">
        <f t="shared" si="47"/>
        <v>7.0319559681177379</v>
      </c>
    </row>
    <row r="318" spans="1:16" x14ac:dyDescent="0.2">
      <c r="A318" s="8">
        <v>158</v>
      </c>
      <c r="B318" s="8">
        <v>316</v>
      </c>
      <c r="D318">
        <v>1609.2757876564999</v>
      </c>
      <c r="E318">
        <v>540.35174794993998</v>
      </c>
      <c r="F318">
        <v>140.03399311531999</v>
      </c>
      <c r="G318">
        <v>117.45266781411</v>
      </c>
      <c r="I318" s="9">
        <f t="shared" si="44"/>
        <v>422.89908013582999</v>
      </c>
      <c r="J318" s="9">
        <f t="shared" si="45"/>
        <v>1469.2417945411798</v>
      </c>
      <c r="K318" s="9">
        <f t="shared" si="31"/>
        <v>422.89908013582999</v>
      </c>
      <c r="L318" s="10">
        <f t="shared" si="30"/>
        <v>0.28783491029663666</v>
      </c>
      <c r="M318" s="10">
        <f t="shared" si="46"/>
        <v>0.30191653180896216</v>
      </c>
      <c r="P318" s="8">
        <f t="shared" si="47"/>
        <v>5.4320407346205331</v>
      </c>
    </row>
    <row r="319" spans="1:16" x14ac:dyDescent="0.2">
      <c r="A319" s="8">
        <v>158.5</v>
      </c>
      <c r="B319" s="8">
        <v>317</v>
      </c>
      <c r="D319">
        <v>1595.4946050927999</v>
      </c>
      <c r="E319">
        <v>534.68968493742</v>
      </c>
      <c r="F319">
        <v>141.06970740103</v>
      </c>
      <c r="G319">
        <v>117.56110154904999</v>
      </c>
      <c r="I319" s="9">
        <f t="shared" si="44"/>
        <v>417.12858338836998</v>
      </c>
      <c r="J319" s="9">
        <f t="shared" si="45"/>
        <v>1454.42489769177</v>
      </c>
      <c r="K319" s="9">
        <f t="shared" si="31"/>
        <v>417.12858338836998</v>
      </c>
      <c r="L319" s="10">
        <f t="shared" si="30"/>
        <v>0.2867996718499316</v>
      </c>
      <c r="M319" s="10">
        <f t="shared" si="46"/>
        <v>0.30092585545565054</v>
      </c>
      <c r="P319" s="8">
        <f t="shared" si="47"/>
        <v>5.0860874043694198</v>
      </c>
    </row>
    <row r="320" spans="1:16" x14ac:dyDescent="0.2">
      <c r="A320" s="8">
        <v>159</v>
      </c>
      <c r="B320" s="8">
        <v>318</v>
      </c>
      <c r="D320">
        <v>1580.6504100130001</v>
      </c>
      <c r="E320">
        <v>531.94173500216004</v>
      </c>
      <c r="F320">
        <v>140.41006884682</v>
      </c>
      <c r="G320">
        <v>117.47934595525</v>
      </c>
      <c r="I320" s="9">
        <f t="shared" si="44"/>
        <v>414.46238904691006</v>
      </c>
      <c r="J320" s="9">
        <f t="shared" si="45"/>
        <v>1440.2403411661801</v>
      </c>
      <c r="K320" s="9">
        <f t="shared" si="31"/>
        <v>414.46238904691006</v>
      </c>
      <c r="L320" s="10">
        <f t="shared" si="30"/>
        <v>0.28777307314646861</v>
      </c>
      <c r="M320" s="10">
        <f t="shared" si="46"/>
        <v>0.30194381884558097</v>
      </c>
      <c r="P320" s="8">
        <f t="shared" si="47"/>
        <v>5.441569619769961</v>
      </c>
    </row>
    <row r="321" spans="1:16" x14ac:dyDescent="0.2">
      <c r="A321" s="8">
        <v>159.5</v>
      </c>
      <c r="B321" s="8">
        <v>319</v>
      </c>
      <c r="D321">
        <v>1592.2024169184001</v>
      </c>
      <c r="E321">
        <v>535.01596892533996</v>
      </c>
      <c r="F321">
        <v>140.65189328744</v>
      </c>
      <c r="G321">
        <v>117.88468158348</v>
      </c>
      <c r="I321" s="9">
        <f t="shared" si="44"/>
        <v>417.13128734185995</v>
      </c>
      <c r="J321" s="9">
        <f t="shared" si="45"/>
        <v>1451.55052363096</v>
      </c>
      <c r="K321" s="9">
        <f t="shared" si="31"/>
        <v>417.13128734185995</v>
      </c>
      <c r="L321" s="10">
        <f t="shared" si="30"/>
        <v>0.2873694580733111</v>
      </c>
      <c r="M321" s="10">
        <f t="shared" si="46"/>
        <v>0.3015847658658169</v>
      </c>
      <c r="P321" s="8">
        <f t="shared" si="47"/>
        <v>5.3161850038247627</v>
      </c>
    </row>
    <row r="322" spans="1:16" x14ac:dyDescent="0.2">
      <c r="A322" s="8">
        <v>160</v>
      </c>
      <c r="B322" s="8">
        <v>320</v>
      </c>
      <c r="D322">
        <v>1638.3684210526001</v>
      </c>
      <c r="E322">
        <v>543.29421915444004</v>
      </c>
      <c r="F322">
        <v>140.56325301205001</v>
      </c>
      <c r="G322">
        <v>117.39242685025999</v>
      </c>
      <c r="I322" s="9">
        <f t="shared" si="44"/>
        <v>425.90179230418005</v>
      </c>
      <c r="J322" s="9">
        <f t="shared" si="45"/>
        <v>1497.8051680405501</v>
      </c>
      <c r="K322" s="9">
        <f t="shared" si="31"/>
        <v>425.90179230418005</v>
      </c>
      <c r="L322" s="10">
        <f t="shared" ref="L322" si="48">K322/J322</f>
        <v>0.28435059605339108</v>
      </c>
      <c r="M322" s="10">
        <f t="shared" si="46"/>
        <v>0.2986104659392903</v>
      </c>
      <c r="P322" s="8">
        <f t="shared" si="47"/>
        <v>4.2775320054889434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240816A010</vt:lpstr>
      <vt:lpstr>240814A011</vt:lpstr>
      <vt:lpstr>240814A012</vt:lpstr>
      <vt:lpstr>240814A013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Walsh, Breanna M. (Medical Student)</cp:lastModifiedBy>
  <dcterms:created xsi:type="dcterms:W3CDTF">2024-07-26T18:06:04Z</dcterms:created>
  <dcterms:modified xsi:type="dcterms:W3CDTF">2026-04-24T05:23:19Z</dcterms:modified>
</cp:coreProperties>
</file>