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eannawalsh/Documents/UCLA :: 2019-2027/Hallem Lab/Data/Calcium Imaging Data/Ss iL3s - BAG/2024-0821/"/>
    </mc:Choice>
  </mc:AlternateContent>
  <xr:revisionPtr revIDLastSave="0" documentId="13_ncr:1_{A1F63C6C-57B1-9E41-8F18-CCC1C5253CF4}" xr6:coauthVersionLast="47" xr6:coauthVersionMax="47" xr10:uidLastSave="{00000000-0000-0000-0000-000000000000}"/>
  <bookViews>
    <workbookView xWindow="740" yWindow="500" windowWidth="28060" windowHeight="15620" activeTab="4" xr2:uid="{703F31A7-3FB6-4B05-8EA8-379C6E25ED1D}"/>
  </bookViews>
  <sheets>
    <sheet name="240821A006" sheetId="1" r:id="rId1"/>
    <sheet name="240821A008" sheetId="9" r:id="rId2"/>
    <sheet name="240821A010" sheetId="16" r:id="rId3"/>
    <sheet name="240821A011" sheetId="17" r:id="rId4"/>
    <sheet name="240821A012" sheetId="18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8" l="1"/>
  <c r="N2" i="1"/>
  <c r="N2" i="9"/>
  <c r="N2" i="16"/>
  <c r="N2" i="17"/>
  <c r="J322" i="18"/>
  <c r="I322" i="18"/>
  <c r="K322" i="18" s="1"/>
  <c r="J321" i="18"/>
  <c r="I321" i="18"/>
  <c r="K321" i="18" s="1"/>
  <c r="J320" i="18"/>
  <c r="I320" i="18"/>
  <c r="K320" i="18" s="1"/>
  <c r="L320" i="18" s="1"/>
  <c r="J319" i="18"/>
  <c r="I319" i="18"/>
  <c r="K319" i="18" s="1"/>
  <c r="J318" i="18"/>
  <c r="I318" i="18"/>
  <c r="K318" i="18" s="1"/>
  <c r="J317" i="18"/>
  <c r="I317" i="18"/>
  <c r="K317" i="18" s="1"/>
  <c r="J316" i="18"/>
  <c r="I316" i="18"/>
  <c r="K316" i="18" s="1"/>
  <c r="L316" i="18" s="1"/>
  <c r="V98" i="18" s="1"/>
  <c r="J315" i="18"/>
  <c r="I315" i="18"/>
  <c r="K315" i="18" s="1"/>
  <c r="L315" i="18" s="1"/>
  <c r="V97" i="18" s="1"/>
  <c r="J314" i="18"/>
  <c r="I314" i="18"/>
  <c r="K314" i="18" s="1"/>
  <c r="J313" i="18"/>
  <c r="I313" i="18"/>
  <c r="K313" i="18" s="1"/>
  <c r="J312" i="18"/>
  <c r="I312" i="18"/>
  <c r="K312" i="18" s="1"/>
  <c r="J311" i="18"/>
  <c r="I311" i="18"/>
  <c r="K311" i="18" s="1"/>
  <c r="J310" i="18"/>
  <c r="I310" i="18"/>
  <c r="K310" i="18" s="1"/>
  <c r="J309" i="18"/>
  <c r="I309" i="18"/>
  <c r="K309" i="18" s="1"/>
  <c r="J308" i="18"/>
  <c r="I308" i="18"/>
  <c r="K308" i="18" s="1"/>
  <c r="L308" i="18" s="1"/>
  <c r="V90" i="18" s="1"/>
  <c r="J307" i="18"/>
  <c r="I307" i="18"/>
  <c r="K307" i="18" s="1"/>
  <c r="J306" i="18"/>
  <c r="I306" i="18"/>
  <c r="K306" i="18" s="1"/>
  <c r="L306" i="18" s="1"/>
  <c r="J305" i="18"/>
  <c r="I305" i="18"/>
  <c r="K305" i="18" s="1"/>
  <c r="J304" i="18"/>
  <c r="I304" i="18"/>
  <c r="K304" i="18" s="1"/>
  <c r="L304" i="18" s="1"/>
  <c r="J303" i="18"/>
  <c r="I303" i="18"/>
  <c r="K303" i="18" s="1"/>
  <c r="J302" i="18"/>
  <c r="I302" i="18"/>
  <c r="K302" i="18" s="1"/>
  <c r="J301" i="18"/>
  <c r="I301" i="18"/>
  <c r="K301" i="18" s="1"/>
  <c r="J300" i="18"/>
  <c r="I300" i="18"/>
  <c r="K300" i="18" s="1"/>
  <c r="L300" i="18" s="1"/>
  <c r="J299" i="18"/>
  <c r="I299" i="18"/>
  <c r="K299" i="18" s="1"/>
  <c r="J298" i="18"/>
  <c r="I298" i="18"/>
  <c r="K298" i="18" s="1"/>
  <c r="L298" i="18" s="1"/>
  <c r="J297" i="18"/>
  <c r="I297" i="18"/>
  <c r="K297" i="18" s="1"/>
  <c r="J296" i="18"/>
  <c r="I296" i="18"/>
  <c r="K296" i="18" s="1"/>
  <c r="L296" i="18" s="1"/>
  <c r="J295" i="18"/>
  <c r="I295" i="18"/>
  <c r="K295" i="18" s="1"/>
  <c r="J294" i="18"/>
  <c r="I294" i="18"/>
  <c r="K294" i="18" s="1"/>
  <c r="J293" i="18"/>
  <c r="I293" i="18"/>
  <c r="K293" i="18" s="1"/>
  <c r="J292" i="18"/>
  <c r="I292" i="18"/>
  <c r="K292" i="18" s="1"/>
  <c r="J291" i="18"/>
  <c r="I291" i="18"/>
  <c r="K291" i="18" s="1"/>
  <c r="J290" i="18"/>
  <c r="I290" i="18"/>
  <c r="K290" i="18" s="1"/>
  <c r="J289" i="18"/>
  <c r="I289" i="18"/>
  <c r="K289" i="18" s="1"/>
  <c r="J288" i="18"/>
  <c r="I288" i="18"/>
  <c r="K288" i="18" s="1"/>
  <c r="J287" i="18"/>
  <c r="I287" i="18"/>
  <c r="K287" i="18" s="1"/>
  <c r="J286" i="18"/>
  <c r="I286" i="18"/>
  <c r="K286" i="18" s="1"/>
  <c r="J285" i="18"/>
  <c r="I285" i="18"/>
  <c r="K285" i="18" s="1"/>
  <c r="J284" i="18"/>
  <c r="I284" i="18"/>
  <c r="K284" i="18" s="1"/>
  <c r="J283" i="18"/>
  <c r="I283" i="18"/>
  <c r="K283" i="18" s="1"/>
  <c r="L283" i="18" s="1"/>
  <c r="J282" i="18"/>
  <c r="I282" i="18"/>
  <c r="K282" i="18" s="1"/>
  <c r="J281" i="18"/>
  <c r="I281" i="18"/>
  <c r="K281" i="18" s="1"/>
  <c r="J280" i="18"/>
  <c r="I280" i="18"/>
  <c r="K280" i="18" s="1"/>
  <c r="J279" i="18"/>
  <c r="I279" i="18"/>
  <c r="K279" i="18" s="1"/>
  <c r="J278" i="18"/>
  <c r="I278" i="18"/>
  <c r="K278" i="18" s="1"/>
  <c r="J277" i="18"/>
  <c r="I277" i="18"/>
  <c r="K277" i="18" s="1"/>
  <c r="K276" i="18"/>
  <c r="J276" i="18"/>
  <c r="I276" i="18"/>
  <c r="J275" i="18"/>
  <c r="I275" i="18"/>
  <c r="K275" i="18" s="1"/>
  <c r="J274" i="18"/>
  <c r="I274" i="18"/>
  <c r="K274" i="18" s="1"/>
  <c r="J273" i="18"/>
  <c r="I273" i="18"/>
  <c r="K273" i="18" s="1"/>
  <c r="J272" i="18"/>
  <c r="I272" i="18"/>
  <c r="K272" i="18" s="1"/>
  <c r="J271" i="18"/>
  <c r="I271" i="18"/>
  <c r="K271" i="18" s="1"/>
  <c r="J270" i="18"/>
  <c r="I270" i="18"/>
  <c r="K270" i="18" s="1"/>
  <c r="J269" i="18"/>
  <c r="I269" i="18"/>
  <c r="K269" i="18" s="1"/>
  <c r="J268" i="18"/>
  <c r="I268" i="18"/>
  <c r="K268" i="18" s="1"/>
  <c r="J267" i="18"/>
  <c r="I267" i="18"/>
  <c r="K267" i="18" s="1"/>
  <c r="J266" i="18"/>
  <c r="I266" i="18"/>
  <c r="K266" i="18" s="1"/>
  <c r="J265" i="18"/>
  <c r="I265" i="18"/>
  <c r="K265" i="18" s="1"/>
  <c r="J264" i="18"/>
  <c r="I264" i="18"/>
  <c r="K264" i="18" s="1"/>
  <c r="J263" i="18"/>
  <c r="I263" i="18"/>
  <c r="K263" i="18" s="1"/>
  <c r="J262" i="18"/>
  <c r="I262" i="18"/>
  <c r="K262" i="18" s="1"/>
  <c r="J261" i="18"/>
  <c r="I261" i="18"/>
  <c r="K261" i="18" s="1"/>
  <c r="J260" i="18"/>
  <c r="I260" i="18"/>
  <c r="K260" i="18" s="1"/>
  <c r="L260" i="18" s="1"/>
  <c r="J259" i="18"/>
  <c r="I259" i="18"/>
  <c r="K259" i="18" s="1"/>
  <c r="J258" i="18"/>
  <c r="I258" i="18"/>
  <c r="K258" i="18" s="1"/>
  <c r="J257" i="18"/>
  <c r="I257" i="18"/>
  <c r="K257" i="18" s="1"/>
  <c r="J256" i="18"/>
  <c r="I256" i="18"/>
  <c r="K256" i="18" s="1"/>
  <c r="J255" i="18"/>
  <c r="I255" i="18"/>
  <c r="K255" i="18" s="1"/>
  <c r="J254" i="18"/>
  <c r="I254" i="18"/>
  <c r="K254" i="18" s="1"/>
  <c r="J253" i="18"/>
  <c r="I253" i="18"/>
  <c r="K253" i="18" s="1"/>
  <c r="J252" i="18"/>
  <c r="I252" i="18"/>
  <c r="K252" i="18" s="1"/>
  <c r="L252" i="18" s="1"/>
  <c r="J251" i="18"/>
  <c r="I251" i="18"/>
  <c r="K251" i="18" s="1"/>
  <c r="J250" i="18"/>
  <c r="I250" i="18"/>
  <c r="K250" i="18" s="1"/>
  <c r="J249" i="18"/>
  <c r="I249" i="18"/>
  <c r="K249" i="18" s="1"/>
  <c r="J248" i="18"/>
  <c r="I248" i="18"/>
  <c r="K248" i="18" s="1"/>
  <c r="L248" i="18" s="1"/>
  <c r="J247" i="18"/>
  <c r="I247" i="18"/>
  <c r="K247" i="18" s="1"/>
  <c r="J246" i="18"/>
  <c r="I246" i="18"/>
  <c r="K246" i="18" s="1"/>
  <c r="J245" i="18"/>
  <c r="I245" i="18"/>
  <c r="K245" i="18" s="1"/>
  <c r="J244" i="18"/>
  <c r="I244" i="18"/>
  <c r="K244" i="18" s="1"/>
  <c r="J243" i="18"/>
  <c r="I243" i="18"/>
  <c r="K243" i="18" s="1"/>
  <c r="L243" i="18" s="1"/>
  <c r="J242" i="18"/>
  <c r="I242" i="18"/>
  <c r="K242" i="18" s="1"/>
  <c r="J241" i="18"/>
  <c r="I241" i="18"/>
  <c r="K241" i="18" s="1"/>
  <c r="J240" i="18"/>
  <c r="I240" i="18"/>
  <c r="K240" i="18" s="1"/>
  <c r="J239" i="18"/>
  <c r="I239" i="18"/>
  <c r="K239" i="18" s="1"/>
  <c r="J238" i="18"/>
  <c r="I238" i="18"/>
  <c r="K238" i="18" s="1"/>
  <c r="J237" i="18"/>
  <c r="I237" i="18"/>
  <c r="K237" i="18" s="1"/>
  <c r="J236" i="18"/>
  <c r="I236" i="18"/>
  <c r="K236" i="18" s="1"/>
  <c r="J235" i="18"/>
  <c r="I235" i="18"/>
  <c r="K235" i="18" s="1"/>
  <c r="J234" i="18"/>
  <c r="I234" i="18"/>
  <c r="K234" i="18" s="1"/>
  <c r="J233" i="18"/>
  <c r="I233" i="18"/>
  <c r="K233" i="18" s="1"/>
  <c r="J232" i="18"/>
  <c r="I232" i="18"/>
  <c r="K232" i="18" s="1"/>
  <c r="J231" i="18"/>
  <c r="I231" i="18"/>
  <c r="K231" i="18" s="1"/>
  <c r="J230" i="18"/>
  <c r="I230" i="18"/>
  <c r="K230" i="18" s="1"/>
  <c r="J229" i="18"/>
  <c r="I229" i="18"/>
  <c r="K229" i="18" s="1"/>
  <c r="J228" i="18"/>
  <c r="I228" i="18"/>
  <c r="K228" i="18" s="1"/>
  <c r="L228" i="18" s="1"/>
  <c r="J227" i="18"/>
  <c r="I227" i="18"/>
  <c r="K227" i="18" s="1"/>
  <c r="L227" i="18" s="1"/>
  <c r="J226" i="18"/>
  <c r="I226" i="18"/>
  <c r="K226" i="18" s="1"/>
  <c r="J225" i="18"/>
  <c r="I225" i="18"/>
  <c r="K225" i="18" s="1"/>
  <c r="J224" i="18"/>
  <c r="I224" i="18"/>
  <c r="K224" i="18" s="1"/>
  <c r="L224" i="18" s="1"/>
  <c r="J223" i="18"/>
  <c r="I223" i="18"/>
  <c r="K223" i="18" s="1"/>
  <c r="J222" i="18"/>
  <c r="I222" i="18"/>
  <c r="K222" i="18" s="1"/>
  <c r="J221" i="18"/>
  <c r="I221" i="18"/>
  <c r="K221" i="18" s="1"/>
  <c r="J220" i="18"/>
  <c r="I220" i="18"/>
  <c r="K220" i="18" s="1"/>
  <c r="L220" i="18" s="1"/>
  <c r="J219" i="18"/>
  <c r="I219" i="18"/>
  <c r="K219" i="18" s="1"/>
  <c r="L219" i="18" s="1"/>
  <c r="J218" i="18"/>
  <c r="I218" i="18"/>
  <c r="K218" i="18" s="1"/>
  <c r="J217" i="18"/>
  <c r="I217" i="18"/>
  <c r="K217" i="18" s="1"/>
  <c r="J216" i="18"/>
  <c r="I216" i="18"/>
  <c r="K216" i="18" s="1"/>
  <c r="L216" i="18" s="1"/>
  <c r="J215" i="18"/>
  <c r="I215" i="18"/>
  <c r="K215" i="18" s="1"/>
  <c r="L215" i="18" s="1"/>
  <c r="J214" i="18"/>
  <c r="I214" i="18"/>
  <c r="K214" i="18" s="1"/>
  <c r="J213" i="18"/>
  <c r="I213" i="18"/>
  <c r="K213" i="18" s="1"/>
  <c r="J212" i="18"/>
  <c r="I212" i="18"/>
  <c r="K212" i="18" s="1"/>
  <c r="J211" i="18"/>
  <c r="I211" i="18"/>
  <c r="K211" i="18" s="1"/>
  <c r="J210" i="18"/>
  <c r="I210" i="18"/>
  <c r="K210" i="18" s="1"/>
  <c r="L210" i="18" s="1"/>
  <c r="J209" i="18"/>
  <c r="I209" i="18"/>
  <c r="K209" i="18" s="1"/>
  <c r="J208" i="18"/>
  <c r="I208" i="18"/>
  <c r="K208" i="18" s="1"/>
  <c r="J207" i="18"/>
  <c r="I207" i="18"/>
  <c r="K207" i="18" s="1"/>
  <c r="J206" i="18"/>
  <c r="I206" i="18"/>
  <c r="K206" i="18" s="1"/>
  <c r="J205" i="18"/>
  <c r="I205" i="18"/>
  <c r="K205" i="18" s="1"/>
  <c r="J204" i="18"/>
  <c r="I204" i="18"/>
  <c r="K204" i="18" s="1"/>
  <c r="J203" i="18"/>
  <c r="I203" i="18"/>
  <c r="K203" i="18" s="1"/>
  <c r="J202" i="18"/>
  <c r="I202" i="18"/>
  <c r="K202" i="18" s="1"/>
  <c r="J201" i="18"/>
  <c r="I201" i="18"/>
  <c r="K201" i="18" s="1"/>
  <c r="J200" i="18"/>
  <c r="I200" i="18"/>
  <c r="K200" i="18" s="1"/>
  <c r="J199" i="18"/>
  <c r="I199" i="18"/>
  <c r="K199" i="18" s="1"/>
  <c r="J198" i="18"/>
  <c r="I198" i="18"/>
  <c r="K198" i="18" s="1"/>
  <c r="L198" i="18" s="1"/>
  <c r="J197" i="18"/>
  <c r="I197" i="18"/>
  <c r="K197" i="18" s="1"/>
  <c r="J196" i="18"/>
  <c r="I196" i="18"/>
  <c r="K196" i="18" s="1"/>
  <c r="J195" i="18"/>
  <c r="I195" i="18"/>
  <c r="K195" i="18" s="1"/>
  <c r="J194" i="18"/>
  <c r="I194" i="18"/>
  <c r="K194" i="18" s="1"/>
  <c r="J193" i="18"/>
  <c r="I193" i="18"/>
  <c r="K193" i="18" s="1"/>
  <c r="J192" i="18"/>
  <c r="I192" i="18"/>
  <c r="K192" i="18" s="1"/>
  <c r="J191" i="18"/>
  <c r="I191" i="18"/>
  <c r="K191" i="18" s="1"/>
  <c r="J190" i="18"/>
  <c r="I190" i="18"/>
  <c r="K190" i="18" s="1"/>
  <c r="J189" i="18"/>
  <c r="I189" i="18"/>
  <c r="K189" i="18" s="1"/>
  <c r="J188" i="18"/>
  <c r="I188" i="18"/>
  <c r="K188" i="18" s="1"/>
  <c r="J187" i="18"/>
  <c r="I187" i="18"/>
  <c r="K187" i="18" s="1"/>
  <c r="J186" i="18"/>
  <c r="I186" i="18"/>
  <c r="K186" i="18" s="1"/>
  <c r="J185" i="18"/>
  <c r="I185" i="18"/>
  <c r="K185" i="18" s="1"/>
  <c r="J184" i="18"/>
  <c r="I184" i="18"/>
  <c r="K184" i="18" s="1"/>
  <c r="J183" i="18"/>
  <c r="I183" i="18"/>
  <c r="K183" i="18" s="1"/>
  <c r="J182" i="18"/>
  <c r="I182" i="18"/>
  <c r="K182" i="18" s="1"/>
  <c r="J181" i="18"/>
  <c r="I181" i="18"/>
  <c r="K181" i="18" s="1"/>
  <c r="J180" i="18"/>
  <c r="I180" i="18"/>
  <c r="K180" i="18" s="1"/>
  <c r="J179" i="18"/>
  <c r="I179" i="18"/>
  <c r="K179" i="18" s="1"/>
  <c r="J178" i="18"/>
  <c r="I178" i="18"/>
  <c r="K178" i="18" s="1"/>
  <c r="J177" i="18"/>
  <c r="I177" i="18"/>
  <c r="K177" i="18" s="1"/>
  <c r="J176" i="18"/>
  <c r="I176" i="18"/>
  <c r="K176" i="18" s="1"/>
  <c r="J175" i="18"/>
  <c r="I175" i="18"/>
  <c r="K175" i="18" s="1"/>
  <c r="J174" i="18"/>
  <c r="I174" i="18"/>
  <c r="K174" i="18" s="1"/>
  <c r="J173" i="18"/>
  <c r="I173" i="18"/>
  <c r="K173" i="18" s="1"/>
  <c r="J172" i="18"/>
  <c r="I172" i="18"/>
  <c r="K172" i="18" s="1"/>
  <c r="J171" i="18"/>
  <c r="I171" i="18"/>
  <c r="K171" i="18" s="1"/>
  <c r="J170" i="18"/>
  <c r="I170" i="18"/>
  <c r="K170" i="18" s="1"/>
  <c r="J169" i="18"/>
  <c r="I169" i="18"/>
  <c r="K169" i="18" s="1"/>
  <c r="L169" i="18" s="1"/>
  <c r="J168" i="18"/>
  <c r="I168" i="18"/>
  <c r="K168" i="18" s="1"/>
  <c r="J167" i="18"/>
  <c r="I167" i="18"/>
  <c r="K167" i="18" s="1"/>
  <c r="J166" i="18"/>
  <c r="I166" i="18"/>
  <c r="K166" i="18" s="1"/>
  <c r="J165" i="18"/>
  <c r="I165" i="18"/>
  <c r="K165" i="18" s="1"/>
  <c r="J164" i="18"/>
  <c r="I164" i="18"/>
  <c r="K164" i="18" s="1"/>
  <c r="J163" i="18"/>
  <c r="I163" i="18"/>
  <c r="K163" i="18" s="1"/>
  <c r="J162" i="18"/>
  <c r="I162" i="18"/>
  <c r="K162" i="18" s="1"/>
  <c r="J161" i="18"/>
  <c r="I161" i="18"/>
  <c r="K161" i="18" s="1"/>
  <c r="L161" i="18" s="1"/>
  <c r="J160" i="18"/>
  <c r="I160" i="18"/>
  <c r="K160" i="18" s="1"/>
  <c r="J159" i="18"/>
  <c r="I159" i="18"/>
  <c r="K159" i="18" s="1"/>
  <c r="J158" i="18"/>
  <c r="I158" i="18"/>
  <c r="K158" i="18" s="1"/>
  <c r="J157" i="18"/>
  <c r="I157" i="18"/>
  <c r="K157" i="18" s="1"/>
  <c r="J156" i="18"/>
  <c r="I156" i="18"/>
  <c r="K156" i="18" s="1"/>
  <c r="J155" i="18"/>
  <c r="I155" i="18"/>
  <c r="K155" i="18" s="1"/>
  <c r="J154" i="18"/>
  <c r="I154" i="18"/>
  <c r="K154" i="18" s="1"/>
  <c r="L154" i="18" s="1"/>
  <c r="J153" i="18"/>
  <c r="I153" i="18"/>
  <c r="K153" i="18" s="1"/>
  <c r="L153" i="18" s="1"/>
  <c r="J152" i="18"/>
  <c r="I152" i="18"/>
  <c r="K152" i="18" s="1"/>
  <c r="J151" i="18"/>
  <c r="I151" i="18"/>
  <c r="K151" i="18" s="1"/>
  <c r="J150" i="18"/>
  <c r="I150" i="18"/>
  <c r="K150" i="18" s="1"/>
  <c r="L150" i="18" s="1"/>
  <c r="J149" i="18"/>
  <c r="I149" i="18"/>
  <c r="K149" i="18" s="1"/>
  <c r="J148" i="18"/>
  <c r="I148" i="18"/>
  <c r="K148" i="18" s="1"/>
  <c r="J147" i="18"/>
  <c r="I147" i="18"/>
  <c r="K147" i="18" s="1"/>
  <c r="J146" i="18"/>
  <c r="I146" i="18"/>
  <c r="K146" i="18" s="1"/>
  <c r="J145" i="18"/>
  <c r="I145" i="18"/>
  <c r="K145" i="18" s="1"/>
  <c r="J144" i="18"/>
  <c r="I144" i="18"/>
  <c r="K144" i="18" s="1"/>
  <c r="J143" i="18"/>
  <c r="I143" i="18"/>
  <c r="K143" i="18" s="1"/>
  <c r="J142" i="18"/>
  <c r="I142" i="18"/>
  <c r="K142" i="18" s="1"/>
  <c r="L142" i="18" s="1"/>
  <c r="J141" i="18"/>
  <c r="I141" i="18"/>
  <c r="K141" i="18" s="1"/>
  <c r="J140" i="18"/>
  <c r="I140" i="18"/>
  <c r="K140" i="18" s="1"/>
  <c r="J139" i="18"/>
  <c r="I139" i="18"/>
  <c r="K139" i="18" s="1"/>
  <c r="J138" i="18"/>
  <c r="I138" i="18"/>
  <c r="K138" i="18" s="1"/>
  <c r="J137" i="18"/>
  <c r="I137" i="18"/>
  <c r="K137" i="18" s="1"/>
  <c r="J136" i="18"/>
  <c r="I136" i="18"/>
  <c r="K136" i="18" s="1"/>
  <c r="J135" i="18"/>
  <c r="I135" i="18"/>
  <c r="K135" i="18" s="1"/>
  <c r="L135" i="18" s="1"/>
  <c r="J134" i="18"/>
  <c r="I134" i="18"/>
  <c r="K134" i="18" s="1"/>
  <c r="J133" i="18"/>
  <c r="I133" i="18"/>
  <c r="K133" i="18" s="1"/>
  <c r="J132" i="18"/>
  <c r="I132" i="18"/>
  <c r="K132" i="18" s="1"/>
  <c r="J131" i="18"/>
  <c r="I131" i="18"/>
  <c r="K131" i="18" s="1"/>
  <c r="L131" i="18" s="1"/>
  <c r="J130" i="18"/>
  <c r="I130" i="18"/>
  <c r="K130" i="18" s="1"/>
  <c r="L130" i="18" s="1"/>
  <c r="K129" i="18"/>
  <c r="J129" i="18"/>
  <c r="I129" i="18"/>
  <c r="J128" i="18"/>
  <c r="I128" i="18"/>
  <c r="K128" i="18" s="1"/>
  <c r="J127" i="18"/>
  <c r="I127" i="18"/>
  <c r="K127" i="18" s="1"/>
  <c r="J126" i="18"/>
  <c r="I126" i="18"/>
  <c r="K126" i="18" s="1"/>
  <c r="J125" i="18"/>
  <c r="I125" i="18"/>
  <c r="K125" i="18" s="1"/>
  <c r="J124" i="18"/>
  <c r="I124" i="18"/>
  <c r="K124" i="18" s="1"/>
  <c r="J123" i="18"/>
  <c r="I123" i="18"/>
  <c r="K123" i="18" s="1"/>
  <c r="L123" i="18" s="1"/>
  <c r="J122" i="18"/>
  <c r="I122" i="18"/>
  <c r="K122" i="18" s="1"/>
  <c r="J121" i="18"/>
  <c r="I121" i="18"/>
  <c r="K121" i="18" s="1"/>
  <c r="J120" i="18"/>
  <c r="I120" i="18"/>
  <c r="K120" i="18" s="1"/>
  <c r="J119" i="18"/>
  <c r="I119" i="18"/>
  <c r="K119" i="18" s="1"/>
  <c r="L119" i="18" s="1"/>
  <c r="J118" i="18"/>
  <c r="I118" i="18"/>
  <c r="K118" i="18" s="1"/>
  <c r="J117" i="18"/>
  <c r="I117" i="18"/>
  <c r="K117" i="18" s="1"/>
  <c r="J116" i="18"/>
  <c r="I116" i="18"/>
  <c r="K116" i="18" s="1"/>
  <c r="J115" i="18"/>
  <c r="I115" i="18"/>
  <c r="K115" i="18" s="1"/>
  <c r="J114" i="18"/>
  <c r="I114" i="18"/>
  <c r="K114" i="18" s="1"/>
  <c r="J113" i="18"/>
  <c r="I113" i="18"/>
  <c r="K113" i="18" s="1"/>
  <c r="J112" i="18"/>
  <c r="I112" i="18"/>
  <c r="K112" i="18" s="1"/>
  <c r="J111" i="18"/>
  <c r="I111" i="18"/>
  <c r="K111" i="18" s="1"/>
  <c r="J110" i="18"/>
  <c r="I110" i="18"/>
  <c r="K110" i="18" s="1"/>
  <c r="J109" i="18"/>
  <c r="I109" i="18"/>
  <c r="K109" i="18" s="1"/>
  <c r="J108" i="18"/>
  <c r="I108" i="18"/>
  <c r="K108" i="18" s="1"/>
  <c r="J107" i="18"/>
  <c r="I107" i="18"/>
  <c r="K107" i="18" s="1"/>
  <c r="J106" i="18"/>
  <c r="I106" i="18"/>
  <c r="K106" i="18" s="1"/>
  <c r="J105" i="18"/>
  <c r="I105" i="18"/>
  <c r="K105" i="18" s="1"/>
  <c r="J104" i="18"/>
  <c r="I104" i="18"/>
  <c r="K104" i="18" s="1"/>
  <c r="J103" i="18"/>
  <c r="I103" i="18"/>
  <c r="K103" i="18" s="1"/>
  <c r="J102" i="18"/>
  <c r="I102" i="18"/>
  <c r="K102" i="18" s="1"/>
  <c r="J101" i="18"/>
  <c r="I101" i="18"/>
  <c r="K101" i="18" s="1"/>
  <c r="J100" i="18"/>
  <c r="I100" i="18"/>
  <c r="K100" i="18" s="1"/>
  <c r="J99" i="18"/>
  <c r="I99" i="18"/>
  <c r="K99" i="18" s="1"/>
  <c r="L99" i="18" s="1"/>
  <c r="J98" i="18"/>
  <c r="I98" i="18"/>
  <c r="K98" i="18" s="1"/>
  <c r="J97" i="18"/>
  <c r="I97" i="18"/>
  <c r="K97" i="18" s="1"/>
  <c r="J96" i="18"/>
  <c r="I96" i="18"/>
  <c r="K96" i="18" s="1"/>
  <c r="J95" i="18"/>
  <c r="I95" i="18"/>
  <c r="K95" i="18" s="1"/>
  <c r="J94" i="18"/>
  <c r="I94" i="18"/>
  <c r="K94" i="18" s="1"/>
  <c r="J93" i="18"/>
  <c r="I93" i="18"/>
  <c r="K93" i="18" s="1"/>
  <c r="J92" i="18"/>
  <c r="I92" i="18"/>
  <c r="K92" i="18" s="1"/>
  <c r="J91" i="18"/>
  <c r="I91" i="18"/>
  <c r="K91" i="18" s="1"/>
  <c r="J90" i="18"/>
  <c r="I90" i="18"/>
  <c r="K90" i="18" s="1"/>
  <c r="L90" i="18" s="1"/>
  <c r="J89" i="18"/>
  <c r="I89" i="18"/>
  <c r="K89" i="18" s="1"/>
  <c r="V88" i="18"/>
  <c r="J88" i="18"/>
  <c r="I88" i="18"/>
  <c r="K88" i="18" s="1"/>
  <c r="J87" i="18"/>
  <c r="I87" i="18"/>
  <c r="K87" i="18" s="1"/>
  <c r="J86" i="18"/>
  <c r="I86" i="18"/>
  <c r="K86" i="18" s="1"/>
  <c r="J85" i="18"/>
  <c r="I85" i="18"/>
  <c r="K85" i="18" s="1"/>
  <c r="J84" i="18"/>
  <c r="I84" i="18"/>
  <c r="K84" i="18" s="1"/>
  <c r="J83" i="18"/>
  <c r="I83" i="18"/>
  <c r="K83" i="18" s="1"/>
  <c r="J82" i="18"/>
  <c r="I82" i="18"/>
  <c r="K82" i="18" s="1"/>
  <c r="J81" i="18"/>
  <c r="I81" i="18"/>
  <c r="K81" i="18" s="1"/>
  <c r="J80" i="18"/>
  <c r="I80" i="18"/>
  <c r="K80" i="18" s="1"/>
  <c r="J79" i="18"/>
  <c r="I79" i="18"/>
  <c r="K79" i="18" s="1"/>
  <c r="J78" i="18"/>
  <c r="I78" i="18"/>
  <c r="K78" i="18" s="1"/>
  <c r="J77" i="18"/>
  <c r="I77" i="18"/>
  <c r="K77" i="18" s="1"/>
  <c r="L77" i="18" s="1"/>
  <c r="J76" i="18"/>
  <c r="I76" i="18"/>
  <c r="K76" i="18" s="1"/>
  <c r="L76" i="18" s="1"/>
  <c r="V78" i="18" s="1"/>
  <c r="J75" i="18"/>
  <c r="I75" i="18"/>
  <c r="K75" i="18" s="1"/>
  <c r="J74" i="18"/>
  <c r="I74" i="18"/>
  <c r="K74" i="18" s="1"/>
  <c r="J73" i="18"/>
  <c r="I73" i="18"/>
  <c r="K73" i="18" s="1"/>
  <c r="J72" i="18"/>
  <c r="I72" i="18"/>
  <c r="K72" i="18" s="1"/>
  <c r="L72" i="18" s="1"/>
  <c r="J71" i="18"/>
  <c r="I71" i="18"/>
  <c r="K71" i="18" s="1"/>
  <c r="J70" i="18"/>
  <c r="I70" i="18"/>
  <c r="K70" i="18" s="1"/>
  <c r="J69" i="18"/>
  <c r="I69" i="18"/>
  <c r="K69" i="18" s="1"/>
  <c r="J68" i="18"/>
  <c r="I68" i="18"/>
  <c r="K68" i="18" s="1"/>
  <c r="J67" i="18"/>
  <c r="I67" i="18"/>
  <c r="K67" i="18" s="1"/>
  <c r="J66" i="18"/>
  <c r="I66" i="18"/>
  <c r="K66" i="18" s="1"/>
  <c r="J65" i="18"/>
  <c r="I65" i="18"/>
  <c r="K65" i="18" s="1"/>
  <c r="J64" i="18"/>
  <c r="I64" i="18"/>
  <c r="K64" i="18" s="1"/>
  <c r="L64" i="18" s="1"/>
  <c r="J63" i="18"/>
  <c r="I63" i="18"/>
  <c r="K63" i="18" s="1"/>
  <c r="J62" i="18"/>
  <c r="I62" i="18"/>
  <c r="K62" i="18" s="1"/>
  <c r="J61" i="18"/>
  <c r="I61" i="18"/>
  <c r="K61" i="18" s="1"/>
  <c r="J60" i="18"/>
  <c r="I60" i="18"/>
  <c r="K60" i="18" s="1"/>
  <c r="L60" i="18" s="1"/>
  <c r="J59" i="18"/>
  <c r="I59" i="18"/>
  <c r="K59" i="18" s="1"/>
  <c r="L59" i="18" s="1"/>
  <c r="J58" i="18"/>
  <c r="I58" i="18"/>
  <c r="K58" i="18" s="1"/>
  <c r="J57" i="18"/>
  <c r="I57" i="18"/>
  <c r="K57" i="18" s="1"/>
  <c r="L57" i="18" s="1"/>
  <c r="J56" i="18"/>
  <c r="I56" i="18"/>
  <c r="K56" i="18" s="1"/>
  <c r="J55" i="18"/>
  <c r="I55" i="18"/>
  <c r="K55" i="18" s="1"/>
  <c r="J54" i="18"/>
  <c r="I54" i="18"/>
  <c r="K54" i="18" s="1"/>
  <c r="L54" i="18" s="1"/>
  <c r="J53" i="18"/>
  <c r="I53" i="18"/>
  <c r="K53" i="18" s="1"/>
  <c r="J52" i="18"/>
  <c r="I52" i="18"/>
  <c r="K52" i="18" s="1"/>
  <c r="J51" i="18"/>
  <c r="I51" i="18"/>
  <c r="K51" i="18" s="1"/>
  <c r="J50" i="18"/>
  <c r="I50" i="18"/>
  <c r="K50" i="18" s="1"/>
  <c r="L50" i="18" s="1"/>
  <c r="J49" i="18"/>
  <c r="I49" i="18"/>
  <c r="K49" i="18" s="1"/>
  <c r="L49" i="18" s="1"/>
  <c r="J48" i="18"/>
  <c r="I48" i="18"/>
  <c r="K48" i="18" s="1"/>
  <c r="J47" i="18"/>
  <c r="I47" i="18"/>
  <c r="K47" i="18" s="1"/>
  <c r="J46" i="18"/>
  <c r="I46" i="18"/>
  <c r="K46" i="18" s="1"/>
  <c r="J45" i="18"/>
  <c r="I45" i="18"/>
  <c r="K45" i="18" s="1"/>
  <c r="L45" i="18" s="1"/>
  <c r="J44" i="18"/>
  <c r="I44" i="18"/>
  <c r="K44" i="18" s="1"/>
  <c r="J43" i="18"/>
  <c r="I43" i="18"/>
  <c r="K43" i="18" s="1"/>
  <c r="J42" i="18"/>
  <c r="I42" i="18"/>
  <c r="K42" i="18" s="1"/>
  <c r="J41" i="18"/>
  <c r="I41" i="18"/>
  <c r="K41" i="18" s="1"/>
  <c r="J40" i="18"/>
  <c r="I40" i="18"/>
  <c r="K40" i="18" s="1"/>
  <c r="J39" i="18"/>
  <c r="I39" i="18"/>
  <c r="K39" i="18" s="1"/>
  <c r="L39" i="18" s="1"/>
  <c r="J38" i="18"/>
  <c r="I38" i="18"/>
  <c r="K38" i="18" s="1"/>
  <c r="L38" i="18" s="1"/>
  <c r="J37" i="18"/>
  <c r="I37" i="18"/>
  <c r="K37" i="18" s="1"/>
  <c r="J36" i="18"/>
  <c r="I36" i="18"/>
  <c r="K36" i="18" s="1"/>
  <c r="J35" i="18"/>
  <c r="I35" i="18"/>
  <c r="K35" i="18" s="1"/>
  <c r="L35" i="18" s="1"/>
  <c r="J34" i="18"/>
  <c r="I34" i="18"/>
  <c r="K34" i="18" s="1"/>
  <c r="L34" i="18" s="1"/>
  <c r="J33" i="18"/>
  <c r="I33" i="18"/>
  <c r="K33" i="18" s="1"/>
  <c r="J32" i="18"/>
  <c r="I32" i="18"/>
  <c r="K32" i="18" s="1"/>
  <c r="J31" i="18"/>
  <c r="I31" i="18"/>
  <c r="K31" i="18" s="1"/>
  <c r="L31" i="18" s="1"/>
  <c r="J30" i="18"/>
  <c r="I30" i="18"/>
  <c r="K30" i="18" s="1"/>
  <c r="J29" i="18"/>
  <c r="I29" i="18"/>
  <c r="K29" i="18" s="1"/>
  <c r="J28" i="18"/>
  <c r="I28" i="18"/>
  <c r="K28" i="18" s="1"/>
  <c r="J27" i="18"/>
  <c r="I27" i="18"/>
  <c r="K27" i="18" s="1"/>
  <c r="L27" i="18" s="1"/>
  <c r="J26" i="18"/>
  <c r="I26" i="18"/>
  <c r="K26" i="18" s="1"/>
  <c r="J25" i="18"/>
  <c r="I25" i="18"/>
  <c r="K25" i="18" s="1"/>
  <c r="J24" i="18"/>
  <c r="I24" i="18"/>
  <c r="K24" i="18" s="1"/>
  <c r="J23" i="18"/>
  <c r="I23" i="18"/>
  <c r="K23" i="18" s="1"/>
  <c r="J22" i="18"/>
  <c r="I22" i="18"/>
  <c r="K22" i="18" s="1"/>
  <c r="J21" i="18"/>
  <c r="I21" i="18"/>
  <c r="K21" i="18" s="1"/>
  <c r="J20" i="18"/>
  <c r="I20" i="18"/>
  <c r="K20" i="18" s="1"/>
  <c r="J19" i="18"/>
  <c r="I19" i="18"/>
  <c r="K19" i="18" s="1"/>
  <c r="L19" i="18" s="1"/>
  <c r="J18" i="18"/>
  <c r="I18" i="18"/>
  <c r="K18" i="18" s="1"/>
  <c r="J17" i="18"/>
  <c r="I17" i="18"/>
  <c r="K17" i="18" s="1"/>
  <c r="J16" i="18"/>
  <c r="I16" i="18"/>
  <c r="K16" i="18" s="1"/>
  <c r="J15" i="18"/>
  <c r="I15" i="18"/>
  <c r="K15" i="18" s="1"/>
  <c r="L15" i="18" s="1"/>
  <c r="J14" i="18"/>
  <c r="I14" i="18"/>
  <c r="K14" i="18" s="1"/>
  <c r="J13" i="18"/>
  <c r="I13" i="18"/>
  <c r="K13" i="18" s="1"/>
  <c r="J12" i="18"/>
  <c r="I12" i="18"/>
  <c r="K12" i="18" s="1"/>
  <c r="J11" i="18"/>
  <c r="I11" i="18"/>
  <c r="K11" i="18" s="1"/>
  <c r="J10" i="18"/>
  <c r="I10" i="18"/>
  <c r="K10" i="18" s="1"/>
  <c r="J9" i="18"/>
  <c r="I9" i="18"/>
  <c r="K9" i="18" s="1"/>
  <c r="J8" i="18"/>
  <c r="I8" i="18"/>
  <c r="K8" i="18" s="1"/>
  <c r="J7" i="18"/>
  <c r="I7" i="18"/>
  <c r="K7" i="18" s="1"/>
  <c r="J6" i="18"/>
  <c r="I6" i="18"/>
  <c r="K6" i="18" s="1"/>
  <c r="J5" i="18"/>
  <c r="I5" i="18"/>
  <c r="K5" i="18" s="1"/>
  <c r="J4" i="18"/>
  <c r="I4" i="18"/>
  <c r="K4" i="18" s="1"/>
  <c r="L4" i="18" s="1"/>
  <c r="J3" i="18"/>
  <c r="I3" i="18"/>
  <c r="K3" i="18" s="1"/>
  <c r="J2" i="18"/>
  <c r="I2" i="18"/>
  <c r="K2" i="18" s="1"/>
  <c r="J322" i="17"/>
  <c r="I322" i="17"/>
  <c r="K322" i="17" s="1"/>
  <c r="J321" i="17"/>
  <c r="I321" i="17"/>
  <c r="K321" i="17" s="1"/>
  <c r="J320" i="17"/>
  <c r="I320" i="17"/>
  <c r="K320" i="17" s="1"/>
  <c r="J319" i="17"/>
  <c r="I319" i="17"/>
  <c r="K319" i="17" s="1"/>
  <c r="J318" i="17"/>
  <c r="I318" i="17"/>
  <c r="K318" i="17" s="1"/>
  <c r="J317" i="17"/>
  <c r="I317" i="17"/>
  <c r="K317" i="17" s="1"/>
  <c r="J316" i="17"/>
  <c r="I316" i="17"/>
  <c r="K316" i="17" s="1"/>
  <c r="J315" i="17"/>
  <c r="I315" i="17"/>
  <c r="K315" i="17" s="1"/>
  <c r="J314" i="17"/>
  <c r="I314" i="17"/>
  <c r="K314" i="17" s="1"/>
  <c r="J313" i="17"/>
  <c r="I313" i="17"/>
  <c r="K313" i="17" s="1"/>
  <c r="J312" i="17"/>
  <c r="I312" i="17"/>
  <c r="K312" i="17" s="1"/>
  <c r="J311" i="17"/>
  <c r="I311" i="17"/>
  <c r="K311" i="17" s="1"/>
  <c r="J310" i="17"/>
  <c r="I310" i="17"/>
  <c r="K310" i="17" s="1"/>
  <c r="J309" i="17"/>
  <c r="I309" i="17"/>
  <c r="K309" i="17" s="1"/>
  <c r="J308" i="17"/>
  <c r="I308" i="17"/>
  <c r="K308" i="17" s="1"/>
  <c r="L308" i="17" s="1"/>
  <c r="J307" i="17"/>
  <c r="I307" i="17"/>
  <c r="K307" i="17" s="1"/>
  <c r="J306" i="17"/>
  <c r="I306" i="17"/>
  <c r="K306" i="17" s="1"/>
  <c r="J305" i="17"/>
  <c r="I305" i="17"/>
  <c r="K305" i="17" s="1"/>
  <c r="J304" i="17"/>
  <c r="I304" i="17"/>
  <c r="K304" i="17" s="1"/>
  <c r="L304" i="17" s="1"/>
  <c r="J303" i="17"/>
  <c r="I303" i="17"/>
  <c r="K303" i="17" s="1"/>
  <c r="J302" i="17"/>
  <c r="I302" i="17"/>
  <c r="K302" i="17" s="1"/>
  <c r="J301" i="17"/>
  <c r="I301" i="17"/>
  <c r="K301" i="17" s="1"/>
  <c r="J300" i="17"/>
  <c r="I300" i="17"/>
  <c r="K300" i="17" s="1"/>
  <c r="L300" i="17" s="1"/>
  <c r="J299" i="17"/>
  <c r="I299" i="17"/>
  <c r="K299" i="17" s="1"/>
  <c r="J298" i="17"/>
  <c r="I298" i="17"/>
  <c r="K298" i="17" s="1"/>
  <c r="J297" i="17"/>
  <c r="I297" i="17"/>
  <c r="K297" i="17" s="1"/>
  <c r="J296" i="17"/>
  <c r="I296" i="17"/>
  <c r="K296" i="17" s="1"/>
  <c r="L296" i="17" s="1"/>
  <c r="J295" i="17"/>
  <c r="I295" i="17"/>
  <c r="K295" i="17" s="1"/>
  <c r="J294" i="17"/>
  <c r="I294" i="17"/>
  <c r="K294" i="17" s="1"/>
  <c r="J293" i="17"/>
  <c r="I293" i="17"/>
  <c r="K293" i="17" s="1"/>
  <c r="J292" i="17"/>
  <c r="I292" i="17"/>
  <c r="K292" i="17" s="1"/>
  <c r="L292" i="17" s="1"/>
  <c r="J291" i="17"/>
  <c r="I291" i="17"/>
  <c r="K291" i="17" s="1"/>
  <c r="J290" i="17"/>
  <c r="I290" i="17"/>
  <c r="K290" i="17" s="1"/>
  <c r="J289" i="17"/>
  <c r="I289" i="17"/>
  <c r="K289" i="17" s="1"/>
  <c r="J288" i="17"/>
  <c r="I288" i="17"/>
  <c r="K288" i="17" s="1"/>
  <c r="J287" i="17"/>
  <c r="I287" i="17"/>
  <c r="K287" i="17" s="1"/>
  <c r="J286" i="17"/>
  <c r="I286" i="17"/>
  <c r="K286" i="17" s="1"/>
  <c r="L286" i="17" s="1"/>
  <c r="J285" i="17"/>
  <c r="I285" i="17"/>
  <c r="K285" i="17" s="1"/>
  <c r="J284" i="17"/>
  <c r="I284" i="17"/>
  <c r="K284" i="17" s="1"/>
  <c r="L284" i="17" s="1"/>
  <c r="J283" i="17"/>
  <c r="I283" i="17"/>
  <c r="K283" i="17" s="1"/>
  <c r="J282" i="17"/>
  <c r="I282" i="17"/>
  <c r="K282" i="17" s="1"/>
  <c r="J281" i="17"/>
  <c r="I281" i="17"/>
  <c r="K281" i="17" s="1"/>
  <c r="J280" i="17"/>
  <c r="I280" i="17"/>
  <c r="K280" i="17" s="1"/>
  <c r="L280" i="17" s="1"/>
  <c r="J279" i="17"/>
  <c r="I279" i="17"/>
  <c r="K279" i="17" s="1"/>
  <c r="J278" i="17"/>
  <c r="I278" i="17"/>
  <c r="K278" i="17" s="1"/>
  <c r="J277" i="17"/>
  <c r="I277" i="17"/>
  <c r="K277" i="17" s="1"/>
  <c r="J276" i="17"/>
  <c r="I276" i="17"/>
  <c r="K276" i="17" s="1"/>
  <c r="L276" i="17" s="1"/>
  <c r="J275" i="17"/>
  <c r="I275" i="17"/>
  <c r="K275" i="17" s="1"/>
  <c r="J274" i="17"/>
  <c r="I274" i="17"/>
  <c r="K274" i="17" s="1"/>
  <c r="J273" i="17"/>
  <c r="I273" i="17"/>
  <c r="K273" i="17" s="1"/>
  <c r="J272" i="17"/>
  <c r="I272" i="17"/>
  <c r="K272" i="17" s="1"/>
  <c r="L272" i="17" s="1"/>
  <c r="J271" i="17"/>
  <c r="I271" i="17"/>
  <c r="K271" i="17" s="1"/>
  <c r="J270" i="17"/>
  <c r="I270" i="17"/>
  <c r="K270" i="17" s="1"/>
  <c r="J269" i="17"/>
  <c r="I269" i="17"/>
  <c r="K269" i="17" s="1"/>
  <c r="J268" i="17"/>
  <c r="I268" i="17"/>
  <c r="K268" i="17" s="1"/>
  <c r="L268" i="17" s="1"/>
  <c r="J267" i="17"/>
  <c r="I267" i="17"/>
  <c r="K267" i="17" s="1"/>
  <c r="J266" i="17"/>
  <c r="I266" i="17"/>
  <c r="K266" i="17" s="1"/>
  <c r="J265" i="17"/>
  <c r="I265" i="17"/>
  <c r="K265" i="17" s="1"/>
  <c r="J264" i="17"/>
  <c r="I264" i="17"/>
  <c r="K264" i="17" s="1"/>
  <c r="L264" i="17" s="1"/>
  <c r="J263" i="17"/>
  <c r="I263" i="17"/>
  <c r="K263" i="17" s="1"/>
  <c r="J262" i="17"/>
  <c r="I262" i="17"/>
  <c r="K262" i="17" s="1"/>
  <c r="L262" i="17" s="1"/>
  <c r="J261" i="17"/>
  <c r="I261" i="17"/>
  <c r="K261" i="17" s="1"/>
  <c r="J260" i="17"/>
  <c r="I260" i="17"/>
  <c r="K260" i="17" s="1"/>
  <c r="J259" i="17"/>
  <c r="I259" i="17"/>
  <c r="K259" i="17" s="1"/>
  <c r="J258" i="17"/>
  <c r="I258" i="17"/>
  <c r="K258" i="17" s="1"/>
  <c r="J257" i="17"/>
  <c r="I257" i="17"/>
  <c r="K257" i="17" s="1"/>
  <c r="J256" i="17"/>
  <c r="I256" i="17"/>
  <c r="K256" i="17" s="1"/>
  <c r="J255" i="17"/>
  <c r="I255" i="17"/>
  <c r="K255" i="17" s="1"/>
  <c r="J254" i="17"/>
  <c r="I254" i="17"/>
  <c r="K254" i="17" s="1"/>
  <c r="L254" i="17" s="1"/>
  <c r="J253" i="17"/>
  <c r="I253" i="17"/>
  <c r="K253" i="17" s="1"/>
  <c r="K252" i="17"/>
  <c r="J252" i="17"/>
  <c r="I252" i="17"/>
  <c r="J251" i="17"/>
  <c r="I251" i="17"/>
  <c r="K251" i="17" s="1"/>
  <c r="J250" i="17"/>
  <c r="I250" i="17"/>
  <c r="K250" i="17" s="1"/>
  <c r="J249" i="17"/>
  <c r="I249" i="17"/>
  <c r="K249" i="17" s="1"/>
  <c r="J248" i="17"/>
  <c r="I248" i="17"/>
  <c r="K248" i="17" s="1"/>
  <c r="J247" i="17"/>
  <c r="I247" i="17"/>
  <c r="K247" i="17" s="1"/>
  <c r="J246" i="17"/>
  <c r="I246" i="17"/>
  <c r="K246" i="17" s="1"/>
  <c r="J245" i="17"/>
  <c r="I245" i="17"/>
  <c r="K245" i="17" s="1"/>
  <c r="J244" i="17"/>
  <c r="I244" i="17"/>
  <c r="K244" i="17" s="1"/>
  <c r="J243" i="17"/>
  <c r="I243" i="17"/>
  <c r="K243" i="17" s="1"/>
  <c r="J242" i="17"/>
  <c r="I242" i="17"/>
  <c r="K242" i="17" s="1"/>
  <c r="J241" i="17"/>
  <c r="I241" i="17"/>
  <c r="K241" i="17" s="1"/>
  <c r="J240" i="17"/>
  <c r="I240" i="17"/>
  <c r="K240" i="17" s="1"/>
  <c r="J239" i="17"/>
  <c r="I239" i="17"/>
  <c r="K239" i="17" s="1"/>
  <c r="J238" i="17"/>
  <c r="I238" i="17"/>
  <c r="K238" i="17" s="1"/>
  <c r="J237" i="17"/>
  <c r="I237" i="17"/>
  <c r="K237" i="17" s="1"/>
  <c r="L237" i="17" s="1"/>
  <c r="J236" i="17"/>
  <c r="I236" i="17"/>
  <c r="K236" i="17" s="1"/>
  <c r="J235" i="17"/>
  <c r="I235" i="17"/>
  <c r="K235" i="17" s="1"/>
  <c r="J234" i="17"/>
  <c r="I234" i="17"/>
  <c r="K234" i="17" s="1"/>
  <c r="J233" i="17"/>
  <c r="I233" i="17"/>
  <c r="K233" i="17" s="1"/>
  <c r="L233" i="17" s="1"/>
  <c r="J232" i="17"/>
  <c r="I232" i="17"/>
  <c r="K232" i="17" s="1"/>
  <c r="J231" i="17"/>
  <c r="I231" i="17"/>
  <c r="K231" i="17" s="1"/>
  <c r="J230" i="17"/>
  <c r="I230" i="17"/>
  <c r="K230" i="17" s="1"/>
  <c r="J229" i="17"/>
  <c r="I229" i="17"/>
  <c r="K229" i="17" s="1"/>
  <c r="K228" i="17"/>
  <c r="J228" i="17"/>
  <c r="I228" i="17"/>
  <c r="J227" i="17"/>
  <c r="I227" i="17"/>
  <c r="K227" i="17" s="1"/>
  <c r="L227" i="17" s="1"/>
  <c r="J226" i="17"/>
  <c r="I226" i="17"/>
  <c r="K226" i="17" s="1"/>
  <c r="J225" i="17"/>
  <c r="I225" i="17"/>
  <c r="K225" i="17" s="1"/>
  <c r="J224" i="17"/>
  <c r="I224" i="17"/>
  <c r="K224" i="17" s="1"/>
  <c r="J223" i="17"/>
  <c r="I223" i="17"/>
  <c r="K223" i="17" s="1"/>
  <c r="L223" i="17" s="1"/>
  <c r="J222" i="17"/>
  <c r="I222" i="17"/>
  <c r="K222" i="17" s="1"/>
  <c r="J221" i="17"/>
  <c r="I221" i="17"/>
  <c r="K221" i="17" s="1"/>
  <c r="J220" i="17"/>
  <c r="I220" i="17"/>
  <c r="K220" i="17" s="1"/>
  <c r="J219" i="17"/>
  <c r="I219" i="17"/>
  <c r="K219" i="17" s="1"/>
  <c r="L219" i="17" s="1"/>
  <c r="J218" i="17"/>
  <c r="I218" i="17"/>
  <c r="K218" i="17" s="1"/>
  <c r="J217" i="17"/>
  <c r="I217" i="17"/>
  <c r="K217" i="17" s="1"/>
  <c r="J216" i="17"/>
  <c r="I216" i="17"/>
  <c r="K216" i="17" s="1"/>
  <c r="J215" i="17"/>
  <c r="I215" i="17"/>
  <c r="K215" i="17" s="1"/>
  <c r="J214" i="17"/>
  <c r="I214" i="17"/>
  <c r="K214" i="17" s="1"/>
  <c r="J213" i="17"/>
  <c r="I213" i="17"/>
  <c r="K213" i="17" s="1"/>
  <c r="J212" i="17"/>
  <c r="I212" i="17"/>
  <c r="K212" i="17" s="1"/>
  <c r="J211" i="17"/>
  <c r="I211" i="17"/>
  <c r="K211" i="17" s="1"/>
  <c r="J210" i="17"/>
  <c r="I210" i="17"/>
  <c r="K210" i="17" s="1"/>
  <c r="J209" i="17"/>
  <c r="I209" i="17"/>
  <c r="K209" i="17" s="1"/>
  <c r="J208" i="17"/>
  <c r="I208" i="17"/>
  <c r="K208" i="17" s="1"/>
  <c r="J207" i="17"/>
  <c r="I207" i="17"/>
  <c r="K207" i="17" s="1"/>
  <c r="L207" i="17" s="1"/>
  <c r="J206" i="17"/>
  <c r="I206" i="17"/>
  <c r="K206" i="17" s="1"/>
  <c r="J205" i="17"/>
  <c r="I205" i="17"/>
  <c r="K205" i="17" s="1"/>
  <c r="J204" i="17"/>
  <c r="I204" i="17"/>
  <c r="K204" i="17" s="1"/>
  <c r="J203" i="17"/>
  <c r="I203" i="17"/>
  <c r="K203" i="17" s="1"/>
  <c r="J202" i="17"/>
  <c r="I202" i="17"/>
  <c r="K202" i="17" s="1"/>
  <c r="J201" i="17"/>
  <c r="I201" i="17"/>
  <c r="K201" i="17" s="1"/>
  <c r="J200" i="17"/>
  <c r="I200" i="17"/>
  <c r="K200" i="17" s="1"/>
  <c r="J199" i="17"/>
  <c r="I199" i="17"/>
  <c r="K199" i="17" s="1"/>
  <c r="J198" i="17"/>
  <c r="I198" i="17"/>
  <c r="K198" i="17" s="1"/>
  <c r="J197" i="17"/>
  <c r="I197" i="17"/>
  <c r="K197" i="17" s="1"/>
  <c r="J196" i="17"/>
  <c r="I196" i="17"/>
  <c r="K196" i="17" s="1"/>
  <c r="J195" i="17"/>
  <c r="I195" i="17"/>
  <c r="K195" i="17" s="1"/>
  <c r="J194" i="17"/>
  <c r="I194" i="17"/>
  <c r="K194" i="17" s="1"/>
  <c r="J193" i="17"/>
  <c r="I193" i="17"/>
  <c r="K193" i="17" s="1"/>
  <c r="J192" i="17"/>
  <c r="I192" i="17"/>
  <c r="K192" i="17" s="1"/>
  <c r="L192" i="17" s="1"/>
  <c r="J191" i="17"/>
  <c r="I191" i="17"/>
  <c r="K191" i="17" s="1"/>
  <c r="J190" i="17"/>
  <c r="I190" i="17"/>
  <c r="K190" i="17" s="1"/>
  <c r="J189" i="17"/>
  <c r="I189" i="17"/>
  <c r="K189" i="17" s="1"/>
  <c r="J188" i="17"/>
  <c r="I188" i="17"/>
  <c r="K188" i="17" s="1"/>
  <c r="J187" i="17"/>
  <c r="I187" i="17"/>
  <c r="K187" i="17" s="1"/>
  <c r="J186" i="17"/>
  <c r="I186" i="17"/>
  <c r="K186" i="17" s="1"/>
  <c r="J185" i="17"/>
  <c r="I185" i="17"/>
  <c r="K185" i="17" s="1"/>
  <c r="J184" i="17"/>
  <c r="I184" i="17"/>
  <c r="K184" i="17" s="1"/>
  <c r="L184" i="17" s="1"/>
  <c r="J183" i="17"/>
  <c r="I183" i="17"/>
  <c r="K183" i="17" s="1"/>
  <c r="J182" i="17"/>
  <c r="I182" i="17"/>
  <c r="K182" i="17" s="1"/>
  <c r="J181" i="17"/>
  <c r="I181" i="17"/>
  <c r="K181" i="17" s="1"/>
  <c r="L181" i="17" s="1"/>
  <c r="J180" i="17"/>
  <c r="I180" i="17"/>
  <c r="K180" i="17" s="1"/>
  <c r="J179" i="17"/>
  <c r="I179" i="17"/>
  <c r="K179" i="17" s="1"/>
  <c r="J178" i="17"/>
  <c r="I178" i="17"/>
  <c r="K178" i="17" s="1"/>
  <c r="J177" i="17"/>
  <c r="I177" i="17"/>
  <c r="K177" i="17" s="1"/>
  <c r="J176" i="17"/>
  <c r="I176" i="17"/>
  <c r="K176" i="17" s="1"/>
  <c r="L176" i="17" s="1"/>
  <c r="J175" i="17"/>
  <c r="I175" i="17"/>
  <c r="K175" i="17" s="1"/>
  <c r="J174" i="17"/>
  <c r="I174" i="17"/>
  <c r="K174" i="17" s="1"/>
  <c r="J173" i="17"/>
  <c r="I173" i="17"/>
  <c r="K173" i="17" s="1"/>
  <c r="L173" i="17" s="1"/>
  <c r="J172" i="17"/>
  <c r="I172" i="17"/>
  <c r="K172" i="17" s="1"/>
  <c r="L172" i="17" s="1"/>
  <c r="J171" i="17"/>
  <c r="I171" i="17"/>
  <c r="K171" i="17" s="1"/>
  <c r="J170" i="17"/>
  <c r="I170" i="17"/>
  <c r="K170" i="17" s="1"/>
  <c r="J169" i="17"/>
  <c r="I169" i="17"/>
  <c r="K169" i="17" s="1"/>
  <c r="J168" i="17"/>
  <c r="I168" i="17"/>
  <c r="K168" i="17" s="1"/>
  <c r="L168" i="17" s="1"/>
  <c r="J167" i="17"/>
  <c r="I167" i="17"/>
  <c r="K167" i="17" s="1"/>
  <c r="J166" i="17"/>
  <c r="I166" i="17"/>
  <c r="K166" i="17" s="1"/>
  <c r="J165" i="17"/>
  <c r="I165" i="17"/>
  <c r="K165" i="17" s="1"/>
  <c r="J164" i="17"/>
  <c r="I164" i="17"/>
  <c r="K164" i="17" s="1"/>
  <c r="J163" i="17"/>
  <c r="I163" i="17"/>
  <c r="K163" i="17" s="1"/>
  <c r="J162" i="17"/>
  <c r="I162" i="17"/>
  <c r="K162" i="17" s="1"/>
  <c r="J161" i="17"/>
  <c r="I161" i="17"/>
  <c r="K161" i="17" s="1"/>
  <c r="K160" i="17"/>
  <c r="L160" i="17" s="1"/>
  <c r="J160" i="17"/>
  <c r="I160" i="17"/>
  <c r="J159" i="17"/>
  <c r="I159" i="17"/>
  <c r="K159" i="17" s="1"/>
  <c r="J158" i="17"/>
  <c r="I158" i="17"/>
  <c r="K158" i="17" s="1"/>
  <c r="K157" i="17"/>
  <c r="J157" i="17"/>
  <c r="I157" i="17"/>
  <c r="J156" i="17"/>
  <c r="I156" i="17"/>
  <c r="K156" i="17" s="1"/>
  <c r="J155" i="17"/>
  <c r="I155" i="17"/>
  <c r="K155" i="17" s="1"/>
  <c r="J154" i="17"/>
  <c r="I154" i="17"/>
  <c r="K154" i="17" s="1"/>
  <c r="J153" i="17"/>
  <c r="I153" i="17"/>
  <c r="K153" i="17" s="1"/>
  <c r="J152" i="17"/>
  <c r="I152" i="17"/>
  <c r="K152" i="17" s="1"/>
  <c r="J151" i="17"/>
  <c r="I151" i="17"/>
  <c r="K151" i="17" s="1"/>
  <c r="J150" i="17"/>
  <c r="I150" i="17"/>
  <c r="K150" i="17" s="1"/>
  <c r="L150" i="17" s="1"/>
  <c r="J149" i="17"/>
  <c r="I149" i="17"/>
  <c r="K149" i="17" s="1"/>
  <c r="J148" i="17"/>
  <c r="I148" i="17"/>
  <c r="K148" i="17" s="1"/>
  <c r="J147" i="17"/>
  <c r="I147" i="17"/>
  <c r="K147" i="17" s="1"/>
  <c r="J146" i="17"/>
  <c r="I146" i="17"/>
  <c r="K146" i="17" s="1"/>
  <c r="L146" i="17" s="1"/>
  <c r="J145" i="17"/>
  <c r="I145" i="17"/>
  <c r="K145" i="17" s="1"/>
  <c r="J144" i="17"/>
  <c r="I144" i="17"/>
  <c r="K144" i="17" s="1"/>
  <c r="L144" i="17" s="1"/>
  <c r="J143" i="17"/>
  <c r="I143" i="17"/>
  <c r="K143" i="17" s="1"/>
  <c r="J142" i="17"/>
  <c r="I142" i="17"/>
  <c r="K142" i="17" s="1"/>
  <c r="L142" i="17" s="1"/>
  <c r="J141" i="17"/>
  <c r="I141" i="17"/>
  <c r="K141" i="17" s="1"/>
  <c r="J140" i="17"/>
  <c r="I140" i="17"/>
  <c r="K140" i="17" s="1"/>
  <c r="J139" i="17"/>
  <c r="I139" i="17"/>
  <c r="K139" i="17" s="1"/>
  <c r="J138" i="17"/>
  <c r="I138" i="17"/>
  <c r="K138" i="17" s="1"/>
  <c r="J137" i="17"/>
  <c r="I137" i="17"/>
  <c r="K137" i="17" s="1"/>
  <c r="J136" i="17"/>
  <c r="I136" i="17"/>
  <c r="K136" i="17" s="1"/>
  <c r="J135" i="17"/>
  <c r="I135" i="17"/>
  <c r="K135" i="17" s="1"/>
  <c r="J134" i="17"/>
  <c r="I134" i="17"/>
  <c r="K134" i="17" s="1"/>
  <c r="J133" i="17"/>
  <c r="I133" i="17"/>
  <c r="K133" i="17" s="1"/>
  <c r="J132" i="17"/>
  <c r="I132" i="17"/>
  <c r="K132" i="17" s="1"/>
  <c r="J131" i="17"/>
  <c r="I131" i="17"/>
  <c r="K131" i="17" s="1"/>
  <c r="J130" i="17"/>
  <c r="I130" i="17"/>
  <c r="K130" i="17" s="1"/>
  <c r="L130" i="17" s="1"/>
  <c r="J129" i="17"/>
  <c r="I129" i="17"/>
  <c r="K129" i="17" s="1"/>
  <c r="J128" i="17"/>
  <c r="I128" i="17"/>
  <c r="K128" i="17" s="1"/>
  <c r="J127" i="17"/>
  <c r="I127" i="17"/>
  <c r="K127" i="17" s="1"/>
  <c r="L127" i="17" s="1"/>
  <c r="J126" i="17"/>
  <c r="I126" i="17"/>
  <c r="K126" i="17" s="1"/>
  <c r="L126" i="17" s="1"/>
  <c r="J125" i="17"/>
  <c r="I125" i="17"/>
  <c r="K125" i="17" s="1"/>
  <c r="J124" i="17"/>
  <c r="I124" i="17"/>
  <c r="K124" i="17" s="1"/>
  <c r="J123" i="17"/>
  <c r="I123" i="17"/>
  <c r="K123" i="17" s="1"/>
  <c r="J122" i="17"/>
  <c r="I122" i="17"/>
  <c r="K122" i="17" s="1"/>
  <c r="J121" i="17"/>
  <c r="I121" i="17"/>
  <c r="K121" i="17" s="1"/>
  <c r="J120" i="17"/>
  <c r="I120" i="17"/>
  <c r="K120" i="17" s="1"/>
  <c r="J119" i="17"/>
  <c r="I119" i="17"/>
  <c r="K119" i="17" s="1"/>
  <c r="J118" i="17"/>
  <c r="I118" i="17"/>
  <c r="K118" i="17" s="1"/>
  <c r="J117" i="17"/>
  <c r="I117" i="17"/>
  <c r="K117" i="17" s="1"/>
  <c r="J116" i="17"/>
  <c r="I116" i="17"/>
  <c r="K116" i="17" s="1"/>
  <c r="J115" i="17"/>
  <c r="I115" i="17"/>
  <c r="K115" i="17" s="1"/>
  <c r="J114" i="17"/>
  <c r="I114" i="17"/>
  <c r="K114" i="17" s="1"/>
  <c r="J113" i="17"/>
  <c r="I113" i="17"/>
  <c r="K113" i="17" s="1"/>
  <c r="J112" i="17"/>
  <c r="I112" i="17"/>
  <c r="K112" i="17" s="1"/>
  <c r="L112" i="17" s="1"/>
  <c r="J111" i="17"/>
  <c r="I111" i="17"/>
  <c r="K111" i="17" s="1"/>
  <c r="J110" i="17"/>
  <c r="I110" i="17"/>
  <c r="K110" i="17" s="1"/>
  <c r="J109" i="17"/>
  <c r="I109" i="17"/>
  <c r="K109" i="17" s="1"/>
  <c r="J108" i="17"/>
  <c r="I108" i="17"/>
  <c r="K108" i="17" s="1"/>
  <c r="J107" i="17"/>
  <c r="I107" i="17"/>
  <c r="K107" i="17" s="1"/>
  <c r="J106" i="17"/>
  <c r="I106" i="17"/>
  <c r="K106" i="17" s="1"/>
  <c r="J105" i="17"/>
  <c r="I105" i="17"/>
  <c r="K105" i="17" s="1"/>
  <c r="L105" i="17" s="1"/>
  <c r="J104" i="17"/>
  <c r="I104" i="17"/>
  <c r="K104" i="17" s="1"/>
  <c r="J103" i="17"/>
  <c r="I103" i="17"/>
  <c r="K103" i="17" s="1"/>
  <c r="J102" i="17"/>
  <c r="I102" i="17"/>
  <c r="K102" i="17" s="1"/>
  <c r="J101" i="17"/>
  <c r="I101" i="17"/>
  <c r="K101" i="17" s="1"/>
  <c r="L101" i="17" s="1"/>
  <c r="J100" i="17"/>
  <c r="I100" i="17"/>
  <c r="K100" i="17" s="1"/>
  <c r="J99" i="17"/>
  <c r="I99" i="17"/>
  <c r="K99" i="17" s="1"/>
  <c r="J98" i="17"/>
  <c r="I98" i="17"/>
  <c r="K98" i="17" s="1"/>
  <c r="L98" i="17" s="1"/>
  <c r="J97" i="17"/>
  <c r="I97" i="17"/>
  <c r="K97" i="17" s="1"/>
  <c r="L97" i="17" s="1"/>
  <c r="J96" i="17"/>
  <c r="I96" i="17"/>
  <c r="K96" i="17" s="1"/>
  <c r="J95" i="17"/>
  <c r="I95" i="17"/>
  <c r="K95" i="17" s="1"/>
  <c r="J94" i="17"/>
  <c r="I94" i="17"/>
  <c r="K94" i="17" s="1"/>
  <c r="J93" i="17"/>
  <c r="I93" i="17"/>
  <c r="K93" i="17" s="1"/>
  <c r="J92" i="17"/>
  <c r="I92" i="17"/>
  <c r="K92" i="17" s="1"/>
  <c r="J91" i="17"/>
  <c r="I91" i="17"/>
  <c r="K91" i="17" s="1"/>
  <c r="L91" i="17" s="1"/>
  <c r="J90" i="17"/>
  <c r="I90" i="17"/>
  <c r="K90" i="17" s="1"/>
  <c r="J89" i="17"/>
  <c r="I89" i="17"/>
  <c r="K89" i="17" s="1"/>
  <c r="J88" i="17"/>
  <c r="I88" i="17"/>
  <c r="K88" i="17" s="1"/>
  <c r="J87" i="17"/>
  <c r="I87" i="17"/>
  <c r="K87" i="17" s="1"/>
  <c r="J86" i="17"/>
  <c r="I86" i="17"/>
  <c r="K86" i="17" s="1"/>
  <c r="J85" i="17"/>
  <c r="I85" i="17"/>
  <c r="K85" i="17" s="1"/>
  <c r="L85" i="17" s="1"/>
  <c r="J84" i="17"/>
  <c r="I84" i="17"/>
  <c r="K84" i="17" s="1"/>
  <c r="J83" i="17"/>
  <c r="I83" i="17"/>
  <c r="K83" i="17" s="1"/>
  <c r="L83" i="17" s="1"/>
  <c r="J82" i="17"/>
  <c r="I82" i="17"/>
  <c r="K82" i="17" s="1"/>
  <c r="L82" i="17" s="1"/>
  <c r="J81" i="17"/>
  <c r="I81" i="17"/>
  <c r="K81" i="17" s="1"/>
  <c r="J80" i="17"/>
  <c r="I80" i="17"/>
  <c r="K80" i="17" s="1"/>
  <c r="J79" i="17"/>
  <c r="I79" i="17"/>
  <c r="K79" i="17" s="1"/>
  <c r="L79" i="17" s="1"/>
  <c r="V81" i="17" s="1"/>
  <c r="J78" i="17"/>
  <c r="I78" i="17"/>
  <c r="K78" i="17" s="1"/>
  <c r="L78" i="17" s="1"/>
  <c r="J77" i="17"/>
  <c r="I77" i="17"/>
  <c r="K77" i="17" s="1"/>
  <c r="L77" i="17" s="1"/>
  <c r="V79" i="17" s="1"/>
  <c r="J76" i="17"/>
  <c r="I76" i="17"/>
  <c r="K76" i="17" s="1"/>
  <c r="J75" i="17"/>
  <c r="I75" i="17"/>
  <c r="K75" i="17" s="1"/>
  <c r="L75" i="17" s="1"/>
  <c r="V77" i="17" s="1"/>
  <c r="J74" i="17"/>
  <c r="I74" i="17"/>
  <c r="K74" i="17" s="1"/>
  <c r="L74" i="17" s="1"/>
  <c r="J73" i="17"/>
  <c r="I73" i="17"/>
  <c r="K73" i="17" s="1"/>
  <c r="L73" i="17" s="1"/>
  <c r="V75" i="17" s="1"/>
  <c r="J72" i="17"/>
  <c r="I72" i="17"/>
  <c r="K72" i="17" s="1"/>
  <c r="L72" i="17" s="1"/>
  <c r="J71" i="17"/>
  <c r="I71" i="17"/>
  <c r="K71" i="17" s="1"/>
  <c r="J70" i="17"/>
  <c r="I70" i="17"/>
  <c r="K70" i="17" s="1"/>
  <c r="J69" i="17"/>
  <c r="I69" i="17"/>
  <c r="K69" i="17" s="1"/>
  <c r="J68" i="17"/>
  <c r="I68" i="17"/>
  <c r="K68" i="17" s="1"/>
  <c r="L68" i="17" s="1"/>
  <c r="V70" i="17" s="1"/>
  <c r="J67" i="17"/>
  <c r="I67" i="17"/>
  <c r="K67" i="17" s="1"/>
  <c r="J66" i="17"/>
  <c r="I66" i="17"/>
  <c r="K66" i="17" s="1"/>
  <c r="J65" i="17"/>
  <c r="I65" i="17"/>
  <c r="K65" i="17" s="1"/>
  <c r="J64" i="17"/>
  <c r="I64" i="17"/>
  <c r="K64" i="17" s="1"/>
  <c r="L64" i="17" s="1"/>
  <c r="J63" i="17"/>
  <c r="I63" i="17"/>
  <c r="K63" i="17" s="1"/>
  <c r="J62" i="17"/>
  <c r="I62" i="17"/>
  <c r="K62" i="17" s="1"/>
  <c r="L62" i="17" s="1"/>
  <c r="J61" i="17"/>
  <c r="I61" i="17"/>
  <c r="K61" i="17" s="1"/>
  <c r="J60" i="17"/>
  <c r="I60" i="17"/>
  <c r="K60" i="17" s="1"/>
  <c r="J59" i="17"/>
  <c r="I59" i="17"/>
  <c r="K59" i="17" s="1"/>
  <c r="J58" i="17"/>
  <c r="I58" i="17"/>
  <c r="K58" i="17" s="1"/>
  <c r="L58" i="17" s="1"/>
  <c r="J57" i="17"/>
  <c r="I57" i="17"/>
  <c r="K57" i="17" s="1"/>
  <c r="J56" i="17"/>
  <c r="I56" i="17"/>
  <c r="K56" i="17" s="1"/>
  <c r="L56" i="17" s="1"/>
  <c r="J55" i="17"/>
  <c r="I55" i="17"/>
  <c r="K55" i="17" s="1"/>
  <c r="L55" i="17" s="1"/>
  <c r="J54" i="17"/>
  <c r="I54" i="17"/>
  <c r="K54" i="17" s="1"/>
  <c r="J53" i="17"/>
  <c r="I53" i="17"/>
  <c r="K53" i="17" s="1"/>
  <c r="J52" i="17"/>
  <c r="I52" i="17"/>
  <c r="K52" i="17" s="1"/>
  <c r="J51" i="17"/>
  <c r="I51" i="17"/>
  <c r="K51" i="17" s="1"/>
  <c r="J50" i="17"/>
  <c r="I50" i="17"/>
  <c r="K50" i="17" s="1"/>
  <c r="J49" i="17"/>
  <c r="I49" i="17"/>
  <c r="K49" i="17" s="1"/>
  <c r="J48" i="17"/>
  <c r="I48" i="17"/>
  <c r="K48" i="17" s="1"/>
  <c r="J47" i="17"/>
  <c r="I47" i="17"/>
  <c r="K47" i="17" s="1"/>
  <c r="J46" i="17"/>
  <c r="I46" i="17"/>
  <c r="K46" i="17" s="1"/>
  <c r="J45" i="17"/>
  <c r="I45" i="17"/>
  <c r="K45" i="17" s="1"/>
  <c r="J44" i="17"/>
  <c r="I44" i="17"/>
  <c r="K44" i="17" s="1"/>
  <c r="J43" i="17"/>
  <c r="I43" i="17"/>
  <c r="K43" i="17" s="1"/>
  <c r="J42" i="17"/>
  <c r="I42" i="17"/>
  <c r="K42" i="17" s="1"/>
  <c r="J41" i="17"/>
  <c r="I41" i="17"/>
  <c r="K41" i="17" s="1"/>
  <c r="L41" i="17" s="1"/>
  <c r="J40" i="17"/>
  <c r="I40" i="17"/>
  <c r="K40" i="17" s="1"/>
  <c r="J39" i="17"/>
  <c r="I39" i="17"/>
  <c r="K39" i="17" s="1"/>
  <c r="J38" i="17"/>
  <c r="I38" i="17"/>
  <c r="K38" i="17" s="1"/>
  <c r="L38" i="17" s="1"/>
  <c r="J37" i="17"/>
  <c r="I37" i="17"/>
  <c r="K37" i="17" s="1"/>
  <c r="L37" i="17" s="1"/>
  <c r="J36" i="17"/>
  <c r="I36" i="17"/>
  <c r="K36" i="17" s="1"/>
  <c r="J35" i="17"/>
  <c r="I35" i="17"/>
  <c r="K35" i="17" s="1"/>
  <c r="J34" i="17"/>
  <c r="I34" i="17"/>
  <c r="K34" i="17" s="1"/>
  <c r="J33" i="17"/>
  <c r="I33" i="17"/>
  <c r="K33" i="17" s="1"/>
  <c r="J32" i="17"/>
  <c r="I32" i="17"/>
  <c r="K32" i="17" s="1"/>
  <c r="J31" i="17"/>
  <c r="I31" i="17"/>
  <c r="K31" i="17" s="1"/>
  <c r="J30" i="17"/>
  <c r="I30" i="17"/>
  <c r="K30" i="17" s="1"/>
  <c r="J29" i="17"/>
  <c r="I29" i="17"/>
  <c r="K29" i="17" s="1"/>
  <c r="L29" i="17" s="1"/>
  <c r="J28" i="17"/>
  <c r="I28" i="17"/>
  <c r="K28" i="17" s="1"/>
  <c r="J27" i="17"/>
  <c r="I27" i="17"/>
  <c r="K27" i="17" s="1"/>
  <c r="J26" i="17"/>
  <c r="I26" i="17"/>
  <c r="K26" i="17" s="1"/>
  <c r="J25" i="17"/>
  <c r="I25" i="17"/>
  <c r="K25" i="17" s="1"/>
  <c r="J24" i="17"/>
  <c r="I24" i="17"/>
  <c r="K24" i="17" s="1"/>
  <c r="J23" i="17"/>
  <c r="I23" i="17"/>
  <c r="K23" i="17" s="1"/>
  <c r="J22" i="17"/>
  <c r="I22" i="17"/>
  <c r="K22" i="17" s="1"/>
  <c r="J21" i="17"/>
  <c r="I21" i="17"/>
  <c r="K21" i="17" s="1"/>
  <c r="J20" i="17"/>
  <c r="I20" i="17"/>
  <c r="K20" i="17" s="1"/>
  <c r="L20" i="17" s="1"/>
  <c r="J19" i="17"/>
  <c r="I19" i="17"/>
  <c r="K19" i="17" s="1"/>
  <c r="J18" i="17"/>
  <c r="I18" i="17"/>
  <c r="K18" i="17" s="1"/>
  <c r="L18" i="17" s="1"/>
  <c r="J17" i="17"/>
  <c r="I17" i="17"/>
  <c r="K17" i="17" s="1"/>
  <c r="J16" i="17"/>
  <c r="I16" i="17"/>
  <c r="K16" i="17" s="1"/>
  <c r="J15" i="17"/>
  <c r="I15" i="17"/>
  <c r="K15" i="17" s="1"/>
  <c r="J14" i="17"/>
  <c r="I14" i="17"/>
  <c r="K14" i="17" s="1"/>
  <c r="J13" i="17"/>
  <c r="I13" i="17"/>
  <c r="K13" i="17" s="1"/>
  <c r="J12" i="17"/>
  <c r="I12" i="17"/>
  <c r="K12" i="17" s="1"/>
  <c r="J11" i="17"/>
  <c r="I11" i="17"/>
  <c r="K11" i="17" s="1"/>
  <c r="J10" i="17"/>
  <c r="I10" i="17"/>
  <c r="K10" i="17" s="1"/>
  <c r="J9" i="17"/>
  <c r="I9" i="17"/>
  <c r="K9" i="17" s="1"/>
  <c r="J8" i="17"/>
  <c r="I8" i="17"/>
  <c r="K8" i="17" s="1"/>
  <c r="J7" i="17"/>
  <c r="I7" i="17"/>
  <c r="K7" i="17" s="1"/>
  <c r="J6" i="17"/>
  <c r="I6" i="17"/>
  <c r="K6" i="17" s="1"/>
  <c r="J5" i="17"/>
  <c r="I5" i="17"/>
  <c r="K5" i="17" s="1"/>
  <c r="J4" i="17"/>
  <c r="I4" i="17"/>
  <c r="K4" i="17" s="1"/>
  <c r="J3" i="17"/>
  <c r="I3" i="17"/>
  <c r="K3" i="17" s="1"/>
  <c r="J2" i="17"/>
  <c r="I2" i="17"/>
  <c r="K2" i="17" s="1"/>
  <c r="J322" i="16"/>
  <c r="I322" i="16"/>
  <c r="K322" i="16" s="1"/>
  <c r="J321" i="16"/>
  <c r="I321" i="16"/>
  <c r="K321" i="16" s="1"/>
  <c r="J320" i="16"/>
  <c r="I320" i="16"/>
  <c r="K320" i="16" s="1"/>
  <c r="L320" i="16" s="1"/>
  <c r="J319" i="16"/>
  <c r="I319" i="16"/>
  <c r="K319" i="16" s="1"/>
  <c r="J318" i="16"/>
  <c r="I318" i="16"/>
  <c r="K318" i="16" s="1"/>
  <c r="J317" i="16"/>
  <c r="I317" i="16"/>
  <c r="K317" i="16" s="1"/>
  <c r="J316" i="16"/>
  <c r="I316" i="16"/>
  <c r="K316" i="16" s="1"/>
  <c r="L316" i="16" s="1"/>
  <c r="V98" i="16" s="1"/>
  <c r="J315" i="16"/>
  <c r="I315" i="16"/>
  <c r="K315" i="16" s="1"/>
  <c r="J314" i="16"/>
  <c r="I314" i="16"/>
  <c r="K314" i="16" s="1"/>
  <c r="J313" i="16"/>
  <c r="I313" i="16"/>
  <c r="K313" i="16" s="1"/>
  <c r="L313" i="16" s="1"/>
  <c r="J312" i="16"/>
  <c r="I312" i="16"/>
  <c r="K312" i="16" s="1"/>
  <c r="L312" i="16" s="1"/>
  <c r="V94" i="16" s="1"/>
  <c r="J311" i="16"/>
  <c r="I311" i="16"/>
  <c r="K311" i="16" s="1"/>
  <c r="L311" i="16" s="1"/>
  <c r="J310" i="16"/>
  <c r="I310" i="16"/>
  <c r="K310" i="16" s="1"/>
  <c r="J309" i="16"/>
  <c r="I309" i="16"/>
  <c r="K309" i="16" s="1"/>
  <c r="J308" i="16"/>
  <c r="I308" i="16"/>
  <c r="K308" i="16" s="1"/>
  <c r="L308" i="16" s="1"/>
  <c r="V90" i="16" s="1"/>
  <c r="J307" i="16"/>
  <c r="I307" i="16"/>
  <c r="K307" i="16" s="1"/>
  <c r="J306" i="16"/>
  <c r="I306" i="16"/>
  <c r="K306" i="16" s="1"/>
  <c r="J305" i="16"/>
  <c r="I305" i="16"/>
  <c r="K305" i="16" s="1"/>
  <c r="J304" i="16"/>
  <c r="I304" i="16"/>
  <c r="K304" i="16" s="1"/>
  <c r="L304" i="16" s="1"/>
  <c r="J303" i="16"/>
  <c r="I303" i="16"/>
  <c r="K303" i="16" s="1"/>
  <c r="J302" i="16"/>
  <c r="I302" i="16"/>
  <c r="K302" i="16" s="1"/>
  <c r="J301" i="16"/>
  <c r="I301" i="16"/>
  <c r="K301" i="16" s="1"/>
  <c r="J300" i="16"/>
  <c r="I300" i="16"/>
  <c r="K300" i="16" s="1"/>
  <c r="L300" i="16" s="1"/>
  <c r="J299" i="16"/>
  <c r="I299" i="16"/>
  <c r="K299" i="16" s="1"/>
  <c r="J298" i="16"/>
  <c r="I298" i="16"/>
  <c r="K298" i="16" s="1"/>
  <c r="J297" i="16"/>
  <c r="I297" i="16"/>
  <c r="K297" i="16" s="1"/>
  <c r="J296" i="16"/>
  <c r="I296" i="16"/>
  <c r="K296" i="16" s="1"/>
  <c r="J295" i="16"/>
  <c r="I295" i="16"/>
  <c r="K295" i="16" s="1"/>
  <c r="J294" i="16"/>
  <c r="I294" i="16"/>
  <c r="K294" i="16" s="1"/>
  <c r="J293" i="16"/>
  <c r="I293" i="16"/>
  <c r="K293" i="16" s="1"/>
  <c r="L293" i="16" s="1"/>
  <c r="J292" i="16"/>
  <c r="I292" i="16"/>
  <c r="K292" i="16" s="1"/>
  <c r="J291" i="16"/>
  <c r="I291" i="16"/>
  <c r="K291" i="16" s="1"/>
  <c r="J290" i="16"/>
  <c r="I290" i="16"/>
  <c r="K290" i="16" s="1"/>
  <c r="J289" i="16"/>
  <c r="I289" i="16"/>
  <c r="K289" i="16" s="1"/>
  <c r="J288" i="16"/>
  <c r="I288" i="16"/>
  <c r="K288" i="16" s="1"/>
  <c r="J287" i="16"/>
  <c r="I287" i="16"/>
  <c r="K287" i="16" s="1"/>
  <c r="J286" i="16"/>
  <c r="I286" i="16"/>
  <c r="K286" i="16" s="1"/>
  <c r="J285" i="16"/>
  <c r="I285" i="16"/>
  <c r="K285" i="16" s="1"/>
  <c r="J284" i="16"/>
  <c r="I284" i="16"/>
  <c r="K284" i="16" s="1"/>
  <c r="J283" i="16"/>
  <c r="I283" i="16"/>
  <c r="K283" i="16" s="1"/>
  <c r="J282" i="16"/>
  <c r="I282" i="16"/>
  <c r="K282" i="16" s="1"/>
  <c r="J281" i="16"/>
  <c r="I281" i="16"/>
  <c r="K281" i="16" s="1"/>
  <c r="J280" i="16"/>
  <c r="I280" i="16"/>
  <c r="K280" i="16" s="1"/>
  <c r="J279" i="16"/>
  <c r="I279" i="16"/>
  <c r="K279" i="16" s="1"/>
  <c r="J278" i="16"/>
  <c r="I278" i="16"/>
  <c r="K278" i="16" s="1"/>
  <c r="J277" i="16"/>
  <c r="I277" i="16"/>
  <c r="K277" i="16" s="1"/>
  <c r="J276" i="16"/>
  <c r="I276" i="16"/>
  <c r="K276" i="16" s="1"/>
  <c r="L276" i="16" s="1"/>
  <c r="J275" i="16"/>
  <c r="I275" i="16"/>
  <c r="K275" i="16" s="1"/>
  <c r="J274" i="16"/>
  <c r="I274" i="16"/>
  <c r="K274" i="16" s="1"/>
  <c r="J273" i="16"/>
  <c r="I273" i="16"/>
  <c r="K273" i="16" s="1"/>
  <c r="J272" i="16"/>
  <c r="I272" i="16"/>
  <c r="K272" i="16" s="1"/>
  <c r="J271" i="16"/>
  <c r="I271" i="16"/>
  <c r="K271" i="16" s="1"/>
  <c r="J270" i="16"/>
  <c r="I270" i="16"/>
  <c r="K270" i="16" s="1"/>
  <c r="J269" i="16"/>
  <c r="I269" i="16"/>
  <c r="K269" i="16" s="1"/>
  <c r="J268" i="16"/>
  <c r="I268" i="16"/>
  <c r="K268" i="16" s="1"/>
  <c r="L268" i="16" s="1"/>
  <c r="J267" i="16"/>
  <c r="I267" i="16"/>
  <c r="K267" i="16" s="1"/>
  <c r="J266" i="16"/>
  <c r="I266" i="16"/>
  <c r="K266" i="16" s="1"/>
  <c r="J265" i="16"/>
  <c r="I265" i="16"/>
  <c r="K265" i="16" s="1"/>
  <c r="J264" i="16"/>
  <c r="I264" i="16"/>
  <c r="K264" i="16" s="1"/>
  <c r="L264" i="16" s="1"/>
  <c r="J263" i="16"/>
  <c r="I263" i="16"/>
  <c r="K263" i="16" s="1"/>
  <c r="J262" i="16"/>
  <c r="I262" i="16"/>
  <c r="K262" i="16" s="1"/>
  <c r="J261" i="16"/>
  <c r="I261" i="16"/>
  <c r="K261" i="16" s="1"/>
  <c r="J260" i="16"/>
  <c r="I260" i="16"/>
  <c r="K260" i="16" s="1"/>
  <c r="J259" i="16"/>
  <c r="I259" i="16"/>
  <c r="K259" i="16" s="1"/>
  <c r="J258" i="16"/>
  <c r="I258" i="16"/>
  <c r="K258" i="16" s="1"/>
  <c r="J257" i="16"/>
  <c r="I257" i="16"/>
  <c r="K257" i="16" s="1"/>
  <c r="J256" i="16"/>
  <c r="I256" i="16"/>
  <c r="K256" i="16" s="1"/>
  <c r="L256" i="16" s="1"/>
  <c r="J255" i="16"/>
  <c r="I255" i="16"/>
  <c r="K255" i="16" s="1"/>
  <c r="J254" i="16"/>
  <c r="I254" i="16"/>
  <c r="K254" i="16" s="1"/>
  <c r="J253" i="16"/>
  <c r="I253" i="16"/>
  <c r="K253" i="16" s="1"/>
  <c r="J252" i="16"/>
  <c r="I252" i="16"/>
  <c r="K252" i="16" s="1"/>
  <c r="L252" i="16" s="1"/>
  <c r="J251" i="16"/>
  <c r="I251" i="16"/>
  <c r="K251" i="16" s="1"/>
  <c r="J250" i="16"/>
  <c r="I250" i="16"/>
  <c r="K250" i="16" s="1"/>
  <c r="J249" i="16"/>
  <c r="I249" i="16"/>
  <c r="K249" i="16" s="1"/>
  <c r="J248" i="16"/>
  <c r="I248" i="16"/>
  <c r="K248" i="16" s="1"/>
  <c r="J247" i="16"/>
  <c r="I247" i="16"/>
  <c r="K247" i="16" s="1"/>
  <c r="J246" i="16"/>
  <c r="I246" i="16"/>
  <c r="K246" i="16" s="1"/>
  <c r="J245" i="16"/>
  <c r="I245" i="16"/>
  <c r="K245" i="16" s="1"/>
  <c r="J244" i="16"/>
  <c r="I244" i="16"/>
  <c r="K244" i="16" s="1"/>
  <c r="L244" i="16" s="1"/>
  <c r="J243" i="16"/>
  <c r="I243" i="16"/>
  <c r="K243" i="16" s="1"/>
  <c r="J242" i="16"/>
  <c r="I242" i="16"/>
  <c r="K242" i="16" s="1"/>
  <c r="J241" i="16"/>
  <c r="I241" i="16"/>
  <c r="K241" i="16" s="1"/>
  <c r="J240" i="16"/>
  <c r="I240" i="16"/>
  <c r="K240" i="16" s="1"/>
  <c r="L240" i="16" s="1"/>
  <c r="J239" i="16"/>
  <c r="I239" i="16"/>
  <c r="K239" i="16" s="1"/>
  <c r="J238" i="16"/>
  <c r="I238" i="16"/>
  <c r="K238" i="16" s="1"/>
  <c r="J237" i="16"/>
  <c r="I237" i="16"/>
  <c r="K237" i="16" s="1"/>
  <c r="J236" i="16"/>
  <c r="I236" i="16"/>
  <c r="K236" i="16" s="1"/>
  <c r="L236" i="16" s="1"/>
  <c r="J235" i="16"/>
  <c r="I235" i="16"/>
  <c r="K235" i="16" s="1"/>
  <c r="J234" i="16"/>
  <c r="I234" i="16"/>
  <c r="K234" i="16" s="1"/>
  <c r="J233" i="16"/>
  <c r="I233" i="16"/>
  <c r="K233" i="16" s="1"/>
  <c r="J232" i="16"/>
  <c r="I232" i="16"/>
  <c r="K232" i="16" s="1"/>
  <c r="L232" i="16" s="1"/>
  <c r="J231" i="16"/>
  <c r="I231" i="16"/>
  <c r="K231" i="16" s="1"/>
  <c r="J230" i="16"/>
  <c r="I230" i="16"/>
  <c r="K230" i="16" s="1"/>
  <c r="J229" i="16"/>
  <c r="I229" i="16"/>
  <c r="K229" i="16" s="1"/>
  <c r="J228" i="16"/>
  <c r="I228" i="16"/>
  <c r="K228" i="16" s="1"/>
  <c r="L228" i="16" s="1"/>
  <c r="J227" i="16"/>
  <c r="I227" i="16"/>
  <c r="K227" i="16" s="1"/>
  <c r="J226" i="16"/>
  <c r="I226" i="16"/>
  <c r="K226" i="16" s="1"/>
  <c r="J225" i="16"/>
  <c r="I225" i="16"/>
  <c r="K225" i="16" s="1"/>
  <c r="J224" i="16"/>
  <c r="I224" i="16"/>
  <c r="K224" i="16" s="1"/>
  <c r="L224" i="16" s="1"/>
  <c r="J223" i="16"/>
  <c r="I223" i="16"/>
  <c r="K223" i="16" s="1"/>
  <c r="J222" i="16"/>
  <c r="I222" i="16"/>
  <c r="K222" i="16" s="1"/>
  <c r="J221" i="16"/>
  <c r="I221" i="16"/>
  <c r="K221" i="16" s="1"/>
  <c r="J220" i="16"/>
  <c r="I220" i="16"/>
  <c r="K220" i="16" s="1"/>
  <c r="L220" i="16" s="1"/>
  <c r="J219" i="16"/>
  <c r="I219" i="16"/>
  <c r="K219" i="16" s="1"/>
  <c r="J218" i="16"/>
  <c r="I218" i="16"/>
  <c r="K218" i="16" s="1"/>
  <c r="J217" i="16"/>
  <c r="I217" i="16"/>
  <c r="K217" i="16" s="1"/>
  <c r="L217" i="16" s="1"/>
  <c r="J216" i="16"/>
  <c r="I216" i="16"/>
  <c r="K216" i="16" s="1"/>
  <c r="L216" i="16" s="1"/>
  <c r="J215" i="16"/>
  <c r="I215" i="16"/>
  <c r="K215" i="16" s="1"/>
  <c r="J214" i="16"/>
  <c r="I214" i="16"/>
  <c r="K214" i="16" s="1"/>
  <c r="J213" i="16"/>
  <c r="I213" i="16"/>
  <c r="K213" i="16" s="1"/>
  <c r="L213" i="16" s="1"/>
  <c r="J212" i="16"/>
  <c r="I212" i="16"/>
  <c r="K212" i="16" s="1"/>
  <c r="L212" i="16" s="1"/>
  <c r="J211" i="16"/>
  <c r="I211" i="16"/>
  <c r="K211" i="16" s="1"/>
  <c r="J210" i="16"/>
  <c r="I210" i="16"/>
  <c r="K210" i="16" s="1"/>
  <c r="J209" i="16"/>
  <c r="I209" i="16"/>
  <c r="K209" i="16" s="1"/>
  <c r="L209" i="16" s="1"/>
  <c r="J208" i="16"/>
  <c r="I208" i="16"/>
  <c r="K208" i="16" s="1"/>
  <c r="L208" i="16" s="1"/>
  <c r="J207" i="16"/>
  <c r="I207" i="16"/>
  <c r="K207" i="16" s="1"/>
  <c r="J206" i="16"/>
  <c r="I206" i="16"/>
  <c r="K206" i="16" s="1"/>
  <c r="J205" i="16"/>
  <c r="I205" i="16"/>
  <c r="K205" i="16" s="1"/>
  <c r="J204" i="16"/>
  <c r="I204" i="16"/>
  <c r="K204" i="16" s="1"/>
  <c r="L204" i="16" s="1"/>
  <c r="J203" i="16"/>
  <c r="I203" i="16"/>
  <c r="K203" i="16" s="1"/>
  <c r="J202" i="16"/>
  <c r="I202" i="16"/>
  <c r="K202" i="16" s="1"/>
  <c r="J201" i="16"/>
  <c r="I201" i="16"/>
  <c r="K201" i="16" s="1"/>
  <c r="L201" i="16" s="1"/>
  <c r="J200" i="16"/>
  <c r="I200" i="16"/>
  <c r="K200" i="16" s="1"/>
  <c r="J199" i="16"/>
  <c r="I199" i="16"/>
  <c r="K199" i="16" s="1"/>
  <c r="J198" i="16"/>
  <c r="I198" i="16"/>
  <c r="K198" i="16" s="1"/>
  <c r="L198" i="16" s="1"/>
  <c r="J197" i="16"/>
  <c r="I197" i="16"/>
  <c r="K197" i="16" s="1"/>
  <c r="J196" i="16"/>
  <c r="I196" i="16"/>
  <c r="K196" i="16" s="1"/>
  <c r="J195" i="16"/>
  <c r="I195" i="16"/>
  <c r="K195" i="16" s="1"/>
  <c r="J194" i="16"/>
  <c r="I194" i="16"/>
  <c r="K194" i="16" s="1"/>
  <c r="L194" i="16" s="1"/>
  <c r="J193" i="16"/>
  <c r="I193" i="16"/>
  <c r="K193" i="16" s="1"/>
  <c r="J192" i="16"/>
  <c r="I192" i="16"/>
  <c r="K192" i="16" s="1"/>
  <c r="J191" i="16"/>
  <c r="I191" i="16"/>
  <c r="K191" i="16" s="1"/>
  <c r="L191" i="16" s="1"/>
  <c r="J190" i="16"/>
  <c r="I190" i="16"/>
  <c r="K190" i="16" s="1"/>
  <c r="J189" i="16"/>
  <c r="I189" i="16"/>
  <c r="K189" i="16" s="1"/>
  <c r="J188" i="16"/>
  <c r="I188" i="16"/>
  <c r="K188" i="16" s="1"/>
  <c r="J187" i="16"/>
  <c r="I187" i="16"/>
  <c r="K187" i="16" s="1"/>
  <c r="L187" i="16" s="1"/>
  <c r="J186" i="16"/>
  <c r="I186" i="16"/>
  <c r="K186" i="16" s="1"/>
  <c r="L186" i="16" s="1"/>
  <c r="J185" i="16"/>
  <c r="I185" i="16"/>
  <c r="K185" i="16" s="1"/>
  <c r="J184" i="16"/>
  <c r="I184" i="16"/>
  <c r="K184" i="16" s="1"/>
  <c r="J183" i="16"/>
  <c r="I183" i="16"/>
  <c r="K183" i="16" s="1"/>
  <c r="L183" i="16" s="1"/>
  <c r="J182" i="16"/>
  <c r="I182" i="16"/>
  <c r="K182" i="16" s="1"/>
  <c r="L182" i="16" s="1"/>
  <c r="J181" i="16"/>
  <c r="I181" i="16"/>
  <c r="K181" i="16" s="1"/>
  <c r="J180" i="16"/>
  <c r="I180" i="16"/>
  <c r="K180" i="16" s="1"/>
  <c r="J179" i="16"/>
  <c r="I179" i="16"/>
  <c r="K179" i="16" s="1"/>
  <c r="L179" i="16" s="1"/>
  <c r="J178" i="16"/>
  <c r="I178" i="16"/>
  <c r="K178" i="16" s="1"/>
  <c r="J177" i="16"/>
  <c r="I177" i="16"/>
  <c r="K177" i="16" s="1"/>
  <c r="J176" i="16"/>
  <c r="I176" i="16"/>
  <c r="K176" i="16" s="1"/>
  <c r="J175" i="16"/>
  <c r="I175" i="16"/>
  <c r="K175" i="16" s="1"/>
  <c r="J174" i="16"/>
  <c r="I174" i="16"/>
  <c r="K174" i="16" s="1"/>
  <c r="L174" i="16" s="1"/>
  <c r="J173" i="16"/>
  <c r="I173" i="16"/>
  <c r="K173" i="16" s="1"/>
  <c r="J172" i="16"/>
  <c r="I172" i="16"/>
  <c r="K172" i="16" s="1"/>
  <c r="J171" i="16"/>
  <c r="I171" i="16"/>
  <c r="K171" i="16" s="1"/>
  <c r="J170" i="16"/>
  <c r="I170" i="16"/>
  <c r="K170" i="16" s="1"/>
  <c r="J169" i="16"/>
  <c r="I169" i="16"/>
  <c r="K169" i="16" s="1"/>
  <c r="J168" i="16"/>
  <c r="I168" i="16"/>
  <c r="K168" i="16" s="1"/>
  <c r="J167" i="16"/>
  <c r="I167" i="16"/>
  <c r="K167" i="16" s="1"/>
  <c r="L167" i="16" s="1"/>
  <c r="J166" i="16"/>
  <c r="I166" i="16"/>
  <c r="K166" i="16" s="1"/>
  <c r="L166" i="16" s="1"/>
  <c r="J165" i="16"/>
  <c r="I165" i="16"/>
  <c r="K165" i="16" s="1"/>
  <c r="L165" i="16" s="1"/>
  <c r="J164" i="16"/>
  <c r="I164" i="16"/>
  <c r="K164" i="16" s="1"/>
  <c r="J163" i="16"/>
  <c r="I163" i="16"/>
  <c r="K163" i="16" s="1"/>
  <c r="J162" i="16"/>
  <c r="I162" i="16"/>
  <c r="K162" i="16" s="1"/>
  <c r="J161" i="16"/>
  <c r="I161" i="16"/>
  <c r="K161" i="16" s="1"/>
  <c r="J160" i="16"/>
  <c r="I160" i="16"/>
  <c r="K160" i="16" s="1"/>
  <c r="J159" i="16"/>
  <c r="I159" i="16"/>
  <c r="K159" i="16" s="1"/>
  <c r="L159" i="16" s="1"/>
  <c r="J158" i="16"/>
  <c r="I158" i="16"/>
  <c r="K158" i="16" s="1"/>
  <c r="J157" i="16"/>
  <c r="I157" i="16"/>
  <c r="K157" i="16" s="1"/>
  <c r="J156" i="16"/>
  <c r="I156" i="16"/>
  <c r="K156" i="16" s="1"/>
  <c r="J155" i="16"/>
  <c r="I155" i="16"/>
  <c r="K155" i="16" s="1"/>
  <c r="J154" i="16"/>
  <c r="I154" i="16"/>
  <c r="K154" i="16" s="1"/>
  <c r="J153" i="16"/>
  <c r="I153" i="16"/>
  <c r="K153" i="16" s="1"/>
  <c r="L153" i="16" s="1"/>
  <c r="J152" i="16"/>
  <c r="I152" i="16"/>
  <c r="K152" i="16" s="1"/>
  <c r="J151" i="16"/>
  <c r="I151" i="16"/>
  <c r="K151" i="16" s="1"/>
  <c r="L151" i="16" s="1"/>
  <c r="J150" i="16"/>
  <c r="I150" i="16"/>
  <c r="K150" i="16" s="1"/>
  <c r="J149" i="16"/>
  <c r="I149" i="16"/>
  <c r="K149" i="16" s="1"/>
  <c r="L149" i="16" s="1"/>
  <c r="J148" i="16"/>
  <c r="I148" i="16"/>
  <c r="K148" i="16" s="1"/>
  <c r="J147" i="16"/>
  <c r="I147" i="16"/>
  <c r="K147" i="16" s="1"/>
  <c r="L147" i="16" s="1"/>
  <c r="J146" i="16"/>
  <c r="I146" i="16"/>
  <c r="K146" i="16" s="1"/>
  <c r="J145" i="16"/>
  <c r="I145" i="16"/>
  <c r="K145" i="16" s="1"/>
  <c r="J144" i="16"/>
  <c r="I144" i="16"/>
  <c r="K144" i="16" s="1"/>
  <c r="J143" i="16"/>
  <c r="I143" i="16"/>
  <c r="K143" i="16" s="1"/>
  <c r="J142" i="16"/>
  <c r="I142" i="16"/>
  <c r="K142" i="16" s="1"/>
  <c r="L142" i="16" s="1"/>
  <c r="J141" i="16"/>
  <c r="I141" i="16"/>
  <c r="K141" i="16" s="1"/>
  <c r="J140" i="16"/>
  <c r="I140" i="16"/>
  <c r="K140" i="16" s="1"/>
  <c r="J139" i="16"/>
  <c r="I139" i="16"/>
  <c r="K139" i="16" s="1"/>
  <c r="L139" i="16" s="1"/>
  <c r="J138" i="16"/>
  <c r="I138" i="16"/>
  <c r="K138" i="16" s="1"/>
  <c r="J137" i="16"/>
  <c r="I137" i="16"/>
  <c r="K137" i="16" s="1"/>
  <c r="J136" i="16"/>
  <c r="I136" i="16"/>
  <c r="K136" i="16" s="1"/>
  <c r="J135" i="16"/>
  <c r="I135" i="16"/>
  <c r="K135" i="16" s="1"/>
  <c r="J134" i="16"/>
  <c r="I134" i="16"/>
  <c r="K134" i="16" s="1"/>
  <c r="L134" i="16" s="1"/>
  <c r="J133" i="16"/>
  <c r="I133" i="16"/>
  <c r="K133" i="16" s="1"/>
  <c r="J132" i="16"/>
  <c r="I132" i="16"/>
  <c r="K132" i="16" s="1"/>
  <c r="J131" i="16"/>
  <c r="I131" i="16"/>
  <c r="K131" i="16" s="1"/>
  <c r="J130" i="16"/>
  <c r="I130" i="16"/>
  <c r="K130" i="16" s="1"/>
  <c r="L130" i="16" s="1"/>
  <c r="J129" i="16"/>
  <c r="I129" i="16"/>
  <c r="K129" i="16" s="1"/>
  <c r="J128" i="16"/>
  <c r="I128" i="16"/>
  <c r="K128" i="16" s="1"/>
  <c r="J127" i="16"/>
  <c r="I127" i="16"/>
  <c r="K127" i="16" s="1"/>
  <c r="L127" i="16" s="1"/>
  <c r="J126" i="16"/>
  <c r="I126" i="16"/>
  <c r="K126" i="16" s="1"/>
  <c r="J125" i="16"/>
  <c r="I125" i="16"/>
  <c r="K125" i="16" s="1"/>
  <c r="L125" i="16" s="1"/>
  <c r="J124" i="16"/>
  <c r="I124" i="16"/>
  <c r="K124" i="16" s="1"/>
  <c r="J123" i="16"/>
  <c r="I123" i="16"/>
  <c r="K123" i="16" s="1"/>
  <c r="L123" i="16" s="1"/>
  <c r="J122" i="16"/>
  <c r="I122" i="16"/>
  <c r="K122" i="16" s="1"/>
  <c r="J121" i="16"/>
  <c r="I121" i="16"/>
  <c r="K121" i="16" s="1"/>
  <c r="J120" i="16"/>
  <c r="I120" i="16"/>
  <c r="K120" i="16" s="1"/>
  <c r="J119" i="16"/>
  <c r="I119" i="16"/>
  <c r="K119" i="16" s="1"/>
  <c r="L119" i="16" s="1"/>
  <c r="J118" i="16"/>
  <c r="I118" i="16"/>
  <c r="K118" i="16" s="1"/>
  <c r="J117" i="16"/>
  <c r="I117" i="16"/>
  <c r="K117" i="16" s="1"/>
  <c r="J116" i="16"/>
  <c r="I116" i="16"/>
  <c r="K116" i="16" s="1"/>
  <c r="J115" i="16"/>
  <c r="I115" i="16"/>
  <c r="K115" i="16" s="1"/>
  <c r="L115" i="16" s="1"/>
  <c r="J114" i="16"/>
  <c r="I114" i="16"/>
  <c r="K114" i="16" s="1"/>
  <c r="J113" i="16"/>
  <c r="I113" i="16"/>
  <c r="K113" i="16" s="1"/>
  <c r="J112" i="16"/>
  <c r="I112" i="16"/>
  <c r="K112" i="16" s="1"/>
  <c r="J111" i="16"/>
  <c r="I111" i="16"/>
  <c r="K111" i="16" s="1"/>
  <c r="L111" i="16" s="1"/>
  <c r="J110" i="16"/>
  <c r="I110" i="16"/>
  <c r="K110" i="16" s="1"/>
  <c r="J109" i="16"/>
  <c r="I109" i="16"/>
  <c r="K109" i="16" s="1"/>
  <c r="J108" i="16"/>
  <c r="I108" i="16"/>
  <c r="K108" i="16" s="1"/>
  <c r="J107" i="16"/>
  <c r="I107" i="16"/>
  <c r="K107" i="16" s="1"/>
  <c r="L107" i="16" s="1"/>
  <c r="J106" i="16"/>
  <c r="I106" i="16"/>
  <c r="K106" i="16" s="1"/>
  <c r="J105" i="16"/>
  <c r="I105" i="16"/>
  <c r="K105" i="16" s="1"/>
  <c r="J104" i="16"/>
  <c r="I104" i="16"/>
  <c r="K104" i="16" s="1"/>
  <c r="J103" i="16"/>
  <c r="I103" i="16"/>
  <c r="K103" i="16" s="1"/>
  <c r="J102" i="16"/>
  <c r="I102" i="16"/>
  <c r="K102" i="16" s="1"/>
  <c r="J101" i="16"/>
  <c r="I101" i="16"/>
  <c r="K101" i="16" s="1"/>
  <c r="J100" i="16"/>
  <c r="I100" i="16"/>
  <c r="K100" i="16" s="1"/>
  <c r="J99" i="16"/>
  <c r="I99" i="16"/>
  <c r="K99" i="16" s="1"/>
  <c r="J98" i="16"/>
  <c r="I98" i="16"/>
  <c r="K98" i="16" s="1"/>
  <c r="L98" i="16" s="1"/>
  <c r="J97" i="16"/>
  <c r="I97" i="16"/>
  <c r="K97" i="16" s="1"/>
  <c r="L97" i="16" s="1"/>
  <c r="J96" i="16"/>
  <c r="I96" i="16"/>
  <c r="K96" i="16" s="1"/>
  <c r="V95" i="16"/>
  <c r="J95" i="16"/>
  <c r="I95" i="16"/>
  <c r="K95" i="16" s="1"/>
  <c r="J94" i="16"/>
  <c r="I94" i="16"/>
  <c r="K94" i="16" s="1"/>
  <c r="J93" i="16"/>
  <c r="I93" i="16"/>
  <c r="K93" i="16" s="1"/>
  <c r="J92" i="16"/>
  <c r="I92" i="16"/>
  <c r="K92" i="16" s="1"/>
  <c r="L92" i="16" s="1"/>
  <c r="J91" i="16"/>
  <c r="I91" i="16"/>
  <c r="K91" i="16" s="1"/>
  <c r="J90" i="16"/>
  <c r="I90" i="16"/>
  <c r="K90" i="16" s="1"/>
  <c r="J89" i="16"/>
  <c r="I89" i="16"/>
  <c r="K89" i="16" s="1"/>
  <c r="J88" i="16"/>
  <c r="I88" i="16"/>
  <c r="K88" i="16" s="1"/>
  <c r="L88" i="16" s="1"/>
  <c r="J87" i="16"/>
  <c r="I87" i="16"/>
  <c r="K87" i="16" s="1"/>
  <c r="L87" i="16" s="1"/>
  <c r="J86" i="16"/>
  <c r="I86" i="16"/>
  <c r="K86" i="16" s="1"/>
  <c r="J85" i="16"/>
  <c r="I85" i="16"/>
  <c r="K85" i="16" s="1"/>
  <c r="J84" i="16"/>
  <c r="I84" i="16"/>
  <c r="K84" i="16" s="1"/>
  <c r="J83" i="16"/>
  <c r="I83" i="16"/>
  <c r="K83" i="16" s="1"/>
  <c r="L83" i="16" s="1"/>
  <c r="J82" i="16"/>
  <c r="I82" i="16"/>
  <c r="K82" i="16" s="1"/>
  <c r="J81" i="16"/>
  <c r="I81" i="16"/>
  <c r="K81" i="16" s="1"/>
  <c r="J80" i="16"/>
  <c r="I80" i="16"/>
  <c r="K80" i="16" s="1"/>
  <c r="J79" i="16"/>
  <c r="I79" i="16"/>
  <c r="K79" i="16" s="1"/>
  <c r="L79" i="16" s="1"/>
  <c r="J78" i="16"/>
  <c r="I78" i="16"/>
  <c r="K78" i="16" s="1"/>
  <c r="J77" i="16"/>
  <c r="I77" i="16"/>
  <c r="K77" i="16" s="1"/>
  <c r="J76" i="16"/>
  <c r="I76" i="16"/>
  <c r="K76" i="16" s="1"/>
  <c r="J75" i="16"/>
  <c r="I75" i="16"/>
  <c r="K75" i="16" s="1"/>
  <c r="J74" i="16"/>
  <c r="I74" i="16"/>
  <c r="K74" i="16" s="1"/>
  <c r="L74" i="16" s="1"/>
  <c r="J73" i="16"/>
  <c r="I73" i="16"/>
  <c r="K73" i="16" s="1"/>
  <c r="J72" i="16"/>
  <c r="I72" i="16"/>
  <c r="K72" i="16" s="1"/>
  <c r="L72" i="16" s="1"/>
  <c r="V74" i="16" s="1"/>
  <c r="J71" i="16"/>
  <c r="I71" i="16"/>
  <c r="K71" i="16" s="1"/>
  <c r="J70" i="16"/>
  <c r="I70" i="16"/>
  <c r="K70" i="16" s="1"/>
  <c r="L70" i="16" s="1"/>
  <c r="J69" i="16"/>
  <c r="I69" i="16"/>
  <c r="K69" i="16" s="1"/>
  <c r="J68" i="16"/>
  <c r="I68" i="16"/>
  <c r="K68" i="16" s="1"/>
  <c r="J67" i="16"/>
  <c r="I67" i="16"/>
  <c r="K67" i="16" s="1"/>
  <c r="J66" i="16"/>
  <c r="I66" i="16"/>
  <c r="K66" i="16" s="1"/>
  <c r="J65" i="16"/>
  <c r="I65" i="16"/>
  <c r="K65" i="16" s="1"/>
  <c r="J64" i="16"/>
  <c r="I64" i="16"/>
  <c r="K64" i="16" s="1"/>
  <c r="J63" i="16"/>
  <c r="I63" i="16"/>
  <c r="K63" i="16" s="1"/>
  <c r="L63" i="16" s="1"/>
  <c r="V65" i="16" s="1"/>
  <c r="J62" i="16"/>
  <c r="I62" i="16"/>
  <c r="K62" i="16" s="1"/>
  <c r="J61" i="16"/>
  <c r="I61" i="16"/>
  <c r="K61" i="16" s="1"/>
  <c r="J60" i="16"/>
  <c r="I60" i="16"/>
  <c r="K60" i="16" s="1"/>
  <c r="J59" i="16"/>
  <c r="I59" i="16"/>
  <c r="K59" i="16" s="1"/>
  <c r="L59" i="16" s="1"/>
  <c r="J58" i="16"/>
  <c r="I58" i="16"/>
  <c r="K58" i="16" s="1"/>
  <c r="J57" i="16"/>
  <c r="I57" i="16"/>
  <c r="K57" i="16" s="1"/>
  <c r="J56" i="16"/>
  <c r="I56" i="16"/>
  <c r="K56" i="16" s="1"/>
  <c r="J55" i="16"/>
  <c r="I55" i="16"/>
  <c r="K55" i="16" s="1"/>
  <c r="L55" i="16" s="1"/>
  <c r="J54" i="16"/>
  <c r="I54" i="16"/>
  <c r="K54" i="16" s="1"/>
  <c r="J53" i="16"/>
  <c r="I53" i="16"/>
  <c r="K53" i="16" s="1"/>
  <c r="J52" i="16"/>
  <c r="I52" i="16"/>
  <c r="K52" i="16" s="1"/>
  <c r="J51" i="16"/>
  <c r="I51" i="16"/>
  <c r="K51" i="16" s="1"/>
  <c r="J50" i="16"/>
  <c r="I50" i="16"/>
  <c r="K50" i="16" s="1"/>
  <c r="J49" i="16"/>
  <c r="I49" i="16"/>
  <c r="K49" i="16" s="1"/>
  <c r="J48" i="16"/>
  <c r="I48" i="16"/>
  <c r="K48" i="16" s="1"/>
  <c r="J47" i="16"/>
  <c r="I47" i="16"/>
  <c r="K47" i="16" s="1"/>
  <c r="L47" i="16" s="1"/>
  <c r="J46" i="16"/>
  <c r="I46" i="16"/>
  <c r="K46" i="16" s="1"/>
  <c r="J45" i="16"/>
  <c r="I45" i="16"/>
  <c r="K45" i="16" s="1"/>
  <c r="J44" i="16"/>
  <c r="I44" i="16"/>
  <c r="K44" i="16" s="1"/>
  <c r="J43" i="16"/>
  <c r="I43" i="16"/>
  <c r="K43" i="16" s="1"/>
  <c r="J42" i="16"/>
  <c r="I42" i="16"/>
  <c r="K42" i="16" s="1"/>
  <c r="J41" i="16"/>
  <c r="I41" i="16"/>
  <c r="K41" i="16" s="1"/>
  <c r="J40" i="16"/>
  <c r="I40" i="16"/>
  <c r="K40" i="16" s="1"/>
  <c r="J39" i="16"/>
  <c r="I39" i="16"/>
  <c r="K39" i="16" s="1"/>
  <c r="J38" i="16"/>
  <c r="I38" i="16"/>
  <c r="K38" i="16" s="1"/>
  <c r="J37" i="16"/>
  <c r="I37" i="16"/>
  <c r="K37" i="16" s="1"/>
  <c r="J36" i="16"/>
  <c r="I36" i="16"/>
  <c r="K36" i="16" s="1"/>
  <c r="J35" i="16"/>
  <c r="I35" i="16"/>
  <c r="K35" i="16" s="1"/>
  <c r="L35" i="16" s="1"/>
  <c r="J34" i="16"/>
  <c r="I34" i="16"/>
  <c r="K34" i="16" s="1"/>
  <c r="J33" i="16"/>
  <c r="I33" i="16"/>
  <c r="K33" i="16" s="1"/>
  <c r="J32" i="16"/>
  <c r="I32" i="16"/>
  <c r="K32" i="16" s="1"/>
  <c r="J31" i="16"/>
  <c r="I31" i="16"/>
  <c r="K31" i="16" s="1"/>
  <c r="J30" i="16"/>
  <c r="I30" i="16"/>
  <c r="K30" i="16" s="1"/>
  <c r="J29" i="16"/>
  <c r="I29" i="16"/>
  <c r="K29" i="16" s="1"/>
  <c r="L29" i="16" s="1"/>
  <c r="J28" i="16"/>
  <c r="I28" i="16"/>
  <c r="K28" i="16" s="1"/>
  <c r="J27" i="16"/>
  <c r="I27" i="16"/>
  <c r="K27" i="16" s="1"/>
  <c r="J26" i="16"/>
  <c r="I26" i="16"/>
  <c r="K26" i="16" s="1"/>
  <c r="J25" i="16"/>
  <c r="I25" i="16"/>
  <c r="K25" i="16" s="1"/>
  <c r="L25" i="16" s="1"/>
  <c r="J24" i="16"/>
  <c r="I24" i="16"/>
  <c r="K24" i="16" s="1"/>
  <c r="J23" i="16"/>
  <c r="I23" i="16"/>
  <c r="K23" i="16" s="1"/>
  <c r="J22" i="16"/>
  <c r="I22" i="16"/>
  <c r="K22" i="16" s="1"/>
  <c r="J21" i="16"/>
  <c r="I21" i="16"/>
  <c r="K21" i="16" s="1"/>
  <c r="L21" i="16" s="1"/>
  <c r="J20" i="16"/>
  <c r="I20" i="16"/>
  <c r="K20" i="16" s="1"/>
  <c r="J19" i="16"/>
  <c r="I19" i="16"/>
  <c r="K19" i="16" s="1"/>
  <c r="J18" i="16"/>
  <c r="I18" i="16"/>
  <c r="K18" i="16" s="1"/>
  <c r="J17" i="16"/>
  <c r="I17" i="16"/>
  <c r="K17" i="16" s="1"/>
  <c r="J16" i="16"/>
  <c r="I16" i="16"/>
  <c r="K16" i="16" s="1"/>
  <c r="J15" i="16"/>
  <c r="I15" i="16"/>
  <c r="K15" i="16" s="1"/>
  <c r="J14" i="16"/>
  <c r="I14" i="16"/>
  <c r="K14" i="16" s="1"/>
  <c r="J13" i="16"/>
  <c r="I13" i="16"/>
  <c r="K13" i="16" s="1"/>
  <c r="J12" i="16"/>
  <c r="I12" i="16"/>
  <c r="K12" i="16" s="1"/>
  <c r="J11" i="16"/>
  <c r="I11" i="16"/>
  <c r="K11" i="16" s="1"/>
  <c r="J10" i="16"/>
  <c r="I10" i="16"/>
  <c r="K10" i="16" s="1"/>
  <c r="J9" i="16"/>
  <c r="I9" i="16"/>
  <c r="K9" i="16" s="1"/>
  <c r="J8" i="16"/>
  <c r="I8" i="16"/>
  <c r="K8" i="16" s="1"/>
  <c r="J7" i="16"/>
  <c r="I7" i="16"/>
  <c r="K7" i="16" s="1"/>
  <c r="J6" i="16"/>
  <c r="I6" i="16"/>
  <c r="K6" i="16" s="1"/>
  <c r="J5" i="16"/>
  <c r="I5" i="16"/>
  <c r="K5" i="16" s="1"/>
  <c r="J4" i="16"/>
  <c r="I4" i="16"/>
  <c r="K4" i="16" s="1"/>
  <c r="J3" i="16"/>
  <c r="I3" i="16"/>
  <c r="K3" i="16" s="1"/>
  <c r="L3" i="16" s="1"/>
  <c r="J2" i="16"/>
  <c r="I2" i="16"/>
  <c r="K2" i="16" s="1"/>
  <c r="I322" i="9"/>
  <c r="K322" i="9" s="1"/>
  <c r="L322" i="9" s="1"/>
  <c r="J322" i="9"/>
  <c r="I322" i="1"/>
  <c r="K322" i="1" s="1"/>
  <c r="J322" i="1"/>
  <c r="L86" i="18" l="1"/>
  <c r="L129" i="18"/>
  <c r="L205" i="18"/>
  <c r="L83" i="18"/>
  <c r="L11" i="18"/>
  <c r="L127" i="18"/>
  <c r="L206" i="18"/>
  <c r="L95" i="18"/>
  <c r="L250" i="18"/>
  <c r="L258" i="18"/>
  <c r="L281" i="18"/>
  <c r="L289" i="18"/>
  <c r="L100" i="18"/>
  <c r="L104" i="18"/>
  <c r="L179" i="18"/>
  <c r="L187" i="18"/>
  <c r="L191" i="18"/>
  <c r="L195" i="18"/>
  <c r="L266" i="18"/>
  <c r="L274" i="18"/>
  <c r="L93" i="18"/>
  <c r="L101" i="18"/>
  <c r="L105" i="18"/>
  <c r="L113" i="18"/>
  <c r="L176" i="18"/>
  <c r="L180" i="18"/>
  <c r="L184" i="18"/>
  <c r="L196" i="18"/>
  <c r="L3" i="18"/>
  <c r="L97" i="18"/>
  <c r="L124" i="18"/>
  <c r="L128" i="18"/>
  <c r="L190" i="18"/>
  <c r="L209" i="18"/>
  <c r="L212" i="18"/>
  <c r="L251" i="18"/>
  <c r="L259" i="18"/>
  <c r="L282" i="18"/>
  <c r="L297" i="18"/>
  <c r="L305" i="18"/>
  <c r="V87" i="18" s="1"/>
  <c r="L313" i="18"/>
  <c r="V95" i="18" s="1"/>
  <c r="L321" i="18"/>
  <c r="V103" i="18" s="1"/>
  <c r="L276" i="18"/>
  <c r="L138" i="18"/>
  <c r="L103" i="18"/>
  <c r="L16" i="18"/>
  <c r="L20" i="18"/>
  <c r="L141" i="18"/>
  <c r="L149" i="18"/>
  <c r="L160" i="18"/>
  <c r="L164" i="18"/>
  <c r="L168" i="18"/>
  <c r="L172" i="18"/>
  <c r="L26" i="17"/>
  <c r="L88" i="17"/>
  <c r="L259" i="17"/>
  <c r="L291" i="17"/>
  <c r="L299" i="17"/>
  <c r="L303" i="17"/>
  <c r="V85" i="17" s="1"/>
  <c r="L16" i="17"/>
  <c r="L31" i="17"/>
  <c r="L35" i="17"/>
  <c r="L46" i="17"/>
  <c r="L53" i="17"/>
  <c r="L57" i="17"/>
  <c r="L61" i="17"/>
  <c r="L92" i="17"/>
  <c r="L161" i="17"/>
  <c r="L232" i="17"/>
  <c r="L236" i="17"/>
  <c r="L240" i="17"/>
  <c r="L244" i="17"/>
  <c r="L248" i="17"/>
  <c r="L309" i="17"/>
  <c r="V91" i="17" s="1"/>
  <c r="L313" i="17"/>
  <c r="V95" i="17" s="1"/>
  <c r="L317" i="17"/>
  <c r="V99" i="17" s="1"/>
  <c r="L252" i="17"/>
  <c r="L10" i="17"/>
  <c r="L22" i="17"/>
  <c r="L87" i="17"/>
  <c r="L159" i="17"/>
  <c r="L166" i="17"/>
  <c r="L170" i="17"/>
  <c r="L178" i="17"/>
  <c r="L182" i="17"/>
  <c r="L193" i="17"/>
  <c r="L34" i="17"/>
  <c r="L2" i="17"/>
  <c r="L6" i="17"/>
  <c r="L14" i="17"/>
  <c r="L25" i="17"/>
  <c r="L50" i="17"/>
  <c r="L96" i="17"/>
  <c r="L114" i="17"/>
  <c r="L133" i="17"/>
  <c r="L137" i="17"/>
  <c r="L152" i="17"/>
  <c r="L156" i="17"/>
  <c r="L209" i="17"/>
  <c r="L213" i="17"/>
  <c r="L217" i="17"/>
  <c r="L67" i="17"/>
  <c r="L100" i="17"/>
  <c r="L108" i="17"/>
  <c r="L115" i="17"/>
  <c r="L134" i="17"/>
  <c r="L138" i="17"/>
  <c r="L206" i="17"/>
  <c r="L222" i="17"/>
  <c r="L226" i="17"/>
  <c r="L253" i="17"/>
  <c r="L316" i="17"/>
  <c r="L180" i="17"/>
  <c r="L230" i="17"/>
  <c r="L238" i="17"/>
  <c r="L246" i="17"/>
  <c r="L250" i="17"/>
  <c r="L257" i="17"/>
  <c r="L261" i="17"/>
  <c r="L265" i="17"/>
  <c r="L269" i="17"/>
  <c r="L116" i="17"/>
  <c r="L290" i="17"/>
  <c r="L294" i="17"/>
  <c r="L302" i="17"/>
  <c r="V84" i="17" s="1"/>
  <c r="L306" i="17"/>
  <c r="V88" i="17" s="1"/>
  <c r="L9" i="17"/>
  <c r="L13" i="17"/>
  <c r="L69" i="17"/>
  <c r="L84" i="17"/>
  <c r="L95" i="17"/>
  <c r="L102" i="17"/>
  <c r="L117" i="17"/>
  <c r="L121" i="17"/>
  <c r="L132" i="17"/>
  <c r="L136" i="17"/>
  <c r="L155" i="17"/>
  <c r="L162" i="17"/>
  <c r="L185" i="17"/>
  <c r="L196" i="17"/>
  <c r="L200" i="17"/>
  <c r="L204" i="17"/>
  <c r="L255" i="17"/>
  <c r="L310" i="17"/>
  <c r="V92" i="17" s="1"/>
  <c r="L314" i="17"/>
  <c r="V96" i="17" s="1"/>
  <c r="L322" i="17"/>
  <c r="L173" i="16"/>
  <c r="L15" i="16"/>
  <c r="L19" i="16"/>
  <c r="L27" i="16"/>
  <c r="L31" i="16"/>
  <c r="L4" i="16"/>
  <c r="L8" i="16"/>
  <c r="L12" i="16"/>
  <c r="L20" i="16"/>
  <c r="L24" i="16"/>
  <c r="L266" i="16"/>
  <c r="L274" i="16"/>
  <c r="L67" i="16"/>
  <c r="L71" i="16"/>
  <c r="V73" i="16" s="1"/>
  <c r="L112" i="16"/>
  <c r="L120" i="16"/>
  <c r="L131" i="16"/>
  <c r="L233" i="16"/>
  <c r="L249" i="16"/>
  <c r="L257" i="16"/>
  <c r="L200" i="16"/>
  <c r="L13" i="16"/>
  <c r="L17" i="16"/>
  <c r="L36" i="16"/>
  <c r="L40" i="16"/>
  <c r="L48" i="16"/>
  <c r="L60" i="16"/>
  <c r="L64" i="16"/>
  <c r="V66" i="16" s="1"/>
  <c r="L95" i="16"/>
  <c r="L101" i="16"/>
  <c r="L109" i="16"/>
  <c r="L136" i="16"/>
  <c r="L143" i="16"/>
  <c r="L202" i="16"/>
  <c r="L206" i="16"/>
  <c r="L218" i="16"/>
  <c r="L234" i="16"/>
  <c r="L238" i="16"/>
  <c r="L242" i="16"/>
  <c r="L250" i="16"/>
  <c r="L258" i="16"/>
  <c r="L281" i="16"/>
  <c r="L289" i="16"/>
  <c r="L14" i="16"/>
  <c r="L18" i="16"/>
  <c r="L37" i="16"/>
  <c r="L45" i="16"/>
  <c r="L49" i="16"/>
  <c r="L57" i="16"/>
  <c r="L61" i="16"/>
  <c r="L102" i="16"/>
  <c r="L133" i="16"/>
  <c r="L211" i="16"/>
  <c r="L231" i="16"/>
  <c r="L235" i="16"/>
  <c r="L243" i="16"/>
  <c r="L251" i="16"/>
  <c r="L259" i="16"/>
  <c r="L26" i="16"/>
  <c r="L30" i="16"/>
  <c r="L73" i="16"/>
  <c r="V75" i="16" s="1"/>
  <c r="L85" i="16"/>
  <c r="L89" i="16"/>
  <c r="L99" i="16"/>
  <c r="L122" i="16"/>
  <c r="L126" i="16"/>
  <c r="L156" i="16"/>
  <c r="L160" i="16"/>
  <c r="L164" i="16"/>
  <c r="L168" i="16"/>
  <c r="L172" i="16"/>
  <c r="L176" i="16"/>
  <c r="L180" i="16"/>
  <c r="L184" i="16"/>
  <c r="L188" i="16"/>
  <c r="L192" i="16"/>
  <c r="L196" i="16"/>
  <c r="L314" i="16"/>
  <c r="V96" i="16" s="1"/>
  <c r="L318" i="16"/>
  <c r="V100" i="16" s="1"/>
  <c r="L292" i="18"/>
  <c r="L5" i="18"/>
  <c r="L9" i="18"/>
  <c r="L12" i="18"/>
  <c r="L73" i="18"/>
  <c r="V75" i="18" s="1"/>
  <c r="L87" i="18"/>
  <c r="L94" i="18"/>
  <c r="L199" i="18"/>
  <c r="L232" i="18"/>
  <c r="L236" i="18"/>
  <c r="L240" i="18"/>
  <c r="L275" i="18"/>
  <c r="L290" i="18"/>
  <c r="L115" i="18"/>
  <c r="L2" i="18"/>
  <c r="L6" i="18"/>
  <c r="L43" i="18"/>
  <c r="L47" i="18"/>
  <c r="L62" i="18"/>
  <c r="V64" i="18" s="1"/>
  <c r="L70" i="18"/>
  <c r="L81" i="18"/>
  <c r="V83" i="18" s="1"/>
  <c r="L88" i="18"/>
  <c r="L91" i="18"/>
  <c r="L139" i="18"/>
  <c r="L143" i="18"/>
  <c r="L147" i="18"/>
  <c r="L162" i="18"/>
  <c r="L166" i="18"/>
  <c r="L188" i="18"/>
  <c r="L192" i="18"/>
  <c r="L203" i="18"/>
  <c r="L217" i="18"/>
  <c r="L225" i="18"/>
  <c r="L256" i="18"/>
  <c r="L17" i="18"/>
  <c r="L40" i="18"/>
  <c r="L51" i="18"/>
  <c r="L55" i="18"/>
  <c r="L78" i="18"/>
  <c r="V80" i="18" s="1"/>
  <c r="L85" i="18"/>
  <c r="L102" i="18"/>
  <c r="L106" i="18"/>
  <c r="L110" i="18"/>
  <c r="L114" i="18"/>
  <c r="L121" i="18"/>
  <c r="L125" i="18"/>
  <c r="L155" i="18"/>
  <c r="L200" i="18"/>
  <c r="L233" i="18"/>
  <c r="L241" i="18"/>
  <c r="L244" i="18"/>
  <c r="L264" i="18"/>
  <c r="L268" i="18"/>
  <c r="L272" i="18"/>
  <c r="L291" i="18"/>
  <c r="L7" i="18"/>
  <c r="L25" i="18"/>
  <c r="L63" i="18"/>
  <c r="V65" i="18" s="1"/>
  <c r="L67" i="18"/>
  <c r="L71" i="18"/>
  <c r="V73" i="18" s="1"/>
  <c r="L75" i="18"/>
  <c r="V77" i="18" s="1"/>
  <c r="L92" i="18"/>
  <c r="L118" i="18"/>
  <c r="L133" i="18"/>
  <c r="L136" i="18"/>
  <c r="L140" i="18"/>
  <c r="L148" i="18"/>
  <c r="L159" i="18"/>
  <c r="L167" i="18"/>
  <c r="L185" i="18"/>
  <c r="L204" i="18"/>
  <c r="L218" i="18"/>
  <c r="L226" i="18"/>
  <c r="L249" i="18"/>
  <c r="L257" i="18"/>
  <c r="L280" i="18"/>
  <c r="L284" i="18"/>
  <c r="L307" i="18"/>
  <c r="L314" i="18"/>
  <c r="V96" i="18" s="1"/>
  <c r="L322" i="18"/>
  <c r="L156" i="18"/>
  <c r="L14" i="18"/>
  <c r="L18" i="18"/>
  <c r="L22" i="18"/>
  <c r="L29" i="18"/>
  <c r="L33" i="18"/>
  <c r="L41" i="18"/>
  <c r="L56" i="18"/>
  <c r="L79" i="18"/>
  <c r="L96" i="18"/>
  <c r="L111" i="18"/>
  <c r="L122" i="18"/>
  <c r="L126" i="18"/>
  <c r="L152" i="18"/>
  <c r="L171" i="18"/>
  <c r="L182" i="18"/>
  <c r="L234" i="18"/>
  <c r="L242" i="18"/>
  <c r="L265" i="18"/>
  <c r="L273" i="18"/>
  <c r="L174" i="18"/>
  <c r="L231" i="18"/>
  <c r="L238" i="18"/>
  <c r="L245" i="18"/>
  <c r="L263" i="18"/>
  <c r="L270" i="18"/>
  <c r="L277" i="18"/>
  <c r="L295" i="18"/>
  <c r="L302" i="18"/>
  <c r="V84" i="18" s="1"/>
  <c r="L309" i="18"/>
  <c r="V91" i="18" s="1"/>
  <c r="L312" i="18"/>
  <c r="V94" i="18" s="1"/>
  <c r="L177" i="18"/>
  <c r="L30" i="18"/>
  <c r="L37" i="18"/>
  <c r="L44" i="18"/>
  <c r="L48" i="18"/>
  <c r="L61" i="18"/>
  <c r="L68" i="18"/>
  <c r="V70" i="18" s="1"/>
  <c r="L74" i="18"/>
  <c r="V76" i="18" s="1"/>
  <c r="L109" i="18"/>
  <c r="L112" i="18"/>
  <c r="L137" i="18"/>
  <c r="L144" i="18"/>
  <c r="L158" i="18"/>
  <c r="L181" i="18"/>
  <c r="L193" i="18"/>
  <c r="L208" i="18"/>
  <c r="L211" i="18"/>
  <c r="L214" i="18"/>
  <c r="L221" i="18"/>
  <c r="L239" i="18"/>
  <c r="L246" i="18"/>
  <c r="L253" i="18"/>
  <c r="L271" i="18"/>
  <c r="L278" i="18"/>
  <c r="L285" i="18"/>
  <c r="L288" i="18"/>
  <c r="L303" i="18"/>
  <c r="V85" i="18" s="1"/>
  <c r="L310" i="18"/>
  <c r="V92" i="18" s="1"/>
  <c r="L317" i="18"/>
  <c r="V99" i="18" s="1"/>
  <c r="L10" i="18"/>
  <c r="L13" i="18"/>
  <c r="L23" i="18"/>
  <c r="L84" i="18"/>
  <c r="L134" i="18"/>
  <c r="L145" i="18"/>
  <c r="L151" i="18"/>
  <c r="L175" i="18"/>
  <c r="L194" i="18"/>
  <c r="L222" i="18"/>
  <c r="L229" i="18"/>
  <c r="L247" i="18"/>
  <c r="L254" i="18"/>
  <c r="L261" i="18"/>
  <c r="L279" i="18"/>
  <c r="L286" i="18"/>
  <c r="L293" i="18"/>
  <c r="L311" i="18"/>
  <c r="V93" i="18" s="1"/>
  <c r="L318" i="18"/>
  <c r="V100" i="18" s="1"/>
  <c r="L24" i="18"/>
  <c r="L8" i="18"/>
  <c r="L21" i="18"/>
  <c r="L28" i="18"/>
  <c r="L32" i="18"/>
  <c r="L46" i="18"/>
  <c r="L53" i="18"/>
  <c r="L66" i="18"/>
  <c r="V68" i="18" s="1"/>
  <c r="L82" i="18"/>
  <c r="L98" i="18"/>
  <c r="L107" i="18"/>
  <c r="L117" i="18"/>
  <c r="L120" i="18"/>
  <c r="L132" i="18"/>
  <c r="L146" i="18"/>
  <c r="L163" i="18"/>
  <c r="L173" i="18"/>
  <c r="L186" i="18"/>
  <c r="L189" i="18"/>
  <c r="L201" i="18"/>
  <c r="L207" i="18"/>
  <c r="L213" i="18"/>
  <c r="L223" i="18"/>
  <c r="L230" i="18"/>
  <c r="L237" i="18"/>
  <c r="L255" i="18"/>
  <c r="L262" i="18"/>
  <c r="L269" i="18"/>
  <c r="L287" i="18"/>
  <c r="L294" i="18"/>
  <c r="L301" i="18"/>
  <c r="L319" i="18"/>
  <c r="V101" i="18" s="1"/>
  <c r="L26" i="18"/>
  <c r="L65" i="18"/>
  <c r="L89" i="18"/>
  <c r="L108" i="18"/>
  <c r="L116" i="18"/>
  <c r="L235" i="18"/>
  <c r="L267" i="18"/>
  <c r="L299" i="18"/>
  <c r="V102" i="18"/>
  <c r="V79" i="18"/>
  <c r="L52" i="18"/>
  <c r="L80" i="18"/>
  <c r="L170" i="18"/>
  <c r="L183" i="18"/>
  <c r="V89" i="18"/>
  <c r="V81" i="18"/>
  <c r="V72" i="18"/>
  <c r="L202" i="18"/>
  <c r="V66" i="18"/>
  <c r="L69" i="18"/>
  <c r="V74" i="18"/>
  <c r="L36" i="18"/>
  <c r="L58" i="18"/>
  <c r="L42" i="18"/>
  <c r="V69" i="18"/>
  <c r="L165" i="18"/>
  <c r="L178" i="18"/>
  <c r="V86" i="18"/>
  <c r="L157" i="18"/>
  <c r="L197" i="18"/>
  <c r="L5" i="17"/>
  <c r="L43" i="17"/>
  <c r="L106" i="17"/>
  <c r="L149" i="17"/>
  <c r="L186" i="17"/>
  <c r="L212" i="17"/>
  <c r="L231" i="17"/>
  <c r="L281" i="17"/>
  <c r="L12" i="17"/>
  <c r="L19" i="17"/>
  <c r="L40" i="17"/>
  <c r="L54" i="17"/>
  <c r="L76" i="17"/>
  <c r="V78" i="17" s="1"/>
  <c r="L103" i="17"/>
  <c r="L110" i="17"/>
  <c r="L120" i="17"/>
  <c r="L124" i="17"/>
  <c r="L135" i="17"/>
  <c r="L153" i="17"/>
  <c r="L171" i="17"/>
  <c r="L175" i="17"/>
  <c r="L179" i="17"/>
  <c r="L183" i="17"/>
  <c r="L190" i="17"/>
  <c r="L205" i="17"/>
  <c r="L216" i="17"/>
  <c r="L220" i="17"/>
  <c r="L224" i="17"/>
  <c r="L243" i="17"/>
  <c r="L247" i="17"/>
  <c r="L258" i="17"/>
  <c r="L285" i="17"/>
  <c r="L274" i="17"/>
  <c r="L278" i="17"/>
  <c r="L282" i="17"/>
  <c r="L289" i="17"/>
  <c r="L293" i="17"/>
  <c r="L301" i="17"/>
  <c r="L305" i="17"/>
  <c r="L320" i="17"/>
  <c r="V102" i="17" s="1"/>
  <c r="L47" i="17"/>
  <c r="L157" i="17"/>
  <c r="L194" i="17"/>
  <c r="L228" i="17"/>
  <c r="L3" i="17"/>
  <c r="L7" i="17"/>
  <c r="L27" i="17"/>
  <c r="L70" i="17"/>
  <c r="V72" i="17" s="1"/>
  <c r="L118" i="17"/>
  <c r="L129" i="17"/>
  <c r="L140" i="17"/>
  <c r="L147" i="17"/>
  <c r="L154" i="17"/>
  <c r="L158" i="17"/>
  <c r="L169" i="17"/>
  <c r="L195" i="17"/>
  <c r="L199" i="17"/>
  <c r="L203" i="17"/>
  <c r="L214" i="17"/>
  <c r="L229" i="17"/>
  <c r="L263" i="17"/>
  <c r="L267" i="17"/>
  <c r="L271" i="17"/>
  <c r="L275" i="17"/>
  <c r="L279" i="17"/>
  <c r="L321" i="17"/>
  <c r="V103" i="17" s="1"/>
  <c r="L287" i="17"/>
  <c r="L4" i="17"/>
  <c r="L21" i="17"/>
  <c r="L24" i="17"/>
  <c r="L28" i="17"/>
  <c r="L42" i="17"/>
  <c r="L60" i="17"/>
  <c r="L63" i="17"/>
  <c r="V65" i="17" s="1"/>
  <c r="L71" i="17"/>
  <c r="V73" i="17" s="1"/>
  <c r="L122" i="17"/>
  <c r="L256" i="17"/>
  <c r="L307" i="17"/>
  <c r="V89" i="17" s="1"/>
  <c r="L148" i="17"/>
  <c r="L311" i="17"/>
  <c r="V93" i="17" s="1"/>
  <c r="L48" i="17"/>
  <c r="L288" i="17"/>
  <c r="L312" i="17"/>
  <c r="V94" i="17" s="1"/>
  <c r="L15" i="17"/>
  <c r="L99" i="17"/>
  <c r="L208" i="17"/>
  <c r="L260" i="17"/>
  <c r="L125" i="17"/>
  <c r="L23" i="17"/>
  <c r="L93" i="17"/>
  <c r="L89" i="17"/>
  <c r="L8" i="17"/>
  <c r="L44" i="17"/>
  <c r="L163" i="17"/>
  <c r="L187" i="17"/>
  <c r="L197" i="17"/>
  <c r="L241" i="17"/>
  <c r="L297" i="17"/>
  <c r="L318" i="17"/>
  <c r="L45" i="17"/>
  <c r="L94" i="17"/>
  <c r="L164" i="17"/>
  <c r="L11" i="17"/>
  <c r="L80" i="17"/>
  <c r="V82" i="17" s="1"/>
  <c r="L104" i="17"/>
  <c r="L167" i="17"/>
  <c r="L191" i="17"/>
  <c r="L201" i="17"/>
  <c r="L211" i="17"/>
  <c r="L235" i="17"/>
  <c r="L245" i="17"/>
  <c r="L266" i="17"/>
  <c r="L273" i="17"/>
  <c r="L188" i="17"/>
  <c r="L215" i="17"/>
  <c r="L32" i="17"/>
  <c r="L39" i="17"/>
  <c r="L51" i="17"/>
  <c r="L81" i="17"/>
  <c r="V83" i="17" s="1"/>
  <c r="L128" i="17"/>
  <c r="L174" i="17"/>
  <c r="L177" i="17"/>
  <c r="L198" i="17"/>
  <c r="L218" i="17"/>
  <c r="L225" i="17"/>
  <c r="L239" i="17"/>
  <c r="L242" i="17"/>
  <c r="L249" i="17"/>
  <c r="L270" i="17"/>
  <c r="L277" i="17"/>
  <c r="L295" i="17"/>
  <c r="L298" i="17"/>
  <c r="L319" i="17"/>
  <c r="V101" i="17" s="1"/>
  <c r="V69" i="17"/>
  <c r="V80" i="17"/>
  <c r="V76" i="17"/>
  <c r="L141" i="17"/>
  <c r="L17" i="17"/>
  <c r="V64" i="17"/>
  <c r="V74" i="17"/>
  <c r="L210" i="17"/>
  <c r="L33" i="17"/>
  <c r="L36" i="17"/>
  <c r="V66" i="17"/>
  <c r="V71" i="17"/>
  <c r="L202" i="17"/>
  <c r="L66" i="17"/>
  <c r="L131" i="17"/>
  <c r="L49" i="17"/>
  <c r="L52" i="17"/>
  <c r="L65" i="17"/>
  <c r="L86" i="17"/>
  <c r="L90" i="17"/>
  <c r="L113" i="17"/>
  <c r="L145" i="17"/>
  <c r="L59" i="17"/>
  <c r="L109" i="17"/>
  <c r="L30" i="17"/>
  <c r="V86" i="17"/>
  <c r="L107" i="17"/>
  <c r="L139" i="17"/>
  <c r="L221" i="17"/>
  <c r="L251" i="17"/>
  <c r="L315" i="17"/>
  <c r="V87" i="17"/>
  <c r="L111" i="17"/>
  <c r="L143" i="17"/>
  <c r="L165" i="17"/>
  <c r="V100" i="17"/>
  <c r="L234" i="17"/>
  <c r="V90" i="17"/>
  <c r="L119" i="17"/>
  <c r="L151" i="17"/>
  <c r="L123" i="17"/>
  <c r="L189" i="17"/>
  <c r="L283" i="17"/>
  <c r="V98" i="17"/>
  <c r="L11" i="16"/>
  <c r="L94" i="16"/>
  <c r="L292" i="16"/>
  <c r="L52" i="16"/>
  <c r="L77" i="16"/>
  <c r="V79" i="16" s="1"/>
  <c r="L175" i="16"/>
  <c r="L225" i="16"/>
  <c r="L267" i="16"/>
  <c r="L275" i="16"/>
  <c r="L282" i="16"/>
  <c r="L286" i="16"/>
  <c r="L305" i="16"/>
  <c r="V87" i="16" s="1"/>
  <c r="L53" i="16"/>
  <c r="L138" i="16"/>
  <c r="L210" i="16"/>
  <c r="L241" i="16"/>
  <c r="L279" i="16"/>
  <c r="L321" i="16"/>
  <c r="V103" i="16" s="1"/>
  <c r="L90" i="16"/>
  <c r="L93" i="16"/>
  <c r="L117" i="16"/>
  <c r="L157" i="16"/>
  <c r="L226" i="16"/>
  <c r="L245" i="16"/>
  <c r="L272" i="16"/>
  <c r="L291" i="16"/>
  <c r="L298" i="16"/>
  <c r="L306" i="16"/>
  <c r="V88" i="16" s="1"/>
  <c r="L46" i="16"/>
  <c r="L50" i="16"/>
  <c r="L54" i="16"/>
  <c r="L65" i="16"/>
  <c r="V67" i="16" s="1"/>
  <c r="L68" i="16"/>
  <c r="V70" i="16" s="1"/>
  <c r="L110" i="16"/>
  <c r="L135" i="16"/>
  <c r="L260" i="16"/>
  <c r="L2" i="16"/>
  <c r="L10" i="16"/>
  <c r="L34" i="16"/>
  <c r="L62" i="16"/>
  <c r="V64" i="16" s="1"/>
  <c r="L69" i="16"/>
  <c r="L76" i="16"/>
  <c r="V78" i="16" s="1"/>
  <c r="L80" i="16"/>
  <c r="L84" i="16"/>
  <c r="L96" i="16"/>
  <c r="L114" i="16"/>
  <c r="L132" i="16"/>
  <c r="L146" i="16"/>
  <c r="L150" i="16"/>
  <c r="L154" i="16"/>
  <c r="L158" i="16"/>
  <c r="L181" i="16"/>
  <c r="L227" i="16"/>
  <c r="L265" i="16"/>
  <c r="L273" i="16"/>
  <c r="L284" i="16"/>
  <c r="L288" i="16"/>
  <c r="L299" i="16"/>
  <c r="L307" i="16"/>
  <c r="L103" i="16"/>
  <c r="L129" i="16"/>
  <c r="L189" i="16"/>
  <c r="L248" i="16"/>
  <c r="L263" i="16"/>
  <c r="L270" i="16"/>
  <c r="L277" i="16"/>
  <c r="L280" i="16"/>
  <c r="L295" i="16"/>
  <c r="L302" i="16"/>
  <c r="V84" i="16" s="1"/>
  <c r="L309" i="16"/>
  <c r="V91" i="16" s="1"/>
  <c r="L9" i="16"/>
  <c r="L28" i="16"/>
  <c r="L44" i="16"/>
  <c r="L148" i="16"/>
  <c r="L193" i="16"/>
  <c r="L6" i="16"/>
  <c r="L16" i="16"/>
  <c r="L38" i="16"/>
  <c r="L41" i="16"/>
  <c r="L51" i="16"/>
  <c r="L58" i="16"/>
  <c r="L104" i="16"/>
  <c r="L118" i="16"/>
  <c r="L124" i="16"/>
  <c r="L145" i="16"/>
  <c r="L152" i="16"/>
  <c r="L162" i="16"/>
  <c r="L169" i="16"/>
  <c r="L190" i="16"/>
  <c r="L197" i="16"/>
  <c r="L207" i="16"/>
  <c r="L214" i="16"/>
  <c r="L221" i="16"/>
  <c r="L239" i="16"/>
  <c r="L246" i="16"/>
  <c r="L253" i="16"/>
  <c r="L271" i="16"/>
  <c r="L278" i="16"/>
  <c r="L285" i="16"/>
  <c r="L303" i="16"/>
  <c r="V85" i="16" s="1"/>
  <c r="L310" i="16"/>
  <c r="V92" i="16" s="1"/>
  <c r="L317" i="16"/>
  <c r="V99" i="16" s="1"/>
  <c r="L7" i="16"/>
  <c r="L22" i="16"/>
  <c r="L39" i="16"/>
  <c r="L42" i="16"/>
  <c r="L78" i="16"/>
  <c r="V80" i="16" s="1"/>
  <c r="L140" i="16"/>
  <c r="L163" i="16"/>
  <c r="L170" i="16"/>
  <c r="L177" i="16"/>
  <c r="L215" i="16"/>
  <c r="L222" i="16"/>
  <c r="L229" i="16"/>
  <c r="L247" i="16"/>
  <c r="L254" i="16"/>
  <c r="L261" i="16"/>
  <c r="L296" i="16"/>
  <c r="L195" i="16"/>
  <c r="L283" i="16"/>
  <c r="L290" i="16"/>
  <c r="L297" i="16"/>
  <c r="L315" i="16"/>
  <c r="V97" i="16" s="1"/>
  <c r="L322" i="16"/>
  <c r="L23" i="16"/>
  <c r="L75" i="16"/>
  <c r="V77" i="16" s="1"/>
  <c r="L82" i="16"/>
  <c r="L100" i="16"/>
  <c r="L106" i="16"/>
  <c r="L116" i="16"/>
  <c r="L141" i="16"/>
  <c r="L171" i="16"/>
  <c r="L178" i="16"/>
  <c r="L185" i="16"/>
  <c r="L199" i="16"/>
  <c r="L205" i="16"/>
  <c r="L223" i="16"/>
  <c r="L230" i="16"/>
  <c r="L237" i="16"/>
  <c r="L255" i="16"/>
  <c r="L262" i="16"/>
  <c r="L269" i="16"/>
  <c r="L287" i="16"/>
  <c r="L294" i="16"/>
  <c r="L301" i="16"/>
  <c r="L319" i="16"/>
  <c r="V101" i="16" s="1"/>
  <c r="L5" i="16"/>
  <c r="L43" i="16"/>
  <c r="L137" i="16"/>
  <c r="L66" i="16"/>
  <c r="L81" i="16"/>
  <c r="L121" i="16"/>
  <c r="V71" i="16"/>
  <c r="V76" i="16"/>
  <c r="L86" i="16"/>
  <c r="L113" i="16"/>
  <c r="L203" i="16"/>
  <c r="V102" i="16"/>
  <c r="L32" i="16"/>
  <c r="V81" i="16"/>
  <c r="V89" i="16"/>
  <c r="L56" i="16"/>
  <c r="L91" i="16"/>
  <c r="L144" i="16"/>
  <c r="V93" i="16"/>
  <c r="V69" i="16"/>
  <c r="V82" i="16"/>
  <c r="L105" i="16"/>
  <c r="L128" i="16"/>
  <c r="L219" i="16"/>
  <c r="L33" i="16"/>
  <c r="V72" i="16"/>
  <c r="L108" i="16"/>
  <c r="V86" i="16"/>
  <c r="L155" i="16"/>
  <c r="L161" i="16"/>
  <c r="L322" i="1"/>
  <c r="V82" i="18" l="1"/>
  <c r="V71" i="18"/>
  <c r="V67" i="18"/>
  <c r="N5" i="18" s="1"/>
  <c r="V97" i="17"/>
  <c r="V68" i="17"/>
  <c r="V67" i="17"/>
  <c r="V83" i="16"/>
  <c r="V68" i="16"/>
  <c r="N5" i="16" s="1"/>
  <c r="M209" i="18" l="1"/>
  <c r="M201" i="18"/>
  <c r="M193" i="18"/>
  <c r="M205" i="18"/>
  <c r="M181" i="18"/>
  <c r="M171" i="18"/>
  <c r="M120" i="18"/>
  <c r="M114" i="18"/>
  <c r="M128" i="18"/>
  <c r="M152" i="18"/>
  <c r="M40" i="18"/>
  <c r="M37" i="18"/>
  <c r="M132" i="18"/>
  <c r="M136" i="18"/>
  <c r="M211" i="18"/>
  <c r="M90" i="18"/>
  <c r="M147" i="18"/>
  <c r="M13" i="18"/>
  <c r="M7" i="18"/>
  <c r="M143" i="18"/>
  <c r="M70" i="18"/>
  <c r="M110" i="18"/>
  <c r="M84" i="18"/>
  <c r="M41" i="18"/>
  <c r="M138" i="18"/>
  <c r="M239" i="18"/>
  <c r="M231" i="18"/>
  <c r="M275" i="18"/>
  <c r="M88" i="18"/>
  <c r="M76" i="18"/>
  <c r="M148" i="18"/>
  <c r="M279" i="18"/>
  <c r="M51" i="18"/>
  <c r="M155" i="18"/>
  <c r="M283" i="18"/>
  <c r="M277" i="18"/>
  <c r="M48" i="18"/>
  <c r="M168" i="18"/>
  <c r="M240" i="18"/>
  <c r="M319" i="18"/>
  <c r="M191" i="18"/>
  <c r="M249" i="18"/>
  <c r="M313" i="18"/>
  <c r="M196" i="18"/>
  <c r="M218" i="18"/>
  <c r="M250" i="18"/>
  <c r="M282" i="18"/>
  <c r="M314" i="18"/>
  <c r="M57" i="18"/>
  <c r="M312" i="18"/>
  <c r="M180" i="18"/>
  <c r="M293" i="18"/>
  <c r="M72" i="18"/>
  <c r="M187" i="18"/>
  <c r="M31" i="18"/>
  <c r="M67" i="18"/>
  <c r="M255" i="18"/>
  <c r="M198" i="18"/>
  <c r="M257" i="18"/>
  <c r="M321" i="18"/>
  <c r="M145" i="18"/>
  <c r="M254" i="18"/>
  <c r="M286" i="18"/>
  <c r="M318" i="18"/>
  <c r="M322" i="18"/>
  <c r="M102" i="18"/>
  <c r="M238" i="18"/>
  <c r="M53" i="18"/>
  <c r="M261" i="18"/>
  <c r="M179" i="18"/>
  <c r="M297" i="18"/>
  <c r="M160" i="18"/>
  <c r="M276" i="18"/>
  <c r="M214" i="18"/>
  <c r="M2" i="18"/>
  <c r="M11" i="18"/>
  <c r="M27" i="18"/>
  <c r="M14" i="18"/>
  <c r="M4" i="18"/>
  <c r="M66" i="18"/>
  <c r="M131" i="18"/>
  <c r="M252" i="18"/>
  <c r="M97" i="18"/>
  <c r="M141" i="18"/>
  <c r="M253" i="18"/>
  <c r="M317" i="18"/>
  <c r="M12" i="18"/>
  <c r="M73" i="18"/>
  <c r="M176" i="18"/>
  <c r="M292" i="18"/>
  <c r="M107" i="18"/>
  <c r="M94" i="18"/>
  <c r="M99" i="18"/>
  <c r="M300" i="18"/>
  <c r="M158" i="18"/>
  <c r="M222" i="18"/>
  <c r="M311" i="18"/>
  <c r="M153" i="18"/>
  <c r="M149" i="18"/>
  <c r="M262" i="18"/>
  <c r="M28" i="18"/>
  <c r="M287" i="18"/>
  <c r="M169" i="18"/>
  <c r="M298" i="18"/>
  <c r="M134" i="18"/>
  <c r="M98" i="18"/>
  <c r="M228" i="18"/>
  <c r="M133" i="18"/>
  <c r="M39" i="18"/>
  <c r="M15" i="18"/>
  <c r="M289" i="18"/>
  <c r="M59" i="18"/>
  <c r="M125" i="18"/>
  <c r="M74" i="18"/>
  <c r="M251" i="18"/>
  <c r="M233" i="18"/>
  <c r="M306" i="18"/>
  <c r="M6" i="18"/>
  <c r="M43" i="18"/>
  <c r="M24" i="18"/>
  <c r="M8" i="18"/>
  <c r="M75" i="18"/>
  <c r="M208" i="18"/>
  <c r="M68" i="18"/>
  <c r="M129" i="18"/>
  <c r="M101" i="18"/>
  <c r="M60" i="18"/>
  <c r="M144" i="18"/>
  <c r="M256" i="18"/>
  <c r="M19" i="18"/>
  <c r="M307" i="18"/>
  <c r="M159" i="18"/>
  <c r="M25" i="18"/>
  <c r="M111" i="18"/>
  <c r="M207" i="18"/>
  <c r="M296" i="18"/>
  <c r="M123" i="18"/>
  <c r="M195" i="18"/>
  <c r="M315" i="18"/>
  <c r="M184" i="18"/>
  <c r="M269" i="18"/>
  <c r="M137" i="18"/>
  <c r="M210" i="18"/>
  <c r="M265" i="18"/>
  <c r="M226" i="18"/>
  <c r="M258" i="18"/>
  <c r="M290" i="18"/>
  <c r="M140" i="18"/>
  <c r="M212" i="18"/>
  <c r="M164" i="18"/>
  <c r="M294" i="18"/>
  <c r="M175" i="18"/>
  <c r="M166" i="18"/>
  <c r="M281" i="18"/>
  <c r="M234" i="18"/>
  <c r="M96" i="18"/>
  <c r="M189" i="18"/>
  <c r="M54" i="18"/>
  <c r="M247" i="18"/>
  <c r="M112" i="18"/>
  <c r="M139" i="18"/>
  <c r="M182" i="18"/>
  <c r="M302" i="18"/>
  <c r="M16" i="18"/>
  <c r="M221" i="18"/>
  <c r="M135" i="18"/>
  <c r="M34" i="18"/>
  <c r="M206" i="18"/>
  <c r="M91" i="18"/>
  <c r="M142" i="18"/>
  <c r="M268" i="18"/>
  <c r="M241" i="18"/>
  <c r="M310" i="18"/>
  <c r="M30" i="18"/>
  <c r="M3" i="18"/>
  <c r="M81" i="18"/>
  <c r="M56" i="18"/>
  <c r="M21" i="18"/>
  <c r="M248" i="18"/>
  <c r="M87" i="18"/>
  <c r="M163" i="18"/>
  <c r="M284" i="18"/>
  <c r="M259" i="18"/>
  <c r="M63" i="18"/>
  <c r="M150" i="18"/>
  <c r="M271" i="18"/>
  <c r="M320" i="18"/>
  <c r="M22" i="18"/>
  <c r="M83" i="18"/>
  <c r="M200" i="18"/>
  <c r="M199" i="18"/>
  <c r="M50" i="18"/>
  <c r="M122" i="18"/>
  <c r="M229" i="18"/>
  <c r="M309" i="18"/>
  <c r="M78" i="18"/>
  <c r="M215" i="18"/>
  <c r="M32" i="18"/>
  <c r="M45" i="18"/>
  <c r="M92" i="18"/>
  <c r="M190" i="18"/>
  <c r="M272" i="18"/>
  <c r="M273" i="18"/>
  <c r="M230" i="18"/>
  <c r="M266" i="18"/>
  <c r="M119" i="18"/>
  <c r="M186" i="18"/>
  <c r="M162" i="18"/>
  <c r="M77" i="18"/>
  <c r="M117" i="18"/>
  <c r="M18" i="18"/>
  <c r="M71" i="18"/>
  <c r="M227" i="18"/>
  <c r="M236" i="18"/>
  <c r="M124" i="18"/>
  <c r="M213" i="18"/>
  <c r="M225" i="18"/>
  <c r="M192" i="18"/>
  <c r="M9" i="18"/>
  <c r="M154" i="18"/>
  <c r="M79" i="18"/>
  <c r="M17" i="18"/>
  <c r="M118" i="18"/>
  <c r="M242" i="18"/>
  <c r="M10" i="18"/>
  <c r="M220" i="18"/>
  <c r="M295" i="18"/>
  <c r="M224" i="18"/>
  <c r="M260" i="18"/>
  <c r="M245" i="18"/>
  <c r="M264" i="18"/>
  <c r="M151" i="18"/>
  <c r="M174" i="18"/>
  <c r="M246" i="18"/>
  <c r="M33" i="18"/>
  <c r="M86" i="18"/>
  <c r="M100" i="18"/>
  <c r="M106" i="18"/>
  <c r="M46" i="18"/>
  <c r="M95" i="18"/>
  <c r="M280" i="18"/>
  <c r="M173" i="18"/>
  <c r="M82" i="18"/>
  <c r="M167" i="18"/>
  <c r="M285" i="18"/>
  <c r="M44" i="18"/>
  <c r="M93" i="18"/>
  <c r="M203" i="18"/>
  <c r="M23" i="18"/>
  <c r="M291" i="18"/>
  <c r="M61" i="18"/>
  <c r="M126" i="18"/>
  <c r="M232" i="18"/>
  <c r="M219" i="18"/>
  <c r="M113" i="18"/>
  <c r="M104" i="18"/>
  <c r="M204" i="18"/>
  <c r="M217" i="18"/>
  <c r="M185" i="18"/>
  <c r="M288" i="18"/>
  <c r="M301" i="18"/>
  <c r="M270" i="18"/>
  <c r="M121" i="18"/>
  <c r="M38" i="18"/>
  <c r="M105" i="18"/>
  <c r="M194" i="18"/>
  <c r="M263" i="18"/>
  <c r="M303" i="18"/>
  <c r="M243" i="18"/>
  <c r="M172" i="18"/>
  <c r="M244" i="18"/>
  <c r="M64" i="18"/>
  <c r="M146" i="18"/>
  <c r="M161" i="18"/>
  <c r="M156" i="18"/>
  <c r="M274" i="18"/>
  <c r="M130" i="18"/>
  <c r="M62" i="18"/>
  <c r="M20" i="18"/>
  <c r="M127" i="18"/>
  <c r="M55" i="18"/>
  <c r="M216" i="18"/>
  <c r="M304" i="18"/>
  <c r="M177" i="18"/>
  <c r="M278" i="18"/>
  <c r="M109" i="18"/>
  <c r="M49" i="18"/>
  <c r="M103" i="18"/>
  <c r="M35" i="18"/>
  <c r="M316" i="18"/>
  <c r="M47" i="18"/>
  <c r="M5" i="18"/>
  <c r="M188" i="18"/>
  <c r="M308" i="18"/>
  <c r="M223" i="18"/>
  <c r="M85" i="18"/>
  <c r="M115" i="18"/>
  <c r="M29" i="18"/>
  <c r="M237" i="18"/>
  <c r="M305" i="18"/>
  <c r="M197" i="18"/>
  <c r="M42" i="18"/>
  <c r="M52" i="18"/>
  <c r="M157" i="18"/>
  <c r="M26" i="18"/>
  <c r="M65" i="18"/>
  <c r="M108" i="18"/>
  <c r="M36" i="18"/>
  <c r="M178" i="18"/>
  <c r="M58" i="18"/>
  <c r="M183" i="18"/>
  <c r="M202" i="18"/>
  <c r="M80" i="18"/>
  <c r="M69" i="18"/>
  <c r="M299" i="18"/>
  <c r="M89" i="18"/>
  <c r="M267" i="18"/>
  <c r="M170" i="18"/>
  <c r="M165" i="18"/>
  <c r="M116" i="18"/>
  <c r="M235" i="18"/>
  <c r="N5" i="17"/>
  <c r="M261" i="17"/>
  <c r="M285" i="17"/>
  <c r="M317" i="17"/>
  <c r="M309" i="17"/>
  <c r="M245" i="17"/>
  <c r="M211" i="17"/>
  <c r="M269" i="17"/>
  <c r="M293" i="17"/>
  <c r="M253" i="17"/>
  <c r="M101" i="17"/>
  <c r="M179" i="17"/>
  <c r="M41" i="17"/>
  <c r="M301" i="17"/>
  <c r="M277" i="17"/>
  <c r="M181" i="17"/>
  <c r="M171" i="17"/>
  <c r="M34" i="17"/>
  <c r="M88" i="17"/>
  <c r="M235" i="17"/>
  <c r="M240" i="17"/>
  <c r="M6" i="17"/>
  <c r="M2" i="17"/>
  <c r="M12" i="17"/>
  <c r="M92" i="17"/>
  <c r="M27" i="17"/>
  <c r="M25" i="17"/>
  <c r="M8" i="17"/>
  <c r="M83" i="17"/>
  <c r="M80" i="17"/>
  <c r="M133" i="17"/>
  <c r="M238" i="17"/>
  <c r="M286" i="17"/>
  <c r="M51" i="17"/>
  <c r="M144" i="17"/>
  <c r="M320" i="17"/>
  <c r="M26" i="17"/>
  <c r="M197" i="17"/>
  <c r="M292" i="17"/>
  <c r="M233" i="17"/>
  <c r="M130" i="17"/>
  <c r="M280" i="17"/>
  <c r="M264" i="17"/>
  <c r="M203" i="17"/>
  <c r="M194" i="17"/>
  <c r="M229" i="17"/>
  <c r="M20" i="17"/>
  <c r="M138" i="17"/>
  <c r="M304" i="17"/>
  <c r="M198" i="17"/>
  <c r="M275" i="17"/>
  <c r="M193" i="17"/>
  <c r="M318" i="17"/>
  <c r="M117" i="17"/>
  <c r="M307" i="17"/>
  <c r="M217" i="17"/>
  <c r="M313" i="17"/>
  <c r="M287" i="17"/>
  <c r="M266" i="17"/>
  <c r="M68" i="17"/>
  <c r="M316" i="17"/>
  <c r="M274" i="17"/>
  <c r="M23" i="17"/>
  <c r="M254" i="17"/>
  <c r="M244" i="17"/>
  <c r="M149" i="17"/>
  <c r="M222" i="17"/>
  <c r="M249" i="17"/>
  <c r="M311" i="17"/>
  <c r="M290" i="17"/>
  <c r="M72" i="17"/>
  <c r="M178" i="17"/>
  <c r="M160" i="17"/>
  <c r="M185" i="17"/>
  <c r="M214" i="17"/>
  <c r="M196" i="17"/>
  <c r="M91" i="17"/>
  <c r="M105" i="17"/>
  <c r="M57" i="17"/>
  <c r="M28" i="17"/>
  <c r="M38" i="17"/>
  <c r="M110" i="17"/>
  <c r="M118" i="17"/>
  <c r="M148" i="17"/>
  <c r="M289" i="17"/>
  <c r="M163" i="17"/>
  <c r="M48" i="17"/>
  <c r="M69" i="17"/>
  <c r="M200" i="17"/>
  <c r="M136" i="17"/>
  <c r="M272" i="17"/>
  <c r="M134" i="17"/>
  <c r="M63" i="17"/>
  <c r="M99" i="17"/>
  <c r="M248" i="17"/>
  <c r="M204" i="17"/>
  <c r="M46" i="17"/>
  <c r="M161" i="17"/>
  <c r="M302" i="17"/>
  <c r="M206" i="17"/>
  <c r="M132" i="17"/>
  <c r="M267" i="17"/>
  <c r="M188" i="17"/>
  <c r="M177" i="17"/>
  <c r="M230" i="17"/>
  <c r="M295" i="17"/>
  <c r="M84" i="17"/>
  <c r="M7" i="17"/>
  <c r="M122" i="17"/>
  <c r="M219" i="17"/>
  <c r="M296" i="17"/>
  <c r="M279" i="17"/>
  <c r="M232" i="17"/>
  <c r="M114" i="17"/>
  <c r="M40" i="17"/>
  <c r="M31" i="17"/>
  <c r="M44" i="17"/>
  <c r="M142" i="17"/>
  <c r="M150" i="17"/>
  <c r="M4" i="17"/>
  <c r="M61" i="17"/>
  <c r="M85" i="17"/>
  <c r="M62" i="17"/>
  <c r="M169" i="17"/>
  <c r="M32" i="17"/>
  <c r="M3" i="17"/>
  <c r="M231" i="17"/>
  <c r="M162" i="17"/>
  <c r="M14" i="17"/>
  <c r="M140" i="17"/>
  <c r="M29" i="17"/>
  <c r="M218" i="17"/>
  <c r="M124" i="17"/>
  <c r="M173" i="17"/>
  <c r="M305" i="17"/>
  <c r="M228" i="17"/>
  <c r="M236" i="17"/>
  <c r="M321" i="17"/>
  <c r="M147" i="17"/>
  <c r="M294" i="17"/>
  <c r="M209" i="17"/>
  <c r="M220" i="17"/>
  <c r="M246" i="17"/>
  <c r="M303" i="17"/>
  <c r="M282" i="17"/>
  <c r="M182" i="17"/>
  <c r="M129" i="17"/>
  <c r="M268" i="17"/>
  <c r="M115" i="17"/>
  <c r="M322" i="17"/>
  <c r="M15" i="17"/>
  <c r="M120" i="17"/>
  <c r="M43" i="17"/>
  <c r="M37" i="17"/>
  <c r="M53" i="17"/>
  <c r="M11" i="17"/>
  <c r="M176" i="17"/>
  <c r="M121" i="17"/>
  <c r="M175" i="17"/>
  <c r="M126" i="17"/>
  <c r="M73" i="17"/>
  <c r="M256" i="17"/>
  <c r="M56" i="17"/>
  <c r="M157" i="17"/>
  <c r="M81" i="17"/>
  <c r="M186" i="17"/>
  <c r="M16" i="17"/>
  <c r="M225" i="17"/>
  <c r="M239" i="17"/>
  <c r="M297" i="17"/>
  <c r="M247" i="17"/>
  <c r="M116" i="17"/>
  <c r="M192" i="17"/>
  <c r="M13" i="17"/>
  <c r="M64" i="17"/>
  <c r="M89" i="17"/>
  <c r="M106" i="17"/>
  <c r="M9" i="17"/>
  <c r="M137" i="17"/>
  <c r="M87" i="17"/>
  <c r="M95" i="17"/>
  <c r="M67" i="17"/>
  <c r="M47" i="17"/>
  <c r="M24" i="17"/>
  <c r="M70" i="17"/>
  <c r="M74" i="17"/>
  <c r="M153" i="17"/>
  <c r="M77" i="17"/>
  <c r="M187" i="17"/>
  <c r="M35" i="17"/>
  <c r="M75" i="17"/>
  <c r="M55" i="17"/>
  <c r="M262" i="17"/>
  <c r="M94" i="17"/>
  <c r="M167" i="17"/>
  <c r="M223" i="17"/>
  <c r="M39" i="17"/>
  <c r="M125" i="17"/>
  <c r="M237" i="17"/>
  <c r="M183" i="17"/>
  <c r="M19" i="17"/>
  <c r="M195" i="17"/>
  <c r="M278" i="17"/>
  <c r="M257" i="17"/>
  <c r="M308" i="17"/>
  <c r="M170" i="17"/>
  <c r="M300" i="17"/>
  <c r="M243" i="17"/>
  <c r="M158" i="17"/>
  <c r="M252" i="17"/>
  <c r="M255" i="17"/>
  <c r="M319" i="17"/>
  <c r="M298" i="17"/>
  <c r="M184" i="17"/>
  <c r="M215" i="17"/>
  <c r="M172" i="17"/>
  <c r="M18" i="17"/>
  <c r="M146" i="17"/>
  <c r="M103" i="17"/>
  <c r="M159" i="17"/>
  <c r="M50" i="17"/>
  <c r="M154" i="17"/>
  <c r="M213" i="17"/>
  <c r="M100" i="17"/>
  <c r="M190" i="17"/>
  <c r="M104" i="17"/>
  <c r="M96" i="17"/>
  <c r="M93" i="17"/>
  <c r="M312" i="17"/>
  <c r="M98" i="17"/>
  <c r="M191" i="17"/>
  <c r="M97" i="17"/>
  <c r="M265" i="17"/>
  <c r="M128" i="17"/>
  <c r="M10" i="17"/>
  <c r="M212" i="17"/>
  <c r="M205" i="17"/>
  <c r="M155" i="17"/>
  <c r="M281" i="17"/>
  <c r="M260" i="17"/>
  <c r="M82" i="17"/>
  <c r="M180" i="17"/>
  <c r="M241" i="17"/>
  <c r="M270" i="17"/>
  <c r="M166" i="17"/>
  <c r="M263" i="17"/>
  <c r="M242" i="17"/>
  <c r="M306" i="17"/>
  <c r="M168" i="17"/>
  <c r="M224" i="17"/>
  <c r="M258" i="17"/>
  <c r="M22" i="17"/>
  <c r="M152" i="17"/>
  <c r="M60" i="17"/>
  <c r="M21" i="17"/>
  <c r="M71" i="17"/>
  <c r="M54" i="17"/>
  <c r="M5" i="17"/>
  <c r="M78" i="17"/>
  <c r="M174" i="17"/>
  <c r="M227" i="17"/>
  <c r="M112" i="17"/>
  <c r="M156" i="17"/>
  <c r="M42" i="17"/>
  <c r="M127" i="17"/>
  <c r="M199" i="17"/>
  <c r="M108" i="17"/>
  <c r="M207" i="17"/>
  <c r="M135" i="17"/>
  <c r="M79" i="17"/>
  <c r="M76" i="17"/>
  <c r="M259" i="17"/>
  <c r="M45" i="17"/>
  <c r="M288" i="17"/>
  <c r="M164" i="17"/>
  <c r="M284" i="17"/>
  <c r="M291" i="17"/>
  <c r="M102" i="17"/>
  <c r="M201" i="17"/>
  <c r="M273" i="17"/>
  <c r="M310" i="17"/>
  <c r="M271" i="17"/>
  <c r="M250" i="17"/>
  <c r="M314" i="17"/>
  <c r="M208" i="17"/>
  <c r="M216" i="17"/>
  <c r="M226" i="17"/>
  <c r="M58" i="17"/>
  <c r="M299" i="17"/>
  <c r="M276" i="17"/>
  <c r="M189" i="17"/>
  <c r="M143" i="17"/>
  <c r="M119" i="17"/>
  <c r="M221" i="17"/>
  <c r="M113" i="17"/>
  <c r="M165" i="17"/>
  <c r="M202" i="17"/>
  <c r="M86" i="17"/>
  <c r="M151" i="17"/>
  <c r="M145" i="17"/>
  <c r="M49" i="17"/>
  <c r="M66" i="17"/>
  <c r="M234" i="17"/>
  <c r="M36" i="17"/>
  <c r="M283" i="17"/>
  <c r="M30" i="17"/>
  <c r="M139" i="17"/>
  <c r="M33" i="17"/>
  <c r="M251" i="17"/>
  <c r="M52" i="17"/>
  <c r="M210" i="17"/>
  <c r="M141" i="17"/>
  <c r="M59" i="17"/>
  <c r="M17" i="17"/>
  <c r="M65" i="17"/>
  <c r="M131" i="17"/>
  <c r="M107" i="17"/>
  <c r="M315" i="17"/>
  <c r="M111" i="17"/>
  <c r="M90" i="17"/>
  <c r="M123" i="17"/>
  <c r="M109" i="17"/>
  <c r="O2" i="18" l="1"/>
  <c r="P202" i="18" s="1"/>
  <c r="O2" i="17"/>
  <c r="P299" i="17" s="1"/>
  <c r="P38" i="17"/>
  <c r="P136" i="17"/>
  <c r="P110" i="17"/>
  <c r="M197" i="16"/>
  <c r="M181" i="16"/>
  <c r="M165" i="16"/>
  <c r="M139" i="16"/>
  <c r="M123" i="16"/>
  <c r="M189" i="16"/>
  <c r="M100" i="16"/>
  <c r="M54" i="16"/>
  <c r="M114" i="16"/>
  <c r="M173" i="16"/>
  <c r="M47" i="16"/>
  <c r="M117" i="16"/>
  <c r="M78" i="16"/>
  <c r="M31" i="16"/>
  <c r="M157" i="16"/>
  <c r="M124" i="16"/>
  <c r="M38" i="16"/>
  <c r="M57" i="16"/>
  <c r="M200" i="16"/>
  <c r="M140" i="16"/>
  <c r="M147" i="16"/>
  <c r="M131" i="16"/>
  <c r="M73" i="16"/>
  <c r="M8" i="16"/>
  <c r="M168" i="16"/>
  <c r="M34" i="16"/>
  <c r="M25" i="16"/>
  <c r="M10" i="16"/>
  <c r="M4" i="16"/>
  <c r="M109" i="16"/>
  <c r="M227" i="16"/>
  <c r="M162" i="16"/>
  <c r="M280" i="16"/>
  <c r="M58" i="16"/>
  <c r="M178" i="16"/>
  <c r="M36" i="16"/>
  <c r="M74" i="16"/>
  <c r="M163" i="16"/>
  <c r="M256" i="16"/>
  <c r="M62" i="16"/>
  <c r="M110" i="16"/>
  <c r="M167" i="16"/>
  <c r="M292" i="16"/>
  <c r="M130" i="16"/>
  <c r="M247" i="16"/>
  <c r="M244" i="16"/>
  <c r="M72" i="16"/>
  <c r="M107" i="16"/>
  <c r="M251" i="16"/>
  <c r="M171" i="16"/>
  <c r="M255" i="16"/>
  <c r="M158" i="16"/>
  <c r="M169" i="16"/>
  <c r="M241" i="16"/>
  <c r="M305" i="16"/>
  <c r="M226" i="16"/>
  <c r="M198" i="16"/>
  <c r="M266" i="16"/>
  <c r="M298" i="16"/>
  <c r="M2" i="16"/>
  <c r="M12" i="16"/>
  <c r="M41" i="16"/>
  <c r="M77" i="16"/>
  <c r="M21" i="16"/>
  <c r="M11" i="16"/>
  <c r="M184" i="16"/>
  <c r="M85" i="16"/>
  <c r="M308" i="16"/>
  <c r="M269" i="16"/>
  <c r="M174" i="16"/>
  <c r="M313" i="16"/>
  <c r="M238" i="16"/>
  <c r="M270" i="16"/>
  <c r="M304" i="16"/>
  <c r="M213" i="16"/>
  <c r="M295" i="16"/>
  <c r="M61" i="16"/>
  <c r="M220" i="16"/>
  <c r="M259" i="16"/>
  <c r="M194" i="16"/>
  <c r="M271" i="16"/>
  <c r="M320" i="16"/>
  <c r="M64" i="16"/>
  <c r="M116" i="16"/>
  <c r="M179" i="16"/>
  <c r="M307" i="16"/>
  <c r="M136" i="16"/>
  <c r="M261" i="16"/>
  <c r="M80" i="16"/>
  <c r="M120" i="16"/>
  <c r="M268" i="16"/>
  <c r="M70" i="16"/>
  <c r="M176" i="16"/>
  <c r="M164" i="16"/>
  <c r="M249" i="16"/>
  <c r="M234" i="16"/>
  <c r="M302" i="16"/>
  <c r="M166" i="16"/>
  <c r="M18" i="16"/>
  <c r="M71" i="16"/>
  <c r="M276" i="16"/>
  <c r="M151" i="16"/>
  <c r="M101" i="16"/>
  <c r="M35" i="16"/>
  <c r="M67" i="16"/>
  <c r="M133" i="16"/>
  <c r="M225" i="16"/>
  <c r="M258" i="16"/>
  <c r="M88" i="16"/>
  <c r="M277" i="16"/>
  <c r="M154" i="16"/>
  <c r="M152" i="16"/>
  <c r="M150" i="16"/>
  <c r="M233" i="16"/>
  <c r="M294" i="16"/>
  <c r="M9" i="16"/>
  <c r="M60" i="16"/>
  <c r="M83" i="16"/>
  <c r="M29" i="16"/>
  <c r="M14" i="16"/>
  <c r="M20" i="16"/>
  <c r="M94" i="16"/>
  <c r="M216" i="16"/>
  <c r="M309" i="16"/>
  <c r="M235" i="16"/>
  <c r="M19" i="16"/>
  <c r="M95" i="16"/>
  <c r="M285" i="16"/>
  <c r="M13" i="16"/>
  <c r="M135" i="16"/>
  <c r="M201" i="16"/>
  <c r="M264" i="16"/>
  <c r="M45" i="16"/>
  <c r="M283" i="16"/>
  <c r="M186" i="16"/>
  <c r="M272" i="16"/>
  <c r="M180" i="16"/>
  <c r="M185" i="16"/>
  <c r="M257" i="16"/>
  <c r="M321" i="16"/>
  <c r="M242" i="16"/>
  <c r="M274" i="16"/>
  <c r="M306" i="16"/>
  <c r="M196" i="16"/>
  <c r="M310" i="16"/>
  <c r="M188" i="16"/>
  <c r="M53" i="16"/>
  <c r="M145" i="16"/>
  <c r="M299" i="16"/>
  <c r="M260" i="16"/>
  <c r="M311" i="16"/>
  <c r="M210" i="16"/>
  <c r="M103" i="16"/>
  <c r="M156" i="16"/>
  <c r="M316" i="16"/>
  <c r="M104" i="16"/>
  <c r="M232" i="16"/>
  <c r="M291" i="16"/>
  <c r="M230" i="16"/>
  <c r="M193" i="16"/>
  <c r="M15" i="16"/>
  <c r="M126" i="16"/>
  <c r="M96" i="16"/>
  <c r="M149" i="16"/>
  <c r="M3" i="16"/>
  <c r="M26" i="16"/>
  <c r="M17" i="16"/>
  <c r="M55" i="16"/>
  <c r="M112" i="16"/>
  <c r="M231" i="16"/>
  <c r="M68" i="16"/>
  <c r="M252" i="16"/>
  <c r="M39" i="16"/>
  <c r="M207" i="16"/>
  <c r="M288" i="16"/>
  <c r="M40" i="16"/>
  <c r="M138" i="16"/>
  <c r="M211" i="16"/>
  <c r="M90" i="16"/>
  <c r="M97" i="16"/>
  <c r="M183" i="16"/>
  <c r="M279" i="16"/>
  <c r="M52" i="16"/>
  <c r="M84" i="16"/>
  <c r="M160" i="16"/>
  <c r="M300" i="16"/>
  <c r="M75" i="16"/>
  <c r="M205" i="16"/>
  <c r="M287" i="16"/>
  <c r="M190" i="16"/>
  <c r="M265" i="16"/>
  <c r="M172" i="16"/>
  <c r="M246" i="16"/>
  <c r="M278" i="16"/>
  <c r="M175" i="16"/>
  <c r="M49" i="16"/>
  <c r="M263" i="16"/>
  <c r="M229" i="16"/>
  <c r="M237" i="16"/>
  <c r="M289" i="16"/>
  <c r="M290" i="16"/>
  <c r="M50" i="16"/>
  <c r="M153" i="16"/>
  <c r="M253" i="16"/>
  <c r="M275" i="16"/>
  <c r="M297" i="16"/>
  <c r="M28" i="16"/>
  <c r="M6" i="16"/>
  <c r="M142" i="16"/>
  <c r="M159" i="16"/>
  <c r="M7" i="16"/>
  <c r="M30" i="16"/>
  <c r="M23" i="16"/>
  <c r="M63" i="16"/>
  <c r="M118" i="16"/>
  <c r="M245" i="16"/>
  <c r="M312" i="16"/>
  <c r="M267" i="16"/>
  <c r="M51" i="16"/>
  <c r="M115" i="16"/>
  <c r="M221" i="16"/>
  <c r="M303" i="16"/>
  <c r="M87" i="16"/>
  <c r="M79" i="16"/>
  <c r="M141" i="16"/>
  <c r="M228" i="16"/>
  <c r="M111" i="16"/>
  <c r="M119" i="16"/>
  <c r="M195" i="16"/>
  <c r="M293" i="16"/>
  <c r="M65" i="16"/>
  <c r="M89" i="16"/>
  <c r="M199" i="16"/>
  <c r="M315" i="16"/>
  <c r="M208" i="16"/>
  <c r="M301" i="16"/>
  <c r="M206" i="16"/>
  <c r="M209" i="16"/>
  <c r="M273" i="16"/>
  <c r="M250" i="16"/>
  <c r="M282" i="16"/>
  <c r="M314" i="16"/>
  <c r="M170" i="16"/>
  <c r="M322" i="16"/>
  <c r="M191" i="16"/>
  <c r="M92" i="16"/>
  <c r="M48" i="16"/>
  <c r="M148" i="16"/>
  <c r="M59" i="16"/>
  <c r="M42" i="16"/>
  <c r="M240" i="16"/>
  <c r="M218" i="16"/>
  <c r="M37" i="16"/>
  <c r="M16" i="16"/>
  <c r="M27" i="16"/>
  <c r="M93" i="16"/>
  <c r="M22" i="16"/>
  <c r="M46" i="16"/>
  <c r="M82" i="16"/>
  <c r="M248" i="16"/>
  <c r="M134" i="16"/>
  <c r="M284" i="16"/>
  <c r="M69" i="16"/>
  <c r="M132" i="16"/>
  <c r="M224" i="16"/>
  <c r="M192" i="16"/>
  <c r="M99" i="16"/>
  <c r="M143" i="16"/>
  <c r="M243" i="16"/>
  <c r="M212" i="16"/>
  <c r="M122" i="16"/>
  <c r="M215" i="16"/>
  <c r="M296" i="16"/>
  <c r="M98" i="16"/>
  <c r="M204" i="16"/>
  <c r="M223" i="16"/>
  <c r="M214" i="16"/>
  <c r="M217" i="16"/>
  <c r="M281" i="16"/>
  <c r="M202" i="16"/>
  <c r="M177" i="16"/>
  <c r="M254" i="16"/>
  <c r="M286" i="16"/>
  <c r="M318" i="16"/>
  <c r="M44" i="16"/>
  <c r="M106" i="16"/>
  <c r="M129" i="16"/>
  <c r="M239" i="16"/>
  <c r="M146" i="16"/>
  <c r="M125" i="16"/>
  <c r="M102" i="16"/>
  <c r="M187" i="16"/>
  <c r="M222" i="16"/>
  <c r="M182" i="16"/>
  <c r="M24" i="16"/>
  <c r="M76" i="16"/>
  <c r="M317" i="16"/>
  <c r="M127" i="16"/>
  <c r="M236" i="16"/>
  <c r="M319" i="16"/>
  <c r="M262" i="16"/>
  <c r="M108" i="16"/>
  <c r="M113" i="16"/>
  <c r="M66" i="16"/>
  <c r="M81" i="16"/>
  <c r="M86" i="16"/>
  <c r="M121" i="16"/>
  <c r="M219" i="16"/>
  <c r="M43" i="16"/>
  <c r="M128" i="16"/>
  <c r="M161" i="16"/>
  <c r="M137" i="16"/>
  <c r="M155" i="16"/>
  <c r="M144" i="16"/>
  <c r="M33" i="16"/>
  <c r="M56" i="16"/>
  <c r="M105" i="16"/>
  <c r="M91" i="16"/>
  <c r="M5" i="16"/>
  <c r="M32" i="16"/>
  <c r="M203" i="16"/>
  <c r="P302" i="17" l="1"/>
  <c r="P35" i="17"/>
  <c r="P147" i="18"/>
  <c r="P95" i="18"/>
  <c r="P8" i="18"/>
  <c r="P51" i="18"/>
  <c r="P91" i="18"/>
  <c r="P35" i="18"/>
  <c r="P31" i="18"/>
  <c r="P198" i="18"/>
  <c r="P29" i="18"/>
  <c r="P290" i="18"/>
  <c r="P84" i="18"/>
  <c r="P284" i="18"/>
  <c r="P180" i="18"/>
  <c r="P138" i="18"/>
  <c r="P55" i="18"/>
  <c r="P315" i="18"/>
  <c r="P159" i="18"/>
  <c r="P191" i="18"/>
  <c r="P56" i="18"/>
  <c r="P115" i="18"/>
  <c r="P297" i="18"/>
  <c r="P102" i="18"/>
  <c r="P65" i="18"/>
  <c r="P248" i="18"/>
  <c r="P286" i="18"/>
  <c r="P20" i="18"/>
  <c r="P150" i="18"/>
  <c r="P263" i="18"/>
  <c r="P176" i="18"/>
  <c r="P77" i="18"/>
  <c r="P254" i="18"/>
  <c r="P43" i="18"/>
  <c r="P98" i="18"/>
  <c r="P207" i="18"/>
  <c r="P108" i="18"/>
  <c r="P221" i="18"/>
  <c r="P125" i="18"/>
  <c r="P11" i="18"/>
  <c r="P220" i="18"/>
  <c r="P255" i="18"/>
  <c r="P158" i="18"/>
  <c r="P153" i="18"/>
  <c r="P311" i="18"/>
  <c r="P225" i="18"/>
  <c r="P179" i="18"/>
  <c r="P160" i="18"/>
  <c r="P21" i="18"/>
  <c r="P40" i="18"/>
  <c r="P111" i="18"/>
  <c r="P310" i="18"/>
  <c r="P146" i="18"/>
  <c r="P229" i="18"/>
  <c r="P38" i="18"/>
  <c r="P187" i="18"/>
  <c r="P240" i="18"/>
  <c r="P134" i="18"/>
  <c r="P23" i="18"/>
  <c r="P54" i="18"/>
  <c r="P162" i="18"/>
  <c r="P271" i="18"/>
  <c r="P7" i="18"/>
  <c r="P53" i="18"/>
  <c r="P188" i="18"/>
  <c r="P7" i="17"/>
  <c r="P298" i="17"/>
  <c r="P27" i="17"/>
  <c r="P173" i="17"/>
  <c r="P50" i="17"/>
  <c r="P133" i="17"/>
  <c r="P295" i="17"/>
  <c r="P129" i="17"/>
  <c r="P49" i="17"/>
  <c r="P48" i="17"/>
  <c r="P146" i="17"/>
  <c r="P53" i="17"/>
  <c r="P311" i="17"/>
  <c r="P15" i="17"/>
  <c r="P255" i="17"/>
  <c r="P124" i="17"/>
  <c r="P233" i="17"/>
  <c r="P271" i="17"/>
  <c r="P203" i="17"/>
  <c r="P209" i="17"/>
  <c r="P177" i="17"/>
  <c r="P288" i="17"/>
  <c r="P34" i="17"/>
  <c r="P286" i="17"/>
  <c r="P206" i="17"/>
  <c r="P3" i="17"/>
  <c r="P279" i="17"/>
  <c r="P257" i="18"/>
  <c r="P320" i="18"/>
  <c r="P60" i="18"/>
  <c r="P184" i="18"/>
  <c r="P183" i="18"/>
  <c r="P197" i="18"/>
  <c r="P57" i="18"/>
  <c r="P226" i="18"/>
  <c r="P10" i="18"/>
  <c r="P26" i="18"/>
  <c r="P17" i="18"/>
  <c r="P247" i="18"/>
  <c r="P157" i="18"/>
  <c r="P74" i="18"/>
  <c r="P173" i="18"/>
  <c r="P199" i="18"/>
  <c r="P238" i="18"/>
  <c r="P18" i="18"/>
  <c r="P45" i="18"/>
  <c r="P78" i="18"/>
  <c r="P48" i="18"/>
  <c r="P32" i="18"/>
  <c r="P166" i="18"/>
  <c r="P174" i="18"/>
  <c r="P171" i="18"/>
  <c r="P44" i="18"/>
  <c r="P49" i="18"/>
  <c r="P201" i="18"/>
  <c r="P19" i="18"/>
  <c r="P291" i="18"/>
  <c r="P113" i="18"/>
  <c r="P2" i="18"/>
  <c r="P82" i="18"/>
  <c r="P121" i="18"/>
  <c r="P230" i="18"/>
  <c r="P218" i="18"/>
  <c r="P245" i="18"/>
  <c r="P131" i="18"/>
  <c r="P139" i="18"/>
  <c r="P280" i="18"/>
  <c r="P250" i="18"/>
  <c r="P62" i="18"/>
  <c r="P165" i="18"/>
  <c r="P249" i="18"/>
  <c r="P182" i="18"/>
  <c r="P217" i="18"/>
  <c r="P52" i="18"/>
  <c r="P208" i="18"/>
  <c r="P61" i="18"/>
  <c r="P319" i="18"/>
  <c r="P168" i="18"/>
  <c r="P28" i="18"/>
  <c r="P210" i="18"/>
  <c r="P314" i="18"/>
  <c r="P312" i="18"/>
  <c r="P142" i="18"/>
  <c r="P316" i="18"/>
  <c r="P242" i="18"/>
  <c r="P307" i="18"/>
  <c r="P185" i="18"/>
  <c r="P205" i="18"/>
  <c r="P14" i="18"/>
  <c r="P39" i="18"/>
  <c r="P34" i="18"/>
  <c r="P110" i="18"/>
  <c r="P103" i="18"/>
  <c r="P97" i="18"/>
  <c r="P309" i="18"/>
  <c r="P299" i="18"/>
  <c r="P37" i="18"/>
  <c r="P288" i="18"/>
  <c r="P151" i="18"/>
  <c r="P260" i="18"/>
  <c r="P66" i="18"/>
  <c r="P90" i="18"/>
  <c r="P155" i="18"/>
  <c r="P75" i="18"/>
  <c r="P246" i="18"/>
  <c r="P164" i="18"/>
  <c r="P193" i="18"/>
  <c r="P251" i="18"/>
  <c r="P273" i="18"/>
  <c r="P76" i="18"/>
  <c r="P275" i="18"/>
  <c r="P303" i="18"/>
  <c r="P104" i="18"/>
  <c r="P100" i="18"/>
  <c r="P24" i="18"/>
  <c r="P143" i="18"/>
  <c r="P141" i="18"/>
  <c r="P140" i="18"/>
  <c r="P71" i="18"/>
  <c r="P274" i="18"/>
  <c r="P15" i="18"/>
  <c r="P12" i="18"/>
  <c r="P41" i="18"/>
  <c r="P85" i="18"/>
  <c r="P72" i="18"/>
  <c r="P306" i="18"/>
  <c r="P163" i="18"/>
  <c r="P285" i="18"/>
  <c r="P178" i="18"/>
  <c r="P172" i="18"/>
  <c r="P186" i="18"/>
  <c r="P296" i="18"/>
  <c r="P94" i="18"/>
  <c r="P96" i="18"/>
  <c r="P154" i="18"/>
  <c r="P177" i="18"/>
  <c r="P137" i="18"/>
  <c r="P289" i="18"/>
  <c r="P318" i="18"/>
  <c r="P116" i="18"/>
  <c r="P145" i="18"/>
  <c r="P129" i="18"/>
  <c r="P83" i="18"/>
  <c r="P232" i="18"/>
  <c r="P267" i="18"/>
  <c r="P308" i="18"/>
  <c r="P264" i="18"/>
  <c r="P81" i="18"/>
  <c r="P156" i="18"/>
  <c r="P200" i="18"/>
  <c r="P222" i="18"/>
  <c r="P277" i="18"/>
  <c r="P262" i="18"/>
  <c r="P16" i="18"/>
  <c r="P224" i="18"/>
  <c r="P5" i="18"/>
  <c r="P30" i="18"/>
  <c r="P294" i="18"/>
  <c r="P73" i="18"/>
  <c r="P181" i="18"/>
  <c r="P261" i="18"/>
  <c r="P25" i="18"/>
  <c r="P215" i="18"/>
  <c r="P301" i="18"/>
  <c r="P136" i="18"/>
  <c r="P120" i="18"/>
  <c r="P244" i="18"/>
  <c r="P92" i="18"/>
  <c r="P259" i="18"/>
  <c r="P59" i="18"/>
  <c r="P152" i="18"/>
  <c r="P214" i="18"/>
  <c r="P195" i="18"/>
  <c r="P272" i="18"/>
  <c r="P194" i="18"/>
  <c r="P119" i="18"/>
  <c r="P279" i="18"/>
  <c r="P231" i="18"/>
  <c r="P107" i="18"/>
  <c r="P234" i="18"/>
  <c r="P9" i="18"/>
  <c r="P304" i="18"/>
  <c r="P219" i="18"/>
  <c r="P112" i="18"/>
  <c r="P196" i="18"/>
  <c r="P133" i="18"/>
  <c r="P241" i="18"/>
  <c r="P86" i="18"/>
  <c r="P305" i="18"/>
  <c r="P236" i="18"/>
  <c r="P3" i="18"/>
  <c r="P144" i="18"/>
  <c r="P132" i="18"/>
  <c r="P27" i="18"/>
  <c r="P269" i="18"/>
  <c r="P266" i="18"/>
  <c r="P243" i="18"/>
  <c r="P300" i="18"/>
  <c r="P282" i="18"/>
  <c r="P223" i="18"/>
  <c r="P203" i="18"/>
  <c r="P209" i="18"/>
  <c r="P287" i="18"/>
  <c r="P265" i="18"/>
  <c r="P252" i="18"/>
  <c r="P258" i="18"/>
  <c r="P117" i="18"/>
  <c r="P161" i="18"/>
  <c r="P270" i="18"/>
  <c r="P298" i="18"/>
  <c r="P283" i="18"/>
  <c r="P302" i="18"/>
  <c r="P295" i="18"/>
  <c r="P47" i="18"/>
  <c r="P170" i="18"/>
  <c r="P213" i="18"/>
  <c r="P293" i="18"/>
  <c r="P233" i="18"/>
  <c r="P87" i="18"/>
  <c r="P167" i="18"/>
  <c r="P36" i="18"/>
  <c r="P106" i="18"/>
  <c r="P118" i="18"/>
  <c r="P206" i="18"/>
  <c r="P70" i="18"/>
  <c r="P253" i="18"/>
  <c r="P212" i="18"/>
  <c r="P227" i="18"/>
  <c r="P130" i="18"/>
  <c r="P6" i="18"/>
  <c r="P4" i="18"/>
  <c r="P114" i="18"/>
  <c r="P127" i="18"/>
  <c r="P80" i="18"/>
  <c r="P317" i="18"/>
  <c r="P322" i="18"/>
  <c r="P256" i="18"/>
  <c r="P122" i="18"/>
  <c r="P204" i="18"/>
  <c r="P235" i="18"/>
  <c r="P42" i="18"/>
  <c r="P124" i="18"/>
  <c r="P13" i="18"/>
  <c r="P149" i="18"/>
  <c r="P128" i="18"/>
  <c r="P276" i="18"/>
  <c r="P123" i="18"/>
  <c r="P190" i="18"/>
  <c r="P105" i="18"/>
  <c r="P69" i="18"/>
  <c r="P101" i="18"/>
  <c r="P211" i="18"/>
  <c r="P93" i="18"/>
  <c r="P63" i="18"/>
  <c r="P239" i="18"/>
  <c r="P292" i="18"/>
  <c r="P281" i="18"/>
  <c r="P192" i="18"/>
  <c r="P216" i="18"/>
  <c r="P58" i="18"/>
  <c r="P175" i="18"/>
  <c r="P313" i="18"/>
  <c r="P228" i="18"/>
  <c r="P268" i="18"/>
  <c r="P33" i="18"/>
  <c r="P237" i="18"/>
  <c r="P148" i="18"/>
  <c r="P64" i="18"/>
  <c r="P321" i="18"/>
  <c r="P68" i="18"/>
  <c r="P22" i="18"/>
  <c r="P126" i="18"/>
  <c r="P89" i="18"/>
  <c r="P109" i="18"/>
  <c r="P46" i="18"/>
  <c r="P50" i="18"/>
  <c r="P88" i="18"/>
  <c r="P99" i="18"/>
  <c r="P189" i="18"/>
  <c r="P79" i="18"/>
  <c r="P278" i="18"/>
  <c r="P135" i="18"/>
  <c r="P169" i="18"/>
  <c r="P67" i="18"/>
  <c r="P182" i="17"/>
  <c r="P25" i="17"/>
  <c r="P103" i="17"/>
  <c r="P157" i="17"/>
  <c r="P107" i="17"/>
  <c r="P227" i="17"/>
  <c r="P60" i="17"/>
  <c r="P175" i="17"/>
  <c r="P225" i="17"/>
  <c r="P37" i="17"/>
  <c r="P144" i="17"/>
  <c r="P164" i="17"/>
  <c r="P116" i="17"/>
  <c r="P244" i="17"/>
  <c r="P59" i="17"/>
  <c r="P112" i="17"/>
  <c r="P215" i="17"/>
  <c r="P89" i="17"/>
  <c r="P252" i="17"/>
  <c r="P272" i="17"/>
  <c r="P250" i="17"/>
  <c r="P93" i="17"/>
  <c r="P123" i="17"/>
  <c r="P245" i="17"/>
  <c r="P226" i="17"/>
  <c r="P213" i="17"/>
  <c r="P97" i="17"/>
  <c r="P160" i="17"/>
  <c r="P143" i="17"/>
  <c r="P309" i="17"/>
  <c r="P274" i="17"/>
  <c r="P92" i="17"/>
  <c r="P200" i="17"/>
  <c r="P260" i="17"/>
  <c r="P320" i="17"/>
  <c r="P145" i="17"/>
  <c r="P316" i="17"/>
  <c r="P290" i="17"/>
  <c r="P2" i="17"/>
  <c r="P282" i="17"/>
  <c r="P165" i="17"/>
  <c r="P14" i="17"/>
  <c r="P212" i="17"/>
  <c r="P61" i="17"/>
  <c r="P208" i="17"/>
  <c r="P125" i="17"/>
  <c r="P248" i="17"/>
  <c r="P138" i="17"/>
  <c r="P36" i="17"/>
  <c r="P51" i="17"/>
  <c r="P161" i="17"/>
  <c r="P256" i="17"/>
  <c r="P104" i="17"/>
  <c r="P276" i="17"/>
  <c r="P236" i="17"/>
  <c r="P264" i="17"/>
  <c r="P84" i="17"/>
  <c r="P56" i="17"/>
  <c r="P96" i="17"/>
  <c r="P189" i="17"/>
  <c r="P262" i="17"/>
  <c r="P193" i="17"/>
  <c r="P31" i="17"/>
  <c r="P87" i="17"/>
  <c r="P270" i="17"/>
  <c r="P33" i="17"/>
  <c r="P205" i="17"/>
  <c r="P216" i="17"/>
  <c r="P73" i="17"/>
  <c r="P41" i="17"/>
  <c r="P91" i="17"/>
  <c r="P115" i="17"/>
  <c r="P251" i="17"/>
  <c r="P301" i="17"/>
  <c r="P105" i="17"/>
  <c r="P220" i="17"/>
  <c r="P170" i="17"/>
  <c r="P79" i="17"/>
  <c r="P232" i="17"/>
  <c r="P292" i="17"/>
  <c r="P188" i="17"/>
  <c r="P16" i="17"/>
  <c r="P191" i="17"/>
  <c r="P158" i="17"/>
  <c r="P217" i="17"/>
  <c r="P4" i="17"/>
  <c r="P24" i="17"/>
  <c r="P306" i="17"/>
  <c r="P141" i="17"/>
  <c r="P280" i="17"/>
  <c r="P297" i="17"/>
  <c r="P128" i="17"/>
  <c r="P86" i="17"/>
  <c r="P19" i="17"/>
  <c r="P275" i="17"/>
  <c r="P40" i="17"/>
  <c r="P247" i="17"/>
  <c r="P10" i="17"/>
  <c r="P151" i="17"/>
  <c r="P45" i="17"/>
  <c r="P68" i="17"/>
  <c r="P169" i="17"/>
  <c r="P77" i="17"/>
  <c r="P22" i="17"/>
  <c r="P131" i="17"/>
  <c r="P166" i="17"/>
  <c r="P281" i="17"/>
  <c r="P70" i="17"/>
  <c r="P240" i="17"/>
  <c r="P289" i="17"/>
  <c r="P176" i="17"/>
  <c r="P242" i="17"/>
  <c r="P6" i="17"/>
  <c r="P163" i="17"/>
  <c r="P322" i="17"/>
  <c r="P184" i="17"/>
  <c r="P102" i="17"/>
  <c r="P106" i="17"/>
  <c r="P20" i="17"/>
  <c r="P296" i="17"/>
  <c r="P64" i="17"/>
  <c r="P21" i="17"/>
  <c r="P310" i="17"/>
  <c r="P254" i="17"/>
  <c r="P162" i="17"/>
  <c r="P55" i="17"/>
  <c r="P71" i="17"/>
  <c r="P313" i="17"/>
  <c r="P198" i="17"/>
  <c r="P9" i="17"/>
  <c r="P180" i="17"/>
  <c r="P127" i="17"/>
  <c r="P137" i="17"/>
  <c r="P241" i="17"/>
  <c r="P139" i="17"/>
  <c r="P317" i="17"/>
  <c r="P249" i="17"/>
  <c r="P218" i="17"/>
  <c r="P223" i="17"/>
  <c r="P174" i="17"/>
  <c r="P132" i="17"/>
  <c r="P152" i="17"/>
  <c r="P234" i="17"/>
  <c r="P190" i="17"/>
  <c r="P83" i="17"/>
  <c r="P81" i="17"/>
  <c r="P171" i="17"/>
  <c r="P80" i="17"/>
  <c r="P99" i="17"/>
  <c r="P121" i="17"/>
  <c r="P154" i="17"/>
  <c r="P221" i="17"/>
  <c r="P265" i="17"/>
  <c r="P307" i="17"/>
  <c r="P150" i="17"/>
  <c r="P47" i="17"/>
  <c r="P201" i="17"/>
  <c r="P269" i="17"/>
  <c r="P178" i="17"/>
  <c r="P228" i="17"/>
  <c r="P183" i="17"/>
  <c r="P42" i="17"/>
  <c r="P46" i="17"/>
  <c r="P287" i="17"/>
  <c r="P85" i="17"/>
  <c r="P74" i="17"/>
  <c r="P224" i="17"/>
  <c r="P17" i="17"/>
  <c r="P285" i="17"/>
  <c r="P222" i="17"/>
  <c r="P62" i="17"/>
  <c r="P153" i="17"/>
  <c r="P258" i="17"/>
  <c r="P65" i="17"/>
  <c r="P179" i="17"/>
  <c r="P196" i="17"/>
  <c r="P294" i="17"/>
  <c r="P257" i="17"/>
  <c r="P207" i="17"/>
  <c r="P192" i="17"/>
  <c r="P135" i="17"/>
  <c r="P111" i="17"/>
  <c r="P168" i="17"/>
  <c r="P26" i="17"/>
  <c r="P122" i="17"/>
  <c r="P95" i="17"/>
  <c r="P230" i="17"/>
  <c r="P197" i="17"/>
  <c r="P267" i="17"/>
  <c r="P186" i="17"/>
  <c r="P98" i="17"/>
  <c r="P66" i="17"/>
  <c r="P283" i="17"/>
  <c r="P23" i="17"/>
  <c r="P231" i="17"/>
  <c r="P75" i="17"/>
  <c r="P113" i="17"/>
  <c r="P181" i="17"/>
  <c r="P28" i="17"/>
  <c r="P303" i="17"/>
  <c r="P243" i="17"/>
  <c r="P259" i="17"/>
  <c r="P43" i="17"/>
  <c r="P266" i="17"/>
  <c r="P149" i="17"/>
  <c r="P101" i="17"/>
  <c r="P29" i="17"/>
  <c r="P78" i="17"/>
  <c r="P76" i="17"/>
  <c r="P235" i="17"/>
  <c r="P148" i="17"/>
  <c r="P268" i="17"/>
  <c r="P319" i="17"/>
  <c r="P284" i="17"/>
  <c r="P187" i="17"/>
  <c r="P291" i="17"/>
  <c r="P90" i="17"/>
  <c r="P54" i="17"/>
  <c r="P194" i="17"/>
  <c r="P44" i="17"/>
  <c r="P308" i="17"/>
  <c r="P229" i="17"/>
  <c r="P219" i="17"/>
  <c r="P13" i="17"/>
  <c r="P155" i="17"/>
  <c r="P52" i="17"/>
  <c r="P211" i="17"/>
  <c r="P72" i="17"/>
  <c r="P305" i="17"/>
  <c r="P237" i="17"/>
  <c r="P210" i="17"/>
  <c r="P12" i="17"/>
  <c r="P69" i="17"/>
  <c r="P120" i="17"/>
  <c r="P172" i="17"/>
  <c r="P273" i="17"/>
  <c r="P18" i="17"/>
  <c r="P114" i="17"/>
  <c r="P30" i="17"/>
  <c r="P63" i="17"/>
  <c r="P261" i="17"/>
  <c r="P140" i="17"/>
  <c r="P94" i="17"/>
  <c r="P5" i="17"/>
  <c r="P109" i="17"/>
  <c r="P214" i="17"/>
  <c r="P167" i="17"/>
  <c r="P239" i="17"/>
  <c r="P253" i="17"/>
  <c r="P185" i="17"/>
  <c r="P321" i="17"/>
  <c r="P195" i="17"/>
  <c r="P199" i="17"/>
  <c r="P156" i="17"/>
  <c r="P88" i="17"/>
  <c r="P118" i="17"/>
  <c r="P147" i="17"/>
  <c r="P278" i="17"/>
  <c r="P108" i="17"/>
  <c r="P130" i="17"/>
  <c r="P8" i="17"/>
  <c r="P134" i="17"/>
  <c r="P11" i="17"/>
  <c r="P159" i="17"/>
  <c r="P314" i="17"/>
  <c r="P39" i="17"/>
  <c r="P119" i="17"/>
  <c r="P293" i="17"/>
  <c r="P202" i="17"/>
  <c r="P318" i="17"/>
  <c r="P32" i="17"/>
  <c r="P312" i="17"/>
  <c r="P82" i="17"/>
  <c r="P117" i="17"/>
  <c r="P142" i="17"/>
  <c r="P67" i="17"/>
  <c r="P263" i="17"/>
  <c r="P315" i="17"/>
  <c r="P277" i="17"/>
  <c r="P57" i="17"/>
  <c r="P246" i="17"/>
  <c r="P300" i="17"/>
  <c r="P304" i="17"/>
  <c r="P238" i="17"/>
  <c r="P204" i="17"/>
  <c r="P126" i="17"/>
  <c r="P100" i="17"/>
  <c r="P58" i="17"/>
  <c r="O2" i="16"/>
  <c r="P204" i="16" s="1"/>
  <c r="P17" i="16" l="1"/>
  <c r="P166" i="16"/>
  <c r="P156" i="16"/>
  <c r="P281" i="16"/>
  <c r="P211" i="16"/>
  <c r="P4" i="16"/>
  <c r="P302" i="16"/>
  <c r="P228" i="16"/>
  <c r="P242" i="16"/>
  <c r="P155" i="16"/>
  <c r="P212" i="16"/>
  <c r="P280" i="16"/>
  <c r="P270" i="16"/>
  <c r="P67" i="16"/>
  <c r="P298" i="16"/>
  <c r="P256" i="16"/>
  <c r="P282" i="16"/>
  <c r="P253" i="16"/>
  <c r="P317" i="16"/>
  <c r="P187" i="16"/>
  <c r="P310" i="16"/>
  <c r="P64" i="16"/>
  <c r="P42" i="16"/>
  <c r="P195" i="16"/>
  <c r="P124" i="16"/>
  <c r="P173" i="16"/>
  <c r="P138" i="16"/>
  <c r="P220" i="16"/>
  <c r="P40" i="16"/>
  <c r="P112" i="16"/>
  <c r="P33" i="16"/>
  <c r="P240" i="16"/>
  <c r="P114" i="16"/>
  <c r="P34" i="16"/>
  <c r="P117" i="16"/>
  <c r="P168" i="16"/>
  <c r="P141" i="16"/>
  <c r="P320" i="16"/>
  <c r="P71" i="16"/>
  <c r="P279" i="16"/>
  <c r="P116" i="16"/>
  <c r="P205" i="16"/>
  <c r="P223" i="16"/>
  <c r="P78" i="16"/>
  <c r="P276" i="16"/>
  <c r="P275" i="16"/>
  <c r="P43" i="16"/>
  <c r="P41" i="16"/>
  <c r="P260" i="16"/>
  <c r="P16" i="16"/>
  <c r="P99" i="16"/>
  <c r="P29" i="16"/>
  <c r="P273" i="16"/>
  <c r="P286" i="16"/>
  <c r="P14" i="16"/>
  <c r="P38" i="16"/>
  <c r="P271" i="16"/>
  <c r="P15" i="16"/>
  <c r="P199" i="16"/>
  <c r="P81" i="16"/>
  <c r="P213" i="16"/>
  <c r="P57" i="16"/>
  <c r="P120" i="16"/>
  <c r="P126" i="16"/>
  <c r="P314" i="16"/>
  <c r="P139" i="16"/>
  <c r="P70" i="16"/>
  <c r="P49" i="16"/>
  <c r="P318" i="16"/>
  <c r="P147" i="16"/>
  <c r="P88" i="16"/>
  <c r="P221" i="16"/>
  <c r="P25" i="16"/>
  <c r="P174" i="16"/>
  <c r="P291" i="16"/>
  <c r="P284" i="16"/>
  <c r="P73" i="16"/>
  <c r="P95" i="16"/>
  <c r="P27" i="16"/>
  <c r="P54" i="16"/>
  <c r="P285" i="16"/>
  <c r="P225" i="16"/>
  <c r="P300" i="16"/>
  <c r="P140" i="16"/>
  <c r="P56" i="16"/>
  <c r="P206" i="16"/>
  <c r="P190" i="16"/>
  <c r="P288" i="16"/>
  <c r="P110" i="16"/>
  <c r="P150" i="16"/>
  <c r="P160" i="16"/>
  <c r="P22" i="16"/>
  <c r="P46" i="16"/>
  <c r="P316" i="16"/>
  <c r="P171" i="16"/>
  <c r="P94" i="16"/>
  <c r="P278" i="16"/>
  <c r="P127" i="16"/>
  <c r="P10" i="16"/>
  <c r="P264" i="16"/>
  <c r="P115" i="16"/>
  <c r="P105" i="16"/>
  <c r="P169" i="16"/>
  <c r="P232" i="16"/>
  <c r="P191" i="16"/>
  <c r="P189" i="16"/>
  <c r="P164" i="16"/>
  <c r="P229" i="16"/>
  <c r="P128" i="16"/>
  <c r="P77" i="16"/>
  <c r="P52" i="16"/>
  <c r="P113" i="16"/>
  <c r="P107" i="16"/>
  <c r="P250" i="16"/>
  <c r="P203" i="16"/>
  <c r="P233" i="16"/>
  <c r="P309" i="16"/>
  <c r="P247" i="16"/>
  <c r="P121" i="16"/>
  <c r="P217" i="16"/>
  <c r="P24" i="16"/>
  <c r="P251" i="16"/>
  <c r="P20" i="16"/>
  <c r="P224" i="16"/>
  <c r="P125" i="16"/>
  <c r="P170" i="16"/>
  <c r="P266" i="16"/>
  <c r="P135" i="16"/>
  <c r="P50" i="16"/>
  <c r="P144" i="16"/>
  <c r="P36" i="16"/>
  <c r="P321" i="16"/>
  <c r="P218" i="16"/>
  <c r="P292" i="16"/>
  <c r="P61" i="16"/>
  <c r="P3" i="16"/>
  <c r="P243" i="16"/>
  <c r="P31" i="16"/>
  <c r="P83" i="16"/>
  <c r="P63" i="16"/>
  <c r="P178" i="16"/>
  <c r="P136" i="16"/>
  <c r="P265" i="16"/>
  <c r="P161" i="16"/>
  <c r="P226" i="16"/>
  <c r="P148" i="16"/>
  <c r="P198" i="16"/>
  <c r="P13" i="16"/>
  <c r="P290" i="16"/>
  <c r="P296" i="16"/>
  <c r="P165" i="16"/>
  <c r="P236" i="16"/>
  <c r="P184" i="16"/>
  <c r="P185" i="16"/>
  <c r="P159" i="16"/>
  <c r="P47" i="16"/>
  <c r="P2" i="16"/>
  <c r="P104" i="16"/>
  <c r="P248" i="16"/>
  <c r="P68" i="16"/>
  <c r="P179" i="16"/>
  <c r="P39" i="16"/>
  <c r="P214" i="16"/>
  <c r="P131" i="16"/>
  <c r="P283" i="16"/>
  <c r="P303" i="16"/>
  <c r="P257" i="16"/>
  <c r="P101" i="16"/>
  <c r="P118" i="16"/>
  <c r="P5" i="16"/>
  <c r="P21" i="16"/>
  <c r="P93" i="16"/>
  <c r="P59" i="16"/>
  <c r="P58" i="16"/>
  <c r="P254" i="16"/>
  <c r="P30" i="16"/>
  <c r="P299" i="16"/>
  <c r="P307" i="16"/>
  <c r="P305" i="16"/>
  <c r="P172" i="16"/>
  <c r="P246" i="16"/>
  <c r="P197" i="16"/>
  <c r="P11" i="16"/>
  <c r="P180" i="16"/>
  <c r="P142" i="16"/>
  <c r="P146" i="16"/>
  <c r="P200" i="16"/>
  <c r="P181" i="16"/>
  <c r="P304" i="16"/>
  <c r="P188" i="16"/>
  <c r="P267" i="16"/>
  <c r="P18" i="16"/>
  <c r="P295" i="16"/>
  <c r="P149" i="16"/>
  <c r="P143" i="16"/>
  <c r="P208" i="16"/>
  <c r="P176" i="16"/>
  <c r="P183" i="16"/>
  <c r="P222" i="16"/>
  <c r="P241" i="16"/>
  <c r="P274" i="16"/>
  <c r="P92" i="16"/>
  <c r="P7" i="16"/>
  <c r="P154" i="16"/>
  <c r="P65" i="16"/>
  <c r="P294" i="16"/>
  <c r="P152" i="16"/>
  <c r="P32" i="16"/>
  <c r="P272" i="16"/>
  <c r="P132" i="16"/>
  <c r="P66" i="16"/>
  <c r="P84" i="16"/>
  <c r="P137" i="16"/>
  <c r="P80" i="16"/>
  <c r="P103" i="16"/>
  <c r="P312" i="16"/>
  <c r="P177" i="16"/>
  <c r="P86" i="16"/>
  <c r="P175" i="16"/>
  <c r="P167" i="16"/>
  <c r="P133" i="16"/>
  <c r="P231" i="16"/>
  <c r="P315" i="16"/>
  <c r="P53" i="16"/>
  <c r="P308" i="16"/>
  <c r="P145" i="16"/>
  <c r="P119" i="16"/>
  <c r="P44" i="16"/>
  <c r="P74" i="16"/>
  <c r="P60" i="16"/>
  <c r="P23" i="16"/>
  <c r="P262" i="16"/>
  <c r="P109" i="16"/>
  <c r="P19" i="16"/>
  <c r="P297" i="16"/>
  <c r="P106" i="16"/>
  <c r="P72" i="16"/>
  <c r="P311" i="16"/>
  <c r="P48" i="16"/>
  <c r="P51" i="16"/>
  <c r="P238" i="16"/>
  <c r="P289" i="16"/>
  <c r="P85" i="16"/>
  <c r="P192" i="16"/>
  <c r="P153" i="16"/>
  <c r="P130" i="16"/>
  <c r="P258" i="16"/>
  <c r="P252" i="16"/>
  <c r="P301" i="16"/>
  <c r="P319" i="16"/>
  <c r="P102" i="16"/>
  <c r="P12" i="16"/>
  <c r="P235" i="16"/>
  <c r="P287" i="16"/>
  <c r="P37" i="16"/>
  <c r="P201" i="16"/>
  <c r="P163" i="16"/>
  <c r="P151" i="16"/>
  <c r="P26" i="16"/>
  <c r="P293" i="16"/>
  <c r="P182" i="16"/>
  <c r="P100" i="16"/>
  <c r="P313" i="16"/>
  <c r="P186" i="16"/>
  <c r="P237" i="16"/>
  <c r="P69" i="16"/>
  <c r="P255" i="16"/>
  <c r="P8" i="16"/>
  <c r="P194" i="16"/>
  <c r="P196" i="16"/>
  <c r="P6" i="16"/>
  <c r="P215" i="16"/>
  <c r="P216" i="16"/>
  <c r="P98" i="16"/>
  <c r="P82" i="16"/>
  <c r="P158" i="16"/>
  <c r="P9" i="16"/>
  <c r="P97" i="16"/>
  <c r="P322" i="16"/>
  <c r="P219" i="16"/>
  <c r="P123" i="16"/>
  <c r="P269" i="16"/>
  <c r="P45" i="16"/>
  <c r="P263" i="16"/>
  <c r="P134" i="16"/>
  <c r="P75" i="16"/>
  <c r="P244" i="16"/>
  <c r="P277" i="16"/>
  <c r="P207" i="16"/>
  <c r="P209" i="16"/>
  <c r="P108" i="16"/>
  <c r="P157" i="16"/>
  <c r="P259" i="16"/>
  <c r="P306" i="16"/>
  <c r="P28" i="16"/>
  <c r="P122" i="16"/>
  <c r="P268" i="16"/>
  <c r="P162" i="16"/>
  <c r="P261" i="16"/>
  <c r="P210" i="16"/>
  <c r="P245" i="16"/>
  <c r="P202" i="16"/>
  <c r="P90" i="16"/>
  <c r="P234" i="16"/>
  <c r="P193" i="16"/>
  <c r="P79" i="16"/>
  <c r="P239" i="16"/>
  <c r="P111" i="16"/>
  <c r="P91" i="16"/>
  <c r="P227" i="16"/>
  <c r="P249" i="16"/>
  <c r="P230" i="16"/>
  <c r="P87" i="16"/>
  <c r="P129" i="16"/>
  <c r="P96" i="16"/>
  <c r="P62" i="16"/>
  <c r="P35" i="16"/>
  <c r="P55" i="16"/>
  <c r="P89" i="16"/>
  <c r="P76" i="16"/>
  <c r="J321" i="9" l="1"/>
  <c r="I321" i="9"/>
  <c r="K321" i="9" s="1"/>
  <c r="J320" i="9"/>
  <c r="I320" i="9"/>
  <c r="K320" i="9" s="1"/>
  <c r="J319" i="9"/>
  <c r="I319" i="9"/>
  <c r="K319" i="9" s="1"/>
  <c r="J318" i="9"/>
  <c r="I318" i="9"/>
  <c r="K318" i="9" s="1"/>
  <c r="J317" i="9"/>
  <c r="I317" i="9"/>
  <c r="K317" i="9" s="1"/>
  <c r="J316" i="9"/>
  <c r="I316" i="9"/>
  <c r="K316" i="9" s="1"/>
  <c r="J315" i="9"/>
  <c r="I315" i="9"/>
  <c r="K315" i="9" s="1"/>
  <c r="J314" i="9"/>
  <c r="I314" i="9"/>
  <c r="K314" i="9" s="1"/>
  <c r="J313" i="9"/>
  <c r="I313" i="9"/>
  <c r="K313" i="9" s="1"/>
  <c r="J312" i="9"/>
  <c r="I312" i="9"/>
  <c r="K312" i="9" s="1"/>
  <c r="J311" i="9"/>
  <c r="I311" i="9"/>
  <c r="K311" i="9" s="1"/>
  <c r="J310" i="9"/>
  <c r="I310" i="9"/>
  <c r="K310" i="9" s="1"/>
  <c r="J309" i="9"/>
  <c r="I309" i="9"/>
  <c r="K309" i="9" s="1"/>
  <c r="J308" i="9"/>
  <c r="I308" i="9"/>
  <c r="K308" i="9" s="1"/>
  <c r="J307" i="9"/>
  <c r="I307" i="9"/>
  <c r="K307" i="9" s="1"/>
  <c r="J306" i="9"/>
  <c r="I306" i="9"/>
  <c r="K306" i="9" s="1"/>
  <c r="J305" i="9"/>
  <c r="I305" i="9"/>
  <c r="K305" i="9" s="1"/>
  <c r="J304" i="9"/>
  <c r="I304" i="9"/>
  <c r="K304" i="9" s="1"/>
  <c r="J303" i="9"/>
  <c r="I303" i="9"/>
  <c r="K303" i="9" s="1"/>
  <c r="J302" i="9"/>
  <c r="I302" i="9"/>
  <c r="K302" i="9" s="1"/>
  <c r="J301" i="9"/>
  <c r="I301" i="9"/>
  <c r="K301" i="9" s="1"/>
  <c r="J300" i="9"/>
  <c r="I300" i="9"/>
  <c r="K300" i="9" s="1"/>
  <c r="J299" i="9"/>
  <c r="I299" i="9"/>
  <c r="K299" i="9" s="1"/>
  <c r="J298" i="9"/>
  <c r="I298" i="9"/>
  <c r="K298" i="9" s="1"/>
  <c r="J297" i="9"/>
  <c r="I297" i="9"/>
  <c r="K297" i="9" s="1"/>
  <c r="J296" i="9"/>
  <c r="I296" i="9"/>
  <c r="K296" i="9" s="1"/>
  <c r="J295" i="9"/>
  <c r="I295" i="9"/>
  <c r="K295" i="9" s="1"/>
  <c r="J294" i="9"/>
  <c r="I294" i="9"/>
  <c r="K294" i="9" s="1"/>
  <c r="J293" i="9"/>
  <c r="I293" i="9"/>
  <c r="K293" i="9" s="1"/>
  <c r="J292" i="9"/>
  <c r="I292" i="9"/>
  <c r="K292" i="9" s="1"/>
  <c r="J291" i="9"/>
  <c r="I291" i="9"/>
  <c r="K291" i="9" s="1"/>
  <c r="J290" i="9"/>
  <c r="I290" i="9"/>
  <c r="K290" i="9" s="1"/>
  <c r="J289" i="9"/>
  <c r="I289" i="9"/>
  <c r="K289" i="9" s="1"/>
  <c r="J288" i="9"/>
  <c r="I288" i="9"/>
  <c r="K288" i="9" s="1"/>
  <c r="J287" i="9"/>
  <c r="I287" i="9"/>
  <c r="K287" i="9" s="1"/>
  <c r="J286" i="9"/>
  <c r="I286" i="9"/>
  <c r="K286" i="9" s="1"/>
  <c r="J285" i="9"/>
  <c r="I285" i="9"/>
  <c r="K285" i="9" s="1"/>
  <c r="J284" i="9"/>
  <c r="I284" i="9"/>
  <c r="K284" i="9" s="1"/>
  <c r="J283" i="9"/>
  <c r="I283" i="9"/>
  <c r="K283" i="9" s="1"/>
  <c r="J282" i="9"/>
  <c r="I282" i="9"/>
  <c r="K282" i="9" s="1"/>
  <c r="J281" i="9"/>
  <c r="I281" i="9"/>
  <c r="K281" i="9" s="1"/>
  <c r="J280" i="9"/>
  <c r="I280" i="9"/>
  <c r="K280" i="9" s="1"/>
  <c r="J279" i="9"/>
  <c r="I279" i="9"/>
  <c r="K279" i="9" s="1"/>
  <c r="J278" i="9"/>
  <c r="I278" i="9"/>
  <c r="K278" i="9" s="1"/>
  <c r="J277" i="9"/>
  <c r="I277" i="9"/>
  <c r="K277" i="9" s="1"/>
  <c r="J276" i="9"/>
  <c r="I276" i="9"/>
  <c r="K276" i="9" s="1"/>
  <c r="J275" i="9"/>
  <c r="I275" i="9"/>
  <c r="K275" i="9" s="1"/>
  <c r="J274" i="9"/>
  <c r="I274" i="9"/>
  <c r="K274" i="9" s="1"/>
  <c r="J273" i="9"/>
  <c r="I273" i="9"/>
  <c r="K273" i="9" s="1"/>
  <c r="J272" i="9"/>
  <c r="I272" i="9"/>
  <c r="K272" i="9" s="1"/>
  <c r="J271" i="9"/>
  <c r="I271" i="9"/>
  <c r="K271" i="9" s="1"/>
  <c r="J270" i="9"/>
  <c r="I270" i="9"/>
  <c r="K270" i="9" s="1"/>
  <c r="J269" i="9"/>
  <c r="I269" i="9"/>
  <c r="K269" i="9" s="1"/>
  <c r="J268" i="9"/>
  <c r="I268" i="9"/>
  <c r="K268" i="9" s="1"/>
  <c r="J267" i="9"/>
  <c r="I267" i="9"/>
  <c r="K267" i="9" s="1"/>
  <c r="J266" i="9"/>
  <c r="I266" i="9"/>
  <c r="K266" i="9" s="1"/>
  <c r="J265" i="9"/>
  <c r="I265" i="9"/>
  <c r="K265" i="9" s="1"/>
  <c r="J264" i="9"/>
  <c r="I264" i="9"/>
  <c r="K264" i="9" s="1"/>
  <c r="J263" i="9"/>
  <c r="I263" i="9"/>
  <c r="K263" i="9" s="1"/>
  <c r="J262" i="9"/>
  <c r="I262" i="9"/>
  <c r="K262" i="9" s="1"/>
  <c r="J261" i="9"/>
  <c r="I261" i="9"/>
  <c r="K261" i="9" s="1"/>
  <c r="J260" i="9"/>
  <c r="I260" i="9"/>
  <c r="K260" i="9" s="1"/>
  <c r="J259" i="9"/>
  <c r="I259" i="9"/>
  <c r="K259" i="9" s="1"/>
  <c r="J258" i="9"/>
  <c r="I258" i="9"/>
  <c r="K258" i="9" s="1"/>
  <c r="J257" i="9"/>
  <c r="I257" i="9"/>
  <c r="K257" i="9" s="1"/>
  <c r="J256" i="9"/>
  <c r="I256" i="9"/>
  <c r="K256" i="9" s="1"/>
  <c r="J255" i="9"/>
  <c r="I255" i="9"/>
  <c r="K255" i="9" s="1"/>
  <c r="J254" i="9"/>
  <c r="I254" i="9"/>
  <c r="K254" i="9" s="1"/>
  <c r="J253" i="9"/>
  <c r="I253" i="9"/>
  <c r="K253" i="9" s="1"/>
  <c r="J252" i="9"/>
  <c r="I252" i="9"/>
  <c r="K252" i="9" s="1"/>
  <c r="J251" i="9"/>
  <c r="I251" i="9"/>
  <c r="K251" i="9" s="1"/>
  <c r="J250" i="9"/>
  <c r="I250" i="9"/>
  <c r="K250" i="9" s="1"/>
  <c r="J249" i="9"/>
  <c r="I249" i="9"/>
  <c r="K249" i="9" s="1"/>
  <c r="J248" i="9"/>
  <c r="I248" i="9"/>
  <c r="K248" i="9" s="1"/>
  <c r="J247" i="9"/>
  <c r="I247" i="9"/>
  <c r="K247" i="9" s="1"/>
  <c r="J246" i="9"/>
  <c r="I246" i="9"/>
  <c r="K246" i="9" s="1"/>
  <c r="J245" i="9"/>
  <c r="I245" i="9"/>
  <c r="K245" i="9" s="1"/>
  <c r="J244" i="9"/>
  <c r="I244" i="9"/>
  <c r="K244" i="9" s="1"/>
  <c r="J243" i="9"/>
  <c r="I243" i="9"/>
  <c r="K243" i="9" s="1"/>
  <c r="J242" i="9"/>
  <c r="I242" i="9"/>
  <c r="K242" i="9" s="1"/>
  <c r="J241" i="9"/>
  <c r="I241" i="9"/>
  <c r="K241" i="9" s="1"/>
  <c r="J240" i="9"/>
  <c r="I240" i="9"/>
  <c r="K240" i="9" s="1"/>
  <c r="J239" i="9"/>
  <c r="I239" i="9"/>
  <c r="K239" i="9" s="1"/>
  <c r="J238" i="9"/>
  <c r="I238" i="9"/>
  <c r="K238" i="9" s="1"/>
  <c r="J237" i="9"/>
  <c r="I237" i="9"/>
  <c r="K237" i="9" s="1"/>
  <c r="J236" i="9"/>
  <c r="I236" i="9"/>
  <c r="K236" i="9" s="1"/>
  <c r="J235" i="9"/>
  <c r="I235" i="9"/>
  <c r="K235" i="9" s="1"/>
  <c r="J234" i="9"/>
  <c r="I234" i="9"/>
  <c r="K234" i="9" s="1"/>
  <c r="J233" i="9"/>
  <c r="I233" i="9"/>
  <c r="K233" i="9" s="1"/>
  <c r="J232" i="9"/>
  <c r="I232" i="9"/>
  <c r="K232" i="9" s="1"/>
  <c r="J231" i="9"/>
  <c r="I231" i="9"/>
  <c r="K231" i="9" s="1"/>
  <c r="J230" i="9"/>
  <c r="I230" i="9"/>
  <c r="K230" i="9" s="1"/>
  <c r="J229" i="9"/>
  <c r="I229" i="9"/>
  <c r="K229" i="9" s="1"/>
  <c r="J228" i="9"/>
  <c r="I228" i="9"/>
  <c r="K228" i="9" s="1"/>
  <c r="J227" i="9"/>
  <c r="I227" i="9"/>
  <c r="K227" i="9" s="1"/>
  <c r="J226" i="9"/>
  <c r="I226" i="9"/>
  <c r="K226" i="9" s="1"/>
  <c r="J225" i="9"/>
  <c r="I225" i="9"/>
  <c r="K225" i="9" s="1"/>
  <c r="J224" i="9"/>
  <c r="I224" i="9"/>
  <c r="K224" i="9" s="1"/>
  <c r="J223" i="9"/>
  <c r="I223" i="9"/>
  <c r="K223" i="9" s="1"/>
  <c r="J222" i="9"/>
  <c r="I222" i="9"/>
  <c r="K222" i="9" s="1"/>
  <c r="J221" i="9"/>
  <c r="I221" i="9"/>
  <c r="K221" i="9" s="1"/>
  <c r="J220" i="9"/>
  <c r="I220" i="9"/>
  <c r="K220" i="9" s="1"/>
  <c r="J219" i="9"/>
  <c r="I219" i="9"/>
  <c r="K219" i="9" s="1"/>
  <c r="J218" i="9"/>
  <c r="I218" i="9"/>
  <c r="K218" i="9" s="1"/>
  <c r="J217" i="9"/>
  <c r="I217" i="9"/>
  <c r="K217" i="9" s="1"/>
  <c r="J216" i="9"/>
  <c r="I216" i="9"/>
  <c r="K216" i="9" s="1"/>
  <c r="J215" i="9"/>
  <c r="I215" i="9"/>
  <c r="K215" i="9" s="1"/>
  <c r="J214" i="9"/>
  <c r="I214" i="9"/>
  <c r="K214" i="9" s="1"/>
  <c r="J213" i="9"/>
  <c r="I213" i="9"/>
  <c r="K213" i="9" s="1"/>
  <c r="J212" i="9"/>
  <c r="I212" i="9"/>
  <c r="K212" i="9" s="1"/>
  <c r="J211" i="9"/>
  <c r="I211" i="9"/>
  <c r="K211" i="9" s="1"/>
  <c r="J210" i="9"/>
  <c r="I210" i="9"/>
  <c r="K210" i="9" s="1"/>
  <c r="J209" i="9"/>
  <c r="I209" i="9"/>
  <c r="K209" i="9" s="1"/>
  <c r="J208" i="9"/>
  <c r="I208" i="9"/>
  <c r="K208" i="9" s="1"/>
  <c r="J207" i="9"/>
  <c r="I207" i="9"/>
  <c r="K207" i="9" s="1"/>
  <c r="J206" i="9"/>
  <c r="I206" i="9"/>
  <c r="K206" i="9" s="1"/>
  <c r="J205" i="9"/>
  <c r="I205" i="9"/>
  <c r="K205" i="9" s="1"/>
  <c r="J204" i="9"/>
  <c r="I204" i="9"/>
  <c r="K204" i="9" s="1"/>
  <c r="J203" i="9"/>
  <c r="I203" i="9"/>
  <c r="K203" i="9" s="1"/>
  <c r="J202" i="9"/>
  <c r="I202" i="9"/>
  <c r="K202" i="9" s="1"/>
  <c r="J201" i="9"/>
  <c r="I201" i="9"/>
  <c r="K201" i="9" s="1"/>
  <c r="J200" i="9"/>
  <c r="I200" i="9"/>
  <c r="K200" i="9" s="1"/>
  <c r="J199" i="9"/>
  <c r="I199" i="9"/>
  <c r="K199" i="9" s="1"/>
  <c r="J198" i="9"/>
  <c r="I198" i="9"/>
  <c r="K198" i="9" s="1"/>
  <c r="J197" i="9"/>
  <c r="I197" i="9"/>
  <c r="K197" i="9" s="1"/>
  <c r="J196" i="9"/>
  <c r="I196" i="9"/>
  <c r="K196" i="9" s="1"/>
  <c r="J195" i="9"/>
  <c r="I195" i="9"/>
  <c r="K195" i="9" s="1"/>
  <c r="J194" i="9"/>
  <c r="I194" i="9"/>
  <c r="K194" i="9" s="1"/>
  <c r="J193" i="9"/>
  <c r="I193" i="9"/>
  <c r="K193" i="9" s="1"/>
  <c r="J192" i="9"/>
  <c r="I192" i="9"/>
  <c r="K192" i="9" s="1"/>
  <c r="J191" i="9"/>
  <c r="I191" i="9"/>
  <c r="K191" i="9" s="1"/>
  <c r="J190" i="9"/>
  <c r="I190" i="9"/>
  <c r="K190" i="9" s="1"/>
  <c r="J189" i="9"/>
  <c r="I189" i="9"/>
  <c r="K189" i="9" s="1"/>
  <c r="J188" i="9"/>
  <c r="I188" i="9"/>
  <c r="K188" i="9" s="1"/>
  <c r="J187" i="9"/>
  <c r="I187" i="9"/>
  <c r="K187" i="9" s="1"/>
  <c r="J186" i="9"/>
  <c r="I186" i="9"/>
  <c r="K186" i="9" s="1"/>
  <c r="J185" i="9"/>
  <c r="I185" i="9"/>
  <c r="K185" i="9" s="1"/>
  <c r="J184" i="9"/>
  <c r="I184" i="9"/>
  <c r="K184" i="9" s="1"/>
  <c r="J183" i="9"/>
  <c r="I183" i="9"/>
  <c r="K183" i="9" s="1"/>
  <c r="J182" i="9"/>
  <c r="I182" i="9"/>
  <c r="K182" i="9" s="1"/>
  <c r="J181" i="9"/>
  <c r="I181" i="9"/>
  <c r="K181" i="9" s="1"/>
  <c r="J180" i="9"/>
  <c r="I180" i="9"/>
  <c r="K180" i="9" s="1"/>
  <c r="J179" i="9"/>
  <c r="I179" i="9"/>
  <c r="K179" i="9" s="1"/>
  <c r="J178" i="9"/>
  <c r="I178" i="9"/>
  <c r="K178" i="9" s="1"/>
  <c r="J177" i="9"/>
  <c r="I177" i="9"/>
  <c r="K177" i="9" s="1"/>
  <c r="J176" i="9"/>
  <c r="I176" i="9"/>
  <c r="K176" i="9" s="1"/>
  <c r="J175" i="9"/>
  <c r="I175" i="9"/>
  <c r="K175" i="9" s="1"/>
  <c r="J174" i="9"/>
  <c r="I174" i="9"/>
  <c r="K174" i="9" s="1"/>
  <c r="J173" i="9"/>
  <c r="I173" i="9"/>
  <c r="K173" i="9" s="1"/>
  <c r="J172" i="9"/>
  <c r="I172" i="9"/>
  <c r="K172" i="9" s="1"/>
  <c r="J171" i="9"/>
  <c r="I171" i="9"/>
  <c r="K171" i="9" s="1"/>
  <c r="J170" i="9"/>
  <c r="I170" i="9"/>
  <c r="K170" i="9" s="1"/>
  <c r="J169" i="9"/>
  <c r="I169" i="9"/>
  <c r="K169" i="9" s="1"/>
  <c r="J168" i="9"/>
  <c r="I168" i="9"/>
  <c r="K168" i="9" s="1"/>
  <c r="J167" i="9"/>
  <c r="I167" i="9"/>
  <c r="K167" i="9" s="1"/>
  <c r="J166" i="9"/>
  <c r="I166" i="9"/>
  <c r="K166" i="9" s="1"/>
  <c r="J165" i="9"/>
  <c r="I165" i="9"/>
  <c r="K165" i="9" s="1"/>
  <c r="J164" i="9"/>
  <c r="I164" i="9"/>
  <c r="K164" i="9" s="1"/>
  <c r="J163" i="9"/>
  <c r="I163" i="9"/>
  <c r="K163" i="9" s="1"/>
  <c r="J162" i="9"/>
  <c r="I162" i="9"/>
  <c r="K162" i="9" s="1"/>
  <c r="J161" i="9"/>
  <c r="I161" i="9"/>
  <c r="K161" i="9" s="1"/>
  <c r="J160" i="9"/>
  <c r="I160" i="9"/>
  <c r="K160" i="9" s="1"/>
  <c r="J159" i="9"/>
  <c r="I159" i="9"/>
  <c r="K159" i="9" s="1"/>
  <c r="J158" i="9"/>
  <c r="I158" i="9"/>
  <c r="K158" i="9" s="1"/>
  <c r="J157" i="9"/>
  <c r="I157" i="9"/>
  <c r="K157" i="9" s="1"/>
  <c r="J156" i="9"/>
  <c r="I156" i="9"/>
  <c r="K156" i="9" s="1"/>
  <c r="J155" i="9"/>
  <c r="I155" i="9"/>
  <c r="K155" i="9" s="1"/>
  <c r="J154" i="9"/>
  <c r="I154" i="9"/>
  <c r="K154" i="9" s="1"/>
  <c r="J153" i="9"/>
  <c r="I153" i="9"/>
  <c r="K153" i="9" s="1"/>
  <c r="J152" i="9"/>
  <c r="I152" i="9"/>
  <c r="K152" i="9" s="1"/>
  <c r="J151" i="9"/>
  <c r="I151" i="9"/>
  <c r="K151" i="9" s="1"/>
  <c r="J150" i="9"/>
  <c r="I150" i="9"/>
  <c r="K150" i="9" s="1"/>
  <c r="J149" i="9"/>
  <c r="I149" i="9"/>
  <c r="K149" i="9" s="1"/>
  <c r="J148" i="9"/>
  <c r="I148" i="9"/>
  <c r="K148" i="9" s="1"/>
  <c r="J147" i="9"/>
  <c r="I147" i="9"/>
  <c r="K147" i="9" s="1"/>
  <c r="J146" i="9"/>
  <c r="I146" i="9"/>
  <c r="K146" i="9" s="1"/>
  <c r="J145" i="9"/>
  <c r="I145" i="9"/>
  <c r="K145" i="9" s="1"/>
  <c r="J144" i="9"/>
  <c r="I144" i="9"/>
  <c r="K144" i="9" s="1"/>
  <c r="J143" i="9"/>
  <c r="I143" i="9"/>
  <c r="K143" i="9" s="1"/>
  <c r="J142" i="9"/>
  <c r="I142" i="9"/>
  <c r="K142" i="9" s="1"/>
  <c r="J141" i="9"/>
  <c r="I141" i="9"/>
  <c r="K141" i="9" s="1"/>
  <c r="J140" i="9"/>
  <c r="I140" i="9"/>
  <c r="K140" i="9" s="1"/>
  <c r="J139" i="9"/>
  <c r="I139" i="9"/>
  <c r="K139" i="9" s="1"/>
  <c r="J138" i="9"/>
  <c r="I138" i="9"/>
  <c r="K138" i="9" s="1"/>
  <c r="J137" i="9"/>
  <c r="I137" i="9"/>
  <c r="K137" i="9" s="1"/>
  <c r="J136" i="9"/>
  <c r="I136" i="9"/>
  <c r="K136" i="9" s="1"/>
  <c r="J135" i="9"/>
  <c r="I135" i="9"/>
  <c r="K135" i="9" s="1"/>
  <c r="J134" i="9"/>
  <c r="I134" i="9"/>
  <c r="K134" i="9" s="1"/>
  <c r="J133" i="9"/>
  <c r="I133" i="9"/>
  <c r="K133" i="9" s="1"/>
  <c r="J132" i="9"/>
  <c r="I132" i="9"/>
  <c r="K132" i="9" s="1"/>
  <c r="J131" i="9"/>
  <c r="I131" i="9"/>
  <c r="K131" i="9" s="1"/>
  <c r="J130" i="9"/>
  <c r="I130" i="9"/>
  <c r="K130" i="9" s="1"/>
  <c r="J129" i="9"/>
  <c r="I129" i="9"/>
  <c r="K129" i="9" s="1"/>
  <c r="J128" i="9"/>
  <c r="I128" i="9"/>
  <c r="K128" i="9" s="1"/>
  <c r="J127" i="9"/>
  <c r="I127" i="9"/>
  <c r="K127" i="9" s="1"/>
  <c r="J126" i="9"/>
  <c r="I126" i="9"/>
  <c r="K126" i="9" s="1"/>
  <c r="J125" i="9"/>
  <c r="I125" i="9"/>
  <c r="K125" i="9" s="1"/>
  <c r="J124" i="9"/>
  <c r="I124" i="9"/>
  <c r="K124" i="9" s="1"/>
  <c r="J123" i="9"/>
  <c r="I123" i="9"/>
  <c r="K123" i="9" s="1"/>
  <c r="J122" i="9"/>
  <c r="I122" i="9"/>
  <c r="K122" i="9" s="1"/>
  <c r="J121" i="9"/>
  <c r="I121" i="9"/>
  <c r="K121" i="9" s="1"/>
  <c r="J120" i="9"/>
  <c r="I120" i="9"/>
  <c r="K120" i="9" s="1"/>
  <c r="J119" i="9"/>
  <c r="I119" i="9"/>
  <c r="K119" i="9" s="1"/>
  <c r="J118" i="9"/>
  <c r="I118" i="9"/>
  <c r="K118" i="9" s="1"/>
  <c r="J117" i="9"/>
  <c r="I117" i="9"/>
  <c r="K117" i="9" s="1"/>
  <c r="J116" i="9"/>
  <c r="I116" i="9"/>
  <c r="K116" i="9" s="1"/>
  <c r="J115" i="9"/>
  <c r="I115" i="9"/>
  <c r="K115" i="9" s="1"/>
  <c r="J114" i="9"/>
  <c r="I114" i="9"/>
  <c r="K114" i="9" s="1"/>
  <c r="J113" i="9"/>
  <c r="I113" i="9"/>
  <c r="K113" i="9" s="1"/>
  <c r="J112" i="9"/>
  <c r="I112" i="9"/>
  <c r="K112" i="9" s="1"/>
  <c r="J111" i="9"/>
  <c r="I111" i="9"/>
  <c r="K111" i="9" s="1"/>
  <c r="J110" i="9"/>
  <c r="I110" i="9"/>
  <c r="K110" i="9" s="1"/>
  <c r="J109" i="9"/>
  <c r="I109" i="9"/>
  <c r="K109" i="9" s="1"/>
  <c r="J108" i="9"/>
  <c r="I108" i="9"/>
  <c r="K108" i="9" s="1"/>
  <c r="J107" i="9"/>
  <c r="I107" i="9"/>
  <c r="K107" i="9" s="1"/>
  <c r="J106" i="9"/>
  <c r="I106" i="9"/>
  <c r="K106" i="9" s="1"/>
  <c r="J105" i="9"/>
  <c r="I105" i="9"/>
  <c r="K105" i="9" s="1"/>
  <c r="J104" i="9"/>
  <c r="I104" i="9"/>
  <c r="K104" i="9" s="1"/>
  <c r="J103" i="9"/>
  <c r="I103" i="9"/>
  <c r="K103" i="9" s="1"/>
  <c r="J102" i="9"/>
  <c r="I102" i="9"/>
  <c r="K102" i="9" s="1"/>
  <c r="J101" i="9"/>
  <c r="I101" i="9"/>
  <c r="K101" i="9" s="1"/>
  <c r="J100" i="9"/>
  <c r="I100" i="9"/>
  <c r="K100" i="9" s="1"/>
  <c r="J99" i="9"/>
  <c r="I99" i="9"/>
  <c r="K99" i="9" s="1"/>
  <c r="J98" i="9"/>
  <c r="I98" i="9"/>
  <c r="K98" i="9" s="1"/>
  <c r="J97" i="9"/>
  <c r="I97" i="9"/>
  <c r="K97" i="9" s="1"/>
  <c r="J96" i="9"/>
  <c r="I96" i="9"/>
  <c r="K96" i="9" s="1"/>
  <c r="J95" i="9"/>
  <c r="I95" i="9"/>
  <c r="K95" i="9" s="1"/>
  <c r="J94" i="9"/>
  <c r="I94" i="9"/>
  <c r="K94" i="9" s="1"/>
  <c r="J93" i="9"/>
  <c r="I93" i="9"/>
  <c r="K93" i="9" s="1"/>
  <c r="J92" i="9"/>
  <c r="I92" i="9"/>
  <c r="K92" i="9" s="1"/>
  <c r="J91" i="9"/>
  <c r="I91" i="9"/>
  <c r="K91" i="9" s="1"/>
  <c r="J90" i="9"/>
  <c r="I90" i="9"/>
  <c r="K90" i="9" s="1"/>
  <c r="J89" i="9"/>
  <c r="I89" i="9"/>
  <c r="K89" i="9" s="1"/>
  <c r="J88" i="9"/>
  <c r="I88" i="9"/>
  <c r="K88" i="9" s="1"/>
  <c r="J87" i="9"/>
  <c r="I87" i="9"/>
  <c r="K87" i="9" s="1"/>
  <c r="J86" i="9"/>
  <c r="I86" i="9"/>
  <c r="K86" i="9" s="1"/>
  <c r="J85" i="9"/>
  <c r="I85" i="9"/>
  <c r="K85" i="9" s="1"/>
  <c r="J84" i="9"/>
  <c r="I84" i="9"/>
  <c r="K84" i="9" s="1"/>
  <c r="J83" i="9"/>
  <c r="I83" i="9"/>
  <c r="K83" i="9" s="1"/>
  <c r="J82" i="9"/>
  <c r="I82" i="9"/>
  <c r="K82" i="9" s="1"/>
  <c r="J81" i="9"/>
  <c r="I81" i="9"/>
  <c r="K81" i="9" s="1"/>
  <c r="J80" i="9"/>
  <c r="I80" i="9"/>
  <c r="K80" i="9" s="1"/>
  <c r="J79" i="9"/>
  <c r="I79" i="9"/>
  <c r="K79" i="9" s="1"/>
  <c r="J78" i="9"/>
  <c r="I78" i="9"/>
  <c r="K78" i="9" s="1"/>
  <c r="J77" i="9"/>
  <c r="I77" i="9"/>
  <c r="K77" i="9" s="1"/>
  <c r="J76" i="9"/>
  <c r="I76" i="9"/>
  <c r="K76" i="9" s="1"/>
  <c r="J75" i="9"/>
  <c r="I75" i="9"/>
  <c r="K75" i="9" s="1"/>
  <c r="J74" i="9"/>
  <c r="I74" i="9"/>
  <c r="K74" i="9" s="1"/>
  <c r="J73" i="9"/>
  <c r="I73" i="9"/>
  <c r="K73" i="9" s="1"/>
  <c r="J72" i="9"/>
  <c r="I72" i="9"/>
  <c r="K72" i="9" s="1"/>
  <c r="J71" i="9"/>
  <c r="I71" i="9"/>
  <c r="K71" i="9" s="1"/>
  <c r="J70" i="9"/>
  <c r="I70" i="9"/>
  <c r="K70" i="9" s="1"/>
  <c r="J69" i="9"/>
  <c r="I69" i="9"/>
  <c r="K69" i="9" s="1"/>
  <c r="J68" i="9"/>
  <c r="I68" i="9"/>
  <c r="K68" i="9" s="1"/>
  <c r="J67" i="9"/>
  <c r="I67" i="9"/>
  <c r="K67" i="9" s="1"/>
  <c r="J66" i="9"/>
  <c r="I66" i="9"/>
  <c r="K66" i="9" s="1"/>
  <c r="J65" i="9"/>
  <c r="I65" i="9"/>
  <c r="K65" i="9" s="1"/>
  <c r="J64" i="9"/>
  <c r="I64" i="9"/>
  <c r="K64" i="9" s="1"/>
  <c r="J63" i="9"/>
  <c r="I63" i="9"/>
  <c r="K63" i="9" s="1"/>
  <c r="J62" i="9"/>
  <c r="I62" i="9"/>
  <c r="K62" i="9" s="1"/>
  <c r="J61" i="9"/>
  <c r="I61" i="9"/>
  <c r="K61" i="9" s="1"/>
  <c r="J60" i="9"/>
  <c r="I60" i="9"/>
  <c r="K60" i="9" s="1"/>
  <c r="J59" i="9"/>
  <c r="I59" i="9"/>
  <c r="K59" i="9" s="1"/>
  <c r="J58" i="9"/>
  <c r="I58" i="9"/>
  <c r="K58" i="9" s="1"/>
  <c r="J57" i="9"/>
  <c r="I57" i="9"/>
  <c r="K57" i="9" s="1"/>
  <c r="J56" i="9"/>
  <c r="I56" i="9"/>
  <c r="K56" i="9" s="1"/>
  <c r="J55" i="9"/>
  <c r="I55" i="9"/>
  <c r="K55" i="9" s="1"/>
  <c r="J54" i="9"/>
  <c r="I54" i="9"/>
  <c r="K54" i="9" s="1"/>
  <c r="J53" i="9"/>
  <c r="I53" i="9"/>
  <c r="K53" i="9" s="1"/>
  <c r="J52" i="9"/>
  <c r="I52" i="9"/>
  <c r="K52" i="9" s="1"/>
  <c r="J51" i="9"/>
  <c r="I51" i="9"/>
  <c r="K51" i="9" s="1"/>
  <c r="J50" i="9"/>
  <c r="I50" i="9"/>
  <c r="K50" i="9" s="1"/>
  <c r="J49" i="9"/>
  <c r="I49" i="9"/>
  <c r="K49" i="9" s="1"/>
  <c r="J48" i="9"/>
  <c r="I48" i="9"/>
  <c r="K48" i="9" s="1"/>
  <c r="J47" i="9"/>
  <c r="I47" i="9"/>
  <c r="K47" i="9" s="1"/>
  <c r="J46" i="9"/>
  <c r="I46" i="9"/>
  <c r="K46" i="9" s="1"/>
  <c r="J45" i="9"/>
  <c r="I45" i="9"/>
  <c r="K45" i="9" s="1"/>
  <c r="J44" i="9"/>
  <c r="I44" i="9"/>
  <c r="K44" i="9" s="1"/>
  <c r="J43" i="9"/>
  <c r="I43" i="9"/>
  <c r="K43" i="9" s="1"/>
  <c r="J42" i="9"/>
  <c r="I42" i="9"/>
  <c r="K42" i="9" s="1"/>
  <c r="J41" i="9"/>
  <c r="I41" i="9"/>
  <c r="K41" i="9" s="1"/>
  <c r="J40" i="9"/>
  <c r="I40" i="9"/>
  <c r="K40" i="9" s="1"/>
  <c r="J39" i="9"/>
  <c r="I39" i="9"/>
  <c r="K39" i="9" s="1"/>
  <c r="J38" i="9"/>
  <c r="I38" i="9"/>
  <c r="K38" i="9" s="1"/>
  <c r="J37" i="9"/>
  <c r="I37" i="9"/>
  <c r="K37" i="9" s="1"/>
  <c r="J36" i="9"/>
  <c r="I36" i="9"/>
  <c r="K36" i="9" s="1"/>
  <c r="J35" i="9"/>
  <c r="I35" i="9"/>
  <c r="K35" i="9" s="1"/>
  <c r="J34" i="9"/>
  <c r="I34" i="9"/>
  <c r="K34" i="9" s="1"/>
  <c r="L34" i="9" s="1"/>
  <c r="J33" i="9"/>
  <c r="I33" i="9"/>
  <c r="K33" i="9" s="1"/>
  <c r="J32" i="9"/>
  <c r="I32" i="9"/>
  <c r="K32" i="9" s="1"/>
  <c r="J31" i="9"/>
  <c r="I31" i="9"/>
  <c r="K31" i="9" s="1"/>
  <c r="J30" i="9"/>
  <c r="I30" i="9"/>
  <c r="K30" i="9" s="1"/>
  <c r="J29" i="9"/>
  <c r="I29" i="9"/>
  <c r="K29" i="9" s="1"/>
  <c r="J28" i="9"/>
  <c r="I28" i="9"/>
  <c r="K28" i="9" s="1"/>
  <c r="J27" i="9"/>
  <c r="I27" i="9"/>
  <c r="K27" i="9" s="1"/>
  <c r="J26" i="9"/>
  <c r="I26" i="9"/>
  <c r="K26" i="9" s="1"/>
  <c r="L26" i="9" s="1"/>
  <c r="J25" i="9"/>
  <c r="I25" i="9"/>
  <c r="K25" i="9" s="1"/>
  <c r="J24" i="9"/>
  <c r="I24" i="9"/>
  <c r="K24" i="9" s="1"/>
  <c r="J23" i="9"/>
  <c r="I23" i="9"/>
  <c r="K23" i="9" s="1"/>
  <c r="J22" i="9"/>
  <c r="I22" i="9"/>
  <c r="K22" i="9" s="1"/>
  <c r="L22" i="9" s="1"/>
  <c r="J21" i="9"/>
  <c r="I21" i="9"/>
  <c r="K21" i="9" s="1"/>
  <c r="J20" i="9"/>
  <c r="I20" i="9"/>
  <c r="K20" i="9" s="1"/>
  <c r="J19" i="9"/>
  <c r="I19" i="9"/>
  <c r="K19" i="9" s="1"/>
  <c r="J18" i="9"/>
  <c r="I18" i="9"/>
  <c r="K18" i="9" s="1"/>
  <c r="J17" i="9"/>
  <c r="I17" i="9"/>
  <c r="K17" i="9" s="1"/>
  <c r="J16" i="9"/>
  <c r="I16" i="9"/>
  <c r="K16" i="9" s="1"/>
  <c r="J15" i="9"/>
  <c r="I15" i="9"/>
  <c r="K15" i="9" s="1"/>
  <c r="J14" i="9"/>
  <c r="I14" i="9"/>
  <c r="K14" i="9" s="1"/>
  <c r="L14" i="9" s="1"/>
  <c r="J13" i="9"/>
  <c r="I13" i="9"/>
  <c r="K13" i="9" s="1"/>
  <c r="J12" i="9"/>
  <c r="I12" i="9"/>
  <c r="K12" i="9" s="1"/>
  <c r="J11" i="9"/>
  <c r="I11" i="9"/>
  <c r="K11" i="9" s="1"/>
  <c r="J10" i="9"/>
  <c r="I10" i="9"/>
  <c r="K10" i="9" s="1"/>
  <c r="L10" i="9" s="1"/>
  <c r="J9" i="9"/>
  <c r="I9" i="9"/>
  <c r="K9" i="9" s="1"/>
  <c r="J8" i="9"/>
  <c r="I8" i="9"/>
  <c r="K8" i="9" s="1"/>
  <c r="J7" i="9"/>
  <c r="I7" i="9"/>
  <c r="K7" i="9" s="1"/>
  <c r="J6" i="9"/>
  <c r="I6" i="9"/>
  <c r="K6" i="9" s="1"/>
  <c r="J5" i="9"/>
  <c r="I5" i="9"/>
  <c r="K5" i="9" s="1"/>
  <c r="J4" i="9"/>
  <c r="I4" i="9"/>
  <c r="K4" i="9" s="1"/>
  <c r="J3" i="9"/>
  <c r="I3" i="9"/>
  <c r="K3" i="9" s="1"/>
  <c r="J2" i="9"/>
  <c r="I2" i="9"/>
  <c r="K2" i="9" s="1"/>
  <c r="L278" i="9" l="1"/>
  <c r="L282" i="9"/>
  <c r="L290" i="9"/>
  <c r="L294" i="9"/>
  <c r="L252" i="9"/>
  <c r="L302" i="9"/>
  <c r="V84" i="9" s="1"/>
  <c r="L83" i="9"/>
  <c r="L179" i="9"/>
  <c r="L183" i="9"/>
  <c r="L187" i="9"/>
  <c r="L191" i="9"/>
  <c r="L195" i="9"/>
  <c r="L199" i="9"/>
  <c r="L203" i="9"/>
  <c r="L207" i="9"/>
  <c r="L211" i="9"/>
  <c r="L219" i="9"/>
  <c r="L223" i="9"/>
  <c r="L227" i="9"/>
  <c r="L231" i="9"/>
  <c r="L235" i="9"/>
  <c r="L239" i="9"/>
  <c r="L243" i="9"/>
  <c r="L251" i="9"/>
  <c r="L255" i="9"/>
  <c r="L259" i="9"/>
  <c r="L263" i="9"/>
  <c r="L267" i="9"/>
  <c r="L271" i="9"/>
  <c r="L275" i="9"/>
  <c r="L283" i="9"/>
  <c r="L8" i="9"/>
  <c r="L16" i="9"/>
  <c r="L32" i="9"/>
  <c r="L40" i="9"/>
  <c r="L44" i="9"/>
  <c r="L52" i="9"/>
  <c r="L88" i="9"/>
  <c r="L108" i="9"/>
  <c r="L116" i="9"/>
  <c r="L120" i="9"/>
  <c r="L128" i="9"/>
  <c r="L132" i="9"/>
  <c r="L136" i="9"/>
  <c r="L144" i="9"/>
  <c r="L164" i="9"/>
  <c r="L168" i="9"/>
  <c r="L172" i="9"/>
  <c r="L180" i="9"/>
  <c r="L188" i="9"/>
  <c r="L192" i="9"/>
  <c r="L196" i="9"/>
  <c r="L200" i="9"/>
  <c r="L208" i="9"/>
  <c r="L220" i="9"/>
  <c r="L232" i="9"/>
  <c r="L240" i="9"/>
  <c r="L287" i="9"/>
  <c r="L291" i="9"/>
  <c r="L295" i="9"/>
  <c r="L299" i="9"/>
  <c r="L303" i="9"/>
  <c r="V85" i="9" s="1"/>
  <c r="L307" i="9"/>
  <c r="V89" i="9" s="1"/>
  <c r="L315" i="9"/>
  <c r="V97" i="9" s="1"/>
  <c r="L319" i="9"/>
  <c r="V101" i="9" s="1"/>
  <c r="L256" i="9"/>
  <c r="L260" i="9"/>
  <c r="L264" i="9"/>
  <c r="L272" i="9"/>
  <c r="L284" i="9"/>
  <c r="L292" i="9"/>
  <c r="L296" i="9"/>
  <c r="L304" i="9"/>
  <c r="V86" i="9" s="1"/>
  <c r="L308" i="9"/>
  <c r="V90" i="9" s="1"/>
  <c r="L316" i="9"/>
  <c r="V98" i="9" s="1"/>
  <c r="L5" i="9"/>
  <c r="L9" i="9"/>
  <c r="L13" i="9"/>
  <c r="L17" i="9"/>
  <c r="L21" i="9"/>
  <c r="L25" i="9"/>
  <c r="L53" i="9"/>
  <c r="L57" i="9"/>
  <c r="L61" i="9"/>
  <c r="L97" i="9"/>
  <c r="L101" i="9"/>
  <c r="L157" i="9"/>
  <c r="L165" i="9"/>
  <c r="L169" i="9"/>
  <c r="L173" i="9"/>
  <c r="L51" i="9"/>
  <c r="L63" i="9"/>
  <c r="L67" i="9"/>
  <c r="V69" i="9" s="1"/>
  <c r="L75" i="9"/>
  <c r="V77" i="9" s="1"/>
  <c r="L79" i="9"/>
  <c r="V81" i="9" s="1"/>
  <c r="L56" i="9"/>
  <c r="L60" i="9"/>
  <c r="L64" i="9"/>
  <c r="V66" i="9" s="1"/>
  <c r="L72" i="9"/>
  <c r="L76" i="9"/>
  <c r="V78" i="9" s="1"/>
  <c r="L80" i="9"/>
  <c r="V82" i="9" s="1"/>
  <c r="L73" i="9"/>
  <c r="V75" i="9" s="1"/>
  <c r="L77" i="9"/>
  <c r="V79" i="9" s="1"/>
  <c r="L81" i="9"/>
  <c r="V83" i="9" s="1"/>
  <c r="L176" i="9"/>
  <c r="L47" i="9"/>
  <c r="L86" i="9"/>
  <c r="L90" i="9"/>
  <c r="L94" i="9"/>
  <c r="L134" i="9"/>
  <c r="L138" i="9"/>
  <c r="L146" i="9"/>
  <c r="L162" i="9"/>
  <c r="L166" i="9"/>
  <c r="L170" i="9"/>
  <c r="L174" i="9"/>
  <c r="L181" i="9"/>
  <c r="L189" i="9"/>
  <c r="L193" i="9"/>
  <c r="L201" i="9"/>
  <c r="L205" i="9"/>
  <c r="L209" i="9"/>
  <c r="L221" i="9"/>
  <c r="L225" i="9"/>
  <c r="L233" i="9"/>
  <c r="L237" i="9"/>
  <c r="L245" i="9"/>
  <c r="L249" i="9"/>
  <c r="L253" i="9"/>
  <c r="L257" i="9"/>
  <c r="L265" i="9"/>
  <c r="L269" i="9"/>
  <c r="L82" i="9"/>
  <c r="L37" i="9"/>
  <c r="L41" i="9"/>
  <c r="L45" i="9"/>
  <c r="L84" i="9"/>
  <c r="L95" i="9"/>
  <c r="L99" i="9"/>
  <c r="L106" i="9"/>
  <c r="L110" i="9"/>
  <c r="L114" i="9"/>
  <c r="L276" i="9"/>
  <c r="L38" i="9"/>
  <c r="L49" i="9"/>
  <c r="L96" i="9"/>
  <c r="L115" i="9"/>
  <c r="L19" i="9"/>
  <c r="L23" i="9"/>
  <c r="L31" i="9"/>
  <c r="L50" i="9"/>
  <c r="L54" i="9"/>
  <c r="L66" i="9"/>
  <c r="V68" i="9" s="1"/>
  <c r="L74" i="9"/>
  <c r="V76" i="9" s="1"/>
  <c r="L85" i="9"/>
  <c r="L89" i="9"/>
  <c r="L100" i="9"/>
  <c r="L131" i="9"/>
  <c r="L135" i="9"/>
  <c r="L143" i="9"/>
  <c r="L163" i="9"/>
  <c r="L167" i="9"/>
  <c r="L171" i="9"/>
  <c r="L194" i="9"/>
  <c r="L198" i="9"/>
  <c r="L202" i="9"/>
  <c r="L206" i="9"/>
  <c r="L214" i="9"/>
  <c r="L218" i="9"/>
  <c r="L226" i="9"/>
  <c r="L230" i="9"/>
  <c r="L238" i="9"/>
  <c r="L242" i="9"/>
  <c r="L250" i="9"/>
  <c r="L258" i="9"/>
  <c r="L262" i="9"/>
  <c r="L270" i="9"/>
  <c r="L285" i="9"/>
  <c r="L289" i="9"/>
  <c r="L297" i="9"/>
  <c r="L301" i="9"/>
  <c r="L309" i="9"/>
  <c r="V91" i="9" s="1"/>
  <c r="L317" i="9"/>
  <c r="V99" i="9" s="1"/>
  <c r="L321" i="9"/>
  <c r="V103" i="9" s="1"/>
  <c r="L139" i="9"/>
  <c r="L154" i="9"/>
  <c r="L158" i="9"/>
  <c r="L184" i="9"/>
  <c r="L246" i="9"/>
  <c r="L277" i="9"/>
  <c r="L36" i="9"/>
  <c r="L3" i="9"/>
  <c r="L28" i="9"/>
  <c r="L42" i="9"/>
  <c r="L58" i="9"/>
  <c r="L68" i="9"/>
  <c r="V70" i="9" s="1"/>
  <c r="L98" i="9"/>
  <c r="L104" i="9"/>
  <c r="L111" i="9"/>
  <c r="L118" i="9"/>
  <c r="L122" i="9"/>
  <c r="L151" i="9"/>
  <c r="L155" i="9"/>
  <c r="L159" i="9"/>
  <c r="L185" i="9"/>
  <c r="L212" i="9"/>
  <c r="L4" i="9"/>
  <c r="L7" i="9"/>
  <c r="L29" i="9"/>
  <c r="L46" i="9"/>
  <c r="L69" i="9"/>
  <c r="V71" i="9" s="1"/>
  <c r="L112" i="9"/>
  <c r="L119" i="9"/>
  <c r="L123" i="9"/>
  <c r="L130" i="9"/>
  <c r="L148" i="9"/>
  <c r="L152" i="9"/>
  <c r="L160" i="9"/>
  <c r="L178" i="9"/>
  <c r="L182" i="9"/>
  <c r="L186" i="9"/>
  <c r="L213" i="9"/>
  <c r="L244" i="9"/>
  <c r="L310" i="9"/>
  <c r="V92" i="9" s="1"/>
  <c r="L140" i="9"/>
  <c r="L215" i="9"/>
  <c r="L43" i="9"/>
  <c r="L103" i="9"/>
  <c r="L216" i="9"/>
  <c r="L234" i="9"/>
  <c r="L241" i="9"/>
  <c r="L248" i="9"/>
  <c r="L266" i="9"/>
  <c r="L273" i="9"/>
  <c r="L280" i="9"/>
  <c r="L298" i="9"/>
  <c r="L305" i="9"/>
  <c r="V87" i="9" s="1"/>
  <c r="L312" i="9"/>
  <c r="V94" i="9" s="1"/>
  <c r="L33" i="9"/>
  <c r="L2" i="9"/>
  <c r="L55" i="9"/>
  <c r="L78" i="9"/>
  <c r="V80" i="9" s="1"/>
  <c r="L35" i="9"/>
  <c r="L91" i="9"/>
  <c r="L107" i="9"/>
  <c r="L142" i="9"/>
  <c r="L177" i="9"/>
  <c r="L210" i="9"/>
  <c r="L217" i="9"/>
  <c r="L224" i="9"/>
  <c r="L274" i="9"/>
  <c r="L281" i="9"/>
  <c r="L288" i="9"/>
  <c r="L306" i="9"/>
  <c r="V88" i="9" s="1"/>
  <c r="L313" i="9"/>
  <c r="V95" i="9" s="1"/>
  <c r="L320" i="9"/>
  <c r="V102" i="9" s="1"/>
  <c r="L124" i="9"/>
  <c r="L147" i="9"/>
  <c r="L175" i="9"/>
  <c r="L311" i="9"/>
  <c r="V93" i="9" s="1"/>
  <c r="L20" i="9"/>
  <c r="L149" i="9"/>
  <c r="L228" i="9"/>
  <c r="L48" i="9"/>
  <c r="L247" i="9"/>
  <c r="L279" i="9"/>
  <c r="L15" i="9"/>
  <c r="L59" i="9"/>
  <c r="L70" i="9"/>
  <c r="V72" i="9" s="1"/>
  <c r="L314" i="9"/>
  <c r="V96" i="9" s="1"/>
  <c r="L6" i="9"/>
  <c r="L12" i="9"/>
  <c r="L18" i="9"/>
  <c r="L24" i="9"/>
  <c r="L30" i="9"/>
  <c r="L39" i="9"/>
  <c r="L62" i="9"/>
  <c r="V64" i="9" s="1"/>
  <c r="L65" i="9"/>
  <c r="V67" i="9" s="1"/>
  <c r="L71" i="9"/>
  <c r="V73" i="9" s="1"/>
  <c r="L87" i="9"/>
  <c r="L92" i="9"/>
  <c r="L102" i="9"/>
  <c r="L127" i="9"/>
  <c r="L150" i="9"/>
  <c r="L190" i="9"/>
  <c r="L197" i="9"/>
  <c r="L204" i="9"/>
  <c r="L222" i="9"/>
  <c r="L229" i="9"/>
  <c r="L236" i="9"/>
  <c r="L254" i="9"/>
  <c r="L261" i="9"/>
  <c r="L268" i="9"/>
  <c r="L286" i="9"/>
  <c r="L293" i="9"/>
  <c r="L300" i="9"/>
  <c r="L318" i="9"/>
  <c r="V100" i="9" s="1"/>
  <c r="V65" i="9"/>
  <c r="V74" i="9"/>
  <c r="L126" i="9"/>
  <c r="L27" i="9"/>
  <c r="L93" i="9"/>
  <c r="L161" i="9"/>
  <c r="L11" i="9"/>
  <c r="L117" i="9"/>
  <c r="L156" i="9"/>
  <c r="L133" i="9"/>
  <c r="L105" i="9"/>
  <c r="L121" i="9"/>
  <c r="L137" i="9"/>
  <c r="L153" i="9"/>
  <c r="L109" i="9"/>
  <c r="L125" i="9"/>
  <c r="L141" i="9"/>
  <c r="L113" i="9"/>
  <c r="L129" i="9"/>
  <c r="L145" i="9"/>
  <c r="J321" i="1"/>
  <c r="I321" i="1"/>
  <c r="K321" i="1" s="1"/>
  <c r="J320" i="1"/>
  <c r="I320" i="1"/>
  <c r="K320" i="1" s="1"/>
  <c r="J319" i="1"/>
  <c r="I319" i="1"/>
  <c r="K319" i="1" s="1"/>
  <c r="J318" i="1"/>
  <c r="I318" i="1"/>
  <c r="K318" i="1" s="1"/>
  <c r="J317" i="1"/>
  <c r="I317" i="1"/>
  <c r="K317" i="1" s="1"/>
  <c r="J316" i="1"/>
  <c r="I316" i="1"/>
  <c r="K316" i="1" s="1"/>
  <c r="J315" i="1"/>
  <c r="I315" i="1"/>
  <c r="K315" i="1" s="1"/>
  <c r="J314" i="1"/>
  <c r="I314" i="1"/>
  <c r="K314" i="1" s="1"/>
  <c r="J313" i="1"/>
  <c r="I313" i="1"/>
  <c r="J312" i="1"/>
  <c r="I312" i="1"/>
  <c r="K312" i="1" s="1"/>
  <c r="J311" i="1"/>
  <c r="I311" i="1"/>
  <c r="K311" i="1" s="1"/>
  <c r="J310" i="1"/>
  <c r="I310" i="1"/>
  <c r="K310" i="1" s="1"/>
  <c r="J309" i="1"/>
  <c r="I309" i="1"/>
  <c r="K309" i="1" s="1"/>
  <c r="J308" i="1"/>
  <c r="I308" i="1"/>
  <c r="K308" i="1" s="1"/>
  <c r="J307" i="1"/>
  <c r="I307" i="1"/>
  <c r="K307" i="1" s="1"/>
  <c r="J306" i="1"/>
  <c r="I306" i="1"/>
  <c r="K306" i="1" s="1"/>
  <c r="J305" i="1"/>
  <c r="I305" i="1"/>
  <c r="K305" i="1" s="1"/>
  <c r="J304" i="1"/>
  <c r="I304" i="1"/>
  <c r="K304" i="1" s="1"/>
  <c r="J303" i="1"/>
  <c r="I303" i="1"/>
  <c r="K303" i="1" s="1"/>
  <c r="J302" i="1"/>
  <c r="I302" i="1"/>
  <c r="K302" i="1" s="1"/>
  <c r="J301" i="1"/>
  <c r="I301" i="1"/>
  <c r="K301" i="1" s="1"/>
  <c r="J300" i="1"/>
  <c r="I300" i="1"/>
  <c r="K300" i="1" s="1"/>
  <c r="J299" i="1"/>
  <c r="I299" i="1"/>
  <c r="K299" i="1" s="1"/>
  <c r="J298" i="1"/>
  <c r="I298" i="1"/>
  <c r="K298" i="1" s="1"/>
  <c r="J297" i="1"/>
  <c r="I297" i="1"/>
  <c r="K297" i="1" s="1"/>
  <c r="J296" i="1"/>
  <c r="I296" i="1"/>
  <c r="K296" i="1" s="1"/>
  <c r="J295" i="1"/>
  <c r="I295" i="1"/>
  <c r="K295" i="1" s="1"/>
  <c r="J294" i="1"/>
  <c r="I294" i="1"/>
  <c r="K294" i="1" s="1"/>
  <c r="J293" i="1"/>
  <c r="I293" i="1"/>
  <c r="K293" i="1" s="1"/>
  <c r="J292" i="1"/>
  <c r="I292" i="1"/>
  <c r="K292" i="1" s="1"/>
  <c r="J291" i="1"/>
  <c r="I291" i="1"/>
  <c r="K291" i="1" s="1"/>
  <c r="J290" i="1"/>
  <c r="I290" i="1"/>
  <c r="K290" i="1" s="1"/>
  <c r="J289" i="1"/>
  <c r="I289" i="1"/>
  <c r="K289" i="1" s="1"/>
  <c r="J288" i="1"/>
  <c r="I288" i="1"/>
  <c r="K288" i="1" s="1"/>
  <c r="J287" i="1"/>
  <c r="I287" i="1"/>
  <c r="K287" i="1" s="1"/>
  <c r="J286" i="1"/>
  <c r="I286" i="1"/>
  <c r="K286" i="1" s="1"/>
  <c r="J285" i="1"/>
  <c r="I285" i="1"/>
  <c r="K285" i="1" s="1"/>
  <c r="J284" i="1"/>
  <c r="I284" i="1"/>
  <c r="K284" i="1" s="1"/>
  <c r="J283" i="1"/>
  <c r="I283" i="1"/>
  <c r="J282" i="1"/>
  <c r="I282" i="1"/>
  <c r="K282" i="1" s="1"/>
  <c r="J281" i="1"/>
  <c r="I281" i="1"/>
  <c r="K281" i="1" s="1"/>
  <c r="J280" i="1"/>
  <c r="I280" i="1"/>
  <c r="K280" i="1" s="1"/>
  <c r="J279" i="1"/>
  <c r="I279" i="1"/>
  <c r="K279" i="1" s="1"/>
  <c r="J278" i="1"/>
  <c r="I278" i="1"/>
  <c r="K278" i="1" s="1"/>
  <c r="J277" i="1"/>
  <c r="I277" i="1"/>
  <c r="K277" i="1" s="1"/>
  <c r="J276" i="1"/>
  <c r="I276" i="1"/>
  <c r="K276" i="1" s="1"/>
  <c r="J275" i="1"/>
  <c r="I275" i="1"/>
  <c r="K275" i="1" s="1"/>
  <c r="J274" i="1"/>
  <c r="I274" i="1"/>
  <c r="K274" i="1" s="1"/>
  <c r="J273" i="1"/>
  <c r="I273" i="1"/>
  <c r="K273" i="1" s="1"/>
  <c r="J272" i="1"/>
  <c r="I272" i="1"/>
  <c r="K272" i="1" s="1"/>
  <c r="J271" i="1"/>
  <c r="I271" i="1"/>
  <c r="K271" i="1" s="1"/>
  <c r="J270" i="1"/>
  <c r="I270" i="1"/>
  <c r="K270" i="1" s="1"/>
  <c r="J269" i="1"/>
  <c r="I269" i="1"/>
  <c r="J268" i="1"/>
  <c r="I268" i="1"/>
  <c r="K268" i="1" s="1"/>
  <c r="J267" i="1"/>
  <c r="I267" i="1"/>
  <c r="K267" i="1" s="1"/>
  <c r="J266" i="1"/>
  <c r="I266" i="1"/>
  <c r="K266" i="1" s="1"/>
  <c r="J265" i="1"/>
  <c r="I265" i="1"/>
  <c r="J264" i="1"/>
  <c r="I264" i="1"/>
  <c r="K264" i="1" s="1"/>
  <c r="J263" i="1"/>
  <c r="I263" i="1"/>
  <c r="J262" i="1"/>
  <c r="I262" i="1"/>
  <c r="K262" i="1" s="1"/>
  <c r="J261" i="1"/>
  <c r="I261" i="1"/>
  <c r="K261" i="1" s="1"/>
  <c r="J260" i="1"/>
  <c r="I260" i="1"/>
  <c r="K260" i="1" s="1"/>
  <c r="J259" i="1"/>
  <c r="I259" i="1"/>
  <c r="K259" i="1" s="1"/>
  <c r="J258" i="1"/>
  <c r="I258" i="1"/>
  <c r="K258" i="1" s="1"/>
  <c r="J257" i="1"/>
  <c r="I257" i="1"/>
  <c r="J256" i="1"/>
  <c r="I256" i="1"/>
  <c r="K256" i="1" s="1"/>
  <c r="J255" i="1"/>
  <c r="I255" i="1"/>
  <c r="K255" i="1" s="1"/>
  <c r="J254" i="1"/>
  <c r="I254" i="1"/>
  <c r="K254" i="1" s="1"/>
  <c r="J253" i="1"/>
  <c r="I253" i="1"/>
  <c r="K253" i="1" s="1"/>
  <c r="J252" i="1"/>
  <c r="I252" i="1"/>
  <c r="K252" i="1" s="1"/>
  <c r="J251" i="1"/>
  <c r="I251" i="1"/>
  <c r="K251" i="1" s="1"/>
  <c r="J250" i="1"/>
  <c r="I250" i="1"/>
  <c r="J249" i="1"/>
  <c r="I249" i="1"/>
  <c r="J248" i="1"/>
  <c r="I248" i="1"/>
  <c r="K248" i="1" s="1"/>
  <c r="J247" i="1"/>
  <c r="I247" i="1"/>
  <c r="K247" i="1" s="1"/>
  <c r="J246" i="1"/>
  <c r="I246" i="1"/>
  <c r="K246" i="1" s="1"/>
  <c r="J245" i="1"/>
  <c r="I245" i="1"/>
  <c r="J244" i="1"/>
  <c r="I244" i="1"/>
  <c r="K244" i="1" s="1"/>
  <c r="J243" i="1"/>
  <c r="I243" i="1"/>
  <c r="K243" i="1" s="1"/>
  <c r="J242" i="1"/>
  <c r="I242" i="1"/>
  <c r="K242" i="1" s="1"/>
  <c r="J241" i="1"/>
  <c r="I241" i="1"/>
  <c r="K241" i="1" s="1"/>
  <c r="J240" i="1"/>
  <c r="I240" i="1"/>
  <c r="K240" i="1" s="1"/>
  <c r="J239" i="1"/>
  <c r="I239" i="1"/>
  <c r="K239" i="1" s="1"/>
  <c r="J238" i="1"/>
  <c r="I238" i="1"/>
  <c r="K238" i="1" s="1"/>
  <c r="J237" i="1"/>
  <c r="I237" i="1"/>
  <c r="K237" i="1" s="1"/>
  <c r="J236" i="1"/>
  <c r="I236" i="1"/>
  <c r="K236" i="1" s="1"/>
  <c r="J235" i="1"/>
  <c r="I235" i="1"/>
  <c r="K235" i="1" s="1"/>
  <c r="J234" i="1"/>
  <c r="I234" i="1"/>
  <c r="K234" i="1" s="1"/>
  <c r="J233" i="1"/>
  <c r="I233" i="1"/>
  <c r="J232" i="1"/>
  <c r="I232" i="1"/>
  <c r="K232" i="1" s="1"/>
  <c r="J231" i="1"/>
  <c r="I231" i="1"/>
  <c r="J230" i="1"/>
  <c r="I230" i="1"/>
  <c r="J229" i="1"/>
  <c r="I229" i="1"/>
  <c r="J228" i="1"/>
  <c r="I228" i="1"/>
  <c r="K228" i="1" s="1"/>
  <c r="J227" i="1"/>
  <c r="I227" i="1"/>
  <c r="K227" i="1" s="1"/>
  <c r="J226" i="1"/>
  <c r="I226" i="1"/>
  <c r="K226" i="1" s="1"/>
  <c r="J225" i="1"/>
  <c r="I225" i="1"/>
  <c r="K225" i="1" s="1"/>
  <c r="J224" i="1"/>
  <c r="I224" i="1"/>
  <c r="K224" i="1" s="1"/>
  <c r="J223" i="1"/>
  <c r="I223" i="1"/>
  <c r="K223" i="1" s="1"/>
  <c r="J222" i="1"/>
  <c r="I222" i="1"/>
  <c r="K222" i="1" s="1"/>
  <c r="J221" i="1"/>
  <c r="I221" i="1"/>
  <c r="K221" i="1" s="1"/>
  <c r="J220" i="1"/>
  <c r="I220" i="1"/>
  <c r="J219" i="1"/>
  <c r="I219" i="1"/>
  <c r="K219" i="1" s="1"/>
  <c r="J218" i="1"/>
  <c r="I218" i="1"/>
  <c r="K218" i="1" s="1"/>
  <c r="J217" i="1"/>
  <c r="I217" i="1"/>
  <c r="K217" i="1" s="1"/>
  <c r="J216" i="1"/>
  <c r="I216" i="1"/>
  <c r="K216" i="1" s="1"/>
  <c r="J215" i="1"/>
  <c r="I215" i="1"/>
  <c r="K215" i="1" s="1"/>
  <c r="J214" i="1"/>
  <c r="I214" i="1"/>
  <c r="K214" i="1" s="1"/>
  <c r="J213" i="1"/>
  <c r="I213" i="1"/>
  <c r="K213" i="1" s="1"/>
  <c r="J212" i="1"/>
  <c r="I212" i="1"/>
  <c r="K212" i="1" s="1"/>
  <c r="J211" i="1"/>
  <c r="I211" i="1"/>
  <c r="J210" i="1"/>
  <c r="I210" i="1"/>
  <c r="K210" i="1" s="1"/>
  <c r="J209" i="1"/>
  <c r="I209" i="1"/>
  <c r="K209" i="1" s="1"/>
  <c r="J208" i="1"/>
  <c r="I208" i="1"/>
  <c r="K208" i="1" s="1"/>
  <c r="J207" i="1"/>
  <c r="I207" i="1"/>
  <c r="K207" i="1" s="1"/>
  <c r="J206" i="1"/>
  <c r="I206" i="1"/>
  <c r="K206" i="1" s="1"/>
  <c r="J205" i="1"/>
  <c r="I205" i="1"/>
  <c r="J204" i="1"/>
  <c r="I204" i="1"/>
  <c r="K204" i="1" s="1"/>
  <c r="J203" i="1"/>
  <c r="I203" i="1"/>
  <c r="K203" i="1" s="1"/>
  <c r="J202" i="1"/>
  <c r="I202" i="1"/>
  <c r="K202" i="1" s="1"/>
  <c r="J201" i="1"/>
  <c r="I201" i="1"/>
  <c r="K201" i="1" s="1"/>
  <c r="J200" i="1"/>
  <c r="I200" i="1"/>
  <c r="K200" i="1" s="1"/>
  <c r="J199" i="1"/>
  <c r="I199" i="1"/>
  <c r="K199" i="1" s="1"/>
  <c r="J198" i="1"/>
  <c r="I198" i="1"/>
  <c r="K198" i="1" s="1"/>
  <c r="J197" i="1"/>
  <c r="I197" i="1"/>
  <c r="K197" i="1" s="1"/>
  <c r="J196" i="1"/>
  <c r="I196" i="1"/>
  <c r="K196" i="1" s="1"/>
  <c r="J195" i="1"/>
  <c r="I195" i="1"/>
  <c r="J194" i="1"/>
  <c r="I194" i="1"/>
  <c r="K194" i="1" s="1"/>
  <c r="J193" i="1"/>
  <c r="I193" i="1"/>
  <c r="K193" i="1" s="1"/>
  <c r="J192" i="1"/>
  <c r="I192" i="1"/>
  <c r="J191" i="1"/>
  <c r="I191" i="1"/>
  <c r="K191" i="1" s="1"/>
  <c r="J190" i="1"/>
  <c r="I190" i="1"/>
  <c r="K190" i="1" s="1"/>
  <c r="J189" i="1"/>
  <c r="I189" i="1"/>
  <c r="K189" i="1" s="1"/>
  <c r="J188" i="1"/>
  <c r="I188" i="1"/>
  <c r="K188" i="1" s="1"/>
  <c r="J187" i="1"/>
  <c r="I187" i="1"/>
  <c r="K187" i="1" s="1"/>
  <c r="J186" i="1"/>
  <c r="I186" i="1"/>
  <c r="K186" i="1" s="1"/>
  <c r="J185" i="1"/>
  <c r="I185" i="1"/>
  <c r="K185" i="1" s="1"/>
  <c r="J184" i="1"/>
  <c r="I184" i="1"/>
  <c r="J183" i="1"/>
  <c r="I183" i="1"/>
  <c r="K183" i="1" s="1"/>
  <c r="J182" i="1"/>
  <c r="I182" i="1"/>
  <c r="K182" i="1" s="1"/>
  <c r="J181" i="1"/>
  <c r="I181" i="1"/>
  <c r="K181" i="1" s="1"/>
  <c r="J180" i="1"/>
  <c r="I180" i="1"/>
  <c r="K180" i="1" s="1"/>
  <c r="J179" i="1"/>
  <c r="I179" i="1"/>
  <c r="K179" i="1" s="1"/>
  <c r="J178" i="1"/>
  <c r="I178" i="1"/>
  <c r="K178" i="1" s="1"/>
  <c r="J177" i="1"/>
  <c r="I177" i="1"/>
  <c r="K177" i="1" s="1"/>
  <c r="J176" i="1"/>
  <c r="I176" i="1"/>
  <c r="K176" i="1" s="1"/>
  <c r="J175" i="1"/>
  <c r="I175" i="1"/>
  <c r="J174" i="1"/>
  <c r="I174" i="1"/>
  <c r="K174" i="1" s="1"/>
  <c r="J173" i="1"/>
  <c r="I173" i="1"/>
  <c r="K173" i="1" s="1"/>
  <c r="J172" i="1"/>
  <c r="I172" i="1"/>
  <c r="K172" i="1" s="1"/>
  <c r="J171" i="1"/>
  <c r="I171" i="1"/>
  <c r="K171" i="1" s="1"/>
  <c r="J170" i="1"/>
  <c r="I170" i="1"/>
  <c r="K170" i="1" s="1"/>
  <c r="J169" i="1"/>
  <c r="I169" i="1"/>
  <c r="K169" i="1" s="1"/>
  <c r="J168" i="1"/>
  <c r="I168" i="1"/>
  <c r="J167" i="1"/>
  <c r="I167" i="1"/>
  <c r="K167" i="1" s="1"/>
  <c r="J166" i="1"/>
  <c r="I166" i="1"/>
  <c r="K166" i="1" s="1"/>
  <c r="J165" i="1"/>
  <c r="I165" i="1"/>
  <c r="K165" i="1" s="1"/>
  <c r="J164" i="1"/>
  <c r="I164" i="1"/>
  <c r="K164" i="1" s="1"/>
  <c r="J163" i="1"/>
  <c r="I163" i="1"/>
  <c r="K163" i="1" s="1"/>
  <c r="J162" i="1"/>
  <c r="I162" i="1"/>
  <c r="K162" i="1" s="1"/>
  <c r="J161" i="1"/>
  <c r="I161" i="1"/>
  <c r="K161" i="1" s="1"/>
  <c r="J160" i="1"/>
  <c r="I160" i="1"/>
  <c r="K160" i="1" s="1"/>
  <c r="J159" i="1"/>
  <c r="I159" i="1"/>
  <c r="K159" i="1" s="1"/>
  <c r="J158" i="1"/>
  <c r="I158" i="1"/>
  <c r="K158" i="1" s="1"/>
  <c r="J157" i="1"/>
  <c r="I157" i="1"/>
  <c r="K157" i="1" s="1"/>
  <c r="J156" i="1"/>
  <c r="I156" i="1"/>
  <c r="K156" i="1" s="1"/>
  <c r="J155" i="1"/>
  <c r="I155" i="1"/>
  <c r="J154" i="1"/>
  <c r="I154" i="1"/>
  <c r="K154" i="1" s="1"/>
  <c r="J153" i="1"/>
  <c r="I153" i="1"/>
  <c r="K153" i="1" s="1"/>
  <c r="J152" i="1"/>
  <c r="I152" i="1"/>
  <c r="K152" i="1" s="1"/>
  <c r="J151" i="1"/>
  <c r="I151" i="1"/>
  <c r="K151" i="1" s="1"/>
  <c r="J150" i="1"/>
  <c r="I150" i="1"/>
  <c r="J149" i="1"/>
  <c r="I149" i="1"/>
  <c r="J148" i="1"/>
  <c r="I148" i="1"/>
  <c r="K148" i="1" s="1"/>
  <c r="J147" i="1"/>
  <c r="I147" i="1"/>
  <c r="J146" i="1"/>
  <c r="I146" i="1"/>
  <c r="K146" i="1" s="1"/>
  <c r="J145" i="1"/>
  <c r="I145" i="1"/>
  <c r="J144" i="1"/>
  <c r="I144" i="1"/>
  <c r="K144" i="1" s="1"/>
  <c r="J143" i="1"/>
  <c r="I143" i="1"/>
  <c r="J142" i="1"/>
  <c r="I142" i="1"/>
  <c r="K142" i="1" s="1"/>
  <c r="J141" i="1"/>
  <c r="I141" i="1"/>
  <c r="K141" i="1" s="1"/>
  <c r="J140" i="1"/>
  <c r="I140" i="1"/>
  <c r="K140" i="1" s="1"/>
  <c r="J139" i="1"/>
  <c r="I139" i="1"/>
  <c r="K139" i="1" s="1"/>
  <c r="J138" i="1"/>
  <c r="I138" i="1"/>
  <c r="K138" i="1" s="1"/>
  <c r="J137" i="1"/>
  <c r="I137" i="1"/>
  <c r="K137" i="1" s="1"/>
  <c r="J136" i="1"/>
  <c r="I136" i="1"/>
  <c r="K136" i="1" s="1"/>
  <c r="J135" i="1"/>
  <c r="I135" i="1"/>
  <c r="K135" i="1" s="1"/>
  <c r="J134" i="1"/>
  <c r="I134" i="1"/>
  <c r="K134" i="1" s="1"/>
  <c r="J133" i="1"/>
  <c r="I133" i="1"/>
  <c r="K133" i="1" s="1"/>
  <c r="J132" i="1"/>
  <c r="I132" i="1"/>
  <c r="K132" i="1" s="1"/>
  <c r="J131" i="1"/>
  <c r="I131" i="1"/>
  <c r="K131" i="1" s="1"/>
  <c r="J130" i="1"/>
  <c r="I130" i="1"/>
  <c r="J129" i="1"/>
  <c r="I129" i="1"/>
  <c r="J128" i="1"/>
  <c r="I128" i="1"/>
  <c r="K128" i="1" s="1"/>
  <c r="J127" i="1"/>
  <c r="I127" i="1"/>
  <c r="K127" i="1" s="1"/>
  <c r="J126" i="1"/>
  <c r="I126" i="1"/>
  <c r="K126" i="1" s="1"/>
  <c r="J125" i="1"/>
  <c r="I125" i="1"/>
  <c r="K125" i="1" s="1"/>
  <c r="J124" i="1"/>
  <c r="I124" i="1"/>
  <c r="J123" i="1"/>
  <c r="I123" i="1"/>
  <c r="K123" i="1" s="1"/>
  <c r="J122" i="1"/>
  <c r="I122" i="1"/>
  <c r="K122" i="1" s="1"/>
  <c r="J121" i="1"/>
  <c r="I121" i="1"/>
  <c r="K121" i="1" s="1"/>
  <c r="J120" i="1"/>
  <c r="I120" i="1"/>
  <c r="K120" i="1" s="1"/>
  <c r="J119" i="1"/>
  <c r="I119" i="1"/>
  <c r="K119" i="1" s="1"/>
  <c r="J118" i="1"/>
  <c r="I118" i="1"/>
  <c r="K118" i="1" s="1"/>
  <c r="J117" i="1"/>
  <c r="I117" i="1"/>
  <c r="K117" i="1" s="1"/>
  <c r="J116" i="1"/>
  <c r="I116" i="1"/>
  <c r="K116" i="1" s="1"/>
  <c r="J115" i="1"/>
  <c r="I115" i="1"/>
  <c r="K115" i="1" s="1"/>
  <c r="J114" i="1"/>
  <c r="I114" i="1"/>
  <c r="K114" i="1" s="1"/>
  <c r="J113" i="1"/>
  <c r="I113" i="1"/>
  <c r="K113" i="1" s="1"/>
  <c r="J112" i="1"/>
  <c r="I112" i="1"/>
  <c r="K112" i="1" s="1"/>
  <c r="J111" i="1"/>
  <c r="I111" i="1"/>
  <c r="J110" i="1"/>
  <c r="I110" i="1"/>
  <c r="J109" i="1"/>
  <c r="I109" i="1"/>
  <c r="J108" i="1"/>
  <c r="I108" i="1"/>
  <c r="K108" i="1" s="1"/>
  <c r="J107" i="1"/>
  <c r="I107" i="1"/>
  <c r="K107" i="1" s="1"/>
  <c r="J106" i="1"/>
  <c r="I106" i="1"/>
  <c r="K106" i="1" s="1"/>
  <c r="J105" i="1"/>
  <c r="I105" i="1"/>
  <c r="J104" i="1"/>
  <c r="I104" i="1"/>
  <c r="K104" i="1" s="1"/>
  <c r="J103" i="1"/>
  <c r="I103" i="1"/>
  <c r="J102" i="1"/>
  <c r="I102" i="1"/>
  <c r="K102" i="1" s="1"/>
  <c r="J101" i="1"/>
  <c r="I101" i="1"/>
  <c r="K101" i="1" s="1"/>
  <c r="J100" i="1"/>
  <c r="I100" i="1"/>
  <c r="K100" i="1" s="1"/>
  <c r="J99" i="1"/>
  <c r="I99" i="1"/>
  <c r="K99" i="1" s="1"/>
  <c r="J98" i="1"/>
  <c r="I98" i="1"/>
  <c r="K98" i="1" s="1"/>
  <c r="J97" i="1"/>
  <c r="I97" i="1"/>
  <c r="K97" i="1" s="1"/>
  <c r="J96" i="1"/>
  <c r="I96" i="1"/>
  <c r="K96" i="1" s="1"/>
  <c r="J95" i="1"/>
  <c r="I95" i="1"/>
  <c r="K95" i="1" s="1"/>
  <c r="J94" i="1"/>
  <c r="I94" i="1"/>
  <c r="K94" i="1" s="1"/>
  <c r="J93" i="1"/>
  <c r="I93" i="1"/>
  <c r="K93" i="1" s="1"/>
  <c r="J92" i="1"/>
  <c r="I92" i="1"/>
  <c r="K92" i="1" s="1"/>
  <c r="J91" i="1"/>
  <c r="I91" i="1"/>
  <c r="K91" i="1" s="1"/>
  <c r="J90" i="1"/>
  <c r="I90" i="1"/>
  <c r="K90" i="1" s="1"/>
  <c r="J89" i="1"/>
  <c r="I89" i="1"/>
  <c r="K89" i="1" s="1"/>
  <c r="J88" i="1"/>
  <c r="I88" i="1"/>
  <c r="K88" i="1" s="1"/>
  <c r="J87" i="1"/>
  <c r="I87" i="1"/>
  <c r="K87" i="1" s="1"/>
  <c r="J86" i="1"/>
  <c r="I86" i="1"/>
  <c r="K86" i="1" s="1"/>
  <c r="J85" i="1"/>
  <c r="I85" i="1"/>
  <c r="K85" i="1" s="1"/>
  <c r="J84" i="1"/>
  <c r="I84" i="1"/>
  <c r="K84" i="1" s="1"/>
  <c r="J83" i="1"/>
  <c r="I83" i="1"/>
  <c r="K83" i="1" s="1"/>
  <c r="J82" i="1"/>
  <c r="I82" i="1"/>
  <c r="K82" i="1" s="1"/>
  <c r="J81" i="1"/>
  <c r="I81" i="1"/>
  <c r="K81" i="1" s="1"/>
  <c r="J80" i="1"/>
  <c r="I80" i="1"/>
  <c r="K80" i="1" s="1"/>
  <c r="J79" i="1"/>
  <c r="I79" i="1"/>
  <c r="K79" i="1" s="1"/>
  <c r="J78" i="1"/>
  <c r="I78" i="1"/>
  <c r="K78" i="1" s="1"/>
  <c r="J77" i="1"/>
  <c r="I77" i="1"/>
  <c r="K77" i="1" s="1"/>
  <c r="L77" i="1" s="1"/>
  <c r="J76" i="1"/>
  <c r="I76" i="1"/>
  <c r="K76" i="1" s="1"/>
  <c r="J75" i="1"/>
  <c r="I75" i="1"/>
  <c r="K75" i="1" s="1"/>
  <c r="J74" i="1"/>
  <c r="I74" i="1"/>
  <c r="K74" i="1" s="1"/>
  <c r="J73" i="1"/>
  <c r="I73" i="1"/>
  <c r="K73" i="1" s="1"/>
  <c r="J72" i="1"/>
  <c r="I72" i="1"/>
  <c r="J71" i="1"/>
  <c r="I71" i="1"/>
  <c r="K71" i="1" s="1"/>
  <c r="J70" i="1"/>
  <c r="I70" i="1"/>
  <c r="K70" i="1" s="1"/>
  <c r="J69" i="1"/>
  <c r="I69" i="1"/>
  <c r="K69" i="1" s="1"/>
  <c r="J68" i="1"/>
  <c r="I68" i="1"/>
  <c r="K68" i="1" s="1"/>
  <c r="J67" i="1"/>
  <c r="I67" i="1"/>
  <c r="K67" i="1" s="1"/>
  <c r="J66" i="1"/>
  <c r="I66" i="1"/>
  <c r="K66" i="1" s="1"/>
  <c r="J65" i="1"/>
  <c r="I65" i="1"/>
  <c r="K65" i="1" s="1"/>
  <c r="J64" i="1"/>
  <c r="I64" i="1"/>
  <c r="K64" i="1" s="1"/>
  <c r="J63" i="1"/>
  <c r="I63" i="1"/>
  <c r="J62" i="1"/>
  <c r="I62" i="1"/>
  <c r="K62" i="1" s="1"/>
  <c r="J61" i="1"/>
  <c r="I61" i="1"/>
  <c r="K61" i="1" s="1"/>
  <c r="J60" i="1"/>
  <c r="I60" i="1"/>
  <c r="J59" i="1"/>
  <c r="I59" i="1"/>
  <c r="K59" i="1" s="1"/>
  <c r="J58" i="1"/>
  <c r="I58" i="1"/>
  <c r="K58" i="1" s="1"/>
  <c r="J57" i="1"/>
  <c r="I57" i="1"/>
  <c r="K57" i="1" s="1"/>
  <c r="J56" i="1"/>
  <c r="I56" i="1"/>
  <c r="K56" i="1" s="1"/>
  <c r="J55" i="1"/>
  <c r="I55" i="1"/>
  <c r="K55" i="1" s="1"/>
  <c r="J54" i="1"/>
  <c r="I54" i="1"/>
  <c r="K54" i="1" s="1"/>
  <c r="J53" i="1"/>
  <c r="I53" i="1"/>
  <c r="K53" i="1" s="1"/>
  <c r="J52" i="1"/>
  <c r="I52" i="1"/>
  <c r="J51" i="1"/>
  <c r="I51" i="1"/>
  <c r="K51" i="1" s="1"/>
  <c r="J50" i="1"/>
  <c r="I50" i="1"/>
  <c r="K50" i="1" s="1"/>
  <c r="J49" i="1"/>
  <c r="I49" i="1"/>
  <c r="K49" i="1" s="1"/>
  <c r="J48" i="1"/>
  <c r="I48" i="1"/>
  <c r="K48" i="1" s="1"/>
  <c r="J47" i="1"/>
  <c r="I47" i="1"/>
  <c r="K47" i="1" s="1"/>
  <c r="J46" i="1"/>
  <c r="I46" i="1"/>
  <c r="K46" i="1" s="1"/>
  <c r="J45" i="1"/>
  <c r="I45" i="1"/>
  <c r="K45" i="1" s="1"/>
  <c r="J44" i="1"/>
  <c r="I44" i="1"/>
  <c r="K44" i="1" s="1"/>
  <c r="J43" i="1"/>
  <c r="I43" i="1"/>
  <c r="J42" i="1"/>
  <c r="I42" i="1"/>
  <c r="K42" i="1" s="1"/>
  <c r="J41" i="1"/>
  <c r="I41" i="1"/>
  <c r="K41" i="1" s="1"/>
  <c r="J40" i="1"/>
  <c r="I40" i="1"/>
  <c r="K40" i="1" s="1"/>
  <c r="J39" i="1"/>
  <c r="I39" i="1"/>
  <c r="K39" i="1" s="1"/>
  <c r="J38" i="1"/>
  <c r="I38" i="1"/>
  <c r="K38" i="1" s="1"/>
  <c r="J37" i="1"/>
  <c r="I37" i="1"/>
  <c r="K37" i="1" s="1"/>
  <c r="J36" i="1"/>
  <c r="I36" i="1"/>
  <c r="K36" i="1" s="1"/>
  <c r="J35" i="1"/>
  <c r="I35" i="1"/>
  <c r="K35" i="1" s="1"/>
  <c r="J34" i="1"/>
  <c r="I34" i="1"/>
  <c r="K34" i="1" s="1"/>
  <c r="J33" i="1"/>
  <c r="I33" i="1"/>
  <c r="K33" i="1" s="1"/>
  <c r="J32" i="1"/>
  <c r="I32" i="1"/>
  <c r="K32" i="1" s="1"/>
  <c r="J31" i="1"/>
  <c r="I31" i="1"/>
  <c r="K31" i="1" s="1"/>
  <c r="J30" i="1"/>
  <c r="I30" i="1"/>
  <c r="J29" i="1"/>
  <c r="I29" i="1"/>
  <c r="K29" i="1" s="1"/>
  <c r="J28" i="1"/>
  <c r="I28" i="1"/>
  <c r="K28" i="1" s="1"/>
  <c r="J27" i="1"/>
  <c r="I27" i="1"/>
  <c r="K27" i="1" s="1"/>
  <c r="J26" i="1"/>
  <c r="I26" i="1"/>
  <c r="K26" i="1" s="1"/>
  <c r="J25" i="1"/>
  <c r="I25" i="1"/>
  <c r="K25" i="1" s="1"/>
  <c r="J24" i="1"/>
  <c r="I24" i="1"/>
  <c r="K24" i="1" s="1"/>
  <c r="J23" i="1"/>
  <c r="I23" i="1"/>
  <c r="J22" i="1"/>
  <c r="I22" i="1"/>
  <c r="K22" i="1" s="1"/>
  <c r="J21" i="1"/>
  <c r="I21" i="1"/>
  <c r="K21" i="1" s="1"/>
  <c r="J20" i="1"/>
  <c r="I20" i="1"/>
  <c r="K20" i="1" s="1"/>
  <c r="J19" i="1"/>
  <c r="I19" i="1"/>
  <c r="K19" i="1" s="1"/>
  <c r="J18" i="1"/>
  <c r="I18" i="1"/>
  <c r="K18" i="1" s="1"/>
  <c r="J17" i="1"/>
  <c r="I17" i="1"/>
  <c r="K17" i="1" s="1"/>
  <c r="J16" i="1"/>
  <c r="I16" i="1"/>
  <c r="K16" i="1" s="1"/>
  <c r="J15" i="1"/>
  <c r="I15" i="1"/>
  <c r="K15" i="1" s="1"/>
  <c r="J14" i="1"/>
  <c r="I14" i="1"/>
  <c r="K14" i="1" s="1"/>
  <c r="J13" i="1"/>
  <c r="I13" i="1"/>
  <c r="K13" i="1" s="1"/>
  <c r="J12" i="1"/>
  <c r="I12" i="1"/>
  <c r="K12" i="1" s="1"/>
  <c r="J11" i="1"/>
  <c r="I11" i="1"/>
  <c r="J10" i="1"/>
  <c r="I10" i="1"/>
  <c r="K10" i="1" s="1"/>
  <c r="J9" i="1"/>
  <c r="I9" i="1"/>
  <c r="K9" i="1" s="1"/>
  <c r="J8" i="1"/>
  <c r="I8" i="1"/>
  <c r="K8" i="1" s="1"/>
  <c r="J7" i="1"/>
  <c r="I7" i="1"/>
  <c r="K7" i="1" s="1"/>
  <c r="J6" i="1"/>
  <c r="I6" i="1"/>
  <c r="K6" i="1" s="1"/>
  <c r="J5" i="1"/>
  <c r="I5" i="1"/>
  <c r="K5" i="1" s="1"/>
  <c r="J4" i="1"/>
  <c r="I4" i="1"/>
  <c r="J3" i="1"/>
  <c r="I3" i="1"/>
  <c r="J2" i="1"/>
  <c r="I2" i="1"/>
  <c r="K2" i="1" s="1"/>
  <c r="L95" i="1" l="1"/>
  <c r="L44" i="1"/>
  <c r="L80" i="1"/>
  <c r="V82" i="1" s="1"/>
  <c r="L100" i="1"/>
  <c r="L144" i="1"/>
  <c r="L188" i="1"/>
  <c r="L208" i="1"/>
  <c r="L232" i="1"/>
  <c r="L252" i="1"/>
  <c r="L272" i="1"/>
  <c r="L292" i="1"/>
  <c r="L97" i="1"/>
  <c r="N5" i="9"/>
  <c r="L14" i="1"/>
  <c r="L70" i="1"/>
  <c r="V72" i="1" s="1"/>
  <c r="L82" i="1"/>
  <c r="L154" i="1"/>
  <c r="L178" i="1"/>
  <c r="L198" i="1"/>
  <c r="L238" i="1"/>
  <c r="L242" i="1"/>
  <c r="L262" i="1"/>
  <c r="L282" i="1"/>
  <c r="L302" i="1"/>
  <c r="V84" i="1" s="1"/>
  <c r="L42" i="1"/>
  <c r="L73" i="1"/>
  <c r="V75" i="1" s="1"/>
  <c r="L93" i="1"/>
  <c r="L46" i="1"/>
  <c r="L56" i="1"/>
  <c r="L106" i="1"/>
  <c r="L116" i="1"/>
  <c r="L126" i="1"/>
  <c r="L136" i="1"/>
  <c r="L216" i="1"/>
  <c r="L236" i="1"/>
  <c r="L246" i="1"/>
  <c r="L256" i="1"/>
  <c r="L276" i="1"/>
  <c r="L286" i="1"/>
  <c r="L296" i="1"/>
  <c r="L316" i="1"/>
  <c r="V98" i="1" s="1"/>
  <c r="L176" i="1"/>
  <c r="L258" i="1"/>
  <c r="L319" i="1"/>
  <c r="V101" i="1" s="1"/>
  <c r="L161" i="1"/>
  <c r="L212" i="1"/>
  <c r="L222" i="1"/>
  <c r="L318" i="1"/>
  <c r="V100" i="1" s="1"/>
  <c r="L6" i="1"/>
  <c r="L16" i="1"/>
  <c r="L26" i="1"/>
  <c r="L36" i="1"/>
  <c r="L85" i="1"/>
  <c r="L206" i="1"/>
  <c r="L76" i="1"/>
  <c r="V78" i="1" s="1"/>
  <c r="L166" i="1"/>
  <c r="L186" i="1"/>
  <c r="L196" i="1"/>
  <c r="L156" i="1"/>
  <c r="L306" i="1"/>
  <c r="V88" i="1" s="1"/>
  <c r="L218" i="1"/>
  <c r="L228" i="1"/>
  <c r="L248" i="1"/>
  <c r="L268" i="1"/>
  <c r="L278" i="1"/>
  <c r="L288" i="1"/>
  <c r="L298" i="1"/>
  <c r="L308" i="1"/>
  <c r="V90" i="1" s="1"/>
  <c r="L201" i="1"/>
  <c r="L12" i="1"/>
  <c r="L79" i="1"/>
  <c r="V81" i="1" s="1"/>
  <c r="L202" i="1"/>
  <c r="L267" i="1"/>
  <c r="L285" i="1"/>
  <c r="L41" i="1"/>
  <c r="L22" i="1"/>
  <c r="L32" i="1"/>
  <c r="L61" i="1"/>
  <c r="L89" i="1"/>
  <c r="L98" i="1"/>
  <c r="L165" i="1"/>
  <c r="L193" i="1"/>
  <c r="L239" i="1"/>
  <c r="L295" i="1"/>
  <c r="K220" i="1"/>
  <c r="L220" i="1" s="1"/>
  <c r="K60" i="1"/>
  <c r="L60" i="1" s="1"/>
  <c r="L221" i="1"/>
  <c r="L305" i="1"/>
  <c r="V87" i="1" s="1"/>
  <c r="L20" i="1"/>
  <c r="L62" i="1"/>
  <c r="V64" i="1" s="1"/>
  <c r="L240" i="1"/>
  <c r="L315" i="1"/>
  <c r="V97" i="1" s="1"/>
  <c r="L58" i="1"/>
  <c r="L59" i="1"/>
  <c r="L99" i="1"/>
  <c r="L5" i="1"/>
  <c r="L81" i="1"/>
  <c r="V83" i="1" s="1"/>
  <c r="L118" i="1"/>
  <c r="L185" i="1"/>
  <c r="L259" i="1"/>
  <c r="K257" i="1"/>
  <c r="L257" i="1" s="1"/>
  <c r="L138" i="1"/>
  <c r="L241" i="1"/>
  <c r="L15" i="1"/>
  <c r="L119" i="1"/>
  <c r="L158" i="1"/>
  <c r="L260" i="1"/>
  <c r="K195" i="1"/>
  <c r="L195" i="1" s="1"/>
  <c r="K175" i="1"/>
  <c r="L175" i="1" s="1"/>
  <c r="K155" i="1"/>
  <c r="L155" i="1" s="1"/>
  <c r="L35" i="1"/>
  <c r="L317" i="1"/>
  <c r="V99" i="1" s="1"/>
  <c r="L34" i="1"/>
  <c r="L215" i="1"/>
  <c r="L279" i="1"/>
  <c r="K313" i="1"/>
  <c r="L313" i="1" s="1"/>
  <c r="V95" i="1" s="1"/>
  <c r="K233" i="1"/>
  <c r="L233" i="1" s="1"/>
  <c r="L139" i="1"/>
  <c r="L45" i="1"/>
  <c r="L65" i="1"/>
  <c r="V67" i="1" s="1"/>
  <c r="L140" i="1"/>
  <c r="L197" i="1"/>
  <c r="L224" i="1"/>
  <c r="L261" i="1"/>
  <c r="L289" i="1"/>
  <c r="L299" i="1"/>
  <c r="K192" i="1"/>
  <c r="L192" i="1" s="1"/>
  <c r="K72" i="1"/>
  <c r="L72" i="1" s="1"/>
  <c r="V74" i="1" s="1"/>
  <c r="K52" i="1"/>
  <c r="L52" i="1" s="1"/>
  <c r="L92" i="1"/>
  <c r="L101" i="1"/>
  <c r="L83" i="1"/>
  <c r="L102" i="1"/>
  <c r="L121" i="1"/>
  <c r="L169" i="1"/>
  <c r="L234" i="1"/>
  <c r="L243" i="1"/>
  <c r="K231" i="1"/>
  <c r="L231" i="1" s="1"/>
  <c r="K211" i="1"/>
  <c r="L211" i="1" s="1"/>
  <c r="K111" i="1"/>
  <c r="L111" i="1" s="1"/>
  <c r="K11" i="1"/>
  <c r="L11" i="1" s="1"/>
  <c r="L25" i="1"/>
  <c r="L55" i="1"/>
  <c r="L159" i="1"/>
  <c r="L27" i="1"/>
  <c r="L66" i="1"/>
  <c r="V68" i="1" s="1"/>
  <c r="L75" i="1"/>
  <c r="V77" i="1" s="1"/>
  <c r="L112" i="1"/>
  <c r="L141" i="1"/>
  <c r="L225" i="1"/>
  <c r="L309" i="1"/>
  <c r="V91" i="1" s="1"/>
  <c r="K250" i="1"/>
  <c r="L250" i="1" s="1"/>
  <c r="K230" i="1"/>
  <c r="L230" i="1" s="1"/>
  <c r="K150" i="1"/>
  <c r="L150" i="1" s="1"/>
  <c r="K130" i="1"/>
  <c r="L130" i="1" s="1"/>
  <c r="K110" i="1"/>
  <c r="L110" i="1" s="1"/>
  <c r="K30" i="1"/>
  <c r="L30" i="1" s="1"/>
  <c r="L37" i="1"/>
  <c r="L122" i="1"/>
  <c r="L179" i="1"/>
  <c r="K269" i="1"/>
  <c r="L269" i="1" s="1"/>
  <c r="K249" i="1"/>
  <c r="L249" i="1" s="1"/>
  <c r="K229" i="1"/>
  <c r="L229" i="1" s="1"/>
  <c r="K149" i="1"/>
  <c r="L149" i="1" s="1"/>
  <c r="K129" i="1"/>
  <c r="L129" i="1" s="1"/>
  <c r="K109" i="1"/>
  <c r="L109" i="1" s="1"/>
  <c r="L18" i="1"/>
  <c r="L132" i="1"/>
  <c r="L170" i="1"/>
  <c r="L235" i="1"/>
  <c r="L9" i="1"/>
  <c r="L38" i="1"/>
  <c r="L113" i="1"/>
  <c r="L152" i="1"/>
  <c r="L189" i="1"/>
  <c r="K168" i="1"/>
  <c r="L168" i="1" s="1"/>
  <c r="L19" i="1"/>
  <c r="L29" i="1"/>
  <c r="L48" i="1"/>
  <c r="L133" i="1"/>
  <c r="L199" i="1"/>
  <c r="L273" i="1"/>
  <c r="K147" i="1"/>
  <c r="L147" i="1" s="1"/>
  <c r="L114" i="1"/>
  <c r="L162" i="1"/>
  <c r="L190" i="1"/>
  <c r="L209" i="1"/>
  <c r="L255" i="1"/>
  <c r="L320" i="1"/>
  <c r="V102" i="1" s="1"/>
  <c r="L266" i="1"/>
  <c r="L226" i="1"/>
  <c r="L146" i="1"/>
  <c r="L49" i="1"/>
  <c r="L172" i="1"/>
  <c r="L181" i="1"/>
  <c r="L237" i="1"/>
  <c r="K265" i="1"/>
  <c r="L265" i="1" s="1"/>
  <c r="K245" i="1"/>
  <c r="L245" i="1" s="1"/>
  <c r="K205" i="1"/>
  <c r="L205" i="1" s="1"/>
  <c r="K145" i="1"/>
  <c r="L145" i="1" s="1"/>
  <c r="K105" i="1"/>
  <c r="L105" i="1" s="1"/>
  <c r="L39" i="1"/>
  <c r="L293" i="1"/>
  <c r="K184" i="1"/>
  <c r="L184" i="1" s="1"/>
  <c r="K124" i="1"/>
  <c r="L124" i="1" s="1"/>
  <c r="L24" i="1"/>
  <c r="K4" i="1"/>
  <c r="L4" i="1" s="1"/>
  <c r="L69" i="1"/>
  <c r="V71" i="1" s="1"/>
  <c r="L87" i="1"/>
  <c r="L115" i="1"/>
  <c r="L21" i="1"/>
  <c r="L50" i="1"/>
  <c r="L78" i="1"/>
  <c r="V80" i="1" s="1"/>
  <c r="L96" i="1"/>
  <c r="L125" i="1"/>
  <c r="L135" i="1"/>
  <c r="L219" i="1"/>
  <c r="L247" i="1"/>
  <c r="L275" i="1"/>
  <c r="L321" i="1"/>
  <c r="V103" i="1" s="1"/>
  <c r="K283" i="1"/>
  <c r="L283" i="1" s="1"/>
  <c r="K263" i="1"/>
  <c r="L263" i="1" s="1"/>
  <c r="K143" i="1"/>
  <c r="L143" i="1" s="1"/>
  <c r="K103" i="1"/>
  <c r="L103" i="1" s="1"/>
  <c r="K63" i="1"/>
  <c r="L63" i="1" s="1"/>
  <c r="V65" i="1" s="1"/>
  <c r="K43" i="1"/>
  <c r="L43" i="1" s="1"/>
  <c r="K23" i="1"/>
  <c r="L23" i="1" s="1"/>
  <c r="K3" i="1"/>
  <c r="L3" i="1" s="1"/>
  <c r="L71" i="1"/>
  <c r="V73" i="1" s="1"/>
  <c r="L107" i="1"/>
  <c r="L163" i="1"/>
  <c r="L287" i="1"/>
  <c r="L53" i="1"/>
  <c r="L90" i="1"/>
  <c r="L117" i="1"/>
  <c r="L173" i="1"/>
  <c r="L182" i="1"/>
  <c r="L191" i="1"/>
  <c r="L200" i="1"/>
  <c r="L244" i="1"/>
  <c r="L270" i="1"/>
  <c r="L314" i="1"/>
  <c r="V96" i="1" s="1"/>
  <c r="L164" i="1"/>
  <c r="L8" i="1"/>
  <c r="L54" i="1"/>
  <c r="L91" i="1"/>
  <c r="L137" i="1"/>
  <c r="L174" i="1"/>
  <c r="L183" i="1"/>
  <c r="L210" i="1"/>
  <c r="L297" i="1"/>
  <c r="L217" i="1"/>
  <c r="L7" i="1"/>
  <c r="L108" i="1"/>
  <c r="L127" i="1"/>
  <c r="L227" i="1"/>
  <c r="L253" i="1"/>
  <c r="L17" i="1"/>
  <c r="L64" i="1"/>
  <c r="V66" i="1" s="1"/>
  <c r="L128" i="1"/>
  <c r="L254" i="1"/>
  <c r="L271" i="1"/>
  <c r="L280" i="1"/>
  <c r="L74" i="1"/>
  <c r="V76" i="1" s="1"/>
  <c r="L307" i="1"/>
  <c r="V89" i="1" s="1"/>
  <c r="L10" i="1"/>
  <c r="L28" i="1"/>
  <c r="L120" i="1"/>
  <c r="L148" i="1"/>
  <c r="L157" i="1"/>
  <c r="L194" i="1"/>
  <c r="L203" i="1"/>
  <c r="L264" i="1"/>
  <c r="L281" i="1"/>
  <c r="L290" i="1"/>
  <c r="L84" i="1"/>
  <c r="L167" i="1"/>
  <c r="L204" i="1"/>
  <c r="L47" i="1"/>
  <c r="L57" i="1"/>
  <c r="L67" i="1"/>
  <c r="V69" i="1" s="1"/>
  <c r="L94" i="1"/>
  <c r="L131" i="1"/>
  <c r="L177" i="1"/>
  <c r="L213" i="1"/>
  <c r="L274" i="1"/>
  <c r="L291" i="1"/>
  <c r="L300" i="1"/>
  <c r="L68" i="1"/>
  <c r="V70" i="1" s="1"/>
  <c r="L187" i="1"/>
  <c r="L214" i="1"/>
  <c r="L13" i="1"/>
  <c r="L31" i="1"/>
  <c r="L40" i="1"/>
  <c r="L86" i="1"/>
  <c r="L104" i="1"/>
  <c r="L123" i="1"/>
  <c r="L142" i="1"/>
  <c r="L151" i="1"/>
  <c r="L160" i="1"/>
  <c r="L223" i="1"/>
  <c r="L284" i="1"/>
  <c r="L301" i="1"/>
  <c r="L310" i="1"/>
  <c r="V92" i="1" s="1"/>
  <c r="L134" i="1"/>
  <c r="L207" i="1"/>
  <c r="L294" i="1"/>
  <c r="L311" i="1"/>
  <c r="V93" i="1" s="1"/>
  <c r="L33" i="1"/>
  <c r="L51" i="1"/>
  <c r="L88" i="1"/>
  <c r="L153" i="1"/>
  <c r="L171" i="1"/>
  <c r="L180" i="1"/>
  <c r="L251" i="1"/>
  <c r="L277" i="1"/>
  <c r="L303" i="1"/>
  <c r="V85" i="1" s="1"/>
  <c r="L312" i="1"/>
  <c r="V94" i="1" s="1"/>
  <c r="L304" i="1"/>
  <c r="V86" i="1" s="1"/>
  <c r="L2" i="1"/>
  <c r="V79" i="1"/>
  <c r="M154" i="9" l="1"/>
  <c r="M322" i="9"/>
  <c r="M153" i="9"/>
  <c r="M48" i="9"/>
  <c r="M216" i="9"/>
  <c r="M197" i="9"/>
  <c r="M93" i="9"/>
  <c r="M109" i="9"/>
  <c r="M185" i="9"/>
  <c r="M187" i="9"/>
  <c r="M68" i="9"/>
  <c r="M207" i="9"/>
  <c r="M253" i="9"/>
  <c r="M33" i="9"/>
  <c r="M133" i="9"/>
  <c r="M6" i="9"/>
  <c r="M50" i="9"/>
  <c r="M218" i="9"/>
  <c r="M191" i="9"/>
  <c r="M300" i="9"/>
  <c r="M40" i="9"/>
  <c r="M104" i="9"/>
  <c r="M280" i="9"/>
  <c r="M124" i="9"/>
  <c r="M38" i="9"/>
  <c r="M145" i="9"/>
  <c r="M65" i="9"/>
  <c r="M117" i="9"/>
  <c r="M299" i="9"/>
  <c r="M92" i="9"/>
  <c r="M320" i="9"/>
  <c r="M95" i="9"/>
  <c r="M265" i="9"/>
  <c r="M167" i="9"/>
  <c r="M210" i="9"/>
  <c r="M35" i="9"/>
  <c r="M4" i="9"/>
  <c r="M297" i="9"/>
  <c r="M149" i="9"/>
  <c r="M279" i="9"/>
  <c r="M220" i="9"/>
  <c r="M190" i="9"/>
  <c r="M163" i="9"/>
  <c r="M287" i="9"/>
  <c r="M90" i="9"/>
  <c r="M47" i="9"/>
  <c r="M204" i="9"/>
  <c r="M55" i="9"/>
  <c r="M9" i="9"/>
  <c r="M302" i="9"/>
  <c r="M230" i="9"/>
  <c r="M41" i="9"/>
  <c r="M59" i="9"/>
  <c r="M318" i="9"/>
  <c r="M97" i="9"/>
  <c r="M86" i="9"/>
  <c r="M289" i="9"/>
  <c r="M274" i="9"/>
  <c r="M235" i="9"/>
  <c r="M268" i="9"/>
  <c r="M71" i="9"/>
  <c r="M244" i="9"/>
  <c r="M166" i="9"/>
  <c r="M175" i="9"/>
  <c r="M310" i="9"/>
  <c r="M2" i="9"/>
  <c r="M202" i="9"/>
  <c r="M186" i="9"/>
  <c r="M58" i="9"/>
  <c r="M54" i="9"/>
  <c r="M45" i="9"/>
  <c r="M168" i="9"/>
  <c r="M243" i="9"/>
  <c r="M307" i="9"/>
  <c r="M26" i="9"/>
  <c r="M284" i="9"/>
  <c r="M170" i="9"/>
  <c r="M217" i="9"/>
  <c r="M51" i="9"/>
  <c r="M128" i="9"/>
  <c r="M232" i="9"/>
  <c r="M142" i="9"/>
  <c r="M157" i="9"/>
  <c r="M306" i="9"/>
  <c r="M121" i="9"/>
  <c r="M200" i="9"/>
  <c r="M272" i="9"/>
  <c r="M213" i="9"/>
  <c r="M15" i="9"/>
  <c r="M295" i="9"/>
  <c r="M44" i="9"/>
  <c r="M164" i="9"/>
  <c r="M43" i="9"/>
  <c r="M252" i="9"/>
  <c r="M7" i="9"/>
  <c r="M205" i="9"/>
  <c r="M129" i="9"/>
  <c r="M242" i="9"/>
  <c r="M96" i="9"/>
  <c r="M31" i="9"/>
  <c r="M67" i="9"/>
  <c r="M172" i="9"/>
  <c r="M221" i="9"/>
  <c r="M180" i="9"/>
  <c r="M286" i="9"/>
  <c r="M136" i="9"/>
  <c r="M27" i="9"/>
  <c r="M263" i="9"/>
  <c r="M62" i="9"/>
  <c r="M158" i="9"/>
  <c r="M49" i="9"/>
  <c r="M155" i="9"/>
  <c r="M251" i="9"/>
  <c r="M315" i="9"/>
  <c r="M24" i="9"/>
  <c r="M308" i="9"/>
  <c r="M254" i="9"/>
  <c r="M249" i="9"/>
  <c r="M17" i="9"/>
  <c r="M77" i="9"/>
  <c r="M285" i="9"/>
  <c r="M294" i="9"/>
  <c r="M209" i="9"/>
  <c r="M262" i="9"/>
  <c r="M110" i="9"/>
  <c r="M214" i="9"/>
  <c r="M138" i="9"/>
  <c r="M226" i="9"/>
  <c r="M281" i="9"/>
  <c r="M152" i="9"/>
  <c r="M174" i="9"/>
  <c r="M140" i="9"/>
  <c r="M256" i="9"/>
  <c r="M260" i="9"/>
  <c r="M273" i="9"/>
  <c r="M206" i="9"/>
  <c r="M29" i="9"/>
  <c r="M304" i="9"/>
  <c r="M247" i="9"/>
  <c r="M63" i="9"/>
  <c r="M61" i="9"/>
  <c r="M116" i="9"/>
  <c r="M222" i="9"/>
  <c r="M269" i="9"/>
  <c r="M198" i="9"/>
  <c r="M282" i="9"/>
  <c r="M194" i="9"/>
  <c r="M28" i="9"/>
  <c r="M179" i="9"/>
  <c r="M236" i="9"/>
  <c r="M82" i="9"/>
  <c r="M19" i="9"/>
  <c r="M229" i="9"/>
  <c r="M20" i="9"/>
  <c r="M270" i="9"/>
  <c r="M156" i="9"/>
  <c r="M34" i="9"/>
  <c r="M46" i="9"/>
  <c r="M14" i="9"/>
  <c r="M203" i="9"/>
  <c r="M267" i="9"/>
  <c r="M60" i="9"/>
  <c r="M144" i="9"/>
  <c r="M88" i="9"/>
  <c r="M159" i="9"/>
  <c r="M313" i="9"/>
  <c r="M94" i="9"/>
  <c r="M292" i="9"/>
  <c r="M75" i="9"/>
  <c r="M139" i="9"/>
  <c r="M245" i="9"/>
  <c r="M261" i="9"/>
  <c r="M277" i="9"/>
  <c r="M85" i="9"/>
  <c r="M257" i="9"/>
  <c r="M188" i="9"/>
  <c r="M53" i="9"/>
  <c r="M176" i="9"/>
  <c r="M161" i="9"/>
  <c r="M189" i="9"/>
  <c r="M73" i="9"/>
  <c r="M101" i="9"/>
  <c r="M123" i="9"/>
  <c r="M231" i="9"/>
  <c r="M169" i="9"/>
  <c r="M148" i="9"/>
  <c r="M305" i="9"/>
  <c r="M178" i="9"/>
  <c r="M127" i="9"/>
  <c r="M225" i="9"/>
  <c r="M316" i="9"/>
  <c r="M119" i="9"/>
  <c r="M181" i="9"/>
  <c r="M162" i="9"/>
  <c r="M303" i="9"/>
  <c r="M301" i="9"/>
  <c r="M311" i="9"/>
  <c r="M271" i="9"/>
  <c r="M228" i="9"/>
  <c r="M111" i="9"/>
  <c r="M258" i="9"/>
  <c r="M208" i="9"/>
  <c r="M56" i="9"/>
  <c r="M118" i="9"/>
  <c r="M72" i="9"/>
  <c r="M12" i="9"/>
  <c r="M212" i="9"/>
  <c r="M16" i="9"/>
  <c r="M42" i="9"/>
  <c r="M74" i="9"/>
  <c r="M21" i="9"/>
  <c r="M211" i="9"/>
  <c r="M275" i="9"/>
  <c r="M64" i="9"/>
  <c r="M99" i="9"/>
  <c r="M196" i="9"/>
  <c r="M224" i="9"/>
  <c r="M147" i="9"/>
  <c r="M160" i="9"/>
  <c r="M173" i="9"/>
  <c r="M314" i="9"/>
  <c r="M66" i="9"/>
  <c r="M131" i="9"/>
  <c r="M319" i="9"/>
  <c r="M112" i="9"/>
  <c r="M83" i="9"/>
  <c r="M248" i="9"/>
  <c r="M32" i="9"/>
  <c r="M259" i="9"/>
  <c r="M199" i="9"/>
  <c r="M10" i="9"/>
  <c r="M276" i="9"/>
  <c r="M107" i="9"/>
  <c r="M201" i="9"/>
  <c r="M23" i="9"/>
  <c r="M239" i="9"/>
  <c r="M296" i="9"/>
  <c r="M150" i="9"/>
  <c r="M321" i="9"/>
  <c r="M132" i="9"/>
  <c r="M36" i="9"/>
  <c r="M76" i="9"/>
  <c r="M146" i="9"/>
  <c r="M137" i="9"/>
  <c r="M290" i="9"/>
  <c r="M141" i="9"/>
  <c r="M240" i="9"/>
  <c r="M81" i="9"/>
  <c r="M103" i="9"/>
  <c r="M114" i="9"/>
  <c r="M113" i="9"/>
  <c r="M298" i="9"/>
  <c r="M165" i="9"/>
  <c r="M135" i="9"/>
  <c r="M87" i="9"/>
  <c r="M130" i="9"/>
  <c r="M184" i="9"/>
  <c r="M171" i="9"/>
  <c r="M5" i="9"/>
  <c r="M30" i="9"/>
  <c r="M219" i="9"/>
  <c r="M283" i="9"/>
  <c r="M57" i="9"/>
  <c r="M234" i="9"/>
  <c r="M278" i="9"/>
  <c r="M288" i="9"/>
  <c r="M106" i="9"/>
  <c r="M108" i="9"/>
  <c r="M250" i="9"/>
  <c r="M312" i="9"/>
  <c r="M192" i="9"/>
  <c r="M78" i="9"/>
  <c r="M52" i="9"/>
  <c r="M237" i="9"/>
  <c r="M91" i="9"/>
  <c r="M317" i="9"/>
  <c r="M115" i="9"/>
  <c r="M98" i="9"/>
  <c r="M195" i="9"/>
  <c r="M89" i="9"/>
  <c r="M39" i="9"/>
  <c r="M25" i="9"/>
  <c r="M238" i="9"/>
  <c r="M100" i="9"/>
  <c r="M233" i="9"/>
  <c r="M122" i="9"/>
  <c r="M182" i="9"/>
  <c r="M183" i="9"/>
  <c r="M215" i="9"/>
  <c r="M80" i="9"/>
  <c r="M70" i="9"/>
  <c r="M8" i="9"/>
  <c r="M177" i="9"/>
  <c r="M246" i="9"/>
  <c r="M264" i="9"/>
  <c r="M241" i="9"/>
  <c r="M151" i="9"/>
  <c r="M193" i="9"/>
  <c r="M105" i="9"/>
  <c r="M3" i="9"/>
  <c r="M255" i="9"/>
  <c r="M309" i="9"/>
  <c r="M102" i="9"/>
  <c r="M223" i="9"/>
  <c r="M22" i="9"/>
  <c r="M126" i="9"/>
  <c r="M69" i="9"/>
  <c r="M18" i="9"/>
  <c r="M120" i="9"/>
  <c r="M37" i="9"/>
  <c r="M84" i="9"/>
  <c r="M227" i="9"/>
  <c r="M291" i="9"/>
  <c r="M143" i="9"/>
  <c r="M134" i="9"/>
  <c r="M11" i="9"/>
  <c r="M125" i="9"/>
  <c r="M13" i="9"/>
  <c r="M266" i="9"/>
  <c r="M79" i="9"/>
  <c r="M293" i="9"/>
  <c r="M322" i="1"/>
  <c r="N5" i="1"/>
  <c r="O2" i="9" l="1"/>
  <c r="P211" i="9" s="1"/>
  <c r="M107" i="1"/>
  <c r="M305" i="1"/>
  <c r="M65" i="1"/>
  <c r="M165" i="1"/>
  <c r="M193" i="1"/>
  <c r="M156" i="1"/>
  <c r="M290" i="1"/>
  <c r="M208" i="1"/>
  <c r="M41" i="1"/>
  <c r="M49" i="1"/>
  <c r="M95" i="1"/>
  <c r="M215" i="1"/>
  <c r="M258" i="1"/>
  <c r="M276" i="1"/>
  <c r="M161" i="1"/>
  <c r="M135" i="1"/>
  <c r="M64" i="1"/>
  <c r="M314" i="1"/>
  <c r="M73" i="1"/>
  <c r="M201" i="1"/>
  <c r="M202" i="1"/>
  <c r="M220" i="1"/>
  <c r="M298" i="1"/>
  <c r="M58" i="1"/>
  <c r="M11" i="1"/>
  <c r="M59" i="1"/>
  <c r="M14" i="1"/>
  <c r="M104" i="1"/>
  <c r="M241" i="1"/>
  <c r="M285" i="1"/>
  <c r="M294" i="1"/>
  <c r="M171" i="1"/>
  <c r="M162" i="1"/>
  <c r="M97" i="1"/>
  <c r="M219" i="1"/>
  <c r="M211" i="1"/>
  <c r="M228" i="1"/>
  <c r="M68" i="1"/>
  <c r="M4" i="1"/>
  <c r="M69" i="1"/>
  <c r="M33" i="1"/>
  <c r="M123" i="1"/>
  <c r="M267" i="1"/>
  <c r="M180" i="1"/>
  <c r="M198" i="1"/>
  <c r="M106" i="1"/>
  <c r="M89" i="1"/>
  <c r="M81" i="1"/>
  <c r="M28" i="1"/>
  <c r="M118" i="1"/>
  <c r="M236" i="1"/>
  <c r="M237" i="1"/>
  <c r="M255" i="1"/>
  <c r="M316" i="1"/>
  <c r="M112" i="1"/>
  <c r="M50" i="1"/>
  <c r="M142" i="1"/>
  <c r="M293" i="1"/>
  <c r="M319" i="1"/>
  <c r="M302" i="1"/>
  <c r="M189" i="1"/>
  <c r="M216" i="1"/>
  <c r="M144" i="1"/>
  <c r="M72" i="1"/>
  <c r="M36" i="1"/>
  <c r="M137" i="1"/>
  <c r="M254" i="1"/>
  <c r="M263" i="1"/>
  <c r="M307" i="1"/>
  <c r="M10" i="1"/>
  <c r="M131" i="1"/>
  <c r="M85" i="1"/>
  <c r="M86" i="1"/>
  <c r="M151" i="1"/>
  <c r="M57" i="1"/>
  <c r="M235" i="1"/>
  <c r="M311" i="1"/>
  <c r="M225" i="1"/>
  <c r="M234" i="1"/>
  <c r="M172" i="1"/>
  <c r="M259" i="1"/>
  <c r="M117" i="1"/>
  <c r="M45" i="1"/>
  <c r="M174" i="1"/>
  <c r="M262" i="1"/>
  <c r="M289" i="1"/>
  <c r="M22" i="1"/>
  <c r="M76" i="1"/>
  <c r="M177" i="1"/>
  <c r="M103" i="1"/>
  <c r="M113" i="1"/>
  <c r="M160" i="1"/>
  <c r="M51" i="1"/>
  <c r="M13" i="1"/>
  <c r="M251" i="1"/>
  <c r="M242" i="1"/>
  <c r="M181" i="1"/>
  <c r="M114" i="1"/>
  <c r="M126" i="1"/>
  <c r="M55" i="1"/>
  <c r="M183" i="1"/>
  <c r="M271" i="1"/>
  <c r="M306" i="1"/>
  <c r="M98" i="1"/>
  <c r="M31" i="1"/>
  <c r="M94" i="1"/>
  <c r="M213" i="1"/>
  <c r="M122" i="1"/>
  <c r="M132" i="1"/>
  <c r="M169" i="1"/>
  <c r="M133" i="1"/>
  <c r="M87" i="1"/>
  <c r="M320" i="1"/>
  <c r="M277" i="1"/>
  <c r="M260" i="1"/>
  <c r="M190" i="1"/>
  <c r="M265" i="1"/>
  <c r="M154" i="1"/>
  <c r="M91" i="1"/>
  <c r="M192" i="1"/>
  <c r="M280" i="1"/>
  <c r="M47" i="1"/>
  <c r="M48" i="1"/>
  <c r="M102" i="1"/>
  <c r="M239" i="1"/>
  <c r="M141" i="1"/>
  <c r="M187" i="1"/>
  <c r="M196" i="1"/>
  <c r="M43" i="1"/>
  <c r="M178" i="1"/>
  <c r="M303" i="1"/>
  <c r="M268" i="1"/>
  <c r="M199" i="1"/>
  <c r="M153" i="1"/>
  <c r="M173" i="1"/>
  <c r="M99" i="1"/>
  <c r="M210" i="1"/>
  <c r="M288" i="1"/>
  <c r="M44" i="1"/>
  <c r="M120" i="1"/>
  <c r="M84" i="1"/>
  <c r="M121" i="1"/>
  <c r="M256" i="1"/>
  <c r="M150" i="1"/>
  <c r="M214" i="1"/>
  <c r="M223" i="1"/>
  <c r="M61" i="1"/>
  <c r="M25" i="1"/>
  <c r="M287" i="1"/>
  <c r="M295" i="1"/>
  <c r="M217" i="1"/>
  <c r="M250" i="1"/>
  <c r="M182" i="1"/>
  <c r="M108" i="1"/>
  <c r="M218" i="1"/>
  <c r="M163" i="1"/>
  <c r="M29" i="1"/>
  <c r="M139" i="1"/>
  <c r="M93" i="1"/>
  <c r="M140" i="1"/>
  <c r="M274" i="1"/>
  <c r="M159" i="1"/>
  <c r="M222" i="1"/>
  <c r="M249" i="1"/>
  <c r="M96" i="1"/>
  <c r="M52" i="1"/>
  <c r="M21" i="1"/>
  <c r="M145" i="1"/>
  <c r="M243" i="1"/>
  <c r="M129" i="1"/>
  <c r="M191" i="1"/>
  <c r="M127" i="1"/>
  <c r="M245" i="1"/>
  <c r="M19" i="1"/>
  <c r="M46" i="1"/>
  <c r="M148" i="1"/>
  <c r="M111" i="1"/>
  <c r="M149" i="1"/>
  <c r="M282" i="1"/>
  <c r="M168" i="1"/>
  <c r="M240" i="1"/>
  <c r="M266" i="1"/>
  <c r="M105" i="1"/>
  <c r="M70" i="1"/>
  <c r="M40" i="1"/>
  <c r="M312" i="1"/>
  <c r="M20" i="1"/>
  <c r="M269" i="1"/>
  <c r="M77" i="1"/>
  <c r="M200" i="1"/>
  <c r="M136" i="1"/>
  <c r="M297" i="1"/>
  <c r="M38" i="1"/>
  <c r="M3" i="1"/>
  <c r="M157" i="1"/>
  <c r="M130" i="1"/>
  <c r="M158" i="1"/>
  <c r="M291" i="1"/>
  <c r="M186" i="1"/>
  <c r="M248" i="1"/>
  <c r="M284" i="1"/>
  <c r="M124" i="1"/>
  <c r="M197" i="1"/>
  <c r="M39" i="1"/>
  <c r="M101" i="1"/>
  <c r="M286" i="1"/>
  <c r="M209" i="1"/>
  <c r="M155" i="1"/>
  <c r="M66" i="1"/>
  <c r="M12" i="1"/>
  <c r="M185" i="1"/>
  <c r="M166" i="1"/>
  <c r="M167" i="1"/>
  <c r="M300" i="1"/>
  <c r="M205" i="1"/>
  <c r="M275" i="1"/>
  <c r="M292" i="1"/>
  <c r="M143" i="1"/>
  <c r="M79" i="1"/>
  <c r="M8" i="1"/>
  <c r="M6" i="1"/>
  <c r="M42" i="1"/>
  <c r="M304" i="1"/>
  <c r="M67" i="1"/>
  <c r="M226" i="1"/>
  <c r="M164" i="1"/>
  <c r="M315" i="1"/>
  <c r="M30" i="1"/>
  <c r="M194" i="1"/>
  <c r="M221" i="1"/>
  <c r="M176" i="1"/>
  <c r="M308" i="1"/>
  <c r="M231" i="1"/>
  <c r="M301" i="1"/>
  <c r="M152" i="1"/>
  <c r="M88" i="1"/>
  <c r="M34" i="1"/>
  <c r="M78" i="1"/>
  <c r="M9" i="1"/>
  <c r="M32" i="1"/>
  <c r="M244" i="1"/>
  <c r="M227" i="1"/>
  <c r="M80" i="1"/>
  <c r="M82" i="1"/>
  <c r="M56" i="1"/>
  <c r="M203" i="1"/>
  <c r="M247" i="1"/>
  <c r="M195" i="1"/>
  <c r="M257" i="1"/>
  <c r="M318" i="1"/>
  <c r="M170" i="1"/>
  <c r="M115" i="1"/>
  <c r="M18" i="1"/>
  <c r="M281" i="1"/>
  <c r="M252" i="1"/>
  <c r="M253" i="1"/>
  <c r="M119" i="1"/>
  <c r="M75" i="1"/>
  <c r="M229" i="1"/>
  <c r="M273" i="1"/>
  <c r="M204" i="1"/>
  <c r="M90" i="1"/>
  <c r="M283" i="1"/>
  <c r="M27" i="1"/>
  <c r="M310" i="1"/>
  <c r="M179" i="1"/>
  <c r="M134" i="1"/>
  <c r="M62" i="1"/>
  <c r="M7" i="1"/>
  <c r="M26" i="1"/>
  <c r="M313" i="1"/>
  <c r="M261" i="1"/>
  <c r="M279" i="1"/>
  <c r="M92" i="1"/>
  <c r="M138" i="1"/>
  <c r="M246" i="1"/>
  <c r="M299" i="1"/>
  <c r="M212" i="1"/>
  <c r="M37" i="1"/>
  <c r="M83" i="1"/>
  <c r="M54" i="1"/>
  <c r="M206" i="1"/>
  <c r="M188" i="1"/>
  <c r="M71" i="1"/>
  <c r="M16" i="1"/>
  <c r="M35" i="1"/>
  <c r="M321" i="1"/>
  <c r="M184" i="1"/>
  <c r="M270" i="1"/>
  <c r="M296" i="1"/>
  <c r="M109" i="1"/>
  <c r="M147" i="1"/>
  <c r="M100" i="1"/>
  <c r="M264" i="1"/>
  <c r="M317" i="1"/>
  <c r="M230" i="1"/>
  <c r="M23" i="1"/>
  <c r="M309" i="1"/>
  <c r="M15" i="1"/>
  <c r="M2" i="1"/>
  <c r="M224" i="1"/>
  <c r="M207" i="1"/>
  <c r="M17" i="1"/>
  <c r="M63" i="1"/>
  <c r="M146" i="1"/>
  <c r="M278" i="1"/>
  <c r="M116" i="1"/>
  <c r="M128" i="1"/>
  <c r="M175" i="1"/>
  <c r="M110" i="1"/>
  <c r="M272" i="1"/>
  <c r="M238" i="1"/>
  <c r="M5" i="1"/>
  <c r="M74" i="1"/>
  <c r="M60" i="1"/>
  <c r="M24" i="1"/>
  <c r="M232" i="1"/>
  <c r="M233" i="1"/>
  <c r="M125" i="1"/>
  <c r="M53" i="1"/>
  <c r="P285" i="9" l="1"/>
  <c r="P217" i="9"/>
  <c r="P322" i="9"/>
  <c r="P45" i="9"/>
  <c r="P304" i="9"/>
  <c r="P155" i="9"/>
  <c r="P33" i="9"/>
  <c r="P209" i="9"/>
  <c r="P225" i="9"/>
  <c r="P142" i="9"/>
  <c r="P276" i="9"/>
  <c r="P9" i="9"/>
  <c r="P227" i="9"/>
  <c r="P288" i="9"/>
  <c r="P289" i="9"/>
  <c r="P237" i="9"/>
  <c r="P189" i="9"/>
  <c r="P36" i="9"/>
  <c r="P174" i="9"/>
  <c r="P30" i="9"/>
  <c r="P37" i="9"/>
  <c r="P97" i="9"/>
  <c r="P275" i="9"/>
  <c r="P40" i="9"/>
  <c r="P32" i="9"/>
  <c r="P27" i="9"/>
  <c r="P139" i="9"/>
  <c r="P91" i="9"/>
  <c r="P164" i="9"/>
  <c r="P226" i="9"/>
  <c r="P214" i="9"/>
  <c r="P89" i="9"/>
  <c r="P282" i="9"/>
  <c r="P161" i="9"/>
  <c r="P80" i="9"/>
  <c r="P48" i="9"/>
  <c r="P238" i="9"/>
  <c r="P188" i="9"/>
  <c r="P16" i="9"/>
  <c r="P118" i="9"/>
  <c r="P29" i="9"/>
  <c r="P103" i="9"/>
  <c r="P302" i="9"/>
  <c r="P149" i="9"/>
  <c r="P208" i="9"/>
  <c r="P260" i="9"/>
  <c r="P181" i="9"/>
  <c r="P75" i="9"/>
  <c r="P50" i="9"/>
  <c r="P117" i="9"/>
  <c r="P206" i="9"/>
  <c r="P187" i="9"/>
  <c r="P70" i="9"/>
  <c r="P230" i="9"/>
  <c r="P256" i="9"/>
  <c r="P264" i="9"/>
  <c r="P241" i="9"/>
  <c r="P66" i="9"/>
  <c r="P76" i="9"/>
  <c r="P244" i="9"/>
  <c r="P305" i="9"/>
  <c r="P144" i="9"/>
  <c r="P157" i="9"/>
  <c r="P105" i="9"/>
  <c r="P184" i="9"/>
  <c r="P203" i="9"/>
  <c r="P177" i="9"/>
  <c r="P47" i="9"/>
  <c r="P74" i="9"/>
  <c r="P102" i="9"/>
  <c r="P223" i="9"/>
  <c r="P291" i="9"/>
  <c r="P266" i="9"/>
  <c r="P44" i="9"/>
  <c r="P21" i="9"/>
  <c r="P314" i="9"/>
  <c r="P252" i="9"/>
  <c r="P69" i="9"/>
  <c r="P19" i="9"/>
  <c r="P286" i="9"/>
  <c r="P292" i="9"/>
  <c r="P309" i="9"/>
  <c r="P299" i="9"/>
  <c r="P160" i="9"/>
  <c r="P127" i="9"/>
  <c r="P79" i="9"/>
  <c r="P293" i="9"/>
  <c r="P100" i="9"/>
  <c r="P96" i="9"/>
  <c r="P173" i="9"/>
  <c r="P239" i="9"/>
  <c r="P172" i="9"/>
  <c r="P88" i="9"/>
  <c r="P77" i="9"/>
  <c r="P198" i="9"/>
  <c r="P13" i="9"/>
  <c r="P245" i="9"/>
  <c r="P101" i="9"/>
  <c r="P59" i="9"/>
  <c r="P68" i="9"/>
  <c r="P233" i="9"/>
  <c r="P270" i="9"/>
  <c r="P83" i="9"/>
  <c r="P106" i="9"/>
  <c r="P24" i="9"/>
  <c r="P152" i="9"/>
  <c r="P154" i="9"/>
  <c r="P205" i="9"/>
  <c r="P254" i="9"/>
  <c r="P112" i="9"/>
  <c r="P53" i="9"/>
  <c r="P34" i="9"/>
  <c r="P58" i="9"/>
  <c r="P99" i="9"/>
  <c r="P150" i="9"/>
  <c r="P135" i="9"/>
  <c r="P312" i="9"/>
  <c r="P215" i="9"/>
  <c r="P153" i="9"/>
  <c r="P183" i="9"/>
  <c r="P86" i="9"/>
  <c r="P41" i="9"/>
  <c r="P14" i="9"/>
  <c r="P132" i="9"/>
  <c r="P128" i="9"/>
  <c r="P104" i="9"/>
  <c r="P133" i="9"/>
  <c r="P228" i="9"/>
  <c r="P290" i="9"/>
  <c r="P265" i="9"/>
  <c r="P258" i="9"/>
  <c r="P51" i="9"/>
  <c r="P94" i="9"/>
  <c r="P303" i="9"/>
  <c r="P308" i="9"/>
  <c r="P64" i="9"/>
  <c r="P300" i="9"/>
  <c r="P221" i="9"/>
  <c r="P249" i="9"/>
  <c r="P46" i="9"/>
  <c r="P170" i="9"/>
  <c r="P196" i="9"/>
  <c r="P273" i="9"/>
  <c r="P321" i="9"/>
  <c r="P87" i="9"/>
  <c r="P185" i="9"/>
  <c r="P123" i="9"/>
  <c r="P320" i="9"/>
  <c r="P163" i="9"/>
  <c r="P259" i="9"/>
  <c r="P224" i="9"/>
  <c r="P130" i="9"/>
  <c r="P120" i="9"/>
  <c r="P231" i="9"/>
  <c r="P235" i="9"/>
  <c r="P162" i="9"/>
  <c r="P124" i="9"/>
  <c r="P199" i="9"/>
  <c r="P240" i="9"/>
  <c r="P12" i="9"/>
  <c r="P131" i="9"/>
  <c r="P7" i="9"/>
  <c r="P78" i="9"/>
  <c r="P116" i="9"/>
  <c r="P180" i="9"/>
  <c r="P17" i="9"/>
  <c r="P277" i="9"/>
  <c r="P121" i="9"/>
  <c r="P246" i="9"/>
  <c r="P219" i="9"/>
  <c r="P111" i="9"/>
  <c r="P236" i="9"/>
  <c r="P190" i="9"/>
  <c r="P49" i="9"/>
  <c r="P82" i="9"/>
  <c r="P81" i="9"/>
  <c r="P253" i="9"/>
  <c r="P156" i="9"/>
  <c r="P122" i="9"/>
  <c r="P280" i="9"/>
  <c r="P138" i="9"/>
  <c r="P281" i="9"/>
  <c r="P93" i="9"/>
  <c r="P269" i="9"/>
  <c r="P200" i="9"/>
  <c r="P145" i="9"/>
  <c r="P272" i="9"/>
  <c r="P158" i="9"/>
  <c r="P257" i="9"/>
  <c r="P220" i="9"/>
  <c r="P316" i="9"/>
  <c r="P216" i="9"/>
  <c r="P213" i="9"/>
  <c r="P175" i="9"/>
  <c r="P10" i="9"/>
  <c r="P166" i="9"/>
  <c r="P126" i="9"/>
  <c r="P62" i="9"/>
  <c r="P39" i="9"/>
  <c r="P179" i="9"/>
  <c r="P159" i="9"/>
  <c r="P90" i="9"/>
  <c r="P311" i="9"/>
  <c r="P141" i="9"/>
  <c r="P283" i="9"/>
  <c r="P169" i="9"/>
  <c r="P318" i="9"/>
  <c r="P210" i="9"/>
  <c r="P35" i="9"/>
  <c r="P243" i="9"/>
  <c r="P313" i="9"/>
  <c r="P57" i="9"/>
  <c r="P192" i="9"/>
  <c r="P287" i="9"/>
  <c r="P248" i="9"/>
  <c r="P42" i="9"/>
  <c r="P255" i="9"/>
  <c r="P274" i="9"/>
  <c r="P202" i="9"/>
  <c r="P250" i="9"/>
  <c r="P38" i="9"/>
  <c r="P72" i="9"/>
  <c r="P234" i="9"/>
  <c r="P268" i="9"/>
  <c r="P98" i="9"/>
  <c r="P165" i="9"/>
  <c r="P182" i="9"/>
  <c r="P73" i="9"/>
  <c r="P125" i="9"/>
  <c r="P110" i="9"/>
  <c r="P296" i="9"/>
  <c r="P167" i="9"/>
  <c r="P193" i="9"/>
  <c r="P134" i="9"/>
  <c r="P317" i="9"/>
  <c r="P108" i="9"/>
  <c r="P222" i="9"/>
  <c r="P148" i="9"/>
  <c r="P204" i="9"/>
  <c r="P151" i="9"/>
  <c r="P25" i="9"/>
  <c r="P195" i="9"/>
  <c r="P143" i="9"/>
  <c r="P186" i="9"/>
  <c r="P3" i="9"/>
  <c r="P297" i="9"/>
  <c r="P262" i="9"/>
  <c r="P84" i="9"/>
  <c r="P218" i="9"/>
  <c r="P23" i="9"/>
  <c r="P11" i="9"/>
  <c r="P115" i="9"/>
  <c r="P212" i="9"/>
  <c r="P278" i="9"/>
  <c r="P295" i="9"/>
  <c r="P61" i="9"/>
  <c r="P201" i="9"/>
  <c r="P95" i="9"/>
  <c r="P119" i="9"/>
  <c r="P137" i="9"/>
  <c r="P191" i="9"/>
  <c r="P22" i="9"/>
  <c r="P315" i="9"/>
  <c r="P20" i="9"/>
  <c r="P31" i="9"/>
  <c r="P301" i="9"/>
  <c r="P284" i="9"/>
  <c r="P2" i="9"/>
  <c r="P26" i="9"/>
  <c r="P306" i="9"/>
  <c r="P15" i="9"/>
  <c r="P176" i="9"/>
  <c r="P147" i="9"/>
  <c r="P319" i="9"/>
  <c r="P178" i="9"/>
  <c r="P242" i="9"/>
  <c r="P229" i="9"/>
  <c r="P114" i="9"/>
  <c r="P310" i="9"/>
  <c r="P55" i="9"/>
  <c r="P92" i="9"/>
  <c r="P298" i="9"/>
  <c r="P279" i="9"/>
  <c r="P263" i="9"/>
  <c r="P232" i="9"/>
  <c r="P4" i="9"/>
  <c r="P60" i="9"/>
  <c r="P146" i="9"/>
  <c r="P85" i="9"/>
  <c r="P6" i="9"/>
  <c r="P43" i="9"/>
  <c r="P307" i="9"/>
  <c r="P194" i="9"/>
  <c r="P63" i="9"/>
  <c r="P18" i="9"/>
  <c r="P129" i="9"/>
  <c r="P65" i="9"/>
  <c r="P168" i="9"/>
  <c r="P271" i="9"/>
  <c r="P107" i="9"/>
  <c r="P251" i="9"/>
  <c r="P267" i="9"/>
  <c r="P171" i="9"/>
  <c r="P140" i="9"/>
  <c r="P5" i="9"/>
  <c r="P197" i="9"/>
  <c r="P247" i="9"/>
  <c r="P136" i="9"/>
  <c r="P52" i="9"/>
  <c r="P207" i="9"/>
  <c r="P261" i="9"/>
  <c r="P109" i="9"/>
  <c r="P113" i="9"/>
  <c r="P71" i="9"/>
  <c r="P54" i="9"/>
  <c r="P67" i="9"/>
  <c r="P294" i="9"/>
  <c r="P56" i="9"/>
  <c r="P28" i="9"/>
  <c r="P8" i="9"/>
  <c r="O2" i="1"/>
  <c r="P55" i="1" l="1"/>
  <c r="P322" i="1"/>
  <c r="P216" i="1"/>
  <c r="P259" i="1"/>
  <c r="P117" i="1"/>
  <c r="P121" i="1"/>
  <c r="P159" i="1"/>
  <c r="P48" i="1"/>
  <c r="P256" i="1"/>
  <c r="P105" i="1"/>
  <c r="P304" i="1"/>
  <c r="P273" i="1"/>
  <c r="P146" i="1"/>
  <c r="P156" i="1"/>
  <c r="P22" i="1"/>
  <c r="P155" i="1"/>
  <c r="P243" i="1"/>
  <c r="P221" i="1"/>
  <c r="P201" i="1"/>
  <c r="P202" i="1"/>
  <c r="P97" i="1"/>
  <c r="P33" i="1"/>
  <c r="P75" i="1"/>
  <c r="P189" i="1"/>
  <c r="P116" i="1"/>
  <c r="P183" i="1"/>
  <c r="P137" i="1"/>
  <c r="P280" i="1"/>
  <c r="P254" i="1"/>
  <c r="P213" i="1"/>
  <c r="P271" i="1"/>
  <c r="P21" i="1"/>
  <c r="P47" i="1"/>
  <c r="P145" i="1"/>
  <c r="P222" i="1"/>
  <c r="P109" i="1"/>
  <c r="P27" i="1"/>
  <c r="P112" i="1"/>
  <c r="P71" i="1"/>
  <c r="P99" i="1"/>
  <c r="P63" i="1"/>
  <c r="P292" i="1"/>
  <c r="P269" i="1"/>
  <c r="P77" i="1"/>
  <c r="P318" i="1"/>
  <c r="P272" i="1"/>
  <c r="P258" i="1"/>
  <c r="P316" i="1"/>
  <c r="P57" i="1"/>
  <c r="P163" i="1"/>
  <c r="P34" i="1"/>
  <c r="P212" i="1"/>
  <c r="P66" i="1"/>
  <c r="P26" i="1"/>
  <c r="P238" i="1"/>
  <c r="P162" i="1"/>
  <c r="P151" i="1"/>
  <c r="P251" i="1"/>
  <c r="P148" i="1"/>
  <c r="P119" i="1"/>
  <c r="P309" i="1"/>
  <c r="P16" i="1"/>
  <c r="P59" i="1"/>
  <c r="P187" i="1"/>
  <c r="P30" i="1"/>
  <c r="P194" i="1"/>
  <c r="P296" i="1"/>
  <c r="P125" i="1"/>
  <c r="P255" i="1"/>
  <c r="P13" i="1"/>
  <c r="P260" i="1"/>
  <c r="P130" i="1"/>
  <c r="P299" i="1"/>
  <c r="P168" i="1"/>
  <c r="P197" i="1"/>
  <c r="P35" i="1"/>
  <c r="P106" i="1"/>
  <c r="P61" i="1"/>
  <c r="P195" i="1"/>
  <c r="P257" i="1"/>
  <c r="P110" i="1"/>
  <c r="P302" i="1"/>
  <c r="P86" i="1"/>
  <c r="P277" i="1"/>
  <c r="P173" i="1"/>
  <c r="P275" i="1"/>
  <c r="P23" i="1"/>
  <c r="P73" i="1"/>
  <c r="P7" i="1"/>
  <c r="P32" i="1"/>
  <c r="P215" i="1"/>
  <c r="P51" i="1"/>
  <c r="P153" i="1"/>
  <c r="P218" i="1"/>
  <c r="P88" i="1"/>
  <c r="P232" i="1"/>
  <c r="P4" i="1"/>
  <c r="P84" i="1"/>
  <c r="P266" i="1"/>
  <c r="P283" i="1"/>
  <c r="P193" i="1"/>
  <c r="P289" i="1"/>
  <c r="P20" i="1"/>
  <c r="P62" i="1"/>
  <c r="P270" i="1"/>
  <c r="P95" i="1"/>
  <c r="P171" i="1"/>
  <c r="P320" i="1"/>
  <c r="P108" i="1"/>
  <c r="P46" i="1"/>
  <c r="P253" i="1"/>
  <c r="P233" i="1"/>
  <c r="P319" i="1"/>
  <c r="P274" i="1"/>
  <c r="P124" i="1"/>
  <c r="P165" i="1"/>
  <c r="P11" i="1"/>
  <c r="P94" i="1"/>
  <c r="P209" i="1"/>
  <c r="P184" i="1"/>
  <c r="P140" i="1"/>
  <c r="P294" i="1"/>
  <c r="P237" i="1"/>
  <c r="P199" i="1"/>
  <c r="P19" i="1"/>
  <c r="P157" i="1"/>
  <c r="P246" i="1"/>
  <c r="P69" i="1"/>
  <c r="P234" i="1"/>
  <c r="P240" i="1"/>
  <c r="P42" i="1"/>
  <c r="P58" i="1"/>
  <c r="P198" i="1"/>
  <c r="P141" i="1"/>
  <c r="P315" i="1"/>
  <c r="P128" i="1"/>
  <c r="P83" i="1"/>
  <c r="P236" i="1"/>
  <c r="P85" i="1"/>
  <c r="P182" i="1"/>
  <c r="P3" i="1"/>
  <c r="P205" i="1"/>
  <c r="P230" i="1"/>
  <c r="P314" i="1"/>
  <c r="P126" i="1"/>
  <c r="P284" i="1"/>
  <c r="P227" i="1"/>
  <c r="P180" i="1"/>
  <c r="P36" i="1"/>
  <c r="P223" i="1"/>
  <c r="P247" i="1"/>
  <c r="P175" i="1"/>
  <c r="P49" i="1"/>
  <c r="P131" i="1"/>
  <c r="P160" i="1"/>
  <c r="P245" i="1"/>
  <c r="P300" i="1"/>
  <c r="P152" i="1"/>
  <c r="P172" i="1"/>
  <c r="P68" i="1"/>
  <c r="P91" i="1"/>
  <c r="P6" i="1"/>
  <c r="P90" i="1"/>
  <c r="P72" i="1"/>
  <c r="P262" i="1"/>
  <c r="P52" i="1"/>
  <c r="P134" i="1"/>
  <c r="P248" i="1"/>
  <c r="P285" i="1"/>
  <c r="P113" i="1"/>
  <c r="P87" i="1"/>
  <c r="P38" i="1"/>
  <c r="P301" i="1"/>
  <c r="P252" i="1"/>
  <c r="P64" i="1"/>
  <c r="P293" i="1"/>
  <c r="P44" i="1"/>
  <c r="P244" i="1"/>
  <c r="P206" i="1"/>
  <c r="P174" i="1"/>
  <c r="P31" i="1"/>
  <c r="P312" i="1"/>
  <c r="P321" i="1"/>
  <c r="P2" i="1"/>
  <c r="P118" i="1"/>
  <c r="P133" i="1"/>
  <c r="P268" i="1"/>
  <c r="P167" i="1"/>
  <c r="P281" i="1"/>
  <c r="P138" i="1"/>
  <c r="P228" i="1"/>
  <c r="P225" i="1"/>
  <c r="P93" i="1"/>
  <c r="P204" i="1"/>
  <c r="P188" i="1"/>
  <c r="P98" i="1"/>
  <c r="P239" i="1"/>
  <c r="P286" i="1"/>
  <c r="P208" i="1"/>
  <c r="P41" i="1"/>
  <c r="P10" i="1"/>
  <c r="P303" i="1"/>
  <c r="P250" i="1"/>
  <c r="P231" i="1"/>
  <c r="P92" i="1"/>
  <c r="P317" i="1"/>
  <c r="P142" i="1"/>
  <c r="P114" i="1"/>
  <c r="P282" i="1"/>
  <c r="P54" i="1"/>
  <c r="P17" i="1"/>
  <c r="P102" i="1"/>
  <c r="P214" i="1"/>
  <c r="P164" i="1"/>
  <c r="P104" i="1"/>
  <c r="P241" i="1"/>
  <c r="P103" i="1"/>
  <c r="P217" i="1"/>
  <c r="P127" i="1"/>
  <c r="P18" i="1"/>
  <c r="P264" i="1"/>
  <c r="P120" i="1"/>
  <c r="P311" i="1"/>
  <c r="P154" i="1"/>
  <c r="P186" i="1"/>
  <c r="P224" i="1"/>
  <c r="P65" i="1"/>
  <c r="P150" i="1"/>
  <c r="P96" i="1"/>
  <c r="P203" i="1"/>
  <c r="P81" i="1"/>
  <c r="P28" i="1"/>
  <c r="P169" i="1"/>
  <c r="P191" i="1"/>
  <c r="P297" i="1"/>
  <c r="P279" i="1"/>
  <c r="P74" i="1"/>
  <c r="P135" i="1"/>
  <c r="P181" i="1"/>
  <c r="P288" i="1"/>
  <c r="P79" i="1"/>
  <c r="P207" i="1"/>
  <c r="P298" i="1"/>
  <c r="P249" i="1"/>
  <c r="P40" i="1"/>
  <c r="P179" i="1"/>
  <c r="P263" i="1"/>
  <c r="P307" i="1"/>
  <c r="P178" i="1"/>
  <c r="P136" i="1"/>
  <c r="P166" i="1"/>
  <c r="P100" i="1"/>
  <c r="P60" i="1"/>
  <c r="P211" i="1"/>
  <c r="P265" i="1"/>
  <c r="P139" i="1"/>
  <c r="P9" i="1"/>
  <c r="P80" i="1"/>
  <c r="P267" i="1"/>
  <c r="P70" i="1"/>
  <c r="P101" i="1"/>
  <c r="P278" i="1"/>
  <c r="P76" i="1"/>
  <c r="P177" i="1"/>
  <c r="P295" i="1"/>
  <c r="P185" i="1"/>
  <c r="P308" i="1"/>
  <c r="P5" i="1"/>
  <c r="P24" i="1"/>
  <c r="P50" i="1"/>
  <c r="P210" i="1"/>
  <c r="P149" i="1"/>
  <c r="P229" i="1"/>
  <c r="P305" i="1"/>
  <c r="P144" i="1"/>
  <c r="P39" i="1"/>
  <c r="P226" i="1"/>
  <c r="P290" i="1"/>
  <c r="P122" i="1"/>
  <c r="P132" i="1"/>
  <c r="P129" i="1"/>
  <c r="P176" i="1"/>
  <c r="P115" i="1"/>
  <c r="P8" i="1"/>
  <c r="P192" i="1"/>
  <c r="P235" i="1"/>
  <c r="P29" i="1"/>
  <c r="P291" i="1"/>
  <c r="P37" i="1"/>
  <c r="P220" i="1"/>
  <c r="P45" i="1"/>
  <c r="P67" i="1"/>
  <c r="P56" i="1"/>
  <c r="P14" i="1"/>
  <c r="P196" i="1"/>
  <c r="P43" i="1"/>
  <c r="P200" i="1"/>
  <c r="P170" i="1"/>
  <c r="P261" i="1"/>
  <c r="P53" i="1"/>
  <c r="P161" i="1"/>
  <c r="P242" i="1"/>
  <c r="P111" i="1"/>
  <c r="P143" i="1"/>
  <c r="P15" i="1"/>
  <c r="P107" i="1"/>
  <c r="P123" i="1"/>
  <c r="P306" i="1"/>
  <c r="P82" i="1"/>
  <c r="P310" i="1"/>
  <c r="P89" i="1"/>
  <c r="P25" i="1"/>
  <c r="P287" i="1"/>
  <c r="P12" i="1"/>
  <c r="P313" i="1"/>
  <c r="P147" i="1"/>
  <c r="P276" i="1"/>
  <c r="P219" i="1"/>
  <c r="P190" i="1"/>
  <c r="P158" i="1"/>
  <c r="P78" i="1"/>
</calcChain>
</file>

<file path=xl/sharedStrings.xml><?xml version="1.0" encoding="utf-8"?>
<sst xmlns="http://schemas.openxmlformats.org/spreadsheetml/2006/main" count="105" uniqueCount="19">
  <si>
    <t>Time (s)</t>
  </si>
  <si>
    <t>Image #</t>
  </si>
  <si>
    <t>Markers</t>
  </si>
  <si>
    <t>Slope of linear trendline</t>
  </si>
  <si>
    <r>
      <t>R</t>
    </r>
    <r>
      <rPr>
        <b/>
        <vertAlign val="subscript"/>
        <sz val="10"/>
        <rFont val="Arial"/>
        <family val="2"/>
      </rPr>
      <t>0</t>
    </r>
  </si>
  <si>
    <r>
      <rPr>
        <b/>
        <sz val="10"/>
        <rFont val="Symbol"/>
        <family val="1"/>
      </rPr>
      <t>D</t>
    </r>
    <r>
      <rPr>
        <b/>
        <sz val="10"/>
        <rFont val="Arial"/>
        <family val="2"/>
      </rPr>
      <t>R/R</t>
    </r>
    <r>
      <rPr>
        <b/>
        <vertAlign val="subscript"/>
        <sz val="10"/>
        <rFont val="Arial"/>
        <family val="2"/>
      </rPr>
      <t>0</t>
    </r>
  </si>
  <si>
    <t>21% O2</t>
  </si>
  <si>
    <r>
      <t>R</t>
    </r>
    <r>
      <rPr>
        <b/>
        <vertAlign val="superscript"/>
        <sz val="10"/>
        <rFont val="Arial"/>
        <family val="2"/>
      </rPr>
      <t>2</t>
    </r>
  </si>
  <si>
    <t>For baseline correction:</t>
  </si>
  <si>
    <t>For O2 pulse line:</t>
  </si>
  <si>
    <t>R1_DensMeanChannel0::R1_mScarlet</t>
  </si>
  <si>
    <t>R1_DensMeanChannel1::R1_eGFP</t>
  </si>
  <si>
    <t>R2_DensMeanChannel0::R2_mScarlet</t>
  </si>
  <si>
    <t>R2_DensMeanChannel1::R2_eGFP</t>
  </si>
  <si>
    <t>GFP</t>
  </si>
  <si>
    <t>mScarlet</t>
  </si>
  <si>
    <t>GFP/mScarlet ratio</t>
  </si>
  <si>
    <t>GFP/mScarlet, baseline-adjusted</t>
  </si>
  <si>
    <t>GFP adjust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</si>
</sst>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b/>
      <sz val="10"/>
      <name val="Symbol"/>
      <family val="1"/>
    </font>
    <font>
      <b/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1" applyFont="1"/>
    <xf numFmtId="0" fontId="1" fillId="0" borderId="0" xfId="0" applyFont="1"/>
    <xf numFmtId="0" fontId="2" fillId="0" borderId="0" xfId="1" applyFont="1" applyAlignment="1">
      <alignment wrapText="1"/>
    </xf>
    <xf numFmtId="0" fontId="1" fillId="2" borderId="0" xfId="1" applyFill="1"/>
    <xf numFmtId="164" fontId="1" fillId="2" borderId="0" xfId="1" applyNumberFormat="1" applyFill="1"/>
    <xf numFmtId="2" fontId="1" fillId="2" borderId="0" xfId="1" applyNumberFormat="1" applyFill="1"/>
    <xf numFmtId="165" fontId="1" fillId="2" borderId="0" xfId="1" applyNumberFormat="1" applyFill="1"/>
    <xf numFmtId="0" fontId="1" fillId="0" borderId="0" xfId="1"/>
    <xf numFmtId="164" fontId="1" fillId="0" borderId="0" xfId="1" applyNumberFormat="1"/>
    <xf numFmtId="2" fontId="1" fillId="0" borderId="0" xfId="1" applyNumberFormat="1"/>
    <xf numFmtId="165" fontId="1" fillId="0" borderId="0" xfId="1" applyNumberFormat="1"/>
    <xf numFmtId="0" fontId="1" fillId="0" borderId="0" xfId="1" quotePrefix="1"/>
    <xf numFmtId="0" fontId="1" fillId="3" borderId="0" xfId="1" applyFill="1"/>
    <xf numFmtId="164" fontId="1" fillId="3" borderId="0" xfId="1" applyNumberFormat="1" applyFill="1"/>
    <xf numFmtId="2" fontId="1" fillId="3" borderId="0" xfId="1" applyNumberFormat="1" applyFill="1"/>
  </cellXfs>
  <cellStyles count="2">
    <cellStyle name="Normal" xfId="0" builtinId="0"/>
    <cellStyle name="Normal 2" xfId="1" xr:uid="{1D49C091-8A5D-49A2-90C3-7E5CC801D3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'240821A006'!$A$2:$A$321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'240821A006'!$J$2:$J$321</c:f>
              <c:numCache>
                <c:formatCode>0.0</c:formatCode>
                <c:ptCount val="320"/>
                <c:pt idx="0">
                  <c:v>1585.8175243866099</c:v>
                </c:pt>
                <c:pt idx="1">
                  <c:v>1564.5557878616901</c:v>
                </c:pt>
                <c:pt idx="2">
                  <c:v>1669.53504666653</c:v>
                </c:pt>
                <c:pt idx="3">
                  <c:v>1689.28711256116</c:v>
                </c:pt>
                <c:pt idx="4">
                  <c:v>1647.03879324625</c:v>
                </c:pt>
                <c:pt idx="5">
                  <c:v>1707.65823817297</c:v>
                </c:pt>
                <c:pt idx="6">
                  <c:v>1726.90375203912</c:v>
                </c:pt>
                <c:pt idx="7">
                  <c:v>1719.78890701468</c:v>
                </c:pt>
                <c:pt idx="8">
                  <c:v>1737.4088876310602</c:v>
                </c:pt>
                <c:pt idx="9">
                  <c:v>1750.9733314999698</c:v>
                </c:pt>
                <c:pt idx="10">
                  <c:v>1673.20918456649</c:v>
                </c:pt>
                <c:pt idx="11">
                  <c:v>1664.3916480621199</c:v>
                </c:pt>
                <c:pt idx="12">
                  <c:v>1684.21440185548</c:v>
                </c:pt>
                <c:pt idx="13">
                  <c:v>1711.4233232194499</c:v>
                </c:pt>
                <c:pt idx="14">
                  <c:v>1766.0774877650499</c:v>
                </c:pt>
                <c:pt idx="15">
                  <c:v>1751.53344208811</c:v>
                </c:pt>
                <c:pt idx="16">
                  <c:v>1738.4331158238201</c:v>
                </c:pt>
                <c:pt idx="17">
                  <c:v>1707.4528717525</c:v>
                </c:pt>
                <c:pt idx="18">
                  <c:v>1698.65023562791</c:v>
                </c:pt>
                <c:pt idx="19">
                  <c:v>1713.72670164959</c:v>
                </c:pt>
                <c:pt idx="20">
                  <c:v>1716.2874680371401</c:v>
                </c:pt>
                <c:pt idx="21">
                  <c:v>1766.5676851523401</c:v>
                </c:pt>
                <c:pt idx="22">
                  <c:v>1775.3571632629601</c:v>
                </c:pt>
                <c:pt idx="23">
                  <c:v>1772.9199691357201</c:v>
                </c:pt>
                <c:pt idx="24">
                  <c:v>1794.24001198527</c:v>
                </c:pt>
                <c:pt idx="25">
                  <c:v>1746.33190531683</c:v>
                </c:pt>
                <c:pt idx="26">
                  <c:v>1705.82113516449</c:v>
                </c:pt>
                <c:pt idx="27">
                  <c:v>1664.3097633448601</c:v>
                </c:pt>
                <c:pt idx="28">
                  <c:v>1664.3202106154401</c:v>
                </c:pt>
                <c:pt idx="29">
                  <c:v>1703.4250453923901</c:v>
                </c:pt>
                <c:pt idx="30">
                  <c:v>1774.3282489598801</c:v>
                </c:pt>
                <c:pt idx="31">
                  <c:v>1798.7134865642299</c:v>
                </c:pt>
                <c:pt idx="32">
                  <c:v>1749.9047895489598</c:v>
                </c:pt>
                <c:pt idx="33">
                  <c:v>1621.80424143556</c:v>
                </c:pt>
                <c:pt idx="34">
                  <c:v>1720.1909194684001</c:v>
                </c:pt>
                <c:pt idx="35">
                  <c:v>1711.5064349538902</c:v>
                </c:pt>
                <c:pt idx="36">
                  <c:v>1690.2014920622</c:v>
                </c:pt>
                <c:pt idx="37">
                  <c:v>1746.23484347463</c:v>
                </c:pt>
                <c:pt idx="38">
                  <c:v>1708.53765332885</c:v>
                </c:pt>
                <c:pt idx="39">
                  <c:v>1644.0328333267501</c:v>
                </c:pt>
                <c:pt idx="40">
                  <c:v>1638.19758463062</c:v>
                </c:pt>
                <c:pt idx="41">
                  <c:v>1664.21691038671</c:v>
                </c:pt>
                <c:pt idx="42">
                  <c:v>1714.82999357838</c:v>
                </c:pt>
                <c:pt idx="43">
                  <c:v>1755.0260524557002</c:v>
                </c:pt>
                <c:pt idx="44">
                  <c:v>1757.53777649432</c:v>
                </c:pt>
                <c:pt idx="45">
                  <c:v>1756.2161887637201</c:v>
                </c:pt>
                <c:pt idx="46">
                  <c:v>1762.4599619314399</c:v>
                </c:pt>
                <c:pt idx="47">
                  <c:v>1735.9252013141599</c:v>
                </c:pt>
                <c:pt idx="48">
                  <c:v>1741.37148575632</c:v>
                </c:pt>
                <c:pt idx="49">
                  <c:v>1741.83214663481</c:v>
                </c:pt>
                <c:pt idx="50">
                  <c:v>1636.98499662576</c:v>
                </c:pt>
                <c:pt idx="51">
                  <c:v>1657.6167377823799</c:v>
                </c:pt>
                <c:pt idx="52">
                  <c:v>1648.4553140160599</c:v>
                </c:pt>
                <c:pt idx="53">
                  <c:v>1665.5660578880199</c:v>
                </c:pt>
                <c:pt idx="54">
                  <c:v>1713.8588907014698</c:v>
                </c:pt>
                <c:pt idx="55">
                  <c:v>1712.0750407830399</c:v>
                </c:pt>
                <c:pt idx="56">
                  <c:v>1772.5587275693599</c:v>
                </c:pt>
                <c:pt idx="57">
                  <c:v>1778.8403970745599</c:v>
                </c:pt>
                <c:pt idx="58">
                  <c:v>1771.6873041450401</c:v>
                </c:pt>
                <c:pt idx="59">
                  <c:v>1723.50897226752</c:v>
                </c:pt>
                <c:pt idx="60">
                  <c:v>1717.27814029365</c:v>
                </c:pt>
                <c:pt idx="61">
                  <c:v>1694.7781402936</c:v>
                </c:pt>
                <c:pt idx="62">
                  <c:v>1694.2096247960999</c:v>
                </c:pt>
                <c:pt idx="63">
                  <c:v>1684.49265905383</c:v>
                </c:pt>
                <c:pt idx="64">
                  <c:v>1685.4420880914001</c:v>
                </c:pt>
                <c:pt idx="65">
                  <c:v>1683.9518760195699</c:v>
                </c:pt>
                <c:pt idx="66">
                  <c:v>1712.9877650897199</c:v>
                </c:pt>
                <c:pt idx="67">
                  <c:v>1684.33849918438</c:v>
                </c:pt>
                <c:pt idx="68">
                  <c:v>1803.4450141653301</c:v>
                </c:pt>
                <c:pt idx="69">
                  <c:v>1795.33931484507</c:v>
                </c:pt>
                <c:pt idx="70">
                  <c:v>1747.93882544863</c:v>
                </c:pt>
                <c:pt idx="71">
                  <c:v>1752.6460032626699</c:v>
                </c:pt>
                <c:pt idx="72">
                  <c:v>1791.94616639479</c:v>
                </c:pt>
                <c:pt idx="73">
                  <c:v>1793.6737357259199</c:v>
                </c:pt>
                <c:pt idx="74">
                  <c:v>1775.8800978793201</c:v>
                </c:pt>
                <c:pt idx="75">
                  <c:v>1659.8858075041001</c:v>
                </c:pt>
                <c:pt idx="76">
                  <c:v>1651.7528548124199</c:v>
                </c:pt>
                <c:pt idx="77">
                  <c:v>1666.2462213951701</c:v>
                </c:pt>
                <c:pt idx="78">
                  <c:v>1652.88816370883</c:v>
                </c:pt>
                <c:pt idx="79">
                  <c:v>1654.45610250358</c:v>
                </c:pt>
                <c:pt idx="80">
                  <c:v>1705.6722564656002</c:v>
                </c:pt>
                <c:pt idx="81">
                  <c:v>1759.84912934205</c:v>
                </c:pt>
                <c:pt idx="82">
                  <c:v>1769.49943973469</c:v>
                </c:pt>
                <c:pt idx="83">
                  <c:v>1709.2645532612501</c:v>
                </c:pt>
                <c:pt idx="84">
                  <c:v>1631.25325562848</c:v>
                </c:pt>
                <c:pt idx="85">
                  <c:v>1725.40125703784</c:v>
                </c:pt>
                <c:pt idx="86">
                  <c:v>1752.25135224463</c:v>
                </c:pt>
                <c:pt idx="87">
                  <c:v>1756.86282365938</c:v>
                </c:pt>
                <c:pt idx="88">
                  <c:v>1755.34601600523</c:v>
                </c:pt>
                <c:pt idx="89">
                  <c:v>1743.1838402287001</c:v>
                </c:pt>
                <c:pt idx="90">
                  <c:v>1701.8744674900499</c:v>
                </c:pt>
                <c:pt idx="91">
                  <c:v>1686.7617267937599</c:v>
                </c:pt>
                <c:pt idx="92">
                  <c:v>1686.7810191747201</c:v>
                </c:pt>
                <c:pt idx="93">
                  <c:v>1704.0401564736899</c:v>
                </c:pt>
                <c:pt idx="94">
                  <c:v>1705.87928288441</c:v>
                </c:pt>
                <c:pt idx="95">
                  <c:v>1716.52254819061</c:v>
                </c:pt>
                <c:pt idx="96">
                  <c:v>1761.6380204851</c:v>
                </c:pt>
                <c:pt idx="97">
                  <c:v>1754.18009386787</c:v>
                </c:pt>
                <c:pt idx="98">
                  <c:v>1703.5322506886801</c:v>
                </c:pt>
                <c:pt idx="99">
                  <c:v>1674.7030085845299</c:v>
                </c:pt>
                <c:pt idx="100">
                  <c:v>1762.8229722861699</c:v>
                </c:pt>
                <c:pt idx="101">
                  <c:v>1761.1188070145299</c:v>
                </c:pt>
                <c:pt idx="102">
                  <c:v>1719.01687481618</c:v>
                </c:pt>
                <c:pt idx="103">
                  <c:v>1721.07263124118</c:v>
                </c:pt>
                <c:pt idx="104">
                  <c:v>1717.50002540586</c:v>
                </c:pt>
                <c:pt idx="105">
                  <c:v>1704.1151498944</c:v>
                </c:pt>
                <c:pt idx="106">
                  <c:v>1700.3525713369199</c:v>
                </c:pt>
                <c:pt idx="107">
                  <c:v>1695.37759339985</c:v>
                </c:pt>
                <c:pt idx="108">
                  <c:v>1685.6604364453499</c:v>
                </c:pt>
                <c:pt idx="109">
                  <c:v>1685.7125312114799</c:v>
                </c:pt>
                <c:pt idx="110">
                  <c:v>1681.7460352232499</c:v>
                </c:pt>
                <c:pt idx="111">
                  <c:v>1677.2897939208501</c:v>
                </c:pt>
                <c:pt idx="112">
                  <c:v>1651.22672178793</c:v>
                </c:pt>
                <c:pt idx="113">
                  <c:v>1647.08032663627</c:v>
                </c:pt>
                <c:pt idx="114">
                  <c:v>1645.8428192633601</c:v>
                </c:pt>
                <c:pt idx="115">
                  <c:v>1647.36487265602</c:v>
                </c:pt>
                <c:pt idx="116">
                  <c:v>1646.55874882429</c:v>
                </c:pt>
                <c:pt idx="117">
                  <c:v>1642.4507999850998</c:v>
                </c:pt>
                <c:pt idx="118">
                  <c:v>1642.4836748303301</c:v>
                </c:pt>
                <c:pt idx="119">
                  <c:v>1639.98213384275</c:v>
                </c:pt>
                <c:pt idx="120">
                  <c:v>1636.5861823891298</c:v>
                </c:pt>
                <c:pt idx="121">
                  <c:v>1636.9431641258302</c:v>
                </c:pt>
                <c:pt idx="122">
                  <c:v>1635.45834949604</c:v>
                </c:pt>
                <c:pt idx="123">
                  <c:v>1595.9667438931301</c:v>
                </c:pt>
                <c:pt idx="124">
                  <c:v>1628.0068401251601</c:v>
                </c:pt>
                <c:pt idx="125">
                  <c:v>1627.68962118272</c:v>
                </c:pt>
                <c:pt idx="126">
                  <c:v>1624.3556307156</c:v>
                </c:pt>
                <c:pt idx="127">
                  <c:v>1641.2895595432801</c:v>
                </c:pt>
                <c:pt idx="128">
                  <c:v>1631.32871125612</c:v>
                </c:pt>
                <c:pt idx="129">
                  <c:v>1631.7259380097601</c:v>
                </c:pt>
                <c:pt idx="130">
                  <c:v>1677.1647634584101</c:v>
                </c:pt>
                <c:pt idx="131">
                  <c:v>1676.08075040785</c:v>
                </c:pt>
                <c:pt idx="132">
                  <c:v>1674.2079934747599</c:v>
                </c:pt>
                <c:pt idx="133">
                  <c:v>1671.0212071778101</c:v>
                </c:pt>
                <c:pt idx="134">
                  <c:v>1674.3613376835001</c:v>
                </c:pt>
                <c:pt idx="135">
                  <c:v>1676.1125611745699</c:v>
                </c:pt>
                <c:pt idx="136">
                  <c:v>1681.28384991848</c:v>
                </c:pt>
                <c:pt idx="137">
                  <c:v>1672.48287112565</c:v>
                </c:pt>
                <c:pt idx="138">
                  <c:v>1647.41924959214</c:v>
                </c:pt>
                <c:pt idx="139">
                  <c:v>1637.2006525285401</c:v>
                </c:pt>
                <c:pt idx="140">
                  <c:v>1685.54450511034</c:v>
                </c:pt>
                <c:pt idx="141">
                  <c:v>1682.4147697838898</c:v>
                </c:pt>
                <c:pt idx="142">
                  <c:v>1676.36916269938</c:v>
                </c:pt>
                <c:pt idx="143">
                  <c:v>1681.69115091391</c:v>
                </c:pt>
                <c:pt idx="144">
                  <c:v>1680.39388354363</c:v>
                </c:pt>
                <c:pt idx="145">
                  <c:v>1667.07096247962</c:v>
                </c:pt>
                <c:pt idx="146">
                  <c:v>1668.0676998368401</c:v>
                </c:pt>
                <c:pt idx="147">
                  <c:v>1627.12519825549</c:v>
                </c:pt>
                <c:pt idx="148">
                  <c:v>1625.1084948563898</c:v>
                </c:pt>
                <c:pt idx="149">
                  <c:v>1622.1836887838399</c:v>
                </c:pt>
                <c:pt idx="150">
                  <c:v>1655.4568698605099</c:v>
                </c:pt>
                <c:pt idx="151">
                  <c:v>1713.8633517431101</c:v>
                </c:pt>
                <c:pt idx="152">
                  <c:v>1703.5023017823901</c:v>
                </c:pt>
                <c:pt idx="153">
                  <c:v>1692.47028693323</c:v>
                </c:pt>
                <c:pt idx="154">
                  <c:v>1693.4275560824999</c:v>
                </c:pt>
                <c:pt idx="155">
                  <c:v>1654.8873402581598</c:v>
                </c:pt>
                <c:pt idx="156">
                  <c:v>1668.0067078665002</c:v>
                </c:pt>
                <c:pt idx="157">
                  <c:v>1678.7568239641698</c:v>
                </c:pt>
                <c:pt idx="158">
                  <c:v>1699.3866231647598</c:v>
                </c:pt>
                <c:pt idx="159">
                  <c:v>1694.0758564437299</c:v>
                </c:pt>
                <c:pt idx="160">
                  <c:v>1689.3499184339098</c:v>
                </c:pt>
                <c:pt idx="161">
                  <c:v>1616.47418320461</c:v>
                </c:pt>
                <c:pt idx="162">
                  <c:v>1612.67915699933</c:v>
                </c:pt>
                <c:pt idx="163">
                  <c:v>1635.6871093573</c:v>
                </c:pt>
                <c:pt idx="164">
                  <c:v>1642.17685419298</c:v>
                </c:pt>
                <c:pt idx="165">
                  <c:v>1637.7917328584101</c:v>
                </c:pt>
                <c:pt idx="166">
                  <c:v>1652.33378810979</c:v>
                </c:pt>
                <c:pt idx="167">
                  <c:v>1678.9053833605599</c:v>
                </c:pt>
                <c:pt idx="168">
                  <c:v>1673.4926590538398</c:v>
                </c:pt>
                <c:pt idx="169">
                  <c:v>1654.3629690049102</c:v>
                </c:pt>
                <c:pt idx="170">
                  <c:v>1649.33849918434</c:v>
                </c:pt>
                <c:pt idx="171">
                  <c:v>1698.68607051304</c:v>
                </c:pt>
                <c:pt idx="172">
                  <c:v>1663.1664851135599</c:v>
                </c:pt>
                <c:pt idx="173">
                  <c:v>1635.5895792040701</c:v>
                </c:pt>
                <c:pt idx="174">
                  <c:v>1627.50583848326</c:v>
                </c:pt>
                <c:pt idx="175">
                  <c:v>1676.9338438075799</c:v>
                </c:pt>
                <c:pt idx="176">
                  <c:v>1642.31841055103</c:v>
                </c:pt>
                <c:pt idx="177">
                  <c:v>1649.5555326769299</c:v>
                </c:pt>
                <c:pt idx="178">
                  <c:v>1668.7385864008302</c:v>
                </c:pt>
                <c:pt idx="179">
                  <c:v>1694.95671556206</c:v>
                </c:pt>
                <c:pt idx="180">
                  <c:v>1677.14436596822</c:v>
                </c:pt>
                <c:pt idx="181">
                  <c:v>1680.1045439401601</c:v>
                </c:pt>
                <c:pt idx="182">
                  <c:v>1631.0940619902099</c:v>
                </c:pt>
                <c:pt idx="183">
                  <c:v>1625.9101228484901</c:v>
                </c:pt>
                <c:pt idx="184">
                  <c:v>1625.45263641513</c:v>
                </c:pt>
                <c:pt idx="185">
                  <c:v>1607.2359816227101</c:v>
                </c:pt>
                <c:pt idx="186">
                  <c:v>1573.54903219367</c:v>
                </c:pt>
                <c:pt idx="187">
                  <c:v>1735.9253803750598</c:v>
                </c:pt>
                <c:pt idx="188">
                  <c:v>1698.9600699442401</c:v>
                </c:pt>
                <c:pt idx="189">
                  <c:v>1667.8780893815101</c:v>
                </c:pt>
                <c:pt idx="190">
                  <c:v>1651.0683795541399</c:v>
                </c:pt>
                <c:pt idx="191">
                  <c:v>1766.0006557403801</c:v>
                </c:pt>
                <c:pt idx="192">
                  <c:v>1761.16946203869</c:v>
                </c:pt>
                <c:pt idx="193">
                  <c:v>1765.4570155517602</c:v>
                </c:pt>
                <c:pt idx="194">
                  <c:v>1748.88889483666</c:v>
                </c:pt>
                <c:pt idx="195">
                  <c:v>1726.8612727786199</c:v>
                </c:pt>
                <c:pt idx="196">
                  <c:v>1697.87719522458</c:v>
                </c:pt>
                <c:pt idx="197">
                  <c:v>1738.98329129423</c:v>
                </c:pt>
                <c:pt idx="198">
                  <c:v>1731.40546472656</c:v>
                </c:pt>
                <c:pt idx="199">
                  <c:v>1712.53150531082</c:v>
                </c:pt>
                <c:pt idx="200">
                  <c:v>1717.7936531861001</c:v>
                </c:pt>
                <c:pt idx="201">
                  <c:v>1702.0017933820402</c:v>
                </c:pt>
                <c:pt idx="202">
                  <c:v>1702.69304103488</c:v>
                </c:pt>
                <c:pt idx="203">
                  <c:v>1698.4342676599099</c:v>
                </c:pt>
                <c:pt idx="204">
                  <c:v>1695.1399949640399</c:v>
                </c:pt>
                <c:pt idx="205">
                  <c:v>1699.0857528588699</c:v>
                </c:pt>
                <c:pt idx="206">
                  <c:v>1668.1310791277499</c:v>
                </c:pt>
                <c:pt idx="207">
                  <c:v>1659.7081693494399</c:v>
                </c:pt>
                <c:pt idx="208">
                  <c:v>1730.98549213302</c:v>
                </c:pt>
                <c:pt idx="209">
                  <c:v>1733.4638478991899</c:v>
                </c:pt>
                <c:pt idx="210">
                  <c:v>1736.6511310317401</c:v>
                </c:pt>
                <c:pt idx="211">
                  <c:v>1745.8995541763602</c:v>
                </c:pt>
                <c:pt idx="212">
                  <c:v>1740.97896419067</c:v>
                </c:pt>
                <c:pt idx="213">
                  <c:v>1737.7968872050401</c:v>
                </c:pt>
                <c:pt idx="214">
                  <c:v>1731.7621445764901</c:v>
                </c:pt>
                <c:pt idx="215">
                  <c:v>1723.1215440695701</c:v>
                </c:pt>
                <c:pt idx="216">
                  <c:v>1724.76918131045</c:v>
                </c:pt>
                <c:pt idx="217">
                  <c:v>1722.52766869831</c:v>
                </c:pt>
                <c:pt idx="218">
                  <c:v>1720.21836060176</c:v>
                </c:pt>
                <c:pt idx="219">
                  <c:v>1727.51255904905</c:v>
                </c:pt>
                <c:pt idx="220">
                  <c:v>1716.0178196619702</c:v>
                </c:pt>
                <c:pt idx="221">
                  <c:v>1669.18181902997</c:v>
                </c:pt>
                <c:pt idx="222">
                  <c:v>1737.5765775543998</c:v>
                </c:pt>
                <c:pt idx="223">
                  <c:v>1714.8810793354601</c:v>
                </c:pt>
                <c:pt idx="224">
                  <c:v>1716.2056690081899</c:v>
                </c:pt>
                <c:pt idx="225">
                  <c:v>1710.74733162436</c:v>
                </c:pt>
                <c:pt idx="226">
                  <c:v>1675.1818551668</c:v>
                </c:pt>
                <c:pt idx="227">
                  <c:v>1678.08264653683</c:v>
                </c:pt>
                <c:pt idx="228">
                  <c:v>1747.5580062276899</c:v>
                </c:pt>
                <c:pt idx="229">
                  <c:v>1741.4436383780301</c:v>
                </c:pt>
                <c:pt idx="230">
                  <c:v>1734.9100275783198</c:v>
                </c:pt>
                <c:pt idx="231">
                  <c:v>1726.5129442959501</c:v>
                </c:pt>
                <c:pt idx="232">
                  <c:v>1735.8227704832</c:v>
                </c:pt>
                <c:pt idx="233">
                  <c:v>1734.595947734</c:v>
                </c:pt>
                <c:pt idx="234">
                  <c:v>1743.0043825156301</c:v>
                </c:pt>
                <c:pt idx="235">
                  <c:v>1699.7139983792399</c:v>
                </c:pt>
                <c:pt idx="236">
                  <c:v>1679.9198746654299</c:v>
                </c:pt>
                <c:pt idx="237">
                  <c:v>1685.0747502372001</c:v>
                </c:pt>
                <c:pt idx="238">
                  <c:v>1746.7323966563299</c:v>
                </c:pt>
                <c:pt idx="239">
                  <c:v>1741.3680027965199</c:v>
                </c:pt>
                <c:pt idx="240">
                  <c:v>1721.69557878613</c:v>
                </c:pt>
                <c:pt idx="241">
                  <c:v>1730.76812531215</c:v>
                </c:pt>
                <c:pt idx="242">
                  <c:v>1699.4658394646899</c:v>
                </c:pt>
                <c:pt idx="243">
                  <c:v>1673.1036295236199</c:v>
                </c:pt>
                <c:pt idx="244">
                  <c:v>1708.8933834936799</c:v>
                </c:pt>
                <c:pt idx="245">
                  <c:v>1691.75836801281</c:v>
                </c:pt>
                <c:pt idx="246">
                  <c:v>1715.45325565133</c:v>
                </c:pt>
                <c:pt idx="247">
                  <c:v>1733.4926197689599</c:v>
                </c:pt>
                <c:pt idx="248">
                  <c:v>1749.1226360821702</c:v>
                </c:pt>
                <c:pt idx="249">
                  <c:v>1756.67711555749</c:v>
                </c:pt>
                <c:pt idx="250">
                  <c:v>1721.6596264606701</c:v>
                </c:pt>
                <c:pt idx="251">
                  <c:v>1698.7411845391098</c:v>
                </c:pt>
                <c:pt idx="252">
                  <c:v>1718.5675060758501</c:v>
                </c:pt>
                <c:pt idx="253">
                  <c:v>1763.7949049506101</c:v>
                </c:pt>
                <c:pt idx="254">
                  <c:v>1777.00690215398</c:v>
                </c:pt>
                <c:pt idx="255">
                  <c:v>1745.23113293601</c:v>
                </c:pt>
                <c:pt idx="256">
                  <c:v>1738.6867230415899</c:v>
                </c:pt>
                <c:pt idx="257">
                  <c:v>1719.03825548491</c:v>
                </c:pt>
                <c:pt idx="258">
                  <c:v>1742.00658920661</c:v>
                </c:pt>
                <c:pt idx="259">
                  <c:v>1741.97733062559</c:v>
                </c:pt>
                <c:pt idx="260">
                  <c:v>1723.4307667210398</c:v>
                </c:pt>
                <c:pt idx="261">
                  <c:v>1729.5251416586302</c:v>
                </c:pt>
                <c:pt idx="262">
                  <c:v>1722.2182375071</c:v>
                </c:pt>
                <c:pt idx="263">
                  <c:v>1740.0735805839799</c:v>
                </c:pt>
                <c:pt idx="264">
                  <c:v>1715.1812364750701</c:v>
                </c:pt>
                <c:pt idx="265">
                  <c:v>1707.1398282118698</c:v>
                </c:pt>
                <c:pt idx="266">
                  <c:v>1724.7692359423099</c:v>
                </c:pt>
                <c:pt idx="267">
                  <c:v>1785.0710996437701</c:v>
                </c:pt>
                <c:pt idx="268">
                  <c:v>1774.89471851385</c:v>
                </c:pt>
                <c:pt idx="269">
                  <c:v>1730.8337457136599</c:v>
                </c:pt>
                <c:pt idx="270">
                  <c:v>1747.36169324505</c:v>
                </c:pt>
                <c:pt idx="271">
                  <c:v>1727.7013656490499</c:v>
                </c:pt>
                <c:pt idx="272">
                  <c:v>1696.8064433864499</c:v>
                </c:pt>
                <c:pt idx="273">
                  <c:v>1712.62250823982</c:v>
                </c:pt>
                <c:pt idx="274">
                  <c:v>1732.8188281119699</c:v>
                </c:pt>
                <c:pt idx="275">
                  <c:v>1717.3627539368001</c:v>
                </c:pt>
                <c:pt idx="276">
                  <c:v>1699.36092219596</c:v>
                </c:pt>
                <c:pt idx="277">
                  <c:v>1710.2547231747501</c:v>
                </c:pt>
                <c:pt idx="278">
                  <c:v>1677.4994580018201</c:v>
                </c:pt>
                <c:pt idx="279">
                  <c:v>1658.13227286342</c:v>
                </c:pt>
                <c:pt idx="280">
                  <c:v>1726.26948230521</c:v>
                </c:pt>
                <c:pt idx="281">
                  <c:v>1729.0588807137499</c:v>
                </c:pt>
                <c:pt idx="282">
                  <c:v>1723.8964590338499</c:v>
                </c:pt>
                <c:pt idx="283">
                  <c:v>1740.4681499484</c:v>
                </c:pt>
                <c:pt idx="284">
                  <c:v>1706.3922602124401</c:v>
                </c:pt>
                <c:pt idx="285">
                  <c:v>1697.2319192995399</c:v>
                </c:pt>
                <c:pt idx="286">
                  <c:v>1802.56151868954</c:v>
                </c:pt>
                <c:pt idx="287">
                  <c:v>1788.5384420947898</c:v>
                </c:pt>
                <c:pt idx="288">
                  <c:v>1697.7455138662699</c:v>
                </c:pt>
                <c:pt idx="289">
                  <c:v>1725.34094616638</c:v>
                </c:pt>
                <c:pt idx="290">
                  <c:v>1755.4412724306401</c:v>
                </c:pt>
                <c:pt idx="291">
                  <c:v>1802.2952691679998</c:v>
                </c:pt>
                <c:pt idx="292">
                  <c:v>1765.6557911908299</c:v>
                </c:pt>
                <c:pt idx="293">
                  <c:v>1738.9778594924001</c:v>
                </c:pt>
                <c:pt idx="294">
                  <c:v>1819.7509363146398</c:v>
                </c:pt>
                <c:pt idx="295">
                  <c:v>1692.15738993896</c:v>
                </c:pt>
                <c:pt idx="296">
                  <c:v>1689.53209063077</c:v>
                </c:pt>
                <c:pt idx="297">
                  <c:v>1746.7757418391002</c:v>
                </c:pt>
                <c:pt idx="298">
                  <c:v>1752.8310219623202</c:v>
                </c:pt>
                <c:pt idx="299">
                  <c:v>1757.3588900366801</c:v>
                </c:pt>
                <c:pt idx="300">
                  <c:v>1733.2162045919499</c:v>
                </c:pt>
                <c:pt idx="301">
                  <c:v>1709.38499184338</c:v>
                </c:pt>
                <c:pt idx="302">
                  <c:v>1769.79697269546</c:v>
                </c:pt>
                <c:pt idx="303">
                  <c:v>1698.7452895429401</c:v>
                </c:pt>
                <c:pt idx="304">
                  <c:v>1677.81245113668</c:v>
                </c:pt>
                <c:pt idx="305">
                  <c:v>1730.3650098266601</c:v>
                </c:pt>
                <c:pt idx="306">
                  <c:v>1797.1523452237698</c:v>
                </c:pt>
                <c:pt idx="307">
                  <c:v>1771.0807238391301</c:v>
                </c:pt>
                <c:pt idx="308">
                  <c:v>1712.93134700153</c:v>
                </c:pt>
                <c:pt idx="309">
                  <c:v>1674.3399930047899</c:v>
                </c:pt>
                <c:pt idx="310">
                  <c:v>1704.65164346955</c:v>
                </c:pt>
                <c:pt idx="311">
                  <c:v>1731.5988805023799</c:v>
                </c:pt>
                <c:pt idx="312">
                  <c:v>1739.5927743944299</c:v>
                </c:pt>
                <c:pt idx="313">
                  <c:v>1713.2699516477101</c:v>
                </c:pt>
                <c:pt idx="314">
                  <c:v>1706.6193601268999</c:v>
                </c:pt>
                <c:pt idx="315">
                  <c:v>1709.3042621104798</c:v>
                </c:pt>
                <c:pt idx="316">
                  <c:v>1789.53746423131</c:v>
                </c:pt>
                <c:pt idx="317">
                  <c:v>1759.32595004413</c:v>
                </c:pt>
                <c:pt idx="318">
                  <c:v>1798.85200578072</c:v>
                </c:pt>
                <c:pt idx="319">
                  <c:v>1680.7428748070499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FD-4FB3-8BB3-55D8E2731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96-4070-A8B2-8F61A25880E1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'240821A006'!$A$2:$A$321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'240821A006'!$P$2:$P$321</c:f>
              <c:numCache>
                <c:formatCode>General</c:formatCode>
                <c:ptCount val="320"/>
                <c:pt idx="0">
                  <c:v>-12.899942534060788</c:v>
                </c:pt>
                <c:pt idx="1">
                  <c:v>-12.334334880666701</c:v>
                </c:pt>
                <c:pt idx="2">
                  <c:v>-12.857071368405387</c:v>
                </c:pt>
                <c:pt idx="3">
                  <c:v>-13.500503260785877</c:v>
                </c:pt>
                <c:pt idx="4">
                  <c:v>-12.446783749539049</c:v>
                </c:pt>
                <c:pt idx="5">
                  <c:v>-12.750504020669236</c:v>
                </c:pt>
                <c:pt idx="6">
                  <c:v>-12.630489753145191</c:v>
                </c:pt>
                <c:pt idx="7">
                  <c:v>-12.54069762124157</c:v>
                </c:pt>
                <c:pt idx="8">
                  <c:v>-13.482106703676507</c:v>
                </c:pt>
                <c:pt idx="9">
                  <c:v>-12.990955054035602</c:v>
                </c:pt>
                <c:pt idx="10">
                  <c:v>-12.138847054161287</c:v>
                </c:pt>
                <c:pt idx="11">
                  <c:v>-10.384289391331073</c:v>
                </c:pt>
                <c:pt idx="12">
                  <c:v>-11.260699422816113</c:v>
                </c:pt>
                <c:pt idx="13">
                  <c:v>-13.184727891476609</c:v>
                </c:pt>
                <c:pt idx="14">
                  <c:v>-13.560646043045974</c:v>
                </c:pt>
                <c:pt idx="15">
                  <c:v>-13.844099949281057</c:v>
                </c:pt>
                <c:pt idx="16">
                  <c:v>-12.112167946119138</c:v>
                </c:pt>
                <c:pt idx="17">
                  <c:v>-10.971625061224032</c:v>
                </c:pt>
                <c:pt idx="18">
                  <c:v>-10.693854184905922</c:v>
                </c:pt>
                <c:pt idx="19">
                  <c:v>-11.09715628408229</c:v>
                </c:pt>
                <c:pt idx="20">
                  <c:v>-11.226573198202097</c:v>
                </c:pt>
                <c:pt idx="21">
                  <c:v>-10.825483136356548</c:v>
                </c:pt>
                <c:pt idx="22">
                  <c:v>-11.105452377931236</c:v>
                </c:pt>
                <c:pt idx="23">
                  <c:v>-10.772367464417847</c:v>
                </c:pt>
                <c:pt idx="24">
                  <c:v>-10.548967798882316</c:v>
                </c:pt>
                <c:pt idx="25">
                  <c:v>-9.5028266960063892</c:v>
                </c:pt>
                <c:pt idx="26">
                  <c:v>-9.7293655533951089</c:v>
                </c:pt>
                <c:pt idx="27">
                  <c:v>-7.082662812574438</c:v>
                </c:pt>
                <c:pt idx="28">
                  <c:v>-7.9183893513129853</c:v>
                </c:pt>
                <c:pt idx="29">
                  <c:v>-9.2185456002928312</c:v>
                </c:pt>
                <c:pt idx="30">
                  <c:v>-9.4746682044426542</c:v>
                </c:pt>
                <c:pt idx="31">
                  <c:v>-8.6791034078784204</c:v>
                </c:pt>
                <c:pt idx="32">
                  <c:v>-7.4999927351596583</c:v>
                </c:pt>
                <c:pt idx="33">
                  <c:v>-7.5055458558162318</c:v>
                </c:pt>
                <c:pt idx="34">
                  <c:v>-8.0563087184237734</c:v>
                </c:pt>
                <c:pt idx="35">
                  <c:v>-7.5785794437909919</c:v>
                </c:pt>
                <c:pt idx="36">
                  <c:v>-8.1485294861745121</c:v>
                </c:pt>
                <c:pt idx="37">
                  <c:v>-7.367641060619988</c:v>
                </c:pt>
                <c:pt idx="38">
                  <c:v>-7.4096809659969578</c:v>
                </c:pt>
                <c:pt idx="39">
                  <c:v>-6.2058344655079498</c:v>
                </c:pt>
                <c:pt idx="40">
                  <c:v>-6.3180001883442332</c:v>
                </c:pt>
                <c:pt idx="41">
                  <c:v>-7.7566108251206787</c:v>
                </c:pt>
                <c:pt idx="42">
                  <c:v>-7.8771276315431429</c:v>
                </c:pt>
                <c:pt idx="43">
                  <c:v>-6.1342631940506811</c:v>
                </c:pt>
                <c:pt idx="44">
                  <c:v>-6.6547052752759832</c:v>
                </c:pt>
                <c:pt idx="45">
                  <c:v>-7.0413397048704836</c:v>
                </c:pt>
                <c:pt idx="46">
                  <c:v>-6.3592562686532075</c:v>
                </c:pt>
                <c:pt idx="47">
                  <c:v>-6.2875672775357936</c:v>
                </c:pt>
                <c:pt idx="48">
                  <c:v>-6.100618946440723</c:v>
                </c:pt>
                <c:pt idx="49">
                  <c:v>-5.7080563632428163</c:v>
                </c:pt>
                <c:pt idx="50">
                  <c:v>-5.3280274044885658</c:v>
                </c:pt>
                <c:pt idx="51">
                  <c:v>-5.1142993685817224</c:v>
                </c:pt>
                <c:pt idx="52">
                  <c:v>-4.8476611303177783</c:v>
                </c:pt>
                <c:pt idx="53">
                  <c:v>-5.0668872352039829</c:v>
                </c:pt>
                <c:pt idx="54">
                  <c:v>-4.8581440501429709</c:v>
                </c:pt>
                <c:pt idx="55">
                  <c:v>-4.9723594879101665</c:v>
                </c:pt>
                <c:pt idx="56">
                  <c:v>-3.795048925469338</c:v>
                </c:pt>
                <c:pt idx="57">
                  <c:v>-3.2148374079420479</c:v>
                </c:pt>
                <c:pt idx="58">
                  <c:v>-2.8685515415494156</c:v>
                </c:pt>
                <c:pt idx="59">
                  <c:v>-3.1063738916142185</c:v>
                </c:pt>
                <c:pt idx="60">
                  <c:v>-1.976877104409613</c:v>
                </c:pt>
                <c:pt idx="61">
                  <c:v>-2.0671335211945192</c:v>
                </c:pt>
                <c:pt idx="62">
                  <c:v>-1.6264720387900156</c:v>
                </c:pt>
                <c:pt idx="63">
                  <c:v>-1.6509403187787628</c:v>
                </c:pt>
                <c:pt idx="64">
                  <c:v>-1.8924742396898846</c:v>
                </c:pt>
                <c:pt idx="65">
                  <c:v>-1.0284916035468266</c:v>
                </c:pt>
                <c:pt idx="66">
                  <c:v>-2.0107857373509996</c:v>
                </c:pt>
                <c:pt idx="67">
                  <c:v>-1.359969994133237</c:v>
                </c:pt>
                <c:pt idx="68">
                  <c:v>-0.66446848547597925</c:v>
                </c:pt>
                <c:pt idx="69">
                  <c:v>-0.39388542966058437</c:v>
                </c:pt>
                <c:pt idx="70">
                  <c:v>0.48811778785376519</c:v>
                </c:pt>
                <c:pt idx="71">
                  <c:v>1.6086784103491469</c:v>
                </c:pt>
                <c:pt idx="72">
                  <c:v>0.35533005122899325</c:v>
                </c:pt>
                <c:pt idx="73">
                  <c:v>0.65817988741261946</c:v>
                </c:pt>
                <c:pt idx="74">
                  <c:v>2.6034913782372864</c:v>
                </c:pt>
                <c:pt idx="75">
                  <c:v>1.0627742853947102</c:v>
                </c:pt>
                <c:pt idx="76">
                  <c:v>3.6093005067966857</c:v>
                </c:pt>
                <c:pt idx="77">
                  <c:v>1.0365430423658228</c:v>
                </c:pt>
                <c:pt idx="78">
                  <c:v>1.6081263456216015</c:v>
                </c:pt>
                <c:pt idx="79">
                  <c:v>1.6409567777699725</c:v>
                </c:pt>
                <c:pt idx="80">
                  <c:v>1.6101943385870006</c:v>
                </c:pt>
                <c:pt idx="81">
                  <c:v>2.1977480516219829</c:v>
                </c:pt>
                <c:pt idx="82">
                  <c:v>2.8363585292966</c:v>
                </c:pt>
                <c:pt idx="83">
                  <c:v>3.9170517142345043</c:v>
                </c:pt>
                <c:pt idx="84">
                  <c:v>3.3382114902080464</c:v>
                </c:pt>
                <c:pt idx="85">
                  <c:v>3.4031281695338547</c:v>
                </c:pt>
                <c:pt idx="86">
                  <c:v>3.7563579514297998</c:v>
                </c:pt>
                <c:pt idx="87">
                  <c:v>4.1775681341617892</c:v>
                </c:pt>
                <c:pt idx="88">
                  <c:v>4.3005201029231017</c:v>
                </c:pt>
                <c:pt idx="89">
                  <c:v>4.9091878945507608</c:v>
                </c:pt>
                <c:pt idx="90">
                  <c:v>3.6875802572012035</c:v>
                </c:pt>
                <c:pt idx="91">
                  <c:v>2.7488478438562849</c:v>
                </c:pt>
                <c:pt idx="92">
                  <c:v>3.2278338348676923</c:v>
                </c:pt>
                <c:pt idx="93">
                  <c:v>3.7973280785385692</c:v>
                </c:pt>
                <c:pt idx="94">
                  <c:v>3.6434152023301904</c:v>
                </c:pt>
                <c:pt idx="95">
                  <c:v>2.9451942231844175</c:v>
                </c:pt>
                <c:pt idx="96">
                  <c:v>3.3664005567439341</c:v>
                </c:pt>
                <c:pt idx="97">
                  <c:v>4.2042819650764667</c:v>
                </c:pt>
                <c:pt idx="98">
                  <c:v>4.4238655838727983</c:v>
                </c:pt>
                <c:pt idx="99">
                  <c:v>3.828016429730468</c:v>
                </c:pt>
                <c:pt idx="100">
                  <c:v>5.1536968732301052</c:v>
                </c:pt>
                <c:pt idx="101">
                  <c:v>5.5901855970100733</c:v>
                </c:pt>
                <c:pt idx="102">
                  <c:v>5.2725989591755704</c:v>
                </c:pt>
                <c:pt idx="103">
                  <c:v>6.0744829950259405</c:v>
                </c:pt>
                <c:pt idx="104">
                  <c:v>6.5626913438107266</c:v>
                </c:pt>
                <c:pt idx="105">
                  <c:v>7.11539810586721</c:v>
                </c:pt>
                <c:pt idx="106">
                  <c:v>6.9423643092285197</c:v>
                </c:pt>
                <c:pt idx="107">
                  <c:v>7.8428714929297705</c:v>
                </c:pt>
                <c:pt idx="108">
                  <c:v>7.7377082056152524</c:v>
                </c:pt>
                <c:pt idx="109">
                  <c:v>6.6502546626298065</c:v>
                </c:pt>
                <c:pt idx="110">
                  <c:v>7.1208574895828658</c:v>
                </c:pt>
                <c:pt idx="111">
                  <c:v>7.3110655233648609</c:v>
                </c:pt>
                <c:pt idx="112">
                  <c:v>6.8966440702033092</c:v>
                </c:pt>
                <c:pt idx="113">
                  <c:v>6.4769677889208097</c:v>
                </c:pt>
                <c:pt idx="114">
                  <c:v>6.6242981238577237</c:v>
                </c:pt>
                <c:pt idx="115">
                  <c:v>7.7067397876407737</c:v>
                </c:pt>
                <c:pt idx="116">
                  <c:v>8.0693070559830389</c:v>
                </c:pt>
                <c:pt idx="117">
                  <c:v>8.3132900095589441</c:v>
                </c:pt>
                <c:pt idx="118">
                  <c:v>7.570729789772038</c:v>
                </c:pt>
                <c:pt idx="119">
                  <c:v>8.277976472810094</c:v>
                </c:pt>
                <c:pt idx="120">
                  <c:v>7.8543169802623307</c:v>
                </c:pt>
                <c:pt idx="121">
                  <c:v>8.6118979017547463</c:v>
                </c:pt>
                <c:pt idx="122">
                  <c:v>8.5754526852373782</c:v>
                </c:pt>
                <c:pt idx="123">
                  <c:v>9.2024625605334176</c:v>
                </c:pt>
                <c:pt idx="124">
                  <c:v>9.1026994660954674</c:v>
                </c:pt>
                <c:pt idx="125">
                  <c:v>9.1736161945169385</c:v>
                </c:pt>
                <c:pt idx="126">
                  <c:v>9.0107543401657324</c:v>
                </c:pt>
                <c:pt idx="127">
                  <c:v>10.650414421473862</c:v>
                </c:pt>
                <c:pt idx="128">
                  <c:v>10.097865618766187</c:v>
                </c:pt>
                <c:pt idx="129">
                  <c:v>10.619072644990265</c:v>
                </c:pt>
                <c:pt idx="130">
                  <c:v>11.54753161498691</c:v>
                </c:pt>
                <c:pt idx="131">
                  <c:v>11.184081498527725</c:v>
                </c:pt>
                <c:pt idx="132">
                  <c:v>10.741267157854411</c:v>
                </c:pt>
                <c:pt idx="133">
                  <c:v>11.42229229593217</c:v>
                </c:pt>
                <c:pt idx="134">
                  <c:v>12.129274591672322</c:v>
                </c:pt>
                <c:pt idx="135">
                  <c:v>11.527433100476474</c:v>
                </c:pt>
                <c:pt idx="136">
                  <c:v>12.190851954312894</c:v>
                </c:pt>
                <c:pt idx="137">
                  <c:v>12.479926423096567</c:v>
                </c:pt>
                <c:pt idx="138">
                  <c:v>12.192819044682095</c:v>
                </c:pt>
                <c:pt idx="139">
                  <c:v>12.209898624366824</c:v>
                </c:pt>
                <c:pt idx="140">
                  <c:v>12.530029628349062</c:v>
                </c:pt>
                <c:pt idx="141">
                  <c:v>12.512596995249872</c:v>
                </c:pt>
                <c:pt idx="142">
                  <c:v>13.618169727289143</c:v>
                </c:pt>
                <c:pt idx="143">
                  <c:v>16.076285252876787</c:v>
                </c:pt>
                <c:pt idx="144">
                  <c:v>15.997751184259373</c:v>
                </c:pt>
                <c:pt idx="145">
                  <c:v>15.712720972455536</c:v>
                </c:pt>
                <c:pt idx="146">
                  <c:v>14.688126337033754</c:v>
                </c:pt>
                <c:pt idx="147">
                  <c:v>15.376400342520382</c:v>
                </c:pt>
                <c:pt idx="148">
                  <c:v>15.430875657830523</c:v>
                </c:pt>
                <c:pt idx="149">
                  <c:v>15.699432116381523</c:v>
                </c:pt>
                <c:pt idx="150">
                  <c:v>16.085475035855666</c:v>
                </c:pt>
                <c:pt idx="151">
                  <c:v>15.908307170339755</c:v>
                </c:pt>
                <c:pt idx="152">
                  <c:v>16.067389288257697</c:v>
                </c:pt>
                <c:pt idx="153">
                  <c:v>16.609617126446828</c:v>
                </c:pt>
                <c:pt idx="154">
                  <c:v>17.861817611706783</c:v>
                </c:pt>
                <c:pt idx="155">
                  <c:v>16.982189269579141</c:v>
                </c:pt>
                <c:pt idx="156">
                  <c:v>19.129080015897294</c:v>
                </c:pt>
                <c:pt idx="157">
                  <c:v>17.609510757563619</c:v>
                </c:pt>
                <c:pt idx="158">
                  <c:v>18.076612306232594</c:v>
                </c:pt>
                <c:pt idx="159">
                  <c:v>17.826518141149389</c:v>
                </c:pt>
                <c:pt idx="160">
                  <c:v>18.935422988567872</c:v>
                </c:pt>
                <c:pt idx="161">
                  <c:v>19.861585525446873</c:v>
                </c:pt>
                <c:pt idx="162">
                  <c:v>20.956593330246708</c:v>
                </c:pt>
                <c:pt idx="163">
                  <c:v>21.416611623145762</c:v>
                </c:pt>
                <c:pt idx="164">
                  <c:v>23.607780607689712</c:v>
                </c:pt>
                <c:pt idx="165">
                  <c:v>22.977398981058712</c:v>
                </c:pt>
                <c:pt idx="166">
                  <c:v>23.664613164924848</c:v>
                </c:pt>
                <c:pt idx="167">
                  <c:v>24.179518747178978</c:v>
                </c:pt>
                <c:pt idx="168">
                  <c:v>23.958350884054408</c:v>
                </c:pt>
                <c:pt idx="169">
                  <c:v>23.320419680492634</c:v>
                </c:pt>
                <c:pt idx="170">
                  <c:v>22.23877357748799</c:v>
                </c:pt>
                <c:pt idx="171">
                  <c:v>23.808318989529084</c:v>
                </c:pt>
                <c:pt idx="172">
                  <c:v>23.68355311839327</c:v>
                </c:pt>
                <c:pt idx="173">
                  <c:v>28.046868961077369</c:v>
                </c:pt>
                <c:pt idx="174">
                  <c:v>26.491753720905386</c:v>
                </c:pt>
                <c:pt idx="175">
                  <c:v>24.910726897524157</c:v>
                </c:pt>
                <c:pt idx="176">
                  <c:v>27.959723898238426</c:v>
                </c:pt>
                <c:pt idx="177">
                  <c:v>29.589958860224641</c:v>
                </c:pt>
                <c:pt idx="178">
                  <c:v>35.531773543206484</c:v>
                </c:pt>
                <c:pt idx="179">
                  <c:v>33.196465674753114</c:v>
                </c:pt>
                <c:pt idx="180">
                  <c:v>30.186270424636685</c:v>
                </c:pt>
                <c:pt idx="181">
                  <c:v>29.341989970059963</c:v>
                </c:pt>
                <c:pt idx="182">
                  <c:v>29.619288207489568</c:v>
                </c:pt>
                <c:pt idx="183">
                  <c:v>33.075210471235621</c:v>
                </c:pt>
                <c:pt idx="184">
                  <c:v>33.375962963612729</c:v>
                </c:pt>
                <c:pt idx="185">
                  <c:v>33.5684949766081</c:v>
                </c:pt>
                <c:pt idx="186">
                  <c:v>32.484974235275267</c:v>
                </c:pt>
                <c:pt idx="187">
                  <c:v>31.824191480262037</c:v>
                </c:pt>
                <c:pt idx="188">
                  <c:v>30.846722108052564</c:v>
                </c:pt>
                <c:pt idx="189">
                  <c:v>30.097729910567921</c:v>
                </c:pt>
                <c:pt idx="190">
                  <c:v>32.466651151584493</c:v>
                </c:pt>
                <c:pt idx="191">
                  <c:v>37.771880943676102</c:v>
                </c:pt>
                <c:pt idx="192">
                  <c:v>42.560817308452073</c:v>
                </c:pt>
                <c:pt idx="193">
                  <c:v>43.617974702298177</c:v>
                </c:pt>
                <c:pt idx="194">
                  <c:v>43.636701686210898</c:v>
                </c:pt>
                <c:pt idx="195">
                  <c:v>41.260404893415867</c:v>
                </c:pt>
                <c:pt idx="196">
                  <c:v>39.533741681246312</c:v>
                </c:pt>
                <c:pt idx="197">
                  <c:v>38.726200602023461</c:v>
                </c:pt>
                <c:pt idx="198">
                  <c:v>38.436538827044807</c:v>
                </c:pt>
                <c:pt idx="199">
                  <c:v>38.749950098984407</c:v>
                </c:pt>
                <c:pt idx="200">
                  <c:v>37.985008298329575</c:v>
                </c:pt>
                <c:pt idx="201">
                  <c:v>37.484469658231525</c:v>
                </c:pt>
                <c:pt idx="202">
                  <c:v>36.812821683217301</c:v>
                </c:pt>
                <c:pt idx="203">
                  <c:v>35.932554097715581</c:v>
                </c:pt>
                <c:pt idx="204">
                  <c:v>36.177117287689576</c:v>
                </c:pt>
                <c:pt idx="205">
                  <c:v>35.829777167083236</c:v>
                </c:pt>
                <c:pt idx="206">
                  <c:v>35.589509392012026</c:v>
                </c:pt>
                <c:pt idx="207">
                  <c:v>36.337822441271769</c:v>
                </c:pt>
                <c:pt idx="208">
                  <c:v>36.635992556939136</c:v>
                </c:pt>
                <c:pt idx="209">
                  <c:v>36.061393697374669</c:v>
                </c:pt>
                <c:pt idx="210">
                  <c:v>37.117876879320036</c:v>
                </c:pt>
                <c:pt idx="211">
                  <c:v>38.12441111276604</c:v>
                </c:pt>
                <c:pt idx="212">
                  <c:v>38.028067280281704</c:v>
                </c:pt>
                <c:pt idx="213">
                  <c:v>39.363286567362344</c:v>
                </c:pt>
                <c:pt idx="214">
                  <c:v>39.862558444124907</c:v>
                </c:pt>
                <c:pt idx="215">
                  <c:v>40.051172866035685</c:v>
                </c:pt>
                <c:pt idx="216">
                  <c:v>40.319598588614468</c:v>
                </c:pt>
                <c:pt idx="217">
                  <c:v>40.224878193921363</c:v>
                </c:pt>
                <c:pt idx="218">
                  <c:v>41.672886283387768</c:v>
                </c:pt>
                <c:pt idx="219">
                  <c:v>43.060991165601145</c:v>
                </c:pt>
                <c:pt idx="220">
                  <c:v>46.081574268905563</c:v>
                </c:pt>
                <c:pt idx="221">
                  <c:v>44.058485110586609</c:v>
                </c:pt>
                <c:pt idx="222">
                  <c:v>43.961050194278329</c:v>
                </c:pt>
                <c:pt idx="223">
                  <c:v>42.11217300506604</c:v>
                </c:pt>
                <c:pt idx="224">
                  <c:v>41.708160787758771</c:v>
                </c:pt>
                <c:pt idx="225">
                  <c:v>41.375300145399514</c:v>
                </c:pt>
                <c:pt idx="226">
                  <c:v>41.988681838750679</c:v>
                </c:pt>
                <c:pt idx="227">
                  <c:v>46.356957461914448</c:v>
                </c:pt>
                <c:pt idx="228">
                  <c:v>50.626277134063244</c:v>
                </c:pt>
                <c:pt idx="229">
                  <c:v>48.940051520381459</c:v>
                </c:pt>
                <c:pt idx="230">
                  <c:v>48.370024934812811</c:v>
                </c:pt>
                <c:pt idx="231">
                  <c:v>48.290373197276999</c:v>
                </c:pt>
                <c:pt idx="232">
                  <c:v>52.03236866206835</c:v>
                </c:pt>
                <c:pt idx="233">
                  <c:v>51.995657450530089</c:v>
                </c:pt>
                <c:pt idx="234">
                  <c:v>56.208867104465078</c:v>
                </c:pt>
                <c:pt idx="235">
                  <c:v>54.470450565391062</c:v>
                </c:pt>
                <c:pt idx="236">
                  <c:v>56.003196704673542</c:v>
                </c:pt>
                <c:pt idx="237">
                  <c:v>66.846295145322813</c:v>
                </c:pt>
                <c:pt idx="238">
                  <c:v>64.640966471242635</c:v>
                </c:pt>
                <c:pt idx="239">
                  <c:v>62.0951141640695</c:v>
                </c:pt>
                <c:pt idx="240">
                  <c:v>60.437270493304496</c:v>
                </c:pt>
                <c:pt idx="241">
                  <c:v>58.399877007633094</c:v>
                </c:pt>
                <c:pt idx="242">
                  <c:v>57.051794482042141</c:v>
                </c:pt>
                <c:pt idx="243">
                  <c:v>56.410068095015852</c:v>
                </c:pt>
                <c:pt idx="244">
                  <c:v>57.676982705859871</c:v>
                </c:pt>
                <c:pt idx="245">
                  <c:v>74.627059059492112</c:v>
                </c:pt>
                <c:pt idx="246">
                  <c:v>75.885970580879416</c:v>
                </c:pt>
                <c:pt idx="247">
                  <c:v>73.795840605267287</c:v>
                </c:pt>
                <c:pt idx="248">
                  <c:v>73.474404021022607</c:v>
                </c:pt>
                <c:pt idx="249">
                  <c:v>71.831582838799974</c:v>
                </c:pt>
                <c:pt idx="250">
                  <c:v>77.266449645467532</c:v>
                </c:pt>
                <c:pt idx="251">
                  <c:v>79.480452034057919</c:v>
                </c:pt>
                <c:pt idx="252">
                  <c:v>80.537513714702413</c:v>
                </c:pt>
                <c:pt idx="253">
                  <c:v>76.671226926050153</c:v>
                </c:pt>
                <c:pt idx="254">
                  <c:v>76.872563016443948</c:v>
                </c:pt>
                <c:pt idx="255">
                  <c:v>74.87697113837406</c:v>
                </c:pt>
                <c:pt idx="256">
                  <c:v>72.45005181710124</c:v>
                </c:pt>
                <c:pt idx="257">
                  <c:v>76.585193138691338</c:v>
                </c:pt>
                <c:pt idx="258">
                  <c:v>73.172880694357204</c:v>
                </c:pt>
                <c:pt idx="259">
                  <c:v>74.376693249949355</c:v>
                </c:pt>
                <c:pt idx="260">
                  <c:v>75.728693089175835</c:v>
                </c:pt>
                <c:pt idx="261">
                  <c:v>73.631010289336231</c:v>
                </c:pt>
                <c:pt idx="262">
                  <c:v>76.319120428295278</c:v>
                </c:pt>
                <c:pt idx="263">
                  <c:v>76.639419382930413</c:v>
                </c:pt>
                <c:pt idx="264">
                  <c:v>84.846551811319756</c:v>
                </c:pt>
                <c:pt idx="265">
                  <c:v>89.380382018083324</c:v>
                </c:pt>
                <c:pt idx="266">
                  <c:v>90.442937610004208</c:v>
                </c:pt>
                <c:pt idx="267">
                  <c:v>86.489883895498949</c:v>
                </c:pt>
                <c:pt idx="268">
                  <c:v>81.686718598757636</c:v>
                </c:pt>
                <c:pt idx="269">
                  <c:v>86.967291194898905</c:v>
                </c:pt>
                <c:pt idx="270">
                  <c:v>80.655077680373083</c:v>
                </c:pt>
                <c:pt idx="271">
                  <c:v>77.871021769786225</c:v>
                </c:pt>
                <c:pt idx="272">
                  <c:v>84.632308575795108</c:v>
                </c:pt>
                <c:pt idx="273">
                  <c:v>85.786001727292202</c:v>
                </c:pt>
                <c:pt idx="274">
                  <c:v>84.841211770756772</c:v>
                </c:pt>
                <c:pt idx="275">
                  <c:v>85.553040950020403</c:v>
                </c:pt>
                <c:pt idx="276">
                  <c:v>94.630531479196677</c:v>
                </c:pt>
                <c:pt idx="277">
                  <c:v>91.604141420126837</c:v>
                </c:pt>
                <c:pt idx="278">
                  <c:v>90.922238599674216</c:v>
                </c:pt>
                <c:pt idx="279">
                  <c:v>89.498346473620373</c:v>
                </c:pt>
                <c:pt idx="280">
                  <c:v>92.256622161814008</c:v>
                </c:pt>
                <c:pt idx="281">
                  <c:v>91.722272304222756</c:v>
                </c:pt>
                <c:pt idx="282">
                  <c:v>100.55379255636818</c:v>
                </c:pt>
                <c:pt idx="283">
                  <c:v>89.369965054728425</c:v>
                </c:pt>
                <c:pt idx="284">
                  <c:v>88.041563826717422</c:v>
                </c:pt>
                <c:pt idx="285">
                  <c:v>101.48614105488565</c:v>
                </c:pt>
                <c:pt idx="286">
                  <c:v>96.725094868024371</c:v>
                </c:pt>
                <c:pt idx="287">
                  <c:v>90.107256537434296</c:v>
                </c:pt>
                <c:pt idx="288">
                  <c:v>92.201985368475817</c:v>
                </c:pt>
                <c:pt idx="289">
                  <c:v>94.950964124728415</c:v>
                </c:pt>
                <c:pt idx="290">
                  <c:v>90.712362420445189</c:v>
                </c:pt>
                <c:pt idx="291">
                  <c:v>94.441332675200755</c:v>
                </c:pt>
                <c:pt idx="292">
                  <c:v>103.62677642106122</c:v>
                </c:pt>
                <c:pt idx="293">
                  <c:v>102.2322402527941</c:v>
                </c:pt>
                <c:pt idx="294">
                  <c:v>108.77435762690433</c:v>
                </c:pt>
                <c:pt idx="295">
                  <c:v>109.32378716173471</c:v>
                </c:pt>
                <c:pt idx="296">
                  <c:v>110.95638601199941</c:v>
                </c:pt>
                <c:pt idx="297">
                  <c:v>102.13249742110126</c:v>
                </c:pt>
                <c:pt idx="298">
                  <c:v>103.14610517099956</c:v>
                </c:pt>
                <c:pt idx="299">
                  <c:v>105.72291282258615</c:v>
                </c:pt>
                <c:pt idx="300">
                  <c:v>105.49237396423725</c:v>
                </c:pt>
                <c:pt idx="301">
                  <c:v>107.20307843854182</c:v>
                </c:pt>
                <c:pt idx="302">
                  <c:v>107.22973987215731</c:v>
                </c:pt>
                <c:pt idx="303">
                  <c:v>106.05195650170917</c:v>
                </c:pt>
                <c:pt idx="304">
                  <c:v>108.63671348121517</c:v>
                </c:pt>
                <c:pt idx="305">
                  <c:v>107.02243880445133</c:v>
                </c:pt>
                <c:pt idx="306">
                  <c:v>112.45950250409102</c:v>
                </c:pt>
                <c:pt idx="307">
                  <c:v>112.61847842052835</c:v>
                </c:pt>
                <c:pt idx="308">
                  <c:v>109.15116959801774</c:v>
                </c:pt>
                <c:pt idx="309">
                  <c:v>109.09308334372025</c:v>
                </c:pt>
                <c:pt idx="310">
                  <c:v>103.67778203116526</c:v>
                </c:pt>
                <c:pt idx="311">
                  <c:v>105.68735288326292</c:v>
                </c:pt>
                <c:pt idx="312">
                  <c:v>101.06243637259196</c:v>
                </c:pt>
                <c:pt idx="313">
                  <c:v>99.931943839320752</c:v>
                </c:pt>
                <c:pt idx="314">
                  <c:v>96.283439548670628</c:v>
                </c:pt>
                <c:pt idx="315">
                  <c:v>92.493335768945599</c:v>
                </c:pt>
                <c:pt idx="316">
                  <c:v>94.045002861178361</c:v>
                </c:pt>
                <c:pt idx="317">
                  <c:v>93.942517882454055</c:v>
                </c:pt>
                <c:pt idx="318">
                  <c:v>91.364117592681694</c:v>
                </c:pt>
                <c:pt idx="319">
                  <c:v>88.340972573325004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96-4070-A8B2-8F61A2588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'240821A008'!$A$2:$A$321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'240821A008'!$J$2:$J$321</c:f>
              <c:numCache>
                <c:formatCode>0.0</c:formatCode>
                <c:ptCount val="320"/>
                <c:pt idx="0">
                  <c:v>3038.0703071665102</c:v>
                </c:pt>
                <c:pt idx="1">
                  <c:v>2841.3880284925599</c:v>
                </c:pt>
                <c:pt idx="2">
                  <c:v>3194.3645443390201</c:v>
                </c:pt>
                <c:pt idx="3">
                  <c:v>3179.9586321482197</c:v>
                </c:pt>
                <c:pt idx="4">
                  <c:v>3170.6056662383598</c:v>
                </c:pt>
                <c:pt idx="5">
                  <c:v>3145.7052614304598</c:v>
                </c:pt>
                <c:pt idx="6">
                  <c:v>3155.6629754133101</c:v>
                </c:pt>
                <c:pt idx="7">
                  <c:v>3121.65657560813</c:v>
                </c:pt>
                <c:pt idx="8">
                  <c:v>3129.3528768822002</c:v>
                </c:pt>
                <c:pt idx="9">
                  <c:v>3369.47645377965</c:v>
                </c:pt>
                <c:pt idx="10">
                  <c:v>3338.5084249174297</c:v>
                </c:pt>
                <c:pt idx="11">
                  <c:v>3344.53262329271</c:v>
                </c:pt>
                <c:pt idx="12">
                  <c:v>3314.63967321469</c:v>
                </c:pt>
                <c:pt idx="13">
                  <c:v>3501.5801801919101</c:v>
                </c:pt>
                <c:pt idx="14">
                  <c:v>3388.6314760508603</c:v>
                </c:pt>
                <c:pt idx="15">
                  <c:v>3419.0935122146802</c:v>
                </c:pt>
                <c:pt idx="16">
                  <c:v>3402.1887716873198</c:v>
                </c:pt>
                <c:pt idx="17">
                  <c:v>3374.9408053105099</c:v>
                </c:pt>
                <c:pt idx="18">
                  <c:v>3457.5136044974001</c:v>
                </c:pt>
                <c:pt idx="19">
                  <c:v>3454.2813182270297</c:v>
                </c:pt>
                <c:pt idx="20">
                  <c:v>3444.3872927082502</c:v>
                </c:pt>
                <c:pt idx="21">
                  <c:v>3426.8212349443502</c:v>
                </c:pt>
                <c:pt idx="22">
                  <c:v>3446.70238264414</c:v>
                </c:pt>
                <c:pt idx="23">
                  <c:v>3448.8870795492699</c:v>
                </c:pt>
                <c:pt idx="24">
                  <c:v>3469.6460462232299</c:v>
                </c:pt>
                <c:pt idx="25">
                  <c:v>3464.1851382949699</c:v>
                </c:pt>
                <c:pt idx="26">
                  <c:v>3484.3715318597597</c:v>
                </c:pt>
                <c:pt idx="27">
                  <c:v>3470.5540454997599</c:v>
                </c:pt>
                <c:pt idx="28">
                  <c:v>3312.4735661288596</c:v>
                </c:pt>
                <c:pt idx="29">
                  <c:v>3335.0094618919002</c:v>
                </c:pt>
                <c:pt idx="30">
                  <c:v>3317.7160409696403</c:v>
                </c:pt>
                <c:pt idx="31">
                  <c:v>3329.1051100029399</c:v>
                </c:pt>
                <c:pt idx="32">
                  <c:v>3319.10472674739</c:v>
                </c:pt>
                <c:pt idx="33">
                  <c:v>3341.2072616171799</c:v>
                </c:pt>
                <c:pt idx="34">
                  <c:v>3327.1157421163298</c:v>
                </c:pt>
                <c:pt idx="35">
                  <c:v>3321.1014001748199</c:v>
                </c:pt>
                <c:pt idx="36">
                  <c:v>3327.38628612402</c:v>
                </c:pt>
                <c:pt idx="37">
                  <c:v>3307.2952015536798</c:v>
                </c:pt>
                <c:pt idx="38">
                  <c:v>3347.8598404106096</c:v>
                </c:pt>
                <c:pt idx="39">
                  <c:v>3262.3643372046599</c:v>
                </c:pt>
                <c:pt idx="40">
                  <c:v>3239.0115062807004</c:v>
                </c:pt>
                <c:pt idx="41">
                  <c:v>3217.04844531657</c:v>
                </c:pt>
                <c:pt idx="42">
                  <c:v>3205.1870169916001</c:v>
                </c:pt>
                <c:pt idx="43">
                  <c:v>3169.7719143523</c:v>
                </c:pt>
                <c:pt idx="44">
                  <c:v>3305.8827506986499</c:v>
                </c:pt>
                <c:pt idx="45">
                  <c:v>3278.5909822970702</c:v>
                </c:pt>
                <c:pt idx="46">
                  <c:v>3286.1996506813502</c:v>
                </c:pt>
                <c:pt idx="47">
                  <c:v>3281.77871528376</c:v>
                </c:pt>
                <c:pt idx="48">
                  <c:v>3200.6948143752797</c:v>
                </c:pt>
                <c:pt idx="49">
                  <c:v>3277.9660532350799</c:v>
                </c:pt>
                <c:pt idx="50">
                  <c:v>3228.2865857863098</c:v>
                </c:pt>
                <c:pt idx="51">
                  <c:v>3151.39832008545</c:v>
                </c:pt>
                <c:pt idx="52">
                  <c:v>3216.8080970287701</c:v>
                </c:pt>
                <c:pt idx="53">
                  <c:v>3175.9017638087498</c:v>
                </c:pt>
                <c:pt idx="54">
                  <c:v>3283.34323168015</c:v>
                </c:pt>
                <c:pt idx="55">
                  <c:v>3197.5447983252502</c:v>
                </c:pt>
                <c:pt idx="56">
                  <c:v>3164.7734604105599</c:v>
                </c:pt>
                <c:pt idx="57">
                  <c:v>3178.5885529227198</c:v>
                </c:pt>
                <c:pt idx="58">
                  <c:v>3208.5285923753599</c:v>
                </c:pt>
                <c:pt idx="59">
                  <c:v>3243.5202114978597</c:v>
                </c:pt>
                <c:pt idx="60">
                  <c:v>3255.1132585239102</c:v>
                </c:pt>
                <c:pt idx="61">
                  <c:v>3198.5070291196798</c:v>
                </c:pt>
                <c:pt idx="62">
                  <c:v>3233.0103540959299</c:v>
                </c:pt>
                <c:pt idx="63">
                  <c:v>3219.3163881529999</c:v>
                </c:pt>
                <c:pt idx="64">
                  <c:v>3202.7520641640203</c:v>
                </c:pt>
                <c:pt idx="65">
                  <c:v>3198.4058623035999</c:v>
                </c:pt>
                <c:pt idx="66">
                  <c:v>3129.24804065954</c:v>
                </c:pt>
                <c:pt idx="67">
                  <c:v>3138.11218515986</c:v>
                </c:pt>
                <c:pt idx="68">
                  <c:v>3213.7920368057503</c:v>
                </c:pt>
                <c:pt idx="69">
                  <c:v>3213.9730388429202</c:v>
                </c:pt>
                <c:pt idx="70">
                  <c:v>3196.19315423853</c:v>
                </c:pt>
                <c:pt idx="71">
                  <c:v>3295.4489247312204</c:v>
                </c:pt>
                <c:pt idx="72">
                  <c:v>3251.4714303157502</c:v>
                </c:pt>
                <c:pt idx="73">
                  <c:v>3242.20406732121</c:v>
                </c:pt>
                <c:pt idx="74">
                  <c:v>3234.7161983178198</c:v>
                </c:pt>
                <c:pt idx="75">
                  <c:v>3327.7569666947502</c:v>
                </c:pt>
                <c:pt idx="76">
                  <c:v>3402.63009962046</c:v>
                </c:pt>
                <c:pt idx="77">
                  <c:v>3354.9968841642199</c:v>
                </c:pt>
                <c:pt idx="78">
                  <c:v>3298.07832490087</c:v>
                </c:pt>
                <c:pt idx="79">
                  <c:v>3287.00705692161</c:v>
                </c:pt>
                <c:pt idx="80">
                  <c:v>3320.21212013789</c:v>
                </c:pt>
                <c:pt idx="81">
                  <c:v>3185.96407624633</c:v>
                </c:pt>
                <c:pt idx="82">
                  <c:v>3210.0559546248501</c:v>
                </c:pt>
                <c:pt idx="83">
                  <c:v>3213.6431958798498</c:v>
                </c:pt>
                <c:pt idx="84">
                  <c:v>3125.62745756818</c:v>
                </c:pt>
                <c:pt idx="85">
                  <c:v>3229.0981747990299</c:v>
                </c:pt>
                <c:pt idx="86">
                  <c:v>3381.2966750137298</c:v>
                </c:pt>
                <c:pt idx="87">
                  <c:v>3269.2336706802598</c:v>
                </c:pt>
                <c:pt idx="88">
                  <c:v>3170.3462141874302</c:v>
                </c:pt>
                <c:pt idx="89">
                  <c:v>3112.7649448970701</c:v>
                </c:pt>
                <c:pt idx="90">
                  <c:v>3188.7846892231901</c:v>
                </c:pt>
                <c:pt idx="91">
                  <c:v>3087.21132887463</c:v>
                </c:pt>
                <c:pt idx="92">
                  <c:v>3154.8200240895799</c:v>
                </c:pt>
                <c:pt idx="93">
                  <c:v>3165.46304306606</c:v>
                </c:pt>
                <c:pt idx="94">
                  <c:v>3192.8117133986102</c:v>
                </c:pt>
                <c:pt idx="95">
                  <c:v>3243.3056547708602</c:v>
                </c:pt>
                <c:pt idx="96">
                  <c:v>3116.1153758113696</c:v>
                </c:pt>
                <c:pt idx="97">
                  <c:v>3280.8769810834301</c:v>
                </c:pt>
                <c:pt idx="98">
                  <c:v>3249.7722315319202</c:v>
                </c:pt>
                <c:pt idx="99">
                  <c:v>3194.0738767472399</c:v>
                </c:pt>
                <c:pt idx="100">
                  <c:v>3127.99936118399</c:v>
                </c:pt>
                <c:pt idx="101">
                  <c:v>3104.2688129169096</c:v>
                </c:pt>
                <c:pt idx="102">
                  <c:v>3191.1532699454201</c:v>
                </c:pt>
                <c:pt idx="103">
                  <c:v>3151.4600219187801</c:v>
                </c:pt>
                <c:pt idx="104">
                  <c:v>3227.8145860541399</c:v>
                </c:pt>
                <c:pt idx="105">
                  <c:v>3161.3365038234501</c:v>
                </c:pt>
                <c:pt idx="106">
                  <c:v>3161.1335072970701</c:v>
                </c:pt>
                <c:pt idx="107">
                  <c:v>3060.4829252950899</c:v>
                </c:pt>
                <c:pt idx="108">
                  <c:v>3132.77650360394</c:v>
                </c:pt>
                <c:pt idx="109">
                  <c:v>3073.7746431493501</c:v>
                </c:pt>
                <c:pt idx="110">
                  <c:v>3094.6426214337298</c:v>
                </c:pt>
                <c:pt idx="111">
                  <c:v>3177.7564929694099</c:v>
                </c:pt>
                <c:pt idx="112">
                  <c:v>3122.08758660697</c:v>
                </c:pt>
                <c:pt idx="113">
                  <c:v>2951.59247351159</c:v>
                </c:pt>
                <c:pt idx="114">
                  <c:v>2900.1126870922903</c:v>
                </c:pt>
                <c:pt idx="115">
                  <c:v>2870.06403505759</c:v>
                </c:pt>
                <c:pt idx="116">
                  <c:v>2844.68358908244</c:v>
                </c:pt>
                <c:pt idx="117">
                  <c:v>2827.9215880398301</c:v>
                </c:pt>
                <c:pt idx="118">
                  <c:v>2821.7172496015301</c:v>
                </c:pt>
                <c:pt idx="119">
                  <c:v>2789.1564576196297</c:v>
                </c:pt>
                <c:pt idx="120">
                  <c:v>2852.8856632135403</c:v>
                </c:pt>
                <c:pt idx="121">
                  <c:v>2855.8787689291703</c:v>
                </c:pt>
                <c:pt idx="122">
                  <c:v>2836.0750728846897</c:v>
                </c:pt>
                <c:pt idx="123">
                  <c:v>2941.6933874936099</c:v>
                </c:pt>
                <c:pt idx="124">
                  <c:v>2920.5279541646996</c:v>
                </c:pt>
                <c:pt idx="125">
                  <c:v>2947.6349252489199</c:v>
                </c:pt>
                <c:pt idx="126">
                  <c:v>2977.1209224931699</c:v>
                </c:pt>
                <c:pt idx="127">
                  <c:v>2958.8565414640598</c:v>
                </c:pt>
                <c:pt idx="128">
                  <c:v>2944.9260591983098</c:v>
                </c:pt>
                <c:pt idx="129">
                  <c:v>2987.76742724103</c:v>
                </c:pt>
                <c:pt idx="130">
                  <c:v>2969.5645980077202</c:v>
                </c:pt>
                <c:pt idx="131">
                  <c:v>2970.6573628369802</c:v>
                </c:pt>
                <c:pt idx="132">
                  <c:v>2943.2325555212897</c:v>
                </c:pt>
                <c:pt idx="133">
                  <c:v>2940.6668532281096</c:v>
                </c:pt>
                <c:pt idx="134">
                  <c:v>2857.2487653549501</c:v>
                </c:pt>
                <c:pt idx="135">
                  <c:v>2926.7838568544198</c:v>
                </c:pt>
                <c:pt idx="136">
                  <c:v>2942.2023546598998</c:v>
                </c:pt>
                <c:pt idx="137">
                  <c:v>2921.1883512424902</c:v>
                </c:pt>
                <c:pt idx="138">
                  <c:v>2916.56288932794</c:v>
                </c:pt>
                <c:pt idx="139">
                  <c:v>2945.7155990829501</c:v>
                </c:pt>
                <c:pt idx="140">
                  <c:v>2928.16691840781</c:v>
                </c:pt>
                <c:pt idx="141">
                  <c:v>2933.2790841864603</c:v>
                </c:pt>
                <c:pt idx="142">
                  <c:v>3005.0174821860101</c:v>
                </c:pt>
                <c:pt idx="143">
                  <c:v>2919.6442789392499</c:v>
                </c:pt>
                <c:pt idx="144">
                  <c:v>2880.89119879077</c:v>
                </c:pt>
                <c:pt idx="145">
                  <c:v>2778.6673342656104</c:v>
                </c:pt>
                <c:pt idx="146">
                  <c:v>2822.6559202630797</c:v>
                </c:pt>
                <c:pt idx="147">
                  <c:v>2809.5859026375797</c:v>
                </c:pt>
                <c:pt idx="148">
                  <c:v>2799.3121082480002</c:v>
                </c:pt>
                <c:pt idx="149">
                  <c:v>2796.9592567135401</c:v>
                </c:pt>
                <c:pt idx="150">
                  <c:v>2786.3504242610902</c:v>
                </c:pt>
                <c:pt idx="151">
                  <c:v>2776.3932953171598</c:v>
                </c:pt>
                <c:pt idx="152">
                  <c:v>2775.5825089796899</c:v>
                </c:pt>
                <c:pt idx="153">
                  <c:v>2766.1505862948097</c:v>
                </c:pt>
                <c:pt idx="154">
                  <c:v>2754.0807308108001</c:v>
                </c:pt>
                <c:pt idx="155">
                  <c:v>2741.0543206112502</c:v>
                </c:pt>
                <c:pt idx="156">
                  <c:v>2730.0540124886502</c:v>
                </c:pt>
                <c:pt idx="157">
                  <c:v>2736.7314603933596</c:v>
                </c:pt>
                <c:pt idx="158">
                  <c:v>2708.8443997104</c:v>
                </c:pt>
                <c:pt idx="159">
                  <c:v>2732.0705282901499</c:v>
                </c:pt>
                <c:pt idx="160">
                  <c:v>2707.3310076901803</c:v>
                </c:pt>
                <c:pt idx="161">
                  <c:v>2733.3205681522099</c:v>
                </c:pt>
                <c:pt idx="162">
                  <c:v>2745.6998239607401</c:v>
                </c:pt>
                <c:pt idx="163">
                  <c:v>2731.76739492053</c:v>
                </c:pt>
                <c:pt idx="164">
                  <c:v>2757.39273886506</c:v>
                </c:pt>
                <c:pt idx="165">
                  <c:v>2639.9364157802202</c:v>
                </c:pt>
                <c:pt idx="166">
                  <c:v>2807.1061870153198</c:v>
                </c:pt>
                <c:pt idx="167">
                  <c:v>3196.5286197672904</c:v>
                </c:pt>
                <c:pt idx="168">
                  <c:v>3359.96684159082</c:v>
                </c:pt>
                <c:pt idx="169">
                  <c:v>3398.1635904889799</c:v>
                </c:pt>
                <c:pt idx="170">
                  <c:v>3357.6790307419601</c:v>
                </c:pt>
                <c:pt idx="171">
                  <c:v>3398.7488087863799</c:v>
                </c:pt>
                <c:pt idx="172">
                  <c:v>3432.0186998449999</c:v>
                </c:pt>
                <c:pt idx="173">
                  <c:v>3438.6139403214702</c:v>
                </c:pt>
                <c:pt idx="174">
                  <c:v>3355.8757613354001</c:v>
                </c:pt>
                <c:pt idx="175">
                  <c:v>3421.3731360037896</c:v>
                </c:pt>
                <c:pt idx="176">
                  <c:v>3462.3952919378203</c:v>
                </c:pt>
                <c:pt idx="177">
                  <c:v>3459.16407818984</c:v>
                </c:pt>
                <c:pt idx="178">
                  <c:v>3496.7088065828798</c:v>
                </c:pt>
                <c:pt idx="179">
                  <c:v>3418.2771164106798</c:v>
                </c:pt>
                <c:pt idx="180">
                  <c:v>3426.3146399334901</c:v>
                </c:pt>
                <c:pt idx="181">
                  <c:v>3435.9121935569801</c:v>
                </c:pt>
                <c:pt idx="182">
                  <c:v>3453.7397360703899</c:v>
                </c:pt>
                <c:pt idx="183">
                  <c:v>3323.7177419354398</c:v>
                </c:pt>
                <c:pt idx="184">
                  <c:v>3406.3917550522601</c:v>
                </c:pt>
                <c:pt idx="185">
                  <c:v>3368.8598102669403</c:v>
                </c:pt>
                <c:pt idx="186">
                  <c:v>3352.84580244778</c:v>
                </c:pt>
                <c:pt idx="187">
                  <c:v>3344.7113173756497</c:v>
                </c:pt>
                <c:pt idx="188">
                  <c:v>3395.0978190887299</c:v>
                </c:pt>
                <c:pt idx="189">
                  <c:v>3385.46027735707</c:v>
                </c:pt>
                <c:pt idx="190">
                  <c:v>3296.4509630155299</c:v>
                </c:pt>
                <c:pt idx="191">
                  <c:v>3155.0201653244999</c:v>
                </c:pt>
                <c:pt idx="192">
                  <c:v>3292.8700361688198</c:v>
                </c:pt>
                <c:pt idx="193">
                  <c:v>3376.6413518697</c:v>
                </c:pt>
                <c:pt idx="194">
                  <c:v>3394.0618436888503</c:v>
                </c:pt>
                <c:pt idx="195">
                  <c:v>3326.0619252081601</c:v>
                </c:pt>
                <c:pt idx="196">
                  <c:v>3419.2424825050598</c:v>
                </c:pt>
                <c:pt idx="197">
                  <c:v>3397.4819461437701</c:v>
                </c:pt>
                <c:pt idx="198">
                  <c:v>3327.3492793935102</c:v>
                </c:pt>
                <c:pt idx="199">
                  <c:v>3243.0607149512903</c:v>
                </c:pt>
                <c:pt idx="200">
                  <c:v>3290.68513524221</c:v>
                </c:pt>
                <c:pt idx="201">
                  <c:v>3251.8304652239199</c:v>
                </c:pt>
                <c:pt idx="202">
                  <c:v>3252.4566393690397</c:v>
                </c:pt>
                <c:pt idx="203">
                  <c:v>3305.9614871856902</c:v>
                </c:pt>
                <c:pt idx="204">
                  <c:v>3363.47075928607</c:v>
                </c:pt>
                <c:pt idx="205">
                  <c:v>3311.7357462118998</c:v>
                </c:pt>
                <c:pt idx="206">
                  <c:v>3396.9288856304897</c:v>
                </c:pt>
                <c:pt idx="207">
                  <c:v>3318.3812316715798</c:v>
                </c:pt>
                <c:pt idx="208">
                  <c:v>3172.4883228896101</c:v>
                </c:pt>
                <c:pt idx="209">
                  <c:v>3189.5346993544999</c:v>
                </c:pt>
                <c:pt idx="210">
                  <c:v>3251.1657701325698</c:v>
                </c:pt>
                <c:pt idx="211">
                  <c:v>3120.8856347890096</c:v>
                </c:pt>
                <c:pt idx="212">
                  <c:v>3152.8803875172603</c:v>
                </c:pt>
                <c:pt idx="213">
                  <c:v>3217.4656330195198</c:v>
                </c:pt>
                <c:pt idx="214">
                  <c:v>3224.13908610407</c:v>
                </c:pt>
                <c:pt idx="215">
                  <c:v>3246.4039201596001</c:v>
                </c:pt>
                <c:pt idx="216">
                  <c:v>3131.3844270967097</c:v>
                </c:pt>
                <c:pt idx="217">
                  <c:v>3037.6174717356398</c:v>
                </c:pt>
                <c:pt idx="218">
                  <c:v>3130.2179642280403</c:v>
                </c:pt>
                <c:pt idx="219">
                  <c:v>3309.3529443674802</c:v>
                </c:pt>
                <c:pt idx="220">
                  <c:v>3378.2321399031302</c:v>
                </c:pt>
                <c:pt idx="221">
                  <c:v>3382.9326955874299</c:v>
                </c:pt>
                <c:pt idx="222">
                  <c:v>3427.41124416599</c:v>
                </c:pt>
                <c:pt idx="223">
                  <c:v>3450.5277789669899</c:v>
                </c:pt>
                <c:pt idx="224">
                  <c:v>3381.77371727635</c:v>
                </c:pt>
                <c:pt idx="225">
                  <c:v>3379.9988590876701</c:v>
                </c:pt>
                <c:pt idx="226">
                  <c:v>3333.77105229362</c:v>
                </c:pt>
                <c:pt idx="227">
                  <c:v>3340.8562149508803</c:v>
                </c:pt>
                <c:pt idx="228">
                  <c:v>3342.1996235701699</c:v>
                </c:pt>
                <c:pt idx="229">
                  <c:v>3395.6946209704297</c:v>
                </c:pt>
                <c:pt idx="230">
                  <c:v>3423.5907282145199</c:v>
                </c:pt>
                <c:pt idx="231">
                  <c:v>3352.9034944452496</c:v>
                </c:pt>
                <c:pt idx="232">
                  <c:v>3419.0139296187999</c:v>
                </c:pt>
                <c:pt idx="233">
                  <c:v>3452.3467343315901</c:v>
                </c:pt>
                <c:pt idx="234">
                  <c:v>3410.0197947214201</c:v>
                </c:pt>
                <c:pt idx="235">
                  <c:v>3458.14662756601</c:v>
                </c:pt>
                <c:pt idx="236">
                  <c:v>3481.9642336915299</c:v>
                </c:pt>
                <c:pt idx="237">
                  <c:v>3507.6404170477799</c:v>
                </c:pt>
                <c:pt idx="238">
                  <c:v>3424.3942369690399</c:v>
                </c:pt>
                <c:pt idx="239">
                  <c:v>3474.80260544266</c:v>
                </c:pt>
                <c:pt idx="240">
                  <c:v>3374.5506745297198</c:v>
                </c:pt>
                <c:pt idx="241">
                  <c:v>3364.3825079539201</c:v>
                </c:pt>
                <c:pt idx="242">
                  <c:v>3321.5906697208397</c:v>
                </c:pt>
                <c:pt idx="243">
                  <c:v>3266.1133218550699</c:v>
                </c:pt>
                <c:pt idx="244">
                  <c:v>3338.6270887410096</c:v>
                </c:pt>
                <c:pt idx="245">
                  <c:v>3441.18948859589</c:v>
                </c:pt>
                <c:pt idx="246">
                  <c:v>3389.7240086983102</c:v>
                </c:pt>
                <c:pt idx="247">
                  <c:v>3501.08921641291</c:v>
                </c:pt>
                <c:pt idx="248">
                  <c:v>3411.2845060690402</c:v>
                </c:pt>
                <c:pt idx="249">
                  <c:v>3389.8406765537698</c:v>
                </c:pt>
                <c:pt idx="250">
                  <c:v>3329.2046197372802</c:v>
                </c:pt>
                <c:pt idx="251">
                  <c:v>3322.7338249459103</c:v>
                </c:pt>
                <c:pt idx="252">
                  <c:v>3288.3659963182204</c:v>
                </c:pt>
                <c:pt idx="253">
                  <c:v>3280.99423703403</c:v>
                </c:pt>
                <c:pt idx="254">
                  <c:v>3278.18832922091</c:v>
                </c:pt>
                <c:pt idx="255">
                  <c:v>3281.0570587931297</c:v>
                </c:pt>
                <c:pt idx="256">
                  <c:v>3261.6077281985899</c:v>
                </c:pt>
                <c:pt idx="257">
                  <c:v>3357.5555783643099</c:v>
                </c:pt>
                <c:pt idx="258">
                  <c:v>3411.9169512327903</c:v>
                </c:pt>
                <c:pt idx="259">
                  <c:v>3362.59533941564</c:v>
                </c:pt>
                <c:pt idx="260">
                  <c:v>3444.50644355645</c:v>
                </c:pt>
                <c:pt idx="261">
                  <c:v>3444.2936230436499</c:v>
                </c:pt>
                <c:pt idx="262">
                  <c:v>3412.57293190682</c:v>
                </c:pt>
                <c:pt idx="263">
                  <c:v>3454.2386710064698</c:v>
                </c:pt>
                <c:pt idx="264">
                  <c:v>3525.4754718399799</c:v>
                </c:pt>
                <c:pt idx="265">
                  <c:v>3502.9224898757097</c:v>
                </c:pt>
                <c:pt idx="266">
                  <c:v>3460.0301975557104</c:v>
                </c:pt>
                <c:pt idx="267">
                  <c:v>3440.8269081427097</c:v>
                </c:pt>
                <c:pt idx="268">
                  <c:v>3432.6378116774799</c:v>
                </c:pt>
                <c:pt idx="269">
                  <c:v>3241.6170231708002</c:v>
                </c:pt>
                <c:pt idx="270">
                  <c:v>3274.2032109608599</c:v>
                </c:pt>
                <c:pt idx="271">
                  <c:v>3259.76803476028</c:v>
                </c:pt>
                <c:pt idx="272">
                  <c:v>3243.9137807320899</c:v>
                </c:pt>
                <c:pt idx="273">
                  <c:v>3383.2363588995104</c:v>
                </c:pt>
                <c:pt idx="274">
                  <c:v>3365.1531439878199</c:v>
                </c:pt>
                <c:pt idx="275">
                  <c:v>3401.3669352141501</c:v>
                </c:pt>
                <c:pt idx="276">
                  <c:v>3305.61870844747</c:v>
                </c:pt>
                <c:pt idx="277">
                  <c:v>3207.91823026149</c:v>
                </c:pt>
                <c:pt idx="278">
                  <c:v>3265.6750198971299</c:v>
                </c:pt>
                <c:pt idx="279">
                  <c:v>3297.1823153425598</c:v>
                </c:pt>
                <c:pt idx="280">
                  <c:v>3430.9354838709301</c:v>
                </c:pt>
                <c:pt idx="281">
                  <c:v>3379.0930505403803</c:v>
                </c:pt>
                <c:pt idx="282">
                  <c:v>3394.2522434232201</c:v>
                </c:pt>
                <c:pt idx="283">
                  <c:v>3305.3040740136498</c:v>
                </c:pt>
                <c:pt idx="284">
                  <c:v>3355.8032301031899</c:v>
                </c:pt>
                <c:pt idx="285">
                  <c:v>3276.8243315823702</c:v>
                </c:pt>
                <c:pt idx="286">
                  <c:v>3256.4848111914603</c:v>
                </c:pt>
                <c:pt idx="287">
                  <c:v>3205.8449808835699</c:v>
                </c:pt>
                <c:pt idx="288">
                  <c:v>3215.8837898545898</c:v>
                </c:pt>
                <c:pt idx="289">
                  <c:v>3174.4391388024201</c:v>
                </c:pt>
                <c:pt idx="290">
                  <c:v>3143.2057583861902</c:v>
                </c:pt>
                <c:pt idx="291">
                  <c:v>3087.7555563564101</c:v>
                </c:pt>
                <c:pt idx="292">
                  <c:v>3105.7331378299</c:v>
                </c:pt>
                <c:pt idx="293">
                  <c:v>3098.7866568914997</c:v>
                </c:pt>
                <c:pt idx="294">
                  <c:v>3065.0901759531002</c:v>
                </c:pt>
                <c:pt idx="295">
                  <c:v>3069.0300586510598</c:v>
                </c:pt>
                <c:pt idx="296">
                  <c:v>3068.3782991201901</c:v>
                </c:pt>
                <c:pt idx="297">
                  <c:v>3053.9413489736298</c:v>
                </c:pt>
                <c:pt idx="298">
                  <c:v>3039.9457478005697</c:v>
                </c:pt>
                <c:pt idx="299">
                  <c:v>3043.81011730206</c:v>
                </c:pt>
                <c:pt idx="300">
                  <c:v>3034.9721407624702</c:v>
                </c:pt>
                <c:pt idx="301">
                  <c:v>3022.7368035190798</c:v>
                </c:pt>
                <c:pt idx="302">
                  <c:v>3069.4182444136104</c:v>
                </c:pt>
                <c:pt idx="303">
                  <c:v>3056.2816621221</c:v>
                </c:pt>
                <c:pt idx="304">
                  <c:v>3054.0342216734198</c:v>
                </c:pt>
                <c:pt idx="305">
                  <c:v>3059.5812368163497</c:v>
                </c:pt>
                <c:pt idx="306">
                  <c:v>3061.84270120562</c:v>
                </c:pt>
                <c:pt idx="307">
                  <c:v>3156.7719491176699</c:v>
                </c:pt>
                <c:pt idx="308">
                  <c:v>3279.4117747937398</c:v>
                </c:pt>
                <c:pt idx="309">
                  <c:v>3343.6502109531502</c:v>
                </c:pt>
                <c:pt idx="310">
                  <c:v>3412.04373312488</c:v>
                </c:pt>
                <c:pt idx="311">
                  <c:v>3395.8885113749902</c:v>
                </c:pt>
                <c:pt idx="312">
                  <c:v>3477.2599172770497</c:v>
                </c:pt>
                <c:pt idx="313">
                  <c:v>3400.6029105894499</c:v>
                </c:pt>
                <c:pt idx="314">
                  <c:v>3384.46972496029</c:v>
                </c:pt>
                <c:pt idx="315">
                  <c:v>3431.8201088618403</c:v>
                </c:pt>
                <c:pt idx="316">
                  <c:v>3373.21134501182</c:v>
                </c:pt>
                <c:pt idx="317">
                  <c:v>3317.7330387863599</c:v>
                </c:pt>
                <c:pt idx="318">
                  <c:v>3379.0714451690101</c:v>
                </c:pt>
                <c:pt idx="319">
                  <c:v>3391.3556966369702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5D-094B-9B31-057E7585D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DD-2D40-BB2E-D7AA7BE01C93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'240821A008'!$A$2:$A$321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'240821A008'!$P$2:$P$321</c:f>
              <c:numCache>
                <c:formatCode>General</c:formatCode>
                <c:ptCount val="320"/>
                <c:pt idx="0">
                  <c:v>9.3590661321883104</c:v>
                </c:pt>
                <c:pt idx="1">
                  <c:v>12.23762246048372</c:v>
                </c:pt>
                <c:pt idx="2">
                  <c:v>0.37459953759216763</c:v>
                </c:pt>
                <c:pt idx="3">
                  <c:v>0.30424950238878495</c:v>
                </c:pt>
                <c:pt idx="4">
                  <c:v>-0.93000925845894478</c:v>
                </c:pt>
                <c:pt idx="5">
                  <c:v>-1.7924181741367646</c:v>
                </c:pt>
                <c:pt idx="6">
                  <c:v>-2.8890836882819784</c:v>
                </c:pt>
                <c:pt idx="7">
                  <c:v>-2.0013602839101789</c:v>
                </c:pt>
                <c:pt idx="8">
                  <c:v>-2.9919516640548594</c:v>
                </c:pt>
                <c:pt idx="9">
                  <c:v>-7.6842774601418835</c:v>
                </c:pt>
                <c:pt idx="10">
                  <c:v>-7.7087553051961413</c:v>
                </c:pt>
                <c:pt idx="11">
                  <c:v>-8.4252933220807034</c:v>
                </c:pt>
                <c:pt idx="12">
                  <c:v>-8.8710005665340343</c:v>
                </c:pt>
                <c:pt idx="13">
                  <c:v>-8.2822619322110729</c:v>
                </c:pt>
                <c:pt idx="14">
                  <c:v>-8.7809881921641004</c:v>
                </c:pt>
                <c:pt idx="15">
                  <c:v>-7.4251084793023505</c:v>
                </c:pt>
                <c:pt idx="16">
                  <c:v>-8.4288678632117602</c:v>
                </c:pt>
                <c:pt idx="17">
                  <c:v>-6.3067248493716779</c:v>
                </c:pt>
                <c:pt idx="18">
                  <c:v>-7.4252166850353793</c:v>
                </c:pt>
                <c:pt idx="19">
                  <c:v>-8.2733827114646736</c:v>
                </c:pt>
                <c:pt idx="20">
                  <c:v>-8.1757312774541049</c:v>
                </c:pt>
                <c:pt idx="21">
                  <c:v>-8.3758304233105587</c:v>
                </c:pt>
                <c:pt idx="22">
                  <c:v>-7.312249687945922</c:v>
                </c:pt>
                <c:pt idx="23">
                  <c:v>-7.42890806024662</c:v>
                </c:pt>
                <c:pt idx="24">
                  <c:v>-7.6620760049283199</c:v>
                </c:pt>
                <c:pt idx="25">
                  <c:v>-7.427019504352864</c:v>
                </c:pt>
                <c:pt idx="26">
                  <c:v>-6.9745631786071334</c:v>
                </c:pt>
                <c:pt idx="27">
                  <c:v>-6.9920558831800079</c:v>
                </c:pt>
                <c:pt idx="28">
                  <c:v>-6.6793647342737072</c:v>
                </c:pt>
                <c:pt idx="29">
                  <c:v>-6.7592989357995403</c:v>
                </c:pt>
                <c:pt idx="30">
                  <c:v>-7.6240728085048532</c:v>
                </c:pt>
                <c:pt idx="31">
                  <c:v>-7.5340574169287713</c:v>
                </c:pt>
                <c:pt idx="32">
                  <c:v>-7.7872512765400259</c:v>
                </c:pt>
                <c:pt idx="33">
                  <c:v>-7.399287928687559</c:v>
                </c:pt>
                <c:pt idx="34">
                  <c:v>-8.0040944793916609</c:v>
                </c:pt>
                <c:pt idx="35">
                  <c:v>-7.8838529692123407</c:v>
                </c:pt>
                <c:pt idx="36">
                  <c:v>-7.4164347894685747</c:v>
                </c:pt>
                <c:pt idx="37">
                  <c:v>-7.3532613400705387</c:v>
                </c:pt>
                <c:pt idx="38">
                  <c:v>-7.44876571708072</c:v>
                </c:pt>
                <c:pt idx="39">
                  <c:v>-8.3690717343594798</c:v>
                </c:pt>
                <c:pt idx="40">
                  <c:v>-8.7821403868745485</c:v>
                </c:pt>
                <c:pt idx="41">
                  <c:v>-8.3114646914061723</c:v>
                </c:pt>
                <c:pt idx="42">
                  <c:v>-9.793367420603067</c:v>
                </c:pt>
                <c:pt idx="43">
                  <c:v>-10.369124935206198</c:v>
                </c:pt>
                <c:pt idx="44">
                  <c:v>-8.9551378116112446</c:v>
                </c:pt>
                <c:pt idx="45">
                  <c:v>-9.0260324317286287</c:v>
                </c:pt>
                <c:pt idx="46">
                  <c:v>-7.251136302016759</c:v>
                </c:pt>
                <c:pt idx="47">
                  <c:v>-8.2294185754907474</c:v>
                </c:pt>
                <c:pt idx="48">
                  <c:v>-6.8733016801617444</c:v>
                </c:pt>
                <c:pt idx="49">
                  <c:v>-7.2620383061646336</c:v>
                </c:pt>
                <c:pt idx="50">
                  <c:v>-6.0285752427678672</c:v>
                </c:pt>
                <c:pt idx="51">
                  <c:v>-5.353577162146931</c:v>
                </c:pt>
                <c:pt idx="52">
                  <c:v>-7.2688565470605777</c:v>
                </c:pt>
                <c:pt idx="53">
                  <c:v>-9.1528666550681645</c:v>
                </c:pt>
                <c:pt idx="54">
                  <c:v>-8.5994126160381246</c:v>
                </c:pt>
                <c:pt idx="55">
                  <c:v>-8.3561568131579413</c:v>
                </c:pt>
                <c:pt idx="56">
                  <c:v>-5.2028871636108702</c:v>
                </c:pt>
                <c:pt idx="57">
                  <c:v>-5.8989082303271614</c:v>
                </c:pt>
                <c:pt idx="58">
                  <c:v>-6.6628793730560671</c:v>
                </c:pt>
                <c:pt idx="59">
                  <c:v>-6.3836872782408403</c:v>
                </c:pt>
                <c:pt idx="60">
                  <c:v>-9.2120710650809983</c:v>
                </c:pt>
                <c:pt idx="61">
                  <c:v>-3.5419017092402223</c:v>
                </c:pt>
                <c:pt idx="62">
                  <c:v>-5.1019581963661444</c:v>
                </c:pt>
                <c:pt idx="63">
                  <c:v>6.7231882565912215</c:v>
                </c:pt>
                <c:pt idx="64">
                  <c:v>9.9869748943261758</c:v>
                </c:pt>
                <c:pt idx="65">
                  <c:v>8.989251946785437</c:v>
                </c:pt>
                <c:pt idx="66">
                  <c:v>5.3989378700521948</c:v>
                </c:pt>
                <c:pt idx="67">
                  <c:v>3.2716235332940333</c:v>
                </c:pt>
                <c:pt idx="68">
                  <c:v>1.5044060536660222</c:v>
                </c:pt>
                <c:pt idx="69">
                  <c:v>-2.4365161809973981</c:v>
                </c:pt>
                <c:pt idx="70">
                  <c:v>-3.2850983587480913</c:v>
                </c:pt>
                <c:pt idx="71">
                  <c:v>-2.6244219751866775</c:v>
                </c:pt>
                <c:pt idx="72">
                  <c:v>-3.0874396602143586</c:v>
                </c:pt>
                <c:pt idx="73">
                  <c:v>-0.94048280873454715</c:v>
                </c:pt>
                <c:pt idx="74">
                  <c:v>0.7663416743989544</c:v>
                </c:pt>
                <c:pt idx="75">
                  <c:v>3.2053294720662562</c:v>
                </c:pt>
                <c:pt idx="76">
                  <c:v>3.5421402741876995E-2</c:v>
                </c:pt>
                <c:pt idx="77">
                  <c:v>-2.0962861111221205</c:v>
                </c:pt>
                <c:pt idx="78">
                  <c:v>-3.2280611880753671</c:v>
                </c:pt>
                <c:pt idx="79">
                  <c:v>-4.3272378501562132</c:v>
                </c:pt>
                <c:pt idx="80">
                  <c:v>-5.4884878351356763</c:v>
                </c:pt>
                <c:pt idx="81">
                  <c:v>-6.7529434232527148</c:v>
                </c:pt>
                <c:pt idx="82">
                  <c:v>-7.0916293200356115</c:v>
                </c:pt>
                <c:pt idx="83">
                  <c:v>-5.7336017782551121</c:v>
                </c:pt>
                <c:pt idx="84">
                  <c:v>-0.76327768666592632</c:v>
                </c:pt>
                <c:pt idx="85">
                  <c:v>0.19150416913274934</c:v>
                </c:pt>
                <c:pt idx="86">
                  <c:v>4.9973900204335004</c:v>
                </c:pt>
                <c:pt idx="87">
                  <c:v>1.7416527587430457</c:v>
                </c:pt>
                <c:pt idx="88">
                  <c:v>8.5991685572852035</c:v>
                </c:pt>
                <c:pt idx="89">
                  <c:v>24.88503085316524</c:v>
                </c:pt>
                <c:pt idx="90">
                  <c:v>18.803283710171467</c:v>
                </c:pt>
                <c:pt idx="91">
                  <c:v>14.085706258134648</c:v>
                </c:pt>
                <c:pt idx="92">
                  <c:v>11.471919861765119</c:v>
                </c:pt>
                <c:pt idx="93">
                  <c:v>8.2211370514054156</c:v>
                </c:pt>
                <c:pt idx="94">
                  <c:v>6.0221671127231948</c:v>
                </c:pt>
                <c:pt idx="95">
                  <c:v>4.0489443514759653</c:v>
                </c:pt>
                <c:pt idx="96">
                  <c:v>0.47218902557304476</c:v>
                </c:pt>
                <c:pt idx="97">
                  <c:v>0.541320395021467</c:v>
                </c:pt>
                <c:pt idx="98">
                  <c:v>-1.1758015445224228</c:v>
                </c:pt>
                <c:pt idx="99">
                  <c:v>7.7816392817515706E-2</c:v>
                </c:pt>
                <c:pt idx="100">
                  <c:v>12.596270834820004</c:v>
                </c:pt>
                <c:pt idx="101">
                  <c:v>12.439899851679293</c:v>
                </c:pt>
                <c:pt idx="102">
                  <c:v>11.103203259248701</c:v>
                </c:pt>
                <c:pt idx="103">
                  <c:v>6.0249114196251989</c:v>
                </c:pt>
                <c:pt idx="104">
                  <c:v>4.8613642534110895</c:v>
                </c:pt>
                <c:pt idx="105">
                  <c:v>3.2982675589708741</c:v>
                </c:pt>
                <c:pt idx="106">
                  <c:v>-0.14447078234934985</c:v>
                </c:pt>
                <c:pt idx="107">
                  <c:v>-1.1157122837864029</c:v>
                </c:pt>
                <c:pt idx="108">
                  <c:v>1.267901111989044</c:v>
                </c:pt>
                <c:pt idx="109">
                  <c:v>3.2163653020447422</c:v>
                </c:pt>
                <c:pt idx="110">
                  <c:v>4.5759768857950265</c:v>
                </c:pt>
                <c:pt idx="111">
                  <c:v>2.1680243682807481</c:v>
                </c:pt>
                <c:pt idx="112">
                  <c:v>0.69474686447076817</c:v>
                </c:pt>
                <c:pt idx="113">
                  <c:v>0.99647030095094091</c:v>
                </c:pt>
                <c:pt idx="114">
                  <c:v>-0.55143890627568215</c:v>
                </c:pt>
                <c:pt idx="115">
                  <c:v>-1.6158966529923255</c:v>
                </c:pt>
                <c:pt idx="116">
                  <c:v>-2.5596687955442787</c:v>
                </c:pt>
                <c:pt idx="117">
                  <c:v>-3.0098315090840861</c:v>
                </c:pt>
                <c:pt idx="118">
                  <c:v>-3.4888499695908357</c:v>
                </c:pt>
                <c:pt idx="119">
                  <c:v>-3.0255943628699549</c:v>
                </c:pt>
                <c:pt idx="120">
                  <c:v>-3.1453134949735748</c:v>
                </c:pt>
                <c:pt idx="121">
                  <c:v>-3.8361261387957417</c:v>
                </c:pt>
                <c:pt idx="122">
                  <c:v>-4.382178087914526</c:v>
                </c:pt>
                <c:pt idx="123">
                  <c:v>-4.6646044625622718</c:v>
                </c:pt>
                <c:pt idx="124">
                  <c:v>-4.9884750899882393</c:v>
                </c:pt>
                <c:pt idx="125">
                  <c:v>-4.8537036421669333</c:v>
                </c:pt>
                <c:pt idx="126">
                  <c:v>-5.9612636924286955</c:v>
                </c:pt>
                <c:pt idx="127">
                  <c:v>-6.0029682697092257</c:v>
                </c:pt>
                <c:pt idx="128">
                  <c:v>-6.2629052942086538</c:v>
                </c:pt>
                <c:pt idx="129">
                  <c:v>-7.1355118732840994</c:v>
                </c:pt>
                <c:pt idx="130">
                  <c:v>-6.1882015790629588</c:v>
                </c:pt>
                <c:pt idx="131">
                  <c:v>-6.4132081378996411</c:v>
                </c:pt>
                <c:pt idx="132">
                  <c:v>-6.0606546492566382</c:v>
                </c:pt>
                <c:pt idx="133">
                  <c:v>-5.9350540674314018</c:v>
                </c:pt>
                <c:pt idx="134">
                  <c:v>-3.9993006144547385</c:v>
                </c:pt>
                <c:pt idx="135">
                  <c:v>-4.8177477636593791</c:v>
                </c:pt>
                <c:pt idx="136">
                  <c:v>-5.3133695599368505</c:v>
                </c:pt>
                <c:pt idx="137">
                  <c:v>-5.5563899238933461</c:v>
                </c:pt>
                <c:pt idx="138">
                  <c:v>-5.7273548384095179</c:v>
                </c:pt>
                <c:pt idx="139">
                  <c:v>-6.1625704542914539</c:v>
                </c:pt>
                <c:pt idx="140">
                  <c:v>-6.2225589045556795</c:v>
                </c:pt>
                <c:pt idx="141">
                  <c:v>-6.5956984160526071</c:v>
                </c:pt>
                <c:pt idx="142">
                  <c:v>-7.3709919230346088</c:v>
                </c:pt>
                <c:pt idx="143">
                  <c:v>-7.5184791480450732</c:v>
                </c:pt>
                <c:pt idx="144">
                  <c:v>-6.7404167937175075</c:v>
                </c:pt>
                <c:pt idx="145">
                  <c:v>-5.5311130282799423</c:v>
                </c:pt>
                <c:pt idx="146">
                  <c:v>-7.2851047346783426</c:v>
                </c:pt>
                <c:pt idx="147">
                  <c:v>-7.7008114447663019</c:v>
                </c:pt>
                <c:pt idx="148">
                  <c:v>-7.2207493166137535</c:v>
                </c:pt>
                <c:pt idx="149">
                  <c:v>-8.5318399601869341</c:v>
                </c:pt>
                <c:pt idx="150">
                  <c:v>-6.9270150356262565</c:v>
                </c:pt>
                <c:pt idx="151">
                  <c:v>-7.9810743998791844</c:v>
                </c:pt>
                <c:pt idx="152">
                  <c:v>-7.5219257242817212</c:v>
                </c:pt>
                <c:pt idx="153">
                  <c:v>-7.6676729852454537</c:v>
                </c:pt>
                <c:pt idx="154">
                  <c:v>-7.993115862887878</c:v>
                </c:pt>
                <c:pt idx="155">
                  <c:v>-8.1862352297207188</c:v>
                </c:pt>
                <c:pt idx="156">
                  <c:v>-8.7622987865219901</c:v>
                </c:pt>
                <c:pt idx="157">
                  <c:v>-8.3458798649783965</c:v>
                </c:pt>
                <c:pt idx="158">
                  <c:v>-8.2592913873958764</c:v>
                </c:pt>
                <c:pt idx="159">
                  <c:v>-8.7142191079631459</c:v>
                </c:pt>
                <c:pt idx="160">
                  <c:v>-9.0555166005279428</c:v>
                </c:pt>
                <c:pt idx="161">
                  <c:v>-9.0949170589881021</c:v>
                </c:pt>
                <c:pt idx="162">
                  <c:v>-5.4910257338754374</c:v>
                </c:pt>
                <c:pt idx="163">
                  <c:v>-7.4256298718658229</c:v>
                </c:pt>
                <c:pt idx="164">
                  <c:v>-5.7326062219781733</c:v>
                </c:pt>
                <c:pt idx="165">
                  <c:v>-8.0179142852212865E-2</c:v>
                </c:pt>
                <c:pt idx="166">
                  <c:v>-2.1167263726262417</c:v>
                </c:pt>
                <c:pt idx="167">
                  <c:v>5.4356147611311574</c:v>
                </c:pt>
                <c:pt idx="168">
                  <c:v>0.74489131835647016</c:v>
                </c:pt>
                <c:pt idx="169">
                  <c:v>1.5511382336091042</c:v>
                </c:pt>
                <c:pt idx="170">
                  <c:v>1.2203261212982464</c:v>
                </c:pt>
                <c:pt idx="171">
                  <c:v>12.473575546438015</c:v>
                </c:pt>
                <c:pt idx="172">
                  <c:v>7.0708300352417792</c:v>
                </c:pt>
                <c:pt idx="173">
                  <c:v>3.8758598857283095</c:v>
                </c:pt>
                <c:pt idx="174">
                  <c:v>10.175483544462681</c:v>
                </c:pt>
                <c:pt idx="175">
                  <c:v>21.30445514094118</c:v>
                </c:pt>
                <c:pt idx="176">
                  <c:v>20.730022865843445</c:v>
                </c:pt>
                <c:pt idx="177">
                  <c:v>17.524531309476238</c:v>
                </c:pt>
                <c:pt idx="178">
                  <c:v>19.21331677324045</c:v>
                </c:pt>
                <c:pt idx="179">
                  <c:v>19.654202554724499</c:v>
                </c:pt>
                <c:pt idx="180">
                  <c:v>17.191825080711588</c:v>
                </c:pt>
                <c:pt idx="181">
                  <c:v>15.119919040270204</c:v>
                </c:pt>
                <c:pt idx="182">
                  <c:v>13.5027562065242</c:v>
                </c:pt>
                <c:pt idx="183">
                  <c:v>9.2521006453537797</c:v>
                </c:pt>
                <c:pt idx="184">
                  <c:v>8.9490411703356578</c:v>
                </c:pt>
                <c:pt idx="185">
                  <c:v>7.9977425353480083</c:v>
                </c:pt>
                <c:pt idx="186">
                  <c:v>12.299662544680471</c:v>
                </c:pt>
                <c:pt idx="187">
                  <c:v>15.426305541161833</c:v>
                </c:pt>
                <c:pt idx="188">
                  <c:v>13.849725457727793</c:v>
                </c:pt>
                <c:pt idx="189">
                  <c:v>9.6451120405274384</c:v>
                </c:pt>
                <c:pt idx="190">
                  <c:v>7.0878742097768885</c:v>
                </c:pt>
                <c:pt idx="191">
                  <c:v>8.2057212509571151</c:v>
                </c:pt>
                <c:pt idx="192">
                  <c:v>16.487450582374784</c:v>
                </c:pt>
                <c:pt idx="193">
                  <c:v>28.447553799367149</c:v>
                </c:pt>
                <c:pt idx="194">
                  <c:v>27.782965473454901</c:v>
                </c:pt>
                <c:pt idx="195">
                  <c:v>21.952092937719474</c:v>
                </c:pt>
                <c:pt idx="196">
                  <c:v>18.42983802389951</c:v>
                </c:pt>
                <c:pt idx="197">
                  <c:v>15.238306626584647</c:v>
                </c:pt>
                <c:pt idx="198">
                  <c:v>12.738244251973557</c:v>
                </c:pt>
                <c:pt idx="199">
                  <c:v>13.634056371545485</c:v>
                </c:pt>
                <c:pt idx="200">
                  <c:v>11.611455006036197</c:v>
                </c:pt>
                <c:pt idx="201">
                  <c:v>13.965979008495419</c:v>
                </c:pt>
                <c:pt idx="202">
                  <c:v>13.526885731400473</c:v>
                </c:pt>
                <c:pt idx="203">
                  <c:v>11.99212498940336</c:v>
                </c:pt>
                <c:pt idx="204">
                  <c:v>14.350779932901023</c:v>
                </c:pt>
                <c:pt idx="205">
                  <c:v>10.120283389648478</c:v>
                </c:pt>
                <c:pt idx="206">
                  <c:v>9.1121316483836505</c:v>
                </c:pt>
                <c:pt idx="207">
                  <c:v>7.2371885939386305</c:v>
                </c:pt>
                <c:pt idx="208">
                  <c:v>7.5459141188777545</c:v>
                </c:pt>
                <c:pt idx="209">
                  <c:v>8.0727687851491208</c:v>
                </c:pt>
                <c:pt idx="210">
                  <c:v>6.356736099683082</c:v>
                </c:pt>
                <c:pt idx="211">
                  <c:v>4.0775999961783596</c:v>
                </c:pt>
                <c:pt idx="212">
                  <c:v>6.4356193523844754</c:v>
                </c:pt>
                <c:pt idx="213">
                  <c:v>23.608401083956839</c:v>
                </c:pt>
                <c:pt idx="214">
                  <c:v>25.951942460563128</c:v>
                </c:pt>
                <c:pt idx="215">
                  <c:v>32.254134753811769</c:v>
                </c:pt>
                <c:pt idx="216">
                  <c:v>35.332373979368768</c:v>
                </c:pt>
                <c:pt idx="217">
                  <c:v>34.777095123019144</c:v>
                </c:pt>
                <c:pt idx="218">
                  <c:v>35.705650495405827</c:v>
                </c:pt>
                <c:pt idx="219">
                  <c:v>27.362336038485957</c:v>
                </c:pt>
                <c:pt idx="220">
                  <c:v>27.683334148976574</c:v>
                </c:pt>
                <c:pt idx="221">
                  <c:v>26.881025372910379</c:v>
                </c:pt>
                <c:pt idx="222">
                  <c:v>25.061207015702486</c:v>
                </c:pt>
                <c:pt idx="223">
                  <c:v>21.67839007214415</c:v>
                </c:pt>
                <c:pt idx="224">
                  <c:v>16.184344847688838</c:v>
                </c:pt>
                <c:pt idx="225">
                  <c:v>14.849698610326628</c:v>
                </c:pt>
                <c:pt idx="226">
                  <c:v>14.689061133410128</c:v>
                </c:pt>
                <c:pt idx="227">
                  <c:v>28.476089129890049</c:v>
                </c:pt>
                <c:pt idx="228">
                  <c:v>35.04395813359438</c:v>
                </c:pt>
                <c:pt idx="229">
                  <c:v>25.603425606614906</c:v>
                </c:pt>
                <c:pt idx="230">
                  <c:v>22.815316509265788</c:v>
                </c:pt>
                <c:pt idx="231">
                  <c:v>18.789948451023488</c:v>
                </c:pt>
                <c:pt idx="232">
                  <c:v>16.028739711787068</c:v>
                </c:pt>
                <c:pt idx="233">
                  <c:v>24.065448798162041</c:v>
                </c:pt>
                <c:pt idx="234">
                  <c:v>32.554543994008384</c:v>
                </c:pt>
                <c:pt idx="235">
                  <c:v>39.131053877384161</c:v>
                </c:pt>
                <c:pt idx="236">
                  <c:v>33.547328950003994</c:v>
                </c:pt>
                <c:pt idx="237">
                  <c:v>25.972397083611128</c:v>
                </c:pt>
                <c:pt idx="238">
                  <c:v>20.393051023008795</c:v>
                </c:pt>
                <c:pt idx="239">
                  <c:v>19.939431512448941</c:v>
                </c:pt>
                <c:pt idx="240">
                  <c:v>19.055959641127313</c:v>
                </c:pt>
                <c:pt idx="241">
                  <c:v>16.606357849584285</c:v>
                </c:pt>
                <c:pt idx="242">
                  <c:v>15.478150948670896</c:v>
                </c:pt>
                <c:pt idx="243">
                  <c:v>16.149482546743453</c:v>
                </c:pt>
                <c:pt idx="244">
                  <c:v>19.600083702097397</c:v>
                </c:pt>
                <c:pt idx="245">
                  <c:v>28.028603769010047</c:v>
                </c:pt>
                <c:pt idx="246">
                  <c:v>22.67888137951536</c:v>
                </c:pt>
                <c:pt idx="247">
                  <c:v>20.622011431749488</c:v>
                </c:pt>
                <c:pt idx="248">
                  <c:v>15.5130777659692</c:v>
                </c:pt>
                <c:pt idx="249">
                  <c:v>14.942381601280804</c:v>
                </c:pt>
                <c:pt idx="250">
                  <c:v>11.55221820480371</c:v>
                </c:pt>
                <c:pt idx="251">
                  <c:v>11.708438781735772</c:v>
                </c:pt>
                <c:pt idx="252">
                  <c:v>9.8521206718913241</c:v>
                </c:pt>
                <c:pt idx="253">
                  <c:v>12.69456600329697</c:v>
                </c:pt>
                <c:pt idx="254">
                  <c:v>17.488366262080532</c:v>
                </c:pt>
                <c:pt idx="255">
                  <c:v>20.43424733220737</c:v>
                </c:pt>
                <c:pt idx="256">
                  <c:v>19.186586667595424</c:v>
                </c:pt>
                <c:pt idx="257">
                  <c:v>16.895886536475309</c:v>
                </c:pt>
                <c:pt idx="258">
                  <c:v>12.890913948269286</c:v>
                </c:pt>
                <c:pt idx="259">
                  <c:v>9.9538721261712961</c:v>
                </c:pt>
                <c:pt idx="260">
                  <c:v>11.303355093469603</c:v>
                </c:pt>
                <c:pt idx="261">
                  <c:v>19.075414196728094</c:v>
                </c:pt>
                <c:pt idx="262">
                  <c:v>34.782372580563965</c:v>
                </c:pt>
                <c:pt idx="263">
                  <c:v>31.020803381634682</c:v>
                </c:pt>
                <c:pt idx="264">
                  <c:v>26.600162931924721</c:v>
                </c:pt>
                <c:pt idx="265">
                  <c:v>21.597973344336147</c:v>
                </c:pt>
                <c:pt idx="266">
                  <c:v>19.854387105740177</c:v>
                </c:pt>
                <c:pt idx="267">
                  <c:v>16.259550310162663</c:v>
                </c:pt>
                <c:pt idx="268">
                  <c:v>12.92346329377583</c:v>
                </c:pt>
                <c:pt idx="269">
                  <c:v>13.83059834309906</c:v>
                </c:pt>
                <c:pt idx="270">
                  <c:v>21.655628413700889</c:v>
                </c:pt>
                <c:pt idx="271">
                  <c:v>30.554723754739889</c:v>
                </c:pt>
                <c:pt idx="272">
                  <c:v>27.243948601562956</c:v>
                </c:pt>
                <c:pt idx="273">
                  <c:v>26.417522443801833</c:v>
                </c:pt>
                <c:pt idx="274">
                  <c:v>20.388044723238426</c:v>
                </c:pt>
                <c:pt idx="275">
                  <c:v>18.001382330516179</c:v>
                </c:pt>
                <c:pt idx="276">
                  <c:v>15.000655917077275</c:v>
                </c:pt>
                <c:pt idx="277">
                  <c:v>15.567769430581821</c:v>
                </c:pt>
                <c:pt idx="278">
                  <c:v>30.390797878988757</c:v>
                </c:pt>
                <c:pt idx="279">
                  <c:v>30.810302004599201</c:v>
                </c:pt>
                <c:pt idx="280">
                  <c:v>31.880612634457044</c:v>
                </c:pt>
                <c:pt idx="281">
                  <c:v>25.971520305713952</c:v>
                </c:pt>
                <c:pt idx="282">
                  <c:v>20.383197052525695</c:v>
                </c:pt>
                <c:pt idx="283">
                  <c:v>18.115585489486243</c:v>
                </c:pt>
                <c:pt idx="284">
                  <c:v>32.547895011822483</c:v>
                </c:pt>
                <c:pt idx="285">
                  <c:v>39.299507664819004</c:v>
                </c:pt>
                <c:pt idx="286">
                  <c:v>37.942746703808695</c:v>
                </c:pt>
                <c:pt idx="287">
                  <c:v>34.074831463134608</c:v>
                </c:pt>
                <c:pt idx="288">
                  <c:v>30.72340759008469</c:v>
                </c:pt>
                <c:pt idx="289">
                  <c:v>32.15724711288302</c:v>
                </c:pt>
                <c:pt idx="290">
                  <c:v>33.631102255756886</c:v>
                </c:pt>
                <c:pt idx="291">
                  <c:v>32.104536138507221</c:v>
                </c:pt>
                <c:pt idx="292">
                  <c:v>25.461415940592186</c:v>
                </c:pt>
                <c:pt idx="293">
                  <c:v>23.009263168504962</c:v>
                </c:pt>
                <c:pt idx="294">
                  <c:v>20.516158346512508</c:v>
                </c:pt>
                <c:pt idx="295">
                  <c:v>18.740723193672601</c:v>
                </c:pt>
                <c:pt idx="296">
                  <c:v>16.159216257302315</c:v>
                </c:pt>
                <c:pt idx="297">
                  <c:v>15.917695885637128</c:v>
                </c:pt>
                <c:pt idx="298">
                  <c:v>13.855876680772761</c:v>
                </c:pt>
                <c:pt idx="299">
                  <c:v>13.122174357859864</c:v>
                </c:pt>
                <c:pt idx="300">
                  <c:v>11.244772932332387</c:v>
                </c:pt>
                <c:pt idx="301">
                  <c:v>10.71433814514538</c:v>
                </c:pt>
                <c:pt idx="302">
                  <c:v>10.914272146639991</c:v>
                </c:pt>
                <c:pt idx="303">
                  <c:v>9.7342799873602761</c:v>
                </c:pt>
                <c:pt idx="304">
                  <c:v>10.426264127233695</c:v>
                </c:pt>
                <c:pt idx="305">
                  <c:v>9.2848999984666314</c:v>
                </c:pt>
                <c:pt idx="306">
                  <c:v>8.2913382335947752</c:v>
                </c:pt>
                <c:pt idx="307">
                  <c:v>7.1180722291293739</c:v>
                </c:pt>
                <c:pt idx="308">
                  <c:v>5.5937131237457969</c:v>
                </c:pt>
                <c:pt idx="309">
                  <c:v>3.5751971034414556</c:v>
                </c:pt>
                <c:pt idx="310">
                  <c:v>3.3283957439716483</c:v>
                </c:pt>
                <c:pt idx="311">
                  <c:v>14.514729870260174</c:v>
                </c:pt>
                <c:pt idx="312">
                  <c:v>11.234722679960123</c:v>
                </c:pt>
                <c:pt idx="313">
                  <c:v>9.0743902390157594</c:v>
                </c:pt>
                <c:pt idx="314">
                  <c:v>6.3262133248880277</c:v>
                </c:pt>
                <c:pt idx="315">
                  <c:v>4.3682914203118024</c:v>
                </c:pt>
                <c:pt idx="316">
                  <c:v>3.9770943262458172</c:v>
                </c:pt>
                <c:pt idx="317">
                  <c:v>5.0272537747104815</c:v>
                </c:pt>
                <c:pt idx="318">
                  <c:v>3.7083402523477105</c:v>
                </c:pt>
                <c:pt idx="319">
                  <c:v>1.3571544481903792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DD-2D40-BB2E-D7AA7BE01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'240821A010'!$A$2:$A$321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'240821A010'!$J$2:$J$321</c:f>
              <c:numCache>
                <c:formatCode>0.0</c:formatCode>
                <c:ptCount val="320"/>
                <c:pt idx="0">
                  <c:v>2588.46926093518</c:v>
                </c:pt>
                <c:pt idx="1">
                  <c:v>2585.6377454949902</c:v>
                </c:pt>
                <c:pt idx="2">
                  <c:v>2581.7658315471899</c:v>
                </c:pt>
                <c:pt idx="3">
                  <c:v>2588.9004794792399</c:v>
                </c:pt>
                <c:pt idx="4">
                  <c:v>2602.5718853695898</c:v>
                </c:pt>
                <c:pt idx="5">
                  <c:v>2587.3675383027398</c:v>
                </c:pt>
                <c:pt idx="6">
                  <c:v>2576.0900436612401</c:v>
                </c:pt>
                <c:pt idx="7">
                  <c:v>2587.6364817020203</c:v>
                </c:pt>
                <c:pt idx="8">
                  <c:v>2647.1043058637397</c:v>
                </c:pt>
                <c:pt idx="9">
                  <c:v>2681.9305491967898</c:v>
                </c:pt>
                <c:pt idx="10">
                  <c:v>2595.76178332871</c:v>
                </c:pt>
                <c:pt idx="11">
                  <c:v>2483.02954255441</c:v>
                </c:pt>
                <c:pt idx="12">
                  <c:v>2368.7750358809103</c:v>
                </c:pt>
                <c:pt idx="13">
                  <c:v>2351.0700661377</c:v>
                </c:pt>
                <c:pt idx="14">
                  <c:v>2283.7061105053504</c:v>
                </c:pt>
                <c:pt idx="15">
                  <c:v>2227.1372196903303</c:v>
                </c:pt>
                <c:pt idx="16">
                  <c:v>2449.7634006695598</c:v>
                </c:pt>
                <c:pt idx="17">
                  <c:v>2517.4759753487301</c:v>
                </c:pt>
                <c:pt idx="18">
                  <c:v>2468.5506097338102</c:v>
                </c:pt>
                <c:pt idx="19">
                  <c:v>2403.4918036957501</c:v>
                </c:pt>
                <c:pt idx="20">
                  <c:v>2555.2944277216202</c:v>
                </c:pt>
                <c:pt idx="21">
                  <c:v>2559.0278568723502</c:v>
                </c:pt>
                <c:pt idx="22">
                  <c:v>2484.08206963472</c:v>
                </c:pt>
                <c:pt idx="23">
                  <c:v>2372.4967610316203</c:v>
                </c:pt>
                <c:pt idx="24">
                  <c:v>2182.5681149039001</c:v>
                </c:pt>
                <c:pt idx="25">
                  <c:v>2282.4808572686798</c:v>
                </c:pt>
                <c:pt idx="26">
                  <c:v>2310.75571568737</c:v>
                </c:pt>
                <c:pt idx="27">
                  <c:v>2287.9212184399998</c:v>
                </c:pt>
                <c:pt idx="28">
                  <c:v>2343.7558270392101</c:v>
                </c:pt>
                <c:pt idx="29">
                  <c:v>2223.7472238360901</c:v>
                </c:pt>
                <c:pt idx="30">
                  <c:v>2394.9056679957998</c:v>
                </c:pt>
                <c:pt idx="31">
                  <c:v>2268.63860002398</c:v>
                </c:pt>
                <c:pt idx="32">
                  <c:v>2224.00224339129</c:v>
                </c:pt>
                <c:pt idx="33">
                  <c:v>2355.4938112249101</c:v>
                </c:pt>
                <c:pt idx="34">
                  <c:v>2407.6655267127103</c:v>
                </c:pt>
                <c:pt idx="35">
                  <c:v>2361.11821386048</c:v>
                </c:pt>
                <c:pt idx="36">
                  <c:v>2179.2040708104801</c:v>
                </c:pt>
                <c:pt idx="37">
                  <c:v>2316.4397849100701</c:v>
                </c:pt>
                <c:pt idx="38">
                  <c:v>2293.5990458481001</c:v>
                </c:pt>
                <c:pt idx="39">
                  <c:v>2248.2606950170803</c:v>
                </c:pt>
                <c:pt idx="40">
                  <c:v>2377.3441537400199</c:v>
                </c:pt>
                <c:pt idx="41">
                  <c:v>2333.4568985707397</c:v>
                </c:pt>
                <c:pt idx="42">
                  <c:v>2381.1968285855301</c:v>
                </c:pt>
                <c:pt idx="43">
                  <c:v>2268.52592799791</c:v>
                </c:pt>
                <c:pt idx="44">
                  <c:v>2433.3555211558401</c:v>
                </c:pt>
                <c:pt idx="45">
                  <c:v>2227.0350738885199</c:v>
                </c:pt>
                <c:pt idx="46">
                  <c:v>2304.0727575457399</c:v>
                </c:pt>
                <c:pt idx="47">
                  <c:v>2239.2257658906001</c:v>
                </c:pt>
                <c:pt idx="48">
                  <c:v>2241.6870132434697</c:v>
                </c:pt>
                <c:pt idx="49">
                  <c:v>2240.1965135284499</c:v>
                </c:pt>
                <c:pt idx="50">
                  <c:v>2249.6064452381602</c:v>
                </c:pt>
                <c:pt idx="51">
                  <c:v>2241.08550176669</c:v>
                </c:pt>
                <c:pt idx="52">
                  <c:v>2242.43781411485</c:v>
                </c:pt>
                <c:pt idx="53">
                  <c:v>2251.4841760379004</c:v>
                </c:pt>
                <c:pt idx="54">
                  <c:v>2188.6234765614799</c:v>
                </c:pt>
                <c:pt idx="55">
                  <c:v>2178.39400901919</c:v>
                </c:pt>
                <c:pt idx="56">
                  <c:v>2178.4316019396101</c:v>
                </c:pt>
                <c:pt idx="57">
                  <c:v>2188.6905413884801</c:v>
                </c:pt>
                <c:pt idx="58">
                  <c:v>2167.3124848647799</c:v>
                </c:pt>
                <c:pt idx="59">
                  <c:v>2286.9627398344196</c:v>
                </c:pt>
                <c:pt idx="60">
                  <c:v>2462.5966918931799</c:v>
                </c:pt>
                <c:pt idx="61">
                  <c:v>2412.3745695173197</c:v>
                </c:pt>
                <c:pt idx="62">
                  <c:v>2337.9258970532301</c:v>
                </c:pt>
                <c:pt idx="63">
                  <c:v>2271.0530404512801</c:v>
                </c:pt>
                <c:pt idx="64">
                  <c:v>2206.0430938752197</c:v>
                </c:pt>
                <c:pt idx="65">
                  <c:v>2228.85099969559</c:v>
                </c:pt>
                <c:pt idx="66">
                  <c:v>2182.1680280344299</c:v>
                </c:pt>
                <c:pt idx="67">
                  <c:v>2078.56123044681</c:v>
                </c:pt>
                <c:pt idx="68">
                  <c:v>2175.6026243438801</c:v>
                </c:pt>
                <c:pt idx="69">
                  <c:v>2198.6089013661199</c:v>
                </c:pt>
                <c:pt idx="70">
                  <c:v>2214.7813664270702</c:v>
                </c:pt>
                <c:pt idx="71">
                  <c:v>2171.7861856112399</c:v>
                </c:pt>
                <c:pt idx="72">
                  <c:v>2136.5873121577301</c:v>
                </c:pt>
                <c:pt idx="73">
                  <c:v>2303.33372713375</c:v>
                </c:pt>
                <c:pt idx="74">
                  <c:v>2251.0849248097597</c:v>
                </c:pt>
                <c:pt idx="75">
                  <c:v>2277.1248214930101</c:v>
                </c:pt>
                <c:pt idx="76">
                  <c:v>2301.5498866501002</c:v>
                </c:pt>
                <c:pt idx="77">
                  <c:v>2349.3333322759299</c:v>
                </c:pt>
                <c:pt idx="78">
                  <c:v>2325.93119966924</c:v>
                </c:pt>
                <c:pt idx="79">
                  <c:v>2285.0498760764403</c:v>
                </c:pt>
                <c:pt idx="80">
                  <c:v>2340.7285861713599</c:v>
                </c:pt>
                <c:pt idx="81">
                  <c:v>2433.3436532507399</c:v>
                </c:pt>
                <c:pt idx="82">
                  <c:v>2472.9236326108999</c:v>
                </c:pt>
                <c:pt idx="83">
                  <c:v>2427.1466331336401</c:v>
                </c:pt>
                <c:pt idx="84">
                  <c:v>2365.6913220523197</c:v>
                </c:pt>
                <c:pt idx="85">
                  <c:v>2397.21279115676</c:v>
                </c:pt>
                <c:pt idx="86">
                  <c:v>2419.1506105907101</c:v>
                </c:pt>
                <c:pt idx="87">
                  <c:v>2361.4609457455699</c:v>
                </c:pt>
                <c:pt idx="88">
                  <c:v>2409.6127878534799</c:v>
                </c:pt>
                <c:pt idx="89">
                  <c:v>2459.8114230480001</c:v>
                </c:pt>
                <c:pt idx="90">
                  <c:v>2322.1778471088601</c:v>
                </c:pt>
                <c:pt idx="91">
                  <c:v>2431.51943575623</c:v>
                </c:pt>
                <c:pt idx="92">
                  <c:v>2339.0599871014201</c:v>
                </c:pt>
                <c:pt idx="93">
                  <c:v>2355.0226712542499</c:v>
                </c:pt>
                <c:pt idx="94">
                  <c:v>2314.8276563181003</c:v>
                </c:pt>
                <c:pt idx="95">
                  <c:v>2294.7347277419103</c:v>
                </c:pt>
                <c:pt idx="96">
                  <c:v>2413.4504866695402</c:v>
                </c:pt>
                <c:pt idx="97">
                  <c:v>2375.8736653313599</c:v>
                </c:pt>
                <c:pt idx="98">
                  <c:v>2322.4880955783501</c:v>
                </c:pt>
                <c:pt idx="99">
                  <c:v>2371.5980007481799</c:v>
                </c:pt>
                <c:pt idx="100">
                  <c:v>2380.0099161407497</c:v>
                </c:pt>
                <c:pt idx="101">
                  <c:v>2246.47180706687</c:v>
                </c:pt>
                <c:pt idx="102">
                  <c:v>2260.2050984310399</c:v>
                </c:pt>
                <c:pt idx="103">
                  <c:v>2193.5974850959201</c:v>
                </c:pt>
                <c:pt idx="104">
                  <c:v>2246.77948227261</c:v>
                </c:pt>
                <c:pt idx="105">
                  <c:v>2164.99460687385</c:v>
                </c:pt>
                <c:pt idx="106">
                  <c:v>2195.3333110257799</c:v>
                </c:pt>
                <c:pt idx="107">
                  <c:v>2297.2417330450098</c:v>
                </c:pt>
                <c:pt idx="108">
                  <c:v>2224.2258871568797</c:v>
                </c:pt>
                <c:pt idx="109">
                  <c:v>2298.4988030695899</c:v>
                </c:pt>
                <c:pt idx="110">
                  <c:v>2245.1213840227401</c:v>
                </c:pt>
                <c:pt idx="111">
                  <c:v>2198.6007359242299</c:v>
                </c:pt>
                <c:pt idx="112">
                  <c:v>2315.0379839285101</c:v>
                </c:pt>
                <c:pt idx="113">
                  <c:v>2226.4229510719001</c:v>
                </c:pt>
                <c:pt idx="114">
                  <c:v>2248.6154491021002</c:v>
                </c:pt>
                <c:pt idx="115">
                  <c:v>2304.29857802683</c:v>
                </c:pt>
                <c:pt idx="116">
                  <c:v>2279.0620227038203</c:v>
                </c:pt>
                <c:pt idx="117">
                  <c:v>2203.41903902795</c:v>
                </c:pt>
                <c:pt idx="118">
                  <c:v>2177.8559751049502</c:v>
                </c:pt>
                <c:pt idx="119">
                  <c:v>2208.0810384397</c:v>
                </c:pt>
                <c:pt idx="120">
                  <c:v>2118.2235231443501</c:v>
                </c:pt>
                <c:pt idx="121">
                  <c:v>2265.5044551189803</c:v>
                </c:pt>
                <c:pt idx="122">
                  <c:v>2348.60587650145</c:v>
                </c:pt>
                <c:pt idx="123">
                  <c:v>2375.6764354792804</c:v>
                </c:pt>
                <c:pt idx="124">
                  <c:v>2345.6467407147497</c:v>
                </c:pt>
                <c:pt idx="125">
                  <c:v>2335.2836523413998</c:v>
                </c:pt>
                <c:pt idx="126">
                  <c:v>2293.9974693905697</c:v>
                </c:pt>
                <c:pt idx="127">
                  <c:v>2412.8562601128897</c:v>
                </c:pt>
                <c:pt idx="128">
                  <c:v>2412.5155563200201</c:v>
                </c:pt>
                <c:pt idx="129">
                  <c:v>2410.8397207688499</c:v>
                </c:pt>
                <c:pt idx="130">
                  <c:v>2405.4538077740604</c:v>
                </c:pt>
                <c:pt idx="131">
                  <c:v>2371.6052573304801</c:v>
                </c:pt>
                <c:pt idx="132">
                  <c:v>2355.6528364939104</c:v>
                </c:pt>
                <c:pt idx="133">
                  <c:v>2354.76481183633</c:v>
                </c:pt>
                <c:pt idx="134">
                  <c:v>2340.6248164347699</c:v>
                </c:pt>
                <c:pt idx="135">
                  <c:v>2325.4267868608599</c:v>
                </c:pt>
                <c:pt idx="136">
                  <c:v>2342.2004792298699</c:v>
                </c:pt>
                <c:pt idx="137">
                  <c:v>2329.96346706842</c:v>
                </c:pt>
                <c:pt idx="138">
                  <c:v>2309.6223069148</c:v>
                </c:pt>
                <c:pt idx="139">
                  <c:v>2321.1178038707499</c:v>
                </c:pt>
                <c:pt idx="140">
                  <c:v>2292.3494049625101</c:v>
                </c:pt>
                <c:pt idx="141">
                  <c:v>2288.52218729272</c:v>
                </c:pt>
                <c:pt idx="142">
                  <c:v>2292.54065983901</c:v>
                </c:pt>
                <c:pt idx="143">
                  <c:v>2366.47345852853</c:v>
                </c:pt>
                <c:pt idx="144">
                  <c:v>2436.0213354227799</c:v>
                </c:pt>
                <c:pt idx="145">
                  <c:v>2286.9748189248703</c:v>
                </c:pt>
                <c:pt idx="146">
                  <c:v>2266.6573040817402</c:v>
                </c:pt>
                <c:pt idx="147">
                  <c:v>2140.4815051618002</c:v>
                </c:pt>
                <c:pt idx="148">
                  <c:v>2079.8280836247</c:v>
                </c:pt>
                <c:pt idx="149">
                  <c:v>2142.5909201140698</c:v>
                </c:pt>
                <c:pt idx="150">
                  <c:v>2066.61504431101</c:v>
                </c:pt>
                <c:pt idx="151">
                  <c:v>2271.52207537204</c:v>
                </c:pt>
                <c:pt idx="152">
                  <c:v>2275.9905928337698</c:v>
                </c:pt>
                <c:pt idx="153">
                  <c:v>2266.26972628152</c:v>
                </c:pt>
                <c:pt idx="154">
                  <c:v>2279.9612821294099</c:v>
                </c:pt>
                <c:pt idx="155">
                  <c:v>2342.8370062614804</c:v>
                </c:pt>
                <c:pt idx="156">
                  <c:v>2391.2164166894099</c:v>
                </c:pt>
                <c:pt idx="157">
                  <c:v>2437.14827208222</c:v>
                </c:pt>
                <c:pt idx="158">
                  <c:v>2338.43795323424</c:v>
                </c:pt>
                <c:pt idx="159">
                  <c:v>2363.8454167267801</c:v>
                </c:pt>
                <c:pt idx="160">
                  <c:v>2394.4885459611</c:v>
                </c:pt>
                <c:pt idx="161">
                  <c:v>2499.10262490385</c:v>
                </c:pt>
                <c:pt idx="162">
                  <c:v>2540.61221691746</c:v>
                </c:pt>
                <c:pt idx="163">
                  <c:v>2543.8692761012198</c:v>
                </c:pt>
                <c:pt idx="164">
                  <c:v>2570.4916179808401</c:v>
                </c:pt>
                <c:pt idx="165">
                  <c:v>2533.2467625762001</c:v>
                </c:pt>
                <c:pt idx="166">
                  <c:v>2644.69853522725</c:v>
                </c:pt>
                <c:pt idx="167">
                  <c:v>2476.0952329594802</c:v>
                </c:pt>
                <c:pt idx="168">
                  <c:v>2628.8080495355603</c:v>
                </c:pt>
                <c:pt idx="169">
                  <c:v>2535.59494324045</c:v>
                </c:pt>
                <c:pt idx="170">
                  <c:v>2527.9411764705601</c:v>
                </c:pt>
                <c:pt idx="171">
                  <c:v>2571.1909184726101</c:v>
                </c:pt>
                <c:pt idx="172">
                  <c:v>2624.2663318662899</c:v>
                </c:pt>
                <c:pt idx="173">
                  <c:v>2627.0539370271399</c:v>
                </c:pt>
                <c:pt idx="174">
                  <c:v>2515.8063357779902</c:v>
                </c:pt>
                <c:pt idx="175">
                  <c:v>2464.9652566333702</c:v>
                </c:pt>
                <c:pt idx="176">
                  <c:v>2336.1327255456204</c:v>
                </c:pt>
                <c:pt idx="177">
                  <c:v>2475.06203997476</c:v>
                </c:pt>
                <c:pt idx="178">
                  <c:v>2568.8673890609398</c:v>
                </c:pt>
                <c:pt idx="179">
                  <c:v>2544.66453967905</c:v>
                </c:pt>
                <c:pt idx="180">
                  <c:v>2543.4000743993697</c:v>
                </c:pt>
                <c:pt idx="181">
                  <c:v>2453.2765064835999</c:v>
                </c:pt>
                <c:pt idx="182">
                  <c:v>2250.9426876013899</c:v>
                </c:pt>
                <c:pt idx="183">
                  <c:v>2457.4311682729999</c:v>
                </c:pt>
                <c:pt idx="184">
                  <c:v>2457.7345211833899</c:v>
                </c:pt>
                <c:pt idx="185">
                  <c:v>2357.6008199778498</c:v>
                </c:pt>
                <c:pt idx="186">
                  <c:v>2191.5939334990298</c:v>
                </c:pt>
                <c:pt idx="187">
                  <c:v>2447.1492879893999</c:v>
                </c:pt>
                <c:pt idx="188">
                  <c:v>2560.7566966713302</c:v>
                </c:pt>
                <c:pt idx="189">
                  <c:v>2724.5916443156598</c:v>
                </c:pt>
                <c:pt idx="190">
                  <c:v>2494.5912279642403</c:v>
                </c:pt>
                <c:pt idx="191">
                  <c:v>2463.6470785668998</c:v>
                </c:pt>
                <c:pt idx="192">
                  <c:v>2394.5572835376101</c:v>
                </c:pt>
                <c:pt idx="193">
                  <c:v>2405.145660231</c:v>
                </c:pt>
                <c:pt idx="194">
                  <c:v>2486.4343832312697</c:v>
                </c:pt>
                <c:pt idx="195">
                  <c:v>2442.22549019606</c:v>
                </c:pt>
                <c:pt idx="196">
                  <c:v>2442.42818270815</c:v>
                </c:pt>
                <c:pt idx="197">
                  <c:v>2482.1332151030902</c:v>
                </c:pt>
                <c:pt idx="198">
                  <c:v>2239.0245970425099</c:v>
                </c:pt>
                <c:pt idx="199">
                  <c:v>2422.5059852340801</c:v>
                </c:pt>
                <c:pt idx="200">
                  <c:v>2443.1773878549197</c:v>
                </c:pt>
                <c:pt idx="201">
                  <c:v>2149.0091091680601</c:v>
                </c:pt>
                <c:pt idx="202">
                  <c:v>2571.9845879343598</c:v>
                </c:pt>
                <c:pt idx="203">
                  <c:v>2474.3380069633499</c:v>
                </c:pt>
                <c:pt idx="204">
                  <c:v>2613.1820946253401</c:v>
                </c:pt>
                <c:pt idx="205">
                  <c:v>2710.6382482204699</c:v>
                </c:pt>
                <c:pt idx="206">
                  <c:v>2451.08229697768</c:v>
                </c:pt>
                <c:pt idx="207">
                  <c:v>2384.36025523852</c:v>
                </c:pt>
                <c:pt idx="208">
                  <c:v>2227.0652814407399</c:v>
                </c:pt>
                <c:pt idx="209">
                  <c:v>2235.6330567893301</c:v>
                </c:pt>
                <c:pt idx="210">
                  <c:v>2127.4227063691601</c:v>
                </c:pt>
                <c:pt idx="211">
                  <c:v>2273.8429645476999</c:v>
                </c:pt>
                <c:pt idx="212">
                  <c:v>2345.2714452370901</c:v>
                </c:pt>
                <c:pt idx="213">
                  <c:v>2167.1048997172802</c:v>
                </c:pt>
                <c:pt idx="214">
                  <c:v>2366.7545789025203</c:v>
                </c:pt>
                <c:pt idx="215">
                  <c:v>2363.5116262562601</c:v>
                </c:pt>
                <c:pt idx="216">
                  <c:v>2494.6830238155599</c:v>
                </c:pt>
                <c:pt idx="217">
                  <c:v>2573.4647057228403</c:v>
                </c:pt>
                <c:pt idx="218">
                  <c:v>2527.9468524251397</c:v>
                </c:pt>
                <c:pt idx="219">
                  <c:v>2534.2972136222998</c:v>
                </c:pt>
                <c:pt idx="220">
                  <c:v>2373.6228070175498</c:v>
                </c:pt>
                <c:pt idx="221">
                  <c:v>2499.8389116887101</c:v>
                </c:pt>
                <c:pt idx="222">
                  <c:v>2190.7496940024503</c:v>
                </c:pt>
                <c:pt idx="223">
                  <c:v>2430.7720494526998</c:v>
                </c:pt>
                <c:pt idx="224">
                  <c:v>2423.60086642641</c:v>
                </c:pt>
                <c:pt idx="225">
                  <c:v>2460.77446970339</c:v>
                </c:pt>
                <c:pt idx="226">
                  <c:v>2481.1440103847199</c:v>
                </c:pt>
                <c:pt idx="227">
                  <c:v>2272.2583844667001</c:v>
                </c:pt>
                <c:pt idx="228">
                  <c:v>2374.8394399908198</c:v>
                </c:pt>
                <c:pt idx="229">
                  <c:v>2226.0556078261602</c:v>
                </c:pt>
                <c:pt idx="230">
                  <c:v>2470.7049700278098</c:v>
                </c:pt>
                <c:pt idx="231">
                  <c:v>2422.1551797355201</c:v>
                </c:pt>
                <c:pt idx="232">
                  <c:v>2433.1717993561897</c:v>
                </c:pt>
                <c:pt idx="233">
                  <c:v>2393.2558974358999</c:v>
                </c:pt>
                <c:pt idx="234">
                  <c:v>2322.1287773358004</c:v>
                </c:pt>
                <c:pt idx="235">
                  <c:v>2438.9364211626998</c:v>
                </c:pt>
                <c:pt idx="236">
                  <c:v>2419.0129613059498</c:v>
                </c:pt>
                <c:pt idx="237">
                  <c:v>2393.0898383106401</c:v>
                </c:pt>
                <c:pt idx="238">
                  <c:v>2446.1703209063899</c:v>
                </c:pt>
                <c:pt idx="239">
                  <c:v>2486.1050885008499</c:v>
                </c:pt>
                <c:pt idx="240">
                  <c:v>2470.4309998116501</c:v>
                </c:pt>
                <c:pt idx="241">
                  <c:v>2489.4498942805703</c:v>
                </c:pt>
                <c:pt idx="242">
                  <c:v>2503.9773781573499</c:v>
                </c:pt>
                <c:pt idx="243">
                  <c:v>2485.55500171117</c:v>
                </c:pt>
                <c:pt idx="244">
                  <c:v>2461.11410182282</c:v>
                </c:pt>
                <c:pt idx="245">
                  <c:v>2411.1725222721798</c:v>
                </c:pt>
                <c:pt idx="246">
                  <c:v>2456.0118334697499</c:v>
                </c:pt>
                <c:pt idx="247">
                  <c:v>2459.6349712265101</c:v>
                </c:pt>
                <c:pt idx="248">
                  <c:v>2514.7205435228097</c:v>
                </c:pt>
                <c:pt idx="249">
                  <c:v>2481.92169382255</c:v>
                </c:pt>
                <c:pt idx="250">
                  <c:v>2456.2205726193001</c:v>
                </c:pt>
                <c:pt idx="251">
                  <c:v>2437.0579047204201</c:v>
                </c:pt>
                <c:pt idx="252">
                  <c:v>2452.5377296287998</c:v>
                </c:pt>
                <c:pt idx="253">
                  <c:v>2424.0737529744001</c:v>
                </c:pt>
                <c:pt idx="254">
                  <c:v>2442.0761866704302</c:v>
                </c:pt>
                <c:pt idx="255">
                  <c:v>2425.5357019492899</c:v>
                </c:pt>
                <c:pt idx="256">
                  <c:v>2421.35754376355</c:v>
                </c:pt>
                <c:pt idx="257">
                  <c:v>2424.0604577387903</c:v>
                </c:pt>
                <c:pt idx="258">
                  <c:v>2454.2244977115201</c:v>
                </c:pt>
                <c:pt idx="259">
                  <c:v>2480.3962127558098</c:v>
                </c:pt>
                <c:pt idx="260">
                  <c:v>2476.20420756867</c:v>
                </c:pt>
                <c:pt idx="261">
                  <c:v>2429.4861847644402</c:v>
                </c:pt>
                <c:pt idx="262">
                  <c:v>2429.4422765321601</c:v>
                </c:pt>
                <c:pt idx="263">
                  <c:v>2476.1221738348399</c:v>
                </c:pt>
                <c:pt idx="264">
                  <c:v>2471.3162107056696</c:v>
                </c:pt>
                <c:pt idx="265">
                  <c:v>2474.44346067999</c:v>
                </c:pt>
                <c:pt idx="266">
                  <c:v>2445.0156330999503</c:v>
                </c:pt>
                <c:pt idx="267">
                  <c:v>2474.1819191096201</c:v>
                </c:pt>
                <c:pt idx="268">
                  <c:v>2483.7553608313801</c:v>
                </c:pt>
                <c:pt idx="269">
                  <c:v>2463.3076491249099</c:v>
                </c:pt>
                <c:pt idx="270">
                  <c:v>2431.7905622673798</c:v>
                </c:pt>
                <c:pt idx="271">
                  <c:v>2453.5754306950498</c:v>
                </c:pt>
                <c:pt idx="272">
                  <c:v>2484.43937382176</c:v>
                </c:pt>
                <c:pt idx="273">
                  <c:v>2466.8489191848498</c:v>
                </c:pt>
                <c:pt idx="274">
                  <c:v>2408.6343924996199</c:v>
                </c:pt>
                <c:pt idx="275">
                  <c:v>2399.29908674338</c:v>
                </c:pt>
                <c:pt idx="276">
                  <c:v>2438.8301623478101</c:v>
                </c:pt>
                <c:pt idx="277">
                  <c:v>2447.0975333635897</c:v>
                </c:pt>
                <c:pt idx="278">
                  <c:v>2445.7956253267103</c:v>
                </c:pt>
                <c:pt idx="279">
                  <c:v>2458.5781796477099</c:v>
                </c:pt>
                <c:pt idx="280">
                  <c:v>2439.6785238940997</c:v>
                </c:pt>
                <c:pt idx="281">
                  <c:v>2472.00028455848</c:v>
                </c:pt>
                <c:pt idx="282">
                  <c:v>2479.7662455947798</c:v>
                </c:pt>
                <c:pt idx="283">
                  <c:v>2461.4252961837401</c:v>
                </c:pt>
                <c:pt idx="284">
                  <c:v>2382.9934354007096</c:v>
                </c:pt>
                <c:pt idx="285">
                  <c:v>2270.8937392856601</c:v>
                </c:pt>
                <c:pt idx="286">
                  <c:v>1957.1667016358199</c:v>
                </c:pt>
                <c:pt idx="287">
                  <c:v>2406.0072890756501</c:v>
                </c:pt>
                <c:pt idx="288">
                  <c:v>2415.7740183666001</c:v>
                </c:pt>
                <c:pt idx="289">
                  <c:v>2181.1632004450403</c:v>
                </c:pt>
                <c:pt idx="290">
                  <c:v>2421.67943175854</c:v>
                </c:pt>
                <c:pt idx="291">
                  <c:v>2448.8347467829503</c:v>
                </c:pt>
                <c:pt idx="292">
                  <c:v>2447.1642391103201</c:v>
                </c:pt>
                <c:pt idx="293">
                  <c:v>2384.3161805414798</c:v>
                </c:pt>
                <c:pt idx="294">
                  <c:v>2423.63920848629</c:v>
                </c:pt>
                <c:pt idx="295">
                  <c:v>2367.6772297822099</c:v>
                </c:pt>
                <c:pt idx="296">
                  <c:v>2359.8706854642301</c:v>
                </c:pt>
                <c:pt idx="297">
                  <c:v>2414.7101707331103</c:v>
                </c:pt>
                <c:pt idx="298">
                  <c:v>2376.9628482971802</c:v>
                </c:pt>
                <c:pt idx="299">
                  <c:v>2400.4458204334101</c:v>
                </c:pt>
                <c:pt idx="300">
                  <c:v>2375.9912720410498</c:v>
                </c:pt>
                <c:pt idx="301">
                  <c:v>2325.9722374089201</c:v>
                </c:pt>
                <c:pt idx="302">
                  <c:v>2452.4742954056601</c:v>
                </c:pt>
                <c:pt idx="303">
                  <c:v>2409.1679282566001</c:v>
                </c:pt>
                <c:pt idx="304">
                  <c:v>2420.6301613587102</c:v>
                </c:pt>
                <c:pt idx="305">
                  <c:v>2390.5192438460099</c:v>
                </c:pt>
                <c:pt idx="306">
                  <c:v>2389.0623067664301</c:v>
                </c:pt>
                <c:pt idx="307">
                  <c:v>2329.0620184261597</c:v>
                </c:pt>
                <c:pt idx="308">
                  <c:v>2256.6073977232099</c:v>
                </c:pt>
                <c:pt idx="309">
                  <c:v>2294.5105899464002</c:v>
                </c:pt>
                <c:pt idx="310">
                  <c:v>2122.9462230706299</c:v>
                </c:pt>
                <c:pt idx="311">
                  <c:v>2280.0239005010699</c:v>
                </c:pt>
                <c:pt idx="312">
                  <c:v>2308.52647032092</c:v>
                </c:pt>
                <c:pt idx="313">
                  <c:v>2302.4954774165103</c:v>
                </c:pt>
                <c:pt idx="314">
                  <c:v>2319.2555318500699</c:v>
                </c:pt>
                <c:pt idx="315">
                  <c:v>2258.3895009544399</c:v>
                </c:pt>
                <c:pt idx="316">
                  <c:v>2285.4376757193399</c:v>
                </c:pt>
                <c:pt idx="317">
                  <c:v>2434.6893966858997</c:v>
                </c:pt>
                <c:pt idx="318">
                  <c:v>2435.9520086831303</c:v>
                </c:pt>
                <c:pt idx="319">
                  <c:v>2338.8223910455099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C5-A149-8DCD-C9CC91FAA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7A-D146-9372-905ECCFEEFFB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'240821A010'!$A$2:$A$321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'240821A010'!$P$2:$P$321</c:f>
              <c:numCache>
                <c:formatCode>General</c:formatCode>
                <c:ptCount val="320"/>
                <c:pt idx="0">
                  <c:v>3.9876367115346514</c:v>
                </c:pt>
                <c:pt idx="1">
                  <c:v>3.8333018495338189</c:v>
                </c:pt>
                <c:pt idx="2">
                  <c:v>3.4819414848779475</c:v>
                </c:pt>
                <c:pt idx="3">
                  <c:v>2.6333244735182166</c:v>
                </c:pt>
                <c:pt idx="4">
                  <c:v>2.4160303834384802</c:v>
                </c:pt>
                <c:pt idx="5">
                  <c:v>2.471894250565728</c:v>
                </c:pt>
                <c:pt idx="6">
                  <c:v>1.6317684492903013</c:v>
                </c:pt>
                <c:pt idx="7">
                  <c:v>1.3082275545225797</c:v>
                </c:pt>
                <c:pt idx="8">
                  <c:v>0.16352770575022674</c:v>
                </c:pt>
                <c:pt idx="9">
                  <c:v>-0.85969145079783993</c:v>
                </c:pt>
                <c:pt idx="10">
                  <c:v>1.131799428007686</c:v>
                </c:pt>
                <c:pt idx="11">
                  <c:v>-0.49084795908028872</c:v>
                </c:pt>
                <c:pt idx="12">
                  <c:v>-1.3456372867517208</c:v>
                </c:pt>
                <c:pt idx="13">
                  <c:v>-1.3443900965954221</c:v>
                </c:pt>
                <c:pt idx="14">
                  <c:v>-0.53857319405338322</c:v>
                </c:pt>
                <c:pt idx="15">
                  <c:v>-1.3512322203349147</c:v>
                </c:pt>
                <c:pt idx="16">
                  <c:v>0.20103380641588323</c:v>
                </c:pt>
                <c:pt idx="17">
                  <c:v>-0.73173063734373422</c:v>
                </c:pt>
                <c:pt idx="18">
                  <c:v>-1.7778222581793894</c:v>
                </c:pt>
                <c:pt idx="19">
                  <c:v>-2.0204295312095866</c:v>
                </c:pt>
                <c:pt idx="20">
                  <c:v>-2.567171448076043</c:v>
                </c:pt>
                <c:pt idx="21">
                  <c:v>-0.74037289495975322</c:v>
                </c:pt>
                <c:pt idx="22">
                  <c:v>0.74588406598692847</c:v>
                </c:pt>
                <c:pt idx="23">
                  <c:v>-2.0469794317848349</c:v>
                </c:pt>
                <c:pt idx="24">
                  <c:v>-3.5502932226221682</c:v>
                </c:pt>
                <c:pt idx="25">
                  <c:v>-3.2761726407629874</c:v>
                </c:pt>
                <c:pt idx="26">
                  <c:v>-2.6192582479377018</c:v>
                </c:pt>
                <c:pt idx="27">
                  <c:v>-2.9597608087324367</c:v>
                </c:pt>
                <c:pt idx="28">
                  <c:v>-1.7444222830848919</c:v>
                </c:pt>
                <c:pt idx="29">
                  <c:v>-4.309121024764111</c:v>
                </c:pt>
                <c:pt idx="30">
                  <c:v>-2.7330364708264789</c:v>
                </c:pt>
                <c:pt idx="31">
                  <c:v>-3.6857743102933056</c:v>
                </c:pt>
                <c:pt idx="32">
                  <c:v>-3.8382316022777347</c:v>
                </c:pt>
                <c:pt idx="33">
                  <c:v>-3.4270964730852311</c:v>
                </c:pt>
                <c:pt idx="34">
                  <c:v>-3.0326725449010929</c:v>
                </c:pt>
                <c:pt idx="35">
                  <c:v>-3.3085742151231821</c:v>
                </c:pt>
                <c:pt idx="36">
                  <c:v>-4.3737904668865895</c:v>
                </c:pt>
                <c:pt idx="37">
                  <c:v>-1.6131178069469869</c:v>
                </c:pt>
                <c:pt idx="38">
                  <c:v>-1.0035798006004635</c:v>
                </c:pt>
                <c:pt idx="39">
                  <c:v>-1.9208843064760603</c:v>
                </c:pt>
                <c:pt idx="40">
                  <c:v>-2.7471598117390979E-2</c:v>
                </c:pt>
                <c:pt idx="41">
                  <c:v>-1.7966021774607526</c:v>
                </c:pt>
                <c:pt idx="42">
                  <c:v>-2.8132474030657</c:v>
                </c:pt>
                <c:pt idx="43">
                  <c:v>-3.1328780714909805</c:v>
                </c:pt>
                <c:pt idx="44">
                  <c:v>-2.3028544759143688</c:v>
                </c:pt>
                <c:pt idx="45">
                  <c:v>-3.0377660303053102</c:v>
                </c:pt>
                <c:pt idx="46">
                  <c:v>-0.55989915745278573</c:v>
                </c:pt>
                <c:pt idx="47">
                  <c:v>-0.54866389390898218</c:v>
                </c:pt>
                <c:pt idx="48">
                  <c:v>-0.60314645873137762</c:v>
                </c:pt>
                <c:pt idx="49">
                  <c:v>-0.86144160944430814</c:v>
                </c:pt>
                <c:pt idx="50">
                  <c:v>0.87986668454825223</c:v>
                </c:pt>
                <c:pt idx="51">
                  <c:v>0.78448323669470765</c:v>
                </c:pt>
                <c:pt idx="52">
                  <c:v>0.81083804867390674</c:v>
                </c:pt>
                <c:pt idx="53">
                  <c:v>1.831117775475678</c:v>
                </c:pt>
                <c:pt idx="54">
                  <c:v>-0.76315336208336637</c:v>
                </c:pt>
                <c:pt idx="55">
                  <c:v>2.8271620421913234E-2</c:v>
                </c:pt>
                <c:pt idx="56">
                  <c:v>-0.63309815292969696</c:v>
                </c:pt>
                <c:pt idx="57">
                  <c:v>-0.23441233291177946</c:v>
                </c:pt>
                <c:pt idx="58">
                  <c:v>-1.1148876740865334</c:v>
                </c:pt>
                <c:pt idx="59">
                  <c:v>1.7095974907037892</c:v>
                </c:pt>
                <c:pt idx="60">
                  <c:v>-1.3616688760833349</c:v>
                </c:pt>
                <c:pt idx="61">
                  <c:v>0.46607638269373852</c:v>
                </c:pt>
                <c:pt idx="62">
                  <c:v>0.77838102893109762</c:v>
                </c:pt>
                <c:pt idx="63">
                  <c:v>1.7364093926922657</c:v>
                </c:pt>
                <c:pt idx="64">
                  <c:v>0.35910665893512034</c:v>
                </c:pt>
                <c:pt idx="65">
                  <c:v>1.3963796785918081</c:v>
                </c:pt>
                <c:pt idx="66">
                  <c:v>-0.37736400749049198</c:v>
                </c:pt>
                <c:pt idx="67">
                  <c:v>-0.57636249393810957</c:v>
                </c:pt>
                <c:pt idx="68">
                  <c:v>-0.14895980232178627</c:v>
                </c:pt>
                <c:pt idx="69">
                  <c:v>0.54578222520099473</c:v>
                </c:pt>
                <c:pt idx="70">
                  <c:v>2.1439719761547882</c:v>
                </c:pt>
                <c:pt idx="71">
                  <c:v>-1.5664757951218422</c:v>
                </c:pt>
                <c:pt idx="72">
                  <c:v>-1.6599701913234066</c:v>
                </c:pt>
                <c:pt idx="73">
                  <c:v>0.36180915393902252</c:v>
                </c:pt>
                <c:pt idx="74">
                  <c:v>-0.7727279440765461</c:v>
                </c:pt>
                <c:pt idx="75">
                  <c:v>0.7439172643720271</c:v>
                </c:pt>
                <c:pt idx="76">
                  <c:v>-0.7101904030304268</c:v>
                </c:pt>
                <c:pt idx="77">
                  <c:v>-3.1988755758275034E-2</c:v>
                </c:pt>
                <c:pt idx="78">
                  <c:v>-0.63215079877186042</c:v>
                </c:pt>
                <c:pt idx="79">
                  <c:v>-0.69397469359524688</c:v>
                </c:pt>
                <c:pt idx="80">
                  <c:v>0.51988122187017505</c:v>
                </c:pt>
                <c:pt idx="81">
                  <c:v>1.8030231267018637</c:v>
                </c:pt>
                <c:pt idx="82">
                  <c:v>4.8994180078423062</c:v>
                </c:pt>
                <c:pt idx="83">
                  <c:v>3.3976004315121018</c:v>
                </c:pt>
                <c:pt idx="84">
                  <c:v>2.3470076009239484</c:v>
                </c:pt>
                <c:pt idx="85">
                  <c:v>2.3256721703635299</c:v>
                </c:pt>
                <c:pt idx="86">
                  <c:v>2.8071152651553568</c:v>
                </c:pt>
                <c:pt idx="87">
                  <c:v>3.1296533852635879</c:v>
                </c:pt>
                <c:pt idx="88">
                  <c:v>5.3550240591539326</c:v>
                </c:pt>
                <c:pt idx="89">
                  <c:v>7.4051865287575538</c:v>
                </c:pt>
                <c:pt idx="90">
                  <c:v>4.6347771302855252</c:v>
                </c:pt>
                <c:pt idx="91">
                  <c:v>4.2378264917273993</c:v>
                </c:pt>
                <c:pt idx="92">
                  <c:v>3.4688968930967885</c:v>
                </c:pt>
                <c:pt idx="93">
                  <c:v>4.6090542606254541</c:v>
                </c:pt>
                <c:pt idx="94">
                  <c:v>4.1844282085412754</c:v>
                </c:pt>
                <c:pt idx="95">
                  <c:v>6.2468662837893207</c:v>
                </c:pt>
                <c:pt idx="96">
                  <c:v>8.1587812478487542</c:v>
                </c:pt>
                <c:pt idx="97">
                  <c:v>7.7525718048921819</c:v>
                </c:pt>
                <c:pt idx="98">
                  <c:v>5.4242599531235491</c:v>
                </c:pt>
                <c:pt idx="99">
                  <c:v>8.1505286008153846</c:v>
                </c:pt>
                <c:pt idx="100">
                  <c:v>8.595883808452129</c:v>
                </c:pt>
                <c:pt idx="101">
                  <c:v>8.9787940005909626</c:v>
                </c:pt>
                <c:pt idx="102">
                  <c:v>9.068358576882801</c:v>
                </c:pt>
                <c:pt idx="103">
                  <c:v>6.8781908079660985</c:v>
                </c:pt>
                <c:pt idx="104">
                  <c:v>7.4666675083651572</c:v>
                </c:pt>
                <c:pt idx="105">
                  <c:v>6.1662584032595094</c:v>
                </c:pt>
                <c:pt idx="106">
                  <c:v>6.0188532267920269</c:v>
                </c:pt>
                <c:pt idx="107">
                  <c:v>6.2663537208366984</c:v>
                </c:pt>
                <c:pt idx="108">
                  <c:v>4.8116006744101965</c:v>
                </c:pt>
                <c:pt idx="109">
                  <c:v>7.4548190487526425</c:v>
                </c:pt>
                <c:pt idx="110">
                  <c:v>4.9669854337605388</c:v>
                </c:pt>
                <c:pt idx="111">
                  <c:v>6.5796357680357183</c:v>
                </c:pt>
                <c:pt idx="112">
                  <c:v>8.3646895546528164</c:v>
                </c:pt>
                <c:pt idx="113">
                  <c:v>6.4109333445201298</c:v>
                </c:pt>
                <c:pt idx="114">
                  <c:v>6.1415809101137153</c:v>
                </c:pt>
                <c:pt idx="115">
                  <c:v>8.6799980644870551</c:v>
                </c:pt>
                <c:pt idx="116">
                  <c:v>10.09999865997546</c:v>
                </c:pt>
                <c:pt idx="117">
                  <c:v>6.9457424980414695</c:v>
                </c:pt>
                <c:pt idx="118">
                  <c:v>6.1144962610167113</c:v>
                </c:pt>
                <c:pt idx="119">
                  <c:v>5.9833270098500702</c:v>
                </c:pt>
                <c:pt idx="120">
                  <c:v>4.313106508743326</c:v>
                </c:pt>
                <c:pt idx="121">
                  <c:v>4.7434146151652135</c:v>
                </c:pt>
                <c:pt idx="122">
                  <c:v>4.313873769463167</c:v>
                </c:pt>
                <c:pt idx="123">
                  <c:v>6.8574497563909276</c:v>
                </c:pt>
                <c:pt idx="124">
                  <c:v>7.8760460289461403</c:v>
                </c:pt>
                <c:pt idx="125">
                  <c:v>4.0250134684129302</c:v>
                </c:pt>
                <c:pt idx="126">
                  <c:v>9.5246528620225366</c:v>
                </c:pt>
                <c:pt idx="127">
                  <c:v>15.940369635150024</c:v>
                </c:pt>
                <c:pt idx="128">
                  <c:v>14.549028614065382</c:v>
                </c:pt>
                <c:pt idx="129">
                  <c:v>10.346135061481997</c:v>
                </c:pt>
                <c:pt idx="130">
                  <c:v>10.936728157080116</c:v>
                </c:pt>
                <c:pt idx="131">
                  <c:v>12.184314650987529</c:v>
                </c:pt>
                <c:pt idx="132">
                  <c:v>12.862852627064283</c:v>
                </c:pt>
                <c:pt idx="133">
                  <c:v>13.240742714181311</c:v>
                </c:pt>
                <c:pt idx="134">
                  <c:v>13.188741177804452</c:v>
                </c:pt>
                <c:pt idx="135">
                  <c:v>12.634428417000265</c:v>
                </c:pt>
                <c:pt idx="136">
                  <c:v>11.945075983799896</c:v>
                </c:pt>
                <c:pt idx="137">
                  <c:v>11.292568590635147</c:v>
                </c:pt>
                <c:pt idx="138">
                  <c:v>11.596069796852573</c:v>
                </c:pt>
                <c:pt idx="139">
                  <c:v>11.460920531785401</c:v>
                </c:pt>
                <c:pt idx="140">
                  <c:v>11.160551561491665</c:v>
                </c:pt>
                <c:pt idx="141">
                  <c:v>11.654543955206252</c:v>
                </c:pt>
                <c:pt idx="142">
                  <c:v>11.746158038772805</c:v>
                </c:pt>
                <c:pt idx="143">
                  <c:v>11.444737330628611</c:v>
                </c:pt>
                <c:pt idx="144">
                  <c:v>8.8298254104684588</c:v>
                </c:pt>
                <c:pt idx="145">
                  <c:v>9.477127124304161</c:v>
                </c:pt>
                <c:pt idx="146">
                  <c:v>8.8966122270483456</c:v>
                </c:pt>
                <c:pt idx="147">
                  <c:v>9.2307892163484944</c:v>
                </c:pt>
                <c:pt idx="148">
                  <c:v>9.0856808738944963</c:v>
                </c:pt>
                <c:pt idx="149">
                  <c:v>8.7460457582610882</c:v>
                </c:pt>
                <c:pt idx="150">
                  <c:v>9.1234281513497653</c:v>
                </c:pt>
                <c:pt idx="151">
                  <c:v>8.8163122098455506</c:v>
                </c:pt>
                <c:pt idx="152">
                  <c:v>8.1123254976866725</c:v>
                </c:pt>
                <c:pt idx="153">
                  <c:v>10.786432734085984</c:v>
                </c:pt>
                <c:pt idx="154">
                  <c:v>11.448756182703249</c:v>
                </c:pt>
                <c:pt idx="155">
                  <c:v>9.9137392472447825</c:v>
                </c:pt>
                <c:pt idx="156">
                  <c:v>10.138802334005586</c:v>
                </c:pt>
                <c:pt idx="157">
                  <c:v>10.870044359229745</c:v>
                </c:pt>
                <c:pt idx="158">
                  <c:v>10.408714669341688</c:v>
                </c:pt>
                <c:pt idx="159">
                  <c:v>10.011453686133869</c:v>
                </c:pt>
                <c:pt idx="160">
                  <c:v>10.263173675765598</c:v>
                </c:pt>
                <c:pt idx="161">
                  <c:v>6.9984843573382669</c:v>
                </c:pt>
                <c:pt idx="162">
                  <c:v>8.0951040561286742</c:v>
                </c:pt>
                <c:pt idx="163">
                  <c:v>7.5687092217602627</c:v>
                </c:pt>
                <c:pt idx="164">
                  <c:v>7.6936066802204506</c:v>
                </c:pt>
                <c:pt idx="165">
                  <c:v>9.9141910608369717</c:v>
                </c:pt>
                <c:pt idx="166">
                  <c:v>10.481183023591615</c:v>
                </c:pt>
                <c:pt idx="167">
                  <c:v>14.679165036927857</c:v>
                </c:pt>
                <c:pt idx="168">
                  <c:v>13.70661684712827</c:v>
                </c:pt>
                <c:pt idx="169">
                  <c:v>15.405802614052593</c:v>
                </c:pt>
                <c:pt idx="170">
                  <c:v>14.134731511980009</c:v>
                </c:pt>
                <c:pt idx="171">
                  <c:v>13.345105482257019</c:v>
                </c:pt>
                <c:pt idx="172">
                  <c:v>13.576567492345786</c:v>
                </c:pt>
                <c:pt idx="173">
                  <c:v>13.174699751571847</c:v>
                </c:pt>
                <c:pt idx="174">
                  <c:v>10.265413330242868</c:v>
                </c:pt>
                <c:pt idx="175">
                  <c:v>10.979223378090023</c:v>
                </c:pt>
                <c:pt idx="176">
                  <c:v>12.440774037583555</c:v>
                </c:pt>
                <c:pt idx="177">
                  <c:v>12.741966622107659</c:v>
                </c:pt>
                <c:pt idx="178">
                  <c:v>18.027105173068943</c:v>
                </c:pt>
                <c:pt idx="179">
                  <c:v>22.075736358506113</c:v>
                </c:pt>
                <c:pt idx="180">
                  <c:v>23.170187311738413</c:v>
                </c:pt>
                <c:pt idx="181">
                  <c:v>19.853358129681499</c:v>
                </c:pt>
                <c:pt idx="182">
                  <c:v>17.121485838707699</c:v>
                </c:pt>
                <c:pt idx="183">
                  <c:v>19.063181079653329</c:v>
                </c:pt>
                <c:pt idx="184">
                  <c:v>16.706499173648734</c:v>
                </c:pt>
                <c:pt idx="185">
                  <c:v>14.577229312410081</c:v>
                </c:pt>
                <c:pt idx="186">
                  <c:v>12.844386314191125</c:v>
                </c:pt>
                <c:pt idx="187">
                  <c:v>15.631273680852784</c:v>
                </c:pt>
                <c:pt idx="188">
                  <c:v>24.383174438746437</c:v>
                </c:pt>
                <c:pt idx="189">
                  <c:v>37.494595004060187</c:v>
                </c:pt>
                <c:pt idx="190">
                  <c:v>34.56319461130429</c:v>
                </c:pt>
                <c:pt idx="191">
                  <c:v>32.443160217922554</c:v>
                </c:pt>
                <c:pt idx="192">
                  <c:v>32.039350984307688</c:v>
                </c:pt>
                <c:pt idx="193">
                  <c:v>33.448357188368909</c:v>
                </c:pt>
                <c:pt idx="194">
                  <c:v>37.565768027247806</c:v>
                </c:pt>
                <c:pt idx="195">
                  <c:v>33.313461093485465</c:v>
                </c:pt>
                <c:pt idx="196">
                  <c:v>31.216004085859865</c:v>
                </c:pt>
                <c:pt idx="197">
                  <c:v>27.395288736239305</c:v>
                </c:pt>
                <c:pt idx="198">
                  <c:v>24.655985034712305</c:v>
                </c:pt>
                <c:pt idx="199">
                  <c:v>24.80551467223318</c:v>
                </c:pt>
                <c:pt idx="200">
                  <c:v>22.398914334121912</c:v>
                </c:pt>
                <c:pt idx="201">
                  <c:v>21.804485753602606</c:v>
                </c:pt>
                <c:pt idx="202">
                  <c:v>30.66451281399895</c:v>
                </c:pt>
                <c:pt idx="203">
                  <c:v>38.443348785045409</c:v>
                </c:pt>
                <c:pt idx="204">
                  <c:v>45.250512235476208</c:v>
                </c:pt>
                <c:pt idx="205">
                  <c:v>52.325951370388736</c:v>
                </c:pt>
                <c:pt idx="206">
                  <c:v>45.052460002473104</c:v>
                </c:pt>
                <c:pt idx="207">
                  <c:v>43.694846007869096</c:v>
                </c:pt>
                <c:pt idx="208">
                  <c:v>38.176222178066872</c:v>
                </c:pt>
                <c:pt idx="209">
                  <c:v>36.701711129182911</c:v>
                </c:pt>
                <c:pt idx="210">
                  <c:v>33.017172687163033</c:v>
                </c:pt>
                <c:pt idx="211">
                  <c:v>30.724642372736316</c:v>
                </c:pt>
                <c:pt idx="212">
                  <c:v>30.409020088693602</c:v>
                </c:pt>
                <c:pt idx="213">
                  <c:v>27.615380284342539</c:v>
                </c:pt>
                <c:pt idx="214">
                  <c:v>28.972439450178168</c:v>
                </c:pt>
                <c:pt idx="215">
                  <c:v>31.412588812593807</c:v>
                </c:pt>
                <c:pt idx="216">
                  <c:v>43.011434164787758</c:v>
                </c:pt>
                <c:pt idx="217">
                  <c:v>43.178314717346744</c:v>
                </c:pt>
                <c:pt idx="218">
                  <c:v>42.845581247052124</c:v>
                </c:pt>
                <c:pt idx="219">
                  <c:v>41.15676100387833</c:v>
                </c:pt>
                <c:pt idx="220">
                  <c:v>39.055614871481595</c:v>
                </c:pt>
                <c:pt idx="221">
                  <c:v>36.444560399091401</c:v>
                </c:pt>
                <c:pt idx="222">
                  <c:v>35.229136397773495</c:v>
                </c:pt>
                <c:pt idx="223">
                  <c:v>38.639100434871565</c:v>
                </c:pt>
                <c:pt idx="224">
                  <c:v>38.260709809648716</c:v>
                </c:pt>
                <c:pt idx="225">
                  <c:v>43.978545033039396</c:v>
                </c:pt>
                <c:pt idx="226">
                  <c:v>46.982114297719946</c:v>
                </c:pt>
                <c:pt idx="227">
                  <c:v>42.520912161732291</c:v>
                </c:pt>
                <c:pt idx="228">
                  <c:v>42.739715684127511</c:v>
                </c:pt>
                <c:pt idx="229">
                  <c:v>37.47537626804268</c:v>
                </c:pt>
                <c:pt idx="230">
                  <c:v>37.605655083287203</c:v>
                </c:pt>
                <c:pt idx="231">
                  <c:v>34.332978811883613</c:v>
                </c:pt>
                <c:pt idx="232">
                  <c:v>33.301220935495458</c:v>
                </c:pt>
                <c:pt idx="233">
                  <c:v>31.065430594882837</c:v>
                </c:pt>
                <c:pt idx="234">
                  <c:v>31.745877378116589</c:v>
                </c:pt>
                <c:pt idx="235">
                  <c:v>38.212503760930282</c:v>
                </c:pt>
                <c:pt idx="236">
                  <c:v>38.410629930232794</c:v>
                </c:pt>
                <c:pt idx="237">
                  <c:v>35.135193695771839</c:v>
                </c:pt>
                <c:pt idx="238">
                  <c:v>37.871611867955814</c:v>
                </c:pt>
                <c:pt idx="239">
                  <c:v>38.713358759697591</c:v>
                </c:pt>
                <c:pt idx="240">
                  <c:v>35.378449225134574</c:v>
                </c:pt>
                <c:pt idx="241">
                  <c:v>34.123700632582924</c:v>
                </c:pt>
                <c:pt idx="242">
                  <c:v>33.980540793392429</c:v>
                </c:pt>
                <c:pt idx="243">
                  <c:v>33.268863481711286</c:v>
                </c:pt>
                <c:pt idx="244">
                  <c:v>30.829002893340462</c:v>
                </c:pt>
                <c:pt idx="245">
                  <c:v>29.094307369863571</c:v>
                </c:pt>
                <c:pt idx="246">
                  <c:v>34.316732281888733</c:v>
                </c:pt>
                <c:pt idx="247">
                  <c:v>32.642509124722523</c:v>
                </c:pt>
                <c:pt idx="248">
                  <c:v>32.637701205528906</c:v>
                </c:pt>
                <c:pt idx="249">
                  <c:v>30.758483753773536</c:v>
                </c:pt>
                <c:pt idx="250">
                  <c:v>30.249483222375229</c:v>
                </c:pt>
                <c:pt idx="251">
                  <c:v>34.36405109096556</c:v>
                </c:pt>
                <c:pt idx="252">
                  <c:v>40.505839630275716</c:v>
                </c:pt>
                <c:pt idx="253">
                  <c:v>38.53714608558542</c:v>
                </c:pt>
                <c:pt idx="254">
                  <c:v>37.023751318619937</c:v>
                </c:pt>
                <c:pt idx="255">
                  <c:v>36.576636034238113</c:v>
                </c:pt>
                <c:pt idx="256">
                  <c:v>34.67622703912032</c:v>
                </c:pt>
                <c:pt idx="257">
                  <c:v>37.123871694371466</c:v>
                </c:pt>
                <c:pt idx="258">
                  <c:v>44.455662118657102</c:v>
                </c:pt>
                <c:pt idx="259">
                  <c:v>45.455018644535436</c:v>
                </c:pt>
                <c:pt idx="260">
                  <c:v>40.766832535879345</c:v>
                </c:pt>
                <c:pt idx="261">
                  <c:v>42.211792253758617</c:v>
                </c:pt>
                <c:pt idx="262">
                  <c:v>41.029845530785032</c:v>
                </c:pt>
                <c:pt idx="263">
                  <c:v>38.460880221747679</c:v>
                </c:pt>
                <c:pt idx="264">
                  <c:v>36.495852334822345</c:v>
                </c:pt>
                <c:pt idx="265">
                  <c:v>34.949863858061683</c:v>
                </c:pt>
                <c:pt idx="266">
                  <c:v>32.738515197614888</c:v>
                </c:pt>
                <c:pt idx="267">
                  <c:v>33.875863317652893</c:v>
                </c:pt>
                <c:pt idx="268">
                  <c:v>35.995825104611988</c:v>
                </c:pt>
                <c:pt idx="269">
                  <c:v>35.014906773449205</c:v>
                </c:pt>
                <c:pt idx="270">
                  <c:v>33.698052080523347</c:v>
                </c:pt>
                <c:pt idx="271">
                  <c:v>36.048048230668449</c:v>
                </c:pt>
                <c:pt idx="272">
                  <c:v>44.357693621024389</c:v>
                </c:pt>
                <c:pt idx="273">
                  <c:v>41.36392557293523</c:v>
                </c:pt>
                <c:pt idx="274">
                  <c:v>37.689190100628764</c:v>
                </c:pt>
                <c:pt idx="275">
                  <c:v>35.621928883338946</c:v>
                </c:pt>
                <c:pt idx="276">
                  <c:v>36.030947828804649</c:v>
                </c:pt>
                <c:pt idx="277">
                  <c:v>38.395766819925349</c:v>
                </c:pt>
                <c:pt idx="278">
                  <c:v>38.368974601640183</c:v>
                </c:pt>
                <c:pt idx="279">
                  <c:v>38.305641059682095</c:v>
                </c:pt>
                <c:pt idx="280">
                  <c:v>39.023816813668532</c:v>
                </c:pt>
                <c:pt idx="281">
                  <c:v>38.78055104074167</c:v>
                </c:pt>
                <c:pt idx="282">
                  <c:v>43.726433614491881</c:v>
                </c:pt>
                <c:pt idx="283">
                  <c:v>40.647016472344788</c:v>
                </c:pt>
                <c:pt idx="284">
                  <c:v>37.626002205949412</c:v>
                </c:pt>
                <c:pt idx="285">
                  <c:v>35.163003215233744</c:v>
                </c:pt>
                <c:pt idx="286">
                  <c:v>33.793173855410728</c:v>
                </c:pt>
                <c:pt idx="287">
                  <c:v>35.165293555362886</c:v>
                </c:pt>
                <c:pt idx="288">
                  <c:v>38.122953401263047</c:v>
                </c:pt>
                <c:pt idx="289">
                  <c:v>35.821998598547971</c:v>
                </c:pt>
                <c:pt idx="290">
                  <c:v>38.991044409048953</c:v>
                </c:pt>
                <c:pt idx="291">
                  <c:v>40.193358604264077</c:v>
                </c:pt>
                <c:pt idx="292">
                  <c:v>37.802476584932094</c:v>
                </c:pt>
                <c:pt idx="293">
                  <c:v>37.858985747389127</c:v>
                </c:pt>
                <c:pt idx="294">
                  <c:v>43.34742160054644</c:v>
                </c:pt>
                <c:pt idx="295">
                  <c:v>40.964082905406194</c:v>
                </c:pt>
                <c:pt idx="296">
                  <c:v>42.086854449458031</c:v>
                </c:pt>
                <c:pt idx="297">
                  <c:v>47.438756828642461</c:v>
                </c:pt>
                <c:pt idx="298">
                  <c:v>47.719785778711262</c:v>
                </c:pt>
                <c:pt idx="299">
                  <c:v>50.231754514841832</c:v>
                </c:pt>
                <c:pt idx="300">
                  <c:v>51.156859088002861</c:v>
                </c:pt>
                <c:pt idx="301">
                  <c:v>51.219426612465803</c:v>
                </c:pt>
                <c:pt idx="302">
                  <c:v>50.948278765289466</c:v>
                </c:pt>
                <c:pt idx="303">
                  <c:v>47.330054543197477</c:v>
                </c:pt>
                <c:pt idx="304">
                  <c:v>48.43528323914402</c:v>
                </c:pt>
                <c:pt idx="305">
                  <c:v>49.099868944213178</c:v>
                </c:pt>
                <c:pt idx="306">
                  <c:v>50.172661602766354</c:v>
                </c:pt>
                <c:pt idx="307">
                  <c:v>45.107366526778208</c:v>
                </c:pt>
                <c:pt idx="308">
                  <c:v>41.304889520827452</c:v>
                </c:pt>
                <c:pt idx="309">
                  <c:v>44.844680941063821</c:v>
                </c:pt>
                <c:pt idx="310">
                  <c:v>39.946932547798561</c:v>
                </c:pt>
                <c:pt idx="311">
                  <c:v>39.981511811639727</c:v>
                </c:pt>
                <c:pt idx="312">
                  <c:v>44.375964674619823</c:v>
                </c:pt>
                <c:pt idx="313">
                  <c:v>40.402674237576775</c:v>
                </c:pt>
                <c:pt idx="314">
                  <c:v>38.125757725404348</c:v>
                </c:pt>
                <c:pt idx="315">
                  <c:v>40.064866871301454</c:v>
                </c:pt>
                <c:pt idx="316">
                  <c:v>41.738062868123841</c:v>
                </c:pt>
                <c:pt idx="317">
                  <c:v>47.336768574625289</c:v>
                </c:pt>
                <c:pt idx="318">
                  <c:v>56.412311666063928</c:v>
                </c:pt>
                <c:pt idx="319">
                  <c:v>57.567714446855987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7A-D146-9372-905ECCFEE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'240821A011'!$A$2:$A$321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'240821A011'!$J$2:$J$321</c:f>
              <c:numCache>
                <c:formatCode>0.0</c:formatCode>
                <c:ptCount val="320"/>
                <c:pt idx="0">
                  <c:v>1890.32174655315</c:v>
                </c:pt>
                <c:pt idx="1">
                  <c:v>1869.6443748552999</c:v>
                </c:pt>
                <c:pt idx="2">
                  <c:v>1948.5244559688099</c:v>
                </c:pt>
                <c:pt idx="3">
                  <c:v>1808.8628362458198</c:v>
                </c:pt>
                <c:pt idx="4">
                  <c:v>1785.2977649407501</c:v>
                </c:pt>
                <c:pt idx="5">
                  <c:v>1773.3283389292601</c:v>
                </c:pt>
                <c:pt idx="6">
                  <c:v>1696.0209831045102</c:v>
                </c:pt>
                <c:pt idx="7">
                  <c:v>1802.0369037579101</c:v>
                </c:pt>
                <c:pt idx="8">
                  <c:v>1823.03235114979</c:v>
                </c:pt>
                <c:pt idx="9">
                  <c:v>1908.9856451496601</c:v>
                </c:pt>
                <c:pt idx="10">
                  <c:v>1781.5541855085999</c:v>
                </c:pt>
                <c:pt idx="11">
                  <c:v>1831.81107064822</c:v>
                </c:pt>
                <c:pt idx="12">
                  <c:v>1752.22886305064</c:v>
                </c:pt>
                <c:pt idx="13">
                  <c:v>1733.33416791377</c:v>
                </c:pt>
                <c:pt idx="14">
                  <c:v>1510.04427085419</c:v>
                </c:pt>
                <c:pt idx="15">
                  <c:v>1516.10183310255</c:v>
                </c:pt>
                <c:pt idx="16">
                  <c:v>1456.8137474792402</c:v>
                </c:pt>
                <c:pt idx="17">
                  <c:v>1651.67854938915</c:v>
                </c:pt>
                <c:pt idx="18">
                  <c:v>1658.6178780402199</c:v>
                </c:pt>
                <c:pt idx="19">
                  <c:v>1792.4832344577501</c:v>
                </c:pt>
                <c:pt idx="20">
                  <c:v>1745.2887392232199</c:v>
                </c:pt>
                <c:pt idx="21">
                  <c:v>1659.3397637578801</c:v>
                </c:pt>
                <c:pt idx="22">
                  <c:v>1667.9528944850301</c:v>
                </c:pt>
                <c:pt idx="23">
                  <c:v>1670.3971829002598</c:v>
                </c:pt>
                <c:pt idx="24">
                  <c:v>1798.1883304534799</c:v>
                </c:pt>
                <c:pt idx="25">
                  <c:v>1763.3192198516001</c:v>
                </c:pt>
                <c:pt idx="26">
                  <c:v>1755.6532001759999</c:v>
                </c:pt>
                <c:pt idx="27">
                  <c:v>1763.7727587768402</c:v>
                </c:pt>
                <c:pt idx="28">
                  <c:v>1772.4759299524901</c:v>
                </c:pt>
                <c:pt idx="29">
                  <c:v>1772.5556626492998</c:v>
                </c:pt>
                <c:pt idx="30">
                  <c:v>1781.3337239036</c:v>
                </c:pt>
                <c:pt idx="31">
                  <c:v>1734.23957143967</c:v>
                </c:pt>
                <c:pt idx="32">
                  <c:v>1658.40702385288</c:v>
                </c:pt>
                <c:pt idx="33">
                  <c:v>1547.3008254255201</c:v>
                </c:pt>
                <c:pt idx="34">
                  <c:v>1567.5061027481199</c:v>
                </c:pt>
                <c:pt idx="35">
                  <c:v>1678.6420964200299</c:v>
                </c:pt>
                <c:pt idx="36">
                  <c:v>1607.92538429104</c:v>
                </c:pt>
                <c:pt idx="37">
                  <c:v>1629.46380860202</c:v>
                </c:pt>
                <c:pt idx="38">
                  <c:v>1578.4032942121298</c:v>
                </c:pt>
                <c:pt idx="39">
                  <c:v>1655.7240335213901</c:v>
                </c:pt>
                <c:pt idx="40">
                  <c:v>1771.12527894702</c:v>
                </c:pt>
                <c:pt idx="41">
                  <c:v>1887.4315018462401</c:v>
                </c:pt>
                <c:pt idx="42">
                  <c:v>1950.9658837801999</c:v>
                </c:pt>
                <c:pt idx="43">
                  <c:v>1907.12622958976</c:v>
                </c:pt>
                <c:pt idx="44">
                  <c:v>1698.1400669726099</c:v>
                </c:pt>
                <c:pt idx="45">
                  <c:v>1676.2637485958601</c:v>
                </c:pt>
                <c:pt idx="46">
                  <c:v>1685.88471277595</c:v>
                </c:pt>
                <c:pt idx="47">
                  <c:v>1724.3492617940001</c:v>
                </c:pt>
                <c:pt idx="48">
                  <c:v>1661.5678405271399</c:v>
                </c:pt>
                <c:pt idx="49">
                  <c:v>1658.1162114414001</c:v>
                </c:pt>
                <c:pt idx="50">
                  <c:v>1663.3552535466101</c:v>
                </c:pt>
                <c:pt idx="51">
                  <c:v>1619.2451156094298</c:v>
                </c:pt>
                <c:pt idx="52">
                  <c:v>1621.9734965674802</c:v>
                </c:pt>
                <c:pt idx="53">
                  <c:v>1628.89791246851</c:v>
                </c:pt>
                <c:pt idx="54">
                  <c:v>1680.99012823313</c:v>
                </c:pt>
                <c:pt idx="55">
                  <c:v>1683.87695911788</c:v>
                </c:pt>
                <c:pt idx="56">
                  <c:v>1754.83245123041</c:v>
                </c:pt>
                <c:pt idx="57">
                  <c:v>1756.9400049687601</c:v>
                </c:pt>
                <c:pt idx="58">
                  <c:v>1764.7384613505899</c:v>
                </c:pt>
                <c:pt idx="59">
                  <c:v>1756.2083072330099</c:v>
                </c:pt>
                <c:pt idx="60">
                  <c:v>1751.1601300805501</c:v>
                </c:pt>
                <c:pt idx="61">
                  <c:v>1748.0094120470101</c:v>
                </c:pt>
                <c:pt idx="62">
                  <c:v>1743.4251113201501</c:v>
                </c:pt>
                <c:pt idx="63">
                  <c:v>1735.72676716097</c:v>
                </c:pt>
                <c:pt idx="64">
                  <c:v>1749.41251202389</c:v>
                </c:pt>
                <c:pt idx="65">
                  <c:v>1752.08913787137</c:v>
                </c:pt>
                <c:pt idx="66">
                  <c:v>1743.6184558934801</c:v>
                </c:pt>
                <c:pt idx="67">
                  <c:v>1747.8251880816802</c:v>
                </c:pt>
                <c:pt idx="68">
                  <c:v>1746.63468251726</c:v>
                </c:pt>
                <c:pt idx="69">
                  <c:v>1744.7609605489899</c:v>
                </c:pt>
                <c:pt idx="70">
                  <c:v>1750.2397518575099</c:v>
                </c:pt>
                <c:pt idx="71">
                  <c:v>1731.9113202559499</c:v>
                </c:pt>
                <c:pt idx="72">
                  <c:v>1682.75507125123</c:v>
                </c:pt>
                <c:pt idx="73">
                  <c:v>1758.7830544588301</c:v>
                </c:pt>
                <c:pt idx="74">
                  <c:v>1803.8746500694899</c:v>
                </c:pt>
                <c:pt idx="75">
                  <c:v>1780.4033588029001</c:v>
                </c:pt>
                <c:pt idx="76">
                  <c:v>1740.3131679691198</c:v>
                </c:pt>
                <c:pt idx="77">
                  <c:v>1713.2772273764099</c:v>
                </c:pt>
                <c:pt idx="78">
                  <c:v>1723.2107169778201</c:v>
                </c:pt>
                <c:pt idx="79">
                  <c:v>1726.6774972939299</c:v>
                </c:pt>
                <c:pt idx="80">
                  <c:v>1768.1522754812499</c:v>
                </c:pt>
                <c:pt idx="81">
                  <c:v>1661.3308329384699</c:v>
                </c:pt>
                <c:pt idx="82">
                  <c:v>1782.3759435935799</c:v>
                </c:pt>
                <c:pt idx="83">
                  <c:v>1819.0529314836901</c:v>
                </c:pt>
                <c:pt idx="84">
                  <c:v>1818.9737503158901</c:v>
                </c:pt>
                <c:pt idx="85">
                  <c:v>1820.6995783954601</c:v>
                </c:pt>
                <c:pt idx="86">
                  <c:v>1824.7016917265501</c:v>
                </c:pt>
                <c:pt idx="87">
                  <c:v>1810.33506993478</c:v>
                </c:pt>
                <c:pt idx="88">
                  <c:v>1815.9829298486202</c:v>
                </c:pt>
                <c:pt idx="89">
                  <c:v>1793.4749527008398</c:v>
                </c:pt>
                <c:pt idx="90">
                  <c:v>1786.14939089775</c:v>
                </c:pt>
                <c:pt idx="91">
                  <c:v>1744.87563675972</c:v>
                </c:pt>
                <c:pt idx="92">
                  <c:v>1750.09332365763</c:v>
                </c:pt>
                <c:pt idx="93">
                  <c:v>1772.2569393275999</c:v>
                </c:pt>
                <c:pt idx="94">
                  <c:v>1759.12000121037</c:v>
                </c:pt>
                <c:pt idx="95">
                  <c:v>1736.8007804619899</c:v>
                </c:pt>
                <c:pt idx="96">
                  <c:v>1727.3936571402901</c:v>
                </c:pt>
                <c:pt idx="97">
                  <c:v>1824.49354587323</c:v>
                </c:pt>
                <c:pt idx="98">
                  <c:v>1786.4594761741801</c:v>
                </c:pt>
                <c:pt idx="99">
                  <c:v>1735.6360579607701</c:v>
                </c:pt>
                <c:pt idx="100">
                  <c:v>1725.72107208794</c:v>
                </c:pt>
                <c:pt idx="101">
                  <c:v>1682.5373481935799</c:v>
                </c:pt>
                <c:pt idx="102">
                  <c:v>1644.2978539609398</c:v>
                </c:pt>
                <c:pt idx="103">
                  <c:v>1717.1136198106501</c:v>
                </c:pt>
                <c:pt idx="104">
                  <c:v>1689.70575382378</c:v>
                </c:pt>
                <c:pt idx="105">
                  <c:v>1591.9912600146099</c:v>
                </c:pt>
                <c:pt idx="106">
                  <c:v>1614.5336290996299</c:v>
                </c:pt>
                <c:pt idx="107">
                  <c:v>1610.48624743818</c:v>
                </c:pt>
                <c:pt idx="108">
                  <c:v>1551.4027983621299</c:v>
                </c:pt>
                <c:pt idx="109">
                  <c:v>1617.85451446206</c:v>
                </c:pt>
                <c:pt idx="110">
                  <c:v>1555.02483298635</c:v>
                </c:pt>
                <c:pt idx="111">
                  <c:v>1604.8676362543999</c:v>
                </c:pt>
                <c:pt idx="112">
                  <c:v>1604.1297179677201</c:v>
                </c:pt>
                <c:pt idx="113">
                  <c:v>1583.90834800263</c:v>
                </c:pt>
                <c:pt idx="114">
                  <c:v>1590.9094983638902</c:v>
                </c:pt>
                <c:pt idx="115">
                  <c:v>1566.26511395324</c:v>
                </c:pt>
                <c:pt idx="116">
                  <c:v>1529.41724168413</c:v>
                </c:pt>
                <c:pt idx="117">
                  <c:v>1620.3604042454499</c:v>
                </c:pt>
                <c:pt idx="118">
                  <c:v>1598.7160431028501</c:v>
                </c:pt>
                <c:pt idx="119">
                  <c:v>1571.7359965447099</c:v>
                </c:pt>
                <c:pt idx="120">
                  <c:v>1591.29955555792</c:v>
                </c:pt>
                <c:pt idx="121">
                  <c:v>1540.7004630491501</c:v>
                </c:pt>
                <c:pt idx="122">
                  <c:v>1558.6936635105599</c:v>
                </c:pt>
                <c:pt idx="123">
                  <c:v>1559.85425330009</c:v>
                </c:pt>
                <c:pt idx="124">
                  <c:v>1556.21861446773</c:v>
                </c:pt>
                <c:pt idx="125">
                  <c:v>1538.46462804559</c:v>
                </c:pt>
                <c:pt idx="126">
                  <c:v>1548.46552171439</c:v>
                </c:pt>
                <c:pt idx="127">
                  <c:v>1506.75414272124</c:v>
                </c:pt>
                <c:pt idx="128">
                  <c:v>1525.2299098200599</c:v>
                </c:pt>
                <c:pt idx="129">
                  <c:v>1538.85338272743</c:v>
                </c:pt>
                <c:pt idx="130">
                  <c:v>1529.5502432883202</c:v>
                </c:pt>
                <c:pt idx="131">
                  <c:v>1554.9557905575</c:v>
                </c:pt>
                <c:pt idx="132">
                  <c:v>1524.6552304076699</c:v>
                </c:pt>
                <c:pt idx="133">
                  <c:v>1675.2525316951999</c:v>
                </c:pt>
                <c:pt idx="134">
                  <c:v>1658.96671479868</c:v>
                </c:pt>
                <c:pt idx="135">
                  <c:v>1583.4758706069601</c:v>
                </c:pt>
                <c:pt idx="136">
                  <c:v>1556.12419100068</c:v>
                </c:pt>
                <c:pt idx="137">
                  <c:v>1559.5705407350999</c:v>
                </c:pt>
                <c:pt idx="138">
                  <c:v>1580.06117884173</c:v>
                </c:pt>
                <c:pt idx="139">
                  <c:v>1545.59941046821</c:v>
                </c:pt>
                <c:pt idx="140">
                  <c:v>1603.5937459562999</c:v>
                </c:pt>
                <c:pt idx="141">
                  <c:v>1603.9924636903002</c:v>
                </c:pt>
                <c:pt idx="142">
                  <c:v>1569.8299193975402</c:v>
                </c:pt>
                <c:pt idx="143">
                  <c:v>1584.7076858316</c:v>
                </c:pt>
                <c:pt idx="144">
                  <c:v>1601.64102258042</c:v>
                </c:pt>
                <c:pt idx="145">
                  <c:v>1605.6579479836801</c:v>
                </c:pt>
                <c:pt idx="146">
                  <c:v>1454.86218044361</c:v>
                </c:pt>
                <c:pt idx="147">
                  <c:v>1490.35123512772</c:v>
                </c:pt>
                <c:pt idx="148">
                  <c:v>1554.2357254629999</c:v>
                </c:pt>
                <c:pt idx="149">
                  <c:v>1614.7582842454799</c:v>
                </c:pt>
                <c:pt idx="150">
                  <c:v>1679.8889783331899</c:v>
                </c:pt>
                <c:pt idx="151">
                  <c:v>1556.7946970611501</c:v>
                </c:pt>
                <c:pt idx="152">
                  <c:v>1469.7250839072899</c:v>
                </c:pt>
                <c:pt idx="153">
                  <c:v>1473.6761413730701</c:v>
                </c:pt>
                <c:pt idx="154">
                  <c:v>1464.0060604815599</c:v>
                </c:pt>
                <c:pt idx="155">
                  <c:v>1491.3527060198001</c:v>
                </c:pt>
                <c:pt idx="156">
                  <c:v>1575.85936559176</c:v>
                </c:pt>
                <c:pt idx="157">
                  <c:v>1501.3884133161998</c:v>
                </c:pt>
                <c:pt idx="158">
                  <c:v>1573.1303566930501</c:v>
                </c:pt>
                <c:pt idx="159">
                  <c:v>1548.6016018036898</c:v>
                </c:pt>
                <c:pt idx="160">
                  <c:v>1596.20663048045</c:v>
                </c:pt>
                <c:pt idx="161">
                  <c:v>1646.4948194784799</c:v>
                </c:pt>
                <c:pt idx="162">
                  <c:v>1577.2322182421199</c:v>
                </c:pt>
                <c:pt idx="163">
                  <c:v>1629.00424099514</c:v>
                </c:pt>
                <c:pt idx="164">
                  <c:v>1683.0175959507601</c:v>
                </c:pt>
                <c:pt idx="165">
                  <c:v>1634.18423504117</c:v>
                </c:pt>
                <c:pt idx="166">
                  <c:v>1728.7532885662999</c:v>
                </c:pt>
                <c:pt idx="167">
                  <c:v>1838.1647369867501</c:v>
                </c:pt>
                <c:pt idx="168">
                  <c:v>1844.05875319144</c:v>
                </c:pt>
                <c:pt idx="169">
                  <c:v>1852.03226377898</c:v>
                </c:pt>
                <c:pt idx="170">
                  <c:v>1843.8725157338299</c:v>
                </c:pt>
                <c:pt idx="171">
                  <c:v>1845.7172513333101</c:v>
                </c:pt>
                <c:pt idx="172">
                  <c:v>1810.90595978438</c:v>
                </c:pt>
                <c:pt idx="173">
                  <c:v>1782.9250853056001</c:v>
                </c:pt>
                <c:pt idx="174">
                  <c:v>1782.96122018306</c:v>
                </c:pt>
                <c:pt idx="175">
                  <c:v>1645.0273443057099</c:v>
                </c:pt>
                <c:pt idx="176">
                  <c:v>1636.87534107386</c:v>
                </c:pt>
                <c:pt idx="177">
                  <c:v>1701.4702965777101</c:v>
                </c:pt>
                <c:pt idx="178">
                  <c:v>1698.63895005513</c:v>
                </c:pt>
                <c:pt idx="179">
                  <c:v>1750.0674285841301</c:v>
                </c:pt>
                <c:pt idx="180">
                  <c:v>1771.1464950874301</c:v>
                </c:pt>
                <c:pt idx="181">
                  <c:v>1757.46152739524</c:v>
                </c:pt>
                <c:pt idx="182">
                  <c:v>1763.0209183143099</c:v>
                </c:pt>
                <c:pt idx="183">
                  <c:v>1798.71949392601</c:v>
                </c:pt>
                <c:pt idx="184">
                  <c:v>1793.1290071537601</c:v>
                </c:pt>
                <c:pt idx="185">
                  <c:v>1779.8018400472699</c:v>
                </c:pt>
                <c:pt idx="186">
                  <c:v>1762.5758075886899</c:v>
                </c:pt>
                <c:pt idx="187">
                  <c:v>1763.3331493038402</c:v>
                </c:pt>
                <c:pt idx="188">
                  <c:v>1756.6890812823001</c:v>
                </c:pt>
                <c:pt idx="189">
                  <c:v>1748.5605943656801</c:v>
                </c:pt>
                <c:pt idx="190">
                  <c:v>1769.2277948949302</c:v>
                </c:pt>
                <c:pt idx="191">
                  <c:v>1732.6296250682201</c:v>
                </c:pt>
                <c:pt idx="192">
                  <c:v>1743.3164242078199</c:v>
                </c:pt>
                <c:pt idx="193">
                  <c:v>1768.30210919041</c:v>
                </c:pt>
                <c:pt idx="194">
                  <c:v>1788.59928143558</c:v>
                </c:pt>
                <c:pt idx="195">
                  <c:v>1772.3133330431601</c:v>
                </c:pt>
                <c:pt idx="196">
                  <c:v>1736.093559357</c:v>
                </c:pt>
                <c:pt idx="197">
                  <c:v>1753.44558053172</c:v>
                </c:pt>
                <c:pt idx="198">
                  <c:v>1744.55899065483</c:v>
                </c:pt>
                <c:pt idx="199">
                  <c:v>1785.2702701411599</c:v>
                </c:pt>
                <c:pt idx="200">
                  <c:v>1788.8048404358599</c:v>
                </c:pt>
                <c:pt idx="201">
                  <c:v>1747.8530945620998</c:v>
                </c:pt>
                <c:pt idx="202">
                  <c:v>1782.7337000390401</c:v>
                </c:pt>
                <c:pt idx="203">
                  <c:v>1783.3083274415499</c:v>
                </c:pt>
                <c:pt idx="204">
                  <c:v>1784.8900644736</c:v>
                </c:pt>
                <c:pt idx="205">
                  <c:v>1795.9014359384801</c:v>
                </c:pt>
                <c:pt idx="206">
                  <c:v>1786.77429962632</c:v>
                </c:pt>
                <c:pt idx="207">
                  <c:v>1681.5057502007498</c:v>
                </c:pt>
                <c:pt idx="208">
                  <c:v>1767.75363726506</c:v>
                </c:pt>
                <c:pt idx="209">
                  <c:v>1736.10529380773</c:v>
                </c:pt>
                <c:pt idx="210">
                  <c:v>1799.23152862898</c:v>
                </c:pt>
                <c:pt idx="211">
                  <c:v>1803.8026411763101</c:v>
                </c:pt>
                <c:pt idx="212">
                  <c:v>1841.89458524765</c:v>
                </c:pt>
                <c:pt idx="213">
                  <c:v>1877.12217065347</c:v>
                </c:pt>
                <c:pt idx="214">
                  <c:v>1957.5105741355999</c:v>
                </c:pt>
                <c:pt idx="215">
                  <c:v>1925.8470076312799</c:v>
                </c:pt>
                <c:pt idx="216">
                  <c:v>1896.8589033673602</c:v>
                </c:pt>
                <c:pt idx="217">
                  <c:v>1912.1954620700199</c:v>
                </c:pt>
                <c:pt idx="218">
                  <c:v>1916.01199057381</c:v>
                </c:pt>
                <c:pt idx="219">
                  <c:v>1930.4651053257903</c:v>
                </c:pt>
                <c:pt idx="220">
                  <c:v>1892.7029998012499</c:v>
                </c:pt>
                <c:pt idx="221">
                  <c:v>1903.22547180422</c:v>
                </c:pt>
                <c:pt idx="222">
                  <c:v>1924.0087714203901</c:v>
                </c:pt>
                <c:pt idx="223">
                  <c:v>1913.1467762379898</c:v>
                </c:pt>
                <c:pt idx="224">
                  <c:v>1879.16192149676</c:v>
                </c:pt>
                <c:pt idx="225">
                  <c:v>1860.9385318593702</c:v>
                </c:pt>
                <c:pt idx="226">
                  <c:v>1832.46409088217</c:v>
                </c:pt>
                <c:pt idx="227">
                  <c:v>1894.83029861618</c:v>
                </c:pt>
                <c:pt idx="228">
                  <c:v>1837.4697742170101</c:v>
                </c:pt>
                <c:pt idx="229">
                  <c:v>1838.6292789512099</c:v>
                </c:pt>
                <c:pt idx="230">
                  <c:v>1892.1158048069899</c:v>
                </c:pt>
                <c:pt idx="231">
                  <c:v>1880.09031318284</c:v>
                </c:pt>
                <c:pt idx="232">
                  <c:v>1930.4603058995199</c:v>
                </c:pt>
                <c:pt idx="233">
                  <c:v>1912.22432629278</c:v>
                </c:pt>
                <c:pt idx="234">
                  <c:v>1911.1755280407499</c:v>
                </c:pt>
                <c:pt idx="235">
                  <c:v>1921.7938820102399</c:v>
                </c:pt>
                <c:pt idx="236">
                  <c:v>1935.7946103423199</c:v>
                </c:pt>
                <c:pt idx="237">
                  <c:v>1947.93226511287</c:v>
                </c:pt>
                <c:pt idx="238">
                  <c:v>2046.3563728531399</c:v>
                </c:pt>
                <c:pt idx="239">
                  <c:v>2099.6861375531103</c:v>
                </c:pt>
                <c:pt idx="240">
                  <c:v>2048.95456340296</c:v>
                </c:pt>
                <c:pt idx="241">
                  <c:v>2018.65376858941</c:v>
                </c:pt>
                <c:pt idx="242">
                  <c:v>1997.94802005873</c:v>
                </c:pt>
                <c:pt idx="243">
                  <c:v>1995.0497674206699</c:v>
                </c:pt>
                <c:pt idx="244">
                  <c:v>1957.4939674410202</c:v>
                </c:pt>
                <c:pt idx="245">
                  <c:v>1915.1995751748802</c:v>
                </c:pt>
                <c:pt idx="246">
                  <c:v>1934.19336423802</c:v>
                </c:pt>
                <c:pt idx="247">
                  <c:v>1878.8102186690601</c:v>
                </c:pt>
                <c:pt idx="248">
                  <c:v>1910.3682385796001</c:v>
                </c:pt>
                <c:pt idx="249">
                  <c:v>1931.7877944028401</c:v>
                </c:pt>
                <c:pt idx="250">
                  <c:v>1818.7676620539501</c:v>
                </c:pt>
                <c:pt idx="251">
                  <c:v>1857.67297887837</c:v>
                </c:pt>
                <c:pt idx="252">
                  <c:v>1817.18208302991</c:v>
                </c:pt>
                <c:pt idx="253">
                  <c:v>1849.408594319</c:v>
                </c:pt>
                <c:pt idx="254">
                  <c:v>1810.0131099781902</c:v>
                </c:pt>
                <c:pt idx="255">
                  <c:v>1743.07324690459</c:v>
                </c:pt>
                <c:pt idx="256">
                  <c:v>1736.5320643580601</c:v>
                </c:pt>
                <c:pt idx="257">
                  <c:v>1771.2815647222199</c:v>
                </c:pt>
                <c:pt idx="258">
                  <c:v>1773.5134042243301</c:v>
                </c:pt>
                <c:pt idx="259">
                  <c:v>1758.0338570843201</c:v>
                </c:pt>
                <c:pt idx="260">
                  <c:v>1831.1162286025799</c:v>
                </c:pt>
                <c:pt idx="261">
                  <c:v>1740.3107662181899</c:v>
                </c:pt>
                <c:pt idx="262">
                  <c:v>1782.4540213729802</c:v>
                </c:pt>
                <c:pt idx="263">
                  <c:v>1756.2095738405401</c:v>
                </c:pt>
                <c:pt idx="264">
                  <c:v>1784.3610014354201</c:v>
                </c:pt>
                <c:pt idx="265">
                  <c:v>1792.41093531047</c:v>
                </c:pt>
                <c:pt idx="266">
                  <c:v>1762.99664956573</c:v>
                </c:pt>
                <c:pt idx="267">
                  <c:v>1781.93976778554</c:v>
                </c:pt>
                <c:pt idx="268">
                  <c:v>1839.1020458252601</c:v>
                </c:pt>
                <c:pt idx="269">
                  <c:v>1843.8618852301602</c:v>
                </c:pt>
                <c:pt idx="270">
                  <c:v>1841.9713067934999</c:v>
                </c:pt>
                <c:pt idx="271">
                  <c:v>1835.6298315705599</c:v>
                </c:pt>
                <c:pt idx="272">
                  <c:v>1760.79672695817</c:v>
                </c:pt>
                <c:pt idx="273">
                  <c:v>1758.35130097926</c:v>
                </c:pt>
                <c:pt idx="274">
                  <c:v>1777.94674376175</c:v>
                </c:pt>
                <c:pt idx="275">
                  <c:v>1764.29639141646</c:v>
                </c:pt>
                <c:pt idx="276">
                  <c:v>1751.0194918825</c:v>
                </c:pt>
                <c:pt idx="277">
                  <c:v>1778.5011851276101</c:v>
                </c:pt>
                <c:pt idx="278">
                  <c:v>1764.0828588941199</c:v>
                </c:pt>
                <c:pt idx="279">
                  <c:v>1746.7691091905201</c:v>
                </c:pt>
                <c:pt idx="280">
                  <c:v>1755.7022582530299</c:v>
                </c:pt>
                <c:pt idx="281">
                  <c:v>1764.65574503722</c:v>
                </c:pt>
                <c:pt idx="282">
                  <c:v>1760.61849000238</c:v>
                </c:pt>
                <c:pt idx="283">
                  <c:v>1788.56098669947</c:v>
                </c:pt>
                <c:pt idx="284">
                  <c:v>1701.23670370437</c:v>
                </c:pt>
                <c:pt idx="285">
                  <c:v>1698.91473485751</c:v>
                </c:pt>
                <c:pt idx="286">
                  <c:v>1702.8621732033198</c:v>
                </c:pt>
                <c:pt idx="287">
                  <c:v>1755.7036270516001</c:v>
                </c:pt>
                <c:pt idx="288">
                  <c:v>1766.3973316366801</c:v>
                </c:pt>
                <c:pt idx="289">
                  <c:v>1707.75028318147</c:v>
                </c:pt>
                <c:pt idx="290">
                  <c:v>1636.18660546414</c:v>
                </c:pt>
                <c:pt idx="291">
                  <c:v>1767.94461384593</c:v>
                </c:pt>
                <c:pt idx="292">
                  <c:v>1704.75427284637</c:v>
                </c:pt>
                <c:pt idx="293">
                  <c:v>1712.6975154956299</c:v>
                </c:pt>
                <c:pt idx="294">
                  <c:v>1693.3427184837001</c:v>
                </c:pt>
                <c:pt idx="295">
                  <c:v>1650.1280648873799</c:v>
                </c:pt>
                <c:pt idx="296">
                  <c:v>1658.3254959772</c:v>
                </c:pt>
                <c:pt idx="297">
                  <c:v>1622.25916466888</c:v>
                </c:pt>
                <c:pt idx="298">
                  <c:v>1685.6129196137802</c:v>
                </c:pt>
                <c:pt idx="299">
                  <c:v>1742.26055656889</c:v>
                </c:pt>
                <c:pt idx="300">
                  <c:v>1722.49604619704</c:v>
                </c:pt>
                <c:pt idx="301">
                  <c:v>1777.3535357020401</c:v>
                </c:pt>
                <c:pt idx="302">
                  <c:v>1613.32920611797</c:v>
                </c:pt>
                <c:pt idx="303">
                  <c:v>1655.8681718864</c:v>
                </c:pt>
                <c:pt idx="304">
                  <c:v>1660.1493080845401</c:v>
                </c:pt>
                <c:pt idx="305">
                  <c:v>1765.4806353567201</c:v>
                </c:pt>
                <c:pt idx="306">
                  <c:v>1728.17301053339</c:v>
                </c:pt>
                <c:pt idx="307">
                  <c:v>1803.27509326782</c:v>
                </c:pt>
                <c:pt idx="308">
                  <c:v>1825.91264149208</c:v>
                </c:pt>
                <c:pt idx="309">
                  <c:v>1793.4603631482901</c:v>
                </c:pt>
                <c:pt idx="310">
                  <c:v>1723.8944702947601</c:v>
                </c:pt>
                <c:pt idx="311">
                  <c:v>1724.3861310510299</c:v>
                </c:pt>
                <c:pt idx="312">
                  <c:v>1725.17969289198</c:v>
                </c:pt>
                <c:pt idx="313">
                  <c:v>1719.4633247142401</c:v>
                </c:pt>
                <c:pt idx="314">
                  <c:v>1720.0337047084799</c:v>
                </c:pt>
                <c:pt idx="315">
                  <c:v>1695.00401960876</c:v>
                </c:pt>
                <c:pt idx="316">
                  <c:v>1679.6253118204602</c:v>
                </c:pt>
                <c:pt idx="317">
                  <c:v>1684.7962968946701</c:v>
                </c:pt>
                <c:pt idx="318">
                  <c:v>1733.68013030529</c:v>
                </c:pt>
                <c:pt idx="319">
                  <c:v>1650.10126364557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75-DE49-81E3-F71201B1B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0D-CE43-9168-2B005B2CFA98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'240821A011'!$A$2:$A$321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'240821A011'!$P$2:$P$321</c:f>
              <c:numCache>
                <c:formatCode>General</c:formatCode>
                <c:ptCount val="320"/>
                <c:pt idx="0">
                  <c:v>-6.2295232628722896</c:v>
                </c:pt>
                <c:pt idx="1">
                  <c:v>-7.1001403810685479</c:v>
                </c:pt>
                <c:pt idx="2">
                  <c:v>-7.3862053859194159</c:v>
                </c:pt>
                <c:pt idx="3">
                  <c:v>-7.8454192598476205</c:v>
                </c:pt>
                <c:pt idx="4">
                  <c:v>-7.5007757745771091</c:v>
                </c:pt>
                <c:pt idx="5">
                  <c:v>-7.6528801325642046</c:v>
                </c:pt>
                <c:pt idx="6">
                  <c:v>-7.7510718851881935</c:v>
                </c:pt>
                <c:pt idx="7">
                  <c:v>-8.5535118995891253</c:v>
                </c:pt>
                <c:pt idx="8">
                  <c:v>-9.5475048205717261</c:v>
                </c:pt>
                <c:pt idx="9">
                  <c:v>-8.3731569405706683</c:v>
                </c:pt>
                <c:pt idx="10">
                  <c:v>-8.4334758196606643</c:v>
                </c:pt>
                <c:pt idx="11">
                  <c:v>-7.8658003771092293</c:v>
                </c:pt>
                <c:pt idx="12">
                  <c:v>-8.0354045836102586</c:v>
                </c:pt>
                <c:pt idx="13">
                  <c:v>-9.0923372188166791</c:v>
                </c:pt>
                <c:pt idx="14">
                  <c:v>-8.8849177074522547</c:v>
                </c:pt>
                <c:pt idx="15">
                  <c:v>-7.8678341948363952</c:v>
                </c:pt>
                <c:pt idx="16">
                  <c:v>-8.1063118641926302</c:v>
                </c:pt>
                <c:pt idx="17">
                  <c:v>-8.8136019978872291</c:v>
                </c:pt>
                <c:pt idx="18">
                  <c:v>-8.5511546207435849</c:v>
                </c:pt>
                <c:pt idx="19">
                  <c:v>-10.330640907524753</c:v>
                </c:pt>
                <c:pt idx="20">
                  <c:v>-9.0679164152932703</c:v>
                </c:pt>
                <c:pt idx="21">
                  <c:v>-8.7598191581899734</c:v>
                </c:pt>
                <c:pt idx="22">
                  <c:v>-9.3283578426683587</c:v>
                </c:pt>
                <c:pt idx="23">
                  <c:v>-8.9832867698944749</c:v>
                </c:pt>
                <c:pt idx="24">
                  <c:v>-9.1698118455328288</c:v>
                </c:pt>
                <c:pt idx="25">
                  <c:v>-9.1090234809261919</c:v>
                </c:pt>
                <c:pt idx="26">
                  <c:v>-8.9822363930755351</c:v>
                </c:pt>
                <c:pt idx="27">
                  <c:v>-8.9573849060038615</c:v>
                </c:pt>
                <c:pt idx="28">
                  <c:v>-9.1532994994673551</c:v>
                </c:pt>
                <c:pt idx="29">
                  <c:v>-9.0100047070760194</c:v>
                </c:pt>
                <c:pt idx="30">
                  <c:v>-9.6310725930734069</c:v>
                </c:pt>
                <c:pt idx="31">
                  <c:v>-9.0676724109556801</c:v>
                </c:pt>
                <c:pt idx="32">
                  <c:v>-8.969168486699914</c:v>
                </c:pt>
                <c:pt idx="33">
                  <c:v>-8.1904884721525946</c:v>
                </c:pt>
                <c:pt idx="34">
                  <c:v>-9.049436615128414</c:v>
                </c:pt>
                <c:pt idx="35">
                  <c:v>-8.5659571465929893</c:v>
                </c:pt>
                <c:pt idx="36">
                  <c:v>-7.8784241753034667</c:v>
                </c:pt>
                <c:pt idx="37">
                  <c:v>-7.7082085402843195</c:v>
                </c:pt>
                <c:pt idx="38">
                  <c:v>-8.7372638727345624</c:v>
                </c:pt>
                <c:pt idx="39">
                  <c:v>-9.0056686790029516</c:v>
                </c:pt>
                <c:pt idx="40">
                  <c:v>-8.8274178029422359</c:v>
                </c:pt>
                <c:pt idx="41">
                  <c:v>-8.5289472554152788</c:v>
                </c:pt>
                <c:pt idx="42">
                  <c:v>-8.4381231746794825</c:v>
                </c:pt>
                <c:pt idx="43">
                  <c:v>-8.1941581565520849</c:v>
                </c:pt>
                <c:pt idx="44">
                  <c:v>-9.079787028817055</c:v>
                </c:pt>
                <c:pt idx="45">
                  <c:v>-9.2646847439989095</c:v>
                </c:pt>
                <c:pt idx="46">
                  <c:v>-7.7431519677454306</c:v>
                </c:pt>
                <c:pt idx="47">
                  <c:v>-6.0329178718809358</c:v>
                </c:pt>
                <c:pt idx="48">
                  <c:v>-5.8165781239142822</c:v>
                </c:pt>
                <c:pt idx="49">
                  <c:v>-5.3234574727699107</c:v>
                </c:pt>
                <c:pt idx="50">
                  <c:v>-5.0596353049785829</c:v>
                </c:pt>
                <c:pt idx="51">
                  <c:v>-5.176011376336076</c:v>
                </c:pt>
                <c:pt idx="52">
                  <c:v>-5.2190454963268236</c:v>
                </c:pt>
                <c:pt idx="53">
                  <c:v>-5.101180521068283</c:v>
                </c:pt>
                <c:pt idx="54">
                  <c:v>-5.4290784132175585</c:v>
                </c:pt>
                <c:pt idx="55">
                  <c:v>-5.0251299804068061</c:v>
                </c:pt>
                <c:pt idx="56">
                  <c:v>-4.5500206042651969</c:v>
                </c:pt>
                <c:pt idx="57">
                  <c:v>-4.2778600336429609</c:v>
                </c:pt>
                <c:pt idx="58">
                  <c:v>-4.0865595720842078</c:v>
                </c:pt>
                <c:pt idx="59">
                  <c:v>-3.2598553750170991</c:v>
                </c:pt>
                <c:pt idx="60">
                  <c:v>-2.9638677295409104</c:v>
                </c:pt>
                <c:pt idx="61">
                  <c:v>-2.7022166651841641</c:v>
                </c:pt>
                <c:pt idx="62">
                  <c:v>-2.7629739187316127</c:v>
                </c:pt>
                <c:pt idx="63">
                  <c:v>-1.9561753309433123</c:v>
                </c:pt>
                <c:pt idx="64">
                  <c:v>-0.8918163151049584</c:v>
                </c:pt>
                <c:pt idx="65">
                  <c:v>-0.61844322493102821</c:v>
                </c:pt>
                <c:pt idx="66">
                  <c:v>-0.93479564837903839</c:v>
                </c:pt>
                <c:pt idx="67">
                  <c:v>-0.22011195898895528</c:v>
                </c:pt>
                <c:pt idx="68">
                  <c:v>-0.82722866045534182</c:v>
                </c:pt>
                <c:pt idx="69">
                  <c:v>-0.70310264609990925</c:v>
                </c:pt>
                <c:pt idx="70">
                  <c:v>-0.11802085888171437</c:v>
                </c:pt>
                <c:pt idx="71">
                  <c:v>0.74750752736616377</c:v>
                </c:pt>
                <c:pt idx="72">
                  <c:v>-1.6401613889118059E-2</c:v>
                </c:pt>
                <c:pt idx="73">
                  <c:v>-0.17365315372903706</c:v>
                </c:pt>
                <c:pt idx="74">
                  <c:v>-0.88043922903734329</c:v>
                </c:pt>
                <c:pt idx="75">
                  <c:v>0.52785013641780298</c:v>
                </c:pt>
                <c:pt idx="76">
                  <c:v>1.876653493543089</c:v>
                </c:pt>
                <c:pt idx="77">
                  <c:v>3.9535276505883399</c:v>
                </c:pt>
                <c:pt idx="78">
                  <c:v>4.5899862638772069</c:v>
                </c:pt>
                <c:pt idx="79">
                  <c:v>4.073721882103909</c:v>
                </c:pt>
                <c:pt idx="80">
                  <c:v>5.6278937162045457</c:v>
                </c:pt>
                <c:pt idx="81">
                  <c:v>4.3976580889286767</c:v>
                </c:pt>
                <c:pt idx="82">
                  <c:v>5.7561046061261045</c:v>
                </c:pt>
                <c:pt idx="83">
                  <c:v>6.1698040985098661</c:v>
                </c:pt>
                <c:pt idx="84">
                  <c:v>7.9986168984381827</c:v>
                </c:pt>
                <c:pt idx="85">
                  <c:v>12.328610562406269</c:v>
                </c:pt>
                <c:pt idx="86">
                  <c:v>14.92465695525709</c:v>
                </c:pt>
                <c:pt idx="87">
                  <c:v>15.301023501715116</c:v>
                </c:pt>
                <c:pt idx="88">
                  <c:v>13.485016116867948</c:v>
                </c:pt>
                <c:pt idx="89">
                  <c:v>12.000601233595503</c:v>
                </c:pt>
                <c:pt idx="90">
                  <c:v>9.5988927882501773</c:v>
                </c:pt>
                <c:pt idx="91">
                  <c:v>9.8355309810521803</c:v>
                </c:pt>
                <c:pt idx="92">
                  <c:v>8.8444921910158403</c:v>
                </c:pt>
                <c:pt idx="93">
                  <c:v>8.4393056626285716</c:v>
                </c:pt>
                <c:pt idx="94">
                  <c:v>8.5620140465191845</c:v>
                </c:pt>
                <c:pt idx="95">
                  <c:v>9.3678512843762114</c:v>
                </c:pt>
                <c:pt idx="96">
                  <c:v>9.1298502301790609</c:v>
                </c:pt>
                <c:pt idx="97">
                  <c:v>9.5128347109761986</c:v>
                </c:pt>
                <c:pt idx="98">
                  <c:v>15.873852109380865</c:v>
                </c:pt>
                <c:pt idx="99">
                  <c:v>21.335502009238972</c:v>
                </c:pt>
                <c:pt idx="100">
                  <c:v>17.4884949718491</c:v>
                </c:pt>
                <c:pt idx="101">
                  <c:v>17.333004789097007</c:v>
                </c:pt>
                <c:pt idx="102">
                  <c:v>18.450589926991832</c:v>
                </c:pt>
                <c:pt idx="103">
                  <c:v>17.124412361515805</c:v>
                </c:pt>
                <c:pt idx="104">
                  <c:v>14.770416485489404</c:v>
                </c:pt>
                <c:pt idx="105">
                  <c:v>12.641283282499321</c:v>
                </c:pt>
                <c:pt idx="106">
                  <c:v>14.940890192383932</c:v>
                </c:pt>
                <c:pt idx="107">
                  <c:v>20.561142258691305</c:v>
                </c:pt>
                <c:pt idx="108">
                  <c:v>19.487528092870662</c:v>
                </c:pt>
                <c:pt idx="109">
                  <c:v>18.780446927442096</c:v>
                </c:pt>
                <c:pt idx="110">
                  <c:v>17.307753304189927</c:v>
                </c:pt>
                <c:pt idx="111">
                  <c:v>17.391219960471336</c:v>
                </c:pt>
                <c:pt idx="112">
                  <c:v>15.274938964125656</c:v>
                </c:pt>
                <c:pt idx="113">
                  <c:v>13.090080945719182</c:v>
                </c:pt>
                <c:pt idx="114">
                  <c:v>13.365721736428632</c:v>
                </c:pt>
                <c:pt idx="115">
                  <c:v>14.546026732951155</c:v>
                </c:pt>
                <c:pt idx="116">
                  <c:v>14.620113904127773</c:v>
                </c:pt>
                <c:pt idx="117">
                  <c:v>17.817441757075251</c:v>
                </c:pt>
                <c:pt idx="118">
                  <c:v>14.868313702897407</c:v>
                </c:pt>
                <c:pt idx="119">
                  <c:v>13.223739548540278</c:v>
                </c:pt>
                <c:pt idx="120">
                  <c:v>12.162394382968214</c:v>
                </c:pt>
                <c:pt idx="121">
                  <c:v>13.675864306119134</c:v>
                </c:pt>
                <c:pt idx="122">
                  <c:v>13.575276631326808</c:v>
                </c:pt>
                <c:pt idx="123">
                  <c:v>14.034956679531041</c:v>
                </c:pt>
                <c:pt idx="124">
                  <c:v>11.921729197293759</c:v>
                </c:pt>
                <c:pt idx="125">
                  <c:v>12.968458127238197</c:v>
                </c:pt>
                <c:pt idx="126">
                  <c:v>12.21598719725389</c:v>
                </c:pt>
                <c:pt idx="127">
                  <c:v>11.124381116122697</c:v>
                </c:pt>
                <c:pt idx="128">
                  <c:v>11.600410153973872</c:v>
                </c:pt>
                <c:pt idx="129">
                  <c:v>11.368478468069162</c:v>
                </c:pt>
                <c:pt idx="130">
                  <c:v>10.437673200240578</c:v>
                </c:pt>
                <c:pt idx="131">
                  <c:v>9.436878652362477</c:v>
                </c:pt>
                <c:pt idx="132">
                  <c:v>8.4973751281679757</c:v>
                </c:pt>
                <c:pt idx="133">
                  <c:v>9.1444134888348216</c:v>
                </c:pt>
                <c:pt idx="134">
                  <c:v>8.3186012356902683</c:v>
                </c:pt>
                <c:pt idx="135">
                  <c:v>9.26108991604052</c:v>
                </c:pt>
                <c:pt idx="136">
                  <c:v>9.9652389306456364</c:v>
                </c:pt>
                <c:pt idx="137">
                  <c:v>9.6208163388329044</c:v>
                </c:pt>
                <c:pt idx="138">
                  <c:v>8.3176416087735063</c:v>
                </c:pt>
                <c:pt idx="139">
                  <c:v>7.072118922963214</c:v>
                </c:pt>
                <c:pt idx="140">
                  <c:v>8.9624893866458866</c:v>
                </c:pt>
                <c:pt idx="141">
                  <c:v>8.681067219744353</c:v>
                </c:pt>
                <c:pt idx="142">
                  <c:v>8.7193654229506965</c:v>
                </c:pt>
                <c:pt idx="143">
                  <c:v>8.0757369058738213</c:v>
                </c:pt>
                <c:pt idx="144">
                  <c:v>9.1057078705219734</c:v>
                </c:pt>
                <c:pt idx="145">
                  <c:v>8.2750763083628254</c:v>
                </c:pt>
                <c:pt idx="146">
                  <c:v>5.9520912920925682</c:v>
                </c:pt>
                <c:pt idx="147">
                  <c:v>6.2277915084733717</c:v>
                </c:pt>
                <c:pt idx="148">
                  <c:v>5.458496708355991</c:v>
                </c:pt>
                <c:pt idx="149">
                  <c:v>8.0656638616935012</c:v>
                </c:pt>
                <c:pt idx="150">
                  <c:v>7.8876378009642343</c:v>
                </c:pt>
                <c:pt idx="151">
                  <c:v>7.8672012396038697</c:v>
                </c:pt>
                <c:pt idx="152">
                  <c:v>13.471903039706753</c:v>
                </c:pt>
                <c:pt idx="153">
                  <c:v>10.812449765941402</c:v>
                </c:pt>
                <c:pt idx="154">
                  <c:v>10.450384075975638</c:v>
                </c:pt>
                <c:pt idx="155">
                  <c:v>7.0653882249873261</c:v>
                </c:pt>
                <c:pt idx="156">
                  <c:v>7.9897015881412567</c:v>
                </c:pt>
                <c:pt idx="157">
                  <c:v>5.4734172999565889</c:v>
                </c:pt>
                <c:pt idx="158">
                  <c:v>7.2644286060537837</c:v>
                </c:pt>
                <c:pt idx="159">
                  <c:v>7.0433304774500352</c:v>
                </c:pt>
                <c:pt idx="160">
                  <c:v>7.4246847751855585</c:v>
                </c:pt>
                <c:pt idx="161">
                  <c:v>8.4257810624284275</c:v>
                </c:pt>
                <c:pt idx="162">
                  <c:v>13.970112127456774</c:v>
                </c:pt>
                <c:pt idx="163">
                  <c:v>13.091397065391503</c:v>
                </c:pt>
                <c:pt idx="164">
                  <c:v>15.901054507709533</c:v>
                </c:pt>
                <c:pt idx="165">
                  <c:v>13.916606968126043</c:v>
                </c:pt>
                <c:pt idx="166">
                  <c:v>15.677042813183748</c:v>
                </c:pt>
                <c:pt idx="167">
                  <c:v>20.829019724032094</c:v>
                </c:pt>
                <c:pt idx="168">
                  <c:v>24.938538524442659</c:v>
                </c:pt>
                <c:pt idx="169">
                  <c:v>26.738933831383747</c:v>
                </c:pt>
                <c:pt idx="170">
                  <c:v>28.069238282894123</c:v>
                </c:pt>
                <c:pt idx="171">
                  <c:v>29.919938947719849</c:v>
                </c:pt>
                <c:pt idx="172">
                  <c:v>32.072105015724262</c:v>
                </c:pt>
                <c:pt idx="173">
                  <c:v>32.966099181898663</c:v>
                </c:pt>
                <c:pt idx="174">
                  <c:v>33.503636020717217</c:v>
                </c:pt>
                <c:pt idx="175">
                  <c:v>31.943173254997387</c:v>
                </c:pt>
                <c:pt idx="176">
                  <c:v>31.803995003946067</c:v>
                </c:pt>
                <c:pt idx="177">
                  <c:v>29.790858443498898</c:v>
                </c:pt>
                <c:pt idx="178">
                  <c:v>29.776054557634829</c:v>
                </c:pt>
                <c:pt idx="179">
                  <c:v>31.400309114490543</c:v>
                </c:pt>
                <c:pt idx="180">
                  <c:v>32.573453036542645</c:v>
                </c:pt>
                <c:pt idx="181">
                  <c:v>33.31721163381296</c:v>
                </c:pt>
                <c:pt idx="182">
                  <c:v>32.957130523982784</c:v>
                </c:pt>
                <c:pt idx="183">
                  <c:v>33.95938972230028</c:v>
                </c:pt>
                <c:pt idx="184">
                  <c:v>34.705369486228477</c:v>
                </c:pt>
                <c:pt idx="185">
                  <c:v>36.642104685445389</c:v>
                </c:pt>
                <c:pt idx="186">
                  <c:v>37.766302923020248</c:v>
                </c:pt>
                <c:pt idx="187">
                  <c:v>40.371777915214231</c:v>
                </c:pt>
                <c:pt idx="188">
                  <c:v>38.953949680062692</c:v>
                </c:pt>
                <c:pt idx="189">
                  <c:v>41.192098212714349</c:v>
                </c:pt>
                <c:pt idx="190">
                  <c:v>44.425606071657519</c:v>
                </c:pt>
                <c:pt idx="191">
                  <c:v>41.438954578923557</c:v>
                </c:pt>
                <c:pt idx="192">
                  <c:v>41.264922695777514</c:v>
                </c:pt>
                <c:pt idx="193">
                  <c:v>42.155237689594479</c:v>
                </c:pt>
                <c:pt idx="194">
                  <c:v>42.07572434369213</c:v>
                </c:pt>
                <c:pt idx="195">
                  <c:v>45.311373078315256</c:v>
                </c:pt>
                <c:pt idx="196">
                  <c:v>47.904155564792859</c:v>
                </c:pt>
                <c:pt idx="197">
                  <c:v>48.902143391540939</c:v>
                </c:pt>
                <c:pt idx="198">
                  <c:v>46.038034660244307</c:v>
                </c:pt>
                <c:pt idx="199">
                  <c:v>45.805273435681173</c:v>
                </c:pt>
                <c:pt idx="200">
                  <c:v>47.277036151201152</c:v>
                </c:pt>
                <c:pt idx="201">
                  <c:v>45.441561140331935</c:v>
                </c:pt>
                <c:pt idx="202">
                  <c:v>47.910512735389233</c:v>
                </c:pt>
                <c:pt idx="203">
                  <c:v>52.036288325558019</c:v>
                </c:pt>
                <c:pt idx="204">
                  <c:v>55.353212694562906</c:v>
                </c:pt>
                <c:pt idx="205">
                  <c:v>56.911634719870008</c:v>
                </c:pt>
                <c:pt idx="206">
                  <c:v>57.912919320503185</c:v>
                </c:pt>
                <c:pt idx="207">
                  <c:v>53.305818935057836</c:v>
                </c:pt>
                <c:pt idx="208">
                  <c:v>59.762390494532923</c:v>
                </c:pt>
                <c:pt idx="209">
                  <c:v>60.884162359538372</c:v>
                </c:pt>
                <c:pt idx="210">
                  <c:v>62.723516199323562</c:v>
                </c:pt>
                <c:pt idx="211">
                  <c:v>62.945913021407328</c:v>
                </c:pt>
                <c:pt idx="212">
                  <c:v>64.405510552824524</c:v>
                </c:pt>
                <c:pt idx="213">
                  <c:v>68.335709651506363</c:v>
                </c:pt>
                <c:pt idx="214">
                  <c:v>66.166569943702584</c:v>
                </c:pt>
                <c:pt idx="215">
                  <c:v>66.924382326858236</c:v>
                </c:pt>
                <c:pt idx="216">
                  <c:v>65.291810512338117</c:v>
                </c:pt>
                <c:pt idx="217">
                  <c:v>65.017680744990898</c:v>
                </c:pt>
                <c:pt idx="218">
                  <c:v>66.335383198319278</c:v>
                </c:pt>
                <c:pt idx="219">
                  <c:v>66.136478793208539</c:v>
                </c:pt>
                <c:pt idx="220">
                  <c:v>65.205060383326213</c:v>
                </c:pt>
                <c:pt idx="221">
                  <c:v>65.568236346108961</c:v>
                </c:pt>
                <c:pt idx="222">
                  <c:v>66.455039429908155</c:v>
                </c:pt>
                <c:pt idx="223">
                  <c:v>64.397873227217218</c:v>
                </c:pt>
                <c:pt idx="224">
                  <c:v>65.633292597904486</c:v>
                </c:pt>
                <c:pt idx="225">
                  <c:v>66.005685825706578</c:v>
                </c:pt>
                <c:pt idx="226">
                  <c:v>64.752619445072725</c:v>
                </c:pt>
                <c:pt idx="227">
                  <c:v>64.439503571741852</c:v>
                </c:pt>
                <c:pt idx="228">
                  <c:v>63.124521125388043</c:v>
                </c:pt>
                <c:pt idx="229">
                  <c:v>62.403574887172894</c:v>
                </c:pt>
                <c:pt idx="230">
                  <c:v>61.540594700104634</c:v>
                </c:pt>
                <c:pt idx="231">
                  <c:v>64.04631250481043</c:v>
                </c:pt>
                <c:pt idx="232">
                  <c:v>66.527641231223853</c:v>
                </c:pt>
                <c:pt idx="233">
                  <c:v>65.479066445077677</c:v>
                </c:pt>
                <c:pt idx="234">
                  <c:v>66.561272916617256</c:v>
                </c:pt>
                <c:pt idx="235">
                  <c:v>68.420401595066238</c:v>
                </c:pt>
                <c:pt idx="236">
                  <c:v>70.002101337630862</c:v>
                </c:pt>
                <c:pt idx="237">
                  <c:v>67.283622430153756</c:v>
                </c:pt>
                <c:pt idx="238">
                  <c:v>69.798083731846233</c:v>
                </c:pt>
                <c:pt idx="239">
                  <c:v>67.484704954664977</c:v>
                </c:pt>
                <c:pt idx="240">
                  <c:v>70.239422488057372</c:v>
                </c:pt>
                <c:pt idx="241">
                  <c:v>70.335055637555712</c:v>
                </c:pt>
                <c:pt idx="242">
                  <c:v>73.604757231240342</c:v>
                </c:pt>
                <c:pt idx="243">
                  <c:v>73.674929809842197</c:v>
                </c:pt>
                <c:pt idx="244">
                  <c:v>73.939341447344646</c:v>
                </c:pt>
                <c:pt idx="245">
                  <c:v>74.271761154677932</c:v>
                </c:pt>
                <c:pt idx="246">
                  <c:v>73.578024547863365</c:v>
                </c:pt>
                <c:pt idx="247">
                  <c:v>73.955677636922061</c:v>
                </c:pt>
                <c:pt idx="248">
                  <c:v>73.604436354109453</c:v>
                </c:pt>
                <c:pt idx="249">
                  <c:v>73.140161998738179</c:v>
                </c:pt>
                <c:pt idx="250">
                  <c:v>71.143419475890852</c:v>
                </c:pt>
                <c:pt idx="251">
                  <c:v>67.525070864548923</c:v>
                </c:pt>
                <c:pt idx="252">
                  <c:v>69.400478293629959</c:v>
                </c:pt>
                <c:pt idx="253">
                  <c:v>69.931507530318299</c:v>
                </c:pt>
                <c:pt idx="254">
                  <c:v>67.029912846941883</c:v>
                </c:pt>
                <c:pt idx="255">
                  <c:v>66.199740631587787</c:v>
                </c:pt>
                <c:pt idx="256">
                  <c:v>68.314817390890937</c:v>
                </c:pt>
                <c:pt idx="257">
                  <c:v>65.103834162525686</c:v>
                </c:pt>
                <c:pt idx="258">
                  <c:v>63.285027806725225</c:v>
                </c:pt>
                <c:pt idx="259">
                  <c:v>63.560779468520479</c:v>
                </c:pt>
                <c:pt idx="260">
                  <c:v>64.042940440687318</c:v>
                </c:pt>
                <c:pt idx="261">
                  <c:v>69.307321288770595</c:v>
                </c:pt>
                <c:pt idx="262">
                  <c:v>71.138677911550658</c:v>
                </c:pt>
                <c:pt idx="263">
                  <c:v>69.141166869822328</c:v>
                </c:pt>
                <c:pt idx="264">
                  <c:v>68.052615173286114</c:v>
                </c:pt>
                <c:pt idx="265">
                  <c:v>67.532223147360043</c:v>
                </c:pt>
                <c:pt idx="266">
                  <c:v>64.730330981393038</c:v>
                </c:pt>
                <c:pt idx="267">
                  <c:v>60.954593866754351</c:v>
                </c:pt>
                <c:pt idx="268">
                  <c:v>64.527943294589093</c:v>
                </c:pt>
                <c:pt idx="269">
                  <c:v>65.859522699021085</c:v>
                </c:pt>
                <c:pt idx="270">
                  <c:v>67.217945282400549</c:v>
                </c:pt>
                <c:pt idx="271">
                  <c:v>65.764639635226956</c:v>
                </c:pt>
                <c:pt idx="272">
                  <c:v>63.805660214698058</c:v>
                </c:pt>
                <c:pt idx="273">
                  <c:v>61.751637556400482</c:v>
                </c:pt>
                <c:pt idx="274">
                  <c:v>62.036824018488304</c:v>
                </c:pt>
                <c:pt idx="275">
                  <c:v>61.276181337809376</c:v>
                </c:pt>
                <c:pt idx="276">
                  <c:v>63.542495027579946</c:v>
                </c:pt>
                <c:pt idx="277">
                  <c:v>68.726010028180269</c:v>
                </c:pt>
                <c:pt idx="278">
                  <c:v>66.222317782958442</c:v>
                </c:pt>
                <c:pt idx="279">
                  <c:v>65.435266343795519</c:v>
                </c:pt>
                <c:pt idx="280">
                  <c:v>64.639688480474106</c:v>
                </c:pt>
                <c:pt idx="281">
                  <c:v>62.419887199751997</c:v>
                </c:pt>
                <c:pt idx="282">
                  <c:v>63.544254130171005</c:v>
                </c:pt>
                <c:pt idx="283">
                  <c:v>65.838574550429954</c:v>
                </c:pt>
                <c:pt idx="284">
                  <c:v>66.274088489040011</c:v>
                </c:pt>
                <c:pt idx="285">
                  <c:v>64.146806971061892</c:v>
                </c:pt>
                <c:pt idx="286">
                  <c:v>64.874732593685792</c:v>
                </c:pt>
                <c:pt idx="287">
                  <c:v>66.149329791913274</c:v>
                </c:pt>
                <c:pt idx="288">
                  <c:v>67.988935256583133</c:v>
                </c:pt>
                <c:pt idx="289">
                  <c:v>62.368612800918847</c:v>
                </c:pt>
                <c:pt idx="290">
                  <c:v>64.255343127020481</c:v>
                </c:pt>
                <c:pt idx="291">
                  <c:v>66.696779969725995</c:v>
                </c:pt>
                <c:pt idx="292">
                  <c:v>65.726596160183021</c:v>
                </c:pt>
                <c:pt idx="293">
                  <c:v>64.245637164692752</c:v>
                </c:pt>
                <c:pt idx="294">
                  <c:v>64.545054493948413</c:v>
                </c:pt>
                <c:pt idx="295">
                  <c:v>65.901480180771543</c:v>
                </c:pt>
                <c:pt idx="296">
                  <c:v>65.781211971401362</c:v>
                </c:pt>
                <c:pt idx="297">
                  <c:v>65.317408922495375</c:v>
                </c:pt>
                <c:pt idx="298">
                  <c:v>64.951624111177438</c:v>
                </c:pt>
                <c:pt idx="299">
                  <c:v>64.042231867118744</c:v>
                </c:pt>
                <c:pt idx="300">
                  <c:v>64.459992911586411</c:v>
                </c:pt>
                <c:pt idx="301">
                  <c:v>61.751773968097268</c:v>
                </c:pt>
                <c:pt idx="302">
                  <c:v>63.466531299941906</c:v>
                </c:pt>
                <c:pt idx="303">
                  <c:v>63.848431398337013</c:v>
                </c:pt>
                <c:pt idx="304">
                  <c:v>61.864034143662728</c:v>
                </c:pt>
                <c:pt idx="305">
                  <c:v>63.760655698869826</c:v>
                </c:pt>
                <c:pt idx="306">
                  <c:v>60.449420508281371</c:v>
                </c:pt>
                <c:pt idx="307">
                  <c:v>64.635633720455729</c:v>
                </c:pt>
                <c:pt idx="308">
                  <c:v>62.868558474339743</c:v>
                </c:pt>
                <c:pt idx="309">
                  <c:v>67.557620860219515</c:v>
                </c:pt>
                <c:pt idx="310">
                  <c:v>67.503309635644541</c:v>
                </c:pt>
                <c:pt idx="311">
                  <c:v>64.30160710646939</c:v>
                </c:pt>
                <c:pt idx="312">
                  <c:v>63.676464449946288</c:v>
                </c:pt>
                <c:pt idx="313">
                  <c:v>62.736351399238409</c:v>
                </c:pt>
                <c:pt idx="314">
                  <c:v>60.372402049317607</c:v>
                </c:pt>
                <c:pt idx="315">
                  <c:v>61.979910883077814</c:v>
                </c:pt>
                <c:pt idx="316">
                  <c:v>60.604634956627713</c:v>
                </c:pt>
                <c:pt idx="317">
                  <c:v>60.785899462467398</c:v>
                </c:pt>
                <c:pt idx="318">
                  <c:v>65.823515481187158</c:v>
                </c:pt>
                <c:pt idx="319">
                  <c:v>60.696677276993469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0D-CE43-9168-2B005B2CF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'240821A012'!$A$2:$A$321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'240821A012'!$J$2:$J$321</c:f>
              <c:numCache>
                <c:formatCode>0.0</c:formatCode>
                <c:ptCount val="320"/>
                <c:pt idx="0">
                  <c:v>855.29247174030002</c:v>
                </c:pt>
                <c:pt idx="1">
                  <c:v>897.30581762988004</c:v>
                </c:pt>
                <c:pt idx="2">
                  <c:v>917.80181612834008</c:v>
                </c:pt>
                <c:pt idx="3">
                  <c:v>944.99417910684997</c:v>
                </c:pt>
                <c:pt idx="4">
                  <c:v>938.66232099716001</c:v>
                </c:pt>
                <c:pt idx="5">
                  <c:v>941.10130602664992</c:v>
                </c:pt>
                <c:pt idx="6">
                  <c:v>897.76362851079</c:v>
                </c:pt>
                <c:pt idx="7">
                  <c:v>921.19704463789992</c:v>
                </c:pt>
                <c:pt idx="8">
                  <c:v>911.97584212445997</c:v>
                </c:pt>
                <c:pt idx="9">
                  <c:v>929.56947791169989</c:v>
                </c:pt>
                <c:pt idx="10">
                  <c:v>931.04899598392001</c:v>
                </c:pt>
                <c:pt idx="11">
                  <c:v>877.05863453813004</c:v>
                </c:pt>
                <c:pt idx="12">
                  <c:v>938.01031271371016</c:v>
                </c:pt>
                <c:pt idx="13">
                  <c:v>940.00610210629009</c:v>
                </c:pt>
                <c:pt idx="14">
                  <c:v>926.12422640203999</c:v>
                </c:pt>
                <c:pt idx="15">
                  <c:v>926.20668590758999</c:v>
                </c:pt>
                <c:pt idx="16">
                  <c:v>926.76555159543989</c:v>
                </c:pt>
                <c:pt idx="17">
                  <c:v>926.90513841944994</c:v>
                </c:pt>
                <c:pt idx="18">
                  <c:v>928.88926116757</c:v>
                </c:pt>
                <c:pt idx="19">
                  <c:v>924.5658514413301</c:v>
                </c:pt>
                <c:pt idx="20">
                  <c:v>925.33203858274999</c:v>
                </c:pt>
                <c:pt idx="21">
                  <c:v>925.07801488896007</c:v>
                </c:pt>
                <c:pt idx="22">
                  <c:v>927.63911523211993</c:v>
                </c:pt>
                <c:pt idx="23">
                  <c:v>923.18899332171998</c:v>
                </c:pt>
                <c:pt idx="24">
                  <c:v>919.33062903259997</c:v>
                </c:pt>
                <c:pt idx="25">
                  <c:v>920.54219064511994</c:v>
                </c:pt>
                <c:pt idx="26">
                  <c:v>918.22898480489994</c:v>
                </c:pt>
                <c:pt idx="27">
                  <c:v>912.46104546904996</c:v>
                </c:pt>
                <c:pt idx="28">
                  <c:v>918.43216082346999</c:v>
                </c:pt>
                <c:pt idx="29">
                  <c:v>911.48563877393008</c:v>
                </c:pt>
                <c:pt idx="30">
                  <c:v>904.56660818658997</c:v>
                </c:pt>
                <c:pt idx="31">
                  <c:v>911.95804941403003</c:v>
                </c:pt>
                <c:pt idx="32">
                  <c:v>910.14352308672994</c:v>
                </c:pt>
                <c:pt idx="33">
                  <c:v>902.03825955468994</c:v>
                </c:pt>
                <c:pt idx="34">
                  <c:v>901.52757255896995</c:v>
                </c:pt>
                <c:pt idx="35">
                  <c:v>901.26323992676998</c:v>
                </c:pt>
                <c:pt idx="36">
                  <c:v>905.59975767914</c:v>
                </c:pt>
                <c:pt idx="37">
                  <c:v>893.84167013992987</c:v>
                </c:pt>
                <c:pt idx="38">
                  <c:v>904.38638139425007</c:v>
                </c:pt>
                <c:pt idx="39">
                  <c:v>899.02100443405016</c:v>
                </c:pt>
                <c:pt idx="40">
                  <c:v>899.06619271319005</c:v>
                </c:pt>
                <c:pt idx="41">
                  <c:v>892.05976636726996</c:v>
                </c:pt>
                <c:pt idx="42">
                  <c:v>890.35685094260998</c:v>
                </c:pt>
                <c:pt idx="43">
                  <c:v>888.61185783966994</c:v>
                </c:pt>
                <c:pt idx="44">
                  <c:v>904.46210205115005</c:v>
                </c:pt>
                <c:pt idx="45">
                  <c:v>909.50860672470003</c:v>
                </c:pt>
                <c:pt idx="46">
                  <c:v>898.19754148696984</c:v>
                </c:pt>
                <c:pt idx="47">
                  <c:v>900.18177883677004</c:v>
                </c:pt>
                <c:pt idx="48">
                  <c:v>904.77238401162003</c:v>
                </c:pt>
                <c:pt idx="49">
                  <c:v>902.10652698863009</c:v>
                </c:pt>
                <c:pt idx="50">
                  <c:v>905.90005562681006</c:v>
                </c:pt>
                <c:pt idx="51">
                  <c:v>904.82516069081009</c:v>
                </c:pt>
                <c:pt idx="52">
                  <c:v>899.1437050042</c:v>
                </c:pt>
                <c:pt idx="53">
                  <c:v>904.10702473627998</c:v>
                </c:pt>
                <c:pt idx="54">
                  <c:v>895.66795605162997</c:v>
                </c:pt>
                <c:pt idx="55">
                  <c:v>891.14450821705009</c:v>
                </c:pt>
                <c:pt idx="56">
                  <c:v>901.40410288068995</c:v>
                </c:pt>
                <c:pt idx="57">
                  <c:v>895.63049379258996</c:v>
                </c:pt>
                <c:pt idx="58">
                  <c:v>890.61993884266008</c:v>
                </c:pt>
                <c:pt idx="59">
                  <c:v>885.24018379362997</c:v>
                </c:pt>
                <c:pt idx="60">
                  <c:v>880.99484438957006</c:v>
                </c:pt>
                <c:pt idx="61">
                  <c:v>886.71336876726002</c:v>
                </c:pt>
                <c:pt idx="62">
                  <c:v>885.82579477238005</c:v>
                </c:pt>
                <c:pt idx="63">
                  <c:v>890.69859003671991</c:v>
                </c:pt>
                <c:pt idx="64">
                  <c:v>888.05703325715012</c:v>
                </c:pt>
                <c:pt idx="65">
                  <c:v>864.80568872768004</c:v>
                </c:pt>
                <c:pt idx="66">
                  <c:v>867.91367358945001</c:v>
                </c:pt>
                <c:pt idx="67">
                  <c:v>890.08899842763992</c:v>
                </c:pt>
                <c:pt idx="68">
                  <c:v>908.54336481229996</c:v>
                </c:pt>
                <c:pt idx="69">
                  <c:v>898.24157751003986</c:v>
                </c:pt>
                <c:pt idx="70">
                  <c:v>903.27246265059989</c:v>
                </c:pt>
                <c:pt idx="71">
                  <c:v>908.80036305220995</c:v>
                </c:pt>
                <c:pt idx="72">
                  <c:v>904.8856385542199</c:v>
                </c:pt>
                <c:pt idx="73">
                  <c:v>894.77240803212999</c:v>
                </c:pt>
                <c:pt idx="74">
                  <c:v>896.06507951807009</c:v>
                </c:pt>
                <c:pt idx="75">
                  <c:v>892.41476947791011</c:v>
                </c:pt>
                <c:pt idx="76">
                  <c:v>891.45729477912005</c:v>
                </c:pt>
                <c:pt idx="77">
                  <c:v>881.75475341364995</c:v>
                </c:pt>
                <c:pt idx="78">
                  <c:v>867.80878393574005</c:v>
                </c:pt>
                <c:pt idx="79">
                  <c:v>882.57728514055998</c:v>
                </c:pt>
                <c:pt idx="80">
                  <c:v>900.17191466834004</c:v>
                </c:pt>
                <c:pt idx="81">
                  <c:v>890.9065125888601</c:v>
                </c:pt>
                <c:pt idx="82">
                  <c:v>913.43716210993989</c:v>
                </c:pt>
                <c:pt idx="83">
                  <c:v>900.53334105657007</c:v>
                </c:pt>
                <c:pt idx="84">
                  <c:v>894.2081460457099</c:v>
                </c:pt>
                <c:pt idx="85">
                  <c:v>890.43869323446984</c:v>
                </c:pt>
                <c:pt idx="86">
                  <c:v>902.42774893783997</c:v>
                </c:pt>
                <c:pt idx="87">
                  <c:v>908.01984852593989</c:v>
                </c:pt>
                <c:pt idx="88">
                  <c:v>899.34366469089002</c:v>
                </c:pt>
                <c:pt idx="89">
                  <c:v>927.64706220380003</c:v>
                </c:pt>
                <c:pt idx="90">
                  <c:v>926.66671702886003</c:v>
                </c:pt>
                <c:pt idx="91">
                  <c:v>919.42713684316993</c:v>
                </c:pt>
                <c:pt idx="92">
                  <c:v>924.31825178527004</c:v>
                </c:pt>
                <c:pt idx="93">
                  <c:v>888.68065398067006</c:v>
                </c:pt>
                <c:pt idx="94">
                  <c:v>852.69760062615001</c:v>
                </c:pt>
                <c:pt idx="95">
                  <c:v>850.5827674917</c:v>
                </c:pt>
                <c:pt idx="96">
                  <c:v>880.83710881866</c:v>
                </c:pt>
                <c:pt idx="97">
                  <c:v>909.03716655758012</c:v>
                </c:pt>
                <c:pt idx="98">
                  <c:v>894.51063041975999</c:v>
                </c:pt>
                <c:pt idx="99">
                  <c:v>882.78003414931993</c:v>
                </c:pt>
                <c:pt idx="100">
                  <c:v>875.03604137218008</c:v>
                </c:pt>
                <c:pt idx="101">
                  <c:v>866.47204043632996</c:v>
                </c:pt>
                <c:pt idx="102">
                  <c:v>867.77925331901997</c:v>
                </c:pt>
                <c:pt idx="103">
                  <c:v>877.12665694624991</c:v>
                </c:pt>
                <c:pt idx="104">
                  <c:v>879.72291797501998</c:v>
                </c:pt>
                <c:pt idx="105">
                  <c:v>884.98829898587996</c:v>
                </c:pt>
                <c:pt idx="106">
                  <c:v>873.76566989689002</c:v>
                </c:pt>
                <c:pt idx="107">
                  <c:v>859.53112015021998</c:v>
                </c:pt>
                <c:pt idx="108">
                  <c:v>861.22684998212003</c:v>
                </c:pt>
                <c:pt idx="109">
                  <c:v>887.7370206346701</c:v>
                </c:pt>
                <c:pt idx="110">
                  <c:v>893.27098764234006</c:v>
                </c:pt>
                <c:pt idx="111">
                  <c:v>892.41070026497994</c:v>
                </c:pt>
                <c:pt idx="112">
                  <c:v>888.28923398246991</c:v>
                </c:pt>
                <c:pt idx="113">
                  <c:v>879.23025778878002</c:v>
                </c:pt>
                <c:pt idx="114">
                  <c:v>891.69734733476992</c:v>
                </c:pt>
                <c:pt idx="115">
                  <c:v>885.85882728342006</c:v>
                </c:pt>
                <c:pt idx="116">
                  <c:v>862.68018720144994</c:v>
                </c:pt>
                <c:pt idx="117">
                  <c:v>856.47389558232999</c:v>
                </c:pt>
                <c:pt idx="118">
                  <c:v>855.16465863453993</c:v>
                </c:pt>
                <c:pt idx="119">
                  <c:v>856.00963855417001</c:v>
                </c:pt>
                <c:pt idx="120">
                  <c:v>851.67309236948006</c:v>
                </c:pt>
                <c:pt idx="121">
                  <c:v>872.71726907631</c:v>
                </c:pt>
                <c:pt idx="122">
                  <c:v>869.20240963853996</c:v>
                </c:pt>
                <c:pt idx="123">
                  <c:v>859.55662650601005</c:v>
                </c:pt>
                <c:pt idx="124">
                  <c:v>856.92449799194992</c:v>
                </c:pt>
                <c:pt idx="125">
                  <c:v>855.96706827310004</c:v>
                </c:pt>
                <c:pt idx="126">
                  <c:v>845.36224899598005</c:v>
                </c:pt>
                <c:pt idx="127">
                  <c:v>848.60883534136997</c:v>
                </c:pt>
                <c:pt idx="128">
                  <c:v>847.23935742971992</c:v>
                </c:pt>
                <c:pt idx="129">
                  <c:v>855.95983935747995</c:v>
                </c:pt>
                <c:pt idx="130">
                  <c:v>805.42900041412008</c:v>
                </c:pt>
                <c:pt idx="131">
                  <c:v>775.04219082565999</c:v>
                </c:pt>
                <c:pt idx="132">
                  <c:v>845.73840984434003</c:v>
                </c:pt>
                <c:pt idx="133">
                  <c:v>817.28359330035005</c:v>
                </c:pt>
                <c:pt idx="134">
                  <c:v>822.39680901348004</c:v>
                </c:pt>
                <c:pt idx="135">
                  <c:v>827.23090215143998</c:v>
                </c:pt>
                <c:pt idx="136">
                  <c:v>829.81679029970996</c:v>
                </c:pt>
                <c:pt idx="137">
                  <c:v>810.45313937898004</c:v>
                </c:pt>
                <c:pt idx="138">
                  <c:v>827.28713281352998</c:v>
                </c:pt>
                <c:pt idx="139">
                  <c:v>818.4316042035</c:v>
                </c:pt>
                <c:pt idx="140">
                  <c:v>821.53496101487008</c:v>
                </c:pt>
                <c:pt idx="141">
                  <c:v>832.74088661108999</c:v>
                </c:pt>
                <c:pt idx="142">
                  <c:v>820.8478626397</c:v>
                </c:pt>
                <c:pt idx="143">
                  <c:v>840.61763329400992</c:v>
                </c:pt>
                <c:pt idx="144">
                  <c:v>808.60354483746005</c:v>
                </c:pt>
                <c:pt idx="145">
                  <c:v>838.43418876147007</c:v>
                </c:pt>
                <c:pt idx="146">
                  <c:v>828.83793407981</c:v>
                </c:pt>
                <c:pt idx="147">
                  <c:v>828.48673545857991</c:v>
                </c:pt>
                <c:pt idx="148">
                  <c:v>853.99817451624995</c:v>
                </c:pt>
                <c:pt idx="149">
                  <c:v>827.41185219346994</c:v>
                </c:pt>
                <c:pt idx="150">
                  <c:v>834.22599104552</c:v>
                </c:pt>
                <c:pt idx="151">
                  <c:v>842.62306450683002</c:v>
                </c:pt>
                <c:pt idx="152">
                  <c:v>856.34664783534004</c:v>
                </c:pt>
                <c:pt idx="153">
                  <c:v>862.77176841332994</c:v>
                </c:pt>
                <c:pt idx="154">
                  <c:v>843.77089674911997</c:v>
                </c:pt>
                <c:pt idx="155">
                  <c:v>857.69871846940998</c:v>
                </c:pt>
                <c:pt idx="156">
                  <c:v>842.03780257466997</c:v>
                </c:pt>
                <c:pt idx="157">
                  <c:v>800.08361888802006</c:v>
                </c:pt>
                <c:pt idx="158">
                  <c:v>807.5236042491299</c:v>
                </c:pt>
                <c:pt idx="159">
                  <c:v>826.84212976806998</c:v>
                </c:pt>
                <c:pt idx="160">
                  <c:v>841.14517505961999</c:v>
                </c:pt>
                <c:pt idx="161">
                  <c:v>816.02913617758998</c:v>
                </c:pt>
                <c:pt idx="162">
                  <c:v>806.90035032388005</c:v>
                </c:pt>
                <c:pt idx="163">
                  <c:v>795.10707154235001</c:v>
                </c:pt>
                <c:pt idx="164">
                  <c:v>801.38533896159993</c:v>
                </c:pt>
                <c:pt idx="165">
                  <c:v>828.79737327689998</c:v>
                </c:pt>
                <c:pt idx="166">
                  <c:v>840.29938003204995</c:v>
                </c:pt>
                <c:pt idx="167">
                  <c:v>805.57316617305003</c:v>
                </c:pt>
                <c:pt idx="168">
                  <c:v>813.19613154288004</c:v>
                </c:pt>
                <c:pt idx="169">
                  <c:v>850.6686756572899</c:v>
                </c:pt>
                <c:pt idx="170">
                  <c:v>859.41478755117009</c:v>
                </c:pt>
                <c:pt idx="171">
                  <c:v>848.78084424027998</c:v>
                </c:pt>
                <c:pt idx="172">
                  <c:v>852.86987951807998</c:v>
                </c:pt>
                <c:pt idx="173">
                  <c:v>894.03291875091008</c:v>
                </c:pt>
                <c:pt idx="174">
                  <c:v>870.57674510644995</c:v>
                </c:pt>
                <c:pt idx="175">
                  <c:v>881.15284543450002</c:v>
                </c:pt>
                <c:pt idx="176">
                  <c:v>877.17450328897007</c:v>
                </c:pt>
                <c:pt idx="177">
                  <c:v>882.25857675308009</c:v>
                </c:pt>
                <c:pt idx="178">
                  <c:v>871.06628277344998</c:v>
                </c:pt>
                <c:pt idx="179">
                  <c:v>843.70418514475</c:v>
                </c:pt>
                <c:pt idx="180">
                  <c:v>842.61871221855995</c:v>
                </c:pt>
                <c:pt idx="181">
                  <c:v>883.07541456151989</c:v>
                </c:pt>
                <c:pt idx="182">
                  <c:v>883.47942414817999</c:v>
                </c:pt>
                <c:pt idx="183">
                  <c:v>863.30855033038995</c:v>
                </c:pt>
                <c:pt idx="184">
                  <c:v>876.58938010105999</c:v>
                </c:pt>
                <c:pt idx="185">
                  <c:v>890.37310856331999</c:v>
                </c:pt>
                <c:pt idx="186">
                  <c:v>853.30581033812996</c:v>
                </c:pt>
                <c:pt idx="187">
                  <c:v>858.63356506636001</c:v>
                </c:pt>
                <c:pt idx="188">
                  <c:v>837.66567050323999</c:v>
                </c:pt>
                <c:pt idx="189">
                  <c:v>819.53423141890005</c:v>
                </c:pt>
                <c:pt idx="190">
                  <c:v>856.18409780606999</c:v>
                </c:pt>
                <c:pt idx="191">
                  <c:v>846.81325688607001</c:v>
                </c:pt>
                <c:pt idx="192">
                  <c:v>833.57279277883003</c:v>
                </c:pt>
                <c:pt idx="193">
                  <c:v>819.80367712889995</c:v>
                </c:pt>
                <c:pt idx="194">
                  <c:v>808.45016563067998</c:v>
                </c:pt>
                <c:pt idx="195">
                  <c:v>817.43397174355005</c:v>
                </c:pt>
                <c:pt idx="196">
                  <c:v>793.15131122098001</c:v>
                </c:pt>
                <c:pt idx="197">
                  <c:v>797.40188483015993</c:v>
                </c:pt>
                <c:pt idx="198">
                  <c:v>749.71709640493998</c:v>
                </c:pt>
                <c:pt idx="199">
                  <c:v>757.79727412063994</c:v>
                </c:pt>
                <c:pt idx="200">
                  <c:v>747.41041301243001</c:v>
                </c:pt>
                <c:pt idx="201">
                  <c:v>741.56093011664996</c:v>
                </c:pt>
                <c:pt idx="202">
                  <c:v>765.23863089590009</c:v>
                </c:pt>
                <c:pt idx="203">
                  <c:v>825.45298329356001</c:v>
                </c:pt>
                <c:pt idx="204">
                  <c:v>819.76031285044996</c:v>
                </c:pt>
                <c:pt idx="205">
                  <c:v>852.54011206115001</c:v>
                </c:pt>
                <c:pt idx="206">
                  <c:v>777.67159282290993</c:v>
                </c:pt>
                <c:pt idx="207">
                  <c:v>841.63491746551995</c:v>
                </c:pt>
                <c:pt idx="208">
                  <c:v>835.38550662829005</c:v>
                </c:pt>
                <c:pt idx="209">
                  <c:v>834.99648214742001</c:v>
                </c:pt>
                <c:pt idx="210">
                  <c:v>841.24644999950999</c:v>
                </c:pt>
                <c:pt idx="211">
                  <c:v>869.85943455098004</c:v>
                </c:pt>
                <c:pt idx="212">
                  <c:v>860.89224787593002</c:v>
                </c:pt>
                <c:pt idx="213">
                  <c:v>836.79779516472001</c:v>
                </c:pt>
                <c:pt idx="214">
                  <c:v>850.96136208810003</c:v>
                </c:pt>
                <c:pt idx="215">
                  <c:v>852.34907189338992</c:v>
                </c:pt>
                <c:pt idx="216">
                  <c:v>857.20263968494999</c:v>
                </c:pt>
                <c:pt idx="217">
                  <c:v>855.81774281591993</c:v>
                </c:pt>
                <c:pt idx="218">
                  <c:v>839.93684446524003</c:v>
                </c:pt>
                <c:pt idx="219">
                  <c:v>822.32802472024002</c:v>
                </c:pt>
                <c:pt idx="220">
                  <c:v>847.54311880108992</c:v>
                </c:pt>
                <c:pt idx="221">
                  <c:v>851.07219934049999</c:v>
                </c:pt>
                <c:pt idx="222">
                  <c:v>841.24176128976001</c:v>
                </c:pt>
                <c:pt idx="223">
                  <c:v>852.49809405487008</c:v>
                </c:pt>
                <c:pt idx="224">
                  <c:v>854.84233143605991</c:v>
                </c:pt>
                <c:pt idx="225">
                  <c:v>839.45912347854994</c:v>
                </c:pt>
                <c:pt idx="226">
                  <c:v>838.23421738692002</c:v>
                </c:pt>
                <c:pt idx="227">
                  <c:v>850.47896574189997</c:v>
                </c:pt>
                <c:pt idx="228">
                  <c:v>844.70473856684998</c:v>
                </c:pt>
                <c:pt idx="229">
                  <c:v>853.77853690793006</c:v>
                </c:pt>
                <c:pt idx="230">
                  <c:v>862.44509271952006</c:v>
                </c:pt>
                <c:pt idx="231">
                  <c:v>857.40232990073991</c:v>
                </c:pt>
                <c:pt idx="232">
                  <c:v>840.92208251893999</c:v>
                </c:pt>
                <c:pt idx="233">
                  <c:v>834.39535575717002</c:v>
                </c:pt>
                <c:pt idx="234">
                  <c:v>811.49123953440994</c:v>
                </c:pt>
                <c:pt idx="235">
                  <c:v>808.20549413149001</c:v>
                </c:pt>
                <c:pt idx="236">
                  <c:v>814.57891614885011</c:v>
                </c:pt>
                <c:pt idx="237">
                  <c:v>813.60393076731998</c:v>
                </c:pt>
                <c:pt idx="238">
                  <c:v>820.18658576380994</c:v>
                </c:pt>
                <c:pt idx="239">
                  <c:v>795.60427868993997</c:v>
                </c:pt>
                <c:pt idx="240">
                  <c:v>798.51631250539003</c:v>
                </c:pt>
                <c:pt idx="241">
                  <c:v>786.63977255173995</c:v>
                </c:pt>
                <c:pt idx="242">
                  <c:v>794.98181765523009</c:v>
                </c:pt>
                <c:pt idx="243">
                  <c:v>801.13260928328998</c:v>
                </c:pt>
                <c:pt idx="244">
                  <c:v>813.18575262589002</c:v>
                </c:pt>
                <c:pt idx="245">
                  <c:v>744.60089068516004</c:v>
                </c:pt>
                <c:pt idx="246">
                  <c:v>748.48267473710007</c:v>
                </c:pt>
                <c:pt idx="247">
                  <c:v>826.87095791752006</c:v>
                </c:pt>
                <c:pt idx="248">
                  <c:v>824.22126726302008</c:v>
                </c:pt>
                <c:pt idx="249">
                  <c:v>853.20841585739004</c:v>
                </c:pt>
                <c:pt idx="250">
                  <c:v>857.72540774029005</c:v>
                </c:pt>
                <c:pt idx="251">
                  <c:v>855.03843024833009</c:v>
                </c:pt>
                <c:pt idx="252">
                  <c:v>830.76464765816002</c:v>
                </c:pt>
                <c:pt idx="253">
                  <c:v>834.02835651287</c:v>
                </c:pt>
                <c:pt idx="254">
                  <c:v>843.42146140834006</c:v>
                </c:pt>
                <c:pt idx="255">
                  <c:v>844.11374307519009</c:v>
                </c:pt>
                <c:pt idx="256">
                  <c:v>853.65246645747004</c:v>
                </c:pt>
                <c:pt idx="257">
                  <c:v>847.76717351722004</c:v>
                </c:pt>
                <c:pt idx="258">
                  <c:v>848.74649466030996</c:v>
                </c:pt>
                <c:pt idx="259">
                  <c:v>852.24623574683994</c:v>
                </c:pt>
                <c:pt idx="260">
                  <c:v>842.31216635029</c:v>
                </c:pt>
                <c:pt idx="261">
                  <c:v>838.64645656581001</c:v>
                </c:pt>
                <c:pt idx="262">
                  <c:v>836.09093415463008</c:v>
                </c:pt>
                <c:pt idx="263">
                  <c:v>835.10695256911993</c:v>
                </c:pt>
                <c:pt idx="264">
                  <c:v>830.51620824131999</c:v>
                </c:pt>
                <c:pt idx="265">
                  <c:v>819.69155851702999</c:v>
                </c:pt>
                <c:pt idx="266">
                  <c:v>821.17893890674998</c:v>
                </c:pt>
                <c:pt idx="267">
                  <c:v>828.20633401774001</c:v>
                </c:pt>
                <c:pt idx="268">
                  <c:v>829.64457185655999</c:v>
                </c:pt>
                <c:pt idx="269">
                  <c:v>829.97519789770001</c:v>
                </c:pt>
                <c:pt idx="270">
                  <c:v>834.11753702914007</c:v>
                </c:pt>
                <c:pt idx="271">
                  <c:v>838.23983328812994</c:v>
                </c:pt>
                <c:pt idx="272">
                  <c:v>829.56652203670001</c:v>
                </c:pt>
                <c:pt idx="273">
                  <c:v>829.75227727631</c:v>
                </c:pt>
                <c:pt idx="274">
                  <c:v>825.11794509226002</c:v>
                </c:pt>
                <c:pt idx="275">
                  <c:v>822.99859437751002</c:v>
                </c:pt>
                <c:pt idx="276">
                  <c:v>844.17593654360996</c:v>
                </c:pt>
                <c:pt idx="277">
                  <c:v>835.34800294425997</c:v>
                </c:pt>
                <c:pt idx="278">
                  <c:v>843.47440695257001</c:v>
                </c:pt>
                <c:pt idx="279">
                  <c:v>839.37285411744006</c:v>
                </c:pt>
                <c:pt idx="280">
                  <c:v>836.21433967380995</c:v>
                </c:pt>
                <c:pt idx="281">
                  <c:v>835.13273027802995</c:v>
                </c:pt>
                <c:pt idx="282">
                  <c:v>834.49206924159</c:v>
                </c:pt>
                <c:pt idx="283">
                  <c:v>845.44999160630005</c:v>
                </c:pt>
                <c:pt idx="284">
                  <c:v>838.97042769147004</c:v>
                </c:pt>
                <c:pt idx="285">
                  <c:v>835.80009297641004</c:v>
                </c:pt>
                <c:pt idx="286">
                  <c:v>840.56935582328992</c:v>
                </c:pt>
                <c:pt idx="287">
                  <c:v>835.38934297189007</c:v>
                </c:pt>
                <c:pt idx="288">
                  <c:v>831.19328835341003</c:v>
                </c:pt>
                <c:pt idx="289">
                  <c:v>825.66394859437992</c:v>
                </c:pt>
                <c:pt idx="290">
                  <c:v>830.39220240963994</c:v>
                </c:pt>
                <c:pt idx="291">
                  <c:v>833.75517108433996</c:v>
                </c:pt>
                <c:pt idx="292">
                  <c:v>827.17886907629997</c:v>
                </c:pt>
                <c:pt idx="293">
                  <c:v>834.95645943774991</c:v>
                </c:pt>
                <c:pt idx="294">
                  <c:v>823.71782168675009</c:v>
                </c:pt>
                <c:pt idx="295">
                  <c:v>816.09656546184988</c:v>
                </c:pt>
                <c:pt idx="296">
                  <c:v>798.82352128514003</c:v>
                </c:pt>
                <c:pt idx="297">
                  <c:v>804.74931084336993</c:v>
                </c:pt>
                <c:pt idx="298">
                  <c:v>826.08052048192997</c:v>
                </c:pt>
                <c:pt idx="299">
                  <c:v>822.07240803212994</c:v>
                </c:pt>
                <c:pt idx="300">
                  <c:v>852.04813493975996</c:v>
                </c:pt>
                <c:pt idx="301">
                  <c:v>847.42296224899997</c:v>
                </c:pt>
                <c:pt idx="302">
                  <c:v>847.88262168674999</c:v>
                </c:pt>
                <c:pt idx="303">
                  <c:v>859.24975100402003</c:v>
                </c:pt>
                <c:pt idx="304">
                  <c:v>856.37054457831005</c:v>
                </c:pt>
                <c:pt idx="305">
                  <c:v>844.32051405621996</c:v>
                </c:pt>
                <c:pt idx="306">
                  <c:v>854.64863614458</c:v>
                </c:pt>
                <c:pt idx="307">
                  <c:v>855.83352289156994</c:v>
                </c:pt>
                <c:pt idx="308">
                  <c:v>849.06303935742994</c:v>
                </c:pt>
                <c:pt idx="309">
                  <c:v>847.73237590360998</c:v>
                </c:pt>
                <c:pt idx="310">
                  <c:v>849.6931983935699</c:v>
                </c:pt>
                <c:pt idx="311">
                  <c:v>853.24581204819003</c:v>
                </c:pt>
                <c:pt idx="312">
                  <c:v>849.34792931726997</c:v>
                </c:pt>
                <c:pt idx="313">
                  <c:v>847.93895903613998</c:v>
                </c:pt>
                <c:pt idx="314">
                  <c:v>844.43241445782996</c:v>
                </c:pt>
                <c:pt idx="315">
                  <c:v>847.07814618473992</c:v>
                </c:pt>
                <c:pt idx="316">
                  <c:v>857.11629595303998</c:v>
                </c:pt>
                <c:pt idx="317">
                  <c:v>863.47740384619999</c:v>
                </c:pt>
                <c:pt idx="318">
                  <c:v>847.42741350015001</c:v>
                </c:pt>
                <c:pt idx="319">
                  <c:v>853.05500656472009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5A-BA4F-9773-BDE63D9BC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39-FE49-BB75-3EEA3DE4AF7B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'240821A012'!$A$2:$A$321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'240821A012'!$P$2:$P$321</c:f>
              <c:numCache>
                <c:formatCode>General</c:formatCode>
                <c:ptCount val="320"/>
                <c:pt idx="0">
                  <c:v>-15.589873951750471</c:v>
                </c:pt>
                <c:pt idx="1">
                  <c:v>-15.755003382492697</c:v>
                </c:pt>
                <c:pt idx="2">
                  <c:v>-17.73532873864924</c:v>
                </c:pt>
                <c:pt idx="3">
                  <c:v>-17.863669079397244</c:v>
                </c:pt>
                <c:pt idx="4">
                  <c:v>-16.451302795076646</c:v>
                </c:pt>
                <c:pt idx="5">
                  <c:v>-16.625930489307571</c:v>
                </c:pt>
                <c:pt idx="6">
                  <c:v>-12.991994417042923</c:v>
                </c:pt>
                <c:pt idx="7">
                  <c:v>-15.828189631581862</c:v>
                </c:pt>
                <c:pt idx="8">
                  <c:v>-14.017288375335662</c:v>
                </c:pt>
                <c:pt idx="9">
                  <c:v>-16.588230994019167</c:v>
                </c:pt>
                <c:pt idx="10">
                  <c:v>-16.595996897006849</c:v>
                </c:pt>
                <c:pt idx="11">
                  <c:v>-15.16985846401035</c:v>
                </c:pt>
                <c:pt idx="12">
                  <c:v>-17.833149553940366</c:v>
                </c:pt>
                <c:pt idx="13">
                  <c:v>-18.038925407235819</c:v>
                </c:pt>
                <c:pt idx="14">
                  <c:v>-17.19658413138762</c:v>
                </c:pt>
                <c:pt idx="15">
                  <c:v>-17.040702916656709</c:v>
                </c:pt>
                <c:pt idx="16">
                  <c:v>-16.31012890875693</c:v>
                </c:pt>
                <c:pt idx="17">
                  <c:v>-16.347848510043221</c:v>
                </c:pt>
                <c:pt idx="18">
                  <c:v>-14.650906213596338</c:v>
                </c:pt>
                <c:pt idx="19">
                  <c:v>-14.886591650236717</c:v>
                </c:pt>
                <c:pt idx="20">
                  <c:v>-14.716095828076467</c:v>
                </c:pt>
                <c:pt idx="21">
                  <c:v>-14.750311360705604</c:v>
                </c:pt>
                <c:pt idx="22">
                  <c:v>-15.461382720868375</c:v>
                </c:pt>
                <c:pt idx="23">
                  <c:v>-15.096768762249816</c:v>
                </c:pt>
                <c:pt idx="24">
                  <c:v>-13.918148907758074</c:v>
                </c:pt>
                <c:pt idx="25">
                  <c:v>-14.900283708704375</c:v>
                </c:pt>
                <c:pt idx="26">
                  <c:v>-14.53095458992158</c:v>
                </c:pt>
                <c:pt idx="27">
                  <c:v>-14.847387891867303</c:v>
                </c:pt>
                <c:pt idx="28">
                  <c:v>-15.709779872554144</c:v>
                </c:pt>
                <c:pt idx="29">
                  <c:v>-14.392704331426012</c:v>
                </c:pt>
                <c:pt idx="30">
                  <c:v>-14.49632577287662</c:v>
                </c:pt>
                <c:pt idx="31">
                  <c:v>-15.232862084716064</c:v>
                </c:pt>
                <c:pt idx="32">
                  <c:v>-14.667638192538593</c:v>
                </c:pt>
                <c:pt idx="33">
                  <c:v>-10.089574687278208</c:v>
                </c:pt>
                <c:pt idx="34">
                  <c:v>-8.3568853891478287</c:v>
                </c:pt>
                <c:pt idx="35">
                  <c:v>-11.391214927281593</c:v>
                </c:pt>
                <c:pt idx="36">
                  <c:v>-12.190372132261562</c:v>
                </c:pt>
                <c:pt idx="37">
                  <c:v>-11.833141388022311</c:v>
                </c:pt>
                <c:pt idx="38">
                  <c:v>-13.502562201781048</c:v>
                </c:pt>
                <c:pt idx="39">
                  <c:v>-13.978165834228824</c:v>
                </c:pt>
                <c:pt idx="40">
                  <c:v>-13.509381186180978</c:v>
                </c:pt>
                <c:pt idx="41">
                  <c:v>-11.785598184526537</c:v>
                </c:pt>
                <c:pt idx="42">
                  <c:v>-11.833942676458683</c:v>
                </c:pt>
                <c:pt idx="43">
                  <c:v>-6.3084879585135019</c:v>
                </c:pt>
                <c:pt idx="44">
                  <c:v>-9.333851792451874</c:v>
                </c:pt>
                <c:pt idx="45">
                  <c:v>-11.175258776214077</c:v>
                </c:pt>
                <c:pt idx="46">
                  <c:v>-10.55685876447412</c:v>
                </c:pt>
                <c:pt idx="47">
                  <c:v>-11.194302139234269</c:v>
                </c:pt>
                <c:pt idx="48">
                  <c:v>-11.081594993418413</c:v>
                </c:pt>
                <c:pt idx="49">
                  <c:v>-11.261638330115828</c:v>
                </c:pt>
                <c:pt idx="50">
                  <c:v>-11.724486418025444</c:v>
                </c:pt>
                <c:pt idx="51">
                  <c:v>-12.097525192878889</c:v>
                </c:pt>
                <c:pt idx="52">
                  <c:v>-11.934516691870799</c:v>
                </c:pt>
                <c:pt idx="53">
                  <c:v>-10.921315191249112</c:v>
                </c:pt>
                <c:pt idx="54">
                  <c:v>-12.082882747819982</c:v>
                </c:pt>
                <c:pt idx="55">
                  <c:v>-9.9611253609582135</c:v>
                </c:pt>
                <c:pt idx="56">
                  <c:v>-9.4214537911909382</c:v>
                </c:pt>
                <c:pt idx="57">
                  <c:v>-10.627002896560862</c:v>
                </c:pt>
                <c:pt idx="58">
                  <c:v>-10.731384096324186</c:v>
                </c:pt>
                <c:pt idx="59">
                  <c:v>-10.800917244833565</c:v>
                </c:pt>
                <c:pt idx="60">
                  <c:v>-6.8017733936407128</c:v>
                </c:pt>
                <c:pt idx="61">
                  <c:v>-2.2332423880764223</c:v>
                </c:pt>
                <c:pt idx="62">
                  <c:v>-1.1399423960896882</c:v>
                </c:pt>
                <c:pt idx="63">
                  <c:v>-3.2819557486640525</c:v>
                </c:pt>
                <c:pt idx="64">
                  <c:v>-4.0654250632480444</c:v>
                </c:pt>
                <c:pt idx="65">
                  <c:v>-2.5388484326166654</c:v>
                </c:pt>
                <c:pt idx="66">
                  <c:v>7.6039904059568491</c:v>
                </c:pt>
                <c:pt idx="67">
                  <c:v>3.0564951191356684</c:v>
                </c:pt>
                <c:pt idx="68">
                  <c:v>6.7474446214684107</c:v>
                </c:pt>
                <c:pt idx="69">
                  <c:v>2.7719048716185837</c:v>
                </c:pt>
                <c:pt idx="70">
                  <c:v>1.466559802694378</c:v>
                </c:pt>
                <c:pt idx="71">
                  <c:v>0.54811042803817289</c:v>
                </c:pt>
                <c:pt idx="72">
                  <c:v>-0.22570316202140875</c:v>
                </c:pt>
                <c:pt idx="73">
                  <c:v>-2.0136516947465308</c:v>
                </c:pt>
                <c:pt idx="74">
                  <c:v>-3.0894148203918137</c:v>
                </c:pt>
                <c:pt idx="75">
                  <c:v>-4.1115677610439318</c:v>
                </c:pt>
                <c:pt idx="76">
                  <c:v>-4.4294672399431647</c:v>
                </c:pt>
                <c:pt idx="77">
                  <c:v>-4.4902543766641969</c:v>
                </c:pt>
                <c:pt idx="78">
                  <c:v>5.7299630732041171</c:v>
                </c:pt>
                <c:pt idx="79">
                  <c:v>10.496778155030869</c:v>
                </c:pt>
                <c:pt idx="80">
                  <c:v>10.116364697984615</c:v>
                </c:pt>
                <c:pt idx="81">
                  <c:v>17.646508867465972</c:v>
                </c:pt>
                <c:pt idx="82">
                  <c:v>16.742864576794283</c:v>
                </c:pt>
                <c:pt idx="83">
                  <c:v>15.350830002768658</c:v>
                </c:pt>
                <c:pt idx="84">
                  <c:v>15.711900974370806</c:v>
                </c:pt>
                <c:pt idx="85">
                  <c:v>22.385299504591398</c:v>
                </c:pt>
                <c:pt idx="86">
                  <c:v>25.216447471153856</c:v>
                </c:pt>
                <c:pt idx="87">
                  <c:v>39.971572088319405</c:v>
                </c:pt>
                <c:pt idx="88">
                  <c:v>44.488507710377213</c:v>
                </c:pt>
                <c:pt idx="89">
                  <c:v>45.74999383880273</c:v>
                </c:pt>
                <c:pt idx="90">
                  <c:v>34.142330769736986</c:v>
                </c:pt>
                <c:pt idx="91">
                  <c:v>29.932414864742267</c:v>
                </c:pt>
                <c:pt idx="92">
                  <c:v>25.622067806774329</c:v>
                </c:pt>
                <c:pt idx="93">
                  <c:v>23.216449996025549</c:v>
                </c:pt>
                <c:pt idx="94">
                  <c:v>32.294957331460253</c:v>
                </c:pt>
                <c:pt idx="95">
                  <c:v>23.690125378888354</c:v>
                </c:pt>
                <c:pt idx="96">
                  <c:v>22.31838649771209</c:v>
                </c:pt>
                <c:pt idx="97">
                  <c:v>38.473321541643138</c:v>
                </c:pt>
                <c:pt idx="98">
                  <c:v>42.673611127303893</c:v>
                </c:pt>
                <c:pt idx="99">
                  <c:v>35.061991886757248</c:v>
                </c:pt>
                <c:pt idx="100">
                  <c:v>29.882501969031061</c:v>
                </c:pt>
                <c:pt idx="101">
                  <c:v>24.241806904785172</c:v>
                </c:pt>
                <c:pt idx="102">
                  <c:v>36.84381792851152</c:v>
                </c:pt>
                <c:pt idx="103">
                  <c:v>36.814036634029293</c:v>
                </c:pt>
                <c:pt idx="104">
                  <c:v>38.978163965503789</c:v>
                </c:pt>
                <c:pt idx="105">
                  <c:v>36.162954193460273</c:v>
                </c:pt>
                <c:pt idx="106">
                  <c:v>27.395114730374566</c:v>
                </c:pt>
                <c:pt idx="107">
                  <c:v>22.120618336423011</c:v>
                </c:pt>
                <c:pt idx="108">
                  <c:v>19.762199655313641</c:v>
                </c:pt>
                <c:pt idx="109">
                  <c:v>22.740622772555511</c:v>
                </c:pt>
                <c:pt idx="110">
                  <c:v>28.847063525138196</c:v>
                </c:pt>
                <c:pt idx="111">
                  <c:v>27.990852009414684</c:v>
                </c:pt>
                <c:pt idx="112">
                  <c:v>31.404289946879686</c:v>
                </c:pt>
                <c:pt idx="113">
                  <c:v>29.116722374638922</c:v>
                </c:pt>
                <c:pt idx="114">
                  <c:v>31.130128406497342</c:v>
                </c:pt>
                <c:pt idx="115">
                  <c:v>25.351058363241247</c:v>
                </c:pt>
                <c:pt idx="116">
                  <c:v>28.9672224511</c:v>
                </c:pt>
                <c:pt idx="117">
                  <c:v>32.584617657357114</c:v>
                </c:pt>
                <c:pt idx="118">
                  <c:v>36.165385776453022</c:v>
                </c:pt>
                <c:pt idx="119">
                  <c:v>33.018419929074192</c:v>
                </c:pt>
                <c:pt idx="120">
                  <c:v>33.624374079331261</c:v>
                </c:pt>
                <c:pt idx="121">
                  <c:v>36.052505774299533</c:v>
                </c:pt>
                <c:pt idx="122">
                  <c:v>29.775645864045082</c:v>
                </c:pt>
                <c:pt idx="123">
                  <c:v>30.493051835633089</c:v>
                </c:pt>
                <c:pt idx="124">
                  <c:v>28.988955596699633</c:v>
                </c:pt>
                <c:pt idx="125">
                  <c:v>27.538434254601619</c:v>
                </c:pt>
                <c:pt idx="126">
                  <c:v>32.058454671171901</c:v>
                </c:pt>
                <c:pt idx="127">
                  <c:v>35.500339404827244</c:v>
                </c:pt>
                <c:pt idx="128">
                  <c:v>29.631058037396908</c:v>
                </c:pt>
                <c:pt idx="129">
                  <c:v>27.461881883408807</c:v>
                </c:pt>
                <c:pt idx="130">
                  <c:v>31.80955804849766</c:v>
                </c:pt>
                <c:pt idx="131">
                  <c:v>22.634990983719366</c:v>
                </c:pt>
                <c:pt idx="132">
                  <c:v>15.532704455212626</c:v>
                </c:pt>
                <c:pt idx="133">
                  <c:v>12.692492406024611</c:v>
                </c:pt>
                <c:pt idx="134">
                  <c:v>15.455263681808168</c:v>
                </c:pt>
                <c:pt idx="135">
                  <c:v>17.570450287428844</c:v>
                </c:pt>
                <c:pt idx="136">
                  <c:v>12.400531135597692</c:v>
                </c:pt>
                <c:pt idx="137">
                  <c:v>8.8945400400373558</c:v>
                </c:pt>
                <c:pt idx="138">
                  <c:v>11.459415807255647</c:v>
                </c:pt>
                <c:pt idx="139">
                  <c:v>21.235466591596499</c:v>
                </c:pt>
                <c:pt idx="140">
                  <c:v>25.639034195336276</c:v>
                </c:pt>
                <c:pt idx="141">
                  <c:v>25.816613645563784</c:v>
                </c:pt>
                <c:pt idx="142">
                  <c:v>22.414302264876724</c:v>
                </c:pt>
                <c:pt idx="143">
                  <c:v>25.37503692202985</c:v>
                </c:pt>
                <c:pt idx="144">
                  <c:v>20.781893625015186</c:v>
                </c:pt>
                <c:pt idx="145">
                  <c:v>24.903933896831578</c:v>
                </c:pt>
                <c:pt idx="146">
                  <c:v>23.549811880193531</c:v>
                </c:pt>
                <c:pt idx="147">
                  <c:v>16.171118806933301</c:v>
                </c:pt>
                <c:pt idx="148">
                  <c:v>13.593833337031247</c:v>
                </c:pt>
                <c:pt idx="149">
                  <c:v>20.335677434688101</c:v>
                </c:pt>
                <c:pt idx="150">
                  <c:v>20.958859262705541</c:v>
                </c:pt>
                <c:pt idx="151">
                  <c:v>27.846723326230045</c:v>
                </c:pt>
                <c:pt idx="152">
                  <c:v>18.501122522640131</c:v>
                </c:pt>
                <c:pt idx="153">
                  <c:v>14.628710485260479</c:v>
                </c:pt>
                <c:pt idx="154">
                  <c:v>15.070599817826869</c:v>
                </c:pt>
                <c:pt idx="155">
                  <c:v>10.537096896547993</c:v>
                </c:pt>
                <c:pt idx="156">
                  <c:v>9.1869944872668938</c:v>
                </c:pt>
                <c:pt idx="157">
                  <c:v>11.168162533697117</c:v>
                </c:pt>
                <c:pt idx="158">
                  <c:v>13.841291477597281</c:v>
                </c:pt>
                <c:pt idx="159">
                  <c:v>9.9537932000656308</c:v>
                </c:pt>
                <c:pt idx="160">
                  <c:v>4.4342277483723267</c:v>
                </c:pt>
                <c:pt idx="161">
                  <c:v>3.4242310060166434</c:v>
                </c:pt>
                <c:pt idx="162">
                  <c:v>16.18790685363556</c:v>
                </c:pt>
                <c:pt idx="163">
                  <c:v>17.015946791988966</c:v>
                </c:pt>
                <c:pt idx="164">
                  <c:v>22.180424403734747</c:v>
                </c:pt>
                <c:pt idx="165">
                  <c:v>22.39398360112677</c:v>
                </c:pt>
                <c:pt idx="166">
                  <c:v>19.85518499085731</c:v>
                </c:pt>
                <c:pt idx="167">
                  <c:v>25.382358536262998</c:v>
                </c:pt>
                <c:pt idx="168">
                  <c:v>31.346709566183172</c:v>
                </c:pt>
                <c:pt idx="169">
                  <c:v>34.684833421023093</c:v>
                </c:pt>
                <c:pt idx="170">
                  <c:v>22.05763765532102</c:v>
                </c:pt>
                <c:pt idx="171">
                  <c:v>23.565197037432757</c:v>
                </c:pt>
                <c:pt idx="172">
                  <c:v>39.739842793215203</c:v>
                </c:pt>
                <c:pt idx="173">
                  <c:v>46.842015175071076</c:v>
                </c:pt>
                <c:pt idx="174">
                  <c:v>56.724721752589225</c:v>
                </c:pt>
                <c:pt idx="175">
                  <c:v>51.905532101327182</c:v>
                </c:pt>
                <c:pt idx="176">
                  <c:v>53.306909311645676</c:v>
                </c:pt>
                <c:pt idx="177">
                  <c:v>57.482776603986288</c:v>
                </c:pt>
                <c:pt idx="178">
                  <c:v>56.441844698334535</c:v>
                </c:pt>
                <c:pt idx="179">
                  <c:v>50.886761632883029</c:v>
                </c:pt>
                <c:pt idx="180">
                  <c:v>57.291486930078094</c:v>
                </c:pt>
                <c:pt idx="181">
                  <c:v>60.079165490734177</c:v>
                </c:pt>
                <c:pt idx="182">
                  <c:v>54.954362495255118</c:v>
                </c:pt>
                <c:pt idx="183">
                  <c:v>57.414400180033368</c:v>
                </c:pt>
                <c:pt idx="184">
                  <c:v>49.185872080804302</c:v>
                </c:pt>
                <c:pt idx="185">
                  <c:v>43.595235162767757</c:v>
                </c:pt>
                <c:pt idx="186">
                  <c:v>36.4367999440123</c:v>
                </c:pt>
                <c:pt idx="187">
                  <c:v>30.724104144966496</c:v>
                </c:pt>
                <c:pt idx="188">
                  <c:v>23.639497801435951</c:v>
                </c:pt>
                <c:pt idx="189">
                  <c:v>38.316299400499709</c:v>
                </c:pt>
                <c:pt idx="190">
                  <c:v>41.305980204888712</c:v>
                </c:pt>
                <c:pt idx="191">
                  <c:v>49.20370996649207</c:v>
                </c:pt>
                <c:pt idx="192">
                  <c:v>50.14723269720632</c:v>
                </c:pt>
                <c:pt idx="193">
                  <c:v>44.97062957941661</c:v>
                </c:pt>
                <c:pt idx="194">
                  <c:v>40.70293612908543</c:v>
                </c:pt>
                <c:pt idx="195">
                  <c:v>32.582224105740828</c:v>
                </c:pt>
                <c:pt idx="196">
                  <c:v>30.254176904675806</c:v>
                </c:pt>
                <c:pt idx="197">
                  <c:v>42.601131354000707</c:v>
                </c:pt>
                <c:pt idx="198">
                  <c:v>47.210150970223609</c:v>
                </c:pt>
                <c:pt idx="199">
                  <c:v>49.827621230207356</c:v>
                </c:pt>
                <c:pt idx="200">
                  <c:v>59.524374642942504</c:v>
                </c:pt>
                <c:pt idx="201">
                  <c:v>56.071432277389668</c:v>
                </c:pt>
                <c:pt idx="202">
                  <c:v>41.080469748130064</c:v>
                </c:pt>
                <c:pt idx="203">
                  <c:v>37.330959711580029</c:v>
                </c:pt>
                <c:pt idx="204">
                  <c:v>40.380033088987709</c:v>
                </c:pt>
                <c:pt idx="205">
                  <c:v>40.252045281590568</c:v>
                </c:pt>
                <c:pt idx="206">
                  <c:v>55.177374883207719</c:v>
                </c:pt>
                <c:pt idx="207">
                  <c:v>55.954360735362016</c:v>
                </c:pt>
                <c:pt idx="208">
                  <c:v>48.021259642933906</c:v>
                </c:pt>
                <c:pt idx="209">
                  <c:v>43.709409793984811</c:v>
                </c:pt>
                <c:pt idx="210">
                  <c:v>44.198798173115421</c:v>
                </c:pt>
                <c:pt idx="211">
                  <c:v>44.679954792228713</c:v>
                </c:pt>
                <c:pt idx="212">
                  <c:v>44.785770280749624</c:v>
                </c:pt>
                <c:pt idx="213">
                  <c:v>54.835303395486811</c:v>
                </c:pt>
                <c:pt idx="214">
                  <c:v>48.364483623710427</c:v>
                </c:pt>
                <c:pt idx="215">
                  <c:v>38.825504568901501</c:v>
                </c:pt>
                <c:pt idx="216">
                  <c:v>37.023496529605104</c:v>
                </c:pt>
                <c:pt idx="217">
                  <c:v>34.563161304732283</c:v>
                </c:pt>
                <c:pt idx="218">
                  <c:v>33.792907172688693</c:v>
                </c:pt>
                <c:pt idx="219">
                  <c:v>34.439332511875705</c:v>
                </c:pt>
                <c:pt idx="220">
                  <c:v>36.649564696521949</c:v>
                </c:pt>
                <c:pt idx="221">
                  <c:v>27.030520516690725</c:v>
                </c:pt>
                <c:pt idx="222">
                  <c:v>19.930136767347406</c:v>
                </c:pt>
                <c:pt idx="223">
                  <c:v>21.596020887743233</c:v>
                </c:pt>
                <c:pt idx="224">
                  <c:v>14.958205748875757</c:v>
                </c:pt>
                <c:pt idx="225">
                  <c:v>24.391894618086177</c:v>
                </c:pt>
                <c:pt idx="226">
                  <c:v>18.570436867549013</c:v>
                </c:pt>
                <c:pt idx="227">
                  <c:v>14.934736873585935</c:v>
                </c:pt>
                <c:pt idx="228">
                  <c:v>15.720061982489298</c:v>
                </c:pt>
                <c:pt idx="229">
                  <c:v>18.727526724124875</c:v>
                </c:pt>
                <c:pt idx="230">
                  <c:v>25.272864644095261</c:v>
                </c:pt>
                <c:pt idx="231">
                  <c:v>26.811380079817575</c:v>
                </c:pt>
                <c:pt idx="232">
                  <c:v>26.410844373609226</c:v>
                </c:pt>
                <c:pt idx="233">
                  <c:v>18.015813923297653</c:v>
                </c:pt>
                <c:pt idx="234">
                  <c:v>10.860335779015857</c:v>
                </c:pt>
                <c:pt idx="235">
                  <c:v>8.7712403038151354</c:v>
                </c:pt>
                <c:pt idx="236">
                  <c:v>19.163273500362841</c:v>
                </c:pt>
                <c:pt idx="237">
                  <c:v>28.385387627057511</c:v>
                </c:pt>
                <c:pt idx="238">
                  <c:v>43.328632187943022</c:v>
                </c:pt>
                <c:pt idx="239">
                  <c:v>51.78981188776941</c:v>
                </c:pt>
                <c:pt idx="240">
                  <c:v>50.914492380932927</c:v>
                </c:pt>
                <c:pt idx="241">
                  <c:v>49.30685964945895</c:v>
                </c:pt>
                <c:pt idx="242">
                  <c:v>41.312150756671464</c:v>
                </c:pt>
                <c:pt idx="243">
                  <c:v>32.936286582766705</c:v>
                </c:pt>
                <c:pt idx="244">
                  <c:v>27.386138086703411</c:v>
                </c:pt>
                <c:pt idx="245">
                  <c:v>21.054731273597831</c:v>
                </c:pt>
                <c:pt idx="246">
                  <c:v>18.613241114244978</c:v>
                </c:pt>
                <c:pt idx="247">
                  <c:v>13.948059148561176</c:v>
                </c:pt>
                <c:pt idx="248">
                  <c:v>9.3756362255416636</c:v>
                </c:pt>
                <c:pt idx="249">
                  <c:v>6.329140059142917</c:v>
                </c:pt>
                <c:pt idx="250">
                  <c:v>4.0651720521737307</c:v>
                </c:pt>
                <c:pt idx="251">
                  <c:v>3.5014537325178812</c:v>
                </c:pt>
                <c:pt idx="252">
                  <c:v>1.2562627651766871</c:v>
                </c:pt>
                <c:pt idx="253">
                  <c:v>-0.87570569480268334</c:v>
                </c:pt>
                <c:pt idx="254">
                  <c:v>-3.2049301849897023</c:v>
                </c:pt>
                <c:pt idx="255">
                  <c:v>-1.9715238152265759</c:v>
                </c:pt>
                <c:pt idx="256">
                  <c:v>-1.5663615501459078</c:v>
                </c:pt>
                <c:pt idx="257">
                  <c:v>-3.2222338464863296</c:v>
                </c:pt>
                <c:pt idx="258">
                  <c:v>-3.7957290884009636</c:v>
                </c:pt>
                <c:pt idx="259">
                  <c:v>-2.6304505999898748</c:v>
                </c:pt>
                <c:pt idx="260">
                  <c:v>-3.7482622605628326</c:v>
                </c:pt>
                <c:pt idx="261">
                  <c:v>-1.5491023356055824</c:v>
                </c:pt>
                <c:pt idx="262">
                  <c:v>-2.3963627906180158</c:v>
                </c:pt>
                <c:pt idx="263">
                  <c:v>3.5568185515145476</c:v>
                </c:pt>
                <c:pt idx="264">
                  <c:v>5.3930398427435797</c:v>
                </c:pt>
                <c:pt idx="265">
                  <c:v>3.1997354360355801</c:v>
                </c:pt>
                <c:pt idx="266">
                  <c:v>0.6688106850889064</c:v>
                </c:pt>
                <c:pt idx="267">
                  <c:v>-1.0233904267815035</c:v>
                </c:pt>
                <c:pt idx="268">
                  <c:v>-1.9228746645225441</c:v>
                </c:pt>
                <c:pt idx="269">
                  <c:v>-3.6231805309279728</c:v>
                </c:pt>
                <c:pt idx="270">
                  <c:v>-4.4403230929746709</c:v>
                </c:pt>
                <c:pt idx="271">
                  <c:v>-3.6047300754662337</c:v>
                </c:pt>
                <c:pt idx="272">
                  <c:v>-4.689352279109273</c:v>
                </c:pt>
                <c:pt idx="273">
                  <c:v>3.6139838963423445</c:v>
                </c:pt>
                <c:pt idx="274">
                  <c:v>3.3173869263788918</c:v>
                </c:pt>
                <c:pt idx="275">
                  <c:v>7.6172034392732941</c:v>
                </c:pt>
                <c:pt idx="276">
                  <c:v>5.4785326379418926</c:v>
                </c:pt>
                <c:pt idx="277">
                  <c:v>1.3503837195726278</c:v>
                </c:pt>
                <c:pt idx="278">
                  <c:v>-0.31998002820369675</c:v>
                </c:pt>
                <c:pt idx="279">
                  <c:v>-2.8452578057074884</c:v>
                </c:pt>
                <c:pt idx="280">
                  <c:v>-4.2337667477591729</c:v>
                </c:pt>
                <c:pt idx="281">
                  <c:v>4.341442202100855</c:v>
                </c:pt>
                <c:pt idx="282">
                  <c:v>3.1832630905089419</c:v>
                </c:pt>
                <c:pt idx="283">
                  <c:v>-1.4407475620205774</c:v>
                </c:pt>
                <c:pt idx="284">
                  <c:v>-4.0609744775817962</c:v>
                </c:pt>
                <c:pt idx="285">
                  <c:v>10.5782764825633</c:v>
                </c:pt>
                <c:pt idx="286">
                  <c:v>16.907442270974904</c:v>
                </c:pt>
                <c:pt idx="287">
                  <c:v>15.437303085034356</c:v>
                </c:pt>
                <c:pt idx="288">
                  <c:v>13.940160635290768</c:v>
                </c:pt>
                <c:pt idx="289">
                  <c:v>11.965925923250802</c:v>
                </c:pt>
                <c:pt idx="290">
                  <c:v>8.8425278693064442</c:v>
                </c:pt>
                <c:pt idx="291">
                  <c:v>3.4936938742995207</c:v>
                </c:pt>
                <c:pt idx="292">
                  <c:v>1.3234669292127357</c:v>
                </c:pt>
                <c:pt idx="293">
                  <c:v>2.4890813147454365</c:v>
                </c:pt>
                <c:pt idx="294">
                  <c:v>8.1458202407236868</c:v>
                </c:pt>
                <c:pt idx="295">
                  <c:v>10.081250541065707</c:v>
                </c:pt>
                <c:pt idx="296">
                  <c:v>10.519736049414066</c:v>
                </c:pt>
                <c:pt idx="297">
                  <c:v>15.143188429126278</c:v>
                </c:pt>
                <c:pt idx="298">
                  <c:v>10.686940113401135</c:v>
                </c:pt>
                <c:pt idx="299">
                  <c:v>10.236620949866762</c:v>
                </c:pt>
                <c:pt idx="300">
                  <c:v>6.5767785126981977</c:v>
                </c:pt>
                <c:pt idx="301">
                  <c:v>7.7820050953573112</c:v>
                </c:pt>
                <c:pt idx="302">
                  <c:v>5.7123490244121342</c:v>
                </c:pt>
                <c:pt idx="303">
                  <c:v>5.4462209131949626</c:v>
                </c:pt>
                <c:pt idx="304">
                  <c:v>17.392489309512658</c:v>
                </c:pt>
                <c:pt idx="305">
                  <c:v>13.047848786574544</c:v>
                </c:pt>
                <c:pt idx="306">
                  <c:v>15.106116797430818</c:v>
                </c:pt>
                <c:pt idx="307">
                  <c:v>9.6483668598687942</c:v>
                </c:pt>
                <c:pt idx="308">
                  <c:v>10.390768737432438</c:v>
                </c:pt>
                <c:pt idx="309">
                  <c:v>11.058356246838631</c:v>
                </c:pt>
                <c:pt idx="310">
                  <c:v>6.8777420099427085</c:v>
                </c:pt>
                <c:pt idx="311">
                  <c:v>8.3929113954609367</c:v>
                </c:pt>
                <c:pt idx="312">
                  <c:v>9.9035776953312293</c:v>
                </c:pt>
                <c:pt idx="313">
                  <c:v>5.4799190588039757</c:v>
                </c:pt>
                <c:pt idx="314">
                  <c:v>0.96295485155138361</c:v>
                </c:pt>
                <c:pt idx="315">
                  <c:v>-1.7184551516191793</c:v>
                </c:pt>
                <c:pt idx="316">
                  <c:v>-3.003435420816607</c:v>
                </c:pt>
                <c:pt idx="317">
                  <c:v>5.1463781567503135</c:v>
                </c:pt>
                <c:pt idx="318">
                  <c:v>11.671608845832198</c:v>
                </c:pt>
                <c:pt idx="319">
                  <c:v>16.244077279913409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39-FE49-BB75-3EEA3DE4A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E757681-EAF2-41C2-BBE0-91F376B16A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40A90A-8F50-41E9-8976-09F3B9053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AB145243-A18A-AF4E-9987-990127070D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3C495C-6502-D740-9D0B-9FC5D7E89C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884C3B49-6214-CE49-8D2A-2612E1A53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1748BB-20A2-B54C-8D40-FE8FFA555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9F89D85A-0622-274D-869A-837BC21D15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B0C3E0-5CC9-7A4F-935B-F3D89E199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7ABF8AFD-9C6F-564F-A7FD-2BD28D8D0A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3DEC2F-2D42-4745-B20B-3F28C25620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reannawalsh/Documents/UCLA%20::%202019-2027/Hallem%20Lab/Data/Calcium%20Imaging%20Data/Analysis%20Worksheets/2024-0705_Walsh_CI_Data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. A Template"/>
      <sheetName val="Cond. B Template"/>
    </sheetNames>
    <sheetDataSet>
      <sheetData sheetId="0"/>
      <sheetData sheetId="1">
        <row r="64">
          <cell r="X64">
            <v>-13</v>
          </cell>
        </row>
        <row r="65">
          <cell r="X65">
            <v>-13</v>
          </cell>
        </row>
        <row r="66">
          <cell r="X66">
            <v>-13</v>
          </cell>
        </row>
        <row r="67">
          <cell r="X67">
            <v>-13</v>
          </cell>
        </row>
        <row r="68">
          <cell r="X68">
            <v>-13</v>
          </cell>
        </row>
        <row r="69">
          <cell r="X69">
            <v>-13</v>
          </cell>
        </row>
        <row r="70">
          <cell r="X70">
            <v>-13</v>
          </cell>
        </row>
        <row r="71">
          <cell r="X71">
            <v>-13</v>
          </cell>
        </row>
        <row r="72">
          <cell r="X72">
            <v>-13</v>
          </cell>
        </row>
        <row r="73">
          <cell r="X73">
            <v>-13</v>
          </cell>
        </row>
        <row r="74">
          <cell r="X74">
            <v>-13</v>
          </cell>
        </row>
        <row r="75">
          <cell r="X75">
            <v>-13</v>
          </cell>
        </row>
        <row r="76">
          <cell r="X76">
            <v>-13</v>
          </cell>
        </row>
        <row r="77">
          <cell r="X77">
            <v>-13</v>
          </cell>
        </row>
        <row r="78">
          <cell r="X78">
            <v>-13</v>
          </cell>
        </row>
        <row r="79">
          <cell r="X79">
            <v>-13</v>
          </cell>
        </row>
        <row r="80">
          <cell r="X80">
            <v>-13</v>
          </cell>
        </row>
        <row r="81">
          <cell r="X81">
            <v>-13</v>
          </cell>
        </row>
        <row r="82">
          <cell r="A82">
            <v>40.5</v>
          </cell>
          <cell r="X82">
            <v>-13</v>
          </cell>
        </row>
        <row r="83">
          <cell r="A83">
            <v>41</v>
          </cell>
          <cell r="X83">
            <v>-13</v>
          </cell>
        </row>
        <row r="84">
          <cell r="A84">
            <v>41.5</v>
          </cell>
          <cell r="X84">
            <v>-13</v>
          </cell>
        </row>
        <row r="85">
          <cell r="A85">
            <v>42</v>
          </cell>
          <cell r="X85">
            <v>-13</v>
          </cell>
        </row>
        <row r="86">
          <cell r="A86">
            <v>42.5</v>
          </cell>
          <cell r="X86">
            <v>-13</v>
          </cell>
        </row>
        <row r="87">
          <cell r="A87">
            <v>43</v>
          </cell>
          <cell r="X87">
            <v>-13</v>
          </cell>
        </row>
        <row r="88">
          <cell r="A88">
            <v>43.5</v>
          </cell>
          <cell r="X88">
            <v>-13</v>
          </cell>
        </row>
        <row r="89">
          <cell r="A89">
            <v>44</v>
          </cell>
          <cell r="X89">
            <v>-13</v>
          </cell>
        </row>
        <row r="90">
          <cell r="A90">
            <v>44.5</v>
          </cell>
          <cell r="X90">
            <v>-13</v>
          </cell>
        </row>
        <row r="91">
          <cell r="A91">
            <v>45</v>
          </cell>
          <cell r="X91">
            <v>-13</v>
          </cell>
        </row>
        <row r="92">
          <cell r="A92">
            <v>45.5</v>
          </cell>
          <cell r="X92">
            <v>-13</v>
          </cell>
        </row>
        <row r="93">
          <cell r="A93">
            <v>46</v>
          </cell>
          <cell r="X93">
            <v>-13</v>
          </cell>
        </row>
        <row r="94">
          <cell r="A94">
            <v>46.5</v>
          </cell>
          <cell r="X94">
            <v>-13</v>
          </cell>
        </row>
        <row r="95">
          <cell r="A95">
            <v>47</v>
          </cell>
          <cell r="X95">
            <v>-13</v>
          </cell>
        </row>
        <row r="96">
          <cell r="A96">
            <v>47.5</v>
          </cell>
          <cell r="X96">
            <v>-13</v>
          </cell>
        </row>
        <row r="97">
          <cell r="A97">
            <v>48</v>
          </cell>
          <cell r="X97">
            <v>-13</v>
          </cell>
        </row>
        <row r="98">
          <cell r="A98">
            <v>48.5</v>
          </cell>
          <cell r="X98">
            <v>-13</v>
          </cell>
        </row>
        <row r="99">
          <cell r="A99">
            <v>49</v>
          </cell>
          <cell r="X99">
            <v>-13</v>
          </cell>
        </row>
        <row r="100">
          <cell r="A100">
            <v>49.5</v>
          </cell>
          <cell r="X100">
            <v>-13</v>
          </cell>
        </row>
        <row r="101">
          <cell r="A101">
            <v>50</v>
          </cell>
          <cell r="X101">
            <v>-13</v>
          </cell>
        </row>
        <row r="102">
          <cell r="A102">
            <v>50.5</v>
          </cell>
          <cell r="X102">
            <v>-13</v>
          </cell>
        </row>
        <row r="103">
          <cell r="A103">
            <v>51</v>
          </cell>
          <cell r="X103">
            <v>-13</v>
          </cell>
        </row>
        <row r="104">
          <cell r="A104">
            <v>51.5</v>
          </cell>
          <cell r="X104">
            <v>-13</v>
          </cell>
        </row>
        <row r="105">
          <cell r="A105">
            <v>52</v>
          </cell>
          <cell r="X105">
            <v>-13</v>
          </cell>
        </row>
        <row r="106">
          <cell r="A106">
            <v>52.5</v>
          </cell>
          <cell r="X106">
            <v>-13</v>
          </cell>
        </row>
        <row r="107">
          <cell r="A107">
            <v>53</v>
          </cell>
          <cell r="X107">
            <v>-13</v>
          </cell>
        </row>
        <row r="108">
          <cell r="A108">
            <v>53.5</v>
          </cell>
          <cell r="X108">
            <v>-13</v>
          </cell>
        </row>
        <row r="109">
          <cell r="A109">
            <v>54</v>
          </cell>
          <cell r="X109">
            <v>-13</v>
          </cell>
        </row>
        <row r="110">
          <cell r="A110">
            <v>54.5</v>
          </cell>
          <cell r="X110">
            <v>-13</v>
          </cell>
        </row>
        <row r="111">
          <cell r="A111">
            <v>55</v>
          </cell>
          <cell r="X111">
            <v>-13</v>
          </cell>
        </row>
        <row r="112">
          <cell r="A112">
            <v>55.5</v>
          </cell>
          <cell r="X112">
            <v>-13</v>
          </cell>
        </row>
        <row r="113">
          <cell r="A113">
            <v>56</v>
          </cell>
          <cell r="X113">
            <v>-13</v>
          </cell>
        </row>
        <row r="114">
          <cell r="A114">
            <v>56.5</v>
          </cell>
          <cell r="X114">
            <v>-13</v>
          </cell>
        </row>
        <row r="115">
          <cell r="A115">
            <v>57</v>
          </cell>
          <cell r="X115">
            <v>-13</v>
          </cell>
        </row>
        <row r="116">
          <cell r="A116">
            <v>57.5</v>
          </cell>
          <cell r="X116">
            <v>-13</v>
          </cell>
        </row>
        <row r="117">
          <cell r="A117">
            <v>58</v>
          </cell>
          <cell r="X117">
            <v>-13</v>
          </cell>
        </row>
        <row r="118">
          <cell r="A118">
            <v>58.5</v>
          </cell>
          <cell r="X118">
            <v>-13</v>
          </cell>
        </row>
        <row r="119">
          <cell r="A119">
            <v>59</v>
          </cell>
          <cell r="X119">
            <v>-13</v>
          </cell>
        </row>
        <row r="120">
          <cell r="A120">
            <v>59.5</v>
          </cell>
          <cell r="X120">
            <v>-13</v>
          </cell>
        </row>
        <row r="121">
          <cell r="A121">
            <v>60</v>
          </cell>
          <cell r="X121">
            <v>-13</v>
          </cell>
        </row>
        <row r="122">
          <cell r="A122">
            <v>60.5</v>
          </cell>
          <cell r="X122">
            <v>-13</v>
          </cell>
        </row>
        <row r="123">
          <cell r="A123">
            <v>61</v>
          </cell>
          <cell r="X123">
            <v>-13</v>
          </cell>
        </row>
        <row r="124">
          <cell r="A124">
            <v>61.5</v>
          </cell>
          <cell r="X124">
            <v>-13</v>
          </cell>
        </row>
        <row r="125">
          <cell r="A125">
            <v>62</v>
          </cell>
          <cell r="X125">
            <v>-13</v>
          </cell>
        </row>
        <row r="126">
          <cell r="A126">
            <v>62.5</v>
          </cell>
          <cell r="X126">
            <v>-13</v>
          </cell>
        </row>
        <row r="127">
          <cell r="A127">
            <v>63</v>
          </cell>
          <cell r="X127">
            <v>-13</v>
          </cell>
        </row>
        <row r="128">
          <cell r="A128">
            <v>63.5</v>
          </cell>
          <cell r="X128">
            <v>-13</v>
          </cell>
        </row>
        <row r="129">
          <cell r="A129">
            <v>64</v>
          </cell>
          <cell r="X129">
            <v>-13</v>
          </cell>
        </row>
        <row r="130">
          <cell r="A130">
            <v>64.5</v>
          </cell>
          <cell r="X130">
            <v>-13</v>
          </cell>
        </row>
        <row r="131">
          <cell r="A131">
            <v>65</v>
          </cell>
          <cell r="X131">
            <v>-13</v>
          </cell>
        </row>
        <row r="132">
          <cell r="A132">
            <v>65.5</v>
          </cell>
          <cell r="X132">
            <v>-13</v>
          </cell>
        </row>
        <row r="133">
          <cell r="A133">
            <v>66</v>
          </cell>
          <cell r="X133">
            <v>-13</v>
          </cell>
        </row>
        <row r="134">
          <cell r="A134">
            <v>66.5</v>
          </cell>
          <cell r="X134">
            <v>-13</v>
          </cell>
        </row>
        <row r="135">
          <cell r="A135">
            <v>67</v>
          </cell>
          <cell r="X135">
            <v>-13</v>
          </cell>
        </row>
        <row r="136">
          <cell r="A136">
            <v>67.5</v>
          </cell>
          <cell r="X136">
            <v>-13</v>
          </cell>
        </row>
        <row r="137">
          <cell r="A137">
            <v>68</v>
          </cell>
          <cell r="X137">
            <v>-13</v>
          </cell>
        </row>
        <row r="138">
          <cell r="A138">
            <v>68.5</v>
          </cell>
          <cell r="X138">
            <v>-13</v>
          </cell>
        </row>
        <row r="139">
          <cell r="A139">
            <v>69</v>
          </cell>
          <cell r="X139">
            <v>-13</v>
          </cell>
        </row>
        <row r="140">
          <cell r="A140">
            <v>69.5</v>
          </cell>
          <cell r="X140">
            <v>-13</v>
          </cell>
        </row>
        <row r="141">
          <cell r="A141">
            <v>70</v>
          </cell>
          <cell r="X141">
            <v>-13</v>
          </cell>
        </row>
        <row r="142">
          <cell r="A142">
            <v>70.5</v>
          </cell>
          <cell r="X142">
            <v>-13</v>
          </cell>
        </row>
        <row r="143">
          <cell r="A143">
            <v>71</v>
          </cell>
          <cell r="X143">
            <v>-13</v>
          </cell>
        </row>
        <row r="144">
          <cell r="A144">
            <v>71.5</v>
          </cell>
        </row>
        <row r="145">
          <cell r="A145">
            <v>72</v>
          </cell>
        </row>
        <row r="146">
          <cell r="A146">
            <v>72.5</v>
          </cell>
        </row>
        <row r="147">
          <cell r="A147">
            <v>73</v>
          </cell>
        </row>
        <row r="148">
          <cell r="A148">
            <v>73.5</v>
          </cell>
        </row>
        <row r="149">
          <cell r="A149">
            <v>74</v>
          </cell>
        </row>
        <row r="150">
          <cell r="A150">
            <v>74.5</v>
          </cell>
        </row>
        <row r="151">
          <cell r="A151">
            <v>75</v>
          </cell>
        </row>
        <row r="152">
          <cell r="A152">
            <v>75.5</v>
          </cell>
        </row>
        <row r="153">
          <cell r="A153">
            <v>76</v>
          </cell>
        </row>
        <row r="154">
          <cell r="A154">
            <v>76.5</v>
          </cell>
        </row>
        <row r="155">
          <cell r="A155">
            <v>77</v>
          </cell>
        </row>
        <row r="156">
          <cell r="A156">
            <v>77.5</v>
          </cell>
        </row>
        <row r="157">
          <cell r="A157">
            <v>78</v>
          </cell>
        </row>
        <row r="158">
          <cell r="A158">
            <v>78.5</v>
          </cell>
        </row>
        <row r="159">
          <cell r="A159">
            <v>79</v>
          </cell>
        </row>
        <row r="160">
          <cell r="A160">
            <v>79.5</v>
          </cell>
        </row>
        <row r="161">
          <cell r="A161">
            <v>80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29B9-751D-423C-B44D-F20CD410FAF0}">
  <dimension ref="A1:Y798"/>
  <sheetViews>
    <sheetView zoomScale="44" zoomScaleNormal="70" workbookViewId="0">
      <selection activeCell="N2" sqref="N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1741.2848979592</v>
      </c>
      <c r="E2">
        <v>422.91428571428997</v>
      </c>
      <c r="F2">
        <v>155.46737357258999</v>
      </c>
      <c r="G2">
        <v>127.06280587275999</v>
      </c>
      <c r="H2" s="4"/>
      <c r="I2" s="5">
        <f>E2-G2</f>
        <v>295.85147984152997</v>
      </c>
      <c r="J2" s="5">
        <f>D2-F2</f>
        <v>1585.8175243866099</v>
      </c>
      <c r="K2" s="9">
        <f>I2*1</f>
        <v>295.85147984152997</v>
      </c>
      <c r="L2" s="6">
        <f t="shared" ref="L2:L65" si="0">K2/J2</f>
        <v>0.18656085917322962</v>
      </c>
      <c r="M2" s="6">
        <f>L2+ABS($N$2)*A2</f>
        <v>0.18656085917322962</v>
      </c>
      <c r="N2" s="4">
        <f>LINEST(V64:V103,U64:U103)</f>
        <v>9.1152331474086924E-4</v>
      </c>
      <c r="O2" s="7">
        <f>AVERAGE(M62:M81)</f>
        <v>0.21419143063847565</v>
      </c>
      <c r="P2" s="4">
        <f>(M2-$O$2)/$O$2*100</f>
        <v>-12.899942534060788</v>
      </c>
    </row>
    <row r="3" spans="1:16" x14ac:dyDescent="0.2">
      <c r="A3" s="8">
        <v>0.5</v>
      </c>
      <c r="B3" s="8">
        <v>1</v>
      </c>
      <c r="D3">
        <v>1720.3959183674001</v>
      </c>
      <c r="E3">
        <v>419.43673469388</v>
      </c>
      <c r="F3">
        <v>155.84013050570999</v>
      </c>
      <c r="G3">
        <v>126.36949429038</v>
      </c>
      <c r="I3" s="9">
        <f t="shared" ref="I3:I66" si="1">E3-G3</f>
        <v>293.06724040350002</v>
      </c>
      <c r="J3" s="9">
        <f t="shared" ref="J3:J66" si="2">D3-F3</f>
        <v>1564.5557878616901</v>
      </c>
      <c r="K3" s="9">
        <f t="shared" ref="K3:K66" si="3">I3*1</f>
        <v>293.06724040350002</v>
      </c>
      <c r="L3" s="10">
        <f t="shared" si="0"/>
        <v>0.18731658064046469</v>
      </c>
      <c r="M3" s="10">
        <f t="shared" ref="M3:M66" si="4">L3+ABS($N$2)*A3</f>
        <v>0.18777234229783513</v>
      </c>
      <c r="P3" s="8">
        <f t="shared" ref="P3:P66" si="5">(M3-$O$2)/$O$2*100</f>
        <v>-12.334334880666701</v>
      </c>
    </row>
    <row r="4" spans="1:16" ht="16" x14ac:dyDescent="0.2">
      <c r="A4" s="8">
        <v>1</v>
      </c>
      <c r="B4" s="8">
        <v>2</v>
      </c>
      <c r="D4">
        <v>1825.3278688524999</v>
      </c>
      <c r="E4">
        <v>436.88196721311999</v>
      </c>
      <c r="F4">
        <v>155.79282218597001</v>
      </c>
      <c r="G4">
        <v>126.78058727569</v>
      </c>
      <c r="I4" s="9">
        <f t="shared" si="1"/>
        <v>310.10137993743001</v>
      </c>
      <c r="J4" s="9">
        <f t="shared" si="2"/>
        <v>1669.53504666653</v>
      </c>
      <c r="K4" s="9">
        <f t="shared" si="3"/>
        <v>310.10137993743001</v>
      </c>
      <c r="L4" s="10">
        <f t="shared" si="0"/>
        <v>0.18574116222153744</v>
      </c>
      <c r="M4" s="10">
        <f t="shared" si="4"/>
        <v>0.18665268553627831</v>
      </c>
      <c r="N4" s="1" t="s">
        <v>7</v>
      </c>
      <c r="P4" s="8">
        <f t="shared" si="5"/>
        <v>-12.857071368405387</v>
      </c>
    </row>
    <row r="5" spans="1:16" x14ac:dyDescent="0.2">
      <c r="A5" s="8">
        <v>1.5</v>
      </c>
      <c r="B5" s="8">
        <v>3</v>
      </c>
      <c r="D5">
        <v>1845.9608482870999</v>
      </c>
      <c r="E5">
        <v>437.11256117455002</v>
      </c>
      <c r="F5">
        <v>156.67373572593999</v>
      </c>
      <c r="G5">
        <v>126.44045676998</v>
      </c>
      <c r="I5" s="9">
        <f t="shared" si="1"/>
        <v>310.67210440457001</v>
      </c>
      <c r="J5" s="9">
        <f t="shared" si="2"/>
        <v>1689.28711256116</v>
      </c>
      <c r="K5" s="9">
        <f t="shared" si="3"/>
        <v>310.67210440457001</v>
      </c>
      <c r="L5" s="10">
        <f t="shared" si="0"/>
        <v>0.18390722458869302</v>
      </c>
      <c r="M5" s="10">
        <f t="shared" si="4"/>
        <v>0.18527450956080432</v>
      </c>
      <c r="N5" s="8">
        <f>RSQ(V64:V83,U64:U83)</f>
        <v>9.1705545463360183E-2</v>
      </c>
      <c r="P5" s="8">
        <f t="shared" si="5"/>
        <v>-13.500503260785877</v>
      </c>
    </row>
    <row r="6" spans="1:16" x14ac:dyDescent="0.2">
      <c r="A6" s="8">
        <v>2</v>
      </c>
      <c r="B6" s="8">
        <v>4</v>
      </c>
      <c r="D6">
        <v>1802.8878960195</v>
      </c>
      <c r="E6">
        <v>432.32006498781999</v>
      </c>
      <c r="F6">
        <v>155.84910277325</v>
      </c>
      <c r="G6">
        <v>126.45106035889</v>
      </c>
      <c r="I6" s="9">
        <f t="shared" si="1"/>
        <v>305.86900462892999</v>
      </c>
      <c r="J6" s="9">
        <f t="shared" si="2"/>
        <v>1647.03879324625</v>
      </c>
      <c r="K6" s="9">
        <f t="shared" si="3"/>
        <v>305.86900462892999</v>
      </c>
      <c r="L6" s="10">
        <f t="shared" si="0"/>
        <v>0.18570843982737892</v>
      </c>
      <c r="M6" s="10">
        <f t="shared" si="4"/>
        <v>0.18753148645686066</v>
      </c>
      <c r="P6" s="8">
        <f t="shared" si="5"/>
        <v>-12.446783749539049</v>
      </c>
    </row>
    <row r="7" spans="1:16" x14ac:dyDescent="0.2">
      <c r="A7" s="8">
        <v>2.5</v>
      </c>
      <c r="B7" s="8">
        <v>5</v>
      </c>
      <c r="D7">
        <v>1863.3817292007</v>
      </c>
      <c r="E7">
        <v>442.15986949428998</v>
      </c>
      <c r="F7">
        <v>155.72349102773001</v>
      </c>
      <c r="G7">
        <v>126.92251223491</v>
      </c>
      <c r="I7" s="9">
        <f t="shared" si="1"/>
        <v>315.23735725937996</v>
      </c>
      <c r="J7" s="9">
        <f t="shared" si="2"/>
        <v>1707.65823817297</v>
      </c>
      <c r="K7" s="9">
        <f t="shared" si="3"/>
        <v>315.23735725937996</v>
      </c>
      <c r="L7" s="10">
        <f t="shared" si="0"/>
        <v>0.18460213537613568</v>
      </c>
      <c r="M7" s="10">
        <f t="shared" si="4"/>
        <v>0.18688094366298785</v>
      </c>
      <c r="P7" s="8">
        <f t="shared" si="5"/>
        <v>-12.750504020669236</v>
      </c>
    </row>
    <row r="8" spans="1:16" x14ac:dyDescent="0.2">
      <c r="A8" s="8">
        <v>3</v>
      </c>
      <c r="B8" s="8">
        <v>6</v>
      </c>
      <c r="D8">
        <v>1882.5970636215</v>
      </c>
      <c r="E8">
        <v>444.80097879281999</v>
      </c>
      <c r="F8">
        <v>155.69331158238001</v>
      </c>
      <c r="G8">
        <v>126.35399673736001</v>
      </c>
      <c r="I8" s="9">
        <f t="shared" si="1"/>
        <v>318.44698205546001</v>
      </c>
      <c r="J8" s="9">
        <f t="shared" si="2"/>
        <v>1726.90375203912</v>
      </c>
      <c r="K8" s="9">
        <f t="shared" si="3"/>
        <v>318.44698205546001</v>
      </c>
      <c r="L8" s="10">
        <f t="shared" si="0"/>
        <v>0.18440343399534528</v>
      </c>
      <c r="M8" s="10">
        <f t="shared" si="4"/>
        <v>0.18713800393956789</v>
      </c>
      <c r="P8" s="8">
        <f t="shared" si="5"/>
        <v>-12.630489753145191</v>
      </c>
    </row>
    <row r="9" spans="1:16" x14ac:dyDescent="0.2">
      <c r="A9" s="8">
        <v>3.5</v>
      </c>
      <c r="B9" s="8">
        <v>7</v>
      </c>
      <c r="D9">
        <v>1876.2</v>
      </c>
      <c r="E9">
        <v>443.04408163264998</v>
      </c>
      <c r="F9">
        <v>156.41109298532001</v>
      </c>
      <c r="G9">
        <v>126.36215334421</v>
      </c>
      <c r="I9" s="9">
        <f t="shared" si="1"/>
        <v>316.68192828843996</v>
      </c>
      <c r="J9" s="9">
        <f t="shared" si="2"/>
        <v>1719.78890701468</v>
      </c>
      <c r="K9" s="9">
        <f t="shared" si="3"/>
        <v>316.68192828843996</v>
      </c>
      <c r="L9" s="10">
        <f t="shared" si="0"/>
        <v>0.1841399993899</v>
      </c>
      <c r="M9" s="10">
        <f t="shared" si="4"/>
        <v>0.18733033099149304</v>
      </c>
      <c r="P9" s="8">
        <f t="shared" si="5"/>
        <v>-12.54069762124157</v>
      </c>
    </row>
    <row r="10" spans="1:16" x14ac:dyDescent="0.2">
      <c r="A10" s="8">
        <v>4</v>
      </c>
      <c r="B10" s="8">
        <v>8</v>
      </c>
      <c r="D10">
        <v>1893.3240589198001</v>
      </c>
      <c r="E10">
        <v>442.23895253683003</v>
      </c>
      <c r="F10">
        <v>155.91517128874</v>
      </c>
      <c r="G10">
        <v>126.60766721044</v>
      </c>
      <c r="I10" s="9">
        <f t="shared" si="1"/>
        <v>315.63128532639001</v>
      </c>
      <c r="J10" s="9">
        <f t="shared" si="2"/>
        <v>1737.4088876310602</v>
      </c>
      <c r="K10" s="9">
        <f t="shared" si="3"/>
        <v>315.63128532639001</v>
      </c>
      <c r="L10" s="10">
        <f t="shared" si="0"/>
        <v>0.18166782015070163</v>
      </c>
      <c r="M10" s="10">
        <f t="shared" si="4"/>
        <v>0.1853139134096651</v>
      </c>
      <c r="P10" s="8">
        <f t="shared" si="5"/>
        <v>-13.482106703676507</v>
      </c>
    </row>
    <row r="11" spans="1:16" x14ac:dyDescent="0.2">
      <c r="A11" s="8">
        <v>4.5</v>
      </c>
      <c r="B11" s="8">
        <v>9</v>
      </c>
      <c r="D11">
        <v>1907.0761047463</v>
      </c>
      <c r="E11">
        <v>445.26104746317998</v>
      </c>
      <c r="F11">
        <v>156.10277324633</v>
      </c>
      <c r="G11">
        <v>126.12153344209</v>
      </c>
      <c r="I11" s="9">
        <f t="shared" si="1"/>
        <v>319.13951402109001</v>
      </c>
      <c r="J11" s="9">
        <f t="shared" si="2"/>
        <v>1750.9733314999698</v>
      </c>
      <c r="K11" s="9">
        <f t="shared" si="3"/>
        <v>319.13951402109001</v>
      </c>
      <c r="L11" s="10">
        <f t="shared" si="0"/>
        <v>0.18226406323830152</v>
      </c>
      <c r="M11" s="10">
        <f t="shared" si="4"/>
        <v>0.18636591815463543</v>
      </c>
      <c r="P11" s="8">
        <f t="shared" si="5"/>
        <v>-12.990955054035602</v>
      </c>
    </row>
    <row r="12" spans="1:16" x14ac:dyDescent="0.2">
      <c r="A12" s="8">
        <v>5</v>
      </c>
      <c r="B12" s="8">
        <v>10</v>
      </c>
      <c r="D12">
        <v>1828.6920556921</v>
      </c>
      <c r="E12">
        <v>433.65683865684002</v>
      </c>
      <c r="F12">
        <v>155.48287112560999</v>
      </c>
      <c r="G12">
        <v>126.39967373573</v>
      </c>
      <c r="I12" s="9">
        <f t="shared" si="1"/>
        <v>307.25716492111002</v>
      </c>
      <c r="J12" s="9">
        <f t="shared" si="2"/>
        <v>1673.20918456649</v>
      </c>
      <c r="K12" s="9">
        <f t="shared" si="3"/>
        <v>307.25716492111002</v>
      </c>
      <c r="L12" s="10">
        <f t="shared" si="0"/>
        <v>0.18363344389644679</v>
      </c>
      <c r="M12" s="10">
        <f t="shared" si="4"/>
        <v>0.18819106047015113</v>
      </c>
      <c r="P12" s="8">
        <f t="shared" si="5"/>
        <v>-12.138847054161287</v>
      </c>
    </row>
    <row r="13" spans="1:16" x14ac:dyDescent="0.2">
      <c r="A13" s="8">
        <v>5.5</v>
      </c>
      <c r="B13" s="8">
        <v>11</v>
      </c>
      <c r="D13">
        <v>1819.8321048321</v>
      </c>
      <c r="E13">
        <v>437.54873054873002</v>
      </c>
      <c r="F13">
        <v>155.44045676997999</v>
      </c>
      <c r="G13">
        <v>126.41435562805999</v>
      </c>
      <c r="I13" s="9">
        <f t="shared" si="1"/>
        <v>311.13437492067004</v>
      </c>
      <c r="J13" s="9">
        <f t="shared" si="2"/>
        <v>1664.3916480621199</v>
      </c>
      <c r="K13" s="9">
        <f t="shared" si="3"/>
        <v>311.13437492067004</v>
      </c>
      <c r="L13" s="10">
        <f t="shared" si="0"/>
        <v>0.18693579439846938</v>
      </c>
      <c r="M13" s="10">
        <f t="shared" si="4"/>
        <v>0.19194917262954417</v>
      </c>
      <c r="P13" s="8">
        <f t="shared" si="5"/>
        <v>-10.384289391331073</v>
      </c>
    </row>
    <row r="14" spans="1:16" x14ac:dyDescent="0.2">
      <c r="A14" s="8">
        <v>6</v>
      </c>
      <c r="B14" s="8">
        <v>12</v>
      </c>
      <c r="D14">
        <v>1839.9713349712999</v>
      </c>
      <c r="E14">
        <v>437.31777231776999</v>
      </c>
      <c r="F14">
        <v>155.75693311582</v>
      </c>
      <c r="G14">
        <v>126.40701468189</v>
      </c>
      <c r="I14" s="9">
        <f t="shared" si="1"/>
        <v>310.91075763587997</v>
      </c>
      <c r="J14" s="9">
        <f t="shared" si="2"/>
        <v>1684.21440185548</v>
      </c>
      <c r="K14" s="9">
        <f t="shared" si="3"/>
        <v>310.91075763587997</v>
      </c>
      <c r="L14" s="10">
        <f t="shared" si="0"/>
        <v>0.18460283755640203</v>
      </c>
      <c r="M14" s="10">
        <f t="shared" si="4"/>
        <v>0.19007197744484725</v>
      </c>
      <c r="P14" s="8">
        <f t="shared" si="5"/>
        <v>-11.260699422816113</v>
      </c>
    </row>
    <row r="15" spans="1:16" x14ac:dyDescent="0.2">
      <c r="A15" s="8">
        <v>6.5</v>
      </c>
      <c r="B15" s="8">
        <v>13</v>
      </c>
      <c r="D15">
        <v>1867.3988533989</v>
      </c>
      <c r="E15">
        <v>435.07862407862001</v>
      </c>
      <c r="F15">
        <v>155.97553017945</v>
      </c>
      <c r="G15">
        <v>126.97797716149999</v>
      </c>
      <c r="I15" s="9">
        <f t="shared" si="1"/>
        <v>308.10064691712</v>
      </c>
      <c r="J15" s="9">
        <f t="shared" si="2"/>
        <v>1711.4233232194499</v>
      </c>
      <c r="K15" s="9">
        <f t="shared" si="3"/>
        <v>308.10064691712</v>
      </c>
      <c r="L15" s="10">
        <f t="shared" si="0"/>
        <v>0.18002597179611612</v>
      </c>
      <c r="M15" s="10">
        <f t="shared" si="4"/>
        <v>0.18595087334193178</v>
      </c>
      <c r="P15" s="8">
        <f t="shared" si="5"/>
        <v>-13.184727891476609</v>
      </c>
    </row>
    <row r="16" spans="1:16" x14ac:dyDescent="0.2">
      <c r="A16" s="8">
        <v>7</v>
      </c>
      <c r="B16" s="8">
        <v>14</v>
      </c>
      <c r="D16">
        <v>1921.9649265905</v>
      </c>
      <c r="E16">
        <v>442.45350734095001</v>
      </c>
      <c r="F16">
        <v>155.88743882545</v>
      </c>
      <c r="G16">
        <v>126.74061990212</v>
      </c>
      <c r="I16" s="9">
        <f t="shared" si="1"/>
        <v>315.71288743883002</v>
      </c>
      <c r="J16" s="9">
        <f t="shared" si="2"/>
        <v>1766.0774877650499</v>
      </c>
      <c r="K16" s="9">
        <f t="shared" si="3"/>
        <v>315.71288743883002</v>
      </c>
      <c r="L16" s="10">
        <f t="shared" si="0"/>
        <v>0.17876502567186955</v>
      </c>
      <c r="M16" s="10">
        <f t="shared" si="4"/>
        <v>0.18514568887505564</v>
      </c>
      <c r="P16" s="8">
        <f t="shared" si="5"/>
        <v>-13.560646043045974</v>
      </c>
    </row>
    <row r="17" spans="1:16" x14ac:dyDescent="0.2">
      <c r="A17" s="8">
        <v>7.5</v>
      </c>
      <c r="B17" s="8">
        <v>15</v>
      </c>
      <c r="D17">
        <v>1908.072593801</v>
      </c>
      <c r="E17">
        <v>438.50734094617002</v>
      </c>
      <c r="F17">
        <v>156.53915171289</v>
      </c>
      <c r="G17">
        <v>127.25611745514</v>
      </c>
      <c r="I17" s="9">
        <f t="shared" si="1"/>
        <v>311.25122349103003</v>
      </c>
      <c r="J17" s="9">
        <f t="shared" si="2"/>
        <v>1751.53344208811</v>
      </c>
      <c r="K17" s="9">
        <f t="shared" si="3"/>
        <v>311.25122349103003</v>
      </c>
      <c r="L17" s="10">
        <f t="shared" si="0"/>
        <v>0.17770213003753355</v>
      </c>
      <c r="M17" s="10">
        <f t="shared" si="4"/>
        <v>0.18453855489809007</v>
      </c>
      <c r="P17" s="8">
        <f t="shared" si="5"/>
        <v>-13.844099949281057</v>
      </c>
    </row>
    <row r="18" spans="1:16" x14ac:dyDescent="0.2">
      <c r="A18" s="8">
        <v>8</v>
      </c>
      <c r="B18" s="8">
        <v>16</v>
      </c>
      <c r="D18">
        <v>1894.9396411093001</v>
      </c>
      <c r="E18">
        <v>440.91435562805998</v>
      </c>
      <c r="F18">
        <v>156.50652528548</v>
      </c>
      <c r="G18">
        <v>126.33442088091</v>
      </c>
      <c r="I18" s="9">
        <f t="shared" si="1"/>
        <v>314.57993474714999</v>
      </c>
      <c r="J18" s="9">
        <f t="shared" si="2"/>
        <v>1738.4331158238201</v>
      </c>
      <c r="K18" s="9">
        <f t="shared" si="3"/>
        <v>314.57993474714999</v>
      </c>
      <c r="L18" s="10">
        <f t="shared" si="0"/>
        <v>0.18095601831542124</v>
      </c>
      <c r="M18" s="10">
        <f t="shared" si="4"/>
        <v>0.1882482048333482</v>
      </c>
      <c r="P18" s="8">
        <f t="shared" si="5"/>
        <v>-12.112167946119138</v>
      </c>
    </row>
    <row r="19" spans="1:16" x14ac:dyDescent="0.2">
      <c r="A19" s="8">
        <v>8.5</v>
      </c>
      <c r="B19" s="8">
        <v>17</v>
      </c>
      <c r="D19">
        <v>1864.0735895339001</v>
      </c>
      <c r="E19">
        <v>438.93785772690001</v>
      </c>
      <c r="F19">
        <v>156.6207177814</v>
      </c>
      <c r="G19">
        <v>126.57096247961</v>
      </c>
      <c r="I19" s="9">
        <f t="shared" si="1"/>
        <v>312.36689524729002</v>
      </c>
      <c r="J19" s="9">
        <f t="shared" si="2"/>
        <v>1707.4528717525</v>
      </c>
      <c r="K19" s="9">
        <f t="shared" si="3"/>
        <v>312.36689524729002</v>
      </c>
      <c r="L19" s="10">
        <f t="shared" si="0"/>
        <v>0.18294320178025297</v>
      </c>
      <c r="M19" s="10">
        <f t="shared" si="4"/>
        <v>0.19069114995555037</v>
      </c>
      <c r="P19" s="8">
        <f t="shared" si="5"/>
        <v>-10.971625061224032</v>
      </c>
    </row>
    <row r="20" spans="1:16" x14ac:dyDescent="0.2">
      <c r="A20" s="8">
        <v>9</v>
      </c>
      <c r="B20" s="8">
        <v>18</v>
      </c>
      <c r="D20">
        <v>1855.0629599346</v>
      </c>
      <c r="E20">
        <v>437.79149632052003</v>
      </c>
      <c r="F20">
        <v>156.41272430669</v>
      </c>
      <c r="G20">
        <v>126.79853181077</v>
      </c>
      <c r="I20" s="9">
        <f t="shared" si="1"/>
        <v>310.99296450975004</v>
      </c>
      <c r="J20" s="9">
        <f t="shared" si="2"/>
        <v>1698.65023562791</v>
      </c>
      <c r="K20" s="9">
        <f t="shared" si="3"/>
        <v>310.99296450975004</v>
      </c>
      <c r="L20" s="10">
        <f t="shared" si="0"/>
        <v>0.18308240153676533</v>
      </c>
      <c r="M20" s="10">
        <f t="shared" si="4"/>
        <v>0.19128611136943316</v>
      </c>
      <c r="P20" s="8">
        <f t="shared" si="5"/>
        <v>-10.693854184905922</v>
      </c>
    </row>
    <row r="21" spans="1:16" x14ac:dyDescent="0.2">
      <c r="A21" s="8">
        <v>9.5</v>
      </c>
      <c r="B21" s="8">
        <v>19</v>
      </c>
      <c r="D21">
        <v>1870.9787408013001</v>
      </c>
      <c r="E21">
        <v>438.30171708913002</v>
      </c>
      <c r="F21">
        <v>157.25203915170999</v>
      </c>
      <c r="G21">
        <v>126.80995106036001</v>
      </c>
      <c r="I21" s="9">
        <f t="shared" si="1"/>
        <v>311.49176602877003</v>
      </c>
      <c r="J21" s="9">
        <f t="shared" si="2"/>
        <v>1713.72670164959</v>
      </c>
      <c r="K21" s="9">
        <f t="shared" si="3"/>
        <v>311.49176602877003</v>
      </c>
      <c r="L21" s="10">
        <f t="shared" si="0"/>
        <v>0.18176280134337403</v>
      </c>
      <c r="M21" s="10">
        <f t="shared" si="4"/>
        <v>0.19042227283341229</v>
      </c>
      <c r="P21" s="8">
        <f t="shared" si="5"/>
        <v>-11.09715628408229</v>
      </c>
    </row>
    <row r="22" spans="1:16" x14ac:dyDescent="0.2">
      <c r="A22" s="8">
        <v>10</v>
      </c>
      <c r="B22" s="8">
        <v>20</v>
      </c>
      <c r="D22">
        <v>1872.8119378577001</v>
      </c>
      <c r="E22">
        <v>437.09157808666998</v>
      </c>
      <c r="F22">
        <v>156.52446982056</v>
      </c>
      <c r="G22">
        <v>126.39233278956</v>
      </c>
      <c r="I22" s="9">
        <f t="shared" si="1"/>
        <v>310.69924529711</v>
      </c>
      <c r="J22" s="9">
        <f t="shared" si="2"/>
        <v>1716.2874680371401</v>
      </c>
      <c r="K22" s="9">
        <f t="shared" si="3"/>
        <v>310.69924529711</v>
      </c>
      <c r="L22" s="10">
        <f t="shared" si="0"/>
        <v>0.18102983974616221</v>
      </c>
      <c r="M22" s="10">
        <f t="shared" si="4"/>
        <v>0.19014507289357091</v>
      </c>
      <c r="P22" s="8">
        <f t="shared" si="5"/>
        <v>-11.226573198202097</v>
      </c>
    </row>
    <row r="23" spans="1:16" x14ac:dyDescent="0.2">
      <c r="A23" s="8">
        <v>10.5</v>
      </c>
      <c r="B23" s="8">
        <v>21</v>
      </c>
      <c r="D23">
        <v>1922.7454991817001</v>
      </c>
      <c r="E23">
        <v>447.28805237315999</v>
      </c>
      <c r="F23">
        <v>156.17781402936001</v>
      </c>
      <c r="G23">
        <v>126.77406199021</v>
      </c>
      <c r="I23" s="9">
        <f t="shared" si="1"/>
        <v>320.51399038295</v>
      </c>
      <c r="J23" s="9">
        <f t="shared" si="2"/>
        <v>1766.5676851523401</v>
      </c>
      <c r="K23" s="9">
        <f t="shared" si="3"/>
        <v>320.51399038295</v>
      </c>
      <c r="L23" s="10">
        <f t="shared" si="0"/>
        <v>0.1814331786304075</v>
      </c>
      <c r="M23" s="10">
        <f t="shared" si="4"/>
        <v>0.19100417343518664</v>
      </c>
      <c r="P23" s="8">
        <f t="shared" si="5"/>
        <v>-10.825483136356548</v>
      </c>
    </row>
    <row r="24" spans="1:16" x14ac:dyDescent="0.2">
      <c r="A24" s="8">
        <v>11</v>
      </c>
      <c r="B24" s="8">
        <v>22</v>
      </c>
      <c r="D24">
        <v>1931.4705400982</v>
      </c>
      <c r="E24">
        <v>446.75450081832997</v>
      </c>
      <c r="F24">
        <v>156.11337683523999</v>
      </c>
      <c r="G24">
        <v>126.51957585644</v>
      </c>
      <c r="I24" s="9">
        <f t="shared" si="1"/>
        <v>320.23492496188999</v>
      </c>
      <c r="J24" s="9">
        <f t="shared" si="2"/>
        <v>1775.3571632629601</v>
      </c>
      <c r="K24" s="9">
        <f t="shared" si="3"/>
        <v>320.23492496188999</v>
      </c>
      <c r="L24" s="10">
        <f t="shared" si="0"/>
        <v>0.18037774684916055</v>
      </c>
      <c r="M24" s="10">
        <f t="shared" si="4"/>
        <v>0.19040450331131012</v>
      </c>
      <c r="P24" s="8">
        <f t="shared" si="5"/>
        <v>-11.105452377931236</v>
      </c>
    </row>
    <row r="25" spans="1:16" x14ac:dyDescent="0.2">
      <c r="A25" s="8">
        <v>11.5</v>
      </c>
      <c r="B25" s="8">
        <v>23</v>
      </c>
      <c r="D25">
        <v>1928.9705400982</v>
      </c>
      <c r="E25">
        <v>447.03436988543001</v>
      </c>
      <c r="F25">
        <v>156.05057096248001</v>
      </c>
      <c r="G25">
        <v>126.78221859705999</v>
      </c>
      <c r="I25" s="9">
        <f t="shared" si="1"/>
        <v>320.25215128836999</v>
      </c>
      <c r="J25" s="9">
        <f t="shared" si="2"/>
        <v>1772.9199691357201</v>
      </c>
      <c r="K25" s="9">
        <f t="shared" si="3"/>
        <v>320.25215128836999</v>
      </c>
      <c r="L25" s="10">
        <f t="shared" si="0"/>
        <v>0.18063542453328538</v>
      </c>
      <c r="M25" s="10">
        <f t="shared" si="4"/>
        <v>0.19111794265280538</v>
      </c>
      <c r="P25" s="8">
        <f t="shared" si="5"/>
        <v>-10.772367464417847</v>
      </c>
    </row>
    <row r="26" spans="1:16" x14ac:dyDescent="0.2">
      <c r="A26" s="8">
        <v>12</v>
      </c>
      <c r="B26" s="8">
        <v>24</v>
      </c>
      <c r="D26">
        <v>1950.2546938775999</v>
      </c>
      <c r="E26">
        <v>450.67836734693998</v>
      </c>
      <c r="F26">
        <v>156.01468189233</v>
      </c>
      <c r="G26">
        <v>126.53425774878001</v>
      </c>
      <c r="I26" s="9">
        <f t="shared" si="1"/>
        <v>324.14410959815996</v>
      </c>
      <c r="J26" s="9">
        <f t="shared" si="2"/>
        <v>1794.24001198527</v>
      </c>
      <c r="K26" s="9">
        <f t="shared" si="3"/>
        <v>324.14410959815996</v>
      </c>
      <c r="L26" s="10">
        <f t="shared" si="0"/>
        <v>0.18065816581556707</v>
      </c>
      <c r="M26" s="10">
        <f t="shared" si="4"/>
        <v>0.1915964455924575</v>
      </c>
      <c r="P26" s="8">
        <f t="shared" si="5"/>
        <v>-10.548967798882316</v>
      </c>
    </row>
    <row r="27" spans="1:16" x14ac:dyDescent="0.2">
      <c r="A27" s="8">
        <v>12.5</v>
      </c>
      <c r="B27" s="8">
        <v>25</v>
      </c>
      <c r="D27">
        <v>1902.9159183674001</v>
      </c>
      <c r="E27">
        <v>445.31346938775999</v>
      </c>
      <c r="F27">
        <v>156.58401305057001</v>
      </c>
      <c r="G27">
        <v>126.70717781403</v>
      </c>
      <c r="I27" s="9">
        <f t="shared" si="1"/>
        <v>318.60629157373</v>
      </c>
      <c r="J27" s="9">
        <f t="shared" si="2"/>
        <v>1746.33190531683</v>
      </c>
      <c r="K27" s="9">
        <f t="shared" si="3"/>
        <v>318.60629157373</v>
      </c>
      <c r="L27" s="10">
        <f t="shared" si="0"/>
        <v>0.18244314875294371</v>
      </c>
      <c r="M27" s="10">
        <f t="shared" si="4"/>
        <v>0.19383719018720458</v>
      </c>
      <c r="P27" s="8">
        <f t="shared" si="5"/>
        <v>-9.5028266960063892</v>
      </c>
    </row>
    <row r="28" spans="1:16" x14ac:dyDescent="0.2">
      <c r="A28" s="8">
        <v>13</v>
      </c>
      <c r="B28" s="8">
        <v>26</v>
      </c>
      <c r="D28">
        <v>1862.3423423423001</v>
      </c>
      <c r="E28">
        <v>436.02620802620999</v>
      </c>
      <c r="F28">
        <v>156.52120717781</v>
      </c>
      <c r="G28">
        <v>126.41598694943001</v>
      </c>
      <c r="I28" s="9">
        <f t="shared" si="1"/>
        <v>309.61022107677996</v>
      </c>
      <c r="J28" s="9">
        <f t="shared" si="2"/>
        <v>1705.82113516449</v>
      </c>
      <c r="K28" s="9">
        <f t="shared" si="3"/>
        <v>309.61022107677996</v>
      </c>
      <c r="L28" s="10">
        <f t="shared" si="0"/>
        <v>0.18150216027598032</v>
      </c>
      <c r="M28" s="10">
        <f t="shared" si="4"/>
        <v>0.19335196336761162</v>
      </c>
      <c r="P28" s="8">
        <f t="shared" si="5"/>
        <v>-9.7293655533951089</v>
      </c>
    </row>
    <row r="29" spans="1:16" x14ac:dyDescent="0.2">
      <c r="A29" s="8">
        <v>13.5</v>
      </c>
      <c r="B29" s="8">
        <v>27</v>
      </c>
      <c r="D29">
        <v>1821.153972154</v>
      </c>
      <c r="E29">
        <v>437.45864045863999</v>
      </c>
      <c r="F29">
        <v>156.84420880914001</v>
      </c>
      <c r="G29">
        <v>126.70636215334</v>
      </c>
      <c r="I29" s="9">
        <f t="shared" si="1"/>
        <v>310.75227830530002</v>
      </c>
      <c r="J29" s="9">
        <f t="shared" si="2"/>
        <v>1664.3097633448601</v>
      </c>
      <c r="K29" s="9">
        <f t="shared" si="3"/>
        <v>310.75227830530002</v>
      </c>
      <c r="L29" s="10">
        <f t="shared" si="0"/>
        <v>0.18671540908392142</v>
      </c>
      <c r="M29" s="10">
        <f t="shared" si="4"/>
        <v>0.19902097383292316</v>
      </c>
      <c r="P29" s="8">
        <f t="shared" si="5"/>
        <v>-7.082662812574438</v>
      </c>
    </row>
    <row r="30" spans="1:16" x14ac:dyDescent="0.2">
      <c r="A30" s="8">
        <v>14</v>
      </c>
      <c r="B30" s="8">
        <v>28</v>
      </c>
      <c r="D30">
        <v>1820.9156429156001</v>
      </c>
      <c r="E30">
        <v>433.63882063881999</v>
      </c>
      <c r="F30">
        <v>156.59543230016001</v>
      </c>
      <c r="G30">
        <v>126.62234910277</v>
      </c>
      <c r="I30" s="9">
        <f t="shared" si="1"/>
        <v>307.01647153605001</v>
      </c>
      <c r="J30" s="9">
        <f t="shared" si="2"/>
        <v>1664.3202106154401</v>
      </c>
      <c r="K30" s="9">
        <f t="shared" si="3"/>
        <v>307.01647153605001</v>
      </c>
      <c r="L30" s="10">
        <f t="shared" si="0"/>
        <v>0.18446959279700148</v>
      </c>
      <c r="M30" s="10">
        <f t="shared" si="4"/>
        <v>0.19723091920337366</v>
      </c>
      <c r="P30" s="8">
        <f t="shared" si="5"/>
        <v>-7.9183893513129853</v>
      </c>
    </row>
    <row r="31" spans="1:16" x14ac:dyDescent="0.2">
      <c r="A31" s="8">
        <v>14.5</v>
      </c>
      <c r="B31" s="8">
        <v>29</v>
      </c>
      <c r="D31">
        <v>1860.2211302211001</v>
      </c>
      <c r="E31">
        <v>435.49959049959</v>
      </c>
      <c r="F31">
        <v>156.79608482871001</v>
      </c>
      <c r="G31">
        <v>126.78955954323</v>
      </c>
      <c r="I31" s="9">
        <f t="shared" si="1"/>
        <v>308.71003095636001</v>
      </c>
      <c r="J31" s="9">
        <f t="shared" si="2"/>
        <v>1703.4250453923901</v>
      </c>
      <c r="K31" s="9">
        <f t="shared" si="3"/>
        <v>308.71003095636001</v>
      </c>
      <c r="L31" s="10">
        <f t="shared" si="0"/>
        <v>0.18122900786940557</v>
      </c>
      <c r="M31" s="10">
        <f t="shared" si="4"/>
        <v>0.19444609593314818</v>
      </c>
      <c r="P31" s="8">
        <f t="shared" si="5"/>
        <v>-9.2185456002928312</v>
      </c>
    </row>
    <row r="32" spans="1:16" x14ac:dyDescent="0.2">
      <c r="A32" s="8">
        <v>15</v>
      </c>
      <c r="B32" s="8">
        <v>30</v>
      </c>
      <c r="D32">
        <v>1931.2833876222001</v>
      </c>
      <c r="E32">
        <v>446.27361563518002</v>
      </c>
      <c r="F32">
        <v>156.95513866232</v>
      </c>
      <c r="G32">
        <v>126.49592169656999</v>
      </c>
      <c r="I32" s="9">
        <f t="shared" si="1"/>
        <v>319.77769393861001</v>
      </c>
      <c r="J32" s="9">
        <f t="shared" si="2"/>
        <v>1774.3282489598801</v>
      </c>
      <c r="K32" s="9">
        <f t="shared" si="3"/>
        <v>319.77769393861001</v>
      </c>
      <c r="L32" s="10">
        <f t="shared" si="0"/>
        <v>0.18022465354201811</v>
      </c>
      <c r="M32" s="10">
        <f t="shared" si="4"/>
        <v>0.19389750326313115</v>
      </c>
      <c r="P32" s="8">
        <f t="shared" si="5"/>
        <v>-9.4746682044426542</v>
      </c>
    </row>
    <row r="33" spans="1:16" x14ac:dyDescent="0.2">
      <c r="A33" s="8">
        <v>15.5</v>
      </c>
      <c r="B33" s="8">
        <v>31</v>
      </c>
      <c r="D33">
        <v>1955.1327361563999</v>
      </c>
      <c r="E33">
        <v>452.89169381108002</v>
      </c>
      <c r="F33">
        <v>156.41924959216999</v>
      </c>
      <c r="G33">
        <v>126.47389885808001</v>
      </c>
      <c r="I33" s="9">
        <f t="shared" si="1"/>
        <v>326.417794953</v>
      </c>
      <c r="J33" s="9">
        <f t="shared" si="2"/>
        <v>1798.7134865642299</v>
      </c>
      <c r="K33" s="9">
        <f t="shared" si="3"/>
        <v>326.417794953</v>
      </c>
      <c r="L33" s="10">
        <f t="shared" si="0"/>
        <v>0.18147292350406469</v>
      </c>
      <c r="M33" s="10">
        <f t="shared" si="4"/>
        <v>0.19560153488254817</v>
      </c>
      <c r="P33" s="8">
        <f t="shared" si="5"/>
        <v>-8.6791034078784204</v>
      </c>
    </row>
    <row r="34" spans="1:16" x14ac:dyDescent="0.2">
      <c r="A34" s="8">
        <v>16</v>
      </c>
      <c r="B34" s="8">
        <v>32</v>
      </c>
      <c r="D34">
        <v>1905.8640065146999</v>
      </c>
      <c r="E34">
        <v>447.26384364821001</v>
      </c>
      <c r="F34">
        <v>155.95921696574001</v>
      </c>
      <c r="G34">
        <v>126.08156606852</v>
      </c>
      <c r="I34" s="9">
        <f t="shared" si="1"/>
        <v>321.18227757968998</v>
      </c>
      <c r="J34" s="9">
        <f t="shared" si="2"/>
        <v>1749.9047895489598</v>
      </c>
      <c r="K34" s="9">
        <f t="shared" si="3"/>
        <v>321.18227757968998</v>
      </c>
      <c r="L34" s="10">
        <f t="shared" si="0"/>
        <v>0.18354271586540152</v>
      </c>
      <c r="M34" s="10">
        <f t="shared" si="4"/>
        <v>0.19812708890125544</v>
      </c>
      <c r="P34" s="8">
        <f t="shared" si="5"/>
        <v>-7.4999927351596583</v>
      </c>
    </row>
    <row r="35" spans="1:16" x14ac:dyDescent="0.2">
      <c r="A35" s="8">
        <v>16.5</v>
      </c>
      <c r="B35" s="8">
        <v>33</v>
      </c>
      <c r="D35">
        <v>1778.6810766721001</v>
      </c>
      <c r="E35">
        <v>423.25367047307998</v>
      </c>
      <c r="F35">
        <v>156.87683523653999</v>
      </c>
      <c r="G35">
        <v>126.34176182708001</v>
      </c>
      <c r="I35" s="9">
        <f t="shared" si="1"/>
        <v>296.91190864599997</v>
      </c>
      <c r="J35" s="9">
        <f t="shared" si="2"/>
        <v>1621.80424143556</v>
      </c>
      <c r="K35" s="9">
        <f t="shared" si="3"/>
        <v>296.91190864599997</v>
      </c>
      <c r="L35" s="10">
        <f t="shared" si="0"/>
        <v>0.18307505989945169</v>
      </c>
      <c r="M35" s="10">
        <f t="shared" si="4"/>
        <v>0.19811519459267604</v>
      </c>
      <c r="P35" s="8">
        <f t="shared" si="5"/>
        <v>-7.5055458558162318</v>
      </c>
    </row>
    <row r="36" spans="1:16" x14ac:dyDescent="0.2">
      <c r="A36" s="8">
        <v>17</v>
      </c>
      <c r="B36" s="8">
        <v>34</v>
      </c>
      <c r="D36">
        <v>1877.2953240361001</v>
      </c>
      <c r="E36">
        <v>438.68662838391998</v>
      </c>
      <c r="F36">
        <v>157.10440456769999</v>
      </c>
      <c r="G36">
        <v>126.57585644372</v>
      </c>
      <c r="I36" s="9">
        <f t="shared" si="1"/>
        <v>312.11077194019998</v>
      </c>
      <c r="J36" s="9">
        <f t="shared" si="2"/>
        <v>1720.1909194684001</v>
      </c>
      <c r="K36" s="9">
        <f t="shared" si="3"/>
        <v>312.11077194019998</v>
      </c>
      <c r="L36" s="10">
        <f t="shared" si="0"/>
        <v>0.18143961138723674</v>
      </c>
      <c r="M36" s="10">
        <f t="shared" si="4"/>
        <v>0.19693550773783153</v>
      </c>
      <c r="P36" s="8">
        <f t="shared" si="5"/>
        <v>-8.0563087184237734</v>
      </c>
    </row>
    <row r="37" spans="1:16" x14ac:dyDescent="0.2">
      <c r="A37" s="8">
        <v>17.5</v>
      </c>
      <c r="B37" s="8">
        <v>35</v>
      </c>
      <c r="D37">
        <v>1867.2698933552001</v>
      </c>
      <c r="E37">
        <v>438.39458572601001</v>
      </c>
      <c r="F37">
        <v>155.76345840131</v>
      </c>
      <c r="G37">
        <v>126.88825448612999</v>
      </c>
      <c r="I37" s="9">
        <f t="shared" si="1"/>
        <v>311.50633123988001</v>
      </c>
      <c r="J37" s="9">
        <f t="shared" si="2"/>
        <v>1711.5064349538902</v>
      </c>
      <c r="K37" s="9">
        <f t="shared" si="3"/>
        <v>311.50633123988001</v>
      </c>
      <c r="L37" s="10">
        <f t="shared" si="0"/>
        <v>0.18200710489778107</v>
      </c>
      <c r="M37" s="10">
        <f t="shared" si="4"/>
        <v>0.19795876290574629</v>
      </c>
      <c r="P37" s="8">
        <f t="shared" si="5"/>
        <v>-7.5785794437909919</v>
      </c>
    </row>
    <row r="38" spans="1:16" x14ac:dyDescent="0.2">
      <c r="A38" s="8">
        <v>18</v>
      </c>
      <c r="B38" s="8">
        <v>36</v>
      </c>
      <c r="D38">
        <v>1846.9926829267999</v>
      </c>
      <c r="E38">
        <v>431.08861788617997</v>
      </c>
      <c r="F38">
        <v>156.7911908646</v>
      </c>
      <c r="G38">
        <v>126.29363784666</v>
      </c>
      <c r="I38" s="9">
        <f t="shared" si="1"/>
        <v>304.79498003951994</v>
      </c>
      <c r="J38" s="9">
        <f t="shared" si="2"/>
        <v>1690.2014920622</v>
      </c>
      <c r="K38" s="9">
        <f t="shared" si="3"/>
        <v>304.79498003951994</v>
      </c>
      <c r="L38" s="10">
        <f t="shared" si="0"/>
        <v>0.18033055909070478</v>
      </c>
      <c r="M38" s="10">
        <f t="shared" si="4"/>
        <v>0.19673797875604043</v>
      </c>
      <c r="P38" s="8">
        <f t="shared" si="5"/>
        <v>-8.1485294861745121</v>
      </c>
    </row>
    <row r="39" spans="1:16" x14ac:dyDescent="0.2">
      <c r="A39" s="8">
        <v>18.5</v>
      </c>
      <c r="B39" s="8">
        <v>37</v>
      </c>
      <c r="D39">
        <v>1902.9836199836</v>
      </c>
      <c r="E39">
        <v>443.57903357903001</v>
      </c>
      <c r="F39">
        <v>156.74877650897</v>
      </c>
      <c r="G39">
        <v>126.55464926591</v>
      </c>
      <c r="I39" s="9">
        <f t="shared" si="1"/>
        <v>317.02438431311998</v>
      </c>
      <c r="J39" s="9">
        <f t="shared" si="2"/>
        <v>1746.23484347463</v>
      </c>
      <c r="K39" s="9">
        <f t="shared" si="3"/>
        <v>317.02438431311998</v>
      </c>
      <c r="L39" s="10">
        <f t="shared" si="0"/>
        <v>0.18154739352371985</v>
      </c>
      <c r="M39" s="10">
        <f t="shared" si="4"/>
        <v>0.19841057484642594</v>
      </c>
      <c r="P39" s="8">
        <f t="shared" si="5"/>
        <v>-7.367641060619988</v>
      </c>
    </row>
    <row r="40" spans="1:16" x14ac:dyDescent="0.2">
      <c r="A40" s="8">
        <v>19</v>
      </c>
      <c r="B40" s="8">
        <v>38</v>
      </c>
      <c r="D40">
        <v>1864.2325962325999</v>
      </c>
      <c r="E40">
        <v>435.81572481572999</v>
      </c>
      <c r="F40">
        <v>155.69494290374999</v>
      </c>
      <c r="G40">
        <v>126.56769983687001</v>
      </c>
      <c r="I40" s="9">
        <f t="shared" si="1"/>
        <v>309.24802497885997</v>
      </c>
      <c r="J40" s="9">
        <f t="shared" si="2"/>
        <v>1708.53765332885</v>
      </c>
      <c r="K40" s="9">
        <f t="shared" si="3"/>
        <v>309.24802497885997</v>
      </c>
      <c r="L40" s="10">
        <f t="shared" si="0"/>
        <v>0.18100158599158342</v>
      </c>
      <c r="M40" s="10">
        <f t="shared" si="4"/>
        <v>0.19832052897165994</v>
      </c>
      <c r="P40" s="8">
        <f t="shared" si="5"/>
        <v>-7.4096809659969578</v>
      </c>
    </row>
    <row r="41" spans="1:16" x14ac:dyDescent="0.2">
      <c r="A41" s="8">
        <v>19.5</v>
      </c>
      <c r="B41" s="8">
        <v>39</v>
      </c>
      <c r="D41">
        <v>1799.9365853659001</v>
      </c>
      <c r="E41">
        <v>427.10569105691002</v>
      </c>
      <c r="F41">
        <v>155.90375203914999</v>
      </c>
      <c r="G41">
        <v>126.04323001631001</v>
      </c>
      <c r="I41" s="9">
        <f t="shared" si="1"/>
        <v>301.0624610406</v>
      </c>
      <c r="J41" s="9">
        <f t="shared" si="2"/>
        <v>1644.0328333267501</v>
      </c>
      <c r="K41" s="9">
        <f t="shared" si="3"/>
        <v>301.0624610406</v>
      </c>
      <c r="L41" s="10">
        <f t="shared" si="0"/>
        <v>0.18312436037630161</v>
      </c>
      <c r="M41" s="10">
        <f t="shared" si="4"/>
        <v>0.20089906501374857</v>
      </c>
      <c r="P41" s="8">
        <f t="shared" si="5"/>
        <v>-6.2058344655079498</v>
      </c>
    </row>
    <row r="42" spans="1:16" x14ac:dyDescent="0.2">
      <c r="A42" s="8">
        <v>20</v>
      </c>
      <c r="B42" s="8">
        <v>40</v>
      </c>
      <c r="D42">
        <v>1794.4129190515</v>
      </c>
      <c r="E42">
        <v>425.20441537203999</v>
      </c>
      <c r="F42">
        <v>156.21533442088</v>
      </c>
      <c r="G42">
        <v>126.35073409461999</v>
      </c>
      <c r="I42" s="9">
        <f t="shared" si="1"/>
        <v>298.85368127741998</v>
      </c>
      <c r="J42" s="9">
        <f t="shared" si="2"/>
        <v>1638.19758463062</v>
      </c>
      <c r="K42" s="9">
        <f t="shared" si="3"/>
        <v>298.85368127741998</v>
      </c>
      <c r="L42" s="10">
        <f t="shared" si="0"/>
        <v>0.18242834935250216</v>
      </c>
      <c r="M42" s="10">
        <f t="shared" si="4"/>
        <v>0.20065881564731955</v>
      </c>
      <c r="P42" s="8">
        <f t="shared" si="5"/>
        <v>-6.3180001883442332</v>
      </c>
    </row>
    <row r="43" spans="1:16" x14ac:dyDescent="0.2">
      <c r="A43" s="8">
        <v>20.5</v>
      </c>
      <c r="B43" s="8">
        <v>41</v>
      </c>
      <c r="D43">
        <v>1820.3107113655001</v>
      </c>
      <c r="E43">
        <v>424.36140637775998</v>
      </c>
      <c r="F43">
        <v>156.09380097879</v>
      </c>
      <c r="G43">
        <v>126.64763458401001</v>
      </c>
      <c r="I43" s="9">
        <f t="shared" si="1"/>
        <v>297.71377179374997</v>
      </c>
      <c r="J43" s="9">
        <f t="shared" si="2"/>
        <v>1664.21691038671</v>
      </c>
      <c r="K43" s="9">
        <f t="shared" si="3"/>
        <v>297.71377179374997</v>
      </c>
      <c r="L43" s="10">
        <f t="shared" si="0"/>
        <v>0.17889120699090297</v>
      </c>
      <c r="M43" s="10">
        <f t="shared" si="4"/>
        <v>0.1975774349430908</v>
      </c>
      <c r="P43" s="8">
        <f t="shared" si="5"/>
        <v>-7.7566108251206787</v>
      </c>
    </row>
    <row r="44" spans="1:16" x14ac:dyDescent="0.2">
      <c r="A44" s="8">
        <v>21</v>
      </c>
      <c r="B44" s="8">
        <v>42</v>
      </c>
      <c r="D44">
        <v>1871.4278728606</v>
      </c>
      <c r="E44">
        <v>432.30969845150997</v>
      </c>
      <c r="F44">
        <v>156.59787928221999</v>
      </c>
      <c r="G44">
        <v>126.76590538336001</v>
      </c>
      <c r="I44" s="9">
        <f t="shared" si="1"/>
        <v>305.54379306814997</v>
      </c>
      <c r="J44" s="9">
        <f t="shared" si="2"/>
        <v>1714.82999357838</v>
      </c>
      <c r="K44" s="9">
        <f t="shared" si="3"/>
        <v>305.54379306814997</v>
      </c>
      <c r="L44" s="10">
        <f t="shared" si="0"/>
        <v>0.17817730866169645</v>
      </c>
      <c r="M44" s="10">
        <f t="shared" si="4"/>
        <v>0.19731929827125472</v>
      </c>
      <c r="P44" s="8">
        <f t="shared" si="5"/>
        <v>-7.8771276315431429</v>
      </c>
    </row>
    <row r="45" spans="1:16" x14ac:dyDescent="0.2">
      <c r="A45" s="8">
        <v>21.5</v>
      </c>
      <c r="B45" s="8">
        <v>43</v>
      </c>
      <c r="D45">
        <v>1911.6467702371001</v>
      </c>
      <c r="E45">
        <v>444.99509403106998</v>
      </c>
      <c r="F45">
        <v>156.6207177814</v>
      </c>
      <c r="G45">
        <v>126.53752039152</v>
      </c>
      <c r="I45" s="9">
        <f t="shared" si="1"/>
        <v>318.45757363954999</v>
      </c>
      <c r="J45" s="9">
        <f t="shared" si="2"/>
        <v>1755.0260524557002</v>
      </c>
      <c r="K45" s="9">
        <f t="shared" si="3"/>
        <v>318.45757363954999</v>
      </c>
      <c r="L45" s="10">
        <f t="shared" si="0"/>
        <v>0.18145461327708035</v>
      </c>
      <c r="M45" s="10">
        <f t="shared" si="4"/>
        <v>0.20105236454400904</v>
      </c>
      <c r="P45" s="8">
        <f t="shared" si="5"/>
        <v>-6.1342631940506811</v>
      </c>
    </row>
    <row r="46" spans="1:16" x14ac:dyDescent="0.2">
      <c r="A46" s="8">
        <v>22</v>
      </c>
      <c r="B46" s="8">
        <v>44</v>
      </c>
      <c r="D46">
        <v>1914.1046606704999</v>
      </c>
      <c r="E46">
        <v>442.57399836467999</v>
      </c>
      <c r="F46">
        <v>156.56688417618</v>
      </c>
      <c r="G46">
        <v>126.42088091354</v>
      </c>
      <c r="I46" s="9">
        <f t="shared" si="1"/>
        <v>316.15311745114002</v>
      </c>
      <c r="J46" s="9">
        <f t="shared" si="2"/>
        <v>1757.53777649432</v>
      </c>
      <c r="K46" s="9">
        <f t="shared" si="3"/>
        <v>316.15311745114002</v>
      </c>
      <c r="L46" s="10">
        <f t="shared" si="0"/>
        <v>0.17988410928028878</v>
      </c>
      <c r="M46" s="10">
        <f t="shared" si="4"/>
        <v>0.19993762220458791</v>
      </c>
      <c r="P46" s="8">
        <f t="shared" si="5"/>
        <v>-6.6547052752759832</v>
      </c>
    </row>
    <row r="47" spans="1:16" x14ac:dyDescent="0.2">
      <c r="A47" s="8">
        <v>22.5</v>
      </c>
      <c r="B47" s="8">
        <v>45</v>
      </c>
      <c r="D47">
        <v>1912.3491414554001</v>
      </c>
      <c r="E47">
        <v>440.29026982828998</v>
      </c>
      <c r="F47">
        <v>156.13295269168</v>
      </c>
      <c r="G47">
        <v>126.62969004894001</v>
      </c>
      <c r="I47" s="9">
        <f t="shared" si="1"/>
        <v>313.66057977934997</v>
      </c>
      <c r="J47" s="9">
        <f t="shared" si="2"/>
        <v>1756.2161887637201</v>
      </c>
      <c r="K47" s="9">
        <f t="shared" si="3"/>
        <v>313.66057977934997</v>
      </c>
      <c r="L47" s="10">
        <f t="shared" si="0"/>
        <v>0.17860020980682897</v>
      </c>
      <c r="M47" s="10">
        <f t="shared" si="4"/>
        <v>0.19910948438849854</v>
      </c>
      <c r="P47" s="8">
        <f t="shared" si="5"/>
        <v>-7.0413397048704836</v>
      </c>
    </row>
    <row r="48" spans="1:16" x14ac:dyDescent="0.2">
      <c r="A48" s="8">
        <v>23</v>
      </c>
      <c r="B48" s="8">
        <v>46</v>
      </c>
      <c r="D48">
        <v>1918.6377759607999</v>
      </c>
      <c r="E48">
        <v>443.01635322976</v>
      </c>
      <c r="F48">
        <v>156.17781402936001</v>
      </c>
      <c r="G48">
        <v>126.46900489396</v>
      </c>
      <c r="I48" s="9">
        <f t="shared" si="1"/>
        <v>316.5473483358</v>
      </c>
      <c r="J48" s="9">
        <f t="shared" si="2"/>
        <v>1762.4599619314399</v>
      </c>
      <c r="K48" s="9">
        <f t="shared" si="3"/>
        <v>316.5473483358</v>
      </c>
      <c r="L48" s="10">
        <f t="shared" si="0"/>
        <v>0.1796054124196404</v>
      </c>
      <c r="M48" s="10">
        <f t="shared" si="4"/>
        <v>0.2005704486586804</v>
      </c>
      <c r="P48" s="8">
        <f t="shared" si="5"/>
        <v>-6.3592562686532075</v>
      </c>
    </row>
    <row r="49" spans="1:25" x14ac:dyDescent="0.2">
      <c r="A49" s="8">
        <v>23.5</v>
      </c>
      <c r="B49" s="8">
        <v>47</v>
      </c>
      <c r="D49">
        <v>1892.0989370401001</v>
      </c>
      <c r="E49">
        <v>437.33932951757998</v>
      </c>
      <c r="F49">
        <v>156.17373572593999</v>
      </c>
      <c r="G49">
        <v>126.08238172919999</v>
      </c>
      <c r="I49" s="9">
        <f t="shared" si="1"/>
        <v>311.25694778837999</v>
      </c>
      <c r="J49" s="9">
        <f t="shared" si="2"/>
        <v>1735.9252013141599</v>
      </c>
      <c r="K49" s="9">
        <f t="shared" si="3"/>
        <v>311.25694778837999</v>
      </c>
      <c r="L49" s="10">
        <f t="shared" si="0"/>
        <v>0.17930320243795464</v>
      </c>
      <c r="M49" s="10">
        <f t="shared" si="4"/>
        <v>0.20072400033436508</v>
      </c>
      <c r="P49" s="8">
        <f t="shared" si="5"/>
        <v>-6.2875672775357936</v>
      </c>
    </row>
    <row r="50" spans="1:25" x14ac:dyDescent="0.2">
      <c r="A50" s="8">
        <v>24</v>
      </c>
      <c r="B50" s="8">
        <v>48</v>
      </c>
      <c r="D50">
        <v>1897.1471790679</v>
      </c>
      <c r="E50">
        <v>438.70564186426998</v>
      </c>
      <c r="F50">
        <v>155.77569331158</v>
      </c>
      <c r="G50">
        <v>126.56851549755</v>
      </c>
      <c r="I50" s="9">
        <f t="shared" si="1"/>
        <v>312.13712636672</v>
      </c>
      <c r="J50" s="9">
        <f t="shared" si="2"/>
        <v>1741.37148575632</v>
      </c>
      <c r="K50" s="9">
        <f t="shared" si="3"/>
        <v>312.13712636672</v>
      </c>
      <c r="L50" s="10">
        <f t="shared" si="0"/>
        <v>0.17924786808551149</v>
      </c>
      <c r="M50" s="10">
        <f t="shared" si="4"/>
        <v>0.20112442763929236</v>
      </c>
      <c r="P50" s="8">
        <f t="shared" si="5"/>
        <v>-6.100618946440723</v>
      </c>
    </row>
    <row r="51" spans="1:25" x14ac:dyDescent="0.2">
      <c r="A51" s="8">
        <v>24.5</v>
      </c>
      <c r="B51" s="8">
        <v>49</v>
      </c>
      <c r="D51">
        <v>1897.4039247751</v>
      </c>
      <c r="E51">
        <v>439.55682747343002</v>
      </c>
      <c r="F51">
        <v>155.57177814029001</v>
      </c>
      <c r="G51">
        <v>126.66639477977</v>
      </c>
      <c r="I51" s="9">
        <f t="shared" si="1"/>
        <v>312.89043269366005</v>
      </c>
      <c r="J51" s="9">
        <f t="shared" si="2"/>
        <v>1741.83214663481</v>
      </c>
      <c r="K51" s="9">
        <f t="shared" si="3"/>
        <v>312.89043269366005</v>
      </c>
      <c r="L51" s="10">
        <f t="shared" si="0"/>
        <v>0.17963294184124401</v>
      </c>
      <c r="M51" s="10">
        <f t="shared" si="4"/>
        <v>0.20196526305239532</v>
      </c>
      <c r="P51" s="8">
        <f t="shared" si="5"/>
        <v>-5.7080563632428163</v>
      </c>
    </row>
    <row r="52" spans="1:25" x14ac:dyDescent="0.2">
      <c r="A52" s="8">
        <v>25</v>
      </c>
      <c r="B52" s="8">
        <v>50</v>
      </c>
      <c r="D52">
        <v>1793.1970684038999</v>
      </c>
      <c r="E52">
        <v>420.93648208469</v>
      </c>
      <c r="F52">
        <v>156.21207177814</v>
      </c>
      <c r="G52">
        <v>126.29363784666</v>
      </c>
      <c r="I52" s="9">
        <f t="shared" si="1"/>
        <v>294.64284423802997</v>
      </c>
      <c r="J52" s="9">
        <f t="shared" si="2"/>
        <v>1636.98499662576</v>
      </c>
      <c r="K52" s="9">
        <f t="shared" si="3"/>
        <v>294.64284423802997</v>
      </c>
      <c r="L52" s="10">
        <f t="shared" si="0"/>
        <v>0.17999116964746981</v>
      </c>
      <c r="M52" s="10">
        <f t="shared" si="4"/>
        <v>0.20277925251599155</v>
      </c>
      <c r="P52" s="8">
        <f t="shared" si="5"/>
        <v>-5.3280274044885658</v>
      </c>
    </row>
    <row r="53" spans="1:25" x14ac:dyDescent="0.2">
      <c r="A53" s="8">
        <v>25.5</v>
      </c>
      <c r="B53" s="8">
        <v>51</v>
      </c>
      <c r="D53">
        <v>1813.4397394137</v>
      </c>
      <c r="E53">
        <v>424.98371335504999</v>
      </c>
      <c r="F53">
        <v>155.82300163132001</v>
      </c>
      <c r="G53">
        <v>126.62398042414</v>
      </c>
      <c r="I53" s="9">
        <f t="shared" si="1"/>
        <v>298.35973293091001</v>
      </c>
      <c r="J53" s="9">
        <f t="shared" si="2"/>
        <v>1657.6167377823799</v>
      </c>
      <c r="K53" s="9">
        <f t="shared" si="3"/>
        <v>298.35973293091001</v>
      </c>
      <c r="L53" s="10">
        <f t="shared" si="0"/>
        <v>0.17999319512788375</v>
      </c>
      <c r="M53" s="10">
        <f t="shared" si="4"/>
        <v>0.20323703965377593</v>
      </c>
      <c r="P53" s="8">
        <f t="shared" si="5"/>
        <v>-5.1142993685817224</v>
      </c>
      <c r="S53" s="11"/>
      <c r="U53" s="12"/>
    </row>
    <row r="54" spans="1:25" x14ac:dyDescent="0.2">
      <c r="A54" s="8">
        <v>26</v>
      </c>
      <c r="B54" s="8">
        <v>52</v>
      </c>
      <c r="D54">
        <v>1804.8925081432999</v>
      </c>
      <c r="E54">
        <v>423.75081433225</v>
      </c>
      <c r="F54">
        <v>156.43719412723999</v>
      </c>
      <c r="G54">
        <v>126.84991843393</v>
      </c>
      <c r="I54" s="9">
        <f t="shared" si="1"/>
        <v>296.90089589832002</v>
      </c>
      <c r="J54" s="9">
        <f t="shared" si="2"/>
        <v>1648.4553140160599</v>
      </c>
      <c r="K54" s="9">
        <f t="shared" si="3"/>
        <v>296.90089589832002</v>
      </c>
      <c r="L54" s="10">
        <f t="shared" si="0"/>
        <v>0.18010854972768009</v>
      </c>
      <c r="M54" s="10">
        <f t="shared" si="4"/>
        <v>0.2038081559109427</v>
      </c>
      <c r="P54" s="8">
        <f t="shared" si="5"/>
        <v>-4.8476611303177783</v>
      </c>
      <c r="S54" s="11"/>
    </row>
    <row r="55" spans="1:25" x14ac:dyDescent="0.2">
      <c r="A55" s="8">
        <v>26.5</v>
      </c>
      <c r="B55" s="8">
        <v>53</v>
      </c>
      <c r="D55">
        <v>1822.006514658</v>
      </c>
      <c r="E55">
        <v>424.86237785015999</v>
      </c>
      <c r="F55">
        <v>156.44045676997999</v>
      </c>
      <c r="G55">
        <v>126.42088091354</v>
      </c>
      <c r="I55" s="9">
        <f t="shared" si="1"/>
        <v>298.44149693661996</v>
      </c>
      <c r="J55" s="9">
        <f t="shared" si="2"/>
        <v>1665.5660578880199</v>
      </c>
      <c r="K55" s="9">
        <f t="shared" si="3"/>
        <v>298.44149693661996</v>
      </c>
      <c r="L55" s="10">
        <f t="shared" si="0"/>
        <v>0.17918322453992089</v>
      </c>
      <c r="M55" s="10">
        <f t="shared" si="4"/>
        <v>0.20333859238055393</v>
      </c>
      <c r="P55" s="8">
        <f t="shared" si="5"/>
        <v>-5.0668872352039829</v>
      </c>
      <c r="S55" s="11"/>
    </row>
    <row r="56" spans="1:25" x14ac:dyDescent="0.2">
      <c r="A56" s="8">
        <v>27</v>
      </c>
      <c r="B56" s="8">
        <v>54</v>
      </c>
      <c r="D56">
        <v>1869.8352365415999</v>
      </c>
      <c r="E56">
        <v>433.45513866232</v>
      </c>
      <c r="F56">
        <v>155.97634584012999</v>
      </c>
      <c r="G56">
        <v>126.37520391517</v>
      </c>
      <c r="I56" s="9">
        <f t="shared" si="1"/>
        <v>307.07993474714999</v>
      </c>
      <c r="J56" s="9">
        <f t="shared" si="2"/>
        <v>1713.8588907014698</v>
      </c>
      <c r="K56" s="9">
        <f t="shared" si="3"/>
        <v>307.07993474714999</v>
      </c>
      <c r="L56" s="10">
        <f t="shared" si="0"/>
        <v>0.17917457289699296</v>
      </c>
      <c r="M56" s="10">
        <f t="shared" si="4"/>
        <v>0.20378570239499644</v>
      </c>
      <c r="P56" s="8">
        <f t="shared" si="5"/>
        <v>-4.8581440501429709</v>
      </c>
      <c r="S56" s="11"/>
    </row>
    <row r="57" spans="1:25" x14ac:dyDescent="0.2">
      <c r="A57" s="8">
        <v>27.5</v>
      </c>
      <c r="B57" s="8">
        <v>55</v>
      </c>
      <c r="D57">
        <v>1868.3907014681999</v>
      </c>
      <c r="E57">
        <v>432.41027732462999</v>
      </c>
      <c r="F57">
        <v>156.31566068516</v>
      </c>
      <c r="G57">
        <v>126.84910277325</v>
      </c>
      <c r="I57" s="9">
        <f t="shared" si="1"/>
        <v>305.56117455137996</v>
      </c>
      <c r="J57" s="9">
        <f t="shared" si="2"/>
        <v>1712.0750407830399</v>
      </c>
      <c r="K57" s="9">
        <f t="shared" si="3"/>
        <v>305.56117455137996</v>
      </c>
      <c r="L57" s="10">
        <f t="shared" si="0"/>
        <v>0.17847417155945897</v>
      </c>
      <c r="M57" s="10">
        <f t="shared" si="4"/>
        <v>0.20354106271483288</v>
      </c>
      <c r="P57" s="8">
        <f t="shared" si="5"/>
        <v>-4.9723594879101665</v>
      </c>
      <c r="S57" s="11"/>
    </row>
    <row r="58" spans="1:25" x14ac:dyDescent="0.2">
      <c r="A58" s="8">
        <v>28</v>
      </c>
      <c r="B58" s="8">
        <v>56</v>
      </c>
      <c r="D58">
        <v>1929.248776509</v>
      </c>
      <c r="E58">
        <v>446.39396411093003</v>
      </c>
      <c r="F58">
        <v>156.69004893964001</v>
      </c>
      <c r="G58">
        <v>126.37601957586</v>
      </c>
      <c r="I58" s="9">
        <f t="shared" si="1"/>
        <v>320.01794453507</v>
      </c>
      <c r="J58" s="9">
        <f t="shared" si="2"/>
        <v>1772.5587275693599</v>
      </c>
      <c r="K58" s="9">
        <f t="shared" si="3"/>
        <v>320.01794453507</v>
      </c>
      <c r="L58" s="10">
        <f t="shared" si="0"/>
        <v>0.18054010823883845</v>
      </c>
      <c r="M58" s="10">
        <f t="shared" si="4"/>
        <v>0.20606276105158278</v>
      </c>
      <c r="P58" s="8">
        <f t="shared" si="5"/>
        <v>-3.795048925469338</v>
      </c>
      <c r="S58" s="11"/>
    </row>
    <row r="59" spans="1:25" x14ac:dyDescent="0.2">
      <c r="A59" s="8">
        <v>28.5</v>
      </c>
      <c r="B59" s="8">
        <v>57</v>
      </c>
      <c r="D59">
        <v>1935.6731866340999</v>
      </c>
      <c r="E59">
        <v>449.26242868785999</v>
      </c>
      <c r="F59">
        <v>156.83278955954</v>
      </c>
      <c r="G59">
        <v>126.71044045677</v>
      </c>
      <c r="I59" s="9">
        <f t="shared" si="1"/>
        <v>322.55198823108998</v>
      </c>
      <c r="J59" s="9">
        <f t="shared" si="2"/>
        <v>1778.8403970745599</v>
      </c>
      <c r="K59" s="9">
        <f t="shared" si="3"/>
        <v>322.55198823108998</v>
      </c>
      <c r="L59" s="10">
        <f t="shared" si="0"/>
        <v>0.1813271099315889</v>
      </c>
      <c r="M59" s="10">
        <f t="shared" si="4"/>
        <v>0.20730552440170369</v>
      </c>
      <c r="P59" s="8">
        <f t="shared" si="5"/>
        <v>-3.2148374079420479</v>
      </c>
      <c r="R59" s="1"/>
      <c r="S59" s="11"/>
    </row>
    <row r="60" spans="1:25" x14ac:dyDescent="0.2">
      <c r="A60" s="8">
        <v>29</v>
      </c>
      <c r="B60" s="8">
        <v>58</v>
      </c>
      <c r="D60">
        <v>1928.3651181744001</v>
      </c>
      <c r="E60">
        <v>448.33007334963003</v>
      </c>
      <c r="F60">
        <v>156.67781402936001</v>
      </c>
      <c r="G60">
        <v>126.56851549755</v>
      </c>
      <c r="I60" s="9">
        <f t="shared" si="1"/>
        <v>321.76155785208005</v>
      </c>
      <c r="J60" s="9">
        <f t="shared" si="2"/>
        <v>1771.6873041450401</v>
      </c>
      <c r="K60" s="9">
        <f t="shared" si="3"/>
        <v>321.76155785208005</v>
      </c>
      <c r="L60" s="10">
        <f t="shared" si="0"/>
        <v>0.18161306292554369</v>
      </c>
      <c r="M60" s="10">
        <f t="shared" si="4"/>
        <v>0.20804723905302891</v>
      </c>
      <c r="P60" s="8">
        <f t="shared" si="5"/>
        <v>-2.8685515415494156</v>
      </c>
      <c r="S60" s="11"/>
    </row>
    <row r="61" spans="1:25" x14ac:dyDescent="0.2">
      <c r="A61" s="8">
        <v>29.5</v>
      </c>
      <c r="B61" s="8">
        <v>59</v>
      </c>
      <c r="C61" s="2"/>
      <c r="D61">
        <v>1880.2740619901999</v>
      </c>
      <c r="E61">
        <v>437.61582381728999</v>
      </c>
      <c r="F61">
        <v>156.76508972267999</v>
      </c>
      <c r="G61">
        <v>126.26753670473001</v>
      </c>
      <c r="I61" s="9">
        <f t="shared" si="1"/>
        <v>311.34828711256</v>
      </c>
      <c r="J61" s="9">
        <f t="shared" si="2"/>
        <v>1723.50897226752</v>
      </c>
      <c r="K61" s="9">
        <f t="shared" si="3"/>
        <v>311.34828711256</v>
      </c>
      <c r="L61" s="10">
        <f t="shared" si="0"/>
        <v>0.18064790617419141</v>
      </c>
      <c r="M61" s="10">
        <f t="shared" si="4"/>
        <v>0.20753784395904706</v>
      </c>
      <c r="P61" s="8">
        <f t="shared" si="5"/>
        <v>-3.1063738916142185</v>
      </c>
      <c r="S61" s="11"/>
    </row>
    <row r="62" spans="1:25" x14ac:dyDescent="0.2">
      <c r="A62" s="8">
        <v>30</v>
      </c>
      <c r="B62" s="8">
        <v>60</v>
      </c>
      <c r="D62">
        <v>1873.6712887439</v>
      </c>
      <c r="E62">
        <v>439.80261011418997</v>
      </c>
      <c r="F62">
        <v>156.39314845025001</v>
      </c>
      <c r="G62">
        <v>126.20799347472</v>
      </c>
      <c r="I62" s="9">
        <f t="shared" si="1"/>
        <v>313.59461663946996</v>
      </c>
      <c r="J62" s="9">
        <f t="shared" si="2"/>
        <v>1717.27814029365</v>
      </c>
      <c r="K62" s="9">
        <f t="shared" si="3"/>
        <v>313.59461663946996</v>
      </c>
      <c r="L62" s="10">
        <f t="shared" si="0"/>
        <v>0.18261142984435014</v>
      </c>
      <c r="M62" s="10">
        <f t="shared" si="4"/>
        <v>0.20995712928657623</v>
      </c>
      <c r="P62" s="8">
        <f t="shared" si="5"/>
        <v>-1.976877104409613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1851.2014681892001</v>
      </c>
      <c r="E63">
        <v>434.80913539967003</v>
      </c>
      <c r="F63">
        <v>156.42332789560001</v>
      </c>
      <c r="G63">
        <v>126.4233278956</v>
      </c>
      <c r="I63" s="9">
        <f t="shared" si="1"/>
        <v>308.38580750407004</v>
      </c>
      <c r="J63" s="9">
        <f t="shared" si="2"/>
        <v>1694.7781402936</v>
      </c>
      <c r="K63" s="9">
        <f t="shared" si="3"/>
        <v>308.38580750407004</v>
      </c>
      <c r="L63" s="10">
        <f t="shared" si="0"/>
        <v>0.18196234667662511</v>
      </c>
      <c r="M63" s="10">
        <f t="shared" si="4"/>
        <v>0.20976380777622161</v>
      </c>
      <c r="P63" s="8">
        <f t="shared" si="5"/>
        <v>-2.0671335211945192</v>
      </c>
    </row>
    <row r="64" spans="1:25" x14ac:dyDescent="0.2">
      <c r="A64" s="8">
        <v>31</v>
      </c>
      <c r="B64" s="8">
        <v>62</v>
      </c>
      <c r="D64">
        <v>1850.7316476346</v>
      </c>
      <c r="E64">
        <v>435.35644371940998</v>
      </c>
      <c r="F64">
        <v>156.52202283849999</v>
      </c>
      <c r="G64">
        <v>126.2471451876</v>
      </c>
      <c r="I64" s="9">
        <f t="shared" si="1"/>
        <v>309.10929853181</v>
      </c>
      <c r="J64" s="9">
        <f t="shared" si="2"/>
        <v>1694.2096247960999</v>
      </c>
      <c r="K64" s="9">
        <f t="shared" si="3"/>
        <v>309.10929853181</v>
      </c>
      <c r="L64" s="10">
        <f t="shared" si="0"/>
        <v>0.18245044415268957</v>
      </c>
      <c r="M64" s="10">
        <f t="shared" si="4"/>
        <v>0.21070766690965653</v>
      </c>
      <c r="P64" s="8">
        <f t="shared" si="5"/>
        <v>-1.6264720387900156</v>
      </c>
      <c r="U64" s="8">
        <v>30.5</v>
      </c>
      <c r="V64" s="10">
        <f>L62</f>
        <v>0.18261142984435014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1841.3955954323001</v>
      </c>
      <c r="E65">
        <v>432.99184339315002</v>
      </c>
      <c r="F65">
        <v>156.90293637847</v>
      </c>
      <c r="G65">
        <v>126.51141924959001</v>
      </c>
      <c r="I65" s="9">
        <f t="shared" si="1"/>
        <v>306.48042414356001</v>
      </c>
      <c r="J65" s="9">
        <f t="shared" si="2"/>
        <v>1684.49265905383</v>
      </c>
      <c r="K65" s="9">
        <f t="shared" si="3"/>
        <v>306.48042414356001</v>
      </c>
      <c r="L65" s="10">
        <f t="shared" si="0"/>
        <v>0.18194227353635861</v>
      </c>
      <c r="M65" s="10">
        <f t="shared" si="4"/>
        <v>0.21065525795069601</v>
      </c>
      <c r="P65" s="8">
        <f t="shared" si="5"/>
        <v>-1.6509403187787628</v>
      </c>
      <c r="U65" s="8">
        <v>31</v>
      </c>
      <c r="V65" s="10">
        <f t="shared" ref="V65:V83" si="6">L63</f>
        <v>0.18196234667662511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1841.4584013051001</v>
      </c>
      <c r="E66">
        <v>432.07096247960999</v>
      </c>
      <c r="F66">
        <v>156.01631321369999</v>
      </c>
      <c r="G66">
        <v>127.05791190865</v>
      </c>
      <c r="I66" s="9">
        <f t="shared" si="1"/>
        <v>305.01305057095999</v>
      </c>
      <c r="J66" s="9">
        <f t="shared" si="2"/>
        <v>1685.4420880914001</v>
      </c>
      <c r="K66" s="9">
        <f t="shared" si="3"/>
        <v>305.01305057095999</v>
      </c>
      <c r="L66" s="10">
        <f t="shared" ref="L66:L129" si="7">K66/J66</f>
        <v>0.18096916691831144</v>
      </c>
      <c r="M66" s="10">
        <f t="shared" si="4"/>
        <v>0.21013791299001927</v>
      </c>
      <c r="P66" s="8">
        <f t="shared" si="5"/>
        <v>-1.8924742396898846</v>
      </c>
      <c r="U66" s="8">
        <v>31.5</v>
      </c>
      <c r="V66" s="10">
        <f t="shared" si="6"/>
        <v>0.18245044415268957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1840.3841761827</v>
      </c>
      <c r="E67">
        <v>433.31158238172998</v>
      </c>
      <c r="F67">
        <v>156.43230016313001</v>
      </c>
      <c r="G67">
        <v>126.21941272431</v>
      </c>
      <c r="I67" s="9">
        <f t="shared" ref="I67:I130" si="8">E67-G67</f>
        <v>307.09216965741996</v>
      </c>
      <c r="J67" s="9">
        <f t="shared" ref="J67:J130" si="9">D67-F67</f>
        <v>1683.9518760195699</v>
      </c>
      <c r="K67" s="9">
        <f t="shared" ref="K67:K130" si="10">I67*1</f>
        <v>307.09216965741996</v>
      </c>
      <c r="L67" s="10">
        <f t="shared" si="7"/>
        <v>0.18236398202976384</v>
      </c>
      <c r="M67" s="10">
        <f t="shared" ref="M67:M130" si="11">L67+ABS($N$2)*A67</f>
        <v>0.2119884897588421</v>
      </c>
      <c r="P67" s="8">
        <f t="shared" ref="P67:P130" si="12">(M67-$O$2)/$O$2*100</f>
        <v>-1.0284916035468266</v>
      </c>
      <c r="U67" s="8">
        <v>32</v>
      </c>
      <c r="V67" s="10">
        <f t="shared" si="6"/>
        <v>0.18194227353635861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1869.6867862969</v>
      </c>
      <c r="E68">
        <v>434.56117455139002</v>
      </c>
      <c r="F68">
        <v>156.69902120718001</v>
      </c>
      <c r="G68">
        <v>126.55872756933</v>
      </c>
      <c r="I68" s="9">
        <f t="shared" si="8"/>
        <v>308.00244698206001</v>
      </c>
      <c r="J68" s="9">
        <f t="shared" si="9"/>
        <v>1712.9877650897199</v>
      </c>
      <c r="K68" s="9">
        <f t="shared" si="10"/>
        <v>308.00244698206001</v>
      </c>
      <c r="L68" s="10">
        <f t="shared" si="7"/>
        <v>0.17980423051412045</v>
      </c>
      <c r="M68" s="10">
        <f t="shared" si="11"/>
        <v>0.20988449990056912</v>
      </c>
      <c r="P68" s="8">
        <f t="shared" si="12"/>
        <v>-2.0107857373509996</v>
      </c>
      <c r="U68" s="8">
        <v>32.5</v>
      </c>
      <c r="V68" s="10">
        <f t="shared" si="6"/>
        <v>0.18096916691831144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1840.7659053834</v>
      </c>
      <c r="E69">
        <v>431.3189233279</v>
      </c>
      <c r="F69">
        <v>156.42740619902</v>
      </c>
      <c r="G69">
        <v>126.88743882545</v>
      </c>
      <c r="I69" s="9">
        <f t="shared" si="8"/>
        <v>304.43148450244996</v>
      </c>
      <c r="J69" s="9">
        <f t="shared" si="9"/>
        <v>1684.33849918438</v>
      </c>
      <c r="K69" s="9">
        <f t="shared" si="10"/>
        <v>304.43148450244996</v>
      </c>
      <c r="L69" s="10">
        <f t="shared" si="7"/>
        <v>0.18074246040796854</v>
      </c>
      <c r="M69" s="10">
        <f t="shared" si="11"/>
        <v>0.21127849145178768</v>
      </c>
      <c r="P69" s="8">
        <f t="shared" si="12"/>
        <v>-1.359969994133237</v>
      </c>
      <c r="U69" s="8">
        <v>33</v>
      </c>
      <c r="V69" s="10">
        <f t="shared" si="6"/>
        <v>0.18236398202976384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1959.798195242</v>
      </c>
      <c r="E70">
        <v>454.70221493026997</v>
      </c>
      <c r="F70">
        <v>156.35318107667001</v>
      </c>
      <c r="G70">
        <v>126.87846655791</v>
      </c>
      <c r="I70" s="9">
        <f t="shared" si="8"/>
        <v>327.82374837236</v>
      </c>
      <c r="J70" s="9">
        <f t="shared" si="9"/>
        <v>1803.4450141653301</v>
      </c>
      <c r="K70" s="9">
        <f t="shared" si="10"/>
        <v>327.82374837236</v>
      </c>
      <c r="L70" s="10">
        <f t="shared" si="7"/>
        <v>0.18177640338210327</v>
      </c>
      <c r="M70" s="10">
        <f t="shared" si="11"/>
        <v>0.21276819608329284</v>
      </c>
      <c r="P70" s="8">
        <f t="shared" si="12"/>
        <v>-0.66446848547597925</v>
      </c>
      <c r="U70" s="8">
        <v>33.5</v>
      </c>
      <c r="V70" s="10">
        <f t="shared" si="6"/>
        <v>0.17980423051412045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1952.0905383361001</v>
      </c>
      <c r="E71">
        <v>453.31647634583999</v>
      </c>
      <c r="F71">
        <v>156.75122349103</v>
      </c>
      <c r="G71">
        <v>126.74388254486</v>
      </c>
      <c r="I71" s="9">
        <f t="shared" si="8"/>
        <v>326.57259380097997</v>
      </c>
      <c r="J71" s="9">
        <f t="shared" si="9"/>
        <v>1795.33931484507</v>
      </c>
      <c r="K71" s="9">
        <f t="shared" si="10"/>
        <v>326.57259380097997</v>
      </c>
      <c r="L71" s="10">
        <f t="shared" si="7"/>
        <v>0.18190020744304916</v>
      </c>
      <c r="M71" s="10">
        <f t="shared" si="11"/>
        <v>0.21334776180160914</v>
      </c>
      <c r="P71" s="8">
        <f t="shared" si="12"/>
        <v>-0.39388542966058437</v>
      </c>
      <c r="U71" s="8">
        <v>34</v>
      </c>
      <c r="V71" s="10">
        <f t="shared" si="6"/>
        <v>0.18074246040796854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1904.4184339315</v>
      </c>
      <c r="E72">
        <v>447.06199021206999</v>
      </c>
      <c r="F72">
        <v>156.47960848286999</v>
      </c>
      <c r="G72">
        <v>126.60603588907</v>
      </c>
      <c r="I72" s="9">
        <f t="shared" si="8"/>
        <v>320.45595432300001</v>
      </c>
      <c r="J72" s="9">
        <f t="shared" si="9"/>
        <v>1747.93882544863</v>
      </c>
      <c r="K72" s="9">
        <f t="shared" si="10"/>
        <v>320.45595432300001</v>
      </c>
      <c r="L72" s="10">
        <f t="shared" si="7"/>
        <v>0.1833336210955501</v>
      </c>
      <c r="M72" s="10">
        <f t="shared" si="11"/>
        <v>0.21523693711148051</v>
      </c>
      <c r="P72" s="8">
        <f t="shared" si="12"/>
        <v>0.48811778785376519</v>
      </c>
      <c r="U72" s="8">
        <v>34.5</v>
      </c>
      <c r="V72" s="10">
        <f t="shared" si="6"/>
        <v>0.18177640338210327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1908.7210440457</v>
      </c>
      <c r="E73">
        <v>451.05057096247998</v>
      </c>
      <c r="F73">
        <v>156.07504078303</v>
      </c>
      <c r="G73">
        <v>126.32381729201001</v>
      </c>
      <c r="I73" s="9">
        <f t="shared" si="8"/>
        <v>324.72675367046998</v>
      </c>
      <c r="J73" s="9">
        <f t="shared" si="9"/>
        <v>1752.6460032626699</v>
      </c>
      <c r="K73" s="9">
        <f t="shared" si="10"/>
        <v>324.72675367046998</v>
      </c>
      <c r="L73" s="10">
        <f t="shared" si="7"/>
        <v>0.18527800426667393</v>
      </c>
      <c r="M73" s="10">
        <f t="shared" si="11"/>
        <v>0.21763708193997477</v>
      </c>
      <c r="P73" s="8">
        <f t="shared" si="12"/>
        <v>1.6086784103491469</v>
      </c>
      <c r="U73" s="8">
        <v>35</v>
      </c>
      <c r="V73" s="10">
        <f t="shared" si="6"/>
        <v>0.18190020744304916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1948.6215334420999</v>
      </c>
      <c r="E74">
        <v>452.44942903752002</v>
      </c>
      <c r="F74">
        <v>156.67536704731</v>
      </c>
      <c r="G74">
        <v>126.06851549755</v>
      </c>
      <c r="I74" s="9">
        <f t="shared" si="8"/>
        <v>326.38091353997004</v>
      </c>
      <c r="J74" s="9">
        <f t="shared" si="9"/>
        <v>1791.94616639479</v>
      </c>
      <c r="K74" s="9">
        <f t="shared" si="10"/>
        <v>326.38091353997004</v>
      </c>
      <c r="L74" s="10">
        <f t="shared" si="7"/>
        <v>0.18213767782802015</v>
      </c>
      <c r="M74" s="10">
        <f t="shared" si="11"/>
        <v>0.21495251715869146</v>
      </c>
      <c r="P74" s="8">
        <f t="shared" si="12"/>
        <v>0.35533005122899325</v>
      </c>
      <c r="U74" s="8">
        <v>35.5</v>
      </c>
      <c r="V74" s="10">
        <f t="shared" si="6"/>
        <v>0.1833336210955501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1950.6419249592</v>
      </c>
      <c r="E75">
        <v>453.65171288744</v>
      </c>
      <c r="F75">
        <v>156.96818923327999</v>
      </c>
      <c r="G75">
        <v>126.61011419250001</v>
      </c>
      <c r="I75" s="9">
        <f t="shared" si="8"/>
        <v>327.04159869493998</v>
      </c>
      <c r="J75" s="9">
        <f t="shared" si="9"/>
        <v>1793.6737357259199</v>
      </c>
      <c r="K75" s="9">
        <f t="shared" si="10"/>
        <v>327.04159869493998</v>
      </c>
      <c r="L75" s="10">
        <f t="shared" si="7"/>
        <v>0.1823305945674577</v>
      </c>
      <c r="M75" s="10">
        <f t="shared" si="11"/>
        <v>0.21560119555549945</v>
      </c>
      <c r="P75" s="8">
        <f t="shared" si="12"/>
        <v>0.65817988741261946</v>
      </c>
      <c r="U75" s="8">
        <v>36</v>
      </c>
      <c r="V75" s="10">
        <f t="shared" si="6"/>
        <v>0.18527800426667393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1932.1998368679001</v>
      </c>
      <c r="E76">
        <v>456.87030995105999</v>
      </c>
      <c r="F76">
        <v>156.31973898858001</v>
      </c>
      <c r="G76">
        <v>126.48287112561</v>
      </c>
      <c r="I76" s="9">
        <f t="shared" si="8"/>
        <v>330.38743882544998</v>
      </c>
      <c r="J76" s="9">
        <f t="shared" si="9"/>
        <v>1775.8800978793201</v>
      </c>
      <c r="K76" s="9">
        <f t="shared" si="10"/>
        <v>330.38743882544998</v>
      </c>
      <c r="L76" s="10">
        <f t="shared" si="7"/>
        <v>0.18604152342265928</v>
      </c>
      <c r="M76" s="10">
        <f t="shared" si="11"/>
        <v>0.21976788606807146</v>
      </c>
      <c r="P76" s="8">
        <f t="shared" si="12"/>
        <v>2.6034913782372864</v>
      </c>
      <c r="U76" s="8">
        <v>36.5</v>
      </c>
      <c r="V76" s="10">
        <f t="shared" si="6"/>
        <v>0.18213767782802015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1816.572593801</v>
      </c>
      <c r="E77">
        <v>429.40946166395003</v>
      </c>
      <c r="F77">
        <v>156.68678629690001</v>
      </c>
      <c r="G77">
        <v>126.83605220228</v>
      </c>
      <c r="I77" s="9">
        <f t="shared" si="8"/>
        <v>302.57340946167005</v>
      </c>
      <c r="J77" s="9">
        <f t="shared" si="9"/>
        <v>1659.8858075041001</v>
      </c>
      <c r="K77" s="9">
        <f t="shared" si="10"/>
        <v>302.57340946167005</v>
      </c>
      <c r="L77" s="10">
        <f t="shared" si="7"/>
        <v>0.18228567778203783</v>
      </c>
      <c r="M77" s="10">
        <f t="shared" si="11"/>
        <v>0.21646780208482042</v>
      </c>
      <c r="P77" s="8">
        <f t="shared" si="12"/>
        <v>1.0627742853947102</v>
      </c>
      <c r="U77" s="8">
        <v>37</v>
      </c>
      <c r="V77" s="10">
        <f t="shared" si="6"/>
        <v>0.1823305945674577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1808.7650897226999</v>
      </c>
      <c r="E78">
        <v>435.92414355628</v>
      </c>
      <c r="F78">
        <v>157.01223491028</v>
      </c>
      <c r="G78">
        <v>126.57667210440999</v>
      </c>
      <c r="I78" s="9">
        <f t="shared" si="8"/>
        <v>309.34747145186998</v>
      </c>
      <c r="J78" s="9">
        <f t="shared" si="9"/>
        <v>1651.7528548124199</v>
      </c>
      <c r="K78" s="9">
        <f t="shared" si="10"/>
        <v>309.34747145186998</v>
      </c>
      <c r="L78" s="10">
        <f t="shared" si="7"/>
        <v>0.18728435706987218</v>
      </c>
      <c r="M78" s="10">
        <f t="shared" si="11"/>
        <v>0.22192224303002522</v>
      </c>
      <c r="P78" s="8">
        <f t="shared" si="12"/>
        <v>3.6093005067966857</v>
      </c>
      <c r="U78" s="8">
        <v>37.5</v>
      </c>
      <c r="V78" s="10">
        <f t="shared" si="6"/>
        <v>0.18604152342265928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1823.2168576105</v>
      </c>
      <c r="E79">
        <v>428.39689034370002</v>
      </c>
      <c r="F79">
        <v>156.97063621532999</v>
      </c>
      <c r="G79">
        <v>126.27650897226999</v>
      </c>
      <c r="I79" s="9">
        <f t="shared" si="8"/>
        <v>302.12038137143003</v>
      </c>
      <c r="J79" s="9">
        <f t="shared" si="9"/>
        <v>1666.2462213951701</v>
      </c>
      <c r="K79" s="9">
        <f t="shared" si="10"/>
        <v>302.12038137143003</v>
      </c>
      <c r="L79" s="10">
        <f t="shared" si="7"/>
        <v>0.1813179693925791</v>
      </c>
      <c r="M79" s="10">
        <f t="shared" si="11"/>
        <v>0.21641161701010259</v>
      </c>
      <c r="P79" s="8">
        <f t="shared" si="12"/>
        <v>1.0365430423658228</v>
      </c>
      <c r="U79" s="8">
        <v>38</v>
      </c>
      <c r="V79" s="10">
        <f t="shared" si="6"/>
        <v>0.18228567778203783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1808.9721767594001</v>
      </c>
      <c r="E80">
        <v>427.87725040917002</v>
      </c>
      <c r="F80">
        <v>156.08401305057001</v>
      </c>
      <c r="G80">
        <v>126.90864600326</v>
      </c>
      <c r="I80" s="9">
        <f t="shared" si="8"/>
        <v>300.96860440591001</v>
      </c>
      <c r="J80" s="9">
        <f t="shared" si="9"/>
        <v>1652.88816370883</v>
      </c>
      <c r="K80" s="9">
        <f t="shared" si="10"/>
        <v>300.96860440591001</v>
      </c>
      <c r="L80" s="10">
        <f t="shared" si="7"/>
        <v>0.18208649018974288</v>
      </c>
      <c r="M80" s="10">
        <f t="shared" si="11"/>
        <v>0.2176358994646368</v>
      </c>
      <c r="P80" s="8">
        <f t="shared" si="12"/>
        <v>1.6081263456216015</v>
      </c>
      <c r="U80" s="8">
        <v>38.5</v>
      </c>
      <c r="V80" s="10">
        <f t="shared" si="6"/>
        <v>0.18728435706987218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1811.2954173486</v>
      </c>
      <c r="E81">
        <v>427.67921440262</v>
      </c>
      <c r="F81">
        <v>156.83931484502</v>
      </c>
      <c r="G81">
        <v>127.06280587275999</v>
      </c>
      <c r="I81" s="9">
        <f t="shared" si="8"/>
        <v>300.61640852986</v>
      </c>
      <c r="J81" s="9">
        <f t="shared" si="9"/>
        <v>1654.45610250358</v>
      </c>
      <c r="K81" s="9">
        <f t="shared" si="10"/>
        <v>300.61640852986</v>
      </c>
      <c r="L81" s="10">
        <f t="shared" si="7"/>
        <v>0.18170104850467586</v>
      </c>
      <c r="M81" s="10">
        <f t="shared" si="11"/>
        <v>0.21770621943694018</v>
      </c>
      <c r="P81" s="8">
        <f t="shared" si="12"/>
        <v>1.6409567777699725</v>
      </c>
      <c r="U81" s="8">
        <v>39</v>
      </c>
      <c r="V81" s="10">
        <f t="shared" si="6"/>
        <v>0.1813179693925791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1863.0621422731001</v>
      </c>
      <c r="E82">
        <v>435.68438266558002</v>
      </c>
      <c r="F82">
        <v>157.38988580750001</v>
      </c>
      <c r="G82">
        <v>126.65171288744</v>
      </c>
      <c r="H82" s="13"/>
      <c r="I82" s="14">
        <f t="shared" si="8"/>
        <v>309.03266977814002</v>
      </c>
      <c r="J82" s="14">
        <f t="shared" si="9"/>
        <v>1705.6722564656002</v>
      </c>
      <c r="K82" s="9">
        <f t="shared" si="10"/>
        <v>309.03266977814002</v>
      </c>
      <c r="L82" s="15">
        <f t="shared" si="7"/>
        <v>0.1811793963387201</v>
      </c>
      <c r="M82" s="15">
        <f t="shared" si="11"/>
        <v>0.21764032892835489</v>
      </c>
      <c r="N82" s="13"/>
      <c r="O82" s="13"/>
      <c r="P82" s="13">
        <f t="shared" si="12"/>
        <v>1.6101943385870006</v>
      </c>
      <c r="U82" s="8">
        <v>39.5</v>
      </c>
      <c r="V82" s="10">
        <f t="shared" si="6"/>
        <v>0.18208649018974288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1916.9837133551</v>
      </c>
      <c r="E83">
        <v>447.45602605863002</v>
      </c>
      <c r="F83">
        <v>157.13458401304999</v>
      </c>
      <c r="G83">
        <v>127.19494290375</v>
      </c>
      <c r="I83" s="9">
        <f t="shared" si="8"/>
        <v>320.26108315488</v>
      </c>
      <c r="J83" s="9">
        <f t="shared" si="9"/>
        <v>1759.84912934205</v>
      </c>
      <c r="K83" s="9">
        <f t="shared" si="10"/>
        <v>320.26108315488</v>
      </c>
      <c r="L83" s="10">
        <f t="shared" si="7"/>
        <v>0.18198212438506881</v>
      </c>
      <c r="M83" s="10">
        <f t="shared" si="11"/>
        <v>0.218898818632074</v>
      </c>
      <c r="P83" s="8">
        <f t="shared" si="12"/>
        <v>2.1977480516219829</v>
      </c>
      <c r="U83" s="8">
        <v>40</v>
      </c>
      <c r="V83" s="10">
        <f t="shared" si="6"/>
        <v>0.18170104850467586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1926.7188524589999</v>
      </c>
      <c r="E84">
        <v>450.97622950819999</v>
      </c>
      <c r="F84">
        <v>157.21941272430999</v>
      </c>
      <c r="G84">
        <v>127.34502446982</v>
      </c>
      <c r="I84" s="9">
        <f t="shared" si="8"/>
        <v>323.63120503838002</v>
      </c>
      <c r="J84" s="9">
        <f t="shared" si="9"/>
        <v>1769.49943973469</v>
      </c>
      <c r="K84" s="9">
        <f t="shared" si="10"/>
        <v>323.63120503838002</v>
      </c>
      <c r="L84" s="10">
        <f t="shared" si="7"/>
        <v>0.18289421164603684</v>
      </c>
      <c r="M84" s="10">
        <f t="shared" si="11"/>
        <v>0.22026666755041246</v>
      </c>
      <c r="P84" s="8">
        <f t="shared" si="12"/>
        <v>2.8363585292966</v>
      </c>
      <c r="U84" s="8">
        <v>150.5</v>
      </c>
      <c r="V84" s="10">
        <f>L302</f>
        <v>0.30341855843583582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1866.6577017115001</v>
      </c>
      <c r="E85">
        <v>442.88590057049998</v>
      </c>
      <c r="F85">
        <v>157.39314845025001</v>
      </c>
      <c r="G85">
        <v>127.09380097879</v>
      </c>
      <c r="I85" s="9">
        <f t="shared" si="8"/>
        <v>315.79209959170998</v>
      </c>
      <c r="J85" s="9">
        <f t="shared" si="9"/>
        <v>1709.2645532612501</v>
      </c>
      <c r="K85" s="9">
        <f t="shared" si="10"/>
        <v>315.79209959170998</v>
      </c>
      <c r="L85" s="10">
        <f t="shared" si="7"/>
        <v>0.1847532021822974</v>
      </c>
      <c r="M85" s="10">
        <f t="shared" si="11"/>
        <v>0.22258141974404347</v>
      </c>
      <c r="P85" s="8">
        <f t="shared" si="12"/>
        <v>3.9170517142345043</v>
      </c>
      <c r="U85" s="8">
        <v>151</v>
      </c>
      <c r="V85" s="10">
        <f t="shared" ref="V85:V103" si="13">L303</f>
        <v>0.30662697916597476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1788.0982800982999</v>
      </c>
      <c r="E86">
        <v>425.18837018837002</v>
      </c>
      <c r="F86">
        <v>156.84502446982</v>
      </c>
      <c r="G86">
        <v>126.57504078303</v>
      </c>
      <c r="I86" s="9">
        <f t="shared" si="8"/>
        <v>298.61332940533998</v>
      </c>
      <c r="J86" s="9">
        <f t="shared" si="9"/>
        <v>1631.25325562848</v>
      </c>
      <c r="K86" s="9">
        <f t="shared" si="10"/>
        <v>298.61332940533998</v>
      </c>
      <c r="L86" s="10">
        <f t="shared" si="7"/>
        <v>0.18305761436797374</v>
      </c>
      <c r="M86" s="10">
        <f t="shared" si="11"/>
        <v>0.22134159358709024</v>
      </c>
      <c r="P86" s="8">
        <f t="shared" si="12"/>
        <v>3.3382114902080464</v>
      </c>
      <c r="U86" s="8">
        <v>151.5</v>
      </c>
      <c r="V86" s="10">
        <f t="shared" si="13"/>
        <v>0.30622832401469408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1882.9803761242999</v>
      </c>
      <c r="E87">
        <v>441.82910874897999</v>
      </c>
      <c r="F87">
        <v>157.57911908646</v>
      </c>
      <c r="G87">
        <v>126.5277324633</v>
      </c>
      <c r="I87" s="9">
        <f t="shared" si="8"/>
        <v>315.30137628568002</v>
      </c>
      <c r="J87" s="9">
        <f t="shared" si="9"/>
        <v>1725.40125703784</v>
      </c>
      <c r="K87" s="9">
        <f t="shared" si="10"/>
        <v>315.30137628568002</v>
      </c>
      <c r="L87" s="10">
        <f t="shared" si="7"/>
        <v>0.18274089867477425</v>
      </c>
      <c r="M87" s="10">
        <f t="shared" si="11"/>
        <v>0.22148063955126118</v>
      </c>
      <c r="P87" s="8">
        <f t="shared" si="12"/>
        <v>3.4031281695338547</v>
      </c>
      <c r="U87" s="8">
        <v>152</v>
      </c>
      <c r="V87" s="10">
        <f t="shared" si="13"/>
        <v>0.30324985130633875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1909.2807160293</v>
      </c>
      <c r="E88">
        <v>447.58502847843999</v>
      </c>
      <c r="F88">
        <v>157.02936378467001</v>
      </c>
      <c r="G88">
        <v>126.84991843393</v>
      </c>
      <c r="I88" s="9">
        <f t="shared" si="8"/>
        <v>320.73511004451001</v>
      </c>
      <c r="J88" s="9">
        <f t="shared" si="9"/>
        <v>1752.25135224463</v>
      </c>
      <c r="K88" s="9">
        <f t="shared" si="10"/>
        <v>320.73511004451001</v>
      </c>
      <c r="L88" s="10">
        <f t="shared" si="7"/>
        <v>0.18304172494068791</v>
      </c>
      <c r="M88" s="10">
        <f t="shared" si="11"/>
        <v>0.22223722747454527</v>
      </c>
      <c r="P88" s="8">
        <f t="shared" si="12"/>
        <v>3.7563579514297998</v>
      </c>
      <c r="U88" s="8">
        <v>152.5</v>
      </c>
      <c r="V88" s="10">
        <f t="shared" si="13"/>
        <v>0.30833041760190005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1914.0593978845</v>
      </c>
      <c r="E89">
        <v>449.10577705451999</v>
      </c>
      <c r="F89">
        <v>157.19657422512</v>
      </c>
      <c r="G89">
        <v>126.74225122349</v>
      </c>
      <c r="I89" s="9">
        <f t="shared" si="8"/>
        <v>322.36352583102996</v>
      </c>
      <c r="J89" s="9">
        <f t="shared" si="9"/>
        <v>1756.86282365938</v>
      </c>
      <c r="K89" s="9">
        <f t="shared" si="10"/>
        <v>322.36352583102996</v>
      </c>
      <c r="L89" s="10">
        <f t="shared" si="7"/>
        <v>0.18348815939970606</v>
      </c>
      <c r="M89" s="10">
        <f t="shared" si="11"/>
        <v>0.22313942359093386</v>
      </c>
      <c r="P89" s="8">
        <f t="shared" si="12"/>
        <v>4.1775681341617892</v>
      </c>
      <c r="U89" s="8">
        <v>153</v>
      </c>
      <c r="V89" s="10">
        <f t="shared" si="13"/>
        <v>0.30441701791993447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1912.5947925142</v>
      </c>
      <c r="E90">
        <v>448.20260374288</v>
      </c>
      <c r="F90">
        <v>157.24877650897</v>
      </c>
      <c r="G90">
        <v>126.45513866232</v>
      </c>
      <c r="I90" s="9">
        <f t="shared" si="8"/>
        <v>321.74746508056</v>
      </c>
      <c r="J90" s="9">
        <f t="shared" si="9"/>
        <v>1755.34601600523</v>
      </c>
      <c r="K90" s="9">
        <f t="shared" si="10"/>
        <v>321.74746508056</v>
      </c>
      <c r="L90" s="10">
        <f t="shared" si="7"/>
        <v>0.18329575032322365</v>
      </c>
      <c r="M90" s="10">
        <f t="shared" si="11"/>
        <v>0.22340277617182189</v>
      </c>
      <c r="P90" s="8">
        <f t="shared" si="12"/>
        <v>4.3005201029231017</v>
      </c>
      <c r="U90" s="8">
        <v>153.5</v>
      </c>
      <c r="V90" s="10">
        <f t="shared" si="13"/>
        <v>0.31560698078554755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1900.8706265256001</v>
      </c>
      <c r="E91">
        <v>448.16761594793002</v>
      </c>
      <c r="F91">
        <v>157.68678629690001</v>
      </c>
      <c r="G91">
        <v>127.17128874388</v>
      </c>
      <c r="I91" s="9">
        <f t="shared" si="8"/>
        <v>320.99632720405003</v>
      </c>
      <c r="J91" s="9">
        <f t="shared" si="9"/>
        <v>1743.1838402287001</v>
      </c>
      <c r="K91" s="9">
        <f t="shared" si="10"/>
        <v>320.99632720405003</v>
      </c>
      <c r="L91" s="10">
        <f t="shared" si="7"/>
        <v>0.18414370291657611</v>
      </c>
      <c r="M91" s="10">
        <f t="shared" si="11"/>
        <v>0.22470649042254479</v>
      </c>
      <c r="P91" s="8">
        <f t="shared" si="12"/>
        <v>4.9091878945507608</v>
      </c>
      <c r="U91" s="8">
        <v>154</v>
      </c>
      <c r="V91" s="10">
        <f t="shared" si="13"/>
        <v>0.31549173191796487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1859.0971428570999</v>
      </c>
      <c r="E92">
        <v>435.05306122449002</v>
      </c>
      <c r="F92">
        <v>157.22267536704999</v>
      </c>
      <c r="G92">
        <v>126.89233278956</v>
      </c>
      <c r="I92" s="9">
        <f t="shared" si="8"/>
        <v>308.16072843493004</v>
      </c>
      <c r="J92" s="9">
        <f t="shared" si="9"/>
        <v>1701.8744674900499</v>
      </c>
      <c r="K92" s="9">
        <f t="shared" si="10"/>
        <v>308.16072843493004</v>
      </c>
      <c r="L92" s="10">
        <f t="shared" si="7"/>
        <v>0.18107136238397778</v>
      </c>
      <c r="M92" s="10">
        <f t="shared" si="11"/>
        <v>0.22208991154731689</v>
      </c>
      <c r="P92" s="8">
        <f t="shared" si="12"/>
        <v>3.6875802572012035</v>
      </c>
      <c r="U92" s="8">
        <v>154.5</v>
      </c>
      <c r="V92" s="10">
        <f t="shared" si="13"/>
        <v>0.30760929188900488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1843.9795081967</v>
      </c>
      <c r="E93">
        <v>427.93114754098002</v>
      </c>
      <c r="F93">
        <v>157.21778140294001</v>
      </c>
      <c r="G93">
        <v>126.66721044046</v>
      </c>
      <c r="I93" s="9">
        <f t="shared" si="8"/>
        <v>301.26393710052002</v>
      </c>
      <c r="J93" s="9">
        <f t="shared" si="9"/>
        <v>1686.7617267937599</v>
      </c>
      <c r="K93" s="9">
        <f t="shared" si="10"/>
        <v>301.26393710052002</v>
      </c>
      <c r="L93" s="10">
        <f t="shared" si="7"/>
        <v>0.17860491634059678</v>
      </c>
      <c r="M93" s="10">
        <f t="shared" si="11"/>
        <v>0.22007922716130632</v>
      </c>
      <c r="P93" s="8">
        <f t="shared" si="12"/>
        <v>2.7488478438562849</v>
      </c>
      <c r="U93" s="8">
        <v>155</v>
      </c>
      <c r="V93" s="10">
        <f t="shared" si="13"/>
        <v>0.30702911445255032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1843.7549180328001</v>
      </c>
      <c r="E94">
        <v>428.99180327868999</v>
      </c>
      <c r="F94">
        <v>156.97389885807999</v>
      </c>
      <c r="G94">
        <v>126.76264274062</v>
      </c>
      <c r="I94" s="9">
        <f t="shared" si="8"/>
        <v>302.22916053807</v>
      </c>
      <c r="J94" s="9">
        <f t="shared" si="9"/>
        <v>1686.7810191747201</v>
      </c>
      <c r="K94" s="9">
        <f t="shared" si="10"/>
        <v>302.22916053807</v>
      </c>
      <c r="L94" s="10">
        <f t="shared" si="7"/>
        <v>0.17917510162993155</v>
      </c>
      <c r="M94" s="10">
        <f t="shared" si="11"/>
        <v>0.22110517410801153</v>
      </c>
      <c r="P94" s="8">
        <f t="shared" si="12"/>
        <v>3.2278338348676923</v>
      </c>
      <c r="U94" s="8">
        <v>155.5</v>
      </c>
      <c r="V94" s="10">
        <f t="shared" si="13"/>
        <v>0.29497424144043422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1861.2318367347</v>
      </c>
      <c r="E95">
        <v>433.45224489795999</v>
      </c>
      <c r="F95">
        <v>157.19168026100999</v>
      </c>
      <c r="G95">
        <v>126.82871125612</v>
      </c>
      <c r="I95" s="9">
        <f t="shared" si="8"/>
        <v>306.62353364183997</v>
      </c>
      <c r="J95" s="9">
        <f t="shared" si="9"/>
        <v>1704.0401564736899</v>
      </c>
      <c r="K95" s="9">
        <f t="shared" si="10"/>
        <v>306.62353364183997</v>
      </c>
      <c r="L95" s="10">
        <f t="shared" si="7"/>
        <v>0.17993914784048354</v>
      </c>
      <c r="M95" s="10">
        <f t="shared" si="11"/>
        <v>0.22232498197593395</v>
      </c>
      <c r="P95" s="8">
        <f t="shared" si="12"/>
        <v>3.7973280785385692</v>
      </c>
      <c r="U95" s="8">
        <v>156</v>
      </c>
      <c r="V95" s="10">
        <f t="shared" si="13"/>
        <v>0.29882280834086555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1863.0008163264999</v>
      </c>
      <c r="E96">
        <v>432.51918367347002</v>
      </c>
      <c r="F96">
        <v>157.12153344209</v>
      </c>
      <c r="G96">
        <v>126.90456769984</v>
      </c>
      <c r="I96" s="9">
        <f t="shared" si="8"/>
        <v>305.61461597363001</v>
      </c>
      <c r="J96" s="9">
        <f t="shared" si="9"/>
        <v>1705.87928288441</v>
      </c>
      <c r="K96" s="9">
        <f t="shared" si="10"/>
        <v>305.61461597363001</v>
      </c>
      <c r="L96" s="10">
        <f t="shared" si="7"/>
        <v>0.17915371799162555</v>
      </c>
      <c r="M96" s="10">
        <f t="shared" si="11"/>
        <v>0.2219953137844464</v>
      </c>
      <c r="P96" s="8">
        <f t="shared" si="12"/>
        <v>3.6434152023301904</v>
      </c>
      <c r="U96" s="8">
        <v>156.5</v>
      </c>
      <c r="V96" s="10">
        <f t="shared" si="13"/>
        <v>0.28846087184345393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1873.6440816326999</v>
      </c>
      <c r="E97">
        <v>430.82448979591999</v>
      </c>
      <c r="F97">
        <v>157.12153344209</v>
      </c>
      <c r="G97">
        <v>126.65252854812</v>
      </c>
      <c r="I97" s="9">
        <f t="shared" si="8"/>
        <v>304.17196124779997</v>
      </c>
      <c r="J97" s="9">
        <f t="shared" si="9"/>
        <v>1716.52254819061</v>
      </c>
      <c r="K97" s="9">
        <f t="shared" si="10"/>
        <v>304.17196124779997</v>
      </c>
      <c r="L97" s="10">
        <f t="shared" si="7"/>
        <v>0.17720242683000481</v>
      </c>
      <c r="M97" s="10">
        <f t="shared" si="11"/>
        <v>0.22049978428019609</v>
      </c>
      <c r="P97" s="8">
        <f t="shared" si="12"/>
        <v>2.9451942231844175</v>
      </c>
      <c r="U97" s="8">
        <v>157</v>
      </c>
      <c r="V97" s="10">
        <f t="shared" si="13"/>
        <v>0.28558369205580875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1918.368852459</v>
      </c>
      <c r="E98">
        <v>439.89098360655998</v>
      </c>
      <c r="F98">
        <v>156.7308319739</v>
      </c>
      <c r="G98">
        <v>126.93800978793</v>
      </c>
      <c r="I98" s="9">
        <f t="shared" si="8"/>
        <v>312.95297381862997</v>
      </c>
      <c r="J98" s="9">
        <f t="shared" si="9"/>
        <v>1761.6380204851</v>
      </c>
      <c r="K98" s="9">
        <f t="shared" si="10"/>
        <v>312.95297381862997</v>
      </c>
      <c r="L98" s="10">
        <f t="shared" si="7"/>
        <v>0.17764885304442538</v>
      </c>
      <c r="M98" s="10">
        <f t="shared" si="11"/>
        <v>0.22140197215198709</v>
      </c>
      <c r="P98" s="8">
        <f t="shared" si="12"/>
        <v>3.3664005567439341</v>
      </c>
      <c r="U98" s="8">
        <v>157.5</v>
      </c>
      <c r="V98" s="10">
        <f t="shared" si="13"/>
        <v>0.27731314686138864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1911.2991803279001</v>
      </c>
      <c r="E99">
        <v>440.91967213114998</v>
      </c>
      <c r="F99">
        <v>157.11908646002999</v>
      </c>
      <c r="G99">
        <v>126.94290375204</v>
      </c>
      <c r="I99" s="9">
        <f t="shared" si="8"/>
        <v>313.97676837911001</v>
      </c>
      <c r="J99" s="9">
        <f t="shared" si="9"/>
        <v>1754.18009386787</v>
      </c>
      <c r="K99" s="9">
        <f t="shared" si="10"/>
        <v>313.97676837911001</v>
      </c>
      <c r="L99" s="10">
        <f t="shared" si="7"/>
        <v>0.1789877615626162</v>
      </c>
      <c r="M99" s="10">
        <f t="shared" si="11"/>
        <v>0.22319664232754835</v>
      </c>
      <c r="P99" s="8">
        <f t="shared" si="12"/>
        <v>4.2042819650764667</v>
      </c>
      <c r="U99" s="8">
        <v>158</v>
      </c>
      <c r="V99" s="10">
        <f t="shared" si="13"/>
        <v>0.26873930769554222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1860.7565573771001</v>
      </c>
      <c r="E100">
        <v>431.63852459015999</v>
      </c>
      <c r="F100">
        <v>157.22430668842</v>
      </c>
      <c r="G100">
        <v>126.70228384991999</v>
      </c>
      <c r="I100" s="9">
        <f t="shared" si="8"/>
        <v>304.93624074024001</v>
      </c>
      <c r="J100" s="9">
        <f t="shared" si="9"/>
        <v>1703.5322506886801</v>
      </c>
      <c r="K100" s="9">
        <f t="shared" si="10"/>
        <v>304.93624074024001</v>
      </c>
      <c r="L100" s="10">
        <f t="shared" si="7"/>
        <v>0.17900232919979336</v>
      </c>
      <c r="M100" s="10">
        <f t="shared" si="11"/>
        <v>0.22366697162209595</v>
      </c>
      <c r="P100" s="8">
        <f t="shared" si="12"/>
        <v>4.4238655838727983</v>
      </c>
      <c r="U100" s="8">
        <v>158.5</v>
      </c>
      <c r="V100" s="10">
        <f t="shared" si="13"/>
        <v>0.27160708398177158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1831.8147540984</v>
      </c>
      <c r="E101">
        <v>423.81639344261998</v>
      </c>
      <c r="F101">
        <v>157.11174551387001</v>
      </c>
      <c r="G101">
        <v>126.94127243067</v>
      </c>
      <c r="I101" s="9">
        <f t="shared" si="8"/>
        <v>296.87512101195</v>
      </c>
      <c r="J101" s="9">
        <f t="shared" si="9"/>
        <v>1674.7030085845299</v>
      </c>
      <c r="K101" s="9">
        <f t="shared" si="10"/>
        <v>296.87512101195</v>
      </c>
      <c r="L101" s="10">
        <f t="shared" si="7"/>
        <v>0.17727030971471822</v>
      </c>
      <c r="M101" s="10">
        <f t="shared" si="11"/>
        <v>0.22239071379439124</v>
      </c>
      <c r="P101" s="8">
        <f t="shared" si="12"/>
        <v>3.828016429730468</v>
      </c>
      <c r="U101" s="8">
        <v>159</v>
      </c>
      <c r="V101" s="10">
        <f t="shared" si="13"/>
        <v>0.27093180828228203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1920.3213409647999</v>
      </c>
      <c r="E102">
        <v>443.36058871627</v>
      </c>
      <c r="F102">
        <v>157.49836867862999</v>
      </c>
      <c r="G102">
        <v>126.66231647635</v>
      </c>
      <c r="I102" s="9">
        <f t="shared" si="8"/>
        <v>316.69827223992002</v>
      </c>
      <c r="J102" s="9">
        <f t="shared" si="9"/>
        <v>1762.8229722861699</v>
      </c>
      <c r="K102" s="9">
        <f t="shared" si="10"/>
        <v>316.69827223992002</v>
      </c>
      <c r="L102" s="10">
        <f t="shared" si="7"/>
        <v>0.17965404196497414</v>
      </c>
      <c r="M102" s="10">
        <f t="shared" si="11"/>
        <v>0.2252302077020176</v>
      </c>
      <c r="P102" s="8">
        <f t="shared" si="12"/>
        <v>5.1536968732301052</v>
      </c>
      <c r="U102" s="8">
        <v>159.5</v>
      </c>
      <c r="V102" s="10">
        <f t="shared" si="13"/>
        <v>0.26495333415666156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1918.2191332788</v>
      </c>
      <c r="E103">
        <v>443.76614881439002</v>
      </c>
      <c r="F103">
        <v>157.10032626427</v>
      </c>
      <c r="G103">
        <v>126.53017944535</v>
      </c>
      <c r="I103" s="9">
        <f t="shared" si="8"/>
        <v>317.23596936904005</v>
      </c>
      <c r="J103" s="9">
        <f t="shared" si="9"/>
        <v>1761.1188070145299</v>
      </c>
      <c r="K103" s="9">
        <f t="shared" si="10"/>
        <v>317.23596936904005</v>
      </c>
      <c r="L103" s="10">
        <f t="shared" si="7"/>
        <v>0.18013320174964365</v>
      </c>
      <c r="M103" s="10">
        <f t="shared" si="11"/>
        <v>0.22616512914405754</v>
      </c>
      <c r="P103" s="8">
        <f t="shared" si="12"/>
        <v>5.5901855970100733</v>
      </c>
      <c r="U103" s="8">
        <v>160</v>
      </c>
      <c r="V103" s="10">
        <f t="shared" si="13"/>
        <v>0.25802225493205522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1876.1147540984</v>
      </c>
      <c r="E104">
        <v>434.53688524590001</v>
      </c>
      <c r="F104">
        <v>157.09787928221999</v>
      </c>
      <c r="G104">
        <v>126.83768352365</v>
      </c>
      <c r="I104" s="9">
        <f t="shared" si="8"/>
        <v>307.69920172225</v>
      </c>
      <c r="J104" s="9">
        <f t="shared" si="9"/>
        <v>1719.01687481618</v>
      </c>
      <c r="K104" s="9">
        <f t="shared" si="10"/>
        <v>307.69920172225</v>
      </c>
      <c r="L104" s="10">
        <f t="shared" si="7"/>
        <v>0.17899719672917885</v>
      </c>
      <c r="M104" s="10">
        <f t="shared" si="11"/>
        <v>0.22548488578096318</v>
      </c>
      <c r="P104" s="8">
        <f t="shared" si="12"/>
        <v>5.2725989591755704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1878.8409836066</v>
      </c>
      <c r="E105">
        <v>437.63524590164002</v>
      </c>
      <c r="F105">
        <v>157.76835236541999</v>
      </c>
      <c r="G105">
        <v>127.39641109298999</v>
      </c>
      <c r="I105" s="9">
        <f t="shared" si="8"/>
        <v>310.23883480865004</v>
      </c>
      <c r="J105" s="9">
        <f t="shared" si="9"/>
        <v>1721.07263124118</v>
      </c>
      <c r="K105" s="9">
        <f t="shared" si="10"/>
        <v>310.23883480865004</v>
      </c>
      <c r="L105" s="10">
        <f t="shared" si="7"/>
        <v>0.18025900196025788</v>
      </c>
      <c r="M105" s="10">
        <f t="shared" si="11"/>
        <v>0.22720245266941264</v>
      </c>
      <c r="P105" s="8">
        <f t="shared" si="12"/>
        <v>6.0744829950259405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1874.8385245902</v>
      </c>
      <c r="E106">
        <v>437.58032786885002</v>
      </c>
      <c r="F106">
        <v>157.33849918434001</v>
      </c>
      <c r="G106">
        <v>126.97226753671001</v>
      </c>
      <c r="I106" s="9">
        <f t="shared" si="8"/>
        <v>310.60806033213998</v>
      </c>
      <c r="J106" s="9">
        <f t="shared" si="9"/>
        <v>1717.50002540586</v>
      </c>
      <c r="K106" s="9">
        <f t="shared" si="10"/>
        <v>310.60806033213998</v>
      </c>
      <c r="L106" s="10">
        <f t="shared" si="7"/>
        <v>0.18084894074964605</v>
      </c>
      <c r="M106" s="10">
        <f t="shared" si="11"/>
        <v>0.22824815311617125</v>
      </c>
      <c r="P106" s="8">
        <f t="shared" si="12"/>
        <v>6.5626913438107266</v>
      </c>
      <c r="X106" s="8">
        <v>-13</v>
      </c>
    </row>
    <row r="107" spans="1:25" x14ac:dyDescent="0.2">
      <c r="A107" s="8">
        <v>52.5</v>
      </c>
      <c r="B107" s="8">
        <v>105</v>
      </c>
      <c r="D107">
        <v>1861.8622950819999</v>
      </c>
      <c r="E107">
        <v>436.32213114754001</v>
      </c>
      <c r="F107">
        <v>157.74714518760001</v>
      </c>
      <c r="G107">
        <v>126.89396411093</v>
      </c>
      <c r="I107" s="9">
        <f t="shared" si="8"/>
        <v>309.42816703661003</v>
      </c>
      <c r="J107" s="9">
        <f t="shared" si="9"/>
        <v>1704.1151498944</v>
      </c>
      <c r="K107" s="9">
        <f t="shared" si="10"/>
        <v>309.42816703661003</v>
      </c>
      <c r="L107" s="10">
        <f t="shared" si="7"/>
        <v>0.18157702961316</v>
      </c>
      <c r="M107" s="10">
        <f t="shared" si="11"/>
        <v>0.22943200363705563</v>
      </c>
      <c r="P107" s="8">
        <f t="shared" si="12"/>
        <v>7.11539810586721</v>
      </c>
      <c r="X107" s="8">
        <v>-13</v>
      </c>
    </row>
    <row r="108" spans="1:25" x14ac:dyDescent="0.2">
      <c r="A108" s="8">
        <v>53</v>
      </c>
      <c r="B108" s="8">
        <v>106</v>
      </c>
      <c r="D108">
        <v>1857.8754098361001</v>
      </c>
      <c r="E108">
        <v>434.27049180327998</v>
      </c>
      <c r="F108">
        <v>157.52283849918001</v>
      </c>
      <c r="G108">
        <v>126.93066884176</v>
      </c>
      <c r="I108" s="9">
        <f t="shared" si="8"/>
        <v>307.33982296151999</v>
      </c>
      <c r="J108" s="9">
        <f t="shared" si="9"/>
        <v>1700.3525713369199</v>
      </c>
      <c r="K108" s="9">
        <f t="shared" si="10"/>
        <v>307.33982296151999</v>
      </c>
      <c r="L108" s="10">
        <f t="shared" si="7"/>
        <v>0.18075064439128108</v>
      </c>
      <c r="M108" s="10">
        <f t="shared" si="11"/>
        <v>0.22906138007254714</v>
      </c>
      <c r="P108" s="8">
        <f t="shared" si="12"/>
        <v>6.9423643092285197</v>
      </c>
      <c r="X108" s="8">
        <v>-13</v>
      </c>
    </row>
    <row r="109" spans="1:25" x14ac:dyDescent="0.2">
      <c r="A109" s="8">
        <v>53.5</v>
      </c>
      <c r="B109" s="8">
        <v>107</v>
      </c>
      <c r="D109">
        <v>1853.1549180328</v>
      </c>
      <c r="E109">
        <v>436.15737704918001</v>
      </c>
      <c r="F109">
        <v>157.77732463295001</v>
      </c>
      <c r="G109">
        <v>127.21941272431</v>
      </c>
      <c r="I109" s="9">
        <f t="shared" si="8"/>
        <v>308.93796432486999</v>
      </c>
      <c r="J109" s="9">
        <f t="shared" si="9"/>
        <v>1695.37759339985</v>
      </c>
      <c r="K109" s="9">
        <f t="shared" si="10"/>
        <v>308.93796432486999</v>
      </c>
      <c r="L109" s="10">
        <f t="shared" si="7"/>
        <v>0.1822236919536826</v>
      </c>
      <c r="M109" s="10">
        <f t="shared" si="11"/>
        <v>0.2309901892923191</v>
      </c>
      <c r="P109" s="8">
        <f t="shared" si="12"/>
        <v>7.8428714929297705</v>
      </c>
      <c r="X109" s="8">
        <v>-13</v>
      </c>
    </row>
    <row r="110" spans="1:25" x14ac:dyDescent="0.2">
      <c r="A110" s="8">
        <v>54</v>
      </c>
      <c r="B110" s="8">
        <v>108</v>
      </c>
      <c r="D110">
        <v>1843.4491803279</v>
      </c>
      <c r="E110">
        <v>433.27950819671997</v>
      </c>
      <c r="F110">
        <v>157.78874388254999</v>
      </c>
      <c r="G110">
        <v>127.26019575856</v>
      </c>
      <c r="I110" s="9">
        <f t="shared" si="8"/>
        <v>306.01931243816</v>
      </c>
      <c r="J110" s="9">
        <f t="shared" si="9"/>
        <v>1685.6604364453499</v>
      </c>
      <c r="K110" s="9">
        <f t="shared" si="10"/>
        <v>306.01931243816</v>
      </c>
      <c r="L110" s="10">
        <f t="shared" si="7"/>
        <v>0.18154267954670675</v>
      </c>
      <c r="M110" s="10">
        <f t="shared" si="11"/>
        <v>0.23076493854271368</v>
      </c>
      <c r="P110" s="8">
        <f t="shared" si="12"/>
        <v>7.7377082056152524</v>
      </c>
      <c r="X110" s="8">
        <v>-13</v>
      </c>
    </row>
    <row r="111" spans="1:25" x14ac:dyDescent="0.2">
      <c r="A111" s="8">
        <v>54.5</v>
      </c>
      <c r="B111" s="8">
        <v>109</v>
      </c>
      <c r="D111">
        <v>1843.5632653061</v>
      </c>
      <c r="E111">
        <v>428.57061224490002</v>
      </c>
      <c r="F111">
        <v>157.85073409462001</v>
      </c>
      <c r="G111">
        <v>127.2365415987</v>
      </c>
      <c r="I111" s="9">
        <f t="shared" si="8"/>
        <v>301.33407064620002</v>
      </c>
      <c r="J111" s="9">
        <f t="shared" si="9"/>
        <v>1685.7125312114799</v>
      </c>
      <c r="K111" s="9">
        <f t="shared" si="10"/>
        <v>301.33407064620002</v>
      </c>
      <c r="L111" s="10">
        <f t="shared" si="7"/>
        <v>0.178757685588087</v>
      </c>
      <c r="M111" s="10">
        <f t="shared" si="11"/>
        <v>0.22843570624146436</v>
      </c>
      <c r="P111" s="8">
        <f t="shared" si="12"/>
        <v>6.6502546626298065</v>
      </c>
      <c r="X111" s="8">
        <v>-13</v>
      </c>
    </row>
    <row r="112" spans="1:25" x14ac:dyDescent="0.2">
      <c r="A112" s="8">
        <v>55</v>
      </c>
      <c r="B112" s="8">
        <v>110</v>
      </c>
      <c r="D112">
        <v>1839.6391836734999</v>
      </c>
      <c r="E112">
        <v>428.88326530611999</v>
      </c>
      <c r="F112">
        <v>157.89314845025001</v>
      </c>
      <c r="G112">
        <v>127.32952691680001</v>
      </c>
      <c r="I112" s="9">
        <f t="shared" si="8"/>
        <v>301.55373838931996</v>
      </c>
      <c r="J112" s="9">
        <f t="shared" si="9"/>
        <v>1681.7460352232499</v>
      </c>
      <c r="K112" s="9">
        <f t="shared" si="10"/>
        <v>301.55373838931996</v>
      </c>
      <c r="L112" s="10">
        <f t="shared" si="7"/>
        <v>0.17930991485839243</v>
      </c>
      <c r="M112" s="10">
        <f t="shared" si="11"/>
        <v>0.22944369716914023</v>
      </c>
      <c r="P112" s="8">
        <f t="shared" si="12"/>
        <v>7.1208574895828658</v>
      </c>
      <c r="X112" s="8">
        <v>-13</v>
      </c>
    </row>
    <row r="113" spans="1:24" x14ac:dyDescent="0.2">
      <c r="A113" s="8">
        <v>55.5</v>
      </c>
      <c r="B113" s="8">
        <v>111</v>
      </c>
      <c r="D113">
        <v>1835.2873469388001</v>
      </c>
      <c r="E113">
        <v>427.82040816326997</v>
      </c>
      <c r="F113">
        <v>157.99755301795</v>
      </c>
      <c r="G113">
        <v>127.14681892333</v>
      </c>
      <c r="I113" s="9">
        <f t="shared" si="8"/>
        <v>300.67358923993999</v>
      </c>
      <c r="J113" s="9">
        <f t="shared" si="9"/>
        <v>1677.2897939208501</v>
      </c>
      <c r="K113" s="9">
        <f t="shared" si="10"/>
        <v>300.67358923993999</v>
      </c>
      <c r="L113" s="10">
        <f t="shared" si="7"/>
        <v>0.17926156250976896</v>
      </c>
      <c r="M113" s="10">
        <f t="shared" si="11"/>
        <v>0.2298511064778872</v>
      </c>
      <c r="P113" s="8">
        <f t="shared" si="12"/>
        <v>7.3110655233648609</v>
      </c>
      <c r="X113" s="8">
        <v>-13</v>
      </c>
    </row>
    <row r="114" spans="1:24" x14ac:dyDescent="0.2">
      <c r="A114" s="8">
        <v>56</v>
      </c>
      <c r="B114" s="8">
        <v>112</v>
      </c>
      <c r="D114">
        <v>1808.5195439739</v>
      </c>
      <c r="E114">
        <v>420.40065146580002</v>
      </c>
      <c r="F114">
        <v>157.29282218597001</v>
      </c>
      <c r="G114">
        <v>126.61745513866001</v>
      </c>
      <c r="I114" s="9">
        <f t="shared" si="8"/>
        <v>293.78319632713999</v>
      </c>
      <c r="J114" s="9">
        <f t="shared" si="9"/>
        <v>1651.22672178793</v>
      </c>
      <c r="K114" s="9">
        <f t="shared" si="10"/>
        <v>293.78319632713999</v>
      </c>
      <c r="L114" s="10">
        <f t="shared" si="7"/>
        <v>0.17791814561299904</v>
      </c>
      <c r="M114" s="10">
        <f t="shared" si="11"/>
        <v>0.22896345123848771</v>
      </c>
      <c r="P114" s="8">
        <f t="shared" si="12"/>
        <v>6.8966440702033092</v>
      </c>
      <c r="X114" s="8">
        <v>-13</v>
      </c>
    </row>
    <row r="115" spans="1:24" x14ac:dyDescent="0.2">
      <c r="A115" s="8">
        <v>56.5</v>
      </c>
      <c r="B115" s="8">
        <v>113</v>
      </c>
      <c r="D115">
        <v>1804.259771987</v>
      </c>
      <c r="E115">
        <v>417.38110749186001</v>
      </c>
      <c r="F115">
        <v>157.17944535072999</v>
      </c>
      <c r="G115">
        <v>126.56688417618</v>
      </c>
      <c r="I115" s="9">
        <f t="shared" si="8"/>
        <v>290.81422331568001</v>
      </c>
      <c r="J115" s="9">
        <f t="shared" si="9"/>
        <v>1647.08032663627</v>
      </c>
      <c r="K115" s="9">
        <f t="shared" si="10"/>
        <v>290.81422331568001</v>
      </c>
      <c r="L115" s="10">
        <f t="shared" si="7"/>
        <v>0.17656347332469927</v>
      </c>
      <c r="M115" s="10">
        <f t="shared" si="11"/>
        <v>0.22806454060755837</v>
      </c>
      <c r="P115" s="8">
        <f t="shared" si="12"/>
        <v>6.4769677889208097</v>
      </c>
      <c r="X115" s="8">
        <v>-13</v>
      </c>
    </row>
    <row r="116" spans="1:24" x14ac:dyDescent="0.2">
      <c r="A116" s="8">
        <v>57</v>
      </c>
      <c r="B116" s="8">
        <v>114</v>
      </c>
      <c r="D116">
        <v>1803.8517915309001</v>
      </c>
      <c r="E116">
        <v>416.76140065147001</v>
      </c>
      <c r="F116">
        <v>158.00897226754</v>
      </c>
      <c r="G116">
        <v>126.39641109298999</v>
      </c>
      <c r="I116" s="9">
        <f t="shared" si="8"/>
        <v>290.36498955848003</v>
      </c>
      <c r="J116" s="9">
        <f t="shared" si="9"/>
        <v>1645.8428192633601</v>
      </c>
      <c r="K116" s="9">
        <f t="shared" si="10"/>
        <v>290.36498955848003</v>
      </c>
      <c r="L116" s="10">
        <f t="shared" si="7"/>
        <v>0.17642328061949467</v>
      </c>
      <c r="M116" s="10">
        <f t="shared" si="11"/>
        <v>0.22838010955972421</v>
      </c>
      <c r="P116" s="8">
        <f t="shared" si="12"/>
        <v>6.6242981238577237</v>
      </c>
      <c r="X116" s="8">
        <v>-13</v>
      </c>
    </row>
    <row r="117" spans="1:24" x14ac:dyDescent="0.2">
      <c r="A117" s="8">
        <v>57.5</v>
      </c>
      <c r="B117" s="8">
        <v>115</v>
      </c>
      <c r="D117">
        <v>1805.8330618893001</v>
      </c>
      <c r="E117">
        <v>420.60016286644998</v>
      </c>
      <c r="F117">
        <v>158.46818923327999</v>
      </c>
      <c r="G117">
        <v>126.89804241436001</v>
      </c>
      <c r="I117" s="9">
        <f t="shared" si="8"/>
        <v>293.70212045208996</v>
      </c>
      <c r="J117" s="9">
        <f t="shared" si="9"/>
        <v>1647.36487265602</v>
      </c>
      <c r="K117" s="9">
        <f t="shared" si="10"/>
        <v>293.70212045208996</v>
      </c>
      <c r="L117" s="10">
        <f t="shared" si="7"/>
        <v>0.17828601624760806</v>
      </c>
      <c r="M117" s="10">
        <f t="shared" si="11"/>
        <v>0.23069860684520804</v>
      </c>
      <c r="P117" s="8">
        <f t="shared" si="12"/>
        <v>7.7067397876407737</v>
      </c>
      <c r="X117" s="8">
        <v>-13</v>
      </c>
    </row>
    <row r="118" spans="1:24" x14ac:dyDescent="0.2">
      <c r="A118" s="8">
        <v>58</v>
      </c>
      <c r="B118" s="8">
        <v>116</v>
      </c>
      <c r="D118">
        <v>1803.986970684</v>
      </c>
      <c r="E118">
        <v>420.37785016287</v>
      </c>
      <c r="F118">
        <v>157.42822185970999</v>
      </c>
      <c r="G118">
        <v>126.2911908646</v>
      </c>
      <c r="I118" s="9">
        <f t="shared" si="8"/>
        <v>294.08665929826998</v>
      </c>
      <c r="J118" s="9">
        <f t="shared" si="9"/>
        <v>1646.55874882429</v>
      </c>
      <c r="K118" s="9">
        <f t="shared" si="10"/>
        <v>294.08665929826998</v>
      </c>
      <c r="L118" s="10">
        <f t="shared" si="7"/>
        <v>0.17860684260932677</v>
      </c>
      <c r="M118" s="10">
        <f t="shared" si="11"/>
        <v>0.23147519486429718</v>
      </c>
      <c r="P118" s="8">
        <f t="shared" si="12"/>
        <v>8.0693070559830389</v>
      </c>
      <c r="X118" s="8">
        <v>-13</v>
      </c>
    </row>
    <row r="119" spans="1:24" x14ac:dyDescent="0.2">
      <c r="A119" s="8">
        <v>58.5</v>
      </c>
      <c r="B119" s="8">
        <v>117</v>
      </c>
      <c r="D119">
        <v>1800.1596091204999</v>
      </c>
      <c r="E119">
        <v>420.35586319217998</v>
      </c>
      <c r="F119">
        <v>157.7088091354</v>
      </c>
      <c r="G119">
        <v>126.89314845025</v>
      </c>
      <c r="I119" s="9">
        <f t="shared" si="8"/>
        <v>293.46271474192997</v>
      </c>
      <c r="J119" s="9">
        <f t="shared" si="9"/>
        <v>1642.4507999850998</v>
      </c>
      <c r="K119" s="9">
        <f t="shared" si="10"/>
        <v>293.46271474192997</v>
      </c>
      <c r="L119" s="10">
        <f t="shared" si="7"/>
        <v>0.17867367153073457</v>
      </c>
      <c r="M119" s="10">
        <f t="shared" si="11"/>
        <v>0.23199778544307542</v>
      </c>
      <c r="P119" s="8">
        <f t="shared" si="12"/>
        <v>8.3132900095589441</v>
      </c>
      <c r="X119" s="8">
        <v>-13</v>
      </c>
    </row>
    <row r="120" spans="1:24" x14ac:dyDescent="0.2">
      <c r="A120" s="8">
        <v>59</v>
      </c>
      <c r="B120" s="8">
        <v>118</v>
      </c>
      <c r="D120">
        <v>1800.0073289902</v>
      </c>
      <c r="E120">
        <v>417.01872964169002</v>
      </c>
      <c r="F120">
        <v>157.52365415987001</v>
      </c>
      <c r="G120">
        <v>126.91109298532</v>
      </c>
      <c r="I120" s="9">
        <f t="shared" si="8"/>
        <v>290.10763665637</v>
      </c>
      <c r="J120" s="9">
        <f t="shared" si="9"/>
        <v>1642.4836748303301</v>
      </c>
      <c r="K120" s="9">
        <f t="shared" si="10"/>
        <v>290.10763665637</v>
      </c>
      <c r="L120" s="10">
        <f t="shared" si="7"/>
        <v>0.17662740951525036</v>
      </c>
      <c r="M120" s="10">
        <f t="shared" si="11"/>
        <v>0.23040728508496164</v>
      </c>
      <c r="P120" s="8">
        <f t="shared" si="12"/>
        <v>7.570729789772038</v>
      </c>
      <c r="X120" s="8">
        <v>-13</v>
      </c>
    </row>
    <row r="121" spans="1:24" x14ac:dyDescent="0.2">
      <c r="A121" s="8">
        <v>59.5</v>
      </c>
      <c r="B121" s="8">
        <v>119</v>
      </c>
      <c r="D121">
        <v>1798.4519543974</v>
      </c>
      <c r="E121">
        <v>417.64413680782002</v>
      </c>
      <c r="F121">
        <v>158.46982055465</v>
      </c>
      <c r="G121">
        <v>126.24143556281</v>
      </c>
      <c r="I121" s="9">
        <f t="shared" si="8"/>
        <v>291.40270124501001</v>
      </c>
      <c r="J121" s="9">
        <f t="shared" si="9"/>
        <v>1639.98213384275</v>
      </c>
      <c r="K121" s="9">
        <f t="shared" si="10"/>
        <v>291.40270124501001</v>
      </c>
      <c r="L121" s="10">
        <f t="shared" si="7"/>
        <v>0.1776865096464223</v>
      </c>
      <c r="M121" s="10">
        <f t="shared" si="11"/>
        <v>0.23192214687350401</v>
      </c>
      <c r="P121" s="8">
        <f t="shared" si="12"/>
        <v>8.277976472810094</v>
      </c>
      <c r="X121" s="8">
        <v>-13</v>
      </c>
    </row>
    <row r="122" spans="1:24" x14ac:dyDescent="0.2">
      <c r="A122" s="8">
        <v>60</v>
      </c>
      <c r="B122" s="8">
        <v>120</v>
      </c>
      <c r="D122">
        <v>1794.1701954396999</v>
      </c>
      <c r="E122">
        <v>415.64087947883002</v>
      </c>
      <c r="F122">
        <v>157.58401305057001</v>
      </c>
      <c r="G122">
        <v>127.07259380098</v>
      </c>
      <c r="I122" s="9">
        <f t="shared" si="8"/>
        <v>288.56828567784999</v>
      </c>
      <c r="J122" s="9">
        <f t="shared" si="9"/>
        <v>1636.5861823891298</v>
      </c>
      <c r="K122" s="9">
        <f t="shared" si="10"/>
        <v>288.56828567784999</v>
      </c>
      <c r="L122" s="10">
        <f t="shared" si="7"/>
        <v>0.1763233056609281</v>
      </c>
      <c r="M122" s="10">
        <f t="shared" si="11"/>
        <v>0.23101470454538026</v>
      </c>
      <c r="P122" s="8">
        <f t="shared" si="12"/>
        <v>7.8543169802623307</v>
      </c>
      <c r="X122" s="8">
        <v>-13</v>
      </c>
    </row>
    <row r="123" spans="1:24" x14ac:dyDescent="0.2">
      <c r="A123" s="8">
        <v>60.5</v>
      </c>
      <c r="B123" s="8">
        <v>121</v>
      </c>
      <c r="D123">
        <v>1794.3403908795001</v>
      </c>
      <c r="E123">
        <v>417.62296416938</v>
      </c>
      <c r="F123">
        <v>157.39722675367</v>
      </c>
      <c r="G123">
        <v>127.08156606852</v>
      </c>
      <c r="I123" s="9">
        <f t="shared" si="8"/>
        <v>290.54139810085996</v>
      </c>
      <c r="J123" s="9">
        <f t="shared" si="9"/>
        <v>1636.9431641258302</v>
      </c>
      <c r="K123" s="9">
        <f t="shared" si="10"/>
        <v>290.54139810085996</v>
      </c>
      <c r="L123" s="10">
        <f t="shared" si="7"/>
        <v>0.17749021741754642</v>
      </c>
      <c r="M123" s="10">
        <f t="shared" si="11"/>
        <v>0.23263737795936901</v>
      </c>
      <c r="P123" s="8">
        <f t="shared" si="12"/>
        <v>8.6118979017547463</v>
      </c>
      <c r="X123" s="8">
        <v>-13</v>
      </c>
    </row>
    <row r="124" spans="1:24" x14ac:dyDescent="0.2">
      <c r="A124" s="8">
        <v>61</v>
      </c>
      <c r="B124" s="8">
        <v>122</v>
      </c>
      <c r="D124">
        <v>1793.0317589577</v>
      </c>
      <c r="E124">
        <v>415.85097719869998</v>
      </c>
      <c r="F124">
        <v>157.57340946165999</v>
      </c>
      <c r="G124">
        <v>126.44616639477999</v>
      </c>
      <c r="I124" s="9">
        <f t="shared" si="8"/>
        <v>289.40481080391999</v>
      </c>
      <c r="J124" s="9">
        <f t="shared" si="9"/>
        <v>1635.45834949604</v>
      </c>
      <c r="K124" s="9">
        <f t="shared" si="10"/>
        <v>289.40481080391999</v>
      </c>
      <c r="L124" s="10">
        <f t="shared" si="7"/>
        <v>0.17695639322951814</v>
      </c>
      <c r="M124" s="10">
        <f t="shared" si="11"/>
        <v>0.23255931542871117</v>
      </c>
      <c r="P124" s="8">
        <f t="shared" si="12"/>
        <v>8.5754526852373782</v>
      </c>
      <c r="X124" s="8">
        <v>-13</v>
      </c>
    </row>
    <row r="125" spans="1:24" x14ac:dyDescent="0.2">
      <c r="A125" s="8">
        <v>61.5</v>
      </c>
      <c r="B125" s="8">
        <v>123</v>
      </c>
      <c r="D125">
        <v>1753.8859934853001</v>
      </c>
      <c r="E125">
        <v>410.66286644950998</v>
      </c>
      <c r="F125">
        <v>157.91924959216999</v>
      </c>
      <c r="G125">
        <v>126.83034257749</v>
      </c>
      <c r="I125" s="9">
        <f t="shared" si="8"/>
        <v>283.83252387201998</v>
      </c>
      <c r="J125" s="9">
        <f t="shared" si="9"/>
        <v>1595.9667438931301</v>
      </c>
      <c r="K125" s="9">
        <f t="shared" si="10"/>
        <v>283.83252387201998</v>
      </c>
      <c r="L125" s="10">
        <f t="shared" si="7"/>
        <v>0.17784363299428882</v>
      </c>
      <c r="M125" s="10">
        <f t="shared" si="11"/>
        <v>0.23390231685085228</v>
      </c>
      <c r="P125" s="8">
        <f t="shared" si="12"/>
        <v>9.2024625605334176</v>
      </c>
      <c r="X125" s="8">
        <v>-13</v>
      </c>
    </row>
    <row r="126" spans="1:24" x14ac:dyDescent="0.2">
      <c r="A126" s="8">
        <v>62</v>
      </c>
      <c r="B126" s="8">
        <v>124</v>
      </c>
      <c r="D126">
        <v>1785.8070032573</v>
      </c>
      <c r="E126">
        <v>415.29641693810999</v>
      </c>
      <c r="F126">
        <v>157.80016313214</v>
      </c>
      <c r="G126">
        <v>126.85562805873001</v>
      </c>
      <c r="I126" s="9">
        <f t="shared" si="8"/>
        <v>288.44078887937997</v>
      </c>
      <c r="J126" s="9">
        <f t="shared" si="9"/>
        <v>1628.0068401251601</v>
      </c>
      <c r="K126" s="9">
        <f t="shared" si="10"/>
        <v>288.44078887937997</v>
      </c>
      <c r="L126" s="10">
        <f t="shared" si="7"/>
        <v>0.17717418733769252</v>
      </c>
      <c r="M126" s="10">
        <f t="shared" si="11"/>
        <v>0.23368863285162642</v>
      </c>
      <c r="P126" s="8">
        <f t="shared" si="12"/>
        <v>9.1026994660954674</v>
      </c>
      <c r="X126" s="8">
        <v>-13</v>
      </c>
    </row>
    <row r="127" spans="1:24" x14ac:dyDescent="0.2">
      <c r="A127" s="8">
        <v>62.5</v>
      </c>
      <c r="B127" s="8">
        <v>125</v>
      </c>
      <c r="D127">
        <v>1785.2622149837</v>
      </c>
      <c r="E127">
        <v>414.93648208469</v>
      </c>
      <c r="F127">
        <v>157.57259380098</v>
      </c>
      <c r="G127">
        <v>127.04649265905</v>
      </c>
      <c r="I127" s="9">
        <f t="shared" si="8"/>
        <v>287.88998942564001</v>
      </c>
      <c r="J127" s="9">
        <f t="shared" si="9"/>
        <v>1627.68962118272</v>
      </c>
      <c r="K127" s="9">
        <f t="shared" si="10"/>
        <v>287.88998942564001</v>
      </c>
      <c r="L127" s="10">
        <f t="shared" si="7"/>
        <v>0.17687032323549004</v>
      </c>
      <c r="M127" s="10">
        <f t="shared" si="11"/>
        <v>0.23384053040679437</v>
      </c>
      <c r="P127" s="8">
        <f t="shared" si="12"/>
        <v>9.1736161945169385</v>
      </c>
      <c r="X127" s="8">
        <v>-13</v>
      </c>
    </row>
    <row r="128" spans="1:24" x14ac:dyDescent="0.2">
      <c r="A128" s="8">
        <v>63</v>
      </c>
      <c r="B128" s="8">
        <v>126</v>
      </c>
      <c r="D128">
        <v>1781.9983713355</v>
      </c>
      <c r="E128">
        <v>412.57491856678001</v>
      </c>
      <c r="F128">
        <v>157.6427406199</v>
      </c>
      <c r="G128">
        <v>126.58156606852</v>
      </c>
      <c r="I128" s="9">
        <f t="shared" si="8"/>
        <v>285.99335249826004</v>
      </c>
      <c r="J128" s="9">
        <f t="shared" si="9"/>
        <v>1624.3556307156</v>
      </c>
      <c r="K128" s="9">
        <f t="shared" si="10"/>
        <v>285.99335249826004</v>
      </c>
      <c r="L128" s="10">
        <f t="shared" si="7"/>
        <v>0.17606572544232041</v>
      </c>
      <c r="M128" s="10">
        <f t="shared" si="11"/>
        <v>0.23349169427099517</v>
      </c>
      <c r="P128" s="8">
        <f t="shared" si="12"/>
        <v>9.0107543401657324</v>
      </c>
      <c r="X128" s="8">
        <v>-13</v>
      </c>
    </row>
    <row r="129" spans="1:24" x14ac:dyDescent="0.2">
      <c r="A129" s="8">
        <v>63.5</v>
      </c>
      <c r="B129" s="8">
        <v>127</v>
      </c>
      <c r="D129">
        <v>1798.9037520392001</v>
      </c>
      <c r="E129">
        <v>420.67128874387998</v>
      </c>
      <c r="F129">
        <v>157.61419249592001</v>
      </c>
      <c r="G129">
        <v>126.68026101142</v>
      </c>
      <c r="I129" s="9">
        <f t="shared" si="8"/>
        <v>293.99102773246</v>
      </c>
      <c r="J129" s="9">
        <f t="shared" si="9"/>
        <v>1641.2895595432801</v>
      </c>
      <c r="K129" s="9">
        <f t="shared" si="10"/>
        <v>293.99102773246</v>
      </c>
      <c r="L129" s="10">
        <f t="shared" si="7"/>
        <v>0.17912197517071185</v>
      </c>
      <c r="M129" s="10">
        <f t="shared" si="11"/>
        <v>0.23700370565675705</v>
      </c>
      <c r="P129" s="8">
        <f t="shared" si="12"/>
        <v>10.650414421473862</v>
      </c>
      <c r="X129" s="8">
        <v>-13</v>
      </c>
    </row>
    <row r="130" spans="1:24" x14ac:dyDescent="0.2">
      <c r="A130" s="8">
        <v>64</v>
      </c>
      <c r="B130" s="8">
        <v>128</v>
      </c>
      <c r="D130">
        <v>1789.5497553017999</v>
      </c>
      <c r="E130">
        <v>416.37194127242998</v>
      </c>
      <c r="F130">
        <v>158.22104404568</v>
      </c>
      <c r="G130">
        <v>126.83931484502</v>
      </c>
      <c r="I130" s="9">
        <f t="shared" si="8"/>
        <v>289.53262642740998</v>
      </c>
      <c r="J130" s="9">
        <f t="shared" si="9"/>
        <v>1631.32871125612</v>
      </c>
      <c r="K130" s="9">
        <f t="shared" si="10"/>
        <v>289.53262642740998</v>
      </c>
      <c r="L130" s="10">
        <f t="shared" ref="L130:L193" si="14">K130/J130</f>
        <v>0.17748270132784608</v>
      </c>
      <c r="M130" s="10">
        <f t="shared" si="11"/>
        <v>0.23582019347126171</v>
      </c>
      <c r="P130" s="8">
        <f t="shared" si="12"/>
        <v>10.097865618766187</v>
      </c>
      <c r="X130" s="8">
        <v>-13</v>
      </c>
    </row>
    <row r="131" spans="1:24" x14ac:dyDescent="0.2">
      <c r="A131" s="8">
        <v>64.5</v>
      </c>
      <c r="B131" s="8">
        <v>129</v>
      </c>
      <c r="D131">
        <v>1789.5040783034001</v>
      </c>
      <c r="E131">
        <v>417.51386623165001</v>
      </c>
      <c r="F131">
        <v>157.77814029364001</v>
      </c>
      <c r="G131">
        <v>126.83278955954</v>
      </c>
      <c r="I131" s="9">
        <f t="shared" ref="I131:I194" si="15">E131-G131</f>
        <v>290.68107667211001</v>
      </c>
      <c r="J131" s="9">
        <f t="shared" ref="J131:J194" si="16">D131-F131</f>
        <v>1631.7259380097601</v>
      </c>
      <c r="K131" s="9">
        <f t="shared" ref="K131:K194" si="17">I131*1</f>
        <v>290.68107667211001</v>
      </c>
      <c r="L131" s="10">
        <f t="shared" si="14"/>
        <v>0.17814332045653325</v>
      </c>
      <c r="M131" s="10">
        <f t="shared" ref="M131:M181" si="18">L131+ABS($N$2)*A131</f>
        <v>0.23693657425731932</v>
      </c>
      <c r="P131" s="8">
        <f t="shared" ref="P131:P194" si="19">(M131-$O$2)/$O$2*100</f>
        <v>10.619072644990265</v>
      </c>
      <c r="X131" s="8">
        <v>-13</v>
      </c>
    </row>
    <row r="132" spans="1:24" x14ac:dyDescent="0.2">
      <c r="A132" s="8">
        <v>65</v>
      </c>
      <c r="B132" s="8">
        <v>130</v>
      </c>
      <c r="D132">
        <v>1834.3246329527001</v>
      </c>
      <c r="E132">
        <v>427.61745513865998</v>
      </c>
      <c r="F132">
        <v>157.15986949429001</v>
      </c>
      <c r="G132">
        <v>126.27079934747</v>
      </c>
      <c r="I132" s="9">
        <f t="shared" si="15"/>
        <v>301.34665579118996</v>
      </c>
      <c r="J132" s="9">
        <f t="shared" si="16"/>
        <v>1677.1647634584101</v>
      </c>
      <c r="K132" s="9">
        <f t="shared" si="17"/>
        <v>301.34665579118996</v>
      </c>
      <c r="L132" s="10">
        <f t="shared" si="14"/>
        <v>0.17967623834988988</v>
      </c>
      <c r="M132" s="10">
        <f t="shared" si="18"/>
        <v>0.23892525380804638</v>
      </c>
      <c r="P132" s="8">
        <f t="shared" si="19"/>
        <v>11.54753161498691</v>
      </c>
      <c r="X132" s="8">
        <v>-13</v>
      </c>
    </row>
    <row r="133" spans="1:24" x14ac:dyDescent="0.2">
      <c r="A133" s="8">
        <v>65.5</v>
      </c>
      <c r="B133" s="8">
        <v>131</v>
      </c>
      <c r="D133">
        <v>1832.6769983687</v>
      </c>
      <c r="E133">
        <v>425.99592169657001</v>
      </c>
      <c r="F133">
        <v>156.59624796085001</v>
      </c>
      <c r="G133">
        <v>126.91272430669</v>
      </c>
      <c r="I133" s="9">
        <f t="shared" si="15"/>
        <v>299.08319738988001</v>
      </c>
      <c r="J133" s="9">
        <f t="shared" si="16"/>
        <v>1676.08075040785</v>
      </c>
      <c r="K133" s="9">
        <f t="shared" si="17"/>
        <v>299.08319738988001</v>
      </c>
      <c r="L133" s="10">
        <f t="shared" si="14"/>
        <v>0.17844199768841831</v>
      </c>
      <c r="M133" s="10">
        <f t="shared" si="18"/>
        <v>0.23814677480394525</v>
      </c>
      <c r="P133" s="8">
        <f t="shared" si="19"/>
        <v>11.184081498527725</v>
      </c>
      <c r="X133" s="8">
        <v>-13</v>
      </c>
    </row>
    <row r="134" spans="1:24" x14ac:dyDescent="0.2">
      <c r="A134" s="8">
        <v>66</v>
      </c>
      <c r="B134" s="8">
        <v>132</v>
      </c>
      <c r="D134">
        <v>1831.3817292007</v>
      </c>
      <c r="E134">
        <v>422.78955954322998</v>
      </c>
      <c r="F134">
        <v>157.17373572593999</v>
      </c>
      <c r="G134">
        <v>126.39151712887001</v>
      </c>
      <c r="I134" s="9">
        <f t="shared" si="15"/>
        <v>296.39804241435996</v>
      </c>
      <c r="J134" s="9">
        <f t="shared" si="16"/>
        <v>1674.2079934747599</v>
      </c>
      <c r="K134" s="9">
        <f t="shared" si="17"/>
        <v>296.39804241435996</v>
      </c>
      <c r="L134" s="10">
        <f t="shared" si="14"/>
        <v>0.17703776565968737</v>
      </c>
      <c r="M134" s="10">
        <f t="shared" si="18"/>
        <v>0.23719830443258474</v>
      </c>
      <c r="P134" s="8">
        <f t="shared" si="19"/>
        <v>10.741267157854411</v>
      </c>
      <c r="X134" s="8">
        <v>-13</v>
      </c>
    </row>
    <row r="135" spans="1:24" x14ac:dyDescent="0.2">
      <c r="A135" s="8">
        <v>66.5</v>
      </c>
      <c r="B135" s="8">
        <v>133</v>
      </c>
      <c r="D135">
        <v>1828.4396411093001</v>
      </c>
      <c r="E135">
        <v>424.21778140293998</v>
      </c>
      <c r="F135">
        <v>157.41843393149</v>
      </c>
      <c r="G135">
        <v>126.70799347472</v>
      </c>
      <c r="I135" s="9">
        <f t="shared" si="15"/>
        <v>297.50978792821996</v>
      </c>
      <c r="J135" s="9">
        <f t="shared" si="16"/>
        <v>1671.0212071778101</v>
      </c>
      <c r="K135" s="9">
        <f t="shared" si="17"/>
        <v>297.50978792821996</v>
      </c>
      <c r="L135" s="10">
        <f t="shared" si="14"/>
        <v>0.17804070148857334</v>
      </c>
      <c r="M135" s="10">
        <f t="shared" si="18"/>
        <v>0.23865700191884115</v>
      </c>
      <c r="P135" s="8">
        <f t="shared" si="19"/>
        <v>11.42229229593217</v>
      </c>
      <c r="X135" s="8">
        <v>-13</v>
      </c>
    </row>
    <row r="136" spans="1:24" x14ac:dyDescent="0.2">
      <c r="A136" s="8">
        <v>67</v>
      </c>
      <c r="B136" s="8">
        <v>134</v>
      </c>
      <c r="D136">
        <v>1832.339314845</v>
      </c>
      <c r="E136">
        <v>426.25367047307998</v>
      </c>
      <c r="F136">
        <v>157.97797716150001</v>
      </c>
      <c r="G136">
        <v>126.37683523654</v>
      </c>
      <c r="I136" s="9">
        <f t="shared" si="15"/>
        <v>299.87683523653999</v>
      </c>
      <c r="J136" s="9">
        <f t="shared" si="16"/>
        <v>1674.3613376835001</v>
      </c>
      <c r="K136" s="9">
        <f t="shared" si="17"/>
        <v>299.87683523653999</v>
      </c>
      <c r="L136" s="10">
        <f t="shared" si="14"/>
        <v>0.17909923532480948</v>
      </c>
      <c r="M136" s="10">
        <f t="shared" si="18"/>
        <v>0.24017129741244772</v>
      </c>
      <c r="P136" s="8">
        <f t="shared" si="19"/>
        <v>12.129274591672322</v>
      </c>
      <c r="X136" s="8">
        <v>-13</v>
      </c>
    </row>
    <row r="137" spans="1:24" x14ac:dyDescent="0.2">
      <c r="A137" s="8">
        <v>67.5</v>
      </c>
      <c r="B137" s="8">
        <v>135</v>
      </c>
      <c r="D137">
        <v>1833.2756933116</v>
      </c>
      <c r="E137">
        <v>423.98939641109001</v>
      </c>
      <c r="F137">
        <v>157.16313213703</v>
      </c>
      <c r="G137">
        <v>126.72349102773001</v>
      </c>
      <c r="I137" s="9">
        <f t="shared" si="15"/>
        <v>297.26590538336001</v>
      </c>
      <c r="J137" s="9">
        <f t="shared" si="16"/>
        <v>1676.1125611745699</v>
      </c>
      <c r="K137" s="9">
        <f t="shared" si="17"/>
        <v>297.26590538336001</v>
      </c>
      <c r="L137" s="10">
        <f t="shared" si="14"/>
        <v>0.17735438076727073</v>
      </c>
      <c r="M137" s="10">
        <f t="shared" si="18"/>
        <v>0.2388822045122794</v>
      </c>
      <c r="P137" s="8">
        <f t="shared" si="19"/>
        <v>11.527433100476474</v>
      </c>
      <c r="X137" s="8">
        <v>-13</v>
      </c>
    </row>
    <row r="138" spans="1:24" x14ac:dyDescent="0.2">
      <c r="A138" s="8">
        <v>68</v>
      </c>
      <c r="B138" s="8">
        <v>136</v>
      </c>
      <c r="D138">
        <v>1838.2169657423001</v>
      </c>
      <c r="E138">
        <v>426.46411092984999</v>
      </c>
      <c r="F138">
        <v>156.93311582382</v>
      </c>
      <c r="G138">
        <v>126.65823817291999</v>
      </c>
      <c r="I138" s="9">
        <f t="shared" si="15"/>
        <v>299.80587275693</v>
      </c>
      <c r="J138" s="9">
        <f t="shared" si="16"/>
        <v>1681.28384991848</v>
      </c>
      <c r="K138" s="9">
        <f t="shared" si="17"/>
        <v>299.80587275693</v>
      </c>
      <c r="L138" s="10">
        <f t="shared" si="14"/>
        <v>0.17831960544405789</v>
      </c>
      <c r="M138" s="10">
        <f t="shared" si="18"/>
        <v>0.240303190846437</v>
      </c>
      <c r="P138" s="8">
        <f t="shared" si="19"/>
        <v>12.190851954312894</v>
      </c>
      <c r="X138" s="8">
        <v>-13</v>
      </c>
    </row>
    <row r="139" spans="1:24" x14ac:dyDescent="0.2">
      <c r="A139" s="8">
        <v>68.5</v>
      </c>
      <c r="B139" s="8">
        <v>137</v>
      </c>
      <c r="D139">
        <v>1829.6451876020001</v>
      </c>
      <c r="E139">
        <v>425.00652528548</v>
      </c>
      <c r="F139">
        <v>157.16231647634999</v>
      </c>
      <c r="G139">
        <v>126.49673735726</v>
      </c>
      <c r="I139" s="9">
        <f t="shared" si="15"/>
        <v>298.50978792822002</v>
      </c>
      <c r="J139" s="9">
        <f t="shared" si="16"/>
        <v>1672.48287112565</v>
      </c>
      <c r="K139" s="9">
        <f t="shared" si="17"/>
        <v>298.50978792822002</v>
      </c>
      <c r="L139" s="10">
        <f t="shared" si="14"/>
        <v>0.17848301652698578</v>
      </c>
      <c r="M139" s="10">
        <f t="shared" si="18"/>
        <v>0.24092236358673533</v>
      </c>
      <c r="P139" s="8">
        <f t="shared" si="19"/>
        <v>12.479926423096567</v>
      </c>
      <c r="X139" s="8">
        <v>-13</v>
      </c>
    </row>
    <row r="140" spans="1:24" x14ac:dyDescent="0.2">
      <c r="A140" s="8">
        <v>69</v>
      </c>
      <c r="B140" s="8">
        <v>138</v>
      </c>
      <c r="D140">
        <v>1803.6688417618</v>
      </c>
      <c r="E140">
        <v>418.61908646003002</v>
      </c>
      <c r="F140">
        <v>156.24959216965999</v>
      </c>
      <c r="G140">
        <v>126.34665579119</v>
      </c>
      <c r="I140" s="9">
        <f t="shared" si="15"/>
        <v>292.27243066884</v>
      </c>
      <c r="J140" s="9">
        <f t="shared" si="16"/>
        <v>1647.41924959214</v>
      </c>
      <c r="K140" s="9">
        <f t="shared" si="17"/>
        <v>292.27243066884</v>
      </c>
      <c r="L140" s="10">
        <f t="shared" si="14"/>
        <v>0.17741229546832077</v>
      </c>
      <c r="M140" s="10">
        <f t="shared" si="18"/>
        <v>0.24030740418544075</v>
      </c>
      <c r="P140" s="8">
        <f t="shared" si="19"/>
        <v>12.192819044682095</v>
      </c>
      <c r="X140" s="8">
        <v>-13</v>
      </c>
    </row>
    <row r="141" spans="1:24" x14ac:dyDescent="0.2">
      <c r="A141" s="8">
        <v>69.5</v>
      </c>
      <c r="B141" s="8">
        <v>139</v>
      </c>
      <c r="D141">
        <v>1793.8841761827</v>
      </c>
      <c r="E141">
        <v>415.93230016312998</v>
      </c>
      <c r="F141">
        <v>156.68352365416001</v>
      </c>
      <c r="G141">
        <v>126.15905383361</v>
      </c>
      <c r="I141" s="9">
        <f t="shared" si="15"/>
        <v>289.77324632951996</v>
      </c>
      <c r="J141" s="9">
        <f t="shared" si="16"/>
        <v>1637.2006525285401</v>
      </c>
      <c r="K141" s="9">
        <f t="shared" si="17"/>
        <v>289.77324632951996</v>
      </c>
      <c r="L141" s="10">
        <f t="shared" si="14"/>
        <v>0.17699311680702409</v>
      </c>
      <c r="M141" s="10">
        <f t="shared" si="18"/>
        <v>0.24034398718151451</v>
      </c>
      <c r="P141" s="8">
        <f t="shared" si="19"/>
        <v>12.209898624366824</v>
      </c>
      <c r="X141" s="8">
        <v>-13</v>
      </c>
    </row>
    <row r="142" spans="1:24" x14ac:dyDescent="0.2">
      <c r="A142" s="8">
        <v>70</v>
      </c>
      <c r="B142" s="8">
        <v>140</v>
      </c>
      <c r="D142">
        <v>1842.5632653061</v>
      </c>
      <c r="E142">
        <v>425.45306122449</v>
      </c>
      <c r="F142">
        <v>157.01876019576</v>
      </c>
      <c r="G142">
        <v>126.73572593801001</v>
      </c>
      <c r="I142" s="9">
        <f t="shared" si="15"/>
        <v>298.71733528647997</v>
      </c>
      <c r="J142" s="9">
        <f t="shared" si="16"/>
        <v>1685.54450511034</v>
      </c>
      <c r="K142" s="9">
        <f t="shared" si="17"/>
        <v>298.71733528647997</v>
      </c>
      <c r="L142" s="10">
        <f t="shared" si="14"/>
        <v>0.17722304832700053</v>
      </c>
      <c r="M142" s="10">
        <f t="shared" si="18"/>
        <v>0.24102968035886138</v>
      </c>
      <c r="P142" s="8">
        <f t="shared" si="19"/>
        <v>12.530029628349062</v>
      </c>
      <c r="X142" s="8">
        <v>-13</v>
      </c>
    </row>
    <row r="143" spans="1:24" x14ac:dyDescent="0.2">
      <c r="A143" s="8">
        <v>70.5</v>
      </c>
      <c r="B143" s="8">
        <v>141</v>
      </c>
      <c r="D143">
        <v>1839.5077551019999</v>
      </c>
      <c r="E143">
        <v>423.34857142856998</v>
      </c>
      <c r="F143">
        <v>157.09298531811001</v>
      </c>
      <c r="G143">
        <v>126.01549755302</v>
      </c>
      <c r="I143" s="9">
        <f t="shared" si="15"/>
        <v>297.33307387554999</v>
      </c>
      <c r="J143" s="9">
        <f t="shared" si="16"/>
        <v>1682.4147697838898</v>
      </c>
      <c r="K143" s="9">
        <f t="shared" si="17"/>
        <v>297.33307387554999</v>
      </c>
      <c r="L143" s="10">
        <f t="shared" si="14"/>
        <v>0.17672994746339699</v>
      </c>
      <c r="M143" s="10">
        <f t="shared" si="18"/>
        <v>0.24099234115262827</v>
      </c>
      <c r="P143" s="8">
        <f t="shared" si="19"/>
        <v>12.512596995249872</v>
      </c>
      <c r="X143" s="8">
        <v>-13</v>
      </c>
    </row>
    <row r="144" spans="1:24" x14ac:dyDescent="0.2">
      <c r="A144" s="8">
        <v>71</v>
      </c>
      <c r="B144" s="8">
        <v>142</v>
      </c>
      <c r="D144">
        <v>1832.5934693878</v>
      </c>
      <c r="E144">
        <v>425.61469387755</v>
      </c>
      <c r="F144">
        <v>156.22430668842</v>
      </c>
      <c r="G144">
        <v>126.14437194126999</v>
      </c>
      <c r="I144" s="9">
        <f t="shared" si="15"/>
        <v>299.47032193628002</v>
      </c>
      <c r="J144" s="9">
        <f t="shared" si="16"/>
        <v>1676.36916269938</v>
      </c>
      <c r="K144" s="9">
        <f t="shared" si="17"/>
        <v>299.47032193628002</v>
      </c>
      <c r="L144" s="10">
        <f t="shared" si="14"/>
        <v>0.17864222785753034</v>
      </c>
      <c r="M144" s="10">
        <f t="shared" si="18"/>
        <v>0.24336038320413206</v>
      </c>
      <c r="P144" s="8">
        <f t="shared" si="19"/>
        <v>13.618169727289143</v>
      </c>
    </row>
    <row r="145" spans="1:16" x14ac:dyDescent="0.2">
      <c r="A145" s="8">
        <v>71.5</v>
      </c>
      <c r="B145" s="8">
        <v>143</v>
      </c>
      <c r="D145">
        <v>1838.3510204081999</v>
      </c>
      <c r="E145">
        <v>434.82530612245</v>
      </c>
      <c r="F145">
        <v>156.65986949429001</v>
      </c>
      <c r="G145">
        <v>126.31647634584</v>
      </c>
      <c r="I145" s="9">
        <f t="shared" si="15"/>
        <v>308.50882977661001</v>
      </c>
      <c r="J145" s="9">
        <f t="shared" si="16"/>
        <v>1681.69115091391</v>
      </c>
      <c r="K145" s="9">
        <f t="shared" si="17"/>
        <v>308.50882977661001</v>
      </c>
      <c r="L145" s="10">
        <f t="shared" si="14"/>
        <v>0.18345153901116257</v>
      </c>
      <c r="M145" s="10">
        <f t="shared" si="18"/>
        <v>0.24862545601513472</v>
      </c>
      <c r="P145" s="8">
        <f t="shared" si="19"/>
        <v>16.076285252876787</v>
      </c>
    </row>
    <row r="146" spans="1:16" x14ac:dyDescent="0.2">
      <c r="A146" s="8">
        <v>72</v>
      </c>
      <c r="B146" s="8">
        <v>144</v>
      </c>
      <c r="D146">
        <v>1836.9012244897999</v>
      </c>
      <c r="E146">
        <v>433.56489795917997</v>
      </c>
      <c r="F146">
        <v>156.50734094616999</v>
      </c>
      <c r="G146">
        <v>126.34257748777</v>
      </c>
      <c r="I146" s="9">
        <f t="shared" si="15"/>
        <v>307.22232047140994</v>
      </c>
      <c r="J146" s="9">
        <f t="shared" si="16"/>
        <v>1680.39388354363</v>
      </c>
      <c r="K146" s="9">
        <f t="shared" si="17"/>
        <v>307.22232047140994</v>
      </c>
      <c r="L146" s="10">
        <f t="shared" si="14"/>
        <v>0.18282756410868189</v>
      </c>
      <c r="M146" s="10">
        <f t="shared" si="18"/>
        <v>0.24845724277002448</v>
      </c>
      <c r="P146" s="8">
        <f t="shared" si="19"/>
        <v>15.997751184259373</v>
      </c>
    </row>
    <row r="147" spans="1:16" x14ac:dyDescent="0.2">
      <c r="A147" s="8">
        <v>72.5</v>
      </c>
      <c r="B147" s="8">
        <v>145</v>
      </c>
      <c r="D147">
        <v>1823.4290375204</v>
      </c>
      <c r="E147">
        <v>429.24306688418</v>
      </c>
      <c r="F147">
        <v>156.35807504077999</v>
      </c>
      <c r="G147">
        <v>126.23409461663999</v>
      </c>
      <c r="I147" s="9">
        <f t="shared" si="15"/>
        <v>303.00897226754</v>
      </c>
      <c r="J147" s="9">
        <f t="shared" si="16"/>
        <v>1667.07096247962</v>
      </c>
      <c r="K147" s="9">
        <f t="shared" si="17"/>
        <v>303.00897226754</v>
      </c>
      <c r="L147" s="10">
        <f t="shared" si="14"/>
        <v>0.18176129216289694</v>
      </c>
      <c r="M147" s="10">
        <f t="shared" si="18"/>
        <v>0.24784673248160996</v>
      </c>
      <c r="P147" s="8">
        <f t="shared" si="19"/>
        <v>15.712720972455536</v>
      </c>
    </row>
    <row r="148" spans="1:16" x14ac:dyDescent="0.2">
      <c r="A148" s="8">
        <v>73</v>
      </c>
      <c r="B148" s="8">
        <v>146</v>
      </c>
      <c r="D148">
        <v>1824.8499184339</v>
      </c>
      <c r="E148">
        <v>424.90212071778001</v>
      </c>
      <c r="F148">
        <v>156.78221859705999</v>
      </c>
      <c r="G148">
        <v>126.13295269168</v>
      </c>
      <c r="I148" s="9">
        <f t="shared" si="15"/>
        <v>298.76916802610003</v>
      </c>
      <c r="J148" s="9">
        <f t="shared" si="16"/>
        <v>1668.0676998368401</v>
      </c>
      <c r="K148" s="9">
        <f t="shared" si="17"/>
        <v>298.76916802610003</v>
      </c>
      <c r="L148" s="10">
        <f t="shared" si="14"/>
        <v>0.17911093659767152</v>
      </c>
      <c r="M148" s="10">
        <f t="shared" si="18"/>
        <v>0.24565213857375498</v>
      </c>
      <c r="P148" s="8">
        <f t="shared" si="19"/>
        <v>14.688126337033754</v>
      </c>
    </row>
    <row r="149" spans="1:16" x14ac:dyDescent="0.2">
      <c r="A149" s="8">
        <v>73.5</v>
      </c>
      <c r="B149" s="8">
        <v>147</v>
      </c>
      <c r="D149">
        <v>1783.4930612245</v>
      </c>
      <c r="E149">
        <v>419.12081632653002</v>
      </c>
      <c r="F149">
        <v>156.36786296900999</v>
      </c>
      <c r="G149">
        <v>126.0277324633</v>
      </c>
      <c r="I149" s="9">
        <f t="shared" si="15"/>
        <v>293.09308386323005</v>
      </c>
      <c r="J149" s="9">
        <f t="shared" si="16"/>
        <v>1627.12519825549</v>
      </c>
      <c r="K149" s="9">
        <f t="shared" si="17"/>
        <v>293.09308386323005</v>
      </c>
      <c r="L149" s="10">
        <f t="shared" si="14"/>
        <v>0.18012939887936563</v>
      </c>
      <c r="M149" s="10">
        <f t="shared" si="18"/>
        <v>0.24712636251281953</v>
      </c>
      <c r="P149" s="8">
        <f t="shared" si="19"/>
        <v>15.376400342520382</v>
      </c>
    </row>
    <row r="150" spans="1:16" x14ac:dyDescent="0.2">
      <c r="A150" s="8">
        <v>74</v>
      </c>
      <c r="B150" s="8">
        <v>148</v>
      </c>
      <c r="D150">
        <v>1782.0146938775999</v>
      </c>
      <c r="E150">
        <v>418.17714285713998</v>
      </c>
      <c r="F150">
        <v>156.90619902121</v>
      </c>
      <c r="G150">
        <v>125.99836867863</v>
      </c>
      <c r="I150" s="9">
        <f t="shared" si="15"/>
        <v>292.17877417850997</v>
      </c>
      <c r="J150" s="9">
        <f t="shared" si="16"/>
        <v>1625.1084948563898</v>
      </c>
      <c r="K150" s="9">
        <f t="shared" si="17"/>
        <v>292.17877417850997</v>
      </c>
      <c r="L150" s="10">
        <f t="shared" si="14"/>
        <v>0.17979031867920281</v>
      </c>
      <c r="M150" s="10">
        <f t="shared" si="18"/>
        <v>0.24724304397002714</v>
      </c>
      <c r="P150" s="8">
        <f t="shared" si="19"/>
        <v>15.430875657830523</v>
      </c>
    </row>
    <row r="151" spans="1:16" x14ac:dyDescent="0.2">
      <c r="A151" s="8">
        <v>74.5</v>
      </c>
      <c r="B151" s="8">
        <v>149</v>
      </c>
      <c r="D151">
        <v>1779.2024489795999</v>
      </c>
      <c r="E151">
        <v>418.07102040816</v>
      </c>
      <c r="F151">
        <v>157.01876019576</v>
      </c>
      <c r="G151">
        <v>126.22430668842</v>
      </c>
      <c r="I151" s="9">
        <f t="shared" si="15"/>
        <v>291.84671371974002</v>
      </c>
      <c r="J151" s="9">
        <f t="shared" si="16"/>
        <v>1622.1836887838399</v>
      </c>
      <c r="K151" s="9">
        <f t="shared" si="17"/>
        <v>291.84671371974002</v>
      </c>
      <c r="L151" s="10">
        <f t="shared" si="14"/>
        <v>0.17990978194247478</v>
      </c>
      <c r="M151" s="10">
        <f t="shared" si="18"/>
        <v>0.24781826889066955</v>
      </c>
      <c r="P151" s="8">
        <f t="shared" si="19"/>
        <v>15.699432116381523</v>
      </c>
    </row>
    <row r="152" spans="1:16" x14ac:dyDescent="0.2">
      <c r="A152" s="8">
        <v>75</v>
      </c>
      <c r="B152" s="8">
        <v>150</v>
      </c>
      <c r="D152">
        <v>1812.1224489796</v>
      </c>
      <c r="E152">
        <v>424.31591836734998</v>
      </c>
      <c r="F152">
        <v>156.66557911909001</v>
      </c>
      <c r="G152">
        <v>125.86867862969</v>
      </c>
      <c r="I152" s="9">
        <f t="shared" si="15"/>
        <v>298.44723973765997</v>
      </c>
      <c r="J152" s="9">
        <f t="shared" si="16"/>
        <v>1655.4568698605099</v>
      </c>
      <c r="K152" s="9">
        <f t="shared" si="17"/>
        <v>298.44723973765997</v>
      </c>
      <c r="L152" s="10">
        <f t="shared" si="14"/>
        <v>0.18028089113720455</v>
      </c>
      <c r="M152" s="10">
        <f t="shared" si="18"/>
        <v>0.24864513974276975</v>
      </c>
      <c r="P152" s="8">
        <f t="shared" si="19"/>
        <v>16.085475035855666</v>
      </c>
    </row>
    <row r="153" spans="1:16" x14ac:dyDescent="0.2">
      <c r="A153" s="8">
        <v>75.5</v>
      </c>
      <c r="B153" s="8">
        <v>151</v>
      </c>
      <c r="D153">
        <v>1870.3527481542001</v>
      </c>
      <c r="E153">
        <v>434.08121410992999</v>
      </c>
      <c r="F153">
        <v>156.48939641109001</v>
      </c>
      <c r="G153">
        <v>126.53588907015001</v>
      </c>
      <c r="I153" s="9">
        <f t="shared" si="15"/>
        <v>307.54532503977998</v>
      </c>
      <c r="J153" s="9">
        <f t="shared" si="16"/>
        <v>1713.8633517431101</v>
      </c>
      <c r="K153" s="9">
        <f t="shared" si="17"/>
        <v>307.54532503977998</v>
      </c>
      <c r="L153" s="10">
        <f t="shared" si="14"/>
        <v>0.17944565109405394</v>
      </c>
      <c r="M153" s="10">
        <f t="shared" si="18"/>
        <v>0.24826566135698958</v>
      </c>
      <c r="P153" s="8">
        <f t="shared" si="19"/>
        <v>15.908307170339755</v>
      </c>
    </row>
    <row r="154" spans="1:16" x14ac:dyDescent="0.2">
      <c r="A154" s="8">
        <v>76</v>
      </c>
      <c r="B154" s="8">
        <v>152</v>
      </c>
      <c r="D154">
        <v>1860.9745693191001</v>
      </c>
      <c r="E154">
        <v>431.27317473339002</v>
      </c>
      <c r="F154">
        <v>157.47226753671001</v>
      </c>
      <c r="G154">
        <v>125.78303425775</v>
      </c>
      <c r="I154" s="9">
        <f t="shared" si="15"/>
        <v>305.49014047564003</v>
      </c>
      <c r="J154" s="9">
        <f t="shared" si="16"/>
        <v>1703.5023017823901</v>
      </c>
      <c r="K154" s="9">
        <f t="shared" si="17"/>
        <v>305.49014047564003</v>
      </c>
      <c r="L154" s="10">
        <f t="shared" si="14"/>
        <v>0.17933062970094193</v>
      </c>
      <c r="M154" s="10">
        <f t="shared" si="18"/>
        <v>0.248606401621248</v>
      </c>
      <c r="P154" s="8">
        <f t="shared" si="19"/>
        <v>16.067389288257697</v>
      </c>
    </row>
    <row r="155" spans="1:16" x14ac:dyDescent="0.2">
      <c r="A155" s="8">
        <v>76.5</v>
      </c>
      <c r="B155" s="8">
        <v>153</v>
      </c>
      <c r="D155">
        <v>1849.5102543068001</v>
      </c>
      <c r="E155">
        <v>430.94421657096001</v>
      </c>
      <c r="F155">
        <v>157.03996737356999</v>
      </c>
      <c r="G155">
        <v>126.23817292007</v>
      </c>
      <c r="I155" s="9">
        <f t="shared" si="15"/>
        <v>304.70604365089002</v>
      </c>
      <c r="J155" s="9">
        <f t="shared" si="16"/>
        <v>1692.47028693323</v>
      </c>
      <c r="K155" s="9">
        <f t="shared" si="17"/>
        <v>304.70604365089002</v>
      </c>
      <c r="L155" s="10">
        <f t="shared" si="14"/>
        <v>0.18003627360750887</v>
      </c>
      <c r="M155" s="10">
        <f t="shared" si="18"/>
        <v>0.24976780718518538</v>
      </c>
      <c r="P155" s="8">
        <f t="shared" si="19"/>
        <v>16.609617126446828</v>
      </c>
    </row>
    <row r="156" spans="1:16" x14ac:dyDescent="0.2">
      <c r="A156" s="8">
        <v>77</v>
      </c>
      <c r="B156" s="8">
        <v>154</v>
      </c>
      <c r="D156">
        <v>1850.0262510253999</v>
      </c>
      <c r="E156">
        <v>434.87284659557002</v>
      </c>
      <c r="F156">
        <v>156.59869494290001</v>
      </c>
      <c r="G156">
        <v>126.22430668842</v>
      </c>
      <c r="I156" s="9">
        <f t="shared" si="15"/>
        <v>308.64853990715005</v>
      </c>
      <c r="J156" s="9">
        <f t="shared" si="16"/>
        <v>1693.4275560824999</v>
      </c>
      <c r="K156" s="9">
        <f t="shared" si="17"/>
        <v>308.64853990715005</v>
      </c>
      <c r="L156" s="10">
        <f t="shared" si="14"/>
        <v>0.18226261808397867</v>
      </c>
      <c r="M156" s="10">
        <f t="shared" si="18"/>
        <v>0.25244991331902561</v>
      </c>
      <c r="P156" s="8">
        <f t="shared" si="19"/>
        <v>17.861817611706783</v>
      </c>
    </row>
    <row r="157" spans="1:16" x14ac:dyDescent="0.2">
      <c r="A157" s="8">
        <v>77.5</v>
      </c>
      <c r="B157" s="8">
        <v>155</v>
      </c>
      <c r="D157">
        <v>1811.7315490673</v>
      </c>
      <c r="E157">
        <v>424.30819140308</v>
      </c>
      <c r="F157">
        <v>156.84420880914001</v>
      </c>
      <c r="G157">
        <v>126.55628058728</v>
      </c>
      <c r="I157" s="9">
        <f t="shared" si="15"/>
        <v>297.75191081579999</v>
      </c>
      <c r="J157" s="9">
        <f t="shared" si="16"/>
        <v>1654.8873402581598</v>
      </c>
      <c r="K157" s="9">
        <f t="shared" si="17"/>
        <v>297.75191081579999</v>
      </c>
      <c r="L157" s="10">
        <f t="shared" si="14"/>
        <v>0.17992276789630354</v>
      </c>
      <c r="M157" s="10">
        <f t="shared" si="18"/>
        <v>0.25056582478872091</v>
      </c>
      <c r="P157" s="8">
        <f t="shared" si="19"/>
        <v>16.982189269579141</v>
      </c>
    </row>
    <row r="158" spans="1:16" x14ac:dyDescent="0.2">
      <c r="A158" s="8">
        <v>78</v>
      </c>
      <c r="B158" s="8">
        <v>156</v>
      </c>
      <c r="D158">
        <v>1825.3965936740001</v>
      </c>
      <c r="E158">
        <v>432.92944038928999</v>
      </c>
      <c r="F158">
        <v>157.38988580750001</v>
      </c>
      <c r="G158">
        <v>125.90701468189</v>
      </c>
      <c r="I158" s="9">
        <f t="shared" si="15"/>
        <v>307.02242570739998</v>
      </c>
      <c r="J158" s="9">
        <f t="shared" si="16"/>
        <v>1668.0067078665002</v>
      </c>
      <c r="K158" s="9">
        <f t="shared" si="17"/>
        <v>307.02242570739998</v>
      </c>
      <c r="L158" s="10">
        <f t="shared" si="14"/>
        <v>0.184065462242717</v>
      </c>
      <c r="M158" s="10">
        <f t="shared" si="18"/>
        <v>0.25516428079250481</v>
      </c>
      <c r="P158" s="8">
        <f t="shared" si="19"/>
        <v>19.129080015897294</v>
      </c>
    </row>
    <row r="159" spans="1:16" x14ac:dyDescent="0.2">
      <c r="A159" s="8">
        <v>78.5</v>
      </c>
      <c r="B159" s="8">
        <v>157</v>
      </c>
      <c r="D159">
        <v>1835.4476885644999</v>
      </c>
      <c r="E159">
        <v>429.06812652067998</v>
      </c>
      <c r="F159">
        <v>156.69086460033</v>
      </c>
      <c r="G159">
        <v>126.29608482870999</v>
      </c>
      <c r="I159" s="9">
        <f t="shared" si="15"/>
        <v>302.77204169197</v>
      </c>
      <c r="J159" s="9">
        <f t="shared" si="16"/>
        <v>1678.7568239641698</v>
      </c>
      <c r="K159" s="9">
        <f t="shared" si="17"/>
        <v>302.77204169197</v>
      </c>
      <c r="L159" s="10">
        <f t="shared" si="14"/>
        <v>0.18035491345137916</v>
      </c>
      <c r="M159" s="10">
        <f t="shared" si="18"/>
        <v>0.25190949365853743</v>
      </c>
      <c r="P159" s="8">
        <f t="shared" si="19"/>
        <v>17.609510757563619</v>
      </c>
    </row>
    <row r="160" spans="1:16" x14ac:dyDescent="0.2">
      <c r="A160" s="8">
        <v>79</v>
      </c>
      <c r="B160" s="8">
        <v>158</v>
      </c>
      <c r="D160">
        <v>1855.8735725938</v>
      </c>
      <c r="E160">
        <v>433.69086460032997</v>
      </c>
      <c r="F160">
        <v>156.48694942904001</v>
      </c>
      <c r="G160">
        <v>126.27243066884</v>
      </c>
      <c r="I160" s="9">
        <f t="shared" si="15"/>
        <v>307.41843393148997</v>
      </c>
      <c r="J160" s="9">
        <f t="shared" si="16"/>
        <v>1699.3866231647598</v>
      </c>
      <c r="K160" s="9">
        <f t="shared" si="17"/>
        <v>307.41843393148997</v>
      </c>
      <c r="L160" s="10">
        <f t="shared" si="14"/>
        <v>0.18089964328363728</v>
      </c>
      <c r="M160" s="10">
        <f t="shared" si="18"/>
        <v>0.25290998514816598</v>
      </c>
      <c r="P160" s="8">
        <f t="shared" si="19"/>
        <v>18.076612306232594</v>
      </c>
    </row>
    <row r="161" spans="1:16" x14ac:dyDescent="0.2">
      <c r="A161" s="8">
        <v>79.5</v>
      </c>
      <c r="B161" s="8">
        <v>159</v>
      </c>
      <c r="D161">
        <v>1850.2920065252999</v>
      </c>
      <c r="E161">
        <v>430.42577487764999</v>
      </c>
      <c r="F161">
        <v>156.21615008156999</v>
      </c>
      <c r="G161">
        <v>125.64763458401001</v>
      </c>
      <c r="I161" s="9">
        <f t="shared" si="15"/>
        <v>304.77814029363998</v>
      </c>
      <c r="J161" s="9">
        <f t="shared" si="16"/>
        <v>1694.0758564437299</v>
      </c>
      <c r="K161" s="9">
        <f t="shared" si="17"/>
        <v>304.77814029363998</v>
      </c>
      <c r="L161" s="10">
        <f t="shared" si="14"/>
        <v>0.17990820135613181</v>
      </c>
      <c r="M161" s="10">
        <f t="shared" si="18"/>
        <v>0.25237430487803092</v>
      </c>
      <c r="P161" s="8">
        <f t="shared" si="19"/>
        <v>17.826518141149389</v>
      </c>
    </row>
    <row r="162" spans="1:16" x14ac:dyDescent="0.2">
      <c r="A162" s="8">
        <v>80</v>
      </c>
      <c r="B162" s="4">
        <v>160</v>
      </c>
      <c r="C162" s="4" t="s">
        <v>6</v>
      </c>
      <c r="D162">
        <v>1845.8450244697999</v>
      </c>
      <c r="E162">
        <v>432.90538336051998</v>
      </c>
      <c r="F162">
        <v>156.49510603588999</v>
      </c>
      <c r="G162">
        <v>125.73491027733</v>
      </c>
      <c r="H162" s="4"/>
      <c r="I162" s="5">
        <f t="shared" si="15"/>
        <v>307.17047308318996</v>
      </c>
      <c r="J162" s="5">
        <f t="shared" si="16"/>
        <v>1689.3499184339098</v>
      </c>
      <c r="K162" s="9">
        <f t="shared" si="17"/>
        <v>307.17047308318996</v>
      </c>
      <c r="L162" s="6">
        <f t="shared" si="14"/>
        <v>0.1818276188558664</v>
      </c>
      <c r="M162" s="6">
        <f t="shared" si="18"/>
        <v>0.25474948403513598</v>
      </c>
      <c r="N162" s="4"/>
      <c r="O162" s="4"/>
      <c r="P162" s="4">
        <f t="shared" si="19"/>
        <v>18.935422988567872</v>
      </c>
    </row>
    <row r="163" spans="1:16" x14ac:dyDescent="0.2">
      <c r="A163" s="8">
        <v>80.5</v>
      </c>
      <c r="B163" s="8">
        <v>161</v>
      </c>
      <c r="D163">
        <v>1772.8371522094999</v>
      </c>
      <c r="E163">
        <v>422.66939443535</v>
      </c>
      <c r="F163">
        <v>156.36296900489</v>
      </c>
      <c r="G163">
        <v>126.27977161501001</v>
      </c>
      <c r="I163" s="9">
        <f t="shared" si="15"/>
        <v>296.38962282033998</v>
      </c>
      <c r="J163" s="9">
        <f t="shared" si="16"/>
        <v>1616.47418320461</v>
      </c>
      <c r="K163" s="9">
        <f t="shared" si="17"/>
        <v>296.38962282033998</v>
      </c>
      <c r="L163" s="10">
        <f t="shared" si="14"/>
        <v>0.18335561798627475</v>
      </c>
      <c r="M163" s="10">
        <f t="shared" si="18"/>
        <v>0.25673324482291471</v>
      </c>
      <c r="P163" s="8">
        <f t="shared" si="19"/>
        <v>19.861585525446873</v>
      </c>
    </row>
    <row r="164" spans="1:16" x14ac:dyDescent="0.2">
      <c r="A164" s="8">
        <v>81</v>
      </c>
      <c r="B164" s="8">
        <v>162</v>
      </c>
      <c r="D164">
        <v>1769.4116202946</v>
      </c>
      <c r="E164">
        <v>424.92307692307998</v>
      </c>
      <c r="F164">
        <v>156.73246329527001</v>
      </c>
      <c r="G164">
        <v>126.18189233279</v>
      </c>
      <c r="I164" s="9">
        <f t="shared" si="15"/>
        <v>298.74118459029</v>
      </c>
      <c r="J164" s="9">
        <f t="shared" si="16"/>
        <v>1612.67915699933</v>
      </c>
      <c r="K164" s="9">
        <f t="shared" si="17"/>
        <v>298.74118459029</v>
      </c>
      <c r="L164" s="10">
        <f t="shared" si="14"/>
        <v>0.18524526921160805</v>
      </c>
      <c r="M164" s="10">
        <f t="shared" si="18"/>
        <v>0.25907865770561844</v>
      </c>
      <c r="P164" s="8">
        <f t="shared" si="19"/>
        <v>20.956593330246708</v>
      </c>
    </row>
    <row r="165" spans="1:16" x14ac:dyDescent="0.2">
      <c r="A165" s="8">
        <v>81.5</v>
      </c>
      <c r="B165" s="8">
        <v>163</v>
      </c>
      <c r="D165">
        <v>1792.0990180033</v>
      </c>
      <c r="E165">
        <v>429.74877250409003</v>
      </c>
      <c r="F165">
        <v>156.411908646</v>
      </c>
      <c r="G165">
        <v>125.8792822186</v>
      </c>
      <c r="I165" s="9">
        <f t="shared" si="15"/>
        <v>303.86949028549003</v>
      </c>
      <c r="J165" s="9">
        <f t="shared" si="16"/>
        <v>1635.6871093573</v>
      </c>
      <c r="K165" s="9">
        <f t="shared" si="17"/>
        <v>303.86949028549003</v>
      </c>
      <c r="L165" s="10">
        <f t="shared" si="14"/>
        <v>0.18577482731699679</v>
      </c>
      <c r="M165" s="10">
        <f t="shared" si="18"/>
        <v>0.26006397746837762</v>
      </c>
      <c r="P165" s="8">
        <f t="shared" si="19"/>
        <v>21.416611623145762</v>
      </c>
    </row>
    <row r="166" spans="1:16" x14ac:dyDescent="0.2">
      <c r="A166" s="8">
        <v>82</v>
      </c>
      <c r="B166" s="8">
        <v>164</v>
      </c>
      <c r="D166">
        <v>1798.4558101473001</v>
      </c>
      <c r="E166">
        <v>437.89116202946002</v>
      </c>
      <c r="F166">
        <v>156.27895595432</v>
      </c>
      <c r="G166">
        <v>125.8572593801</v>
      </c>
      <c r="I166" s="9">
        <f t="shared" si="15"/>
        <v>312.03390264936002</v>
      </c>
      <c r="J166" s="9">
        <f t="shared" si="16"/>
        <v>1642.17685419298</v>
      </c>
      <c r="K166" s="9">
        <f t="shared" si="17"/>
        <v>312.03390264936002</v>
      </c>
      <c r="L166" s="10">
        <f t="shared" si="14"/>
        <v>0.19001236185532758</v>
      </c>
      <c r="M166" s="10">
        <f t="shared" si="18"/>
        <v>0.26475727366407886</v>
      </c>
      <c r="P166" s="8">
        <f t="shared" si="19"/>
        <v>23.607780607689712</v>
      </c>
    </row>
    <row r="167" spans="1:16" x14ac:dyDescent="0.2">
      <c r="A167" s="8">
        <v>82.5</v>
      </c>
      <c r="B167" s="8">
        <v>165</v>
      </c>
      <c r="D167">
        <v>1793.6661211129001</v>
      </c>
      <c r="E167">
        <v>433.93289689033998</v>
      </c>
      <c r="F167">
        <v>155.87438825448999</v>
      </c>
      <c r="G167">
        <v>125.69004893963999</v>
      </c>
      <c r="I167" s="9">
        <f t="shared" si="15"/>
        <v>308.24284795069997</v>
      </c>
      <c r="J167" s="9">
        <f t="shared" si="16"/>
        <v>1637.7917328584101</v>
      </c>
      <c r="K167" s="9">
        <f t="shared" si="17"/>
        <v>308.24284795069997</v>
      </c>
      <c r="L167" s="10">
        <f t="shared" si="14"/>
        <v>0.18820637677339411</v>
      </c>
      <c r="M167" s="10">
        <f t="shared" si="18"/>
        <v>0.26340705023951583</v>
      </c>
      <c r="P167" s="8">
        <f t="shared" si="19"/>
        <v>22.977398981058712</v>
      </c>
    </row>
    <row r="168" spans="1:16" x14ac:dyDescent="0.2">
      <c r="A168" s="8">
        <v>83</v>
      </c>
      <c r="B168" s="8">
        <v>166</v>
      </c>
      <c r="D168">
        <v>1808.3060556465</v>
      </c>
      <c r="E168">
        <v>438.68576104746001</v>
      </c>
      <c r="F168">
        <v>155.97226753671001</v>
      </c>
      <c r="G168">
        <v>126.02691680261</v>
      </c>
      <c r="I168" s="9">
        <f t="shared" si="15"/>
        <v>312.65884424485</v>
      </c>
      <c r="J168" s="9">
        <f t="shared" si="16"/>
        <v>1652.33378810979</v>
      </c>
      <c r="K168" s="9">
        <f t="shared" si="17"/>
        <v>312.65884424485</v>
      </c>
      <c r="L168" s="10">
        <f t="shared" si="14"/>
        <v>0.18922256900799711</v>
      </c>
      <c r="M168" s="10">
        <f t="shared" si="18"/>
        <v>0.26487900413148924</v>
      </c>
      <c r="P168" s="8">
        <f t="shared" si="19"/>
        <v>23.664613164924848</v>
      </c>
    </row>
    <row r="169" spans="1:16" x14ac:dyDescent="0.2">
      <c r="A169" s="8">
        <v>83.5</v>
      </c>
      <c r="B169" s="8">
        <v>167</v>
      </c>
      <c r="D169">
        <v>1835.5954323001999</v>
      </c>
      <c r="E169">
        <v>444.67862969005</v>
      </c>
      <c r="F169">
        <v>156.69004893964001</v>
      </c>
      <c r="G169">
        <v>125.90538336052001</v>
      </c>
      <c r="I169" s="9">
        <f t="shared" si="15"/>
        <v>318.77324632953002</v>
      </c>
      <c r="J169" s="9">
        <f t="shared" si="16"/>
        <v>1678.9053833605599</v>
      </c>
      <c r="K169" s="9">
        <f t="shared" si="17"/>
        <v>318.77324632953002</v>
      </c>
      <c r="L169" s="10">
        <f t="shared" si="14"/>
        <v>0.18986969098369413</v>
      </c>
      <c r="M169" s="10">
        <f t="shared" si="18"/>
        <v>0.26598188776455672</v>
      </c>
      <c r="P169" s="8">
        <f t="shared" si="19"/>
        <v>24.179518747178978</v>
      </c>
    </row>
    <row r="170" spans="1:16" x14ac:dyDescent="0.2">
      <c r="A170" s="8">
        <v>84</v>
      </c>
      <c r="B170" s="8">
        <v>168</v>
      </c>
      <c r="D170">
        <v>1830.0497553017999</v>
      </c>
      <c r="E170">
        <v>442.00081566069002</v>
      </c>
      <c r="F170">
        <v>156.55709624796</v>
      </c>
      <c r="G170">
        <v>125.81076672104</v>
      </c>
      <c r="I170" s="9">
        <f t="shared" si="15"/>
        <v>316.19004893965001</v>
      </c>
      <c r="J170" s="9">
        <f t="shared" si="16"/>
        <v>1673.4926590538398</v>
      </c>
      <c r="K170" s="9">
        <f t="shared" si="17"/>
        <v>316.19004893965001</v>
      </c>
      <c r="L170" s="10">
        <f t="shared" si="14"/>
        <v>0.18894020671618464</v>
      </c>
      <c r="M170" s="10">
        <f t="shared" si="18"/>
        <v>0.26550816515441766</v>
      </c>
      <c r="P170" s="8">
        <f t="shared" si="19"/>
        <v>23.958350884054408</v>
      </c>
    </row>
    <row r="171" spans="1:16" x14ac:dyDescent="0.2">
      <c r="A171" s="8">
        <v>84.5</v>
      </c>
      <c r="B171" s="8">
        <v>169</v>
      </c>
      <c r="D171">
        <v>1810.6272430669001</v>
      </c>
      <c r="E171">
        <v>435.39967373573</v>
      </c>
      <c r="F171">
        <v>156.26427406198999</v>
      </c>
      <c r="G171">
        <v>125.83849918433999</v>
      </c>
      <c r="I171" s="9">
        <f t="shared" si="15"/>
        <v>309.56117455139002</v>
      </c>
      <c r="J171" s="9">
        <f t="shared" si="16"/>
        <v>1654.3629690049102</v>
      </c>
      <c r="K171" s="9">
        <f t="shared" si="17"/>
        <v>309.56117455139002</v>
      </c>
      <c r="L171" s="10">
        <f t="shared" si="14"/>
        <v>0.18711805108741603</v>
      </c>
      <c r="M171" s="10">
        <f t="shared" si="18"/>
        <v>0.26414177118301946</v>
      </c>
      <c r="P171" s="8">
        <f t="shared" si="19"/>
        <v>23.320419680492634</v>
      </c>
    </row>
    <row r="172" spans="1:16" x14ac:dyDescent="0.2">
      <c r="A172" s="8">
        <v>85</v>
      </c>
      <c r="B172" s="8">
        <v>170</v>
      </c>
      <c r="D172">
        <v>1805.6484502446999</v>
      </c>
      <c r="E172">
        <v>429.77406199020999</v>
      </c>
      <c r="F172">
        <v>156.30995106035999</v>
      </c>
      <c r="G172">
        <v>125.72593800979</v>
      </c>
      <c r="I172" s="9">
        <f t="shared" si="15"/>
        <v>304.04812398041997</v>
      </c>
      <c r="J172" s="9">
        <f t="shared" si="16"/>
        <v>1649.33849918434</v>
      </c>
      <c r="K172" s="9">
        <f t="shared" si="17"/>
        <v>304.04812398041997</v>
      </c>
      <c r="L172" s="10">
        <f t="shared" si="14"/>
        <v>0.18434549616757459</v>
      </c>
      <c r="M172" s="10">
        <f t="shared" si="18"/>
        <v>0.26182497792054849</v>
      </c>
      <c r="P172" s="8">
        <f t="shared" si="19"/>
        <v>22.23877357748799</v>
      </c>
    </row>
    <row r="173" spans="1:16" x14ac:dyDescent="0.2">
      <c r="A173" s="8">
        <v>85.5</v>
      </c>
      <c r="B173" s="8">
        <v>171</v>
      </c>
      <c r="D173">
        <v>1856.1224489796</v>
      </c>
      <c r="E173">
        <v>444.07510204082001</v>
      </c>
      <c r="F173">
        <v>157.43637846656</v>
      </c>
      <c r="G173">
        <v>125.99347471452</v>
      </c>
      <c r="I173" s="9">
        <f t="shared" si="15"/>
        <v>318.08162732630001</v>
      </c>
      <c r="J173" s="9">
        <f t="shared" si="16"/>
        <v>1698.68607051304</v>
      </c>
      <c r="K173" s="9">
        <f t="shared" si="17"/>
        <v>318.08162732630001</v>
      </c>
      <c r="L173" s="10">
        <f t="shared" si="14"/>
        <v>0.18725156628277553</v>
      </c>
      <c r="M173" s="10">
        <f t="shared" si="18"/>
        <v>0.26518680969311986</v>
      </c>
      <c r="P173" s="8">
        <f t="shared" si="19"/>
        <v>23.808318989529084</v>
      </c>
    </row>
    <row r="174" spans="1:16" x14ac:dyDescent="0.2">
      <c r="A174" s="8">
        <v>86</v>
      </c>
      <c r="B174" s="8">
        <v>172</v>
      </c>
      <c r="D174">
        <v>1819.4446254072</v>
      </c>
      <c r="E174">
        <v>436.19869706840001</v>
      </c>
      <c r="F174">
        <v>156.27814029364001</v>
      </c>
      <c r="G174">
        <v>125.97063621533</v>
      </c>
      <c r="I174" s="9">
        <f t="shared" si="15"/>
        <v>310.22806085307002</v>
      </c>
      <c r="J174" s="9">
        <f t="shared" si="16"/>
        <v>1663.1664851135599</v>
      </c>
      <c r="K174" s="9">
        <f t="shared" si="17"/>
        <v>310.22806085307002</v>
      </c>
      <c r="L174" s="10">
        <f t="shared" si="14"/>
        <v>0.18652856682107075</v>
      </c>
      <c r="M174" s="10">
        <f t="shared" si="18"/>
        <v>0.26491957188878551</v>
      </c>
      <c r="P174" s="8">
        <f t="shared" si="19"/>
        <v>23.68355311839327</v>
      </c>
    </row>
    <row r="175" spans="1:16" x14ac:dyDescent="0.2">
      <c r="A175" s="8">
        <v>86.5</v>
      </c>
      <c r="B175" s="8">
        <v>173</v>
      </c>
      <c r="D175">
        <v>1792.0879478827001</v>
      </c>
      <c r="E175">
        <v>445.55048859934999</v>
      </c>
      <c r="F175">
        <v>156.49836867862999</v>
      </c>
      <c r="G175">
        <v>125.92577487765</v>
      </c>
      <c r="I175" s="9">
        <f t="shared" si="15"/>
        <v>319.6247137217</v>
      </c>
      <c r="J175" s="9">
        <f t="shared" si="16"/>
        <v>1635.5895792040701</v>
      </c>
      <c r="K175" s="9">
        <f t="shared" si="17"/>
        <v>319.6247137217</v>
      </c>
      <c r="L175" s="10">
        <f t="shared" si="14"/>
        <v>0.19541865379042067</v>
      </c>
      <c r="M175" s="10">
        <f t="shared" si="18"/>
        <v>0.27426542051550584</v>
      </c>
      <c r="P175" s="8">
        <f t="shared" si="19"/>
        <v>28.046868961077369</v>
      </c>
    </row>
    <row r="176" spans="1:16" x14ac:dyDescent="0.2">
      <c r="A176" s="8">
        <v>87</v>
      </c>
      <c r="B176" s="8">
        <v>174</v>
      </c>
      <c r="D176">
        <v>1783.4210097719999</v>
      </c>
      <c r="E176">
        <v>437.24348534201999</v>
      </c>
      <c r="F176">
        <v>155.91517128874</v>
      </c>
      <c r="G176">
        <v>125.36133768352001</v>
      </c>
      <c r="I176" s="9">
        <f t="shared" si="15"/>
        <v>311.8821476585</v>
      </c>
      <c r="J176" s="9">
        <f t="shared" si="16"/>
        <v>1627.50583848326</v>
      </c>
      <c r="K176" s="9">
        <f t="shared" si="17"/>
        <v>311.8821476585</v>
      </c>
      <c r="L176" s="10">
        <f t="shared" si="14"/>
        <v>0.19163196855204886</v>
      </c>
      <c r="M176" s="10">
        <f t="shared" si="18"/>
        <v>0.2709344969345045</v>
      </c>
      <c r="P176" s="8">
        <f t="shared" si="19"/>
        <v>26.491753720905386</v>
      </c>
    </row>
    <row r="177" spans="1:16" x14ac:dyDescent="0.2">
      <c r="A177" s="8">
        <v>87.5</v>
      </c>
      <c r="B177" s="8">
        <v>175</v>
      </c>
      <c r="D177">
        <v>1833.5537459283</v>
      </c>
      <c r="E177">
        <v>440.53094462540997</v>
      </c>
      <c r="F177">
        <v>156.61990212072001</v>
      </c>
      <c r="G177">
        <v>125.61990212072</v>
      </c>
      <c r="I177" s="9">
        <f t="shared" si="15"/>
        <v>314.91104250468999</v>
      </c>
      <c r="J177" s="9">
        <f t="shared" si="16"/>
        <v>1676.9338438075799</v>
      </c>
      <c r="K177" s="9">
        <f t="shared" si="17"/>
        <v>314.91104250468999</v>
      </c>
      <c r="L177" s="10">
        <f t="shared" si="14"/>
        <v>0.18778978292290016</v>
      </c>
      <c r="M177" s="10">
        <f t="shared" si="18"/>
        <v>0.2675480729627262</v>
      </c>
      <c r="P177" s="8">
        <f t="shared" si="19"/>
        <v>24.910726897524157</v>
      </c>
    </row>
    <row r="178" spans="1:16" x14ac:dyDescent="0.2">
      <c r="A178" s="8">
        <v>88</v>
      </c>
      <c r="B178" s="8">
        <v>176</v>
      </c>
      <c r="D178">
        <v>1798.8143322476001</v>
      </c>
      <c r="E178">
        <v>443.91042345276998</v>
      </c>
      <c r="F178">
        <v>156.49592169657001</v>
      </c>
      <c r="G178">
        <v>125.52283849918</v>
      </c>
      <c r="I178" s="9">
        <f t="shared" si="15"/>
        <v>318.38758495358996</v>
      </c>
      <c r="J178" s="9">
        <f t="shared" si="16"/>
        <v>1642.31841055103</v>
      </c>
      <c r="K178" s="9">
        <f t="shared" si="17"/>
        <v>318.38758495358996</v>
      </c>
      <c r="L178" s="10">
        <f t="shared" si="14"/>
        <v>0.1938647115614838</v>
      </c>
      <c r="M178" s="10">
        <f t="shared" si="18"/>
        <v>0.2740787632586803</v>
      </c>
      <c r="P178" s="8">
        <f t="shared" si="19"/>
        <v>27.959723898238426</v>
      </c>
    </row>
    <row r="179" spans="1:16" x14ac:dyDescent="0.2">
      <c r="A179" s="8">
        <v>88.5</v>
      </c>
      <c r="B179" s="8">
        <v>177</v>
      </c>
      <c r="D179">
        <v>1805.9584690554</v>
      </c>
      <c r="E179">
        <v>450.85993485341999</v>
      </c>
      <c r="F179">
        <v>156.40293637847</v>
      </c>
      <c r="G179">
        <v>126.06117455139</v>
      </c>
      <c r="I179" s="9">
        <f t="shared" si="15"/>
        <v>324.79876030203002</v>
      </c>
      <c r="J179" s="9">
        <f t="shared" si="16"/>
        <v>1649.5555326769299</v>
      </c>
      <c r="K179" s="9">
        <f t="shared" si="17"/>
        <v>324.79876030203002</v>
      </c>
      <c r="L179" s="10">
        <f t="shared" si="14"/>
        <v>0.19690077349196025</v>
      </c>
      <c r="M179" s="10">
        <f t="shared" si="18"/>
        <v>0.27757058684652719</v>
      </c>
      <c r="P179" s="8">
        <f t="shared" si="19"/>
        <v>29.589958860224641</v>
      </c>
    </row>
    <row r="180" spans="1:16" x14ac:dyDescent="0.2">
      <c r="A180" s="8">
        <v>89</v>
      </c>
      <c r="B180" s="8">
        <v>178</v>
      </c>
      <c r="D180">
        <v>1825.4930725346001</v>
      </c>
      <c r="E180">
        <v>474.81336593317002</v>
      </c>
      <c r="F180">
        <v>156.75448613377</v>
      </c>
      <c r="G180">
        <v>125.76019575856</v>
      </c>
      <c r="I180" s="9">
        <f t="shared" si="15"/>
        <v>349.05317017461005</v>
      </c>
      <c r="J180" s="9">
        <f t="shared" si="16"/>
        <v>1668.7385864008302</v>
      </c>
      <c r="K180" s="9">
        <f t="shared" si="17"/>
        <v>349.05317017461005</v>
      </c>
      <c r="L180" s="10">
        <f t="shared" si="14"/>
        <v>0.20917186970995566</v>
      </c>
      <c r="M180" s="10">
        <f t="shared" si="18"/>
        <v>0.29029744472189301</v>
      </c>
      <c r="P180" s="8">
        <f t="shared" si="19"/>
        <v>35.531773543206484</v>
      </c>
    </row>
    <row r="181" spans="1:16" x14ac:dyDescent="0.2">
      <c r="A181" s="8">
        <v>89.5</v>
      </c>
      <c r="B181" s="8">
        <v>179</v>
      </c>
      <c r="D181">
        <v>1851.3555736371</v>
      </c>
      <c r="E181">
        <v>470.89829129373999</v>
      </c>
      <c r="F181">
        <v>156.39885807504001</v>
      </c>
      <c r="G181">
        <v>125.61174551387001</v>
      </c>
      <c r="I181" s="9">
        <f t="shared" si="15"/>
        <v>345.28654577986998</v>
      </c>
      <c r="J181" s="9">
        <f t="shared" si="16"/>
        <v>1694.95671556206</v>
      </c>
      <c r="K181" s="9">
        <f t="shared" si="17"/>
        <v>345.28654577986998</v>
      </c>
      <c r="L181" s="10">
        <f t="shared" si="14"/>
        <v>0.20371407871933203</v>
      </c>
      <c r="M181" s="10">
        <f t="shared" si="18"/>
        <v>0.28529541538863984</v>
      </c>
      <c r="P181" s="8">
        <f t="shared" si="19"/>
        <v>33.196465674753114</v>
      </c>
    </row>
    <row r="182" spans="1:16" x14ac:dyDescent="0.2">
      <c r="A182" s="8">
        <v>90</v>
      </c>
      <c r="B182" s="8">
        <v>180</v>
      </c>
      <c r="D182">
        <v>1834.002441009</v>
      </c>
      <c r="E182">
        <v>455.96582587469999</v>
      </c>
      <c r="F182">
        <v>156.85807504077999</v>
      </c>
      <c r="G182">
        <v>125.88580750408001</v>
      </c>
      <c r="I182" s="9">
        <f t="shared" si="15"/>
        <v>330.08001837062</v>
      </c>
      <c r="J182" s="9">
        <f t="shared" si="16"/>
        <v>1677.14436596822</v>
      </c>
      <c r="K182" s="9">
        <f t="shared" si="17"/>
        <v>330.08001837062</v>
      </c>
      <c r="L182" s="10">
        <f t="shared" si="14"/>
        <v>0.19681073679072578</v>
      </c>
      <c r="M182" s="10">
        <f>L182+ABS($N$2)*A182</f>
        <v>0.27884783511740402</v>
      </c>
      <c r="P182" s="8">
        <f t="shared" si="19"/>
        <v>30.186270424636685</v>
      </c>
    </row>
    <row r="183" spans="1:16" x14ac:dyDescent="0.2">
      <c r="A183" s="8">
        <v>90.5</v>
      </c>
      <c r="B183" s="8">
        <v>181</v>
      </c>
      <c r="D183">
        <v>1836.9430431245</v>
      </c>
      <c r="E183">
        <v>452.77542717657002</v>
      </c>
      <c r="F183">
        <v>156.83849918434001</v>
      </c>
      <c r="G183">
        <v>125.91680261011</v>
      </c>
      <c r="I183" s="9">
        <f t="shared" si="15"/>
        <v>326.85862456646004</v>
      </c>
      <c r="J183" s="9">
        <f t="shared" si="16"/>
        <v>1680.1045439401601</v>
      </c>
      <c r="K183" s="9">
        <f t="shared" si="17"/>
        <v>326.85862456646004</v>
      </c>
      <c r="L183" s="10">
        <f t="shared" si="14"/>
        <v>0.19454659874909647</v>
      </c>
      <c r="M183" s="10">
        <f t="shared" ref="M183:M241" si="20">L183+ABS($N$2)*A183</f>
        <v>0.27703945873314512</v>
      </c>
      <c r="P183" s="8">
        <f t="shared" si="19"/>
        <v>29.341989970059963</v>
      </c>
    </row>
    <row r="184" spans="1:16" x14ac:dyDescent="0.2">
      <c r="A184" s="8">
        <v>91</v>
      </c>
      <c r="B184" s="8">
        <v>182</v>
      </c>
      <c r="D184">
        <v>1787.32</v>
      </c>
      <c r="E184">
        <v>443.31755102041001</v>
      </c>
      <c r="F184">
        <v>156.22593800979001</v>
      </c>
      <c r="G184">
        <v>125.76835236542</v>
      </c>
      <c r="I184" s="9">
        <f t="shared" si="15"/>
        <v>317.54919865498999</v>
      </c>
      <c r="J184" s="9">
        <f t="shared" si="16"/>
        <v>1631.0940619902099</v>
      </c>
      <c r="K184" s="9">
        <f t="shared" si="17"/>
        <v>317.54919865498999</v>
      </c>
      <c r="L184" s="10">
        <f t="shared" si="14"/>
        <v>0.19468478615361176</v>
      </c>
      <c r="M184" s="10">
        <f t="shared" si="20"/>
        <v>0.27763340779503087</v>
      </c>
      <c r="P184" s="8">
        <f t="shared" si="19"/>
        <v>29.619288207489568</v>
      </c>
    </row>
    <row r="185" spans="1:16" x14ac:dyDescent="0.2">
      <c r="A185" s="8">
        <v>91.5</v>
      </c>
      <c r="B185" s="8">
        <v>183</v>
      </c>
      <c r="D185">
        <v>1782.8106122449001</v>
      </c>
      <c r="E185">
        <v>453.96734693878</v>
      </c>
      <c r="F185">
        <v>156.90048939640999</v>
      </c>
      <c r="G185">
        <v>126.13295269168</v>
      </c>
      <c r="I185" s="9">
        <f t="shared" si="15"/>
        <v>327.83439424710002</v>
      </c>
      <c r="J185" s="9">
        <f t="shared" si="16"/>
        <v>1625.9101228484901</v>
      </c>
      <c r="K185" s="9">
        <f t="shared" si="17"/>
        <v>327.83439424710002</v>
      </c>
      <c r="L185" s="10">
        <f t="shared" si="14"/>
        <v>0.20163131383471258</v>
      </c>
      <c r="M185" s="10">
        <f t="shared" si="20"/>
        <v>0.28503569713350213</v>
      </c>
      <c r="P185" s="8">
        <f t="shared" si="19"/>
        <v>33.075210471235621</v>
      </c>
    </row>
    <row r="186" spans="1:16" x14ac:dyDescent="0.2">
      <c r="A186" s="8">
        <v>92</v>
      </c>
      <c r="B186" s="8">
        <v>184</v>
      </c>
      <c r="D186">
        <v>1781.9322448979999</v>
      </c>
      <c r="E186">
        <v>454.36979591837002</v>
      </c>
      <c r="F186">
        <v>156.47960848286999</v>
      </c>
      <c r="G186">
        <v>126.32137030995</v>
      </c>
      <c r="I186" s="9">
        <f t="shared" si="15"/>
        <v>328.04842560842002</v>
      </c>
      <c r="J186" s="9">
        <f t="shared" si="16"/>
        <v>1625.45263641513</v>
      </c>
      <c r="K186" s="9">
        <f t="shared" si="17"/>
        <v>328.04842560842002</v>
      </c>
      <c r="L186" s="10">
        <f t="shared" si="14"/>
        <v>0.20181973824344557</v>
      </c>
      <c r="M186" s="10">
        <f t="shared" si="20"/>
        <v>0.28567988319960552</v>
      </c>
      <c r="P186" s="8">
        <f t="shared" si="19"/>
        <v>33.375962963612729</v>
      </c>
    </row>
    <row r="187" spans="1:16" x14ac:dyDescent="0.2">
      <c r="A187" s="8">
        <v>92.5</v>
      </c>
      <c r="B187" s="8">
        <v>185</v>
      </c>
      <c r="D187">
        <v>1764.3134693878001</v>
      </c>
      <c r="E187">
        <v>450.53632653060998</v>
      </c>
      <c r="F187">
        <v>157.07748776509001</v>
      </c>
      <c r="G187">
        <v>126.23409461663999</v>
      </c>
      <c r="I187" s="9">
        <f t="shared" si="15"/>
        <v>324.30223191396999</v>
      </c>
      <c r="J187" s="9">
        <f t="shared" si="16"/>
        <v>1607.2359816227101</v>
      </c>
      <c r="K187" s="9">
        <f t="shared" si="17"/>
        <v>324.30223191396999</v>
      </c>
      <c r="L187" s="10">
        <f t="shared" si="14"/>
        <v>0.20177636365914695</v>
      </c>
      <c r="M187" s="10">
        <f t="shared" si="20"/>
        <v>0.28609227027267736</v>
      </c>
      <c r="P187" s="8">
        <f t="shared" si="19"/>
        <v>33.5684949766081</v>
      </c>
    </row>
    <row r="188" spans="1:16" x14ac:dyDescent="0.2">
      <c r="A188" s="8">
        <v>93</v>
      </c>
      <c r="B188" s="8">
        <v>186</v>
      </c>
      <c r="D188">
        <v>1730.1134693878</v>
      </c>
      <c r="E188">
        <v>438.65306122448999</v>
      </c>
      <c r="F188">
        <v>156.56443719412999</v>
      </c>
      <c r="G188">
        <v>125.51712887439</v>
      </c>
      <c r="I188" s="9">
        <f t="shared" si="15"/>
        <v>313.13593235010001</v>
      </c>
      <c r="J188" s="9">
        <f t="shared" si="16"/>
        <v>1573.54903219367</v>
      </c>
      <c r="K188" s="9">
        <f t="shared" si="17"/>
        <v>313.13593235010001</v>
      </c>
      <c r="L188" s="10">
        <f t="shared" si="14"/>
        <v>0.1989997934246511</v>
      </c>
      <c r="M188" s="10">
        <f t="shared" si="20"/>
        <v>0.28377146169555195</v>
      </c>
      <c r="P188" s="8">
        <f t="shared" si="19"/>
        <v>32.484974235275267</v>
      </c>
    </row>
    <row r="189" spans="1:16" x14ac:dyDescent="0.2">
      <c r="A189" s="8">
        <v>93.5</v>
      </c>
      <c r="B189" s="8">
        <v>187</v>
      </c>
      <c r="D189">
        <v>1891.7581699345999</v>
      </c>
      <c r="E189">
        <v>468.52859477124002</v>
      </c>
      <c r="F189">
        <v>155.83278955954</v>
      </c>
      <c r="G189">
        <v>126.32789559542999</v>
      </c>
      <c r="I189" s="9">
        <f t="shared" si="15"/>
        <v>342.20069917581003</v>
      </c>
      <c r="J189" s="9">
        <f t="shared" si="16"/>
        <v>1735.9253803750598</v>
      </c>
      <c r="K189" s="9">
        <f t="shared" si="17"/>
        <v>342.20069917581003</v>
      </c>
      <c r="L189" s="10">
        <f t="shared" si="14"/>
        <v>0.1971286917309055</v>
      </c>
      <c r="M189" s="10">
        <f t="shared" si="20"/>
        <v>0.28235612165917678</v>
      </c>
      <c r="P189" s="8">
        <f t="shared" si="19"/>
        <v>31.824191480262037</v>
      </c>
    </row>
    <row r="190" spans="1:16" x14ac:dyDescent="0.2">
      <c r="A190" s="8">
        <v>94</v>
      </c>
      <c r="B190" s="8">
        <v>188</v>
      </c>
      <c r="D190">
        <v>1855.5228758170001</v>
      </c>
      <c r="E190">
        <v>456.52205882353002</v>
      </c>
      <c r="F190">
        <v>156.56280587276001</v>
      </c>
      <c r="G190">
        <v>125.9396411093</v>
      </c>
      <c r="I190" s="9">
        <f t="shared" si="15"/>
        <v>330.58241771423002</v>
      </c>
      <c r="J190" s="9">
        <f t="shared" si="16"/>
        <v>1698.9600699442401</v>
      </c>
      <c r="K190" s="9">
        <f t="shared" si="17"/>
        <v>330.58241771423002</v>
      </c>
      <c r="L190" s="10">
        <f t="shared" si="14"/>
        <v>0.19457927444114667</v>
      </c>
      <c r="M190" s="10">
        <f t="shared" si="20"/>
        <v>0.28026246602678839</v>
      </c>
      <c r="P190" s="8">
        <f t="shared" si="19"/>
        <v>30.846722108052564</v>
      </c>
    </row>
    <row r="191" spans="1:16" x14ac:dyDescent="0.2">
      <c r="A191" s="8">
        <v>94.5</v>
      </c>
      <c r="B191" s="8">
        <v>189</v>
      </c>
      <c r="D191">
        <v>1824.7687908497001</v>
      </c>
      <c r="E191">
        <v>447.45098039215998</v>
      </c>
      <c r="F191">
        <v>156.89070146819</v>
      </c>
      <c r="G191">
        <v>126.35236541598999</v>
      </c>
      <c r="I191" s="9">
        <f t="shared" si="15"/>
        <v>321.09861497616998</v>
      </c>
      <c r="J191" s="9">
        <f t="shared" si="16"/>
        <v>1667.8780893815101</v>
      </c>
      <c r="K191" s="9">
        <f t="shared" si="17"/>
        <v>321.09861497616998</v>
      </c>
      <c r="L191" s="10">
        <f t="shared" si="14"/>
        <v>0.19251923568061333</v>
      </c>
      <c r="M191" s="10">
        <f t="shared" si="20"/>
        <v>0.27865818892362548</v>
      </c>
      <c r="P191" s="8">
        <f t="shared" si="19"/>
        <v>30.097729910567921</v>
      </c>
    </row>
    <row r="192" spans="1:16" x14ac:dyDescent="0.2">
      <c r="A192" s="8">
        <v>95</v>
      </c>
      <c r="B192" s="8">
        <v>190</v>
      </c>
      <c r="D192">
        <v>1807.9166666666999</v>
      </c>
      <c r="E192">
        <v>450.83333333333002</v>
      </c>
      <c r="F192">
        <v>156.84828711256</v>
      </c>
      <c r="G192">
        <v>125.34584013051</v>
      </c>
      <c r="I192" s="9">
        <f t="shared" si="15"/>
        <v>325.48749320282002</v>
      </c>
      <c r="J192" s="9">
        <f t="shared" si="16"/>
        <v>1651.0683795541399</v>
      </c>
      <c r="K192" s="9">
        <f t="shared" si="17"/>
        <v>325.48749320282002</v>
      </c>
      <c r="L192" s="10">
        <f t="shared" si="14"/>
        <v>0.19713750032007502</v>
      </c>
      <c r="M192" s="10">
        <f t="shared" si="20"/>
        <v>0.28373221522045761</v>
      </c>
      <c r="P192" s="8">
        <f t="shared" si="19"/>
        <v>32.466651151584493</v>
      </c>
    </row>
    <row r="193" spans="1:16" x14ac:dyDescent="0.2">
      <c r="A193" s="8">
        <v>95.5</v>
      </c>
      <c r="B193" s="8">
        <v>191</v>
      </c>
      <c r="D193">
        <v>1922.1148482363001</v>
      </c>
      <c r="E193">
        <v>493.27317473339002</v>
      </c>
      <c r="F193">
        <v>156.11419249592001</v>
      </c>
      <c r="G193">
        <v>125.86541598695</v>
      </c>
      <c r="I193" s="9">
        <f t="shared" si="15"/>
        <v>367.40775874644004</v>
      </c>
      <c r="J193" s="9">
        <f t="shared" si="16"/>
        <v>1766.0006557403801</v>
      </c>
      <c r="K193" s="9">
        <f t="shared" si="17"/>
        <v>367.40775874644004</v>
      </c>
      <c r="L193" s="10">
        <f t="shared" si="14"/>
        <v>0.20804508625304421</v>
      </c>
      <c r="M193" s="10">
        <f t="shared" si="20"/>
        <v>0.29509556281079724</v>
      </c>
      <c r="P193" s="8">
        <f t="shared" si="19"/>
        <v>37.771880943676102</v>
      </c>
    </row>
    <row r="194" spans="1:16" x14ac:dyDescent="0.2">
      <c r="A194" s="8">
        <v>96</v>
      </c>
      <c r="B194" s="8">
        <v>192</v>
      </c>
      <c r="D194">
        <v>1917.6800656276</v>
      </c>
      <c r="E194">
        <v>509.49794913864002</v>
      </c>
      <c r="F194">
        <v>156.51060358890999</v>
      </c>
      <c r="G194">
        <v>125.83278955954</v>
      </c>
      <c r="I194" s="9">
        <f t="shared" si="15"/>
        <v>383.66515957910002</v>
      </c>
      <c r="J194" s="9">
        <f t="shared" si="16"/>
        <v>1761.16946203869</v>
      </c>
      <c r="K194" s="9">
        <f t="shared" si="17"/>
        <v>383.66515957910002</v>
      </c>
      <c r="L194" s="10">
        <f t="shared" ref="L194:L257" si="21">K194/J194</f>
        <v>0.21784681590775365</v>
      </c>
      <c r="M194" s="10">
        <f t="shared" si="20"/>
        <v>0.30535305412287711</v>
      </c>
      <c r="P194" s="8">
        <f t="shared" si="19"/>
        <v>42.560817308452073</v>
      </c>
    </row>
    <row r="195" spans="1:16" x14ac:dyDescent="0.2">
      <c r="A195" s="8">
        <v>96.5</v>
      </c>
      <c r="B195" s="8">
        <v>193</v>
      </c>
      <c r="D195">
        <v>1921.6144380640001</v>
      </c>
      <c r="E195">
        <v>513.74077112386999</v>
      </c>
      <c r="F195">
        <v>156.15742251224</v>
      </c>
      <c r="G195">
        <v>125.94861337684</v>
      </c>
      <c r="I195" s="9">
        <f t="shared" ref="I195:I241" si="22">E195-G195</f>
        <v>387.79215774702999</v>
      </c>
      <c r="J195" s="9">
        <f t="shared" ref="J195:J241" si="23">D195-F195</f>
        <v>1765.4570155517602</v>
      </c>
      <c r="K195" s="9">
        <f t="shared" ref="K195:K258" si="24">I195*1</f>
        <v>387.79215774702999</v>
      </c>
      <c r="L195" s="10">
        <f t="shared" si="21"/>
        <v>0.21965539479636262</v>
      </c>
      <c r="M195" s="10">
        <f t="shared" si="20"/>
        <v>0.30761739466885651</v>
      </c>
      <c r="P195" s="8">
        <f t="shared" ref="P195:P241" si="25">(M195-$O$2)/$O$2*100</f>
        <v>43.617974702298177</v>
      </c>
    </row>
    <row r="196" spans="1:16" x14ac:dyDescent="0.2">
      <c r="A196" s="8">
        <v>97</v>
      </c>
      <c r="B196" s="8">
        <v>194</v>
      </c>
      <c r="D196">
        <v>1905.3978671042</v>
      </c>
      <c r="E196">
        <v>509.60295324036002</v>
      </c>
      <c r="F196">
        <v>156.50897226754</v>
      </c>
      <c r="G196">
        <v>126.17699836868</v>
      </c>
      <c r="I196" s="9">
        <f t="shared" si="22"/>
        <v>383.42595487168001</v>
      </c>
      <c r="J196" s="9">
        <f t="shared" si="23"/>
        <v>1748.88889483666</v>
      </c>
      <c r="K196" s="9">
        <f t="shared" si="24"/>
        <v>383.42595487168001</v>
      </c>
      <c r="L196" s="10">
        <f t="shared" si="21"/>
        <v>0.2192397447337503</v>
      </c>
      <c r="M196" s="10">
        <f t="shared" si="20"/>
        <v>0.3076575062636146</v>
      </c>
      <c r="P196" s="8">
        <f t="shared" si="25"/>
        <v>43.636701686210898</v>
      </c>
    </row>
    <row r="197" spans="1:16" x14ac:dyDescent="0.2">
      <c r="A197" s="8">
        <v>97.5</v>
      </c>
      <c r="B197" s="8">
        <v>195</v>
      </c>
      <c r="D197">
        <v>1883.8457752255999</v>
      </c>
      <c r="E197">
        <v>494.81788351108003</v>
      </c>
      <c r="F197">
        <v>156.98450244698</v>
      </c>
      <c r="G197">
        <v>125.79771615008001</v>
      </c>
      <c r="I197" s="9">
        <f t="shared" si="22"/>
        <v>369.02016736100001</v>
      </c>
      <c r="J197" s="9">
        <f t="shared" si="23"/>
        <v>1726.8612727786199</v>
      </c>
      <c r="K197" s="9">
        <f t="shared" si="24"/>
        <v>369.02016736100001</v>
      </c>
      <c r="L197" s="10">
        <f t="shared" si="21"/>
        <v>0.21369415897967597</v>
      </c>
      <c r="M197" s="10">
        <f t="shared" si="20"/>
        <v>0.30256768216691071</v>
      </c>
      <c r="P197" s="8">
        <f t="shared" si="25"/>
        <v>41.260404893415867</v>
      </c>
    </row>
    <row r="198" spans="1:16" x14ac:dyDescent="0.2">
      <c r="A198" s="8">
        <v>98</v>
      </c>
      <c r="B198" s="8">
        <v>196</v>
      </c>
      <c r="D198">
        <v>1855.2059064806999</v>
      </c>
      <c r="E198">
        <v>481.71369975390002</v>
      </c>
      <c r="F198">
        <v>157.32871125611999</v>
      </c>
      <c r="G198">
        <v>125.94045676998</v>
      </c>
      <c r="I198" s="9">
        <f t="shared" si="22"/>
        <v>355.77324298392</v>
      </c>
      <c r="J198" s="9">
        <f t="shared" si="23"/>
        <v>1697.87719522458</v>
      </c>
      <c r="K198" s="9">
        <f t="shared" si="24"/>
        <v>355.77324298392</v>
      </c>
      <c r="L198" s="10">
        <f t="shared" si="21"/>
        <v>0.20954003268585128</v>
      </c>
      <c r="M198" s="10">
        <f t="shared" si="20"/>
        <v>0.29886931753045648</v>
      </c>
      <c r="P198" s="8">
        <f t="shared" si="25"/>
        <v>39.533741681246312</v>
      </c>
    </row>
    <row r="199" spans="1:16" x14ac:dyDescent="0.2">
      <c r="A199" s="8">
        <v>98.5</v>
      </c>
      <c r="B199" s="8">
        <v>197</v>
      </c>
      <c r="D199">
        <v>1896.1717089125</v>
      </c>
      <c r="E199">
        <v>486.21177432542999</v>
      </c>
      <c r="F199">
        <v>157.18841761826999</v>
      </c>
      <c r="G199">
        <v>125.62561174551</v>
      </c>
      <c r="I199" s="9">
        <f t="shared" si="22"/>
        <v>360.58616257991997</v>
      </c>
      <c r="J199" s="9">
        <f t="shared" si="23"/>
        <v>1738.98329129423</v>
      </c>
      <c r="K199" s="9">
        <f t="shared" si="24"/>
        <v>360.58616257991997</v>
      </c>
      <c r="L199" s="10">
        <f t="shared" si="21"/>
        <v>0.20735458723790007</v>
      </c>
      <c r="M199" s="10">
        <f t="shared" si="20"/>
        <v>0.29713963373987567</v>
      </c>
      <c r="P199" s="8">
        <f t="shared" si="25"/>
        <v>38.726200602023461</v>
      </c>
    </row>
    <row r="200" spans="1:16" x14ac:dyDescent="0.2">
      <c r="A200" s="8">
        <v>99</v>
      </c>
      <c r="B200" s="8">
        <v>198</v>
      </c>
      <c r="D200">
        <v>1888.6999182339</v>
      </c>
      <c r="E200">
        <v>483.59607522485999</v>
      </c>
      <c r="F200">
        <v>157.29445350733999</v>
      </c>
      <c r="G200">
        <v>126.44453507340999</v>
      </c>
      <c r="I200" s="9">
        <f t="shared" si="22"/>
        <v>357.15154015144998</v>
      </c>
      <c r="J200" s="9">
        <f t="shared" si="23"/>
        <v>1731.40546472656</v>
      </c>
      <c r="K200" s="9">
        <f t="shared" si="24"/>
        <v>357.15154015144998</v>
      </c>
      <c r="L200" s="10">
        <f t="shared" si="21"/>
        <v>0.20627839488069002</v>
      </c>
      <c r="M200" s="10">
        <f t="shared" si="20"/>
        <v>0.29651920304003609</v>
      </c>
      <c r="P200" s="8">
        <f t="shared" si="25"/>
        <v>38.436538827044807</v>
      </c>
    </row>
    <row r="201" spans="1:16" x14ac:dyDescent="0.2">
      <c r="A201" s="8">
        <v>99.5</v>
      </c>
      <c r="B201" s="8">
        <v>199</v>
      </c>
      <c r="D201">
        <v>1869.2085036794999</v>
      </c>
      <c r="E201">
        <v>479.71708912510002</v>
      </c>
      <c r="F201">
        <v>156.67699836867999</v>
      </c>
      <c r="G201">
        <v>126.08972267537</v>
      </c>
      <c r="I201" s="9">
        <f t="shared" si="22"/>
        <v>353.62736644973</v>
      </c>
      <c r="J201" s="9">
        <f t="shared" si="23"/>
        <v>1712.53150531082</v>
      </c>
      <c r="K201" s="9">
        <f t="shared" si="24"/>
        <v>353.62736644973</v>
      </c>
      <c r="L201" s="10">
        <f t="shared" si="21"/>
        <v>0.20649393331046928</v>
      </c>
      <c r="M201" s="10">
        <f t="shared" si="20"/>
        <v>0.29719050312718576</v>
      </c>
      <c r="P201" s="8">
        <f t="shared" si="25"/>
        <v>38.749950098984407</v>
      </c>
    </row>
    <row r="202" spans="1:16" x14ac:dyDescent="0.2">
      <c r="A202" s="8">
        <v>100</v>
      </c>
      <c r="B202" s="8">
        <v>200</v>
      </c>
      <c r="D202">
        <v>1874.6729354047</v>
      </c>
      <c r="E202">
        <v>477.30171708913002</v>
      </c>
      <c r="F202">
        <v>156.8792822186</v>
      </c>
      <c r="G202">
        <v>126.18515497553</v>
      </c>
      <c r="I202" s="9">
        <f t="shared" si="22"/>
        <v>351.11656211360003</v>
      </c>
      <c r="J202" s="9">
        <f t="shared" si="23"/>
        <v>1717.7936531861001</v>
      </c>
      <c r="K202" s="9">
        <f t="shared" si="24"/>
        <v>351.11656211360003</v>
      </c>
      <c r="L202" s="10">
        <f t="shared" si="21"/>
        <v>0.20439973186672453</v>
      </c>
      <c r="M202" s="10">
        <f t="shared" si="20"/>
        <v>0.29555206334081147</v>
      </c>
      <c r="P202" s="8">
        <f t="shared" si="25"/>
        <v>37.985008298329575</v>
      </c>
    </row>
    <row r="203" spans="1:16" x14ac:dyDescent="0.2">
      <c r="A203" s="8">
        <v>100.5</v>
      </c>
      <c r="B203" s="8">
        <v>201</v>
      </c>
      <c r="D203">
        <v>1859.3998357964001</v>
      </c>
      <c r="E203">
        <v>471.30213464695998</v>
      </c>
      <c r="F203">
        <v>157.39804241435999</v>
      </c>
      <c r="G203">
        <v>126.01386623165</v>
      </c>
      <c r="I203" s="9">
        <f t="shared" si="22"/>
        <v>345.28826841530997</v>
      </c>
      <c r="J203" s="9">
        <f t="shared" si="23"/>
        <v>1702.0017933820402</v>
      </c>
      <c r="K203" s="9">
        <f t="shared" si="24"/>
        <v>345.28826841530997</v>
      </c>
      <c r="L203" s="10">
        <f t="shared" si="21"/>
        <v>0.20287185933522972</v>
      </c>
      <c r="M203" s="10">
        <f t="shared" si="20"/>
        <v>0.29447995246668707</v>
      </c>
      <c r="P203" s="8">
        <f t="shared" si="25"/>
        <v>37.484469658231525</v>
      </c>
    </row>
    <row r="204" spans="1:16" x14ac:dyDescent="0.2">
      <c r="A204" s="8">
        <v>101</v>
      </c>
      <c r="B204" s="8">
        <v>202</v>
      </c>
      <c r="D204">
        <v>1859.7085385879</v>
      </c>
      <c r="E204">
        <v>467.97947454844001</v>
      </c>
      <c r="F204">
        <v>157.01549755302</v>
      </c>
      <c r="G204">
        <v>125.77650897226999</v>
      </c>
      <c r="I204" s="9">
        <f t="shared" si="22"/>
        <v>342.20296557617002</v>
      </c>
      <c r="J204" s="9">
        <f t="shared" si="23"/>
        <v>1702.69304103488</v>
      </c>
      <c r="K204" s="9">
        <f t="shared" si="24"/>
        <v>342.20296557617002</v>
      </c>
      <c r="L204" s="10">
        <f t="shared" si="21"/>
        <v>0.20097748527132198</v>
      </c>
      <c r="M204" s="10">
        <f t="shared" si="20"/>
        <v>0.29304134006014976</v>
      </c>
      <c r="P204" s="8">
        <f t="shared" si="25"/>
        <v>36.812821683217301</v>
      </c>
    </row>
    <row r="205" spans="1:16" x14ac:dyDescent="0.2">
      <c r="A205" s="8">
        <v>101.5</v>
      </c>
      <c r="B205" s="8">
        <v>203</v>
      </c>
      <c r="D205">
        <v>1855.1765188833999</v>
      </c>
      <c r="E205">
        <v>463.17569786535</v>
      </c>
      <c r="F205">
        <v>156.74225122349</v>
      </c>
      <c r="G205">
        <v>125.80505709625</v>
      </c>
      <c r="I205" s="9">
        <f t="shared" si="22"/>
        <v>337.37064076910002</v>
      </c>
      <c r="J205" s="9">
        <f t="shared" si="23"/>
        <v>1698.4342676599099</v>
      </c>
      <c r="K205" s="9">
        <f t="shared" si="24"/>
        <v>337.37064076910002</v>
      </c>
      <c r="L205" s="10">
        <f t="shared" si="21"/>
        <v>0.19863626587911865</v>
      </c>
      <c r="M205" s="10">
        <f t="shared" si="20"/>
        <v>0.29115588232531686</v>
      </c>
      <c r="P205" s="8">
        <f t="shared" si="25"/>
        <v>35.932554097715581</v>
      </c>
    </row>
    <row r="206" spans="1:16" x14ac:dyDescent="0.2">
      <c r="A206" s="8">
        <v>102</v>
      </c>
      <c r="B206" s="8">
        <v>204</v>
      </c>
      <c r="D206">
        <v>1851.829228243</v>
      </c>
      <c r="E206">
        <v>462.82840722496002</v>
      </c>
      <c r="F206">
        <v>156.68923327895999</v>
      </c>
      <c r="G206">
        <v>125.99673735726</v>
      </c>
      <c r="I206" s="9">
        <f t="shared" si="22"/>
        <v>336.83166986770004</v>
      </c>
      <c r="J206" s="9">
        <f t="shared" si="23"/>
        <v>1695.1399949640399</v>
      </c>
      <c r="K206" s="9">
        <f t="shared" si="24"/>
        <v>336.83166986770004</v>
      </c>
      <c r="L206" s="10">
        <f t="shared" si="21"/>
        <v>0.19870433761716857</v>
      </c>
      <c r="M206" s="10">
        <f t="shared" si="20"/>
        <v>0.29167971572073725</v>
      </c>
      <c r="P206" s="8">
        <f t="shared" si="25"/>
        <v>36.177117287689576</v>
      </c>
    </row>
    <row r="207" spans="1:16" x14ac:dyDescent="0.2">
      <c r="A207" s="8">
        <v>102.5</v>
      </c>
      <c r="B207" s="8">
        <v>205</v>
      </c>
      <c r="D207">
        <v>1856.8916256158</v>
      </c>
      <c r="E207">
        <v>461.46469622332</v>
      </c>
      <c r="F207">
        <v>157.80587275693</v>
      </c>
      <c r="G207">
        <v>125.88743882545</v>
      </c>
      <c r="I207" s="9">
        <f t="shared" si="22"/>
        <v>335.57725739786997</v>
      </c>
      <c r="J207" s="9">
        <f t="shared" si="23"/>
        <v>1699.0857528588699</v>
      </c>
      <c r="K207" s="9">
        <f t="shared" si="24"/>
        <v>335.57725739786997</v>
      </c>
      <c r="L207" s="10">
        <f t="shared" si="21"/>
        <v>0.19750460318629004</v>
      </c>
      <c r="M207" s="10">
        <f t="shared" si="20"/>
        <v>0.29093574294722913</v>
      </c>
      <c r="P207" s="8">
        <f t="shared" si="25"/>
        <v>35.829777167083236</v>
      </c>
    </row>
    <row r="208" spans="1:16" x14ac:dyDescent="0.2">
      <c r="A208" s="8">
        <v>103</v>
      </c>
      <c r="B208" s="8">
        <v>206</v>
      </c>
      <c r="D208">
        <v>1824.7656631407999</v>
      </c>
      <c r="E208">
        <v>454.08299430430998</v>
      </c>
      <c r="F208">
        <v>156.63458401304999</v>
      </c>
      <c r="G208">
        <v>126.23817292007</v>
      </c>
      <c r="I208" s="9">
        <f t="shared" si="22"/>
        <v>327.84482138423999</v>
      </c>
      <c r="J208" s="9">
        <f t="shared" si="23"/>
        <v>1668.1310791277499</v>
      </c>
      <c r="K208" s="9">
        <f t="shared" si="24"/>
        <v>327.84482138423999</v>
      </c>
      <c r="L208" s="10">
        <f t="shared" si="21"/>
        <v>0.19653420854413131</v>
      </c>
      <c r="M208" s="10">
        <f t="shared" si="20"/>
        <v>0.29042110996244086</v>
      </c>
      <c r="P208" s="8">
        <f t="shared" si="25"/>
        <v>35.589509392012026</v>
      </c>
    </row>
    <row r="209" spans="1:16" x14ac:dyDescent="0.2">
      <c r="A209" s="8">
        <v>103.5</v>
      </c>
      <c r="B209" s="8">
        <v>207</v>
      </c>
      <c r="D209">
        <v>1816.5947925142</v>
      </c>
      <c r="E209">
        <v>454.23840520749002</v>
      </c>
      <c r="F209">
        <v>156.88662316476001</v>
      </c>
      <c r="G209">
        <v>126.14518760196</v>
      </c>
      <c r="I209" s="9">
        <f t="shared" si="22"/>
        <v>328.09321760553001</v>
      </c>
      <c r="J209" s="9">
        <f t="shared" si="23"/>
        <v>1659.7081693494399</v>
      </c>
      <c r="K209" s="9">
        <f t="shared" si="24"/>
        <v>328.09321760553001</v>
      </c>
      <c r="L209" s="10">
        <f t="shared" si="21"/>
        <v>0.19768126931262472</v>
      </c>
      <c r="M209" s="10">
        <f t="shared" si="20"/>
        <v>0.29202393238830471</v>
      </c>
      <c r="P209" s="8">
        <f t="shared" si="25"/>
        <v>36.337822441271769</v>
      </c>
    </row>
    <row r="210" spans="1:16" x14ac:dyDescent="0.2">
      <c r="A210" s="8">
        <v>104</v>
      </c>
      <c r="B210" s="8">
        <v>208</v>
      </c>
      <c r="D210">
        <v>1888.3933224755999</v>
      </c>
      <c r="E210">
        <v>469.00325732899</v>
      </c>
      <c r="F210">
        <v>157.40783034258001</v>
      </c>
      <c r="G210">
        <v>126.50326264274</v>
      </c>
      <c r="I210" s="9">
        <f t="shared" si="22"/>
        <v>342.49999468625003</v>
      </c>
      <c r="J210" s="9">
        <f t="shared" si="23"/>
        <v>1730.98549213302</v>
      </c>
      <c r="K210" s="9">
        <f t="shared" si="24"/>
        <v>342.49999468625003</v>
      </c>
      <c r="L210" s="10">
        <f t="shared" si="21"/>
        <v>0.19786416249173863</v>
      </c>
      <c r="M210" s="10">
        <f t="shared" si="20"/>
        <v>0.29266258722478905</v>
      </c>
      <c r="P210" s="8">
        <f t="shared" si="25"/>
        <v>36.635992556939136</v>
      </c>
    </row>
    <row r="211" spans="1:16" x14ac:dyDescent="0.2">
      <c r="A211" s="8">
        <v>104.5</v>
      </c>
      <c r="B211" s="8">
        <v>209</v>
      </c>
      <c r="D211">
        <v>1890.6612377849999</v>
      </c>
      <c r="E211">
        <v>466.50244299674</v>
      </c>
      <c r="F211">
        <v>157.19738988581</v>
      </c>
      <c r="G211">
        <v>126.43556280587001</v>
      </c>
      <c r="I211" s="9">
        <f t="shared" si="22"/>
        <v>340.06688019086999</v>
      </c>
      <c r="J211" s="9">
        <f t="shared" si="23"/>
        <v>1733.4638478991899</v>
      </c>
      <c r="K211" s="9">
        <f t="shared" si="24"/>
        <v>340.06688019086999</v>
      </c>
      <c r="L211" s="10">
        <f t="shared" si="21"/>
        <v>0.19617765931663472</v>
      </c>
      <c r="M211" s="10">
        <f t="shared" si="20"/>
        <v>0.29143184570705555</v>
      </c>
      <c r="P211" s="8">
        <f t="shared" si="25"/>
        <v>36.061393697374669</v>
      </c>
    </row>
    <row r="212" spans="1:16" x14ac:dyDescent="0.2">
      <c r="A212" s="8">
        <v>105</v>
      </c>
      <c r="B212" s="8">
        <v>210</v>
      </c>
      <c r="D212">
        <v>1894.3566775244001</v>
      </c>
      <c r="E212">
        <v>469.89332247557002</v>
      </c>
      <c r="F212">
        <v>157.70554649266001</v>
      </c>
      <c r="G212">
        <v>126.06280587275999</v>
      </c>
      <c r="I212" s="9">
        <f t="shared" si="22"/>
        <v>343.83051660281001</v>
      </c>
      <c r="J212" s="9">
        <f t="shared" si="23"/>
        <v>1736.6511310317401</v>
      </c>
      <c r="K212" s="9">
        <f t="shared" si="24"/>
        <v>343.83051660281001</v>
      </c>
      <c r="L212" s="10">
        <f t="shared" si="21"/>
        <v>0.19798479410112793</v>
      </c>
      <c r="M212" s="10">
        <f t="shared" si="20"/>
        <v>0.29369474214891922</v>
      </c>
      <c r="P212" s="8">
        <f t="shared" si="25"/>
        <v>37.117876879320036</v>
      </c>
    </row>
    <row r="213" spans="1:16" x14ac:dyDescent="0.2">
      <c r="A213" s="8">
        <v>105.5</v>
      </c>
      <c r="B213" s="8">
        <v>211</v>
      </c>
      <c r="D213">
        <v>1903.5732899023001</v>
      </c>
      <c r="E213">
        <v>475.40065146580002</v>
      </c>
      <c r="F213">
        <v>157.67373572593999</v>
      </c>
      <c r="G213">
        <v>126.77079934747</v>
      </c>
      <c r="I213" s="9">
        <f t="shared" si="22"/>
        <v>348.62985211833001</v>
      </c>
      <c r="J213" s="9">
        <f t="shared" si="23"/>
        <v>1745.8995541763602</v>
      </c>
      <c r="K213" s="9">
        <f t="shared" si="24"/>
        <v>348.62985211833001</v>
      </c>
      <c r="L213" s="10">
        <f t="shared" si="21"/>
        <v>0.19968494251824154</v>
      </c>
      <c r="M213" s="10">
        <f t="shared" si="20"/>
        <v>0.29585065222340323</v>
      </c>
      <c r="P213" s="8">
        <f t="shared" si="25"/>
        <v>38.12441111276604</v>
      </c>
    </row>
    <row r="214" spans="1:16" x14ac:dyDescent="0.2">
      <c r="A214" s="8">
        <v>106</v>
      </c>
      <c r="B214" s="8">
        <v>212</v>
      </c>
      <c r="D214">
        <v>1898.8949511400999</v>
      </c>
      <c r="E214">
        <v>473.34446254071997</v>
      </c>
      <c r="F214">
        <v>157.91598694942999</v>
      </c>
      <c r="G214">
        <v>126.84991843393</v>
      </c>
      <c r="I214" s="9">
        <f t="shared" si="22"/>
        <v>346.49454410678999</v>
      </c>
      <c r="J214" s="9">
        <f t="shared" si="23"/>
        <v>1740.97896419067</v>
      </c>
      <c r="K214" s="9">
        <f t="shared" si="24"/>
        <v>346.49454410678999</v>
      </c>
      <c r="L214" s="10">
        <f t="shared" si="21"/>
        <v>0.19902282062774096</v>
      </c>
      <c r="M214" s="10">
        <f t="shared" si="20"/>
        <v>0.29564429199027309</v>
      </c>
      <c r="P214" s="8">
        <f t="shared" si="25"/>
        <v>38.028067280281704</v>
      </c>
    </row>
    <row r="215" spans="1:16" x14ac:dyDescent="0.2">
      <c r="A215" s="8">
        <v>106.5</v>
      </c>
      <c r="B215" s="8">
        <v>213</v>
      </c>
      <c r="D215">
        <v>1895.5081433225</v>
      </c>
      <c r="E215">
        <v>476.47882736155998</v>
      </c>
      <c r="F215">
        <v>157.71125611746001</v>
      </c>
      <c r="G215">
        <v>126.4396411093</v>
      </c>
      <c r="I215" s="9">
        <f t="shared" si="22"/>
        <v>350.03918625225998</v>
      </c>
      <c r="J215" s="9">
        <f t="shared" si="23"/>
        <v>1737.7968872050401</v>
      </c>
      <c r="K215" s="9">
        <f t="shared" si="24"/>
        <v>350.03918625225998</v>
      </c>
      <c r="L215" s="10">
        <f t="shared" si="21"/>
        <v>0.2014269842635294</v>
      </c>
      <c r="M215" s="10">
        <f t="shared" si="20"/>
        <v>0.29850421728343196</v>
      </c>
      <c r="P215" s="8">
        <f t="shared" si="25"/>
        <v>39.363286567362344</v>
      </c>
    </row>
    <row r="216" spans="1:16" x14ac:dyDescent="0.2">
      <c r="A216" s="8">
        <v>107</v>
      </c>
      <c r="B216" s="8">
        <v>214</v>
      </c>
      <c r="D216">
        <v>1889.3053745928</v>
      </c>
      <c r="E216">
        <v>476.19951140065001</v>
      </c>
      <c r="F216">
        <v>157.54323001630999</v>
      </c>
      <c r="G216">
        <v>126.3132137031</v>
      </c>
      <c r="I216" s="9">
        <f t="shared" si="22"/>
        <v>349.88629769754999</v>
      </c>
      <c r="J216" s="9">
        <f t="shared" si="23"/>
        <v>1731.7621445764901</v>
      </c>
      <c r="K216" s="9">
        <f t="shared" si="24"/>
        <v>349.88629769754999</v>
      </c>
      <c r="L216" s="10">
        <f t="shared" si="21"/>
        <v>0.20204062018177224</v>
      </c>
      <c r="M216" s="10">
        <f t="shared" si="20"/>
        <v>0.29957361485904527</v>
      </c>
      <c r="P216" s="8">
        <f t="shared" si="25"/>
        <v>39.862558444124907</v>
      </c>
    </row>
    <row r="217" spans="1:16" x14ac:dyDescent="0.2">
      <c r="A217" s="8">
        <v>107.5</v>
      </c>
      <c r="B217" s="8">
        <v>215</v>
      </c>
      <c r="D217">
        <v>1880.993485342</v>
      </c>
      <c r="E217">
        <v>475.02442996743002</v>
      </c>
      <c r="F217">
        <v>157.87194127243001</v>
      </c>
      <c r="G217">
        <v>126.97308319739</v>
      </c>
      <c r="I217" s="9">
        <f t="shared" si="22"/>
        <v>348.05134677004003</v>
      </c>
      <c r="J217" s="9">
        <f t="shared" si="23"/>
        <v>1723.1215440695701</v>
      </c>
      <c r="K217" s="9">
        <f t="shared" si="24"/>
        <v>348.05134677004003</v>
      </c>
      <c r="L217" s="10">
        <f t="shared" si="21"/>
        <v>0.20198885445308298</v>
      </c>
      <c r="M217" s="10">
        <f t="shared" si="20"/>
        <v>0.29997761078772645</v>
      </c>
      <c r="P217" s="8">
        <f t="shared" si="25"/>
        <v>40.051172866035685</v>
      </c>
    </row>
    <row r="218" spans="1:16" x14ac:dyDescent="0.2">
      <c r="A218" s="8">
        <v>108</v>
      </c>
      <c r="B218" s="8">
        <v>216</v>
      </c>
      <c r="D218">
        <v>1881.9918566775</v>
      </c>
      <c r="E218">
        <v>475.00488599349001</v>
      </c>
      <c r="F218">
        <v>157.22267536704999</v>
      </c>
      <c r="G218">
        <v>126.41517128874</v>
      </c>
      <c r="I218" s="9">
        <f t="shared" si="22"/>
        <v>348.58971470475001</v>
      </c>
      <c r="J218" s="9">
        <f t="shared" si="23"/>
        <v>1724.76918131045</v>
      </c>
      <c r="K218" s="9">
        <f t="shared" si="24"/>
        <v>348.58971470475001</v>
      </c>
      <c r="L218" s="10">
        <f t="shared" si="21"/>
        <v>0.20210803769110575</v>
      </c>
      <c r="M218" s="10">
        <f t="shared" si="20"/>
        <v>0.30055255568311962</v>
      </c>
      <c r="P218" s="8">
        <f t="shared" si="25"/>
        <v>40.319598588614468</v>
      </c>
    </row>
    <row r="219" spans="1:16" x14ac:dyDescent="0.2">
      <c r="A219" s="8">
        <v>108.5</v>
      </c>
      <c r="B219" s="8">
        <v>217</v>
      </c>
      <c r="D219">
        <v>1880.5390879479</v>
      </c>
      <c r="E219">
        <v>473.67996742670999</v>
      </c>
      <c r="F219">
        <v>158.01141924959001</v>
      </c>
      <c r="G219">
        <v>126.67781402935999</v>
      </c>
      <c r="I219" s="9">
        <f t="shared" si="22"/>
        <v>347.00215339735001</v>
      </c>
      <c r="J219" s="9">
        <f t="shared" si="23"/>
        <v>1722.52766869831</v>
      </c>
      <c r="K219" s="9">
        <f t="shared" si="24"/>
        <v>347.00215339735001</v>
      </c>
      <c r="L219" s="10">
        <f t="shared" si="21"/>
        <v>0.20144939306523574</v>
      </c>
      <c r="M219" s="10">
        <f t="shared" si="20"/>
        <v>0.30034967271462004</v>
      </c>
      <c r="P219" s="8">
        <f t="shared" si="25"/>
        <v>40.224878193921363</v>
      </c>
    </row>
    <row r="220" spans="1:16" x14ac:dyDescent="0.2">
      <c r="A220" s="8">
        <v>109</v>
      </c>
      <c r="B220" s="8">
        <v>218</v>
      </c>
      <c r="D220">
        <v>1877.6449511400999</v>
      </c>
      <c r="E220">
        <v>477.92833876221999</v>
      </c>
      <c r="F220">
        <v>157.42659053834001</v>
      </c>
      <c r="G220">
        <v>126.84013050570999</v>
      </c>
      <c r="I220" s="9">
        <f t="shared" si="22"/>
        <v>351.08820825651003</v>
      </c>
      <c r="J220" s="9">
        <f t="shared" si="23"/>
        <v>1720.21836060176</v>
      </c>
      <c r="K220" s="9">
        <f t="shared" si="24"/>
        <v>351.08820825651003</v>
      </c>
      <c r="L220" s="10">
        <f t="shared" si="21"/>
        <v>0.20409514065045425</v>
      </c>
      <c r="M220" s="10">
        <f t="shared" si="20"/>
        <v>0.30345118195720899</v>
      </c>
      <c r="P220" s="8">
        <f t="shared" si="25"/>
        <v>41.672886283387768</v>
      </c>
    </row>
    <row r="221" spans="1:16" x14ac:dyDescent="0.2">
      <c r="A221" s="8">
        <v>109.5</v>
      </c>
      <c r="B221" s="8">
        <v>219</v>
      </c>
      <c r="D221">
        <v>1884.8013029316</v>
      </c>
      <c r="E221">
        <v>483.46742671010003</v>
      </c>
      <c r="F221">
        <v>157.28874388254999</v>
      </c>
      <c r="G221">
        <v>126.54159869494001</v>
      </c>
      <c r="I221" s="9">
        <f t="shared" si="22"/>
        <v>356.92582801516005</v>
      </c>
      <c r="J221" s="9">
        <f t="shared" si="23"/>
        <v>1727.51255904905</v>
      </c>
      <c r="K221" s="9">
        <f t="shared" si="24"/>
        <v>356.92582801516005</v>
      </c>
      <c r="L221" s="10">
        <f t="shared" si="21"/>
        <v>0.20661258069905916</v>
      </c>
      <c r="M221" s="10">
        <f t="shared" si="20"/>
        <v>0.30642438366318436</v>
      </c>
      <c r="P221" s="8">
        <f t="shared" si="25"/>
        <v>43.060991165601145</v>
      </c>
    </row>
    <row r="222" spans="1:16" x14ac:dyDescent="0.2">
      <c r="A222" s="8">
        <v>110</v>
      </c>
      <c r="B222" s="8">
        <v>220</v>
      </c>
      <c r="D222">
        <v>1873.5765472313001</v>
      </c>
      <c r="E222">
        <v>491.50407166124</v>
      </c>
      <c r="F222">
        <v>157.55872756932999</v>
      </c>
      <c r="G222">
        <v>126.63295269168</v>
      </c>
      <c r="I222" s="9">
        <f t="shared" si="22"/>
        <v>364.87111896956003</v>
      </c>
      <c r="J222" s="9">
        <f t="shared" si="23"/>
        <v>1716.0178196619702</v>
      </c>
      <c r="K222" s="9">
        <f t="shared" si="24"/>
        <v>364.87111896956003</v>
      </c>
      <c r="L222" s="10">
        <f t="shared" si="21"/>
        <v>0.21262664920428051</v>
      </c>
      <c r="M222" s="10">
        <f t="shared" si="20"/>
        <v>0.31289421382577615</v>
      </c>
      <c r="P222" s="8">
        <f t="shared" si="25"/>
        <v>46.081574268905563</v>
      </c>
    </row>
    <row r="223" spans="1:16" x14ac:dyDescent="0.2">
      <c r="A223" s="8">
        <v>110.5</v>
      </c>
      <c r="B223" s="8">
        <v>221</v>
      </c>
      <c r="D223">
        <v>1826.4550653594999</v>
      </c>
      <c r="E223">
        <v>473.19362745097999</v>
      </c>
      <c r="F223">
        <v>157.27324632953</v>
      </c>
      <c r="G223">
        <v>126.2748776509</v>
      </c>
      <c r="I223" s="9">
        <f t="shared" si="22"/>
        <v>346.91874980007998</v>
      </c>
      <c r="J223" s="9">
        <f t="shared" si="23"/>
        <v>1669.18181902997</v>
      </c>
      <c r="K223" s="9">
        <f t="shared" si="24"/>
        <v>346.91874980007998</v>
      </c>
      <c r="L223" s="10">
        <f t="shared" si="21"/>
        <v>0.20783760393561482</v>
      </c>
      <c r="M223" s="10">
        <f t="shared" si="20"/>
        <v>0.30856093021448089</v>
      </c>
      <c r="P223" s="8">
        <f t="shared" si="25"/>
        <v>44.058485110586609</v>
      </c>
    </row>
    <row r="224" spans="1:16" x14ac:dyDescent="0.2">
      <c r="A224" s="8">
        <v>111</v>
      </c>
      <c r="B224" s="8">
        <v>222</v>
      </c>
      <c r="D224">
        <v>1894.8840816326999</v>
      </c>
      <c r="E224">
        <v>486.50448979591999</v>
      </c>
      <c r="F224">
        <v>157.30750407830001</v>
      </c>
      <c r="G224">
        <v>126.52528548124</v>
      </c>
      <c r="I224" s="9">
        <f t="shared" si="22"/>
        <v>359.97920431467998</v>
      </c>
      <c r="J224" s="9">
        <f t="shared" si="23"/>
        <v>1737.5765775543998</v>
      </c>
      <c r="K224" s="9">
        <f t="shared" si="24"/>
        <v>359.97920431467998</v>
      </c>
      <c r="L224" s="10">
        <f t="shared" si="21"/>
        <v>0.20717314503706227</v>
      </c>
      <c r="M224" s="10">
        <f t="shared" si="20"/>
        <v>0.30835223297329878</v>
      </c>
      <c r="P224" s="8">
        <f t="shared" si="25"/>
        <v>43.961050194278329</v>
      </c>
    </row>
    <row r="225" spans="1:16" x14ac:dyDescent="0.2">
      <c r="A225" s="8">
        <v>111.5</v>
      </c>
      <c r="B225" s="8">
        <v>223</v>
      </c>
      <c r="D225">
        <v>1872.2032653061001</v>
      </c>
      <c r="E225">
        <v>474.79836734693998</v>
      </c>
      <c r="F225">
        <v>157.32218597063999</v>
      </c>
      <c r="G225">
        <v>127.09380097879</v>
      </c>
      <c r="I225" s="9">
        <f t="shared" si="22"/>
        <v>347.70456636814998</v>
      </c>
      <c r="J225" s="9">
        <f t="shared" si="23"/>
        <v>1714.8810793354601</v>
      </c>
      <c r="K225" s="9">
        <f t="shared" si="24"/>
        <v>347.70456636814998</v>
      </c>
      <c r="L225" s="10">
        <f t="shared" si="21"/>
        <v>0.20275724687736962</v>
      </c>
      <c r="M225" s="10">
        <f t="shared" si="20"/>
        <v>0.30439209647097654</v>
      </c>
      <c r="P225" s="8">
        <f t="shared" si="25"/>
        <v>42.11217300506604</v>
      </c>
    </row>
    <row r="226" spans="1:16" x14ac:dyDescent="0.2">
      <c r="A226" s="8">
        <v>112</v>
      </c>
      <c r="B226" s="8">
        <v>224</v>
      </c>
      <c r="D226">
        <v>1874.1502040815999</v>
      </c>
      <c r="E226">
        <v>472.33632653060999</v>
      </c>
      <c r="F226">
        <v>157.94453507341001</v>
      </c>
      <c r="G226">
        <v>126.63050570963</v>
      </c>
      <c r="I226" s="9">
        <f t="shared" si="22"/>
        <v>345.70582082097997</v>
      </c>
      <c r="J226" s="9">
        <f t="shared" si="23"/>
        <v>1716.2056690081899</v>
      </c>
      <c r="K226" s="9">
        <f t="shared" si="24"/>
        <v>345.70582082097997</v>
      </c>
      <c r="L226" s="10">
        <f t="shared" si="21"/>
        <v>0.20143612567179453</v>
      </c>
      <c r="M226" s="10">
        <f t="shared" si="20"/>
        <v>0.30352673692277188</v>
      </c>
      <c r="P226" s="8">
        <f t="shared" si="25"/>
        <v>41.708160787758771</v>
      </c>
    </row>
    <row r="227" spans="1:16" x14ac:dyDescent="0.2">
      <c r="A227" s="8">
        <v>112.5</v>
      </c>
      <c r="B227" s="8">
        <v>225</v>
      </c>
      <c r="D227">
        <v>1868.2285714285999</v>
      </c>
      <c r="E227">
        <v>469.09469387755001</v>
      </c>
      <c r="F227">
        <v>157.48123980424</v>
      </c>
      <c r="G227">
        <v>126.48776508972</v>
      </c>
      <c r="I227" s="9">
        <f t="shared" si="22"/>
        <v>342.60692878783004</v>
      </c>
      <c r="J227" s="9">
        <f t="shared" si="23"/>
        <v>1710.74733162436</v>
      </c>
      <c r="K227" s="9">
        <f t="shared" si="24"/>
        <v>342.60692878783004</v>
      </c>
      <c r="L227" s="10">
        <f t="shared" si="21"/>
        <v>0.20026740504252238</v>
      </c>
      <c r="M227" s="10">
        <f t="shared" si="20"/>
        <v>0.30281377795087017</v>
      </c>
      <c r="P227" s="8">
        <f t="shared" si="25"/>
        <v>41.375300145399514</v>
      </c>
    </row>
    <row r="228" spans="1:16" x14ac:dyDescent="0.2">
      <c r="A228" s="8">
        <v>113</v>
      </c>
      <c r="B228" s="8">
        <v>226</v>
      </c>
      <c r="D228">
        <v>1832.6818551668</v>
      </c>
      <c r="E228">
        <v>463.32709519935003</v>
      </c>
      <c r="F228">
        <v>157.5</v>
      </c>
      <c r="G228">
        <v>126.40538336052001</v>
      </c>
      <c r="I228" s="9">
        <f t="shared" si="22"/>
        <v>336.92171183882999</v>
      </c>
      <c r="J228" s="9">
        <f t="shared" si="23"/>
        <v>1675.1818551668</v>
      </c>
      <c r="K228" s="9">
        <f t="shared" si="24"/>
        <v>336.92171183882999</v>
      </c>
      <c r="L228" s="10">
        <f t="shared" si="21"/>
        <v>0.20112545440941532</v>
      </c>
      <c r="M228" s="10">
        <f t="shared" si="20"/>
        <v>0.30412758897513353</v>
      </c>
      <c r="P228" s="8">
        <f t="shared" si="25"/>
        <v>41.988681838750679</v>
      </c>
    </row>
    <row r="229" spans="1:16" x14ac:dyDescent="0.2">
      <c r="A229" s="8">
        <v>113.5</v>
      </c>
      <c r="B229" s="8">
        <v>227</v>
      </c>
      <c r="D229">
        <v>1835.8917819364999</v>
      </c>
      <c r="E229">
        <v>479.00406834824997</v>
      </c>
      <c r="F229">
        <v>157.80913539967</v>
      </c>
      <c r="G229">
        <v>126.56280587275999</v>
      </c>
      <c r="I229" s="9">
        <f t="shared" si="22"/>
        <v>352.44126247548996</v>
      </c>
      <c r="J229" s="9">
        <f t="shared" si="23"/>
        <v>1678.08264653683</v>
      </c>
      <c r="K229" s="9">
        <f t="shared" si="24"/>
        <v>352.44126247548996</v>
      </c>
      <c r="L229" s="10">
        <f t="shared" si="21"/>
        <v>0.21002616480353115</v>
      </c>
      <c r="M229" s="10">
        <f t="shared" si="20"/>
        <v>0.3134840610266198</v>
      </c>
      <c r="P229" s="8">
        <f t="shared" si="25"/>
        <v>46.356957461914448</v>
      </c>
    </row>
    <row r="230" spans="1:16" x14ac:dyDescent="0.2">
      <c r="A230" s="8">
        <v>114</v>
      </c>
      <c r="B230" s="8">
        <v>228</v>
      </c>
      <c r="D230">
        <v>1905.4421824103999</v>
      </c>
      <c r="E230">
        <v>508.97312703582998</v>
      </c>
      <c r="F230">
        <v>157.88417618271001</v>
      </c>
      <c r="G230">
        <v>126.75611745514</v>
      </c>
      <c r="I230" s="9">
        <f t="shared" si="22"/>
        <v>382.21700958068999</v>
      </c>
      <c r="J230" s="9">
        <f t="shared" si="23"/>
        <v>1747.5580062276899</v>
      </c>
      <c r="K230" s="9">
        <f t="shared" si="24"/>
        <v>382.21700958068999</v>
      </c>
      <c r="L230" s="10">
        <f t="shared" si="21"/>
        <v>0.21871492003046611</v>
      </c>
      <c r="M230" s="10">
        <f t="shared" si="20"/>
        <v>0.3226285779109252</v>
      </c>
      <c r="P230" s="8">
        <f t="shared" si="25"/>
        <v>50.626277134063244</v>
      </c>
    </row>
    <row r="231" spans="1:16" x14ac:dyDescent="0.2">
      <c r="A231" s="8">
        <v>114.5</v>
      </c>
      <c r="B231" s="8">
        <v>229</v>
      </c>
      <c r="D231">
        <v>1899.0496742671</v>
      </c>
      <c r="E231">
        <v>500.32980456026002</v>
      </c>
      <c r="F231">
        <v>157.60603588907</v>
      </c>
      <c r="G231">
        <v>126.53344208809</v>
      </c>
      <c r="I231" s="9">
        <f t="shared" si="22"/>
        <v>373.79636247217002</v>
      </c>
      <c r="J231" s="9">
        <f t="shared" si="23"/>
        <v>1741.4436383780301</v>
      </c>
      <c r="K231" s="9">
        <f t="shared" si="24"/>
        <v>373.79636247217002</v>
      </c>
      <c r="L231" s="10">
        <f t="shared" si="21"/>
        <v>0.21464740760735826</v>
      </c>
      <c r="M231" s="10">
        <f t="shared" si="20"/>
        <v>0.31901682714518775</v>
      </c>
      <c r="P231" s="8">
        <f t="shared" si="25"/>
        <v>48.940051520381459</v>
      </c>
    </row>
    <row r="232" spans="1:16" x14ac:dyDescent="0.2">
      <c r="A232" s="8">
        <v>115</v>
      </c>
      <c r="B232" s="8">
        <v>230</v>
      </c>
      <c r="D232">
        <v>1892.6530944624999</v>
      </c>
      <c r="E232">
        <v>495.69543973941001</v>
      </c>
      <c r="F232">
        <v>157.74306688418</v>
      </c>
      <c r="G232">
        <v>126.21044045677</v>
      </c>
      <c r="I232" s="9">
        <f t="shared" si="22"/>
        <v>369.48499928263999</v>
      </c>
      <c r="J232" s="9">
        <f t="shared" si="23"/>
        <v>1734.9100275783198</v>
      </c>
      <c r="K232" s="9">
        <f t="shared" si="24"/>
        <v>369.48499928263999</v>
      </c>
      <c r="L232" s="10">
        <f t="shared" si="21"/>
        <v>0.21297069785133868</v>
      </c>
      <c r="M232" s="10">
        <f t="shared" si="20"/>
        <v>0.31779587904653861</v>
      </c>
      <c r="P232" s="8">
        <f t="shared" si="25"/>
        <v>48.370024934812811</v>
      </c>
    </row>
    <row r="233" spans="1:16" x14ac:dyDescent="0.2">
      <c r="A233" s="8">
        <v>115.5</v>
      </c>
      <c r="B233" s="8">
        <v>231</v>
      </c>
      <c r="D233">
        <v>1884.5651465798001</v>
      </c>
      <c r="E233">
        <v>493.36237785015999</v>
      </c>
      <c r="F233">
        <v>158.05220228384999</v>
      </c>
      <c r="G233">
        <v>126.7471451876</v>
      </c>
      <c r="I233" s="9">
        <f t="shared" si="22"/>
        <v>366.61523266256</v>
      </c>
      <c r="J233" s="9">
        <f t="shared" si="23"/>
        <v>1726.5129442959501</v>
      </c>
      <c r="K233" s="9">
        <f t="shared" si="24"/>
        <v>366.61523266256</v>
      </c>
      <c r="L233" s="10">
        <f t="shared" si="21"/>
        <v>0.21234432899781183</v>
      </c>
      <c r="M233" s="10">
        <f t="shared" si="20"/>
        <v>0.31762527185038225</v>
      </c>
      <c r="P233" s="8">
        <f t="shared" si="25"/>
        <v>48.290373197276999</v>
      </c>
    </row>
    <row r="234" spans="1:16" x14ac:dyDescent="0.2">
      <c r="A234" s="8">
        <v>116</v>
      </c>
      <c r="B234" s="8">
        <v>232</v>
      </c>
      <c r="D234">
        <v>1894.1416938110999</v>
      </c>
      <c r="E234">
        <v>508.01547231270001</v>
      </c>
      <c r="F234">
        <v>158.3189233279</v>
      </c>
      <c r="G234">
        <v>126.30179445351</v>
      </c>
      <c r="I234" s="9">
        <f t="shared" si="22"/>
        <v>381.71367785919</v>
      </c>
      <c r="J234" s="9">
        <f t="shared" si="23"/>
        <v>1735.8227704832</v>
      </c>
      <c r="K234" s="9">
        <f t="shared" si="24"/>
        <v>381.71367785919</v>
      </c>
      <c r="L234" s="10">
        <f t="shared" si="21"/>
        <v>0.21990360096090489</v>
      </c>
      <c r="M234" s="10">
        <f t="shared" si="20"/>
        <v>0.32564030547084571</v>
      </c>
      <c r="P234" s="8">
        <f t="shared" si="25"/>
        <v>52.03236866206835</v>
      </c>
    </row>
    <row r="235" spans="1:16" x14ac:dyDescent="0.2">
      <c r="A235" s="8">
        <v>116.5</v>
      </c>
      <c r="B235" s="8">
        <v>233</v>
      </c>
      <c r="D235">
        <v>1892.684039088</v>
      </c>
      <c r="E235">
        <v>507.61726384364999</v>
      </c>
      <c r="F235">
        <v>158.088091354</v>
      </c>
      <c r="G235">
        <v>127.10032626427</v>
      </c>
      <c r="I235" s="9">
        <f t="shared" si="22"/>
        <v>380.51693757938</v>
      </c>
      <c r="J235" s="9">
        <f t="shared" si="23"/>
        <v>1734.595947734</v>
      </c>
      <c r="K235" s="9">
        <f t="shared" si="24"/>
        <v>380.51693757938</v>
      </c>
      <c r="L235" s="10">
        <f t="shared" si="21"/>
        <v>0.21936920703433593</v>
      </c>
      <c r="M235" s="10">
        <f t="shared" si="20"/>
        <v>0.32556167320164719</v>
      </c>
      <c r="P235" s="8">
        <f t="shared" si="25"/>
        <v>51.995657450530089</v>
      </c>
    </row>
    <row r="236" spans="1:16" x14ac:dyDescent="0.2">
      <c r="A236" s="8">
        <v>117</v>
      </c>
      <c r="B236" s="8">
        <v>234</v>
      </c>
      <c r="D236">
        <v>1900.3135179153001</v>
      </c>
      <c r="E236">
        <v>523.71579804559997</v>
      </c>
      <c r="F236">
        <v>157.30913539967</v>
      </c>
      <c r="G236">
        <v>126.41924959217</v>
      </c>
      <c r="I236" s="9">
        <f t="shared" si="22"/>
        <v>397.29654845342998</v>
      </c>
      <c r="J236" s="9">
        <f t="shared" si="23"/>
        <v>1743.0043825156301</v>
      </c>
      <c r="K236" s="9">
        <f t="shared" si="24"/>
        <v>397.29654845342998</v>
      </c>
      <c r="L236" s="10">
        <f t="shared" si="21"/>
        <v>0.22793777941052726</v>
      </c>
      <c r="M236" s="10">
        <f t="shared" si="20"/>
        <v>0.33458600723520893</v>
      </c>
      <c r="P236" s="8">
        <f t="shared" si="25"/>
        <v>56.208867104465078</v>
      </c>
    </row>
    <row r="237" spans="1:16" x14ac:dyDescent="0.2">
      <c r="A237" s="8">
        <v>117.5</v>
      </c>
      <c r="B237" s="8">
        <v>235</v>
      </c>
      <c r="D237">
        <v>1857.6063311687999</v>
      </c>
      <c r="E237">
        <v>506.67288961038997</v>
      </c>
      <c r="F237">
        <v>157.89233278955999</v>
      </c>
      <c r="G237">
        <v>126.34747145188</v>
      </c>
      <c r="I237" s="9">
        <f t="shared" si="22"/>
        <v>380.32541815850999</v>
      </c>
      <c r="J237" s="9">
        <f t="shared" si="23"/>
        <v>1699.7139983792399</v>
      </c>
      <c r="K237" s="9">
        <f t="shared" si="24"/>
        <v>380.32541815850999</v>
      </c>
      <c r="L237" s="10">
        <f t="shared" si="21"/>
        <v>0.22375847849765831</v>
      </c>
      <c r="M237" s="10">
        <f t="shared" si="20"/>
        <v>0.33086246797971042</v>
      </c>
      <c r="P237" s="8">
        <f t="shared" si="25"/>
        <v>54.470450565391062</v>
      </c>
    </row>
    <row r="238" spans="1:16" x14ac:dyDescent="0.2">
      <c r="A238" s="8">
        <v>118</v>
      </c>
      <c r="B238" s="8">
        <v>236</v>
      </c>
      <c r="D238">
        <v>1837.3831699345999</v>
      </c>
      <c r="E238">
        <v>506.91666666666998</v>
      </c>
      <c r="F238">
        <v>157.46329526917</v>
      </c>
      <c r="G238">
        <v>126.27079934747</v>
      </c>
      <c r="I238" s="9">
        <f t="shared" si="22"/>
        <v>380.64586731919997</v>
      </c>
      <c r="J238" s="9">
        <f t="shared" si="23"/>
        <v>1679.9198746654299</v>
      </c>
      <c r="K238" s="9">
        <f t="shared" si="24"/>
        <v>380.64586731919997</v>
      </c>
      <c r="L238" s="10">
        <f t="shared" si="21"/>
        <v>0.22658572772407301</v>
      </c>
      <c r="M238" s="10">
        <f t="shared" si="20"/>
        <v>0.33414547886349555</v>
      </c>
      <c r="P238" s="8">
        <f t="shared" si="25"/>
        <v>56.003196704673542</v>
      </c>
    </row>
    <row r="239" spans="1:16" x14ac:dyDescent="0.2">
      <c r="A239" s="8">
        <v>118.5</v>
      </c>
      <c r="B239" s="8">
        <v>237</v>
      </c>
      <c r="D239">
        <v>1842.8218954248</v>
      </c>
      <c r="E239">
        <v>546.90441176470995</v>
      </c>
      <c r="F239">
        <v>157.74714518760001</v>
      </c>
      <c r="G239">
        <v>126.72267536705</v>
      </c>
      <c r="I239" s="9">
        <f t="shared" si="22"/>
        <v>420.18173639765996</v>
      </c>
      <c r="J239" s="9">
        <f t="shared" si="23"/>
        <v>1685.0747502372001</v>
      </c>
      <c r="K239" s="9">
        <f t="shared" si="24"/>
        <v>420.18173639765996</v>
      </c>
      <c r="L239" s="10">
        <f t="shared" si="21"/>
        <v>0.24935495374226749</v>
      </c>
      <c r="M239" s="10">
        <f t="shared" si="20"/>
        <v>0.35737046653906046</v>
      </c>
      <c r="P239" s="8">
        <f t="shared" si="25"/>
        <v>66.846295145322813</v>
      </c>
    </row>
    <row r="240" spans="1:16" x14ac:dyDescent="0.2">
      <c r="A240" s="8">
        <v>119</v>
      </c>
      <c r="B240" s="8">
        <v>238</v>
      </c>
      <c r="D240">
        <v>1904.9591503268</v>
      </c>
      <c r="E240">
        <v>552.74591503268005</v>
      </c>
      <c r="F240">
        <v>158.22675367047</v>
      </c>
      <c r="G240">
        <v>126.2365415987</v>
      </c>
      <c r="I240" s="9">
        <f t="shared" si="22"/>
        <v>426.50937343398004</v>
      </c>
      <c r="J240" s="9">
        <f t="shared" si="23"/>
        <v>1746.7323966563299</v>
      </c>
      <c r="K240" s="9">
        <f t="shared" si="24"/>
        <v>426.50937343398004</v>
      </c>
      <c r="L240" s="10">
        <f t="shared" si="21"/>
        <v>0.24417556704760418</v>
      </c>
      <c r="M240" s="10">
        <f t="shared" si="20"/>
        <v>0.35264684150176762</v>
      </c>
      <c r="P240" s="8">
        <f t="shared" si="25"/>
        <v>64.640966471242635</v>
      </c>
    </row>
    <row r="241" spans="1:16" x14ac:dyDescent="0.2">
      <c r="A241" s="8">
        <v>119.5</v>
      </c>
      <c r="B241" s="8">
        <v>239</v>
      </c>
      <c r="D241">
        <v>1899.1714285713999</v>
      </c>
      <c r="E241">
        <v>540.89959183674</v>
      </c>
      <c r="F241">
        <v>157.80342577488</v>
      </c>
      <c r="G241">
        <v>125.98939641109</v>
      </c>
      <c r="I241" s="9">
        <f t="shared" si="22"/>
        <v>414.91019542564999</v>
      </c>
      <c r="J241" s="9">
        <f t="shared" si="23"/>
        <v>1741.3680027965199</v>
      </c>
      <c r="K241" s="9">
        <f t="shared" si="24"/>
        <v>414.91019542564999</v>
      </c>
      <c r="L241" s="10">
        <f t="shared" si="21"/>
        <v>0.23826680791155697</v>
      </c>
      <c r="M241" s="10">
        <f t="shared" si="20"/>
        <v>0.34719384402309084</v>
      </c>
      <c r="P241" s="8">
        <f t="shared" si="25"/>
        <v>62.0951141640695</v>
      </c>
    </row>
    <row r="242" spans="1:16" x14ac:dyDescent="0.2">
      <c r="A242" s="8">
        <v>120</v>
      </c>
      <c r="B242" s="8">
        <v>240</v>
      </c>
      <c r="D242">
        <v>1879.7795918367001</v>
      </c>
      <c r="E242">
        <v>529.90612244898</v>
      </c>
      <c r="F242">
        <v>158.08401305057001</v>
      </c>
      <c r="G242">
        <v>126.58156606852</v>
      </c>
      <c r="I242" s="9">
        <f>E242-G242</f>
        <v>403.32455638045997</v>
      </c>
      <c r="J242" s="9">
        <f>D242-F242</f>
        <v>1721.69557878613</v>
      </c>
      <c r="K242" s="9">
        <f t="shared" si="24"/>
        <v>403.32455638045997</v>
      </c>
      <c r="L242" s="10">
        <f t="shared" si="21"/>
        <v>0.23426008717802554</v>
      </c>
      <c r="M242" s="10">
        <f>L242+ABS($N$2)*A242</f>
        <v>0.34364288494692985</v>
      </c>
      <c r="O242" s="11"/>
      <c r="P242" s="8">
        <f>(M242-$O$2)/$O$2*100</f>
        <v>60.437270493304496</v>
      </c>
    </row>
    <row r="243" spans="1:16" x14ac:dyDescent="0.2">
      <c r="A243" s="8">
        <v>120.5</v>
      </c>
      <c r="B243" s="8">
        <v>241</v>
      </c>
      <c r="D243">
        <v>1888.7216326531</v>
      </c>
      <c r="E243">
        <v>523.57551020408005</v>
      </c>
      <c r="F243">
        <v>157.95350734095001</v>
      </c>
      <c r="G243">
        <v>126.46737357259001</v>
      </c>
      <c r="I243" s="9">
        <f t="shared" ref="I243:I274" si="26">E243-G243</f>
        <v>397.10813663149003</v>
      </c>
      <c r="J243" s="9">
        <f t="shared" ref="J243:J274" si="27">D243-F243</f>
        <v>1730.76812531215</v>
      </c>
      <c r="K243" s="9">
        <f t="shared" si="24"/>
        <v>397.10813663149003</v>
      </c>
      <c r="L243" s="10">
        <f t="shared" si="21"/>
        <v>0.22944040326596044</v>
      </c>
      <c r="M243" s="10">
        <f t="shared" ref="M243:M274" si="28">L243+ABS($N$2)*A243</f>
        <v>0.33927896269223518</v>
      </c>
      <c r="P243" s="8">
        <f t="shared" ref="P243:P274" si="29">(M243-$O$2)/$O$2*100</f>
        <v>58.399877007633094</v>
      </c>
    </row>
    <row r="244" spans="1:16" x14ac:dyDescent="0.2">
      <c r="A244" s="8">
        <v>121</v>
      </c>
      <c r="B244" s="8">
        <v>242</v>
      </c>
      <c r="D244">
        <v>1858.1191836734999</v>
      </c>
      <c r="E244">
        <v>510.64326530611999</v>
      </c>
      <c r="F244">
        <v>158.65334420881001</v>
      </c>
      <c r="G244">
        <v>126.39885807504</v>
      </c>
      <c r="I244" s="9">
        <f t="shared" si="26"/>
        <v>384.24440723108</v>
      </c>
      <c r="J244" s="9">
        <f t="shared" si="27"/>
        <v>1699.4658394646899</v>
      </c>
      <c r="K244" s="9">
        <f t="shared" si="24"/>
        <v>384.24440723108</v>
      </c>
      <c r="L244" s="10">
        <f t="shared" si="21"/>
        <v>0.22609716436083946</v>
      </c>
      <c r="M244" s="10">
        <f t="shared" si="28"/>
        <v>0.33639148544448461</v>
      </c>
      <c r="N244" s="1"/>
      <c r="P244" s="8">
        <f t="shared" si="29"/>
        <v>57.051794482042141</v>
      </c>
    </row>
    <row r="245" spans="1:16" x14ac:dyDescent="0.2">
      <c r="A245" s="8">
        <v>121.5</v>
      </c>
      <c r="B245" s="8">
        <v>243</v>
      </c>
      <c r="D245">
        <v>1831.0497959183999</v>
      </c>
      <c r="E245">
        <v>501.84163265306</v>
      </c>
      <c r="F245">
        <v>157.94616639477999</v>
      </c>
      <c r="G245">
        <v>126.61990212072</v>
      </c>
      <c r="I245" s="9">
        <f t="shared" si="26"/>
        <v>375.22173053234002</v>
      </c>
      <c r="J245" s="9">
        <f t="shared" si="27"/>
        <v>1673.1036295236199</v>
      </c>
      <c r="K245" s="9">
        <f t="shared" si="24"/>
        <v>375.22173053234002</v>
      </c>
      <c r="L245" s="10">
        <f t="shared" si="21"/>
        <v>0.22426687977431278</v>
      </c>
      <c r="M245" s="10">
        <f t="shared" si="28"/>
        <v>0.33501696251532842</v>
      </c>
      <c r="P245" s="8">
        <f t="shared" si="29"/>
        <v>56.410068095015852</v>
      </c>
    </row>
    <row r="246" spans="1:16" x14ac:dyDescent="0.2">
      <c r="A246" s="8">
        <v>122</v>
      </c>
      <c r="B246" s="8">
        <v>244</v>
      </c>
      <c r="D246">
        <v>1867.2881632653</v>
      </c>
      <c r="E246">
        <v>513.72897959184002</v>
      </c>
      <c r="F246">
        <v>158.39477977161999</v>
      </c>
      <c r="G246">
        <v>126.62234910277</v>
      </c>
      <c r="I246" s="9">
        <f t="shared" si="26"/>
        <v>387.10663048907003</v>
      </c>
      <c r="J246" s="9">
        <f t="shared" si="27"/>
        <v>1708.8933834936799</v>
      </c>
      <c r="K246" s="9">
        <f t="shared" si="24"/>
        <v>387.10663048907003</v>
      </c>
      <c r="L246" s="10">
        <f t="shared" si="21"/>
        <v>0.22652474064687703</v>
      </c>
      <c r="M246" s="10">
        <f t="shared" si="28"/>
        <v>0.3377305850452631</v>
      </c>
      <c r="P246" s="8">
        <f t="shared" si="29"/>
        <v>57.676982705859871</v>
      </c>
    </row>
    <row r="247" spans="1:16" x14ac:dyDescent="0.2">
      <c r="A247" s="8">
        <v>122.5</v>
      </c>
      <c r="B247" s="8">
        <v>245</v>
      </c>
      <c r="D247">
        <v>1849.7591836735</v>
      </c>
      <c r="E247">
        <v>570.02448979591998</v>
      </c>
      <c r="F247">
        <v>158.00081566068999</v>
      </c>
      <c r="G247">
        <v>126.15008156607</v>
      </c>
      <c r="I247" s="9">
        <f t="shared" si="26"/>
        <v>443.87440822984996</v>
      </c>
      <c r="J247" s="9">
        <f t="shared" si="27"/>
        <v>1691.75836801281</v>
      </c>
      <c r="K247" s="9">
        <f t="shared" si="24"/>
        <v>443.87440822984996</v>
      </c>
      <c r="L247" s="10">
        <f t="shared" si="21"/>
        <v>0.26237459002566549</v>
      </c>
      <c r="M247" s="10">
        <f t="shared" si="28"/>
        <v>0.37403619608142197</v>
      </c>
      <c r="P247" s="8">
        <f t="shared" si="29"/>
        <v>74.627059059492112</v>
      </c>
    </row>
    <row r="248" spans="1:16" x14ac:dyDescent="0.2">
      <c r="A248" s="8">
        <v>123</v>
      </c>
      <c r="B248" s="8">
        <v>246</v>
      </c>
      <c r="D248">
        <v>1873.6914285713999</v>
      </c>
      <c r="E248">
        <v>580.54693877550994</v>
      </c>
      <c r="F248">
        <v>158.23817292007001</v>
      </c>
      <c r="G248">
        <v>126.61174551387001</v>
      </c>
      <c r="I248" s="9">
        <f t="shared" si="26"/>
        <v>453.93519326163994</v>
      </c>
      <c r="J248" s="9">
        <f t="shared" si="27"/>
        <v>1715.45325565133</v>
      </c>
      <c r="K248" s="9">
        <f t="shared" si="24"/>
        <v>453.93519326163994</v>
      </c>
      <c r="L248" s="10">
        <f t="shared" si="21"/>
        <v>0.2646153089664271</v>
      </c>
      <c r="M248" s="10">
        <f t="shared" si="28"/>
        <v>0.37673267667955401</v>
      </c>
      <c r="P248" s="8">
        <f t="shared" si="29"/>
        <v>75.885970580879416</v>
      </c>
    </row>
    <row r="249" spans="1:16" x14ac:dyDescent="0.2">
      <c r="A249" s="8">
        <v>123.5</v>
      </c>
      <c r="B249" s="8">
        <v>247</v>
      </c>
      <c r="D249">
        <v>1891.9518367347</v>
      </c>
      <c r="E249">
        <v>576.69387755102002</v>
      </c>
      <c r="F249">
        <v>158.45921696574001</v>
      </c>
      <c r="G249">
        <v>126.53588907015001</v>
      </c>
      <c r="I249" s="9">
        <f t="shared" si="26"/>
        <v>450.15798848087002</v>
      </c>
      <c r="J249" s="9">
        <f t="shared" si="27"/>
        <v>1733.4926197689599</v>
      </c>
      <c r="K249" s="9">
        <f t="shared" si="24"/>
        <v>450.15798848087002</v>
      </c>
      <c r="L249" s="10">
        <f t="shared" si="21"/>
        <v>0.25968266801208945</v>
      </c>
      <c r="M249" s="10">
        <f t="shared" si="28"/>
        <v>0.37225579738258679</v>
      </c>
      <c r="P249" s="8">
        <f t="shared" si="29"/>
        <v>73.795840605267287</v>
      </c>
    </row>
    <row r="250" spans="1:16" x14ac:dyDescent="0.2">
      <c r="A250" s="8">
        <v>124</v>
      </c>
      <c r="B250" s="8">
        <v>248</v>
      </c>
      <c r="D250">
        <v>1907.3518367347001</v>
      </c>
      <c r="E250">
        <v>579.07673469387998</v>
      </c>
      <c r="F250">
        <v>158.22920065253001</v>
      </c>
      <c r="G250">
        <v>126.86133768352001</v>
      </c>
      <c r="I250" s="9">
        <f t="shared" si="26"/>
        <v>452.21539701035999</v>
      </c>
      <c r="J250" s="9">
        <f t="shared" si="27"/>
        <v>1749.1226360821702</v>
      </c>
      <c r="K250" s="9">
        <f t="shared" si="24"/>
        <v>452.21539701035999</v>
      </c>
      <c r="L250" s="10">
        <f t="shared" si="21"/>
        <v>0.25853841673632988</v>
      </c>
      <c r="M250" s="10">
        <f t="shared" si="28"/>
        <v>0.37156730776419766</v>
      </c>
      <c r="P250" s="8">
        <f t="shared" si="29"/>
        <v>73.474404021022607</v>
      </c>
    </row>
    <row r="251" spans="1:16" x14ac:dyDescent="0.2">
      <c r="A251" s="8">
        <v>124.5</v>
      </c>
      <c r="B251" s="8">
        <v>249</v>
      </c>
      <c r="D251">
        <v>1915.1436734694</v>
      </c>
      <c r="E251">
        <v>573.68571428570999</v>
      </c>
      <c r="F251">
        <v>158.46655791191</v>
      </c>
      <c r="G251">
        <v>126.49918433932</v>
      </c>
      <c r="I251" s="9">
        <f t="shared" si="26"/>
        <v>447.18652994639001</v>
      </c>
      <c r="J251" s="9">
        <f t="shared" si="27"/>
        <v>1756.67711555749</v>
      </c>
      <c r="K251" s="9">
        <f t="shared" si="24"/>
        <v>447.18652994639001</v>
      </c>
      <c r="L251" s="10">
        <f t="shared" si="21"/>
        <v>0.25456387288592486</v>
      </c>
      <c r="M251" s="10">
        <f t="shared" si="28"/>
        <v>0.36804852557116308</v>
      </c>
      <c r="P251" s="8">
        <f t="shared" si="29"/>
        <v>71.831582838799974</v>
      </c>
    </row>
    <row r="252" spans="1:16" x14ac:dyDescent="0.2">
      <c r="A252" s="8">
        <v>125</v>
      </c>
      <c r="B252" s="8">
        <v>250</v>
      </c>
      <c r="D252">
        <v>1879.7020408163</v>
      </c>
      <c r="E252">
        <v>584.22612244898005</v>
      </c>
      <c r="F252">
        <v>158.04241435563</v>
      </c>
      <c r="G252">
        <v>126.69657422512</v>
      </c>
      <c r="I252" s="9">
        <f t="shared" si="26"/>
        <v>457.52954822386005</v>
      </c>
      <c r="J252" s="9">
        <f t="shared" si="27"/>
        <v>1721.6596264606701</v>
      </c>
      <c r="K252" s="9">
        <f t="shared" si="24"/>
        <v>457.52954822386005</v>
      </c>
      <c r="L252" s="10">
        <f t="shared" si="21"/>
        <v>0.26574913019505131</v>
      </c>
      <c r="M252" s="10">
        <f t="shared" si="28"/>
        <v>0.37968954453765996</v>
      </c>
      <c r="P252" s="8">
        <f t="shared" si="29"/>
        <v>77.266449645467532</v>
      </c>
    </row>
    <row r="253" spans="1:16" x14ac:dyDescent="0.2">
      <c r="A253" s="8">
        <v>125.5</v>
      </c>
      <c r="B253" s="8">
        <v>251</v>
      </c>
      <c r="D253">
        <v>1856.6922448979999</v>
      </c>
      <c r="E253">
        <v>585.39102040815999</v>
      </c>
      <c r="F253">
        <v>157.95106035889</v>
      </c>
      <c r="G253">
        <v>126.67047308319999</v>
      </c>
      <c r="I253" s="9">
        <f t="shared" si="26"/>
        <v>458.72054732495997</v>
      </c>
      <c r="J253" s="9">
        <f t="shared" si="27"/>
        <v>1698.7411845391098</v>
      </c>
      <c r="K253" s="9">
        <f t="shared" si="24"/>
        <v>458.72054732495997</v>
      </c>
      <c r="L253" s="10">
        <f t="shared" si="21"/>
        <v>0.27003557192817262</v>
      </c>
      <c r="M253" s="10">
        <f t="shared" si="28"/>
        <v>0.38443174792815171</v>
      </c>
      <c r="P253" s="8">
        <f t="shared" si="29"/>
        <v>79.480452034057919</v>
      </c>
    </row>
    <row r="254" spans="1:16" x14ac:dyDescent="0.2">
      <c r="A254" s="8">
        <v>126</v>
      </c>
      <c r="B254" s="8">
        <v>252</v>
      </c>
      <c r="D254">
        <v>1876.7624489796001</v>
      </c>
      <c r="E254">
        <v>593.34285714286</v>
      </c>
      <c r="F254">
        <v>158.19494290374999</v>
      </c>
      <c r="G254">
        <v>126.16068515498</v>
      </c>
      <c r="I254" s="9">
        <f t="shared" si="26"/>
        <v>467.18217198788</v>
      </c>
      <c r="J254" s="9">
        <f t="shared" si="27"/>
        <v>1718.5675060758501</v>
      </c>
      <c r="K254" s="9">
        <f t="shared" si="24"/>
        <v>467.18217198788</v>
      </c>
      <c r="L254" s="10">
        <f t="shared" si="21"/>
        <v>0.27184394580730575</v>
      </c>
      <c r="M254" s="10">
        <f t="shared" si="28"/>
        <v>0.38669588346465528</v>
      </c>
      <c r="P254" s="8">
        <f t="shared" si="29"/>
        <v>80.537513714702413</v>
      </c>
    </row>
    <row r="255" spans="1:16" x14ac:dyDescent="0.2">
      <c r="A255" s="8">
        <v>126.5</v>
      </c>
      <c r="B255" s="8">
        <v>253</v>
      </c>
      <c r="D255">
        <v>1921.5534693878001</v>
      </c>
      <c r="E255">
        <v>590.72653061225003</v>
      </c>
      <c r="F255">
        <v>157.75856443718999</v>
      </c>
      <c r="G255">
        <v>126.65986949429001</v>
      </c>
      <c r="I255" s="9">
        <f t="shared" si="26"/>
        <v>464.06666111796005</v>
      </c>
      <c r="J255" s="9">
        <f t="shared" si="27"/>
        <v>1763.7949049506101</v>
      </c>
      <c r="K255" s="9">
        <f t="shared" si="24"/>
        <v>464.06666111796005</v>
      </c>
      <c r="L255" s="10">
        <f t="shared" si="21"/>
        <v>0.26310692916473466</v>
      </c>
      <c r="M255" s="10">
        <f t="shared" si="28"/>
        <v>0.37841462847945462</v>
      </c>
      <c r="P255" s="8">
        <f t="shared" si="29"/>
        <v>76.671226926050153</v>
      </c>
    </row>
    <row r="256" spans="1:16" x14ac:dyDescent="0.2">
      <c r="A256" s="8">
        <v>127</v>
      </c>
      <c r="B256" s="8">
        <v>254</v>
      </c>
      <c r="D256">
        <v>1934.4620408163</v>
      </c>
      <c r="E256">
        <v>594.09551020408003</v>
      </c>
      <c r="F256">
        <v>157.45513866232</v>
      </c>
      <c r="G256">
        <v>126.59624796084999</v>
      </c>
      <c r="I256" s="9">
        <f t="shared" si="26"/>
        <v>467.49926224323002</v>
      </c>
      <c r="J256" s="9">
        <f t="shared" si="27"/>
        <v>1777.00690215398</v>
      </c>
      <c r="K256" s="9">
        <f t="shared" si="24"/>
        <v>467.49926224323002</v>
      </c>
      <c r="L256" s="10">
        <f t="shared" si="21"/>
        <v>0.2630824121597703</v>
      </c>
      <c r="M256" s="10">
        <f t="shared" si="28"/>
        <v>0.37884587313186069</v>
      </c>
      <c r="P256" s="8">
        <f t="shared" si="29"/>
        <v>76.872563016443948</v>
      </c>
    </row>
    <row r="257" spans="1:16" x14ac:dyDescent="0.2">
      <c r="A257" s="8">
        <v>127.5</v>
      </c>
      <c r="B257" s="8">
        <v>255</v>
      </c>
      <c r="D257">
        <v>1903.3689795918001</v>
      </c>
      <c r="E257">
        <v>577.29142857142995</v>
      </c>
      <c r="F257">
        <v>158.13784665579001</v>
      </c>
      <c r="G257">
        <v>126.40701468189</v>
      </c>
      <c r="I257" s="9">
        <f t="shared" si="26"/>
        <v>450.88441388953993</v>
      </c>
      <c r="J257" s="9">
        <f t="shared" si="27"/>
        <v>1745.23113293601</v>
      </c>
      <c r="K257" s="9">
        <f t="shared" si="24"/>
        <v>450.88441388953993</v>
      </c>
      <c r="L257" s="10">
        <f t="shared" si="21"/>
        <v>0.25835226370905673</v>
      </c>
      <c r="M257" s="10">
        <f t="shared" si="28"/>
        <v>0.37457148633851756</v>
      </c>
      <c r="P257" s="8">
        <f t="shared" si="29"/>
        <v>74.87697113837406</v>
      </c>
    </row>
    <row r="258" spans="1:16" x14ac:dyDescent="0.2">
      <c r="A258" s="8">
        <v>128</v>
      </c>
      <c r="B258" s="8">
        <v>256</v>
      </c>
      <c r="D258">
        <v>1896.9224489795999</v>
      </c>
      <c r="E258">
        <v>566.14857142856999</v>
      </c>
      <c r="F258">
        <v>158.23572593801001</v>
      </c>
      <c r="G258">
        <v>126.78548123980001</v>
      </c>
      <c r="I258" s="9">
        <f t="shared" si="26"/>
        <v>439.36309018877</v>
      </c>
      <c r="J258" s="9">
        <f t="shared" si="27"/>
        <v>1738.6867230415899</v>
      </c>
      <c r="K258" s="9">
        <f t="shared" si="24"/>
        <v>439.36309018877</v>
      </c>
      <c r="L258" s="10">
        <f t="shared" ref="L258:L321" si="30">K258/J258</f>
        <v>0.25269824883701048</v>
      </c>
      <c r="M258" s="10">
        <f t="shared" si="28"/>
        <v>0.36937323312384174</v>
      </c>
      <c r="P258" s="8">
        <f t="shared" si="29"/>
        <v>72.45005181710124</v>
      </c>
    </row>
    <row r="259" spans="1:16" x14ac:dyDescent="0.2">
      <c r="A259" s="8">
        <v>128.5</v>
      </c>
      <c r="B259" s="8">
        <v>257</v>
      </c>
      <c r="D259">
        <v>1876.9012244897999</v>
      </c>
      <c r="E259">
        <v>575.09795918367001</v>
      </c>
      <c r="F259">
        <v>157.86296900489</v>
      </c>
      <c r="G259">
        <v>126.25774877651</v>
      </c>
      <c r="I259" s="9">
        <f t="shared" si="26"/>
        <v>448.84021040716004</v>
      </c>
      <c r="J259" s="9">
        <f t="shared" si="27"/>
        <v>1719.03825548491</v>
      </c>
      <c r="K259" s="9">
        <f t="shared" ref="K259:K321" si="31">I259*1</f>
        <v>448.84021040716004</v>
      </c>
      <c r="L259" s="10">
        <f t="shared" si="30"/>
        <v>0.26109960553527661</v>
      </c>
      <c r="M259" s="10">
        <f t="shared" si="28"/>
        <v>0.37823035147947831</v>
      </c>
      <c r="P259" s="8">
        <f t="shared" si="29"/>
        <v>76.585193138691338</v>
      </c>
    </row>
    <row r="260" spans="1:16" x14ac:dyDescent="0.2">
      <c r="A260" s="8">
        <v>129</v>
      </c>
      <c r="B260" s="8">
        <v>258</v>
      </c>
      <c r="D260">
        <v>1900.0783673469</v>
      </c>
      <c r="E260">
        <v>567.50040816326998</v>
      </c>
      <c r="F260">
        <v>158.07177814029001</v>
      </c>
      <c r="G260">
        <v>126.18923327896</v>
      </c>
      <c r="I260" s="9">
        <f t="shared" si="26"/>
        <v>441.31117488430999</v>
      </c>
      <c r="J260" s="9">
        <f t="shared" si="27"/>
        <v>1742.00658920661</v>
      </c>
      <c r="K260" s="9">
        <f t="shared" si="31"/>
        <v>441.31117488430999</v>
      </c>
      <c r="L260" s="10">
        <f t="shared" si="30"/>
        <v>0.25333496303553216</v>
      </c>
      <c r="M260" s="10">
        <f t="shared" si="28"/>
        <v>0.37092147063710429</v>
      </c>
      <c r="P260" s="8">
        <f t="shared" si="29"/>
        <v>73.172880694357204</v>
      </c>
    </row>
    <row r="261" spans="1:16" x14ac:dyDescent="0.2">
      <c r="A261" s="8">
        <v>129.5</v>
      </c>
      <c r="B261" s="8">
        <v>259</v>
      </c>
      <c r="D261">
        <v>1900.2073469387999</v>
      </c>
      <c r="E261">
        <v>571.79102040815997</v>
      </c>
      <c r="F261">
        <v>158.23001631321</v>
      </c>
      <c r="G261">
        <v>126.78955954323</v>
      </c>
      <c r="I261" s="9">
        <f t="shared" si="26"/>
        <v>445.00146086492998</v>
      </c>
      <c r="J261" s="9">
        <f t="shared" si="27"/>
        <v>1741.97733062559</v>
      </c>
      <c r="K261" s="9">
        <f t="shared" si="31"/>
        <v>445.00146086492998</v>
      </c>
      <c r="L261" s="10">
        <f t="shared" si="30"/>
        <v>0.25545766471319015</v>
      </c>
      <c r="M261" s="10">
        <f t="shared" si="28"/>
        <v>0.37349993397213271</v>
      </c>
      <c r="P261" s="8">
        <f t="shared" si="29"/>
        <v>74.376693249949355</v>
      </c>
    </row>
    <row r="262" spans="1:16" x14ac:dyDescent="0.2">
      <c r="A262" s="8">
        <v>130</v>
      </c>
      <c r="B262" s="8">
        <v>260</v>
      </c>
      <c r="D262">
        <v>1882.12</v>
      </c>
      <c r="E262">
        <v>570.93632653061002</v>
      </c>
      <c r="F262">
        <v>158.68923327895999</v>
      </c>
      <c r="G262">
        <v>126.46737357259001</v>
      </c>
      <c r="I262" s="9">
        <f t="shared" si="26"/>
        <v>444.46895295802</v>
      </c>
      <c r="J262" s="9">
        <f t="shared" si="27"/>
        <v>1723.4307667210398</v>
      </c>
      <c r="K262" s="9">
        <f t="shared" si="31"/>
        <v>444.46895295802</v>
      </c>
      <c r="L262" s="10">
        <f t="shared" si="30"/>
        <v>0.25789777085368881</v>
      </c>
      <c r="M262" s="10">
        <f t="shared" si="28"/>
        <v>0.37639580177000181</v>
      </c>
      <c r="P262" s="8">
        <f t="shared" si="29"/>
        <v>75.728693089175835</v>
      </c>
    </row>
    <row r="263" spans="1:16" x14ac:dyDescent="0.2">
      <c r="A263" s="8">
        <v>130.5</v>
      </c>
      <c r="B263" s="8">
        <v>261</v>
      </c>
      <c r="D263">
        <v>1887.8236734694001</v>
      </c>
      <c r="E263">
        <v>564.40816326531001</v>
      </c>
      <c r="F263">
        <v>158.29853181076999</v>
      </c>
      <c r="G263">
        <v>126.92659053833999</v>
      </c>
      <c r="I263" s="9">
        <f t="shared" si="26"/>
        <v>437.48157272697</v>
      </c>
      <c r="J263" s="9">
        <f t="shared" si="27"/>
        <v>1729.5251416586302</v>
      </c>
      <c r="K263" s="9">
        <f t="shared" si="31"/>
        <v>437.48157272697</v>
      </c>
      <c r="L263" s="10">
        <f t="shared" si="30"/>
        <v>0.2529489523970847</v>
      </c>
      <c r="M263" s="10">
        <f t="shared" si="28"/>
        <v>0.37190274497076814</v>
      </c>
      <c r="P263" s="8">
        <f t="shared" si="29"/>
        <v>73.631010289336231</v>
      </c>
    </row>
    <row r="264" spans="1:16" x14ac:dyDescent="0.2">
      <c r="A264" s="8">
        <v>131</v>
      </c>
      <c r="B264" s="8">
        <v>262</v>
      </c>
      <c r="D264">
        <v>1880.5591836735</v>
      </c>
      <c r="E264">
        <v>571.15020408163002</v>
      </c>
      <c r="F264">
        <v>158.34094616639999</v>
      </c>
      <c r="G264">
        <v>126.38580750408001</v>
      </c>
      <c r="I264" s="9">
        <f t="shared" si="26"/>
        <v>444.76439657755003</v>
      </c>
      <c r="J264" s="9">
        <f t="shared" si="27"/>
        <v>1722.2182375071</v>
      </c>
      <c r="K264" s="9">
        <f t="shared" si="31"/>
        <v>444.76439657755003</v>
      </c>
      <c r="L264" s="10">
        <f t="shared" si="30"/>
        <v>0.25825089230348858</v>
      </c>
      <c r="M264" s="10">
        <f t="shared" si="28"/>
        <v>0.37766044653454245</v>
      </c>
      <c r="P264" s="8">
        <f t="shared" si="29"/>
        <v>76.319120428295278</v>
      </c>
    </row>
    <row r="265" spans="1:16" x14ac:dyDescent="0.2">
      <c r="A265" s="8">
        <v>131.5</v>
      </c>
      <c r="B265" s="8">
        <v>263</v>
      </c>
      <c r="D265">
        <v>1898.2097959184</v>
      </c>
      <c r="E265">
        <v>576.71755102041004</v>
      </c>
      <c r="F265">
        <v>158.13621533442</v>
      </c>
      <c r="G265">
        <v>126.94127243067</v>
      </c>
      <c r="I265" s="9">
        <f t="shared" si="26"/>
        <v>449.77627858974006</v>
      </c>
      <c r="J265" s="9">
        <f t="shared" si="27"/>
        <v>1740.0735805839799</v>
      </c>
      <c r="K265" s="9">
        <f t="shared" si="31"/>
        <v>449.77627858974006</v>
      </c>
      <c r="L265" s="10">
        <f t="shared" si="30"/>
        <v>0.25848118355937122</v>
      </c>
      <c r="M265" s="10">
        <f t="shared" si="28"/>
        <v>0.37834649944779553</v>
      </c>
      <c r="P265" s="8">
        <f t="shared" si="29"/>
        <v>76.639419382930413</v>
      </c>
    </row>
    <row r="266" spans="1:16" x14ac:dyDescent="0.2">
      <c r="A266" s="8">
        <v>132</v>
      </c>
      <c r="B266" s="8">
        <v>264</v>
      </c>
      <c r="D266">
        <v>1873.1959183674001</v>
      </c>
      <c r="E266">
        <v>599.28571428571001</v>
      </c>
      <c r="F266">
        <v>158.01468189233</v>
      </c>
      <c r="G266">
        <v>126.57422512235</v>
      </c>
      <c r="I266" s="9">
        <f t="shared" si="26"/>
        <v>472.71148916336</v>
      </c>
      <c r="J266" s="9">
        <f t="shared" si="27"/>
        <v>1715.1812364750701</v>
      </c>
      <c r="K266" s="9">
        <f t="shared" si="31"/>
        <v>472.71148916336</v>
      </c>
      <c r="L266" s="10">
        <f t="shared" si="30"/>
        <v>0.27560439626476219</v>
      </c>
      <c r="M266" s="10">
        <f t="shared" si="28"/>
        <v>0.39592547381055693</v>
      </c>
      <c r="P266" s="8">
        <f t="shared" si="29"/>
        <v>84.846551811319756</v>
      </c>
    </row>
    <row r="267" spans="1:16" x14ac:dyDescent="0.2">
      <c r="A267" s="8">
        <v>132.5</v>
      </c>
      <c r="B267" s="8">
        <v>265</v>
      </c>
      <c r="D267">
        <v>1865.4293877550999</v>
      </c>
      <c r="E267">
        <v>613.10775510203996</v>
      </c>
      <c r="F267">
        <v>158.28955954323001</v>
      </c>
      <c r="G267">
        <v>126.81239804241</v>
      </c>
      <c r="I267" s="9">
        <f t="shared" si="26"/>
        <v>486.29535705962996</v>
      </c>
      <c r="J267" s="9">
        <f t="shared" si="27"/>
        <v>1707.1398282118698</v>
      </c>
      <c r="K267" s="9">
        <f t="shared" si="31"/>
        <v>486.29535705962996</v>
      </c>
      <c r="L267" s="10">
        <f t="shared" si="30"/>
        <v>0.28485971038997798</v>
      </c>
      <c r="M267" s="10">
        <f t="shared" si="28"/>
        <v>0.40563654959314316</v>
      </c>
      <c r="P267" s="8">
        <f t="shared" si="29"/>
        <v>89.380382018083324</v>
      </c>
    </row>
    <row r="268" spans="1:16" x14ac:dyDescent="0.2">
      <c r="A268" s="8">
        <v>133</v>
      </c>
      <c r="B268" s="8">
        <v>266</v>
      </c>
      <c r="D268">
        <v>1883.0832653061</v>
      </c>
      <c r="E268">
        <v>620.77795918366996</v>
      </c>
      <c r="F268">
        <v>158.31402936379001</v>
      </c>
      <c r="G268">
        <v>126.32137030995</v>
      </c>
      <c r="I268" s="9">
        <f t="shared" si="26"/>
        <v>494.45658887371997</v>
      </c>
      <c r="J268" s="9">
        <f t="shared" si="27"/>
        <v>1724.7692359423099</v>
      </c>
      <c r="K268" s="9">
        <f t="shared" si="31"/>
        <v>494.45658887371997</v>
      </c>
      <c r="L268" s="10">
        <f t="shared" si="30"/>
        <v>0.28667985175627203</v>
      </c>
      <c r="M268" s="10">
        <f t="shared" si="28"/>
        <v>0.40791245261680764</v>
      </c>
      <c r="P268" s="8">
        <f t="shared" si="29"/>
        <v>90.442937610004208</v>
      </c>
    </row>
    <row r="269" spans="1:16" x14ac:dyDescent="0.2">
      <c r="A269" s="8">
        <v>133.5</v>
      </c>
      <c r="B269" s="8">
        <v>267</v>
      </c>
      <c r="D269">
        <v>1943.1681632653001</v>
      </c>
      <c r="E269">
        <v>622.38122448980005</v>
      </c>
      <c r="F269">
        <v>158.09706362153</v>
      </c>
      <c r="G269">
        <v>126.56525285481</v>
      </c>
      <c r="I269" s="9">
        <f t="shared" si="26"/>
        <v>495.81597163499003</v>
      </c>
      <c r="J269" s="9">
        <f t="shared" si="27"/>
        <v>1785.0710996437701</v>
      </c>
      <c r="K269" s="9">
        <f t="shared" si="31"/>
        <v>495.81597163499003</v>
      </c>
      <c r="L269" s="10">
        <f t="shared" si="30"/>
        <v>0.27775698779389535</v>
      </c>
      <c r="M269" s="10">
        <f t="shared" si="28"/>
        <v>0.39944535031180139</v>
      </c>
      <c r="P269" s="8">
        <f t="shared" si="29"/>
        <v>86.489883895498949</v>
      </c>
    </row>
    <row r="270" spans="1:16" x14ac:dyDescent="0.2">
      <c r="A270" s="8">
        <v>134</v>
      </c>
      <c r="B270" s="8">
        <v>268</v>
      </c>
      <c r="D270">
        <v>1932.9248979592001</v>
      </c>
      <c r="E270">
        <v>600.43591836735004</v>
      </c>
      <c r="F270">
        <v>158.03017944535</v>
      </c>
      <c r="G270">
        <v>126.51549755302</v>
      </c>
      <c r="I270" s="9">
        <f t="shared" si="26"/>
        <v>473.92042081433004</v>
      </c>
      <c r="J270" s="9">
        <f t="shared" si="27"/>
        <v>1774.89471851385</v>
      </c>
      <c r="K270" s="9">
        <f t="shared" si="31"/>
        <v>473.92042081433004</v>
      </c>
      <c r="L270" s="10">
        <f t="shared" si="30"/>
        <v>0.26701325767150391</v>
      </c>
      <c r="M270" s="10">
        <f t="shared" si="28"/>
        <v>0.38915738184678039</v>
      </c>
      <c r="P270" s="8">
        <f t="shared" si="29"/>
        <v>81.686718598757636</v>
      </c>
    </row>
    <row r="271" spans="1:16" x14ac:dyDescent="0.2">
      <c r="A271" s="8">
        <v>134.5</v>
      </c>
      <c r="B271" s="8">
        <v>269</v>
      </c>
      <c r="D271">
        <v>1889.1722448979999</v>
      </c>
      <c r="E271">
        <v>607.56326530612</v>
      </c>
      <c r="F271">
        <v>158.33849918434001</v>
      </c>
      <c r="G271">
        <v>126.61990212072</v>
      </c>
      <c r="I271" s="9">
        <f t="shared" si="26"/>
        <v>480.94336318540002</v>
      </c>
      <c r="J271" s="9">
        <f t="shared" si="27"/>
        <v>1730.8337457136599</v>
      </c>
      <c r="K271" s="9">
        <f t="shared" si="31"/>
        <v>480.94336318540002</v>
      </c>
      <c r="L271" s="10">
        <f t="shared" si="30"/>
        <v>0.27786803000371174</v>
      </c>
      <c r="M271" s="10">
        <f t="shared" si="28"/>
        <v>0.40046791583635866</v>
      </c>
      <c r="P271" s="8">
        <f t="shared" si="29"/>
        <v>86.967291194898905</v>
      </c>
    </row>
    <row r="272" spans="1:16" x14ac:dyDescent="0.2">
      <c r="A272" s="8">
        <v>135</v>
      </c>
      <c r="B272" s="8">
        <v>270</v>
      </c>
      <c r="D272">
        <v>1905.4359183674001</v>
      </c>
      <c r="E272">
        <v>587.81306122448996</v>
      </c>
      <c r="F272">
        <v>158.07422512234999</v>
      </c>
      <c r="G272">
        <v>126.69820554649</v>
      </c>
      <c r="I272" s="9">
        <f t="shared" si="26"/>
        <v>461.11485567799997</v>
      </c>
      <c r="J272" s="9">
        <f t="shared" si="27"/>
        <v>1747.36169324505</v>
      </c>
      <c r="K272" s="9">
        <f t="shared" si="31"/>
        <v>461.11485567799997</v>
      </c>
      <c r="L272" s="10">
        <f t="shared" si="30"/>
        <v>0.26389204791462328</v>
      </c>
      <c r="M272" s="10">
        <f t="shared" si="28"/>
        <v>0.38694769540464063</v>
      </c>
      <c r="P272" s="8">
        <f t="shared" si="29"/>
        <v>80.655077680373083</v>
      </c>
    </row>
    <row r="273" spans="1:16" x14ac:dyDescent="0.2">
      <c r="A273" s="8">
        <v>135.5</v>
      </c>
      <c r="B273" s="8">
        <v>271</v>
      </c>
      <c r="D273">
        <v>1885.8742857143</v>
      </c>
      <c r="E273">
        <v>571.65551020407997</v>
      </c>
      <c r="F273">
        <v>158.17292006525</v>
      </c>
      <c r="G273">
        <v>126.8189233279</v>
      </c>
      <c r="I273" s="9">
        <f t="shared" si="26"/>
        <v>444.83658687617998</v>
      </c>
      <c r="J273" s="9">
        <f t="shared" si="27"/>
        <v>1727.7013656490499</v>
      </c>
      <c r="K273" s="9">
        <f t="shared" si="31"/>
        <v>444.83658687617998</v>
      </c>
      <c r="L273" s="10">
        <f t="shared" si="30"/>
        <v>0.25747307707259182</v>
      </c>
      <c r="M273" s="10">
        <f t="shared" si="28"/>
        <v>0.3809844862199796</v>
      </c>
      <c r="P273" s="8">
        <f t="shared" si="29"/>
        <v>77.871021769786225</v>
      </c>
    </row>
    <row r="274" spans="1:16" x14ac:dyDescent="0.2">
      <c r="A274" s="8">
        <v>136</v>
      </c>
      <c r="B274" s="8">
        <v>272</v>
      </c>
      <c r="D274">
        <v>1854.6995918366999</v>
      </c>
      <c r="E274">
        <v>587.07346938776004</v>
      </c>
      <c r="F274">
        <v>157.89314845025001</v>
      </c>
      <c r="G274">
        <v>126.39151712887001</v>
      </c>
      <c r="I274" s="9">
        <f t="shared" si="26"/>
        <v>460.68195225889002</v>
      </c>
      <c r="J274" s="9">
        <f t="shared" si="27"/>
        <v>1696.8064433864499</v>
      </c>
      <c r="K274" s="9">
        <f t="shared" si="31"/>
        <v>460.68195225889002</v>
      </c>
      <c r="L274" s="10">
        <f t="shared" si="30"/>
        <v>0.2714994123545823</v>
      </c>
      <c r="M274" s="10">
        <f t="shared" si="28"/>
        <v>0.39546658315934052</v>
      </c>
      <c r="P274" s="8">
        <f t="shared" si="29"/>
        <v>84.632308575795108</v>
      </c>
    </row>
    <row r="275" spans="1:16" x14ac:dyDescent="0.2">
      <c r="A275" s="8">
        <v>136.5</v>
      </c>
      <c r="B275" s="8">
        <v>273</v>
      </c>
      <c r="D275">
        <v>1870.1951020408001</v>
      </c>
      <c r="E275">
        <v>594.16244897958995</v>
      </c>
      <c r="F275">
        <v>157.57259380098</v>
      </c>
      <c r="G275">
        <v>125.73491027733</v>
      </c>
      <c r="I275" s="9">
        <f>E275-G275</f>
        <v>468.42753870225994</v>
      </c>
      <c r="J275" s="9">
        <f>D275-F275</f>
        <v>1712.62250823982</v>
      </c>
      <c r="K275" s="9">
        <f t="shared" si="31"/>
        <v>468.42753870225994</v>
      </c>
      <c r="L275" s="10">
        <f t="shared" si="30"/>
        <v>0.27351476256358159</v>
      </c>
      <c r="M275" s="10">
        <f>L275+ABS($N$2)*A275</f>
        <v>0.39793769502571025</v>
      </c>
      <c r="O275" s="11"/>
      <c r="P275" s="8">
        <f>(M275-$O$2)/$O$2*100</f>
        <v>85.786001727292202</v>
      </c>
    </row>
    <row r="276" spans="1:16" x14ac:dyDescent="0.2">
      <c r="A276" s="8">
        <v>137</v>
      </c>
      <c r="B276" s="8">
        <v>274</v>
      </c>
      <c r="D276">
        <v>1890.8832653060999</v>
      </c>
      <c r="E276">
        <v>596.20571428570997</v>
      </c>
      <c r="F276">
        <v>158.06443719412999</v>
      </c>
      <c r="G276">
        <v>126.55057096247999</v>
      </c>
      <c r="I276" s="9">
        <f t="shared" ref="I276:I291" si="32">E276-G276</f>
        <v>469.65514332322999</v>
      </c>
      <c r="J276" s="9">
        <f t="shared" ref="J276:J291" si="33">D276-F276</f>
        <v>1732.8188281119699</v>
      </c>
      <c r="K276" s="9">
        <f t="shared" si="31"/>
        <v>469.65514332322999</v>
      </c>
      <c r="L276" s="10">
        <f t="shared" si="30"/>
        <v>0.27103534178177929</v>
      </c>
      <c r="M276" s="10">
        <f t="shared" ref="M276:M291" si="34">L276+ABS($N$2)*A276</f>
        <v>0.39591403590127838</v>
      </c>
      <c r="P276" s="8">
        <f t="shared" ref="P276:P291" si="35">(M276-$O$2)/$O$2*100</f>
        <v>84.841211770756772</v>
      </c>
    </row>
    <row r="277" spans="1:16" x14ac:dyDescent="0.2">
      <c r="A277" s="8">
        <v>137.5</v>
      </c>
      <c r="B277" s="8">
        <v>275</v>
      </c>
      <c r="D277">
        <v>1876.7363265306001</v>
      </c>
      <c r="E277">
        <v>593.90448979591997</v>
      </c>
      <c r="F277">
        <v>159.37357259379999</v>
      </c>
      <c r="G277">
        <v>126.60277324633</v>
      </c>
      <c r="I277" s="9">
        <f t="shared" si="32"/>
        <v>467.30171654958997</v>
      </c>
      <c r="J277" s="9">
        <f t="shared" si="33"/>
        <v>1717.3627539368001</v>
      </c>
      <c r="K277" s="9">
        <f t="shared" si="31"/>
        <v>467.30171654958997</v>
      </c>
      <c r="L277" s="10">
        <f t="shared" si="30"/>
        <v>0.27210425722717574</v>
      </c>
      <c r="M277" s="10">
        <f t="shared" si="34"/>
        <v>0.39743871300404526</v>
      </c>
      <c r="N277" s="1"/>
      <c r="P277" s="8">
        <f t="shared" si="35"/>
        <v>85.553040950020403</v>
      </c>
    </row>
    <row r="278" spans="1:16" x14ac:dyDescent="0.2">
      <c r="A278" s="8">
        <v>138</v>
      </c>
      <c r="B278" s="8">
        <v>276</v>
      </c>
      <c r="D278">
        <v>1857.4906122448999</v>
      </c>
      <c r="E278">
        <v>621.25306122449001</v>
      </c>
      <c r="F278">
        <v>158.12969004894001</v>
      </c>
      <c r="G278">
        <v>126.58319738989</v>
      </c>
      <c r="I278" s="9">
        <f t="shared" si="32"/>
        <v>494.66986383459999</v>
      </c>
      <c r="J278" s="9">
        <f t="shared" si="33"/>
        <v>1699.36092219596</v>
      </c>
      <c r="K278" s="9">
        <f t="shared" si="31"/>
        <v>494.66986383459999</v>
      </c>
      <c r="L278" s="10">
        <f t="shared" si="30"/>
        <v>0.29109170240032012</v>
      </c>
      <c r="M278" s="10">
        <f t="shared" si="34"/>
        <v>0.41688191983456008</v>
      </c>
      <c r="P278" s="8">
        <f t="shared" si="35"/>
        <v>94.630531479196677</v>
      </c>
    </row>
    <row r="279" spans="1:16" x14ac:dyDescent="0.2">
      <c r="A279" s="8">
        <v>138.5</v>
      </c>
      <c r="B279" s="8">
        <v>277</v>
      </c>
      <c r="D279">
        <v>1868.2906122449001</v>
      </c>
      <c r="E279">
        <v>612.54693877550994</v>
      </c>
      <c r="F279">
        <v>158.03588907015001</v>
      </c>
      <c r="G279">
        <v>126.57177814028999</v>
      </c>
      <c r="I279" s="9">
        <f t="shared" si="32"/>
        <v>485.97516063521994</v>
      </c>
      <c r="J279" s="9">
        <f t="shared" si="33"/>
        <v>1710.2547231747501</v>
      </c>
      <c r="K279" s="9">
        <f t="shared" si="31"/>
        <v>485.97516063521994</v>
      </c>
      <c r="L279" s="10">
        <f t="shared" si="30"/>
        <v>0.28415367257872737</v>
      </c>
      <c r="M279" s="10">
        <f t="shared" si="34"/>
        <v>0.41039965167033776</v>
      </c>
      <c r="P279" s="8">
        <f t="shared" si="35"/>
        <v>91.604141420126837</v>
      </c>
    </row>
    <row r="280" spans="1:16" x14ac:dyDescent="0.2">
      <c r="A280" s="8">
        <v>139</v>
      </c>
      <c r="B280" s="8">
        <v>278</v>
      </c>
      <c r="D280">
        <v>1836.3355102041</v>
      </c>
      <c r="E280">
        <v>600.34612244898005</v>
      </c>
      <c r="F280">
        <v>158.83605220228</v>
      </c>
      <c r="G280">
        <v>126.89314845025</v>
      </c>
      <c r="I280" s="9">
        <f t="shared" si="32"/>
        <v>473.45297399873004</v>
      </c>
      <c r="J280" s="9">
        <f t="shared" si="33"/>
        <v>1677.4994580018201</v>
      </c>
      <c r="K280" s="9">
        <f t="shared" si="31"/>
        <v>473.45297399873004</v>
      </c>
      <c r="L280" s="10">
        <f t="shared" si="30"/>
        <v>0.28223733351466535</v>
      </c>
      <c r="M280" s="10">
        <f t="shared" si="34"/>
        <v>0.40893907426364617</v>
      </c>
      <c r="P280" s="8">
        <f t="shared" si="35"/>
        <v>90.922238599674216</v>
      </c>
    </row>
    <row r="281" spans="1:16" x14ac:dyDescent="0.2">
      <c r="A281" s="8">
        <v>139.5</v>
      </c>
      <c r="B281" s="8">
        <v>279</v>
      </c>
      <c r="D281">
        <v>1817.1665306121999</v>
      </c>
      <c r="E281">
        <v>589.39183673468995</v>
      </c>
      <c r="F281">
        <v>159.03425774877999</v>
      </c>
      <c r="G281">
        <v>127.21778140294001</v>
      </c>
      <c r="I281" s="9">
        <f t="shared" si="32"/>
        <v>462.17405533174997</v>
      </c>
      <c r="J281" s="9">
        <f t="shared" si="33"/>
        <v>1658.13227286342</v>
      </c>
      <c r="K281" s="9">
        <f t="shared" si="31"/>
        <v>462.17405533174997</v>
      </c>
      <c r="L281" s="10">
        <f t="shared" si="30"/>
        <v>0.27873171694175158</v>
      </c>
      <c r="M281" s="10">
        <f t="shared" si="34"/>
        <v>0.40588921934810285</v>
      </c>
      <c r="P281" s="8">
        <f t="shared" si="35"/>
        <v>89.498346473620373</v>
      </c>
    </row>
    <row r="282" spans="1:16" x14ac:dyDescent="0.2">
      <c r="A282" s="8">
        <v>140</v>
      </c>
      <c r="B282" s="8">
        <v>280</v>
      </c>
      <c r="D282">
        <v>1884.3853061225</v>
      </c>
      <c r="E282">
        <v>617.71673469387997</v>
      </c>
      <c r="F282">
        <v>158.11582381728999</v>
      </c>
      <c r="G282">
        <v>127.13866231647999</v>
      </c>
      <c r="I282" s="9">
        <f t="shared" si="32"/>
        <v>490.57807237739996</v>
      </c>
      <c r="J282" s="9">
        <f t="shared" si="33"/>
        <v>1726.26948230521</v>
      </c>
      <c r="K282" s="9">
        <f t="shared" si="31"/>
        <v>490.57807237739996</v>
      </c>
      <c r="L282" s="10">
        <f t="shared" si="30"/>
        <v>0.28418394544187636</v>
      </c>
      <c r="M282" s="10">
        <f t="shared" si="34"/>
        <v>0.41179720950559806</v>
      </c>
      <c r="P282" s="8">
        <f t="shared" si="35"/>
        <v>92.256622161814008</v>
      </c>
    </row>
    <row r="283" spans="1:16" x14ac:dyDescent="0.2">
      <c r="A283" s="8">
        <v>140.5</v>
      </c>
      <c r="B283" s="8">
        <v>281</v>
      </c>
      <c r="D283">
        <v>1887.187755102</v>
      </c>
      <c r="E283">
        <v>615.22612244898005</v>
      </c>
      <c r="F283">
        <v>158.12887438825001</v>
      </c>
      <c r="G283">
        <v>126.62234910277</v>
      </c>
      <c r="I283" s="9">
        <f t="shared" si="32"/>
        <v>488.60377334621006</v>
      </c>
      <c r="J283" s="9">
        <f t="shared" si="33"/>
        <v>1729.0588807137499</v>
      </c>
      <c r="K283" s="9">
        <f t="shared" si="31"/>
        <v>488.60377334621006</v>
      </c>
      <c r="L283" s="10">
        <f t="shared" si="30"/>
        <v>0.28258365217991654</v>
      </c>
      <c r="M283" s="10">
        <f t="shared" si="34"/>
        <v>0.41065267790100868</v>
      </c>
      <c r="P283" s="8">
        <f t="shared" si="35"/>
        <v>91.722272304222756</v>
      </c>
    </row>
    <row r="284" spans="1:16" x14ac:dyDescent="0.2">
      <c r="A284" s="8">
        <v>141</v>
      </c>
      <c r="B284" s="8">
        <v>282</v>
      </c>
      <c r="D284">
        <v>1882.0587755101999</v>
      </c>
      <c r="E284">
        <v>645.13714285714002</v>
      </c>
      <c r="F284">
        <v>158.16231647634999</v>
      </c>
      <c r="G284">
        <v>126.16802610114</v>
      </c>
      <c r="I284" s="9">
        <f t="shared" si="32"/>
        <v>518.96911675600006</v>
      </c>
      <c r="J284" s="9">
        <f t="shared" si="33"/>
        <v>1723.8964590338499</v>
      </c>
      <c r="K284" s="9">
        <f t="shared" si="31"/>
        <v>518.96911675600006</v>
      </c>
      <c r="L284" s="10">
        <f t="shared" si="30"/>
        <v>0.3010442500977431</v>
      </c>
      <c r="M284" s="10">
        <f t="shared" si="34"/>
        <v>0.42956903747620567</v>
      </c>
      <c r="P284" s="8">
        <f t="shared" si="35"/>
        <v>100.55379255636818</v>
      </c>
    </row>
    <row r="285" spans="1:16" x14ac:dyDescent="0.2">
      <c r="A285" s="8">
        <v>141.5</v>
      </c>
      <c r="B285" s="8">
        <v>283</v>
      </c>
      <c r="D285">
        <v>1897.9518367347</v>
      </c>
      <c r="E285">
        <v>607.82367346938997</v>
      </c>
      <c r="F285">
        <v>157.48368678630001</v>
      </c>
      <c r="G285">
        <v>126.3515497553</v>
      </c>
      <c r="I285" s="9">
        <f t="shared" si="32"/>
        <v>481.47212371409</v>
      </c>
      <c r="J285" s="9">
        <f t="shared" si="33"/>
        <v>1740.4681499484</v>
      </c>
      <c r="K285" s="9">
        <f t="shared" si="31"/>
        <v>481.47212371409</v>
      </c>
      <c r="L285" s="10">
        <f t="shared" si="30"/>
        <v>0.27663368831447122</v>
      </c>
      <c r="M285" s="10">
        <f t="shared" si="34"/>
        <v>0.40561423735030422</v>
      </c>
      <c r="P285" s="8">
        <f t="shared" si="35"/>
        <v>89.369965054728425</v>
      </c>
    </row>
    <row r="286" spans="1:16" x14ac:dyDescent="0.2">
      <c r="A286" s="8">
        <v>142</v>
      </c>
      <c r="B286" s="8">
        <v>284</v>
      </c>
      <c r="D286">
        <v>1864.9110204082001</v>
      </c>
      <c r="E286">
        <v>592.89877551020004</v>
      </c>
      <c r="F286">
        <v>158.51876019576</v>
      </c>
      <c r="G286">
        <v>126.48613376835</v>
      </c>
      <c r="I286" s="9">
        <f t="shared" si="32"/>
        <v>466.41264174185005</v>
      </c>
      <c r="J286" s="9">
        <f t="shared" si="33"/>
        <v>1706.3922602124401</v>
      </c>
      <c r="K286" s="9">
        <f t="shared" si="31"/>
        <v>466.41264174185005</v>
      </c>
      <c r="L286" s="10">
        <f t="shared" si="30"/>
        <v>0.27333260506220491</v>
      </c>
      <c r="M286" s="10">
        <f t="shared" si="34"/>
        <v>0.40276891575540835</v>
      </c>
      <c r="P286" s="8">
        <f t="shared" si="35"/>
        <v>88.041563826717422</v>
      </c>
    </row>
    <row r="287" spans="1:16" x14ac:dyDescent="0.2">
      <c r="A287" s="8">
        <v>142.5</v>
      </c>
      <c r="B287" s="8">
        <v>285</v>
      </c>
      <c r="D287">
        <v>1855.3330612244999</v>
      </c>
      <c r="E287">
        <v>638.11918367347005</v>
      </c>
      <c r="F287">
        <v>158.10114192495999</v>
      </c>
      <c r="G287">
        <v>126.10848287112999</v>
      </c>
      <c r="I287" s="9">
        <f t="shared" si="32"/>
        <v>512.01070080234001</v>
      </c>
      <c r="J287" s="9">
        <f t="shared" si="33"/>
        <v>1697.2319192995399</v>
      </c>
      <c r="K287" s="9">
        <f t="shared" si="31"/>
        <v>512.01070080234001</v>
      </c>
      <c r="L287" s="10">
        <f t="shared" si="30"/>
        <v>0.30167397571314275</v>
      </c>
      <c r="M287" s="10">
        <f t="shared" si="34"/>
        <v>0.43156604806371662</v>
      </c>
      <c r="P287" s="8">
        <f t="shared" si="35"/>
        <v>101.48614105488565</v>
      </c>
    </row>
    <row r="288" spans="1:16" x14ac:dyDescent="0.2">
      <c r="A288" s="8">
        <v>143</v>
      </c>
      <c r="B288" s="8">
        <v>286</v>
      </c>
      <c r="D288">
        <v>1960.1406377759999</v>
      </c>
      <c r="E288">
        <v>651.29354047423999</v>
      </c>
      <c r="F288">
        <v>157.57911908646</v>
      </c>
      <c r="G288">
        <v>126.71125611746</v>
      </c>
      <c r="I288" s="9">
        <f t="shared" si="32"/>
        <v>524.58228435677995</v>
      </c>
      <c r="J288" s="9">
        <f t="shared" si="33"/>
        <v>1802.56151868954</v>
      </c>
      <c r="K288" s="9">
        <f t="shared" si="31"/>
        <v>524.58228435677995</v>
      </c>
      <c r="L288" s="10">
        <f t="shared" si="30"/>
        <v>0.29102046111477553</v>
      </c>
      <c r="M288" s="10">
        <f t="shared" si="34"/>
        <v>0.42136829512271984</v>
      </c>
      <c r="P288" s="8">
        <f t="shared" si="35"/>
        <v>96.725094868024371</v>
      </c>
    </row>
    <row r="289" spans="1:16" x14ac:dyDescent="0.2">
      <c r="A289" s="8">
        <v>143.5</v>
      </c>
      <c r="B289" s="8">
        <v>287</v>
      </c>
      <c r="D289">
        <v>1946.0433360589</v>
      </c>
      <c r="E289">
        <v>620.44726083401997</v>
      </c>
      <c r="F289">
        <v>157.50489396411001</v>
      </c>
      <c r="G289">
        <v>126.11337683524</v>
      </c>
      <c r="I289" s="9">
        <f t="shared" si="32"/>
        <v>494.33388399877998</v>
      </c>
      <c r="J289" s="9">
        <f t="shared" si="33"/>
        <v>1788.5384420947898</v>
      </c>
      <c r="K289" s="9">
        <f t="shared" si="31"/>
        <v>494.33388399877998</v>
      </c>
      <c r="L289" s="10">
        <f t="shared" si="30"/>
        <v>0.2763898568597728</v>
      </c>
      <c r="M289" s="10">
        <f t="shared" si="34"/>
        <v>0.40719345252508754</v>
      </c>
      <c r="P289" s="8">
        <f t="shared" si="35"/>
        <v>90.107256537434296</v>
      </c>
    </row>
    <row r="290" spans="1:16" x14ac:dyDescent="0.2">
      <c r="A290" s="8">
        <v>144</v>
      </c>
      <c r="B290" s="8">
        <v>288</v>
      </c>
      <c r="D290">
        <v>1855.3262642740999</v>
      </c>
      <c r="E290">
        <v>601.95024469820999</v>
      </c>
      <c r="F290">
        <v>157.58075040783001</v>
      </c>
      <c r="G290">
        <v>125.86704730832</v>
      </c>
      <c r="I290" s="9">
        <f t="shared" si="32"/>
        <v>476.08319738988996</v>
      </c>
      <c r="J290" s="9">
        <f t="shared" si="33"/>
        <v>1697.7455138662699</v>
      </c>
      <c r="K290" s="9">
        <f t="shared" si="31"/>
        <v>476.08319738988996</v>
      </c>
      <c r="L290" s="10">
        <f t="shared" si="30"/>
        <v>0.28042082485360681</v>
      </c>
      <c r="M290" s="10">
        <f t="shared" si="34"/>
        <v>0.41168018217629199</v>
      </c>
      <c r="P290" s="8">
        <f t="shared" si="35"/>
        <v>92.201985368475817</v>
      </c>
    </row>
    <row r="291" spans="1:16" x14ac:dyDescent="0.2">
      <c r="A291" s="8">
        <v>144.5</v>
      </c>
      <c r="B291" s="8">
        <v>289</v>
      </c>
      <c r="D291">
        <v>1883.4771615008001</v>
      </c>
      <c r="E291">
        <v>618.93964110930006</v>
      </c>
      <c r="F291">
        <v>158.13621533442</v>
      </c>
      <c r="G291">
        <v>125.74551386623</v>
      </c>
      <c r="I291" s="9">
        <f t="shared" si="32"/>
        <v>493.19412724307006</v>
      </c>
      <c r="J291" s="9">
        <f t="shared" si="33"/>
        <v>1725.34094616638</v>
      </c>
      <c r="K291" s="9">
        <f t="shared" si="31"/>
        <v>493.19412724307006</v>
      </c>
      <c r="L291" s="10">
        <f t="shared" si="30"/>
        <v>0.28585314012220159</v>
      </c>
      <c r="M291" s="10">
        <f t="shared" si="34"/>
        <v>0.4175682591022572</v>
      </c>
      <c r="P291" s="8">
        <f t="shared" si="35"/>
        <v>94.950964124728415</v>
      </c>
    </row>
    <row r="292" spans="1:16" x14ac:dyDescent="0.2">
      <c r="A292" s="8">
        <v>145</v>
      </c>
      <c r="B292" s="8">
        <v>290</v>
      </c>
      <c r="D292">
        <v>1912.9820554649</v>
      </c>
      <c r="E292">
        <v>611.49836867862996</v>
      </c>
      <c r="F292">
        <v>157.54078303425999</v>
      </c>
      <c r="G292">
        <v>126.43719412724001</v>
      </c>
      <c r="I292" s="9">
        <f>E292-G292</f>
        <v>485.06117455138997</v>
      </c>
      <c r="J292" s="9">
        <f>D292-F292</f>
        <v>1755.4412724306401</v>
      </c>
      <c r="K292" s="9">
        <f t="shared" si="31"/>
        <v>485.06117455138997</v>
      </c>
      <c r="L292" s="10">
        <f t="shared" si="30"/>
        <v>0.27631865683536011</v>
      </c>
      <c r="M292" s="10">
        <f>L292+ABS($N$2)*A292</f>
        <v>0.40848953747278616</v>
      </c>
      <c r="O292" s="11"/>
      <c r="P292" s="8">
        <f>(M292-$O$2)/$O$2*100</f>
        <v>90.712362420445189</v>
      </c>
    </row>
    <row r="293" spans="1:16" x14ac:dyDescent="0.2">
      <c r="A293" s="8">
        <v>145.5</v>
      </c>
      <c r="B293" s="8">
        <v>291</v>
      </c>
      <c r="D293">
        <v>1960.1745513865999</v>
      </c>
      <c r="E293">
        <v>637.83686786297005</v>
      </c>
      <c r="F293">
        <v>157.8792822186</v>
      </c>
      <c r="G293">
        <v>126.25530179445001</v>
      </c>
      <c r="I293" s="9">
        <f t="shared" ref="I293:I301" si="36">E293-G293</f>
        <v>511.58156606852003</v>
      </c>
      <c r="J293" s="9">
        <f t="shared" ref="J293:J301" si="37">D293-F293</f>
        <v>1802.2952691679998</v>
      </c>
      <c r="K293" s="9">
        <f t="shared" si="31"/>
        <v>511.58156606852003</v>
      </c>
      <c r="L293" s="10">
        <f t="shared" si="30"/>
        <v>0.28385002991473385</v>
      </c>
      <c r="M293" s="10">
        <f t="shared" ref="M293:M301" si="38">L293+ABS($N$2)*A293</f>
        <v>0.41647667220953033</v>
      </c>
      <c r="P293" s="8">
        <f t="shared" ref="P293:P301" si="39">(M293-$O$2)/$O$2*100</f>
        <v>94.441332675200755</v>
      </c>
    </row>
    <row r="294" spans="1:16" x14ac:dyDescent="0.2">
      <c r="A294" s="8">
        <v>146</v>
      </c>
      <c r="B294" s="8">
        <v>292</v>
      </c>
      <c r="D294">
        <v>1922.9543230016</v>
      </c>
      <c r="E294">
        <v>661.11745513866003</v>
      </c>
      <c r="F294">
        <v>157.29853181076999</v>
      </c>
      <c r="G294">
        <v>126.00244698205999</v>
      </c>
      <c r="I294" s="9">
        <f t="shared" si="36"/>
        <v>535.11500815660008</v>
      </c>
      <c r="J294" s="9">
        <f t="shared" si="37"/>
        <v>1765.6557911908299</v>
      </c>
      <c r="K294" s="9">
        <f t="shared" si="31"/>
        <v>535.11500815660008</v>
      </c>
      <c r="L294" s="10">
        <f t="shared" si="30"/>
        <v>0.3030687016271143</v>
      </c>
      <c r="M294" s="10">
        <f t="shared" si="38"/>
        <v>0.43615110557928122</v>
      </c>
      <c r="N294" s="1"/>
      <c r="P294" s="8">
        <f t="shared" si="39"/>
        <v>103.62677642106122</v>
      </c>
    </row>
    <row r="295" spans="1:16" x14ac:dyDescent="0.2">
      <c r="A295" s="8">
        <v>146.5</v>
      </c>
      <c r="B295" s="8">
        <v>293</v>
      </c>
      <c r="D295">
        <v>1896.6426229507999</v>
      </c>
      <c r="E295">
        <v>647.10245901638996</v>
      </c>
      <c r="F295">
        <v>157.66476345839999</v>
      </c>
      <c r="G295">
        <v>126.05954323002</v>
      </c>
      <c r="I295" s="9">
        <f t="shared" si="36"/>
        <v>521.04291578636992</v>
      </c>
      <c r="J295" s="9">
        <f t="shared" si="37"/>
        <v>1738.9778594924001</v>
      </c>
      <c r="K295" s="9">
        <f t="shared" si="31"/>
        <v>521.04291578636992</v>
      </c>
      <c r="L295" s="10">
        <f t="shared" si="30"/>
        <v>0.29962596300016153</v>
      </c>
      <c r="M295" s="10">
        <f t="shared" si="38"/>
        <v>0.43316412860969888</v>
      </c>
      <c r="P295" s="8">
        <f t="shared" si="39"/>
        <v>102.2322402527941</v>
      </c>
    </row>
    <row r="296" spans="1:16" x14ac:dyDescent="0.2">
      <c r="A296" s="8">
        <v>147</v>
      </c>
      <c r="B296" s="8">
        <v>294</v>
      </c>
      <c r="D296">
        <v>1977.3520782395999</v>
      </c>
      <c r="E296">
        <v>696.46047269763994</v>
      </c>
      <c r="F296">
        <v>157.60114192495999</v>
      </c>
      <c r="G296">
        <v>126.54567699837</v>
      </c>
      <c r="I296" s="9">
        <f t="shared" si="36"/>
        <v>569.91479569926992</v>
      </c>
      <c r="J296" s="9">
        <f t="shared" si="37"/>
        <v>1819.7509363146398</v>
      </c>
      <c r="K296" s="9">
        <f t="shared" si="31"/>
        <v>569.91479569926992</v>
      </c>
      <c r="L296" s="10">
        <f t="shared" si="30"/>
        <v>0.31318285614044611</v>
      </c>
      <c r="M296" s="10">
        <f t="shared" si="38"/>
        <v>0.44717678340735389</v>
      </c>
      <c r="P296" s="8">
        <f t="shared" si="39"/>
        <v>108.77435762690433</v>
      </c>
    </row>
    <row r="297" spans="1:16" x14ac:dyDescent="0.2">
      <c r="A297" s="8">
        <v>147.5</v>
      </c>
      <c r="B297" s="8">
        <v>295</v>
      </c>
      <c r="D297">
        <v>1850.0399348003</v>
      </c>
      <c r="E297">
        <v>657.63732681337001</v>
      </c>
      <c r="F297">
        <v>157.88254486133999</v>
      </c>
      <c r="G297">
        <v>126.46247960848</v>
      </c>
      <c r="I297" s="9">
        <f t="shared" si="36"/>
        <v>531.17484720489006</v>
      </c>
      <c r="J297" s="9">
        <f t="shared" si="37"/>
        <v>1692.15738993896</v>
      </c>
      <c r="K297" s="9">
        <f t="shared" si="31"/>
        <v>531.17484720489006</v>
      </c>
      <c r="L297" s="10">
        <f t="shared" si="30"/>
        <v>0.31390392546407919</v>
      </c>
      <c r="M297" s="10">
        <f t="shared" si="38"/>
        <v>0.44835361438835741</v>
      </c>
      <c r="P297" s="8">
        <f t="shared" si="39"/>
        <v>109.32378716173471</v>
      </c>
    </row>
    <row r="298" spans="1:16" x14ac:dyDescent="0.2">
      <c r="A298" s="8">
        <v>148</v>
      </c>
      <c r="B298" s="8">
        <v>296</v>
      </c>
      <c r="D298">
        <v>1846.6568867156</v>
      </c>
      <c r="E298">
        <v>661.68948655256997</v>
      </c>
      <c r="F298">
        <v>157.12479608483</v>
      </c>
      <c r="G298">
        <v>126.20065252854999</v>
      </c>
      <c r="I298" s="9">
        <f t="shared" si="36"/>
        <v>535.48883402401998</v>
      </c>
      <c r="J298" s="9">
        <f t="shared" si="37"/>
        <v>1689.53209063077</v>
      </c>
      <c r="K298" s="9">
        <f t="shared" si="31"/>
        <v>535.48883402401998</v>
      </c>
      <c r="L298" s="10">
        <f t="shared" si="30"/>
        <v>0.31694505064067802</v>
      </c>
      <c r="M298" s="10">
        <f t="shared" si="38"/>
        <v>0.45185050122232667</v>
      </c>
      <c r="P298" s="8">
        <f t="shared" si="39"/>
        <v>110.95638601199941</v>
      </c>
    </row>
    <row r="299" spans="1:16" x14ac:dyDescent="0.2">
      <c r="A299" s="8">
        <v>148.5</v>
      </c>
      <c r="B299" s="8">
        <v>297</v>
      </c>
      <c r="D299">
        <v>1903.9405052975001</v>
      </c>
      <c r="E299">
        <v>645.56153219234</v>
      </c>
      <c r="F299">
        <v>157.16476345839999</v>
      </c>
      <c r="G299">
        <v>125.73980424144</v>
      </c>
      <c r="I299" s="9">
        <f t="shared" si="36"/>
        <v>519.82172795090003</v>
      </c>
      <c r="J299" s="9">
        <f t="shared" si="37"/>
        <v>1746.7757418391002</v>
      </c>
      <c r="K299" s="9">
        <f t="shared" si="31"/>
        <v>519.82172795090003</v>
      </c>
      <c r="L299" s="10">
        <f t="shared" si="30"/>
        <v>0.29758927577251759</v>
      </c>
      <c r="M299" s="10">
        <f t="shared" si="38"/>
        <v>0.43295048801153668</v>
      </c>
      <c r="P299" s="8">
        <f t="shared" si="39"/>
        <v>102.13249742110126</v>
      </c>
    </row>
    <row r="300" spans="1:16" x14ac:dyDescent="0.2">
      <c r="A300" s="8">
        <v>149</v>
      </c>
      <c r="B300" s="8">
        <v>298</v>
      </c>
      <c r="D300">
        <v>1910.1670741646001</v>
      </c>
      <c r="E300">
        <v>651.19804400978001</v>
      </c>
      <c r="F300">
        <v>157.33605220228</v>
      </c>
      <c r="G300">
        <v>126.56769983687001</v>
      </c>
      <c r="I300" s="9">
        <f t="shared" si="36"/>
        <v>524.63034417290999</v>
      </c>
      <c r="J300" s="9">
        <f t="shared" si="37"/>
        <v>1752.8310219623202</v>
      </c>
      <c r="K300" s="9">
        <f t="shared" si="31"/>
        <v>524.63034417290999</v>
      </c>
      <c r="L300" s="10">
        <f t="shared" si="30"/>
        <v>0.29930457505571678</v>
      </c>
      <c r="M300" s="10">
        <f t="shared" si="38"/>
        <v>0.43512154895210631</v>
      </c>
      <c r="P300" s="8">
        <f t="shared" si="39"/>
        <v>103.14610517099956</v>
      </c>
    </row>
    <row r="301" spans="1:16" x14ac:dyDescent="0.2">
      <c r="A301" s="8">
        <v>149.5</v>
      </c>
      <c r="B301" s="8">
        <v>299</v>
      </c>
      <c r="D301">
        <v>1914.0008149959001</v>
      </c>
      <c r="E301">
        <v>661.20130399348</v>
      </c>
      <c r="F301">
        <v>156.64192495922001</v>
      </c>
      <c r="G301">
        <v>126.31729200653</v>
      </c>
      <c r="I301" s="9">
        <f t="shared" si="36"/>
        <v>534.88401198694999</v>
      </c>
      <c r="J301" s="9">
        <f t="shared" si="37"/>
        <v>1757.3588900366801</v>
      </c>
      <c r="K301" s="9">
        <f t="shared" si="31"/>
        <v>534.88401198694999</v>
      </c>
      <c r="L301" s="10">
        <f t="shared" si="30"/>
        <v>0.30436811457208135</v>
      </c>
      <c r="M301" s="10">
        <f t="shared" si="38"/>
        <v>0.44064085012584131</v>
      </c>
      <c r="P301" s="8">
        <f t="shared" si="39"/>
        <v>105.72291282258615</v>
      </c>
    </row>
    <row r="302" spans="1:16" x14ac:dyDescent="0.2">
      <c r="A302" s="8">
        <v>150</v>
      </c>
      <c r="B302" s="8">
        <v>300</v>
      </c>
      <c r="D302">
        <v>1889.9331703342</v>
      </c>
      <c r="E302">
        <v>651.90627546862004</v>
      </c>
      <c r="F302">
        <v>156.71696574225001</v>
      </c>
      <c r="G302">
        <v>126.0163132137</v>
      </c>
      <c r="I302" s="9">
        <f>E302-G302</f>
        <v>525.88996225492008</v>
      </c>
      <c r="J302" s="9">
        <f>D302-F302</f>
        <v>1733.2162045919499</v>
      </c>
      <c r="K302" s="9">
        <f t="shared" si="31"/>
        <v>525.88996225492008</v>
      </c>
      <c r="L302" s="10">
        <f t="shared" si="30"/>
        <v>0.30341855843583582</v>
      </c>
      <c r="M302" s="10">
        <f>L302+ABS($N$2)*A302</f>
        <v>0.44014705564696621</v>
      </c>
      <c r="O302" s="11"/>
      <c r="P302" s="8">
        <f>(M302-$O$2)/$O$2*100</f>
        <v>105.49237396423725</v>
      </c>
    </row>
    <row r="303" spans="1:16" x14ac:dyDescent="0.2">
      <c r="A303" s="8">
        <v>150.5</v>
      </c>
      <c r="B303" s="8">
        <v>301</v>
      </c>
      <c r="D303">
        <v>1866.2577487765</v>
      </c>
      <c r="E303">
        <v>650.43800978793001</v>
      </c>
      <c r="F303">
        <v>156.87275693312</v>
      </c>
      <c r="G303">
        <v>126.29445350733999</v>
      </c>
      <c r="I303" s="9">
        <f t="shared" ref="I303:I309" si="40">E303-G303</f>
        <v>524.14355628059002</v>
      </c>
      <c r="J303" s="9">
        <f t="shared" ref="J303:J309" si="41">D303-F303</f>
        <v>1709.38499184338</v>
      </c>
      <c r="K303" s="9">
        <f t="shared" si="31"/>
        <v>524.14355628059002</v>
      </c>
      <c r="L303" s="10">
        <f t="shared" si="30"/>
        <v>0.30662697916597476</v>
      </c>
      <c r="M303" s="10">
        <f t="shared" ref="M303:M309" si="42">L303+ABS($N$2)*A303</f>
        <v>0.44381123803447559</v>
      </c>
      <c r="P303" s="8">
        <f t="shared" ref="P303:P309" si="43">(M303-$O$2)/$O$2*100</f>
        <v>107.20307843854182</v>
      </c>
    </row>
    <row r="304" spans="1:16" x14ac:dyDescent="0.2">
      <c r="A304" s="8">
        <v>151</v>
      </c>
      <c r="B304" s="8">
        <v>302</v>
      </c>
      <c r="D304">
        <v>1927.0147540984001</v>
      </c>
      <c r="E304">
        <v>668.56065573771002</v>
      </c>
      <c r="F304">
        <v>157.21778140294001</v>
      </c>
      <c r="G304">
        <v>126.5986949429</v>
      </c>
      <c r="I304" s="9">
        <f t="shared" si="40"/>
        <v>541.96196079481001</v>
      </c>
      <c r="J304" s="9">
        <f t="shared" si="41"/>
        <v>1769.79697269546</v>
      </c>
      <c r="K304" s="9">
        <f t="shared" si="31"/>
        <v>541.96196079481001</v>
      </c>
      <c r="L304" s="10">
        <f t="shared" si="30"/>
        <v>0.30622832401469408</v>
      </c>
      <c r="M304" s="10">
        <f t="shared" si="42"/>
        <v>0.44386834454056534</v>
      </c>
      <c r="N304" s="1"/>
      <c r="P304" s="8">
        <f t="shared" si="43"/>
        <v>107.22973987215731</v>
      </c>
    </row>
    <row r="305" spans="1:16" x14ac:dyDescent="0.2">
      <c r="A305" s="8">
        <v>151.5</v>
      </c>
      <c r="B305" s="8">
        <v>303</v>
      </c>
      <c r="D305">
        <v>1855.7583401139</v>
      </c>
      <c r="E305">
        <v>641.04719283970996</v>
      </c>
      <c r="F305">
        <v>157.01305057095999</v>
      </c>
      <c r="G305">
        <v>125.90293637847</v>
      </c>
      <c r="I305" s="9">
        <f t="shared" si="40"/>
        <v>515.14425646123993</v>
      </c>
      <c r="J305" s="9">
        <f t="shared" si="41"/>
        <v>1698.7452895429401</v>
      </c>
      <c r="K305" s="9">
        <f t="shared" si="31"/>
        <v>515.14425646123993</v>
      </c>
      <c r="L305" s="10">
        <f t="shared" si="30"/>
        <v>0.30324985130633875</v>
      </c>
      <c r="M305" s="10">
        <f t="shared" si="42"/>
        <v>0.44134563348958045</v>
      </c>
      <c r="P305" s="8">
        <f t="shared" si="43"/>
        <v>106.05195650170917</v>
      </c>
    </row>
    <row r="306" spans="1:16" x14ac:dyDescent="0.2">
      <c r="A306" s="8">
        <v>152</v>
      </c>
      <c r="B306" s="8">
        <v>304</v>
      </c>
      <c r="D306">
        <v>1835.311635476</v>
      </c>
      <c r="E306">
        <v>643.30919446705002</v>
      </c>
      <c r="F306">
        <v>157.49918433932001</v>
      </c>
      <c r="G306">
        <v>125.98858075040999</v>
      </c>
      <c r="I306" s="9">
        <f t="shared" si="40"/>
        <v>517.32061371664008</v>
      </c>
      <c r="J306" s="9">
        <f t="shared" si="41"/>
        <v>1677.81245113668</v>
      </c>
      <c r="K306" s="9">
        <f t="shared" si="31"/>
        <v>517.32061371664008</v>
      </c>
      <c r="L306" s="10">
        <f t="shared" si="30"/>
        <v>0.30833041760190005</v>
      </c>
      <c r="M306" s="10">
        <f t="shared" si="42"/>
        <v>0.44688196144251219</v>
      </c>
      <c r="P306" s="8">
        <f t="shared" si="43"/>
        <v>108.63671348121517</v>
      </c>
    </row>
    <row r="307" spans="1:16" x14ac:dyDescent="0.2">
      <c r="A307" s="8">
        <v>152.5</v>
      </c>
      <c r="B307" s="8">
        <v>305</v>
      </c>
      <c r="D307">
        <v>1888.5004095004001</v>
      </c>
      <c r="E307">
        <v>652.32678132677995</v>
      </c>
      <c r="F307">
        <v>158.13539967374001</v>
      </c>
      <c r="G307">
        <v>125.57422512235</v>
      </c>
      <c r="I307" s="9">
        <f t="shared" si="40"/>
        <v>526.75255620442999</v>
      </c>
      <c r="J307" s="9">
        <f t="shared" si="41"/>
        <v>1730.3650098266601</v>
      </c>
      <c r="K307" s="9">
        <f t="shared" si="31"/>
        <v>526.75255620442999</v>
      </c>
      <c r="L307" s="10">
        <f t="shared" si="30"/>
        <v>0.30441701791993447</v>
      </c>
      <c r="M307" s="10">
        <f t="shared" si="42"/>
        <v>0.44342432341791704</v>
      </c>
      <c r="P307" s="8">
        <f t="shared" si="43"/>
        <v>107.02243880445133</v>
      </c>
    </row>
    <row r="308" spans="1:16" x14ac:dyDescent="0.2">
      <c r="A308" s="8">
        <v>153</v>
      </c>
      <c r="B308" s="8">
        <v>306</v>
      </c>
      <c r="D308">
        <v>1954.6123778501999</v>
      </c>
      <c r="E308">
        <v>693.18485342020006</v>
      </c>
      <c r="F308">
        <v>157.46003262643001</v>
      </c>
      <c r="G308">
        <v>125.99102773246</v>
      </c>
      <c r="I308" s="9">
        <f t="shared" si="40"/>
        <v>567.19382568774006</v>
      </c>
      <c r="J308" s="9">
        <f t="shared" si="41"/>
        <v>1797.1523452237698</v>
      </c>
      <c r="K308" s="9">
        <f t="shared" si="31"/>
        <v>567.19382568774006</v>
      </c>
      <c r="L308" s="10">
        <f t="shared" si="30"/>
        <v>0.31560698078554755</v>
      </c>
      <c r="M308" s="10">
        <f t="shared" si="42"/>
        <v>0.45507004794090056</v>
      </c>
      <c r="P308" s="8">
        <f t="shared" si="43"/>
        <v>112.45950250409102</v>
      </c>
    </row>
    <row r="309" spans="1:16" x14ac:dyDescent="0.2">
      <c r="A309" s="8">
        <v>153.5</v>
      </c>
      <c r="B309" s="8">
        <v>307</v>
      </c>
      <c r="D309">
        <v>1928.516286645</v>
      </c>
      <c r="E309">
        <v>684.80781758958005</v>
      </c>
      <c r="F309">
        <v>157.43556280587001</v>
      </c>
      <c r="G309">
        <v>126.04649265905</v>
      </c>
      <c r="I309" s="9">
        <f t="shared" si="40"/>
        <v>558.76132493053001</v>
      </c>
      <c r="J309" s="9">
        <f t="shared" si="41"/>
        <v>1771.0807238391301</v>
      </c>
      <c r="K309" s="9">
        <f t="shared" si="31"/>
        <v>558.76132493053001</v>
      </c>
      <c r="L309" s="10">
        <f t="shared" si="30"/>
        <v>0.31549173191796487</v>
      </c>
      <c r="M309" s="10">
        <f t="shared" si="42"/>
        <v>0.45541056073068831</v>
      </c>
      <c r="P309" s="8">
        <f t="shared" si="43"/>
        <v>112.61847842052835</v>
      </c>
    </row>
    <row r="310" spans="1:16" x14ac:dyDescent="0.2">
      <c r="A310" s="8">
        <v>154</v>
      </c>
      <c r="B310" s="8">
        <v>308</v>
      </c>
      <c r="D310">
        <v>1870.2078559738</v>
      </c>
      <c r="E310">
        <v>653.01800327332001</v>
      </c>
      <c r="F310">
        <v>157.27650897226999</v>
      </c>
      <c r="G310">
        <v>126.1044045677</v>
      </c>
      <c r="I310" s="9">
        <f>E310-G310</f>
        <v>526.91359870561996</v>
      </c>
      <c r="J310" s="9">
        <f>D310-F310</f>
        <v>1712.93134700153</v>
      </c>
      <c r="K310" s="9">
        <f t="shared" si="31"/>
        <v>526.91359870561996</v>
      </c>
      <c r="L310" s="10">
        <f t="shared" si="30"/>
        <v>0.30760929188900488</v>
      </c>
      <c r="M310" s="10">
        <f>L310+ABS($N$2)*A310</f>
        <v>0.44798388235909875</v>
      </c>
      <c r="O310" s="11"/>
      <c r="P310" s="8">
        <f>(M310-$O$2)/$O$2*100</f>
        <v>109.15116959801774</v>
      </c>
    </row>
    <row r="311" spans="1:16" x14ac:dyDescent="0.2">
      <c r="A311" s="8">
        <v>154.5</v>
      </c>
      <c r="B311" s="8">
        <v>309</v>
      </c>
      <c r="D311">
        <v>1831.7078559738</v>
      </c>
      <c r="E311">
        <v>640.04991816693996</v>
      </c>
      <c r="F311">
        <v>157.36786296900999</v>
      </c>
      <c r="G311">
        <v>125.97879282219</v>
      </c>
      <c r="I311" s="9">
        <f t="shared" ref="I311:I319" si="44">E311-G311</f>
        <v>514.07112534474993</v>
      </c>
      <c r="J311" s="9">
        <f t="shared" ref="J311:J319" si="45">D311-F311</f>
        <v>1674.3399930047899</v>
      </c>
      <c r="K311" s="9">
        <f t="shared" si="31"/>
        <v>514.07112534474993</v>
      </c>
      <c r="L311" s="10">
        <f t="shared" si="30"/>
        <v>0.30702911445255032</v>
      </c>
      <c r="M311" s="10">
        <f t="shared" ref="M311:M319" si="46">L311+ABS($N$2)*A311</f>
        <v>0.44785946658001463</v>
      </c>
      <c r="P311" s="8">
        <f t="shared" ref="P311:P319" si="47">(M311-$O$2)/$O$2*100</f>
        <v>109.09308334372025</v>
      </c>
    </row>
    <row r="312" spans="1:16" x14ac:dyDescent="0.2">
      <c r="A312" s="8">
        <v>155</v>
      </c>
      <c r="B312" s="8">
        <v>310</v>
      </c>
      <c r="D312">
        <v>1861.9787234042999</v>
      </c>
      <c r="E312">
        <v>629.13175122749999</v>
      </c>
      <c r="F312">
        <v>157.32707993475</v>
      </c>
      <c r="G312">
        <v>126.30342577488</v>
      </c>
      <c r="I312" s="9">
        <f t="shared" si="44"/>
        <v>502.82832545261999</v>
      </c>
      <c r="J312" s="9">
        <f t="shared" si="45"/>
        <v>1704.65164346955</v>
      </c>
      <c r="K312" s="9">
        <f t="shared" si="31"/>
        <v>502.82832545261999</v>
      </c>
      <c r="L312" s="10">
        <f t="shared" si="30"/>
        <v>0.29497424144043422</v>
      </c>
      <c r="M312" s="10">
        <f t="shared" si="46"/>
        <v>0.43626035522526896</v>
      </c>
      <c r="N312" s="1"/>
      <c r="P312" s="8">
        <f t="shared" si="47"/>
        <v>103.67778203116526</v>
      </c>
    </row>
    <row r="313" spans="1:16" x14ac:dyDescent="0.2">
      <c r="A313" s="8">
        <v>155.5</v>
      </c>
      <c r="B313" s="8">
        <v>311</v>
      </c>
      <c r="D313">
        <v>1889.3068739770999</v>
      </c>
      <c r="E313">
        <v>642.99018003273</v>
      </c>
      <c r="F313">
        <v>157.70799347472001</v>
      </c>
      <c r="G313">
        <v>125.54893964111</v>
      </c>
      <c r="I313" s="9">
        <f t="shared" si="44"/>
        <v>517.44124039162</v>
      </c>
      <c r="J313" s="9">
        <f t="shared" si="45"/>
        <v>1731.5988805023799</v>
      </c>
      <c r="K313" s="9">
        <f t="shared" si="31"/>
        <v>517.44124039162</v>
      </c>
      <c r="L313" s="10">
        <f t="shared" si="30"/>
        <v>0.29882280834086555</v>
      </c>
      <c r="M313" s="10">
        <f t="shared" si="46"/>
        <v>0.44056468378307073</v>
      </c>
      <c r="P313" s="8">
        <f t="shared" si="47"/>
        <v>105.68735288326292</v>
      </c>
    </row>
    <row r="314" spans="1:16" x14ac:dyDescent="0.2">
      <c r="A314" s="8">
        <v>156</v>
      </c>
      <c r="B314" s="8">
        <v>312</v>
      </c>
      <c r="D314">
        <v>1896.4353518821999</v>
      </c>
      <c r="E314">
        <v>627.81342062193005</v>
      </c>
      <c r="F314">
        <v>156.84257748777</v>
      </c>
      <c r="G314">
        <v>126.00897226754</v>
      </c>
      <c r="I314" s="9">
        <f t="shared" si="44"/>
        <v>501.80444835439005</v>
      </c>
      <c r="J314" s="9">
        <f t="shared" si="45"/>
        <v>1739.5927743944299</v>
      </c>
      <c r="K314" s="9">
        <f t="shared" si="31"/>
        <v>501.80444835439005</v>
      </c>
      <c r="L314" s="10">
        <f t="shared" si="30"/>
        <v>0.28846087184345393</v>
      </c>
      <c r="M314" s="10">
        <f t="shared" si="46"/>
        <v>0.43065850894302954</v>
      </c>
      <c r="P314" s="8">
        <f t="shared" si="47"/>
        <v>101.06243637259196</v>
      </c>
    </row>
    <row r="315" spans="1:16" x14ac:dyDescent="0.2">
      <c r="A315" s="8">
        <v>156.5</v>
      </c>
      <c r="B315" s="8">
        <v>313</v>
      </c>
      <c r="D315">
        <v>1870.4901800327</v>
      </c>
      <c r="E315">
        <v>614.67021276595995</v>
      </c>
      <c r="F315">
        <v>157.22022838499001</v>
      </c>
      <c r="G315">
        <v>125.38825448612999</v>
      </c>
      <c r="I315" s="9">
        <f t="shared" si="44"/>
        <v>489.28195827982995</v>
      </c>
      <c r="J315" s="9">
        <f t="shared" si="45"/>
        <v>1713.2699516477101</v>
      </c>
      <c r="K315" s="9">
        <f t="shared" si="31"/>
        <v>489.28195827982995</v>
      </c>
      <c r="L315" s="10">
        <f t="shared" si="30"/>
        <v>0.28558369205580875</v>
      </c>
      <c r="M315" s="10">
        <f t="shared" si="46"/>
        <v>0.42823709081275479</v>
      </c>
      <c r="P315" s="8">
        <f t="shared" si="47"/>
        <v>99.931943839320752</v>
      </c>
    </row>
    <row r="316" spans="1:16" x14ac:dyDescent="0.2">
      <c r="A316" s="8">
        <v>157</v>
      </c>
      <c r="B316" s="8">
        <v>314</v>
      </c>
      <c r="D316">
        <v>1863.8338788870999</v>
      </c>
      <c r="E316">
        <v>598.63747954174005</v>
      </c>
      <c r="F316">
        <v>157.21451876020001</v>
      </c>
      <c r="G316">
        <v>125.36949429038</v>
      </c>
      <c r="I316" s="9">
        <f t="shared" si="44"/>
        <v>473.26798525136007</v>
      </c>
      <c r="J316" s="9">
        <f t="shared" si="45"/>
        <v>1706.6193601268999</v>
      </c>
      <c r="K316" s="9">
        <f t="shared" si="31"/>
        <v>473.26798525136007</v>
      </c>
      <c r="L316" s="10">
        <f t="shared" si="30"/>
        <v>0.27731314686138864</v>
      </c>
      <c r="M316" s="10">
        <f t="shared" si="46"/>
        <v>0.42042230727570512</v>
      </c>
      <c r="P316" s="8">
        <f t="shared" si="47"/>
        <v>96.283439548670628</v>
      </c>
    </row>
    <row r="317" spans="1:16" x14ac:dyDescent="0.2">
      <c r="A317" s="8">
        <v>157.5</v>
      </c>
      <c r="B317" s="8">
        <v>315</v>
      </c>
      <c r="D317">
        <v>1866.3417825019999</v>
      </c>
      <c r="E317">
        <v>585.32706459526003</v>
      </c>
      <c r="F317">
        <v>157.03752039151999</v>
      </c>
      <c r="G317">
        <v>125.96982055465</v>
      </c>
      <c r="I317" s="9">
        <f t="shared" si="44"/>
        <v>459.35724404061</v>
      </c>
      <c r="J317" s="9">
        <f t="shared" si="45"/>
        <v>1709.3042621104798</v>
      </c>
      <c r="K317" s="9">
        <f t="shared" si="31"/>
        <v>459.35724404061</v>
      </c>
      <c r="L317" s="10">
        <f t="shared" si="30"/>
        <v>0.26873930769554222</v>
      </c>
      <c r="M317" s="10">
        <f t="shared" si="46"/>
        <v>0.41230422976722914</v>
      </c>
      <c r="P317" s="8">
        <f t="shared" si="47"/>
        <v>92.493335768945599</v>
      </c>
    </row>
    <row r="318" spans="1:16" x14ac:dyDescent="0.2">
      <c r="A318" s="8">
        <v>158</v>
      </c>
      <c r="B318" s="8">
        <v>316</v>
      </c>
      <c r="D318">
        <v>1946.4885245902001</v>
      </c>
      <c r="E318">
        <v>612.09836065573995</v>
      </c>
      <c r="F318">
        <v>156.95106035889</v>
      </c>
      <c r="G318">
        <v>126.04730831974</v>
      </c>
      <c r="I318" s="9">
        <f t="shared" si="44"/>
        <v>486.05105233599994</v>
      </c>
      <c r="J318" s="9">
        <f t="shared" si="45"/>
        <v>1789.53746423131</v>
      </c>
      <c r="K318" s="9">
        <f t="shared" si="31"/>
        <v>486.05105233599994</v>
      </c>
      <c r="L318" s="10">
        <f t="shared" si="30"/>
        <v>0.27160708398177158</v>
      </c>
      <c r="M318" s="10">
        <f t="shared" si="46"/>
        <v>0.41562776771082893</v>
      </c>
      <c r="P318" s="8">
        <f t="shared" si="47"/>
        <v>94.045002861178361</v>
      </c>
    </row>
    <row r="319" spans="1:16" x14ac:dyDescent="0.2">
      <c r="A319" s="8">
        <v>158.5</v>
      </c>
      <c r="B319" s="8">
        <v>317</v>
      </c>
      <c r="D319">
        <v>1916.6024590164</v>
      </c>
      <c r="E319">
        <v>602.65409836065999</v>
      </c>
      <c r="F319">
        <v>157.27650897226999</v>
      </c>
      <c r="G319">
        <v>125.99673735726</v>
      </c>
      <c r="I319" s="9">
        <f t="shared" si="44"/>
        <v>476.65736100339996</v>
      </c>
      <c r="J319" s="9">
        <f t="shared" si="45"/>
        <v>1759.32595004413</v>
      </c>
      <c r="K319" s="9">
        <f t="shared" si="31"/>
        <v>476.65736100339996</v>
      </c>
      <c r="L319" s="10">
        <f t="shared" si="30"/>
        <v>0.27093180828228203</v>
      </c>
      <c r="M319" s="10">
        <f t="shared" si="46"/>
        <v>0.41540825366870981</v>
      </c>
      <c r="P319" s="8">
        <f t="shared" si="47"/>
        <v>93.942517882454055</v>
      </c>
    </row>
    <row r="320" spans="1:16" x14ac:dyDescent="0.2">
      <c r="A320" s="8">
        <v>159</v>
      </c>
      <c r="B320" s="8">
        <v>318</v>
      </c>
      <c r="D320">
        <v>1955.4409127954</v>
      </c>
      <c r="E320">
        <v>601.88834555826998</v>
      </c>
      <c r="F320">
        <v>156.58890701467999</v>
      </c>
      <c r="G320">
        <v>125.27650897226999</v>
      </c>
      <c r="I320" s="9">
        <f>E320-G320</f>
        <v>476.61183658599998</v>
      </c>
      <c r="J320" s="9">
        <f>D320-F320</f>
        <v>1798.85200578072</v>
      </c>
      <c r="K320" s="9">
        <f t="shared" si="31"/>
        <v>476.61183658599998</v>
      </c>
      <c r="L320" s="10">
        <f t="shared" si="30"/>
        <v>0.26495333415666156</v>
      </c>
      <c r="M320" s="10">
        <f>L320+ABS($N$2)*A320</f>
        <v>0.40988554120045978</v>
      </c>
      <c r="O320" s="11"/>
      <c r="P320" s="8">
        <f>(M320-$O$2)/$O$2*100</f>
        <v>91.364117592681694</v>
      </c>
    </row>
    <row r="321" spans="1:16" x14ac:dyDescent="0.2">
      <c r="A321" s="8">
        <v>159.5</v>
      </c>
      <c r="B321" s="8">
        <v>319</v>
      </c>
      <c r="D321">
        <v>1837.9215044970999</v>
      </c>
      <c r="E321">
        <v>559.42518397384003</v>
      </c>
      <c r="F321">
        <v>157.17862969005</v>
      </c>
      <c r="G321">
        <v>125.75611745514</v>
      </c>
      <c r="I321" s="9">
        <f t="shared" ref="I321:I322" si="48">E321-G321</f>
        <v>433.66906651870005</v>
      </c>
      <c r="J321" s="9">
        <f t="shared" ref="J321:J322" si="49">D321-F321</f>
        <v>1680.7428748070499</v>
      </c>
      <c r="K321" s="9">
        <f t="shared" si="31"/>
        <v>433.66906651870005</v>
      </c>
      <c r="L321" s="10">
        <f t="shared" si="30"/>
        <v>0.25802225493205522</v>
      </c>
      <c r="M321" s="10">
        <f t="shared" ref="M321:M322" si="50">L321+ABS($N$2)*A321</f>
        <v>0.40341022363322387</v>
      </c>
      <c r="P321" s="8">
        <f t="shared" ref="P321:P322" si="51">(M321-$O$2)/$O$2*100</f>
        <v>88.340972573325004</v>
      </c>
    </row>
    <row r="322" spans="1:16" x14ac:dyDescent="0.2">
      <c r="A322" s="8">
        <v>160</v>
      </c>
      <c r="B322" s="8">
        <v>320</v>
      </c>
      <c r="D322">
        <v>1832.9010629598999</v>
      </c>
      <c r="E322">
        <v>550.80948487325998</v>
      </c>
      <c r="F322">
        <v>157.14110929853001</v>
      </c>
      <c r="G322">
        <v>125.32137030995</v>
      </c>
      <c r="I322" s="9">
        <f t="shared" si="48"/>
        <v>425.48811456330998</v>
      </c>
      <c r="J322" s="9">
        <f t="shared" si="49"/>
        <v>1675.75995366137</v>
      </c>
      <c r="K322" s="9">
        <f t="shared" ref="K322" si="52">I322*1</f>
        <v>425.48811456330998</v>
      </c>
      <c r="L322" s="10">
        <f t="shared" ref="L322" si="53">K322/J322</f>
        <v>0.25390755617095423</v>
      </c>
      <c r="M322" s="10">
        <f t="shared" si="50"/>
        <v>0.39975128652949332</v>
      </c>
      <c r="P322" s="8">
        <f t="shared" si="51"/>
        <v>86.632716975599294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FA94-F5CD-234C-A351-81E254FF4BD0}">
  <dimension ref="A1:Y798"/>
  <sheetViews>
    <sheetView topLeftCell="E1" zoomScale="70" zoomScaleNormal="70" workbookViewId="0">
      <selection activeCell="N2" sqref="N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3169.5505124451001</v>
      </c>
      <c r="E2">
        <v>674.01683748170001</v>
      </c>
      <c r="F2">
        <v>131.48020527859001</v>
      </c>
      <c r="G2">
        <v>114.16275659823999</v>
      </c>
      <c r="H2" s="4"/>
      <c r="I2" s="5">
        <f>E2-G2</f>
        <v>559.85408088346003</v>
      </c>
      <c r="J2" s="5">
        <f>D2-F2</f>
        <v>3038.0703071665102</v>
      </c>
      <c r="K2" s="9">
        <f>I2*1</f>
        <v>559.85408088346003</v>
      </c>
      <c r="L2" s="6">
        <f t="shared" ref="L2:L65" si="0">K2/J2</f>
        <v>0.18427950122247636</v>
      </c>
      <c r="M2" s="6">
        <f>L2+ABS($N$2)*A2</f>
        <v>0.18427950122247636</v>
      </c>
      <c r="N2" s="4">
        <f>LINEST(V64:V103,U64:U103)</f>
        <v>5.1461757868718859E-5</v>
      </c>
      <c r="O2" s="7">
        <f>AVERAGE(M62:M81)</f>
        <v>0.1685086639270745</v>
      </c>
      <c r="P2" s="4">
        <f>(M2-$O$2)/$O$2*100</f>
        <v>9.3590661321883104</v>
      </c>
    </row>
    <row r="3" spans="1:16" x14ac:dyDescent="0.2">
      <c r="A3" s="8">
        <v>0.5</v>
      </c>
      <c r="B3" s="8">
        <v>1</v>
      </c>
      <c r="D3">
        <v>2972.864568082</v>
      </c>
      <c r="E3">
        <v>651.48169838946001</v>
      </c>
      <c r="F3">
        <v>131.47653958943999</v>
      </c>
      <c r="G3">
        <v>114.16275659823999</v>
      </c>
      <c r="I3" s="9">
        <f t="shared" ref="I3:I66" si="1">E3-G3</f>
        <v>537.31894179122003</v>
      </c>
      <c r="J3" s="9">
        <f t="shared" ref="J3:J66" si="2">D3-F3</f>
        <v>2841.3880284925599</v>
      </c>
      <c r="K3" s="9">
        <f t="shared" ref="K3:K66" si="3">I3*1</f>
        <v>537.31894179122003</v>
      </c>
      <c r="L3" s="10">
        <f t="shared" si="0"/>
        <v>0.18910438715274083</v>
      </c>
      <c r="M3" s="10">
        <f t="shared" ref="M3:M66" si="4">L3+ABS($N$2)*A3</f>
        <v>0.1891301180316752</v>
      </c>
      <c r="P3" s="8">
        <f t="shared" ref="P3:P66" si="5">(M3-$O$2)/$O$2*100</f>
        <v>12.23762246048372</v>
      </c>
    </row>
    <row r="4" spans="1:16" ht="16" x14ac:dyDescent="0.2">
      <c r="A4" s="8">
        <v>1</v>
      </c>
      <c r="B4" s="8">
        <v>2</v>
      </c>
      <c r="D4">
        <v>3325.2538405267001</v>
      </c>
      <c r="E4">
        <v>654.18068763715996</v>
      </c>
      <c r="F4">
        <v>130.88929618768</v>
      </c>
      <c r="G4">
        <v>114.05058651026</v>
      </c>
      <c r="I4" s="9">
        <f t="shared" si="1"/>
        <v>540.13010112689994</v>
      </c>
      <c r="J4" s="9">
        <f t="shared" si="2"/>
        <v>3194.3645443390201</v>
      </c>
      <c r="K4" s="9">
        <f t="shared" si="3"/>
        <v>540.13010112689994</v>
      </c>
      <c r="L4" s="10">
        <f t="shared" si="0"/>
        <v>0.16908843484507935</v>
      </c>
      <c r="M4" s="10">
        <f t="shared" si="4"/>
        <v>0.16913989660294806</v>
      </c>
      <c r="N4" s="1" t="s">
        <v>7</v>
      </c>
      <c r="P4" s="8">
        <f t="shared" si="5"/>
        <v>0.37459953759216763</v>
      </c>
    </row>
    <row r="5" spans="1:16" x14ac:dyDescent="0.2">
      <c r="A5" s="8">
        <v>1.5</v>
      </c>
      <c r="B5" s="8">
        <v>3</v>
      </c>
      <c r="D5">
        <v>3311.1419166056999</v>
      </c>
      <c r="E5">
        <v>650.95610826628001</v>
      </c>
      <c r="F5">
        <v>131.18328445748</v>
      </c>
      <c r="G5">
        <v>113.72067448679999</v>
      </c>
      <c r="I5" s="9">
        <f t="shared" si="1"/>
        <v>537.23543377947999</v>
      </c>
      <c r="J5" s="9">
        <f t="shared" si="2"/>
        <v>3179.9586321482197</v>
      </c>
      <c r="K5" s="9">
        <f t="shared" si="3"/>
        <v>537.23543377947999</v>
      </c>
      <c r="L5" s="10">
        <f t="shared" si="0"/>
        <v>0.16894415806175153</v>
      </c>
      <c r="M5" s="10">
        <f t="shared" si="4"/>
        <v>0.16902135069855462</v>
      </c>
      <c r="N5" s="8">
        <f>RSQ(V64:V83,U64:U83)</f>
        <v>3.246298730042433E-2</v>
      </c>
      <c r="P5" s="8">
        <f t="shared" si="5"/>
        <v>0.30424950238878495</v>
      </c>
    </row>
    <row r="6" spans="1:16" x14ac:dyDescent="0.2">
      <c r="A6" s="8">
        <v>2</v>
      </c>
      <c r="B6" s="8">
        <v>4</v>
      </c>
      <c r="D6">
        <v>3302.2904169714998</v>
      </c>
      <c r="E6">
        <v>642.70299926846997</v>
      </c>
      <c r="F6">
        <v>131.68475073313999</v>
      </c>
      <c r="G6">
        <v>113.72360703811999</v>
      </c>
      <c r="I6" s="9">
        <f t="shared" si="1"/>
        <v>528.97939223034996</v>
      </c>
      <c r="J6" s="9">
        <f t="shared" si="2"/>
        <v>3170.6056662383598</v>
      </c>
      <c r="K6" s="9">
        <f t="shared" si="3"/>
        <v>528.97939223034996</v>
      </c>
      <c r="L6" s="10">
        <f t="shared" si="0"/>
        <v>0.16683859423550981</v>
      </c>
      <c r="M6" s="10">
        <f t="shared" si="4"/>
        <v>0.16694151775124724</v>
      </c>
      <c r="P6" s="8">
        <f t="shared" si="5"/>
        <v>-0.93000925845894478</v>
      </c>
    </row>
    <row r="7" spans="1:16" x14ac:dyDescent="0.2">
      <c r="A7" s="8">
        <v>2.5</v>
      </c>
      <c r="B7" s="8">
        <v>5</v>
      </c>
      <c r="D7">
        <v>3277.6744696415999</v>
      </c>
      <c r="E7">
        <v>634.16532553035995</v>
      </c>
      <c r="F7">
        <v>131.96920821114</v>
      </c>
      <c r="G7">
        <v>113.99266862170001</v>
      </c>
      <c r="I7" s="9">
        <f t="shared" si="1"/>
        <v>520.17265690865997</v>
      </c>
      <c r="J7" s="9">
        <f t="shared" si="2"/>
        <v>3145.7052614304598</v>
      </c>
      <c r="K7" s="9">
        <f t="shared" si="3"/>
        <v>520.17265690865997</v>
      </c>
      <c r="L7" s="10">
        <f t="shared" si="0"/>
        <v>0.16535962961517878</v>
      </c>
      <c r="M7" s="10">
        <f t="shared" si="4"/>
        <v>0.16548828400985058</v>
      </c>
      <c r="P7" s="8">
        <f t="shared" si="5"/>
        <v>-1.7924181741367646</v>
      </c>
    </row>
    <row r="8" spans="1:16" x14ac:dyDescent="0.2">
      <c r="A8" s="8">
        <v>3</v>
      </c>
      <c r="B8" s="8">
        <v>6</v>
      </c>
      <c r="D8">
        <v>3287.9005120702</v>
      </c>
      <c r="E8">
        <v>629.85735186540001</v>
      </c>
      <c r="F8">
        <v>132.23753665689</v>
      </c>
      <c r="G8">
        <v>113.9508797654</v>
      </c>
      <c r="I8" s="9">
        <f t="shared" si="1"/>
        <v>515.90647209999997</v>
      </c>
      <c r="J8" s="9">
        <f t="shared" si="2"/>
        <v>3155.6629754133101</v>
      </c>
      <c r="K8" s="9">
        <f t="shared" si="3"/>
        <v>515.90647209999997</v>
      </c>
      <c r="L8" s="10">
        <f t="shared" si="0"/>
        <v>0.16348592233060935</v>
      </c>
      <c r="M8" s="10">
        <f t="shared" si="4"/>
        <v>0.1636403076042155</v>
      </c>
      <c r="P8" s="8">
        <f t="shared" si="5"/>
        <v>-2.8890836882819784</v>
      </c>
    </row>
    <row r="9" spans="1:16" x14ac:dyDescent="0.2">
      <c r="A9" s="8">
        <v>3.5</v>
      </c>
      <c r="B9" s="8">
        <v>7</v>
      </c>
      <c r="D9">
        <v>3253.4769568398001</v>
      </c>
      <c r="E9">
        <v>629.32333577175996</v>
      </c>
      <c r="F9">
        <v>131.82038123167001</v>
      </c>
      <c r="G9">
        <v>114.38709677419</v>
      </c>
      <c r="I9" s="9">
        <f t="shared" si="1"/>
        <v>514.93623899756994</v>
      </c>
      <c r="J9" s="9">
        <f t="shared" si="2"/>
        <v>3121.65657560813</v>
      </c>
      <c r="K9" s="9">
        <f t="shared" si="3"/>
        <v>514.93623899756994</v>
      </c>
      <c r="L9" s="10">
        <f t="shared" si="0"/>
        <v>0.16495608229974984</v>
      </c>
      <c r="M9" s="10">
        <f t="shared" si="4"/>
        <v>0.16513619845229036</v>
      </c>
      <c r="P9" s="8">
        <f t="shared" si="5"/>
        <v>-2.0013602839101789</v>
      </c>
    </row>
    <row r="10" spans="1:16" x14ac:dyDescent="0.2">
      <c r="A10" s="8">
        <v>4</v>
      </c>
      <c r="B10" s="8">
        <v>8</v>
      </c>
      <c r="D10">
        <v>3261.2253108998002</v>
      </c>
      <c r="E10">
        <v>625.38185808338994</v>
      </c>
      <c r="F10">
        <v>131.8724340176</v>
      </c>
      <c r="G10">
        <v>114.48020527859001</v>
      </c>
      <c r="I10" s="9">
        <f t="shared" si="1"/>
        <v>510.90165280479994</v>
      </c>
      <c r="J10" s="9">
        <f t="shared" si="2"/>
        <v>3129.3528768822002</v>
      </c>
      <c r="K10" s="9">
        <f t="shared" si="3"/>
        <v>510.90165280479994</v>
      </c>
      <c r="L10" s="10">
        <f t="shared" si="0"/>
        <v>0.1632611191211569</v>
      </c>
      <c r="M10" s="10">
        <f t="shared" si="4"/>
        <v>0.16346696615263179</v>
      </c>
      <c r="P10" s="8">
        <f t="shared" si="5"/>
        <v>-2.9919516640548594</v>
      </c>
    </row>
    <row r="11" spans="1:16" x14ac:dyDescent="0.2">
      <c r="A11" s="8">
        <v>4.5</v>
      </c>
      <c r="B11" s="8">
        <v>9</v>
      </c>
      <c r="D11">
        <v>3501.3723482077999</v>
      </c>
      <c r="E11">
        <v>637.97147037308002</v>
      </c>
      <c r="F11">
        <v>131.89589442815</v>
      </c>
      <c r="G11">
        <v>114.59604105571999</v>
      </c>
      <c r="I11" s="9">
        <f t="shared" si="1"/>
        <v>523.37542931736004</v>
      </c>
      <c r="J11" s="9">
        <f t="shared" si="2"/>
        <v>3369.47645377965</v>
      </c>
      <c r="K11" s="9">
        <f t="shared" si="3"/>
        <v>523.37542931736004</v>
      </c>
      <c r="L11" s="10">
        <f t="shared" si="0"/>
        <v>0.15532841273613085</v>
      </c>
      <c r="M11" s="10">
        <f t="shared" si="4"/>
        <v>0.15555999064654008</v>
      </c>
      <c r="P11" s="8">
        <f t="shared" si="5"/>
        <v>-7.6842774601418835</v>
      </c>
    </row>
    <row r="12" spans="1:16" x14ac:dyDescent="0.2">
      <c r="A12" s="8">
        <v>5</v>
      </c>
      <c r="B12" s="8">
        <v>10</v>
      </c>
      <c r="D12">
        <v>3470.8361375273998</v>
      </c>
      <c r="E12">
        <v>632.68251645939995</v>
      </c>
      <c r="F12">
        <v>132.32771260997001</v>
      </c>
      <c r="G12">
        <v>114.34090909091</v>
      </c>
      <c r="I12" s="9">
        <f t="shared" si="1"/>
        <v>518.34160736848992</v>
      </c>
      <c r="J12" s="9">
        <f t="shared" si="2"/>
        <v>3338.5084249174297</v>
      </c>
      <c r="K12" s="9">
        <f t="shared" si="3"/>
        <v>518.34160736848992</v>
      </c>
      <c r="L12" s="10">
        <f t="shared" si="0"/>
        <v>0.15526143456753741</v>
      </c>
      <c r="M12" s="10">
        <f t="shared" si="4"/>
        <v>0.15551874335688101</v>
      </c>
      <c r="P12" s="8">
        <f t="shared" si="5"/>
        <v>-7.7087553051961413</v>
      </c>
    </row>
    <row r="13" spans="1:16" x14ac:dyDescent="0.2">
      <c r="A13" s="8">
        <v>5.5</v>
      </c>
      <c r="B13" s="8">
        <v>11</v>
      </c>
      <c r="D13">
        <v>3476.8339429408002</v>
      </c>
      <c r="E13">
        <v>629.95537673737999</v>
      </c>
      <c r="F13">
        <v>132.30131964808999</v>
      </c>
      <c r="G13">
        <v>114.80278592374999</v>
      </c>
      <c r="I13" s="9">
        <f t="shared" si="1"/>
        <v>515.15259081363001</v>
      </c>
      <c r="J13" s="9">
        <f t="shared" si="2"/>
        <v>3344.53262329271</v>
      </c>
      <c r="K13" s="9">
        <f t="shared" si="3"/>
        <v>515.15259081363001</v>
      </c>
      <c r="L13" s="10">
        <f t="shared" si="0"/>
        <v>0.15402827504982133</v>
      </c>
      <c r="M13" s="10">
        <f t="shared" si="4"/>
        <v>0.15431131471809928</v>
      </c>
      <c r="P13" s="8">
        <f t="shared" si="5"/>
        <v>-8.4252933220807034</v>
      </c>
    </row>
    <row r="14" spans="1:16" x14ac:dyDescent="0.2">
      <c r="A14" s="8">
        <v>6</v>
      </c>
      <c r="B14" s="8">
        <v>12</v>
      </c>
      <c r="D14">
        <v>3446.4952450622</v>
      </c>
      <c r="E14">
        <v>622.39795171908997</v>
      </c>
      <c r="F14">
        <v>131.85557184750999</v>
      </c>
      <c r="G14">
        <v>114.42448680352</v>
      </c>
      <c r="I14" s="9">
        <f t="shared" si="1"/>
        <v>507.97346491556999</v>
      </c>
      <c r="J14" s="9">
        <f t="shared" si="2"/>
        <v>3314.63967321469</v>
      </c>
      <c r="K14" s="9">
        <f t="shared" si="3"/>
        <v>507.97346491556999</v>
      </c>
      <c r="L14" s="10">
        <f t="shared" si="0"/>
        <v>0.15325148884823248</v>
      </c>
      <c r="M14" s="10">
        <f t="shared" si="4"/>
        <v>0.15356025939544479</v>
      </c>
      <c r="P14" s="8">
        <f t="shared" si="5"/>
        <v>-8.8710005665340343</v>
      </c>
    </row>
    <row r="15" spans="1:16" x14ac:dyDescent="0.2">
      <c r="A15" s="8">
        <v>6.5</v>
      </c>
      <c r="B15" s="8">
        <v>13</v>
      </c>
      <c r="D15">
        <v>3634.0457227139</v>
      </c>
      <c r="E15">
        <v>654.66666666667004</v>
      </c>
      <c r="F15">
        <v>132.46554252198999</v>
      </c>
      <c r="G15">
        <v>114.66055718475</v>
      </c>
      <c r="I15" s="9">
        <f t="shared" si="1"/>
        <v>540.00610948192002</v>
      </c>
      <c r="J15" s="9">
        <f t="shared" si="2"/>
        <v>3501.5801801919101</v>
      </c>
      <c r="K15" s="9">
        <f t="shared" si="3"/>
        <v>540.00610948192002</v>
      </c>
      <c r="L15" s="10">
        <f t="shared" si="0"/>
        <v>0.15421783357601826</v>
      </c>
      <c r="M15" s="10">
        <f t="shared" si="4"/>
        <v>0.15455233500216492</v>
      </c>
      <c r="P15" s="8">
        <f t="shared" si="5"/>
        <v>-8.2822619322110729</v>
      </c>
    </row>
    <row r="16" spans="1:16" x14ac:dyDescent="0.2">
      <c r="A16" s="8">
        <v>7</v>
      </c>
      <c r="B16" s="8">
        <v>14</v>
      </c>
      <c r="D16">
        <v>3520.6666666667002</v>
      </c>
      <c r="E16">
        <v>634.11209439528</v>
      </c>
      <c r="F16">
        <v>132.03519061584001</v>
      </c>
      <c r="G16">
        <v>114.45967741936001</v>
      </c>
      <c r="I16" s="9">
        <f t="shared" si="1"/>
        <v>519.65241697592</v>
      </c>
      <c r="J16" s="9">
        <f t="shared" si="2"/>
        <v>3388.6314760508603</v>
      </c>
      <c r="K16" s="9">
        <f t="shared" si="3"/>
        <v>519.65241697592</v>
      </c>
      <c r="L16" s="10">
        <f t="shared" si="0"/>
        <v>0.15335170573978357</v>
      </c>
      <c r="M16" s="10">
        <f t="shared" si="4"/>
        <v>0.1537119380448646</v>
      </c>
      <c r="P16" s="8">
        <f t="shared" si="5"/>
        <v>-8.7809881921641004</v>
      </c>
    </row>
    <row r="17" spans="1:16" x14ac:dyDescent="0.2">
      <c r="A17" s="8">
        <v>7.5</v>
      </c>
      <c r="B17" s="8">
        <v>15</v>
      </c>
      <c r="D17">
        <v>3551.2753303965001</v>
      </c>
      <c r="E17">
        <v>646.53450807636</v>
      </c>
      <c r="F17">
        <v>132.18181818182001</v>
      </c>
      <c r="G17">
        <v>114.48680351906</v>
      </c>
      <c r="I17" s="9">
        <f t="shared" si="1"/>
        <v>532.04770455729999</v>
      </c>
      <c r="J17" s="9">
        <f t="shared" si="2"/>
        <v>3419.0935122146802</v>
      </c>
      <c r="K17" s="9">
        <f t="shared" si="3"/>
        <v>532.04770455729999</v>
      </c>
      <c r="L17" s="10">
        <f t="shared" si="0"/>
        <v>0.15561074964945079</v>
      </c>
      <c r="M17" s="10">
        <f t="shared" si="4"/>
        <v>0.15599671283346619</v>
      </c>
      <c r="P17" s="8">
        <f t="shared" si="5"/>
        <v>-7.4251084793023505</v>
      </c>
    </row>
    <row r="18" spans="1:16" x14ac:dyDescent="0.2">
      <c r="A18" s="8">
        <v>8</v>
      </c>
      <c r="B18" s="8">
        <v>16</v>
      </c>
      <c r="D18">
        <v>3535.2422907488999</v>
      </c>
      <c r="E18">
        <v>638.69676945668004</v>
      </c>
      <c r="F18">
        <v>133.05351906158</v>
      </c>
      <c r="G18">
        <v>115.12170087977</v>
      </c>
      <c r="I18" s="9">
        <f t="shared" si="1"/>
        <v>523.5750685769101</v>
      </c>
      <c r="J18" s="9">
        <f t="shared" si="2"/>
        <v>3402.1887716873198</v>
      </c>
      <c r="K18" s="9">
        <f t="shared" si="3"/>
        <v>523.5750685769101</v>
      </c>
      <c r="L18" s="10">
        <f t="shared" si="0"/>
        <v>0.15389359724364807</v>
      </c>
      <c r="M18" s="10">
        <f t="shared" si="4"/>
        <v>0.15430529130659781</v>
      </c>
      <c r="P18" s="8">
        <f t="shared" si="5"/>
        <v>-8.4288678632117602</v>
      </c>
    </row>
    <row r="19" spans="1:16" x14ac:dyDescent="0.2">
      <c r="A19" s="8">
        <v>8.5</v>
      </c>
      <c r="B19" s="8">
        <v>17</v>
      </c>
      <c r="D19">
        <v>3508.6292217328</v>
      </c>
      <c r="E19">
        <v>646.05139500734003</v>
      </c>
      <c r="F19">
        <v>133.68841642229</v>
      </c>
      <c r="G19">
        <v>114.68768328445999</v>
      </c>
      <c r="I19" s="9">
        <f t="shared" si="1"/>
        <v>531.36371172288</v>
      </c>
      <c r="J19" s="9">
        <f t="shared" si="2"/>
        <v>3374.9408053105099</v>
      </c>
      <c r="K19" s="9">
        <f t="shared" si="3"/>
        <v>531.36371172288</v>
      </c>
      <c r="L19" s="10">
        <f t="shared" si="0"/>
        <v>0.15744386120395737</v>
      </c>
      <c r="M19" s="10">
        <f t="shared" si="4"/>
        <v>0.15788128614584149</v>
      </c>
      <c r="P19" s="8">
        <f t="shared" si="5"/>
        <v>-6.3067248493716779</v>
      </c>
    </row>
    <row r="20" spans="1:16" x14ac:dyDescent="0.2">
      <c r="A20" s="8">
        <v>9</v>
      </c>
      <c r="B20" s="8">
        <v>18</v>
      </c>
      <c r="D20">
        <v>3590.7782672540002</v>
      </c>
      <c r="E20">
        <v>652.47356828193995</v>
      </c>
      <c r="F20">
        <v>133.26466275659999</v>
      </c>
      <c r="G20">
        <v>114.71480938416001</v>
      </c>
      <c r="I20" s="9">
        <f t="shared" si="1"/>
        <v>537.7587588977799</v>
      </c>
      <c r="J20" s="9">
        <f t="shared" si="2"/>
        <v>3457.5136044974001</v>
      </c>
      <c r="K20" s="9">
        <f t="shared" si="3"/>
        <v>537.7587588977799</v>
      </c>
      <c r="L20" s="10">
        <f t="shared" si="0"/>
        <v>0.15553337467661271</v>
      </c>
      <c r="M20" s="10">
        <f t="shared" si="4"/>
        <v>0.15599653049743117</v>
      </c>
      <c r="P20" s="8">
        <f t="shared" si="5"/>
        <v>-7.4252166850353793</v>
      </c>
    </row>
    <row r="21" spans="1:16" x14ac:dyDescent="0.2">
      <c r="A21" s="8">
        <v>9.5</v>
      </c>
      <c r="B21" s="8">
        <v>19</v>
      </c>
      <c r="D21">
        <v>3587.3590308369999</v>
      </c>
      <c r="E21">
        <v>646.97944199706001</v>
      </c>
      <c r="F21">
        <v>133.07771260997001</v>
      </c>
      <c r="G21">
        <v>114.74926686217</v>
      </c>
      <c r="I21" s="9">
        <f t="shared" si="1"/>
        <v>532.23017513489003</v>
      </c>
      <c r="J21" s="9">
        <f t="shared" si="2"/>
        <v>3454.2813182270297</v>
      </c>
      <c r="K21" s="9">
        <f t="shared" si="3"/>
        <v>532.23017513489003</v>
      </c>
      <c r="L21" s="10">
        <f t="shared" si="0"/>
        <v>0.15407841055865898</v>
      </c>
      <c r="M21" s="10">
        <f t="shared" si="4"/>
        <v>0.15456729725841181</v>
      </c>
      <c r="P21" s="8">
        <f t="shared" si="5"/>
        <v>-8.2733827114646736</v>
      </c>
    </row>
    <row r="22" spans="1:16" x14ac:dyDescent="0.2">
      <c r="A22" s="8">
        <v>10</v>
      </c>
      <c r="B22" s="8">
        <v>20</v>
      </c>
      <c r="D22">
        <v>3578.1336270191</v>
      </c>
      <c r="E22">
        <v>645.89941262849004</v>
      </c>
      <c r="F22">
        <v>133.74633431084999</v>
      </c>
      <c r="G22">
        <v>114.71554252199</v>
      </c>
      <c r="I22" s="9">
        <f t="shared" si="1"/>
        <v>531.18387010650008</v>
      </c>
      <c r="J22" s="9">
        <f t="shared" si="2"/>
        <v>3444.3872927082502</v>
      </c>
      <c r="K22" s="9">
        <f t="shared" si="3"/>
        <v>531.18387010650008</v>
      </c>
      <c r="L22" s="10">
        <f t="shared" si="0"/>
        <v>0.15421723080648148</v>
      </c>
      <c r="M22" s="10">
        <f t="shared" si="4"/>
        <v>0.15473184838516865</v>
      </c>
      <c r="P22" s="8">
        <f t="shared" si="5"/>
        <v>-8.1757312774541049</v>
      </c>
    </row>
    <row r="23" spans="1:16" x14ac:dyDescent="0.2">
      <c r="A23" s="8">
        <v>10.5</v>
      </c>
      <c r="B23" s="8">
        <v>21</v>
      </c>
      <c r="D23">
        <v>3560.5822320118</v>
      </c>
      <c r="E23">
        <v>642.20264317181</v>
      </c>
      <c r="F23">
        <v>133.76099706745001</v>
      </c>
      <c r="G23">
        <v>114.97140762463</v>
      </c>
      <c r="I23" s="9">
        <f t="shared" si="1"/>
        <v>527.23123554717995</v>
      </c>
      <c r="J23" s="9">
        <f t="shared" si="2"/>
        <v>3426.8212349443502</v>
      </c>
      <c r="K23" s="9">
        <f t="shared" si="3"/>
        <v>527.23123554717995</v>
      </c>
      <c r="L23" s="10">
        <f t="shared" si="0"/>
        <v>0.15385431553033491</v>
      </c>
      <c r="M23" s="10">
        <f t="shared" si="4"/>
        <v>0.15439466398795645</v>
      </c>
      <c r="P23" s="8">
        <f t="shared" si="5"/>
        <v>-8.3758304233105587</v>
      </c>
    </row>
    <row r="24" spans="1:16" x14ac:dyDescent="0.2">
      <c r="A24" s="8">
        <v>11</v>
      </c>
      <c r="B24" s="8">
        <v>22</v>
      </c>
      <c r="D24">
        <v>3580.5249632893001</v>
      </c>
      <c r="E24">
        <v>651.21732745962004</v>
      </c>
      <c r="F24">
        <v>133.82258064516</v>
      </c>
      <c r="G24">
        <v>114.83870967742</v>
      </c>
      <c r="I24" s="9">
        <f t="shared" si="1"/>
        <v>536.37861778220008</v>
      </c>
      <c r="J24" s="9">
        <f t="shared" si="2"/>
        <v>3446.70238264414</v>
      </c>
      <c r="K24" s="9">
        <f t="shared" si="3"/>
        <v>536.37861778220008</v>
      </c>
      <c r="L24" s="10">
        <f t="shared" si="0"/>
        <v>0.15562081033834924</v>
      </c>
      <c r="M24" s="10">
        <f t="shared" si="4"/>
        <v>0.15618688967490515</v>
      </c>
      <c r="P24" s="8">
        <f t="shared" si="5"/>
        <v>-7.312249687945922</v>
      </c>
    </row>
    <row r="25" spans="1:16" x14ac:dyDescent="0.2">
      <c r="A25" s="8">
        <v>11.5</v>
      </c>
      <c r="B25" s="8">
        <v>23</v>
      </c>
      <c r="D25">
        <v>3582.9882525697999</v>
      </c>
      <c r="E25">
        <v>651.18135095447997</v>
      </c>
      <c r="F25">
        <v>134.10117302053001</v>
      </c>
      <c r="G25">
        <v>115.22947214076</v>
      </c>
      <c r="I25" s="9">
        <f t="shared" si="1"/>
        <v>535.95187881371999</v>
      </c>
      <c r="J25" s="9">
        <f t="shared" si="2"/>
        <v>3448.8870795492699</v>
      </c>
      <c r="K25" s="9">
        <f t="shared" si="3"/>
        <v>535.95187881371999</v>
      </c>
      <c r="L25" s="10">
        <f t="shared" si="0"/>
        <v>0.15539849999489191</v>
      </c>
      <c r="M25" s="10">
        <f t="shared" si="4"/>
        <v>0.15599031021038218</v>
      </c>
      <c r="P25" s="8">
        <f t="shared" si="5"/>
        <v>-7.42890806024662</v>
      </c>
    </row>
    <row r="26" spans="1:16" x14ac:dyDescent="0.2">
      <c r="A26" s="8">
        <v>12</v>
      </c>
      <c r="B26" s="8">
        <v>24</v>
      </c>
      <c r="D26">
        <v>3604.1035242291</v>
      </c>
      <c r="E26">
        <v>653.12848751835998</v>
      </c>
      <c r="F26">
        <v>134.45747800587</v>
      </c>
      <c r="G26">
        <v>115.40322580645</v>
      </c>
      <c r="I26" s="9">
        <f t="shared" si="1"/>
        <v>537.72526171190998</v>
      </c>
      <c r="J26" s="9">
        <f t="shared" si="2"/>
        <v>3469.6460462232299</v>
      </c>
      <c r="K26" s="9">
        <f t="shared" si="3"/>
        <v>537.72526171190998</v>
      </c>
      <c r="L26" s="10">
        <f t="shared" si="0"/>
        <v>0.15497986092766819</v>
      </c>
      <c r="M26" s="10">
        <f t="shared" si="4"/>
        <v>0.15559740202209282</v>
      </c>
      <c r="P26" s="8">
        <f t="shared" si="5"/>
        <v>-7.6620760049283199</v>
      </c>
    </row>
    <row r="27" spans="1:16" x14ac:dyDescent="0.2">
      <c r="A27" s="8">
        <v>12.5</v>
      </c>
      <c r="B27" s="8">
        <v>25</v>
      </c>
      <c r="D27">
        <v>3598.2643171805998</v>
      </c>
      <c r="E27">
        <v>653.43318649046</v>
      </c>
      <c r="F27">
        <v>134.07917888563</v>
      </c>
      <c r="G27">
        <v>115.27126099707</v>
      </c>
      <c r="I27" s="9">
        <f t="shared" si="1"/>
        <v>538.16192549338996</v>
      </c>
      <c r="J27" s="9">
        <f t="shared" si="2"/>
        <v>3464.1851382949699</v>
      </c>
      <c r="K27" s="9">
        <f t="shared" si="3"/>
        <v>538.16192549338996</v>
      </c>
      <c r="L27" s="10">
        <f t="shared" si="0"/>
        <v>0.15535022061732728</v>
      </c>
      <c r="M27" s="10">
        <f t="shared" si="4"/>
        <v>0.15599349259068626</v>
      </c>
      <c r="P27" s="8">
        <f t="shared" si="5"/>
        <v>-7.427019504352864</v>
      </c>
    </row>
    <row r="28" spans="1:16" x14ac:dyDescent="0.2">
      <c r="A28" s="8">
        <v>13</v>
      </c>
      <c r="B28" s="8">
        <v>26</v>
      </c>
      <c r="D28">
        <v>3618.3847283406999</v>
      </c>
      <c r="E28">
        <v>659.30249632893003</v>
      </c>
      <c r="F28">
        <v>134.01319648094</v>
      </c>
      <c r="G28">
        <v>115.43768328445999</v>
      </c>
      <c r="I28" s="9">
        <f t="shared" si="1"/>
        <v>543.86481304447</v>
      </c>
      <c r="J28" s="9">
        <f t="shared" si="2"/>
        <v>3484.3715318597597</v>
      </c>
      <c r="K28" s="9">
        <f t="shared" si="3"/>
        <v>543.86481304447</v>
      </c>
      <c r="L28" s="10">
        <f t="shared" si="0"/>
        <v>0.15608691784776058</v>
      </c>
      <c r="M28" s="10">
        <f t="shared" si="4"/>
        <v>0.15675592070005392</v>
      </c>
      <c r="P28" s="8">
        <f t="shared" si="5"/>
        <v>-6.9745631786071334</v>
      </c>
    </row>
    <row r="29" spans="1:16" x14ac:dyDescent="0.2">
      <c r="A29" s="8">
        <v>13.5</v>
      </c>
      <c r="B29" s="8">
        <v>27</v>
      </c>
      <c r="D29">
        <v>3604.3590308369999</v>
      </c>
      <c r="E29">
        <v>656.74155653450998</v>
      </c>
      <c r="F29">
        <v>133.80498533724</v>
      </c>
      <c r="G29">
        <v>115.22507331378</v>
      </c>
      <c r="I29" s="9">
        <f t="shared" si="1"/>
        <v>541.51648322072992</v>
      </c>
      <c r="J29" s="9">
        <f t="shared" si="2"/>
        <v>3470.5540454997599</v>
      </c>
      <c r="K29" s="9">
        <f t="shared" si="3"/>
        <v>541.51648322072992</v>
      </c>
      <c r="L29" s="10">
        <f t="shared" si="0"/>
        <v>0.15603171024606577</v>
      </c>
      <c r="M29" s="10">
        <f t="shared" si="4"/>
        <v>0.15672644397729346</v>
      </c>
      <c r="P29" s="8">
        <f t="shared" si="5"/>
        <v>-6.9920558831800079</v>
      </c>
    </row>
    <row r="30" spans="1:16" x14ac:dyDescent="0.2">
      <c r="A30" s="8">
        <v>14</v>
      </c>
      <c r="B30" s="8">
        <v>28</v>
      </c>
      <c r="D30">
        <v>3446.4720998531998</v>
      </c>
      <c r="E30">
        <v>634.04552129221997</v>
      </c>
      <c r="F30">
        <v>133.99853372434001</v>
      </c>
      <c r="G30">
        <v>115.53445747801</v>
      </c>
      <c r="I30" s="9">
        <f t="shared" si="1"/>
        <v>518.51106381420993</v>
      </c>
      <c r="J30" s="9">
        <f t="shared" si="2"/>
        <v>3312.4735661288596</v>
      </c>
      <c r="K30" s="9">
        <f t="shared" si="3"/>
        <v>518.51106381420993</v>
      </c>
      <c r="L30" s="10">
        <f t="shared" si="0"/>
        <v>0.15653289104437162</v>
      </c>
      <c r="M30" s="10">
        <f t="shared" si="4"/>
        <v>0.15725335565453369</v>
      </c>
      <c r="P30" s="8">
        <f t="shared" si="5"/>
        <v>-6.6793647342737072</v>
      </c>
    </row>
    <row r="31" spans="1:16" x14ac:dyDescent="0.2">
      <c r="A31" s="8">
        <v>14.5</v>
      </c>
      <c r="B31" s="8">
        <v>29</v>
      </c>
      <c r="D31">
        <v>3469.453010279</v>
      </c>
      <c r="E31">
        <v>636.48751835535995</v>
      </c>
      <c r="F31">
        <v>134.44354838710001</v>
      </c>
      <c r="G31">
        <v>114.98387096774</v>
      </c>
      <c r="I31" s="9">
        <f t="shared" si="1"/>
        <v>521.50364738761994</v>
      </c>
      <c r="J31" s="9">
        <f t="shared" si="2"/>
        <v>3335.0094618919002</v>
      </c>
      <c r="K31" s="9">
        <f t="shared" si="3"/>
        <v>521.50364738761994</v>
      </c>
      <c r="L31" s="10">
        <f t="shared" si="0"/>
        <v>0.1563724641104253</v>
      </c>
      <c r="M31" s="10">
        <f t="shared" si="4"/>
        <v>0.15711865959952173</v>
      </c>
      <c r="P31" s="8">
        <f t="shared" si="5"/>
        <v>-6.7592989357995403</v>
      </c>
    </row>
    <row r="32" spans="1:16" x14ac:dyDescent="0.2">
      <c r="A32" s="8">
        <v>15</v>
      </c>
      <c r="B32" s="8">
        <v>30</v>
      </c>
      <c r="D32">
        <v>3451.8399412629001</v>
      </c>
      <c r="E32">
        <v>629.26872246695996</v>
      </c>
      <c r="F32">
        <v>134.12390029325999</v>
      </c>
      <c r="G32">
        <v>115.38929618768</v>
      </c>
      <c r="I32" s="9">
        <f t="shared" si="1"/>
        <v>513.87942627927998</v>
      </c>
      <c r="J32" s="9">
        <f t="shared" si="2"/>
        <v>3317.7160409696403</v>
      </c>
      <c r="K32" s="9">
        <f t="shared" si="3"/>
        <v>513.87942627927998</v>
      </c>
      <c r="L32" s="10">
        <f t="shared" si="0"/>
        <v>0.15488951433260481</v>
      </c>
      <c r="M32" s="10">
        <f t="shared" si="4"/>
        <v>0.15566144070063559</v>
      </c>
      <c r="P32" s="8">
        <f t="shared" si="5"/>
        <v>-7.6240728085048532</v>
      </c>
    </row>
    <row r="33" spans="1:16" x14ac:dyDescent="0.2">
      <c r="A33" s="8">
        <v>15.5</v>
      </c>
      <c r="B33" s="8">
        <v>31</v>
      </c>
      <c r="D33">
        <v>3463.6850220264</v>
      </c>
      <c r="E33">
        <v>631.31864904552003</v>
      </c>
      <c r="F33">
        <v>134.57991202346</v>
      </c>
      <c r="G33">
        <v>115.25586510264</v>
      </c>
      <c r="I33" s="9">
        <f t="shared" si="1"/>
        <v>516.06278394288006</v>
      </c>
      <c r="J33" s="9">
        <f t="shared" si="2"/>
        <v>3329.1051100029399</v>
      </c>
      <c r="K33" s="9">
        <f t="shared" si="3"/>
        <v>516.06278394288006</v>
      </c>
      <c r="L33" s="10">
        <f t="shared" si="0"/>
        <v>0.15501546718734402</v>
      </c>
      <c r="M33" s="10">
        <f t="shared" si="4"/>
        <v>0.15581312443430917</v>
      </c>
      <c r="P33" s="8">
        <f t="shared" si="5"/>
        <v>-7.5340574169287713</v>
      </c>
    </row>
    <row r="34" spans="1:16" x14ac:dyDescent="0.2">
      <c r="A34" s="8">
        <v>16</v>
      </c>
      <c r="B34" s="8">
        <v>32</v>
      </c>
      <c r="D34">
        <v>3452.9236417033999</v>
      </c>
      <c r="E34">
        <v>628.54185022026002</v>
      </c>
      <c r="F34">
        <v>133.81891495600999</v>
      </c>
      <c r="G34">
        <v>115.53079178886</v>
      </c>
      <c r="I34" s="9">
        <f t="shared" si="1"/>
        <v>513.01105843139999</v>
      </c>
      <c r="J34" s="9">
        <f t="shared" si="2"/>
        <v>3319.10472674739</v>
      </c>
      <c r="K34" s="9">
        <f t="shared" si="3"/>
        <v>513.01105843139999</v>
      </c>
      <c r="L34" s="10">
        <f t="shared" si="0"/>
        <v>0.15456308271843336</v>
      </c>
      <c r="M34" s="10">
        <f t="shared" si="4"/>
        <v>0.15538647084433285</v>
      </c>
      <c r="P34" s="8">
        <f t="shared" si="5"/>
        <v>-7.7872512765400259</v>
      </c>
    </row>
    <row r="35" spans="1:16" x14ac:dyDescent="0.2">
      <c r="A35" s="8">
        <v>16.5</v>
      </c>
      <c r="B35" s="8">
        <v>33</v>
      </c>
      <c r="D35">
        <v>3475.8524229075001</v>
      </c>
      <c r="E35">
        <v>633.98825256974999</v>
      </c>
      <c r="F35">
        <v>134.64516129032</v>
      </c>
      <c r="G35">
        <v>115.46260997067</v>
      </c>
      <c r="I35" s="9">
        <f t="shared" si="1"/>
        <v>518.52564259908002</v>
      </c>
      <c r="J35" s="9">
        <f t="shared" si="2"/>
        <v>3341.2072616171799</v>
      </c>
      <c r="K35" s="9">
        <f t="shared" si="3"/>
        <v>518.52564259908002</v>
      </c>
      <c r="L35" s="10">
        <f t="shared" si="0"/>
        <v>0.15519110369349193</v>
      </c>
      <c r="M35" s="10">
        <f t="shared" si="4"/>
        <v>0.15604022269832579</v>
      </c>
      <c r="P35" s="8">
        <f t="shared" si="5"/>
        <v>-7.399287928687559</v>
      </c>
    </row>
    <row r="36" spans="1:16" x14ac:dyDescent="0.2">
      <c r="A36" s="8">
        <v>17</v>
      </c>
      <c r="B36" s="8">
        <v>34</v>
      </c>
      <c r="D36">
        <v>3461.4361233479999</v>
      </c>
      <c r="E36">
        <v>628.60205580029003</v>
      </c>
      <c r="F36">
        <v>134.32038123167001</v>
      </c>
      <c r="G36">
        <v>115.73973607038</v>
      </c>
      <c r="I36" s="9">
        <f t="shared" si="1"/>
        <v>512.86231972991004</v>
      </c>
      <c r="J36" s="9">
        <f t="shared" si="2"/>
        <v>3327.1157421163298</v>
      </c>
      <c r="K36" s="9">
        <f t="shared" si="3"/>
        <v>512.86231972991004</v>
      </c>
      <c r="L36" s="10">
        <f t="shared" si="0"/>
        <v>0.15414622137662268</v>
      </c>
      <c r="M36" s="10">
        <f t="shared" si="4"/>
        <v>0.15502107126039089</v>
      </c>
      <c r="P36" s="8">
        <f t="shared" si="5"/>
        <v>-8.0040944793916609</v>
      </c>
    </row>
    <row r="37" spans="1:16" x14ac:dyDescent="0.2">
      <c r="A37" s="8">
        <v>17.5</v>
      </c>
      <c r="B37" s="8">
        <v>35</v>
      </c>
      <c r="D37">
        <v>3456.1549192364</v>
      </c>
      <c r="E37">
        <v>627.97430249632998</v>
      </c>
      <c r="F37">
        <v>135.05351906158</v>
      </c>
      <c r="G37">
        <v>115.45161290323</v>
      </c>
      <c r="I37" s="9">
        <f t="shared" si="1"/>
        <v>512.52268959310004</v>
      </c>
      <c r="J37" s="9">
        <f t="shared" si="2"/>
        <v>3321.1014001748199</v>
      </c>
      <c r="K37" s="9">
        <f t="shared" si="3"/>
        <v>512.52268959310004</v>
      </c>
      <c r="L37" s="10">
        <f t="shared" si="0"/>
        <v>0.15432310785997722</v>
      </c>
      <c r="M37" s="10">
        <f t="shared" si="4"/>
        <v>0.1552236886226798</v>
      </c>
      <c r="P37" s="8">
        <f t="shared" si="5"/>
        <v>-7.8838529692123407</v>
      </c>
    </row>
    <row r="38" spans="1:16" x14ac:dyDescent="0.2">
      <c r="A38" s="8">
        <v>18</v>
      </c>
      <c r="B38" s="8">
        <v>36</v>
      </c>
      <c r="D38">
        <v>3461.4471365639001</v>
      </c>
      <c r="E38">
        <v>631.43171806167004</v>
      </c>
      <c r="F38">
        <v>134.06085043988</v>
      </c>
      <c r="G38">
        <v>115.40395894428001</v>
      </c>
      <c r="I38" s="9">
        <f t="shared" si="1"/>
        <v>516.02775911739002</v>
      </c>
      <c r="J38" s="9">
        <f t="shared" si="2"/>
        <v>3327.38628612402</v>
      </c>
      <c r="K38" s="9">
        <f t="shared" si="3"/>
        <v>516.02775911739002</v>
      </c>
      <c r="L38" s="10">
        <f t="shared" si="0"/>
        <v>0.15508501711068132</v>
      </c>
      <c r="M38" s="10">
        <f t="shared" si="4"/>
        <v>0.15601132875231827</v>
      </c>
      <c r="P38" s="8">
        <f t="shared" si="5"/>
        <v>-7.4164347894685747</v>
      </c>
    </row>
    <row r="39" spans="1:16" x14ac:dyDescent="0.2">
      <c r="A39" s="8">
        <v>18.5</v>
      </c>
      <c r="B39" s="8">
        <v>37</v>
      </c>
      <c r="D39">
        <v>3442.3274596182</v>
      </c>
      <c r="E39">
        <v>628.51248164464005</v>
      </c>
      <c r="F39">
        <v>135.03225806451999</v>
      </c>
      <c r="G39">
        <v>115.33357771260999</v>
      </c>
      <c r="I39" s="9">
        <f t="shared" si="1"/>
        <v>513.17890393203004</v>
      </c>
      <c r="J39" s="9">
        <f t="shared" si="2"/>
        <v>3307.2952015536798</v>
      </c>
      <c r="K39" s="9">
        <f t="shared" si="3"/>
        <v>513.17890393203004</v>
      </c>
      <c r="L39" s="10">
        <f t="shared" si="0"/>
        <v>0.15516573896728425</v>
      </c>
      <c r="M39" s="10">
        <f t="shared" si="4"/>
        <v>0.15611778148785554</v>
      </c>
      <c r="P39" s="8">
        <f t="shared" si="5"/>
        <v>-7.3532613400705387</v>
      </c>
    </row>
    <row r="40" spans="1:16" x14ac:dyDescent="0.2">
      <c r="A40" s="8">
        <v>19</v>
      </c>
      <c r="B40" s="8">
        <v>38</v>
      </c>
      <c r="D40">
        <v>3482.4111600586998</v>
      </c>
      <c r="E40">
        <v>634.48678414097003</v>
      </c>
      <c r="F40">
        <v>134.55131964808999</v>
      </c>
      <c r="G40">
        <v>115.63856304985001</v>
      </c>
      <c r="I40" s="9">
        <f t="shared" si="1"/>
        <v>518.84822109111997</v>
      </c>
      <c r="J40" s="9">
        <f t="shared" si="2"/>
        <v>3347.8598404106096</v>
      </c>
      <c r="K40" s="9">
        <f t="shared" si="3"/>
        <v>518.84822109111997</v>
      </c>
      <c r="L40" s="10">
        <f t="shared" si="0"/>
        <v>0.15497907493865815</v>
      </c>
      <c r="M40" s="10">
        <f t="shared" si="4"/>
        <v>0.15595684833816381</v>
      </c>
      <c r="P40" s="8">
        <f t="shared" si="5"/>
        <v>-7.44876571708072</v>
      </c>
    </row>
    <row r="41" spans="1:16" x14ac:dyDescent="0.2">
      <c r="A41" s="8">
        <v>19.5</v>
      </c>
      <c r="B41" s="8">
        <v>39</v>
      </c>
      <c r="D41">
        <v>3397.4779735683001</v>
      </c>
      <c r="E41">
        <v>615.81277533039997</v>
      </c>
      <c r="F41">
        <v>135.11363636364001</v>
      </c>
      <c r="G41">
        <v>115.357771261</v>
      </c>
      <c r="I41" s="9">
        <f t="shared" si="1"/>
        <v>500.45500406939999</v>
      </c>
      <c r="J41" s="9">
        <f t="shared" si="2"/>
        <v>3262.3643372046599</v>
      </c>
      <c r="K41" s="9">
        <f t="shared" si="3"/>
        <v>500.45500406939999</v>
      </c>
      <c r="L41" s="10">
        <f t="shared" si="0"/>
        <v>0.15340254868596689</v>
      </c>
      <c r="M41" s="10">
        <f t="shared" si="4"/>
        <v>0.1544060529644069</v>
      </c>
      <c r="P41" s="8">
        <f t="shared" si="5"/>
        <v>-8.3690717343594798</v>
      </c>
    </row>
    <row r="42" spans="1:16" x14ac:dyDescent="0.2">
      <c r="A42" s="8">
        <v>20</v>
      </c>
      <c r="B42" s="8">
        <v>40</v>
      </c>
      <c r="D42">
        <v>3373.3472834068002</v>
      </c>
      <c r="E42">
        <v>610.19456681351005</v>
      </c>
      <c r="F42">
        <v>134.3357771261</v>
      </c>
      <c r="G42">
        <v>115.65982404691999</v>
      </c>
      <c r="I42" s="9">
        <f t="shared" si="1"/>
        <v>494.53474276659006</v>
      </c>
      <c r="J42" s="9">
        <f t="shared" si="2"/>
        <v>3239.0115062807004</v>
      </c>
      <c r="K42" s="9">
        <f t="shared" si="3"/>
        <v>494.53474276659006</v>
      </c>
      <c r="L42" s="10">
        <f t="shared" si="0"/>
        <v>0.15268076133957781</v>
      </c>
      <c r="M42" s="10">
        <f t="shared" si="4"/>
        <v>0.15370999649695219</v>
      </c>
      <c r="P42" s="8">
        <f t="shared" si="5"/>
        <v>-8.7821403868745485</v>
      </c>
    </row>
    <row r="43" spans="1:16" x14ac:dyDescent="0.2">
      <c r="A43" s="8">
        <v>20.5</v>
      </c>
      <c r="B43" s="8">
        <v>41</v>
      </c>
      <c r="D43">
        <v>3352.2698529412</v>
      </c>
      <c r="E43">
        <v>609.20588235293997</v>
      </c>
      <c r="F43">
        <v>135.22140762462999</v>
      </c>
      <c r="G43">
        <v>115.55571847506999</v>
      </c>
      <c r="I43" s="9">
        <f t="shared" si="1"/>
        <v>493.65016387787</v>
      </c>
      <c r="J43" s="9">
        <f t="shared" si="2"/>
        <v>3217.04844531657</v>
      </c>
      <c r="K43" s="9">
        <f t="shared" si="3"/>
        <v>493.65016387787</v>
      </c>
      <c r="L43" s="10">
        <f t="shared" si="0"/>
        <v>0.15344815978650669</v>
      </c>
      <c r="M43" s="10">
        <f t="shared" si="4"/>
        <v>0.15450312582281542</v>
      </c>
      <c r="P43" s="8">
        <f t="shared" si="5"/>
        <v>-8.3114646914061723</v>
      </c>
    </row>
    <row r="44" spans="1:16" x14ac:dyDescent="0.2">
      <c r="A44" s="8">
        <v>21</v>
      </c>
      <c r="B44" s="8">
        <v>42</v>
      </c>
      <c r="D44">
        <v>3339.7727941177</v>
      </c>
      <c r="E44">
        <v>599.63382352941005</v>
      </c>
      <c r="F44">
        <v>134.5857771261</v>
      </c>
      <c r="G44">
        <v>115.89002932551</v>
      </c>
      <c r="I44" s="9">
        <f t="shared" si="1"/>
        <v>483.74379420390005</v>
      </c>
      <c r="J44" s="9">
        <f t="shared" si="2"/>
        <v>3205.1870169916001</v>
      </c>
      <c r="K44" s="9">
        <f t="shared" si="3"/>
        <v>483.74379420390005</v>
      </c>
      <c r="L44" s="10">
        <f t="shared" si="0"/>
        <v>0.15092529441790378</v>
      </c>
      <c r="M44" s="10">
        <f t="shared" si="4"/>
        <v>0.15200599133314688</v>
      </c>
      <c r="P44" s="8">
        <f t="shared" si="5"/>
        <v>-9.793367420603067</v>
      </c>
    </row>
    <row r="45" spans="1:16" x14ac:dyDescent="0.2">
      <c r="A45" s="8">
        <v>21.5</v>
      </c>
      <c r="B45" s="8">
        <v>43</v>
      </c>
      <c r="D45">
        <v>3304.7227941176998</v>
      </c>
      <c r="E45">
        <v>591.23161764706003</v>
      </c>
      <c r="F45">
        <v>134.9508797654</v>
      </c>
      <c r="G45">
        <v>115.98973607038</v>
      </c>
      <c r="I45" s="9">
        <f t="shared" si="1"/>
        <v>475.24188157668004</v>
      </c>
      <c r="J45" s="9">
        <f t="shared" si="2"/>
        <v>3169.7719143523</v>
      </c>
      <c r="K45" s="9">
        <f t="shared" si="3"/>
        <v>475.24188157668004</v>
      </c>
      <c r="L45" s="10">
        <f t="shared" si="0"/>
        <v>0.14992936224365194</v>
      </c>
      <c r="M45" s="10">
        <f t="shared" si="4"/>
        <v>0.15103579003782941</v>
      </c>
      <c r="P45" s="8">
        <f t="shared" si="5"/>
        <v>-10.369124935206198</v>
      </c>
    </row>
    <row r="46" spans="1:16" x14ac:dyDescent="0.2">
      <c r="A46" s="8">
        <v>22</v>
      </c>
      <c r="B46" s="8">
        <v>44</v>
      </c>
      <c r="D46">
        <v>3440.5359765050998</v>
      </c>
      <c r="E46">
        <v>619.07488986784006</v>
      </c>
      <c r="F46">
        <v>134.65322580645</v>
      </c>
      <c r="G46">
        <v>115.63416422287</v>
      </c>
      <c r="I46" s="9">
        <f t="shared" si="1"/>
        <v>503.44072564497003</v>
      </c>
      <c r="J46" s="9">
        <f t="shared" si="2"/>
        <v>3305.8827506986499</v>
      </c>
      <c r="K46" s="9">
        <f t="shared" si="3"/>
        <v>503.44072564497003</v>
      </c>
      <c r="L46" s="10">
        <f t="shared" si="0"/>
        <v>0.15228632217478832</v>
      </c>
      <c r="M46" s="10">
        <f t="shared" si="4"/>
        <v>0.15341848084790013</v>
      </c>
      <c r="P46" s="8">
        <f t="shared" si="5"/>
        <v>-8.9551378116112446</v>
      </c>
    </row>
    <row r="47" spans="1:16" x14ac:dyDescent="0.2">
      <c r="A47" s="8">
        <v>22.5</v>
      </c>
      <c r="B47" s="8">
        <v>45</v>
      </c>
      <c r="D47">
        <v>3413.0499265786002</v>
      </c>
      <c r="E47">
        <v>614.41703377386</v>
      </c>
      <c r="F47">
        <v>134.45894428152999</v>
      </c>
      <c r="G47">
        <v>115.60850439882999</v>
      </c>
      <c r="I47" s="9">
        <f t="shared" si="1"/>
        <v>498.80852937502999</v>
      </c>
      <c r="J47" s="9">
        <f t="shared" si="2"/>
        <v>3278.5909822970702</v>
      </c>
      <c r="K47" s="9">
        <f t="shared" si="3"/>
        <v>498.80852937502999</v>
      </c>
      <c r="L47" s="10">
        <f t="shared" si="0"/>
        <v>0.15214112771869798</v>
      </c>
      <c r="M47" s="10">
        <f t="shared" si="4"/>
        <v>0.15329901727074416</v>
      </c>
      <c r="P47" s="8">
        <f t="shared" si="5"/>
        <v>-9.0260324317286287</v>
      </c>
    </row>
    <row r="48" spans="1:16" x14ac:dyDescent="0.2">
      <c r="A48" s="8">
        <v>23</v>
      </c>
      <c r="B48" s="8">
        <v>46</v>
      </c>
      <c r="D48">
        <v>3420.5808823529001</v>
      </c>
      <c r="E48">
        <v>624.89632352940998</v>
      </c>
      <c r="F48">
        <v>134.38123167155001</v>
      </c>
      <c r="G48">
        <v>115.1862170088</v>
      </c>
      <c r="I48" s="9">
        <f t="shared" si="1"/>
        <v>509.71010652061</v>
      </c>
      <c r="J48" s="9">
        <f t="shared" si="2"/>
        <v>3286.1996506813502</v>
      </c>
      <c r="K48" s="9">
        <f t="shared" si="3"/>
        <v>509.71010652061</v>
      </c>
      <c r="L48" s="10">
        <f t="shared" si="0"/>
        <v>0.15510625059403446</v>
      </c>
      <c r="M48" s="10">
        <f t="shared" si="4"/>
        <v>0.15628987102501499</v>
      </c>
      <c r="P48" s="8">
        <f t="shared" si="5"/>
        <v>-7.251136302016759</v>
      </c>
    </row>
    <row r="49" spans="1:25" x14ac:dyDescent="0.2">
      <c r="A49" s="8">
        <v>23.5</v>
      </c>
      <c r="B49" s="8">
        <v>47</v>
      </c>
      <c r="D49">
        <v>3416.5419117647002</v>
      </c>
      <c r="E49">
        <v>619.46911764705999</v>
      </c>
      <c r="F49">
        <v>134.76319648094</v>
      </c>
      <c r="G49">
        <v>115.93914956012</v>
      </c>
      <c r="I49" s="9">
        <f t="shared" si="1"/>
        <v>503.52996808694002</v>
      </c>
      <c r="J49" s="9">
        <f t="shared" si="2"/>
        <v>3281.77871528376</v>
      </c>
      <c r="K49" s="9">
        <f t="shared" si="3"/>
        <v>503.52996808694002</v>
      </c>
      <c r="L49" s="10">
        <f t="shared" si="0"/>
        <v>0.15343202932663366</v>
      </c>
      <c r="M49" s="10">
        <f t="shared" si="4"/>
        <v>0.15464138063654856</v>
      </c>
      <c r="P49" s="8">
        <f t="shared" si="5"/>
        <v>-8.2294185754907474</v>
      </c>
    </row>
    <row r="50" spans="1:25" x14ac:dyDescent="0.2">
      <c r="A50" s="8">
        <v>24</v>
      </c>
      <c r="B50" s="8">
        <v>48</v>
      </c>
      <c r="D50">
        <v>3334.8546384222</v>
      </c>
      <c r="E50">
        <v>613.86121256392005</v>
      </c>
      <c r="F50">
        <v>134.15982404691999</v>
      </c>
      <c r="G50">
        <v>115.54032258065</v>
      </c>
      <c r="I50" s="9">
        <f t="shared" si="1"/>
        <v>498.32088998327004</v>
      </c>
      <c r="J50" s="9">
        <f t="shared" si="2"/>
        <v>3200.6948143752797</v>
      </c>
      <c r="K50" s="9">
        <f t="shared" si="3"/>
        <v>498.32088998327004</v>
      </c>
      <c r="L50" s="10">
        <f t="shared" si="0"/>
        <v>0.15569147290930754</v>
      </c>
      <c r="M50" s="10">
        <f t="shared" si="4"/>
        <v>0.15692655509815678</v>
      </c>
      <c r="P50" s="8">
        <f t="shared" si="5"/>
        <v>-6.8733016801617444</v>
      </c>
    </row>
    <row r="51" spans="1:25" x14ac:dyDescent="0.2">
      <c r="A51" s="8">
        <v>24.5</v>
      </c>
      <c r="B51" s="8">
        <v>49</v>
      </c>
      <c r="D51">
        <v>3412.7827687775998</v>
      </c>
      <c r="E51">
        <v>623.56111929307997</v>
      </c>
      <c r="F51">
        <v>134.81671554252</v>
      </c>
      <c r="G51">
        <v>115.44134897361</v>
      </c>
      <c r="I51" s="9">
        <f t="shared" si="1"/>
        <v>508.11977031946998</v>
      </c>
      <c r="J51" s="9">
        <f t="shared" si="2"/>
        <v>3277.9660532350799</v>
      </c>
      <c r="K51" s="9">
        <f t="shared" si="3"/>
        <v>508.11977031946998</v>
      </c>
      <c r="L51" s="10">
        <f t="shared" si="0"/>
        <v>0.15501068713570051</v>
      </c>
      <c r="M51" s="10">
        <f t="shared" si="4"/>
        <v>0.15627150020348413</v>
      </c>
      <c r="P51" s="8">
        <f t="shared" si="5"/>
        <v>-7.2620383061646336</v>
      </c>
    </row>
    <row r="52" spans="1:25" x14ac:dyDescent="0.2">
      <c r="A52" s="8">
        <v>25</v>
      </c>
      <c r="B52" s="8">
        <v>50</v>
      </c>
      <c r="D52">
        <v>3362.9676708303</v>
      </c>
      <c r="E52">
        <v>622.50110213078995</v>
      </c>
      <c r="F52">
        <v>134.68108504399001</v>
      </c>
      <c r="G52">
        <v>115.45527859238</v>
      </c>
      <c r="I52" s="9">
        <f t="shared" si="1"/>
        <v>507.04582353840993</v>
      </c>
      <c r="J52" s="9">
        <f t="shared" si="2"/>
        <v>3228.2865857863098</v>
      </c>
      <c r="K52" s="9">
        <f t="shared" si="3"/>
        <v>507.04582353840993</v>
      </c>
      <c r="L52" s="10">
        <f t="shared" si="0"/>
        <v>0.15706344838493</v>
      </c>
      <c r="M52" s="10">
        <f t="shared" si="4"/>
        <v>0.15834999233164798</v>
      </c>
      <c r="P52" s="8">
        <f t="shared" si="5"/>
        <v>-6.0285752427678672</v>
      </c>
    </row>
    <row r="53" spans="1:25" x14ac:dyDescent="0.2">
      <c r="A53" s="8">
        <v>25.5</v>
      </c>
      <c r="B53" s="8">
        <v>51</v>
      </c>
      <c r="D53">
        <v>3286.10286554</v>
      </c>
      <c r="E53">
        <v>614.00955180015001</v>
      </c>
      <c r="F53">
        <v>134.70454545454999</v>
      </c>
      <c r="G53">
        <v>115.5366568915</v>
      </c>
      <c r="I53" s="9">
        <f t="shared" si="1"/>
        <v>498.47289490865001</v>
      </c>
      <c r="J53" s="9">
        <f t="shared" si="2"/>
        <v>3151.39832008545</v>
      </c>
      <c r="K53" s="9">
        <f t="shared" si="3"/>
        <v>498.47289490865001</v>
      </c>
      <c r="L53" s="10">
        <f t="shared" si="0"/>
        <v>0.15817514775318339</v>
      </c>
      <c r="M53" s="10">
        <f t="shared" si="4"/>
        <v>0.15948742257883572</v>
      </c>
      <c r="P53" s="8">
        <f t="shared" si="5"/>
        <v>-5.353577162146931</v>
      </c>
      <c r="S53" s="11"/>
      <c r="U53" s="12"/>
    </row>
    <row r="54" spans="1:25" x14ac:dyDescent="0.2">
      <c r="A54" s="8">
        <v>26</v>
      </c>
      <c r="B54" s="8">
        <v>52</v>
      </c>
      <c r="D54">
        <v>3351.1079504012</v>
      </c>
      <c r="E54">
        <v>613.80743982495005</v>
      </c>
      <c r="F54">
        <v>134.29985337242999</v>
      </c>
      <c r="G54">
        <v>115.45307917888999</v>
      </c>
      <c r="I54" s="9">
        <f t="shared" si="1"/>
        <v>498.35436064606006</v>
      </c>
      <c r="J54" s="9">
        <f t="shared" si="2"/>
        <v>3216.8080970287701</v>
      </c>
      <c r="K54" s="9">
        <f t="shared" si="3"/>
        <v>498.35436064606006</v>
      </c>
      <c r="L54" s="10">
        <f t="shared" si="0"/>
        <v>0.15492200517226035</v>
      </c>
      <c r="M54" s="10">
        <f t="shared" si="4"/>
        <v>0.15626001087684704</v>
      </c>
      <c r="P54" s="8">
        <f t="shared" si="5"/>
        <v>-7.2688565470605777</v>
      </c>
      <c r="S54" s="11"/>
    </row>
    <row r="55" spans="1:25" x14ac:dyDescent="0.2">
      <c r="A55" s="8">
        <v>26.5</v>
      </c>
      <c r="B55" s="8">
        <v>53</v>
      </c>
      <c r="D55">
        <v>3310.8563092632999</v>
      </c>
      <c r="E55">
        <v>597.12107950401003</v>
      </c>
      <c r="F55">
        <v>134.95454545454999</v>
      </c>
      <c r="G55">
        <v>115.26832844575</v>
      </c>
      <c r="I55" s="9">
        <f t="shared" si="1"/>
        <v>481.85275105826003</v>
      </c>
      <c r="J55" s="9">
        <f t="shared" si="2"/>
        <v>3175.9017638087498</v>
      </c>
      <c r="K55" s="9">
        <f t="shared" si="3"/>
        <v>481.85275105826003</v>
      </c>
      <c r="L55" s="10">
        <f t="shared" si="0"/>
        <v>0.15172155403207138</v>
      </c>
      <c r="M55" s="10">
        <f t="shared" si="4"/>
        <v>0.15308529061559242</v>
      </c>
      <c r="P55" s="8">
        <f t="shared" si="5"/>
        <v>-9.1528666550681645</v>
      </c>
      <c r="S55" s="11"/>
    </row>
    <row r="56" spans="1:25" x14ac:dyDescent="0.2">
      <c r="A56" s="8">
        <v>27</v>
      </c>
      <c r="B56" s="8">
        <v>54</v>
      </c>
      <c r="D56">
        <v>3418.1680117388</v>
      </c>
      <c r="E56">
        <v>616.44680851064004</v>
      </c>
      <c r="F56">
        <v>134.82478005864999</v>
      </c>
      <c r="G56">
        <v>115.31524926685999</v>
      </c>
      <c r="I56" s="9">
        <f t="shared" si="1"/>
        <v>501.13155924378003</v>
      </c>
      <c r="J56" s="9">
        <f t="shared" si="2"/>
        <v>3283.34323168015</v>
      </c>
      <c r="K56" s="9">
        <f t="shared" si="3"/>
        <v>501.13155924378003</v>
      </c>
      <c r="L56" s="10">
        <f t="shared" si="0"/>
        <v>0.15262844115975696</v>
      </c>
      <c r="M56" s="10">
        <f t="shared" si="4"/>
        <v>0.15401790862221237</v>
      </c>
      <c r="P56" s="8">
        <f t="shared" si="5"/>
        <v>-8.5994126160381246</v>
      </c>
      <c r="S56" s="11"/>
    </row>
    <row r="57" spans="1:25" x14ac:dyDescent="0.2">
      <c r="A57" s="8">
        <v>27.5</v>
      </c>
      <c r="B57" s="8">
        <v>55</v>
      </c>
      <c r="D57">
        <v>3332.1049156273002</v>
      </c>
      <c r="E57">
        <v>605.04915627292996</v>
      </c>
      <c r="F57">
        <v>134.56011730205</v>
      </c>
      <c r="G57">
        <v>115.78445747801</v>
      </c>
      <c r="I57" s="9">
        <f t="shared" si="1"/>
        <v>489.26469879491998</v>
      </c>
      <c r="J57" s="9">
        <f t="shared" si="2"/>
        <v>3197.5447983252502</v>
      </c>
      <c r="K57" s="9">
        <f t="shared" si="3"/>
        <v>489.26469879491998</v>
      </c>
      <c r="L57" s="10">
        <f t="shared" si="0"/>
        <v>0.15301261738418109</v>
      </c>
      <c r="M57" s="10">
        <f t="shared" si="4"/>
        <v>0.15442781572557085</v>
      </c>
      <c r="P57" s="8">
        <f t="shared" si="5"/>
        <v>-8.3561568131579413</v>
      </c>
      <c r="S57" s="11"/>
    </row>
    <row r="58" spans="1:25" x14ac:dyDescent="0.2">
      <c r="A58" s="8">
        <v>28</v>
      </c>
      <c r="B58" s="8">
        <v>56</v>
      </c>
      <c r="D58">
        <v>3299</v>
      </c>
      <c r="E58">
        <v>616.49742836150006</v>
      </c>
      <c r="F58">
        <v>134.22653958943999</v>
      </c>
      <c r="G58">
        <v>115.51246334311</v>
      </c>
      <c r="I58" s="9">
        <f t="shared" si="1"/>
        <v>500.98496501839008</v>
      </c>
      <c r="J58" s="9">
        <f t="shared" si="2"/>
        <v>3164.7734604105599</v>
      </c>
      <c r="K58" s="9">
        <f t="shared" si="3"/>
        <v>500.98496501839008</v>
      </c>
      <c r="L58" s="10">
        <f t="shared" si="0"/>
        <v>0.15830041906171644</v>
      </c>
      <c r="M58" s="10">
        <f t="shared" si="4"/>
        <v>0.15974134828204056</v>
      </c>
      <c r="P58" s="8">
        <f t="shared" si="5"/>
        <v>-5.2028871636108702</v>
      </c>
      <c r="S58" s="11"/>
    </row>
    <row r="59" spans="1:25" x14ac:dyDescent="0.2">
      <c r="A59" s="8">
        <v>28.5</v>
      </c>
      <c r="B59" s="8">
        <v>57</v>
      </c>
      <c r="D59">
        <v>3312.9287288758001</v>
      </c>
      <c r="E59">
        <v>614.96179279940998</v>
      </c>
      <c r="F59">
        <v>134.34017595308001</v>
      </c>
      <c r="G59">
        <v>115.59970674487001</v>
      </c>
      <c r="I59" s="9">
        <f t="shared" si="1"/>
        <v>499.36208605453999</v>
      </c>
      <c r="J59" s="9">
        <f t="shared" si="2"/>
        <v>3178.5885529227198</v>
      </c>
      <c r="K59" s="9">
        <f t="shared" si="3"/>
        <v>499.36208605453999</v>
      </c>
      <c r="L59" s="10">
        <f t="shared" si="0"/>
        <v>0.15710183238260747</v>
      </c>
      <c r="M59" s="10">
        <f t="shared" si="4"/>
        <v>0.15856849248186597</v>
      </c>
      <c r="P59" s="8">
        <f t="shared" si="5"/>
        <v>-5.8989082303271614</v>
      </c>
      <c r="R59" s="1"/>
      <c r="S59" s="11"/>
    </row>
    <row r="60" spans="1:25" x14ac:dyDescent="0.2">
      <c r="A60" s="8">
        <v>29</v>
      </c>
      <c r="B60" s="8">
        <v>58</v>
      </c>
      <c r="D60">
        <v>3342.8702346041</v>
      </c>
      <c r="E60">
        <v>615.52712609971002</v>
      </c>
      <c r="F60">
        <v>134.34164222874</v>
      </c>
      <c r="G60">
        <v>115.67448680352</v>
      </c>
      <c r="I60" s="9">
        <f t="shared" si="1"/>
        <v>499.85263929619003</v>
      </c>
      <c r="J60" s="9">
        <f t="shared" si="2"/>
        <v>3208.5285923753599</v>
      </c>
      <c r="K60" s="9">
        <f t="shared" si="3"/>
        <v>499.85263929619003</v>
      </c>
      <c r="L60" s="10">
        <f t="shared" si="0"/>
        <v>0.15578874393827224</v>
      </c>
      <c r="M60" s="10">
        <f t="shared" si="4"/>
        <v>0.15728113491646509</v>
      </c>
      <c r="P60" s="8">
        <f t="shared" si="5"/>
        <v>-6.6628793730560671</v>
      </c>
      <c r="S60" s="11"/>
    </row>
    <row r="61" spans="1:25" x14ac:dyDescent="0.2">
      <c r="A61" s="8">
        <v>29.5</v>
      </c>
      <c r="B61" s="8">
        <v>59</v>
      </c>
      <c r="C61" s="2"/>
      <c r="D61">
        <v>3377.7614138438998</v>
      </c>
      <c r="E61">
        <v>622.18998527246004</v>
      </c>
      <c r="F61">
        <v>134.24120234604001</v>
      </c>
      <c r="G61">
        <v>115.44354838709999</v>
      </c>
      <c r="I61" s="9">
        <f t="shared" si="1"/>
        <v>506.74643688536003</v>
      </c>
      <c r="J61" s="9">
        <f t="shared" si="2"/>
        <v>3243.5202114978597</v>
      </c>
      <c r="K61" s="9">
        <f t="shared" si="3"/>
        <v>506.74643688536003</v>
      </c>
      <c r="L61" s="10">
        <f t="shared" si="0"/>
        <v>0.15623347592810102</v>
      </c>
      <c r="M61" s="10">
        <f t="shared" si="4"/>
        <v>0.15775159778522824</v>
      </c>
      <c r="P61" s="8">
        <f t="shared" si="5"/>
        <v>-6.3836872782408403</v>
      </c>
      <c r="S61" s="11"/>
    </row>
    <row r="62" spans="1:25" x14ac:dyDescent="0.2">
      <c r="A62" s="8">
        <v>30</v>
      </c>
      <c r="B62" s="8">
        <v>60</v>
      </c>
      <c r="D62">
        <v>3390.2576866764002</v>
      </c>
      <c r="E62">
        <v>608.41727672034995</v>
      </c>
      <c r="F62">
        <v>135.14442815249001</v>
      </c>
      <c r="G62">
        <v>115.45747800587</v>
      </c>
      <c r="I62" s="9">
        <f t="shared" si="1"/>
        <v>492.95979871447992</v>
      </c>
      <c r="J62" s="9">
        <f t="shared" si="2"/>
        <v>3255.1132585239102</v>
      </c>
      <c r="K62" s="9">
        <f t="shared" si="3"/>
        <v>492.95979871447992</v>
      </c>
      <c r="L62" s="10">
        <f t="shared" si="0"/>
        <v>0.15144167331923233</v>
      </c>
      <c r="M62" s="10">
        <f t="shared" si="4"/>
        <v>0.15298552605529389</v>
      </c>
      <c r="P62" s="8">
        <f t="shared" si="5"/>
        <v>-9.2120710650809983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3333.1030701753998</v>
      </c>
      <c r="E63">
        <v>630.50657894737003</v>
      </c>
      <c r="F63">
        <v>134.59604105572001</v>
      </c>
      <c r="G63">
        <v>115.64076246334</v>
      </c>
      <c r="I63" s="9">
        <f t="shared" si="1"/>
        <v>514.86581648403001</v>
      </c>
      <c r="J63" s="9">
        <f t="shared" si="2"/>
        <v>3198.5070291196798</v>
      </c>
      <c r="K63" s="9">
        <f t="shared" si="3"/>
        <v>514.86581648403001</v>
      </c>
      <c r="L63" s="10">
        <f t="shared" si="0"/>
        <v>0.16097066906422766</v>
      </c>
      <c r="M63" s="10">
        <f t="shared" si="4"/>
        <v>0.16254025267922359</v>
      </c>
      <c r="P63" s="8">
        <f t="shared" si="5"/>
        <v>-3.5419017092402223</v>
      </c>
    </row>
    <row r="64" spans="1:25" x14ac:dyDescent="0.2">
      <c r="A64" s="8">
        <v>31</v>
      </c>
      <c r="B64" s="8">
        <v>62</v>
      </c>
      <c r="D64">
        <v>3367.4385065885999</v>
      </c>
      <c r="E64">
        <v>627.24597364568001</v>
      </c>
      <c r="F64">
        <v>134.42815249266999</v>
      </c>
      <c r="G64">
        <v>115.40835777126</v>
      </c>
      <c r="I64" s="9">
        <f t="shared" si="1"/>
        <v>511.83761587442001</v>
      </c>
      <c r="J64" s="9">
        <f t="shared" si="2"/>
        <v>3233.0103540959299</v>
      </c>
      <c r="K64" s="9">
        <f t="shared" si="3"/>
        <v>511.83761587442001</v>
      </c>
      <c r="L64" s="10">
        <f t="shared" si="0"/>
        <v>0.15831610784232977</v>
      </c>
      <c r="M64" s="10">
        <f t="shared" si="4"/>
        <v>0.15991142233626005</v>
      </c>
      <c r="P64" s="8">
        <f t="shared" si="5"/>
        <v>-5.1019581963661444</v>
      </c>
      <c r="U64" s="8">
        <v>30.5</v>
      </c>
      <c r="V64" s="10">
        <f>L62</f>
        <v>0.15144167331923233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3353.7232796486001</v>
      </c>
      <c r="E65">
        <v>689.42606149340997</v>
      </c>
      <c r="F65">
        <v>134.40689149560001</v>
      </c>
      <c r="G65">
        <v>115.68988269795</v>
      </c>
      <c r="I65" s="9">
        <f t="shared" si="1"/>
        <v>573.73617879545998</v>
      </c>
      <c r="J65" s="9">
        <f t="shared" si="2"/>
        <v>3219.3163881529999</v>
      </c>
      <c r="K65" s="9">
        <f t="shared" si="3"/>
        <v>573.73617879545998</v>
      </c>
      <c r="L65" s="10">
        <f t="shared" si="0"/>
        <v>0.1782167732586937</v>
      </c>
      <c r="M65" s="10">
        <f t="shared" si="4"/>
        <v>0.17983781863155834</v>
      </c>
      <c r="P65" s="8">
        <f t="shared" si="5"/>
        <v>6.7231882565912215</v>
      </c>
      <c r="U65" s="8">
        <v>31</v>
      </c>
      <c r="V65" s="10">
        <f t="shared" ref="V65:V83" si="6">L63</f>
        <v>0.16097066906422766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3337.0922401171001</v>
      </c>
      <c r="E66">
        <v>703.91508052709003</v>
      </c>
      <c r="F66">
        <v>134.34017595308001</v>
      </c>
      <c r="G66">
        <v>115.59897360703999</v>
      </c>
      <c r="I66" s="9">
        <f t="shared" si="1"/>
        <v>588.31610692005006</v>
      </c>
      <c r="J66" s="9">
        <f t="shared" si="2"/>
        <v>3202.7520641640203</v>
      </c>
      <c r="K66" s="9">
        <f t="shared" si="3"/>
        <v>588.31610692005006</v>
      </c>
      <c r="L66" s="10">
        <f t="shared" ref="L66:L129" si="7">K66/J66</f>
        <v>0.18369080563643689</v>
      </c>
      <c r="M66" s="10">
        <f t="shared" si="4"/>
        <v>0.1853375818882359</v>
      </c>
      <c r="P66" s="8">
        <f t="shared" si="5"/>
        <v>9.9869748943261758</v>
      </c>
      <c r="U66" s="8">
        <v>31.5</v>
      </c>
      <c r="V66" s="10">
        <f t="shared" si="6"/>
        <v>0.15831610784232977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3332.7980910425999</v>
      </c>
      <c r="E67">
        <v>697.64684287811997</v>
      </c>
      <c r="F67">
        <v>134.39222873899999</v>
      </c>
      <c r="G67">
        <v>115.58870967742</v>
      </c>
      <c r="I67" s="9">
        <f t="shared" ref="I67:I130" si="8">E67-G67</f>
        <v>582.05813320070001</v>
      </c>
      <c r="J67" s="9">
        <f t="shared" ref="J67:J130" si="9">D67-F67</f>
        <v>3198.4058623035999</v>
      </c>
      <c r="K67" s="9">
        <f t="shared" ref="K67:K130" si="10">I67*1</f>
        <v>582.05813320070001</v>
      </c>
      <c r="L67" s="10">
        <f t="shared" si="7"/>
        <v>0.18198382514890782</v>
      </c>
      <c r="M67" s="10">
        <f t="shared" ref="M67:M130" si="11">L67+ABS($N$2)*A67</f>
        <v>0.18365633227964118</v>
      </c>
      <c r="P67" s="8">
        <f t="shared" ref="P67:P130" si="12">(M67-$O$2)/$O$2*100</f>
        <v>8.989251946785437</v>
      </c>
      <c r="U67" s="8">
        <v>32</v>
      </c>
      <c r="V67" s="10">
        <f t="shared" si="6"/>
        <v>0.1782167732586937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3263.6637298091</v>
      </c>
      <c r="E68">
        <v>665.7812041116</v>
      </c>
      <c r="F68">
        <v>134.41568914956</v>
      </c>
      <c r="G68">
        <v>115.32111436949999</v>
      </c>
      <c r="I68" s="9">
        <f t="shared" si="8"/>
        <v>550.46008974209997</v>
      </c>
      <c r="J68" s="9">
        <f t="shared" si="9"/>
        <v>3129.24804065954</v>
      </c>
      <c r="K68" s="9">
        <f t="shared" si="10"/>
        <v>550.46008974209997</v>
      </c>
      <c r="L68" s="10">
        <f t="shared" si="7"/>
        <v>0.17590810398848458</v>
      </c>
      <c r="M68" s="10">
        <f t="shared" si="11"/>
        <v>0.17760634199815231</v>
      </c>
      <c r="P68" s="8">
        <f t="shared" si="12"/>
        <v>5.3989378700521948</v>
      </c>
      <c r="U68" s="8">
        <v>32.5</v>
      </c>
      <c r="V68" s="10">
        <f t="shared" si="6"/>
        <v>0.18369080563643689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3272.0102790014998</v>
      </c>
      <c r="E69">
        <v>656.17033773861999</v>
      </c>
      <c r="F69">
        <v>133.89809384163999</v>
      </c>
      <c r="G69">
        <v>115.48093841642</v>
      </c>
      <c r="I69" s="9">
        <f t="shared" si="8"/>
        <v>540.68939932219996</v>
      </c>
      <c r="J69" s="9">
        <f t="shared" si="9"/>
        <v>3138.11218515986</v>
      </c>
      <c r="K69" s="9">
        <f t="shared" si="10"/>
        <v>540.68939932219996</v>
      </c>
      <c r="L69" s="10">
        <f t="shared" si="7"/>
        <v>0.17229766414314995</v>
      </c>
      <c r="M69" s="10">
        <f t="shared" si="11"/>
        <v>0.17402163303175203</v>
      </c>
      <c r="P69" s="8">
        <f t="shared" si="12"/>
        <v>3.2716235332940333</v>
      </c>
      <c r="U69" s="8">
        <v>33</v>
      </c>
      <c r="V69" s="10">
        <f t="shared" si="6"/>
        <v>0.18198382514890782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3348.3323593864002</v>
      </c>
      <c r="E70">
        <v>659.33016800584005</v>
      </c>
      <c r="F70">
        <v>134.54032258065001</v>
      </c>
      <c r="G70">
        <v>115.25439882697999</v>
      </c>
      <c r="I70" s="9">
        <f t="shared" si="8"/>
        <v>544.07576917886001</v>
      </c>
      <c r="J70" s="9">
        <f t="shared" si="9"/>
        <v>3213.7920368057503</v>
      </c>
      <c r="K70" s="9">
        <f t="shared" si="10"/>
        <v>544.07576917886001</v>
      </c>
      <c r="L70" s="10">
        <f t="shared" si="7"/>
        <v>0.1692940187006087</v>
      </c>
      <c r="M70" s="10">
        <f t="shared" si="11"/>
        <v>0.17104371846814515</v>
      </c>
      <c r="P70" s="8">
        <f t="shared" si="12"/>
        <v>1.5044060536660222</v>
      </c>
      <c r="U70" s="8">
        <v>33.5</v>
      </c>
      <c r="V70" s="10">
        <f t="shared" si="6"/>
        <v>0.17590810398848458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3348.3550036523002</v>
      </c>
      <c r="E71">
        <v>637.99342585829004</v>
      </c>
      <c r="F71">
        <v>134.38196480938001</v>
      </c>
      <c r="G71">
        <v>115.31304985337</v>
      </c>
      <c r="I71" s="9">
        <f t="shared" si="8"/>
        <v>522.68037600492005</v>
      </c>
      <c r="J71" s="9">
        <f t="shared" si="9"/>
        <v>3213.9730388429202</v>
      </c>
      <c r="K71" s="9">
        <f t="shared" si="10"/>
        <v>522.68037600492005</v>
      </c>
      <c r="L71" s="10">
        <f t="shared" si="7"/>
        <v>0.16262749241763802</v>
      </c>
      <c r="M71" s="10">
        <f t="shared" si="11"/>
        <v>0.16440292306410881</v>
      </c>
      <c r="P71" s="8">
        <f t="shared" si="12"/>
        <v>-2.4365161809973981</v>
      </c>
      <c r="U71" s="8">
        <v>34</v>
      </c>
      <c r="V71" s="10">
        <f t="shared" si="6"/>
        <v>0.17229766414314995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3330.3075237399999</v>
      </c>
      <c r="E72">
        <v>630.42001460920005</v>
      </c>
      <c r="F72">
        <v>134.11436950147001</v>
      </c>
      <c r="G72">
        <v>115.28372434018</v>
      </c>
      <c r="I72" s="9">
        <f t="shared" si="8"/>
        <v>515.13629026902004</v>
      </c>
      <c r="J72" s="9">
        <f t="shared" si="9"/>
        <v>3196.19315423853</v>
      </c>
      <c r="K72" s="9">
        <f t="shared" si="10"/>
        <v>515.13629026902004</v>
      </c>
      <c r="L72" s="10">
        <f t="shared" si="7"/>
        <v>0.16117182704865268</v>
      </c>
      <c r="M72" s="10">
        <f t="shared" si="11"/>
        <v>0.16297298857405784</v>
      </c>
      <c r="P72" s="8">
        <f t="shared" si="12"/>
        <v>-3.2850983587480913</v>
      </c>
      <c r="U72" s="8">
        <v>34.5</v>
      </c>
      <c r="V72" s="10">
        <f t="shared" si="6"/>
        <v>0.1692940187006087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3430.1666666667002</v>
      </c>
      <c r="E73">
        <v>650.31798245614004</v>
      </c>
      <c r="F73">
        <v>134.71774193548001</v>
      </c>
      <c r="G73">
        <v>115.6004398827</v>
      </c>
      <c r="I73" s="9">
        <f t="shared" si="8"/>
        <v>534.71754257344003</v>
      </c>
      <c r="J73" s="9">
        <f t="shared" si="9"/>
        <v>3295.4489247312204</v>
      </c>
      <c r="K73" s="9">
        <f t="shared" si="10"/>
        <v>534.71754257344003</v>
      </c>
      <c r="L73" s="10">
        <f t="shared" si="7"/>
        <v>0.16225939311653936</v>
      </c>
      <c r="M73" s="10">
        <f t="shared" si="11"/>
        <v>0.16408628552087889</v>
      </c>
      <c r="P73" s="8">
        <f t="shared" si="12"/>
        <v>-2.6244219751866775</v>
      </c>
      <c r="U73" s="8">
        <v>35</v>
      </c>
      <c r="V73" s="10">
        <f t="shared" si="6"/>
        <v>0.16262749241763802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3386.0044215181001</v>
      </c>
      <c r="E74">
        <v>640.16138540898999</v>
      </c>
      <c r="F74">
        <v>134.53299120234999</v>
      </c>
      <c r="G74">
        <v>115.20014662757001</v>
      </c>
      <c r="I74" s="9">
        <f t="shared" si="8"/>
        <v>524.96123878141998</v>
      </c>
      <c r="J74" s="9">
        <f t="shared" si="9"/>
        <v>3251.4714303157502</v>
      </c>
      <c r="K74" s="9">
        <f t="shared" si="10"/>
        <v>524.96123878141998</v>
      </c>
      <c r="L74" s="10">
        <f t="shared" si="7"/>
        <v>0.1614534373228188</v>
      </c>
      <c r="M74" s="10">
        <f t="shared" si="11"/>
        <v>0.16330606060609268</v>
      </c>
      <c r="P74" s="8">
        <f t="shared" si="12"/>
        <v>-3.0874396602143586</v>
      </c>
      <c r="U74" s="8">
        <v>35.5</v>
      </c>
      <c r="V74" s="10">
        <f t="shared" si="6"/>
        <v>0.16117182704865268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3376.4782608696</v>
      </c>
      <c r="E75">
        <v>650.67575534266996</v>
      </c>
      <c r="F75">
        <v>134.27419354839</v>
      </c>
      <c r="G75">
        <v>115.56451612903</v>
      </c>
      <c r="I75" s="9">
        <f t="shared" si="8"/>
        <v>535.11123921363992</v>
      </c>
      <c r="J75" s="9">
        <f t="shared" si="9"/>
        <v>3242.20406732121</v>
      </c>
      <c r="K75" s="9">
        <f t="shared" si="10"/>
        <v>535.11123921363992</v>
      </c>
      <c r="L75" s="10">
        <f t="shared" si="7"/>
        <v>0.16504551474940385</v>
      </c>
      <c r="M75" s="10">
        <f t="shared" si="11"/>
        <v>0.16692386891161209</v>
      </c>
      <c r="P75" s="8">
        <f t="shared" si="12"/>
        <v>-0.94048280873454715</v>
      </c>
      <c r="U75" s="8">
        <v>36</v>
      </c>
      <c r="V75" s="10">
        <f t="shared" si="6"/>
        <v>0.16225939311653936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3369.1054945054998</v>
      </c>
      <c r="E76">
        <v>658.48205128204995</v>
      </c>
      <c r="F76">
        <v>134.38929618768</v>
      </c>
      <c r="G76">
        <v>115.38636363636</v>
      </c>
      <c r="I76" s="9">
        <f t="shared" si="8"/>
        <v>543.09568764568996</v>
      </c>
      <c r="J76" s="9">
        <f t="shared" si="9"/>
        <v>3234.7161983178198</v>
      </c>
      <c r="K76" s="9">
        <f t="shared" si="10"/>
        <v>543.09568764568996</v>
      </c>
      <c r="L76" s="10">
        <f t="shared" si="7"/>
        <v>0.16789593100257796</v>
      </c>
      <c r="M76" s="10">
        <f t="shared" si="11"/>
        <v>0.16980001604372055</v>
      </c>
      <c r="P76" s="8">
        <f t="shared" si="12"/>
        <v>0.7663416743989544</v>
      </c>
      <c r="U76" s="8">
        <v>36.5</v>
      </c>
      <c r="V76" s="10">
        <f t="shared" si="6"/>
        <v>0.1614534373228188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3462.1675238795001</v>
      </c>
      <c r="E77">
        <v>688.03526818516002</v>
      </c>
      <c r="F77">
        <v>134.41055718474999</v>
      </c>
      <c r="G77">
        <v>115.72727272727001</v>
      </c>
      <c r="I77" s="9">
        <f t="shared" si="8"/>
        <v>572.30799545789</v>
      </c>
      <c r="J77" s="9">
        <f t="shared" si="9"/>
        <v>3327.7569666947502</v>
      </c>
      <c r="K77" s="9">
        <f t="shared" si="10"/>
        <v>572.30799545789</v>
      </c>
      <c r="L77" s="10">
        <f t="shared" si="7"/>
        <v>0.17198010587483714</v>
      </c>
      <c r="M77" s="10">
        <f t="shared" si="11"/>
        <v>0.1739099217949141</v>
      </c>
      <c r="P77" s="8">
        <f t="shared" si="12"/>
        <v>3.2053294720662562</v>
      </c>
      <c r="U77" s="8">
        <v>37</v>
      </c>
      <c r="V77" s="10">
        <f t="shared" si="6"/>
        <v>0.16504551474940385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3536.8639705882001</v>
      </c>
      <c r="E78">
        <v>682.31544117647002</v>
      </c>
      <c r="F78">
        <v>134.23387096773999</v>
      </c>
      <c r="G78">
        <v>115.39369501466</v>
      </c>
      <c r="I78" s="9">
        <f t="shared" si="8"/>
        <v>566.92174616181001</v>
      </c>
      <c r="J78" s="9">
        <f t="shared" si="9"/>
        <v>3402.63009962046</v>
      </c>
      <c r="K78" s="9">
        <f t="shared" si="10"/>
        <v>566.92174616181001</v>
      </c>
      <c r="L78" s="10">
        <f t="shared" si="7"/>
        <v>0.16661280526056776</v>
      </c>
      <c r="M78" s="10">
        <f t="shared" si="11"/>
        <v>0.16856835205957907</v>
      </c>
      <c r="P78" s="8">
        <f t="shared" si="12"/>
        <v>3.5421402741876995E-2</v>
      </c>
      <c r="U78" s="8">
        <v>37.5</v>
      </c>
      <c r="V78" s="10">
        <f t="shared" si="6"/>
        <v>0.16789593100257796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3489.1875</v>
      </c>
      <c r="E79">
        <v>662.27867647058997</v>
      </c>
      <c r="F79">
        <v>134.19061583577999</v>
      </c>
      <c r="G79">
        <v>115.43108504399</v>
      </c>
      <c r="I79" s="9">
        <f t="shared" si="8"/>
        <v>546.84759142659993</v>
      </c>
      <c r="J79" s="9">
        <f t="shared" si="9"/>
        <v>3354.9968841642199</v>
      </c>
      <c r="K79" s="9">
        <f t="shared" si="10"/>
        <v>546.84759142659993</v>
      </c>
      <c r="L79" s="10">
        <f t="shared" si="7"/>
        <v>0.16299496253118811</v>
      </c>
      <c r="M79" s="10">
        <f t="shared" si="11"/>
        <v>0.16497624020913379</v>
      </c>
      <c r="P79" s="8">
        <f t="shared" si="12"/>
        <v>-2.0962861111221205</v>
      </c>
      <c r="U79" s="8">
        <v>38</v>
      </c>
      <c r="V79" s="10">
        <f t="shared" si="6"/>
        <v>0.17198010587483714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3432.1648351648</v>
      </c>
      <c r="E80">
        <v>646.47912087912005</v>
      </c>
      <c r="F80">
        <v>134.08651026392999</v>
      </c>
      <c r="G80">
        <v>115.28372434018</v>
      </c>
      <c r="I80" s="9">
        <f t="shared" si="8"/>
        <v>531.19539653894003</v>
      </c>
      <c r="J80" s="9">
        <f t="shared" si="9"/>
        <v>3298.07832490087</v>
      </c>
      <c r="K80" s="9">
        <f t="shared" si="10"/>
        <v>531.19539653894003</v>
      </c>
      <c r="L80" s="10">
        <f t="shared" si="7"/>
        <v>0.16106209259142021</v>
      </c>
      <c r="M80" s="10">
        <f t="shared" si="11"/>
        <v>0.16306910114830026</v>
      </c>
      <c r="P80" s="8">
        <f t="shared" si="12"/>
        <v>-3.2280611880753671</v>
      </c>
      <c r="U80" s="8">
        <v>38.5</v>
      </c>
      <c r="V80" s="10">
        <f t="shared" si="6"/>
        <v>0.16661280526056776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3421.3743589743999</v>
      </c>
      <c r="E81">
        <v>638.40805860805995</v>
      </c>
      <c r="F81">
        <v>134.36730205279</v>
      </c>
      <c r="G81">
        <v>115.16862170088</v>
      </c>
      <c r="I81" s="9">
        <f t="shared" si="8"/>
        <v>523.23943690717999</v>
      </c>
      <c r="J81" s="9">
        <f t="shared" si="9"/>
        <v>3287.00705692161</v>
      </c>
      <c r="K81" s="9">
        <f t="shared" si="10"/>
        <v>523.23943690717999</v>
      </c>
      <c r="L81" s="10">
        <f t="shared" si="7"/>
        <v>0.15918415380501522</v>
      </c>
      <c r="M81" s="10">
        <f t="shared" si="11"/>
        <v>0.16121689324082961</v>
      </c>
      <c r="P81" s="8">
        <f t="shared" si="12"/>
        <v>-4.3272378501562132</v>
      </c>
      <c r="U81" s="8">
        <v>39</v>
      </c>
      <c r="V81" s="10">
        <f t="shared" si="6"/>
        <v>0.16299496253118811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3454.6681318680999</v>
      </c>
      <c r="E82">
        <v>637.14212454212998</v>
      </c>
      <c r="F82">
        <v>134.45601173021001</v>
      </c>
      <c r="G82">
        <v>115.19941348974</v>
      </c>
      <c r="H82" s="13"/>
      <c r="I82" s="14">
        <f t="shared" si="8"/>
        <v>521.94271105239</v>
      </c>
      <c r="J82" s="14">
        <f t="shared" si="9"/>
        <v>3320.21212013789</v>
      </c>
      <c r="K82" s="9">
        <f t="shared" si="10"/>
        <v>521.94271105239</v>
      </c>
      <c r="L82" s="15">
        <f t="shared" si="7"/>
        <v>0.1572016160915386</v>
      </c>
      <c r="M82" s="15">
        <f t="shared" si="11"/>
        <v>0.15926008640628736</v>
      </c>
      <c r="N82" s="13"/>
      <c r="O82" s="13"/>
      <c r="P82" s="13">
        <f t="shared" si="12"/>
        <v>-5.4884878351356763</v>
      </c>
      <c r="U82" s="8">
        <v>39.5</v>
      </c>
      <c r="V82" s="10">
        <f t="shared" si="6"/>
        <v>0.16106209259142021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3320</v>
      </c>
      <c r="E83">
        <v>609.19047619048001</v>
      </c>
      <c r="F83">
        <v>134.03592375367</v>
      </c>
      <c r="G83">
        <v>115.22214076246</v>
      </c>
      <c r="I83" s="9">
        <f t="shared" si="8"/>
        <v>493.96833542802</v>
      </c>
      <c r="J83" s="9">
        <f t="shared" si="9"/>
        <v>3185.96407624633</v>
      </c>
      <c r="K83" s="9">
        <f t="shared" si="10"/>
        <v>493.96833542802</v>
      </c>
      <c r="L83" s="10">
        <f t="shared" si="7"/>
        <v>0.155045167995117</v>
      </c>
      <c r="M83" s="10">
        <f t="shared" si="11"/>
        <v>0.15712936918880011</v>
      </c>
      <c r="P83" s="8">
        <f t="shared" si="12"/>
        <v>-6.7529434232527148</v>
      </c>
      <c r="U83" s="8">
        <v>40</v>
      </c>
      <c r="V83" s="10">
        <f t="shared" si="6"/>
        <v>0.15918415380501522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3343.8389458272</v>
      </c>
      <c r="E84">
        <v>610.87481698390002</v>
      </c>
      <c r="F84">
        <v>133.78299120234999</v>
      </c>
      <c r="G84">
        <v>115.0857771261</v>
      </c>
      <c r="I84" s="9">
        <f t="shared" si="8"/>
        <v>495.78903985780005</v>
      </c>
      <c r="J84" s="9">
        <f t="shared" si="9"/>
        <v>3210.0559546248501</v>
      </c>
      <c r="K84" s="9">
        <f t="shared" si="10"/>
        <v>495.78903985780005</v>
      </c>
      <c r="L84" s="10">
        <f t="shared" si="7"/>
        <v>0.15444872203660434</v>
      </c>
      <c r="M84" s="10">
        <f t="shared" si="11"/>
        <v>0.15655865410922182</v>
      </c>
      <c r="P84" s="8">
        <f t="shared" si="12"/>
        <v>-7.0916293200356115</v>
      </c>
      <c r="U84" s="8">
        <v>150.5</v>
      </c>
      <c r="V84" s="10">
        <f>L302</f>
        <v>0.17973781687667328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3347.8404099560998</v>
      </c>
      <c r="E85">
        <v>618.92679355783002</v>
      </c>
      <c r="F85">
        <v>134.19721407624999</v>
      </c>
      <c r="G85">
        <v>115.31231671554001</v>
      </c>
      <c r="I85" s="9">
        <f t="shared" si="8"/>
        <v>503.61447684229</v>
      </c>
      <c r="J85" s="9">
        <f t="shared" si="9"/>
        <v>3213.6431958798498</v>
      </c>
      <c r="K85" s="9">
        <f t="shared" si="10"/>
        <v>503.61447684229</v>
      </c>
      <c r="L85" s="10">
        <f t="shared" si="7"/>
        <v>0.15671138522408601</v>
      </c>
      <c r="M85" s="10">
        <f t="shared" si="11"/>
        <v>0.15884704817563783</v>
      </c>
      <c r="P85" s="8">
        <f t="shared" si="12"/>
        <v>-5.7336017782551121</v>
      </c>
      <c r="U85" s="8">
        <v>151</v>
      </c>
      <c r="V85" s="10">
        <f t="shared" ref="V85:V103" si="13">L303</f>
        <v>0.17881825742484569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3259.5739385065999</v>
      </c>
      <c r="E86">
        <v>630.93704245974004</v>
      </c>
      <c r="F86">
        <v>133.94648093842</v>
      </c>
      <c r="G86">
        <v>115.01759530792</v>
      </c>
      <c r="I86" s="9">
        <f t="shared" si="8"/>
        <v>515.91944715182001</v>
      </c>
      <c r="J86" s="9">
        <f t="shared" si="9"/>
        <v>3125.62745756818</v>
      </c>
      <c r="K86" s="9">
        <f t="shared" si="10"/>
        <v>515.91944715182001</v>
      </c>
      <c r="L86" s="10">
        <f t="shared" si="7"/>
        <v>0.16506108106473408</v>
      </c>
      <c r="M86" s="10">
        <f t="shared" si="11"/>
        <v>0.16722247489522027</v>
      </c>
      <c r="P86" s="8">
        <f t="shared" si="12"/>
        <v>-0.76327768666592632</v>
      </c>
      <c r="U86" s="8">
        <v>151.5</v>
      </c>
      <c r="V86" s="10">
        <f t="shared" si="13"/>
        <v>0.17912943266056583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3362.9552129222002</v>
      </c>
      <c r="E87">
        <v>653.43759177679999</v>
      </c>
      <c r="F87">
        <v>133.85703812317001</v>
      </c>
      <c r="G87">
        <v>115.32697947214</v>
      </c>
      <c r="I87" s="9">
        <f t="shared" si="8"/>
        <v>538.11061230465998</v>
      </c>
      <c r="J87" s="9">
        <f t="shared" si="9"/>
        <v>3229.0981747990299</v>
      </c>
      <c r="K87" s="9">
        <f t="shared" si="10"/>
        <v>538.11061230465998</v>
      </c>
      <c r="L87" s="10">
        <f t="shared" si="7"/>
        <v>0.16664424033442418</v>
      </c>
      <c r="M87" s="10">
        <f t="shared" si="11"/>
        <v>0.16883136504384474</v>
      </c>
      <c r="P87" s="8">
        <f t="shared" si="12"/>
        <v>0.19150416913274934</v>
      </c>
      <c r="U87" s="8">
        <v>152</v>
      </c>
      <c r="V87" s="10">
        <f t="shared" si="13"/>
        <v>0.177115312759585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3515.8670562453999</v>
      </c>
      <c r="E88">
        <v>705.88531775017998</v>
      </c>
      <c r="F88">
        <v>134.57038123167001</v>
      </c>
      <c r="G88">
        <v>115.11583577713</v>
      </c>
      <c r="I88" s="9">
        <f t="shared" si="8"/>
        <v>590.76948197305001</v>
      </c>
      <c r="J88" s="9">
        <f t="shared" si="9"/>
        <v>3381.2966750137298</v>
      </c>
      <c r="K88" s="9">
        <f t="shared" si="10"/>
        <v>590.76948197305001</v>
      </c>
      <c r="L88" s="10">
        <f t="shared" si="7"/>
        <v>0.17471684349337704</v>
      </c>
      <c r="M88" s="10">
        <f t="shared" si="11"/>
        <v>0.17692969908173195</v>
      </c>
      <c r="P88" s="8">
        <f t="shared" si="12"/>
        <v>4.9973900204335004</v>
      </c>
      <c r="U88" s="8">
        <v>152.5</v>
      </c>
      <c r="V88" s="10">
        <f t="shared" si="13"/>
        <v>0.17825563510933859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3403.8546384222</v>
      </c>
      <c r="E89">
        <v>668.51497443388996</v>
      </c>
      <c r="F89">
        <v>134.62096774194001</v>
      </c>
      <c r="G89">
        <v>115.34457478006</v>
      </c>
      <c r="I89" s="9">
        <f t="shared" si="8"/>
        <v>553.17039965382992</v>
      </c>
      <c r="J89" s="9">
        <f t="shared" si="9"/>
        <v>3269.2336706802598</v>
      </c>
      <c r="K89" s="9">
        <f t="shared" si="10"/>
        <v>553.17039965382992</v>
      </c>
      <c r="L89" s="10">
        <f t="shared" si="7"/>
        <v>0.16920491325379217</v>
      </c>
      <c r="M89" s="10">
        <f t="shared" si="11"/>
        <v>0.17144349972108144</v>
      </c>
      <c r="P89" s="8">
        <f t="shared" si="12"/>
        <v>1.7416527587430457</v>
      </c>
      <c r="U89" s="8">
        <v>153</v>
      </c>
      <c r="V89" s="10">
        <f t="shared" si="13"/>
        <v>0.17630660678647597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3304.0954810496</v>
      </c>
      <c r="E90">
        <v>688.06705539358995</v>
      </c>
      <c r="F90">
        <v>133.74926686217</v>
      </c>
      <c r="G90">
        <v>115.07551319648</v>
      </c>
      <c r="I90" s="9">
        <f t="shared" si="8"/>
        <v>572.99154219710999</v>
      </c>
      <c r="J90" s="9">
        <f t="shared" si="9"/>
        <v>3170.3462141874302</v>
      </c>
      <c r="K90" s="9">
        <f t="shared" si="10"/>
        <v>572.99154219710999</v>
      </c>
      <c r="L90" s="10">
        <f t="shared" si="7"/>
        <v>0.18073469062556927</v>
      </c>
      <c r="M90" s="10">
        <f t="shared" si="11"/>
        <v>0.18299900797179289</v>
      </c>
      <c r="P90" s="8">
        <f t="shared" si="12"/>
        <v>8.5991685572852035</v>
      </c>
      <c r="U90" s="8">
        <v>153.5</v>
      </c>
      <c r="V90" s="10">
        <f t="shared" si="13"/>
        <v>0.17460663825226577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3247.2018950437</v>
      </c>
      <c r="E91">
        <v>762.95772594751998</v>
      </c>
      <c r="F91">
        <v>134.43695014663001</v>
      </c>
      <c r="G91">
        <v>115.02932551320001</v>
      </c>
      <c r="I91" s="9">
        <f t="shared" si="8"/>
        <v>647.92840043432</v>
      </c>
      <c r="J91" s="9">
        <f t="shared" si="9"/>
        <v>3112.7649448970701</v>
      </c>
      <c r="K91" s="9">
        <f t="shared" si="10"/>
        <v>647.92840043432</v>
      </c>
      <c r="L91" s="10">
        <f t="shared" si="7"/>
        <v>0.20815204871042553</v>
      </c>
      <c r="M91" s="10">
        <f t="shared" si="11"/>
        <v>0.21044209693558352</v>
      </c>
      <c r="P91" s="8">
        <f t="shared" si="12"/>
        <v>24.88503085316524</v>
      </c>
      <c r="U91" s="8">
        <v>154</v>
      </c>
      <c r="V91" s="10">
        <f t="shared" si="13"/>
        <v>0.17260385250489618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3322.3316100442999</v>
      </c>
      <c r="E92">
        <v>746.20236336779999</v>
      </c>
      <c r="F92">
        <v>133.54692082111001</v>
      </c>
      <c r="G92">
        <v>115.21187683285</v>
      </c>
      <c r="I92" s="9">
        <f t="shared" si="8"/>
        <v>630.99048653495004</v>
      </c>
      <c r="J92" s="9">
        <f t="shared" si="9"/>
        <v>3188.7846892231901</v>
      </c>
      <c r="K92" s="9">
        <f t="shared" si="10"/>
        <v>630.99048653495004</v>
      </c>
      <c r="L92" s="10">
        <f t="shared" si="7"/>
        <v>0.19787804697740935</v>
      </c>
      <c r="M92" s="10">
        <f t="shared" si="11"/>
        <v>0.20019382608150169</v>
      </c>
      <c r="P92" s="8">
        <f t="shared" si="12"/>
        <v>18.803283710171467</v>
      </c>
      <c r="U92" s="8">
        <v>154.5</v>
      </c>
      <c r="V92" s="10">
        <f t="shared" si="13"/>
        <v>0.17000944446402927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3221.2252584933999</v>
      </c>
      <c r="E93">
        <v>701.33382570162996</v>
      </c>
      <c r="F93">
        <v>134.01392961876999</v>
      </c>
      <c r="G93">
        <v>115.0637829912</v>
      </c>
      <c r="I93" s="9">
        <f t="shared" si="8"/>
        <v>586.27004271042995</v>
      </c>
      <c r="J93" s="9">
        <f t="shared" si="9"/>
        <v>3087.21132887463</v>
      </c>
      <c r="K93" s="9">
        <f t="shared" si="10"/>
        <v>586.27004271042995</v>
      </c>
      <c r="L93" s="10">
        <f t="shared" si="7"/>
        <v>0.18990278936432281</v>
      </c>
      <c r="M93" s="10">
        <f t="shared" si="11"/>
        <v>0.19224429934734952</v>
      </c>
      <c r="P93" s="8">
        <f t="shared" si="12"/>
        <v>14.085706258134648</v>
      </c>
      <c r="U93" s="8">
        <v>155</v>
      </c>
      <c r="V93" s="10">
        <f t="shared" si="13"/>
        <v>0.1665823392081261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3288.8376193975</v>
      </c>
      <c r="E94">
        <v>699.99118295370999</v>
      </c>
      <c r="F94">
        <v>134.01759530792</v>
      </c>
      <c r="G94">
        <v>114.85850439882999</v>
      </c>
      <c r="I94" s="9">
        <f t="shared" si="8"/>
        <v>585.13267855488004</v>
      </c>
      <c r="J94" s="9">
        <f t="shared" si="9"/>
        <v>3154.8200240895799</v>
      </c>
      <c r="K94" s="9">
        <f t="shared" si="10"/>
        <v>585.13267855488004</v>
      </c>
      <c r="L94" s="10">
        <f t="shared" si="7"/>
        <v>0.18547260195095852</v>
      </c>
      <c r="M94" s="10">
        <f t="shared" si="11"/>
        <v>0.1878398428129196</v>
      </c>
      <c r="P94" s="8">
        <f t="shared" si="12"/>
        <v>11.471919861765119</v>
      </c>
      <c r="U94" s="8">
        <v>155.5</v>
      </c>
      <c r="V94" s="10">
        <f t="shared" si="13"/>
        <v>0.16614072665579532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3299.1969140338001</v>
      </c>
      <c r="E95">
        <v>684.57531227038999</v>
      </c>
      <c r="F95">
        <v>133.73387096773999</v>
      </c>
      <c r="G95">
        <v>114.89002932551</v>
      </c>
      <c r="I95" s="9">
        <f t="shared" si="8"/>
        <v>569.68528294487999</v>
      </c>
      <c r="J95" s="9">
        <f t="shared" si="9"/>
        <v>3165.46304306606</v>
      </c>
      <c r="K95" s="9">
        <f t="shared" si="10"/>
        <v>569.68528294487999</v>
      </c>
      <c r="L95" s="10">
        <f t="shared" si="7"/>
        <v>0.17996902039111604</v>
      </c>
      <c r="M95" s="10">
        <f t="shared" si="11"/>
        <v>0.18236199213201146</v>
      </c>
      <c r="P95" s="8">
        <f t="shared" si="12"/>
        <v>8.2211370514054156</v>
      </c>
      <c r="U95" s="8">
        <v>156</v>
      </c>
      <c r="V95" s="10">
        <f t="shared" si="13"/>
        <v>0.18496493795548813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3326.3923585599</v>
      </c>
      <c r="E96">
        <v>677.63997060985002</v>
      </c>
      <c r="F96">
        <v>133.58064516128999</v>
      </c>
      <c r="G96">
        <v>114.94574780059</v>
      </c>
      <c r="I96" s="9">
        <f t="shared" si="8"/>
        <v>562.69422280926005</v>
      </c>
      <c r="J96" s="9">
        <f t="shared" si="9"/>
        <v>3192.8117133986102</v>
      </c>
      <c r="K96" s="9">
        <f t="shared" si="10"/>
        <v>562.69422280926005</v>
      </c>
      <c r="L96" s="10">
        <f t="shared" si="7"/>
        <v>0.17623783464835024</v>
      </c>
      <c r="M96" s="10">
        <f t="shared" si="11"/>
        <v>0.17865653726818004</v>
      </c>
      <c r="P96" s="8">
        <f t="shared" si="12"/>
        <v>6.0221671127231948</v>
      </c>
      <c r="U96" s="8">
        <v>156.5</v>
      </c>
      <c r="V96" s="10">
        <f t="shared" si="13"/>
        <v>0.17941211078346719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3376.8188512518</v>
      </c>
      <c r="E97">
        <v>675.77614138439003</v>
      </c>
      <c r="F97">
        <v>133.51319648094</v>
      </c>
      <c r="G97">
        <v>115.05058651026</v>
      </c>
      <c r="I97" s="9">
        <f t="shared" si="8"/>
        <v>560.72555487413001</v>
      </c>
      <c r="J97" s="9">
        <f t="shared" si="9"/>
        <v>3243.3056547708602</v>
      </c>
      <c r="K97" s="9">
        <f t="shared" si="10"/>
        <v>560.72555487413001</v>
      </c>
      <c r="L97" s="10">
        <f t="shared" si="7"/>
        <v>0.17288705245813327</v>
      </c>
      <c r="M97" s="10">
        <f t="shared" si="11"/>
        <v>0.1753314859568974</v>
      </c>
      <c r="P97" s="8">
        <f t="shared" si="12"/>
        <v>4.0489443514759653</v>
      </c>
      <c r="U97" s="8">
        <v>157</v>
      </c>
      <c r="V97" s="10">
        <f t="shared" si="13"/>
        <v>0.17574603257191432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3249.8954344623999</v>
      </c>
      <c r="E98">
        <v>634.81443298968998</v>
      </c>
      <c r="F98">
        <v>133.78005865103</v>
      </c>
      <c r="G98">
        <v>114.93988269795</v>
      </c>
      <c r="I98" s="9">
        <f t="shared" si="8"/>
        <v>519.87455029173998</v>
      </c>
      <c r="J98" s="9">
        <f t="shared" si="9"/>
        <v>3116.1153758113696</v>
      </c>
      <c r="K98" s="9">
        <f t="shared" si="10"/>
        <v>519.87455029173998</v>
      </c>
      <c r="L98" s="10">
        <f t="shared" si="7"/>
        <v>0.16683417896757941</v>
      </c>
      <c r="M98" s="10">
        <f t="shared" si="11"/>
        <v>0.16930434334527791</v>
      </c>
      <c r="P98" s="8">
        <f t="shared" si="12"/>
        <v>0.47218902557304476</v>
      </c>
      <c r="U98" s="8">
        <v>157.5</v>
      </c>
      <c r="V98" s="10">
        <f t="shared" si="13"/>
        <v>0.171089385492631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3414.7978021978001</v>
      </c>
      <c r="E99">
        <v>662.49450549451001</v>
      </c>
      <c r="F99">
        <v>133.92082111437</v>
      </c>
      <c r="G99">
        <v>114.83431085044</v>
      </c>
      <c r="I99" s="9">
        <f t="shared" si="8"/>
        <v>547.66019464406997</v>
      </c>
      <c r="J99" s="9">
        <f t="shared" si="9"/>
        <v>3280.8769810834301</v>
      </c>
      <c r="K99" s="9">
        <f t="shared" si="10"/>
        <v>547.66019464406997</v>
      </c>
      <c r="L99" s="10">
        <f t="shared" si="7"/>
        <v>0.16692494043565709</v>
      </c>
      <c r="M99" s="10">
        <f t="shared" si="11"/>
        <v>0.16942083569228994</v>
      </c>
      <c r="P99" s="8">
        <f t="shared" si="12"/>
        <v>0.541320395021467</v>
      </c>
      <c r="U99" s="8">
        <v>158</v>
      </c>
      <c r="V99" s="10">
        <f t="shared" si="13"/>
        <v>0.16776438657155973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3383.6761904762002</v>
      </c>
      <c r="E100">
        <v>647.63882783883003</v>
      </c>
      <c r="F100">
        <v>133.90395894427999</v>
      </c>
      <c r="G100">
        <v>114.65762463343</v>
      </c>
      <c r="I100" s="9">
        <f t="shared" si="8"/>
        <v>532.98120320539999</v>
      </c>
      <c r="J100" s="9">
        <f t="shared" si="9"/>
        <v>3249.7722315319202</v>
      </c>
      <c r="K100" s="9">
        <f t="shared" si="10"/>
        <v>532.98120320539999</v>
      </c>
      <c r="L100" s="10">
        <f t="shared" si="7"/>
        <v>0.16400571031839864</v>
      </c>
      <c r="M100" s="10">
        <f t="shared" si="11"/>
        <v>0.16652733645396586</v>
      </c>
      <c r="P100" s="8">
        <f t="shared" si="12"/>
        <v>-1.1758015445224228</v>
      </c>
      <c r="U100" s="8">
        <v>158.5</v>
      </c>
      <c r="V100" s="10">
        <f t="shared" si="13"/>
        <v>0.16707945469609323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3327.5386861314</v>
      </c>
      <c r="E101">
        <v>645.55109489050994</v>
      </c>
      <c r="F101">
        <v>133.46480938415999</v>
      </c>
      <c r="G101">
        <v>115.03958944282</v>
      </c>
      <c r="I101" s="9">
        <f t="shared" si="8"/>
        <v>530.51150544768996</v>
      </c>
      <c r="J101" s="9">
        <f t="shared" si="9"/>
        <v>3194.0738767472399</v>
      </c>
      <c r="K101" s="9">
        <f t="shared" si="10"/>
        <v>530.51150544768996</v>
      </c>
      <c r="L101" s="10">
        <f t="shared" si="7"/>
        <v>0.16609243427642595</v>
      </c>
      <c r="M101" s="10">
        <f t="shared" si="11"/>
        <v>0.16863979129092754</v>
      </c>
      <c r="P101" s="8">
        <f t="shared" si="12"/>
        <v>7.7816392817515706E-2</v>
      </c>
      <c r="U101" s="8">
        <v>159</v>
      </c>
      <c r="V101" s="10">
        <f t="shared" si="13"/>
        <v>0.16882333347287062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3261.4678362573</v>
      </c>
      <c r="E102">
        <v>700.47514619882998</v>
      </c>
      <c r="F102">
        <v>133.46847507331</v>
      </c>
      <c r="G102">
        <v>115.03445747801</v>
      </c>
      <c r="I102" s="9">
        <f t="shared" si="8"/>
        <v>585.44068872081994</v>
      </c>
      <c r="J102" s="9">
        <f t="shared" si="9"/>
        <v>3127.99936118399</v>
      </c>
      <c r="K102" s="9">
        <f t="shared" si="10"/>
        <v>585.44068872081994</v>
      </c>
      <c r="L102" s="10">
        <f t="shared" si="7"/>
        <v>0.18716138372202951</v>
      </c>
      <c r="M102" s="10">
        <f t="shared" si="11"/>
        <v>0.18973447161546544</v>
      </c>
      <c r="P102" s="8">
        <f t="shared" si="12"/>
        <v>12.596270834820004</v>
      </c>
      <c r="U102" s="8">
        <v>159.5</v>
      </c>
      <c r="V102" s="10">
        <f t="shared" si="13"/>
        <v>0.16657511903904923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3238.0847953215998</v>
      </c>
      <c r="E103">
        <v>694.92251461987996</v>
      </c>
      <c r="F103">
        <v>133.81598240469</v>
      </c>
      <c r="G103">
        <v>114.82111436949999</v>
      </c>
      <c r="I103" s="9">
        <f t="shared" si="8"/>
        <v>580.10140025037992</v>
      </c>
      <c r="J103" s="9">
        <f t="shared" si="9"/>
        <v>3104.2688129169096</v>
      </c>
      <c r="K103" s="9">
        <f t="shared" si="10"/>
        <v>580.10140025037992</v>
      </c>
      <c r="L103" s="10">
        <f t="shared" si="7"/>
        <v>0.18687215418863509</v>
      </c>
      <c r="M103" s="10">
        <f t="shared" si="11"/>
        <v>0.1894709729610054</v>
      </c>
      <c r="P103" s="8">
        <f t="shared" si="12"/>
        <v>12.439899851679293</v>
      </c>
      <c r="U103" s="8">
        <v>160</v>
      </c>
      <c r="V103" s="10">
        <f t="shared" si="13"/>
        <v>0.16258743637508632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3325.03010279</v>
      </c>
      <c r="E104">
        <v>703.64610866373005</v>
      </c>
      <c r="F104">
        <v>133.87683284458001</v>
      </c>
      <c r="G104">
        <v>114.5784457478</v>
      </c>
      <c r="I104" s="9">
        <f t="shared" si="8"/>
        <v>589.06766291592999</v>
      </c>
      <c r="J104" s="9">
        <f t="shared" si="9"/>
        <v>3191.1532699454201</v>
      </c>
      <c r="K104" s="9">
        <f t="shared" si="10"/>
        <v>589.06766291592999</v>
      </c>
      <c r="L104" s="10">
        <f t="shared" si="7"/>
        <v>0.18459397374103723</v>
      </c>
      <c r="M104" s="10">
        <f t="shared" si="11"/>
        <v>0.18721852339234188</v>
      </c>
      <c r="P104" s="8">
        <f t="shared" si="12"/>
        <v>11.103203259248701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3284.7349486050002</v>
      </c>
      <c r="E105">
        <v>669.43612334802003</v>
      </c>
      <c r="F105">
        <v>133.27492668622</v>
      </c>
      <c r="G105">
        <v>114.74486803519</v>
      </c>
      <c r="I105" s="9">
        <f t="shared" si="8"/>
        <v>554.69125531282998</v>
      </c>
      <c r="J105" s="9">
        <f t="shared" si="9"/>
        <v>3151.4600219187801</v>
      </c>
      <c r="K105" s="9">
        <f t="shared" si="10"/>
        <v>554.69125531282998</v>
      </c>
      <c r="L105" s="10">
        <f t="shared" si="7"/>
        <v>0.17601088113283564</v>
      </c>
      <c r="M105" s="10">
        <f t="shared" si="11"/>
        <v>0.17866116166307466</v>
      </c>
      <c r="P105" s="8">
        <f t="shared" si="12"/>
        <v>6.0249114196251989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3361.0953778429998</v>
      </c>
      <c r="E106">
        <v>676.34849596478</v>
      </c>
      <c r="F106">
        <v>133.28079178886</v>
      </c>
      <c r="G106">
        <v>114.62976539589</v>
      </c>
      <c r="I106" s="9">
        <f t="shared" si="8"/>
        <v>561.71873056889001</v>
      </c>
      <c r="J106" s="9">
        <f t="shared" si="9"/>
        <v>3227.8145860541399</v>
      </c>
      <c r="K106" s="9">
        <f t="shared" si="10"/>
        <v>561.71873056889001</v>
      </c>
      <c r="L106" s="10">
        <f t="shared" si="7"/>
        <v>0.17402447246995256</v>
      </c>
      <c r="M106" s="10">
        <f t="shared" si="11"/>
        <v>0.17670048387912593</v>
      </c>
      <c r="P106" s="8">
        <f t="shared" si="12"/>
        <v>4.8613642534110895</v>
      </c>
      <c r="X106" s="8">
        <v>-13</v>
      </c>
    </row>
    <row r="107" spans="1:25" x14ac:dyDescent="0.2">
      <c r="A107" s="8">
        <v>52.5</v>
      </c>
      <c r="B107" s="8">
        <v>105</v>
      </c>
      <c r="D107">
        <v>3294.5043923865001</v>
      </c>
      <c r="E107">
        <v>656.11932650073004</v>
      </c>
      <c r="F107">
        <v>133.16788856305001</v>
      </c>
      <c r="G107">
        <v>114.37756598241</v>
      </c>
      <c r="I107" s="9">
        <f t="shared" si="8"/>
        <v>541.74176051832001</v>
      </c>
      <c r="J107" s="9">
        <f t="shared" si="9"/>
        <v>3161.3365038234501</v>
      </c>
      <c r="K107" s="9">
        <f t="shared" si="10"/>
        <v>541.74176051832001</v>
      </c>
      <c r="L107" s="10">
        <f t="shared" si="7"/>
        <v>0.17136478823532872</v>
      </c>
      <c r="M107" s="10">
        <f t="shared" si="11"/>
        <v>0.17406653052343646</v>
      </c>
      <c r="P107" s="8">
        <f t="shared" si="12"/>
        <v>3.2982675589708741</v>
      </c>
      <c r="X107" s="8">
        <v>-13</v>
      </c>
    </row>
    <row r="108" spans="1:25" x14ac:dyDescent="0.2">
      <c r="A108" s="8">
        <v>53</v>
      </c>
      <c r="B108" s="8">
        <v>106</v>
      </c>
      <c r="D108">
        <v>3294.4480234261</v>
      </c>
      <c r="E108">
        <v>637.32576866763998</v>
      </c>
      <c r="F108">
        <v>133.31451612903001</v>
      </c>
      <c r="G108">
        <v>114.03885630499001</v>
      </c>
      <c r="I108" s="9">
        <f t="shared" si="8"/>
        <v>523.28691236265001</v>
      </c>
      <c r="J108" s="9">
        <f t="shared" si="9"/>
        <v>3161.1335072970701</v>
      </c>
      <c r="K108" s="9">
        <f t="shared" si="10"/>
        <v>523.28691236265001</v>
      </c>
      <c r="L108" s="10">
        <f t="shared" si="7"/>
        <v>0.16553774497493051</v>
      </c>
      <c r="M108" s="10">
        <f t="shared" si="11"/>
        <v>0.16826521814197262</v>
      </c>
      <c r="P108" s="8">
        <f t="shared" si="12"/>
        <v>-0.14447078234934985</v>
      </c>
      <c r="X108" s="8">
        <v>-13</v>
      </c>
    </row>
    <row r="109" spans="1:25" x14ac:dyDescent="0.2">
      <c r="A109" s="8">
        <v>53.5</v>
      </c>
      <c r="B109" s="8">
        <v>107</v>
      </c>
      <c r="D109">
        <v>3194.1449487555001</v>
      </c>
      <c r="E109">
        <v>616.20204978037998</v>
      </c>
      <c r="F109">
        <v>133.66202346041001</v>
      </c>
      <c r="G109">
        <v>114.6642228739</v>
      </c>
      <c r="I109" s="9">
        <f t="shared" si="8"/>
        <v>501.53782690647995</v>
      </c>
      <c r="J109" s="9">
        <f t="shared" si="9"/>
        <v>3060.4829252950899</v>
      </c>
      <c r="K109" s="9">
        <f t="shared" si="10"/>
        <v>501.53782690647995</v>
      </c>
      <c r="L109" s="10">
        <f t="shared" si="7"/>
        <v>0.16387538801841933</v>
      </c>
      <c r="M109" s="10">
        <f t="shared" si="11"/>
        <v>0.16662859206439579</v>
      </c>
      <c r="P109" s="8">
        <f t="shared" si="12"/>
        <v>-1.1157122837864029</v>
      </c>
      <c r="X109" s="8">
        <v>-13</v>
      </c>
    </row>
    <row r="110" spans="1:25" x14ac:dyDescent="0.2">
      <c r="A110" s="8">
        <v>54</v>
      </c>
      <c r="B110" s="8">
        <v>108</v>
      </c>
      <c r="D110">
        <v>3265.8490842491001</v>
      </c>
      <c r="E110">
        <v>640.51721611721996</v>
      </c>
      <c r="F110">
        <v>133.07258064516</v>
      </c>
      <c r="G110">
        <v>114.62976539589</v>
      </c>
      <c r="I110" s="9">
        <f t="shared" si="8"/>
        <v>525.88745072132997</v>
      </c>
      <c r="J110" s="9">
        <f t="shared" si="9"/>
        <v>3132.77650360394</v>
      </c>
      <c r="K110" s="9">
        <f t="shared" si="10"/>
        <v>525.88745072132997</v>
      </c>
      <c r="L110" s="10">
        <f t="shared" si="7"/>
        <v>0.16786625222589294</v>
      </c>
      <c r="M110" s="10">
        <f t="shared" si="11"/>
        <v>0.17064518715080376</v>
      </c>
      <c r="P110" s="8">
        <f t="shared" si="12"/>
        <v>1.267901111989044</v>
      </c>
      <c r="X110" s="8">
        <v>-13</v>
      </c>
    </row>
    <row r="111" spans="1:25" x14ac:dyDescent="0.2">
      <c r="A111" s="8">
        <v>54.5</v>
      </c>
      <c r="B111" s="8">
        <v>109</v>
      </c>
      <c r="D111">
        <v>3207.0429715951</v>
      </c>
      <c r="E111">
        <v>640.69337217770999</v>
      </c>
      <c r="F111">
        <v>133.26832844575</v>
      </c>
      <c r="G111">
        <v>114.69721407625001</v>
      </c>
      <c r="I111" s="9">
        <f t="shared" si="8"/>
        <v>525.99615810145997</v>
      </c>
      <c r="J111" s="9">
        <f t="shared" si="9"/>
        <v>3073.7746431493501</v>
      </c>
      <c r="K111" s="9">
        <f t="shared" si="10"/>
        <v>525.99615810145997</v>
      </c>
      <c r="L111" s="10">
        <f t="shared" si="7"/>
        <v>0.17112385232071894</v>
      </c>
      <c r="M111" s="10">
        <f t="shared" si="11"/>
        <v>0.17392851812456411</v>
      </c>
      <c r="P111" s="8">
        <f t="shared" si="12"/>
        <v>3.2163653020447422</v>
      </c>
      <c r="X111" s="8">
        <v>-13</v>
      </c>
    </row>
    <row r="112" spans="1:25" x14ac:dyDescent="0.2">
      <c r="A112" s="8">
        <v>55</v>
      </c>
      <c r="B112" s="8">
        <v>110</v>
      </c>
      <c r="D112">
        <v>3228.1785451873998</v>
      </c>
      <c r="E112">
        <v>651.26451138869004</v>
      </c>
      <c r="F112">
        <v>133.53592375367</v>
      </c>
      <c r="G112">
        <v>114.68695014663</v>
      </c>
      <c r="I112" s="9">
        <f t="shared" si="8"/>
        <v>536.57756124206003</v>
      </c>
      <c r="J112" s="9">
        <f t="shared" si="9"/>
        <v>3094.6426214337298</v>
      </c>
      <c r="K112" s="9">
        <f t="shared" si="10"/>
        <v>536.57756124206003</v>
      </c>
      <c r="L112" s="10">
        <f t="shared" si="7"/>
        <v>0.17338918475615991</v>
      </c>
      <c r="M112" s="10">
        <f t="shared" si="11"/>
        <v>0.17621958143893945</v>
      </c>
      <c r="P112" s="8">
        <f t="shared" si="12"/>
        <v>4.5759768857950265</v>
      </c>
      <c r="X112" s="8">
        <v>-13</v>
      </c>
    </row>
    <row r="113" spans="1:24" x14ac:dyDescent="0.2">
      <c r="A113" s="8">
        <v>55.5</v>
      </c>
      <c r="B113" s="8">
        <v>111</v>
      </c>
      <c r="D113">
        <v>3311.1435897435999</v>
      </c>
      <c r="E113">
        <v>652.61025641026004</v>
      </c>
      <c r="F113">
        <v>133.38709677419001</v>
      </c>
      <c r="G113">
        <v>114.59750733138</v>
      </c>
      <c r="I113" s="9">
        <f t="shared" si="8"/>
        <v>538.01274907888001</v>
      </c>
      <c r="J113" s="9">
        <f t="shared" si="9"/>
        <v>3177.7564929694099</v>
      </c>
      <c r="K113" s="9">
        <f t="shared" si="10"/>
        <v>538.01274907888001</v>
      </c>
      <c r="L113" s="10">
        <f t="shared" si="7"/>
        <v>0.16930584526196391</v>
      </c>
      <c r="M113" s="10">
        <f t="shared" si="11"/>
        <v>0.17216197282367779</v>
      </c>
      <c r="P113" s="8">
        <f t="shared" si="12"/>
        <v>2.1680243682807481</v>
      </c>
      <c r="X113" s="8">
        <v>-13</v>
      </c>
    </row>
    <row r="114" spans="1:24" x14ac:dyDescent="0.2">
      <c r="A114" s="8">
        <v>56</v>
      </c>
      <c r="B114" s="8">
        <v>112</v>
      </c>
      <c r="D114">
        <v>3255.5318681319</v>
      </c>
      <c r="E114">
        <v>635.20439560440002</v>
      </c>
      <c r="F114">
        <v>133.44428152493001</v>
      </c>
      <c r="G114">
        <v>114.44794721408</v>
      </c>
      <c r="I114" s="9">
        <f t="shared" si="8"/>
        <v>520.75644839031997</v>
      </c>
      <c r="J114" s="9">
        <f t="shared" si="9"/>
        <v>3122.08758660697</v>
      </c>
      <c r="K114" s="9">
        <f t="shared" si="10"/>
        <v>520.75644839031997</v>
      </c>
      <c r="L114" s="10">
        <f t="shared" si="7"/>
        <v>0.16679751414542118</v>
      </c>
      <c r="M114" s="10">
        <f t="shared" si="11"/>
        <v>0.16967937258606944</v>
      </c>
      <c r="P114" s="8">
        <f t="shared" si="12"/>
        <v>0.69474686447076817</v>
      </c>
      <c r="X114" s="8">
        <v>-13</v>
      </c>
    </row>
    <row r="115" spans="1:24" x14ac:dyDescent="0.2">
      <c r="A115" s="8">
        <v>56.5</v>
      </c>
      <c r="B115" s="8">
        <v>113</v>
      </c>
      <c r="D115">
        <v>3084.9553767374</v>
      </c>
      <c r="E115">
        <v>608.17410387710004</v>
      </c>
      <c r="F115">
        <v>133.36290322580999</v>
      </c>
      <c r="G115">
        <v>114.43108504399</v>
      </c>
      <c r="I115" s="9">
        <f t="shared" si="8"/>
        <v>493.74301883311006</v>
      </c>
      <c r="J115" s="9">
        <f t="shared" si="9"/>
        <v>2951.59247351159</v>
      </c>
      <c r="K115" s="9">
        <f t="shared" si="10"/>
        <v>493.74301883311006</v>
      </c>
      <c r="L115" s="10">
        <f t="shared" si="7"/>
        <v>0.16728021339805441</v>
      </c>
      <c r="M115" s="10">
        <f t="shared" si="11"/>
        <v>0.17018780271763703</v>
      </c>
      <c r="P115" s="8">
        <f t="shared" si="12"/>
        <v>0.99647030095094091</v>
      </c>
      <c r="X115" s="8">
        <v>-13</v>
      </c>
    </row>
    <row r="116" spans="1:24" x14ac:dyDescent="0.2">
      <c r="A116" s="8">
        <v>57</v>
      </c>
      <c r="B116" s="8">
        <v>114</v>
      </c>
      <c r="D116">
        <v>3032.4316020483002</v>
      </c>
      <c r="E116">
        <v>591.83174835405998</v>
      </c>
      <c r="F116">
        <v>132.31891495600999</v>
      </c>
      <c r="G116">
        <v>114.33944281525</v>
      </c>
      <c r="I116" s="9">
        <f t="shared" si="8"/>
        <v>477.49230553881</v>
      </c>
      <c r="J116" s="9">
        <f t="shared" si="9"/>
        <v>2900.1126870922903</v>
      </c>
      <c r="K116" s="9">
        <f t="shared" si="10"/>
        <v>477.49230553881</v>
      </c>
      <c r="L116" s="10">
        <f t="shared" si="7"/>
        <v>0.16464612139521831</v>
      </c>
      <c r="M116" s="10">
        <f t="shared" si="11"/>
        <v>0.16757944159373528</v>
      </c>
      <c r="P116" s="8">
        <f t="shared" si="12"/>
        <v>-0.55143890627568215</v>
      </c>
      <c r="X116" s="8">
        <v>-13</v>
      </c>
    </row>
    <row r="117" spans="1:24" x14ac:dyDescent="0.2">
      <c r="A117" s="8">
        <v>57.5</v>
      </c>
      <c r="B117" s="8">
        <v>115</v>
      </c>
      <c r="D117">
        <v>3003.2187271397001</v>
      </c>
      <c r="E117">
        <v>581.80102414044995</v>
      </c>
      <c r="F117">
        <v>133.15469208210999</v>
      </c>
      <c r="G117">
        <v>114.4780058651</v>
      </c>
      <c r="I117" s="9">
        <f t="shared" si="8"/>
        <v>467.32301827534997</v>
      </c>
      <c r="J117" s="9">
        <f t="shared" si="9"/>
        <v>2870.06403505759</v>
      </c>
      <c r="K117" s="9">
        <f t="shared" si="10"/>
        <v>467.32301827534997</v>
      </c>
      <c r="L117" s="10">
        <f t="shared" si="7"/>
        <v>0.16282668698922348</v>
      </c>
      <c r="M117" s="10">
        <f t="shared" si="11"/>
        <v>0.16578573806667482</v>
      </c>
      <c r="P117" s="8">
        <f t="shared" si="12"/>
        <v>-1.6158966529923255</v>
      </c>
      <c r="X117" s="8">
        <v>-13</v>
      </c>
    </row>
    <row r="118" spans="1:24" x14ac:dyDescent="0.2">
      <c r="A118" s="8">
        <v>58</v>
      </c>
      <c r="B118" s="8">
        <v>116</v>
      </c>
      <c r="D118">
        <v>2977.5281638625002</v>
      </c>
      <c r="E118">
        <v>572.95830285295995</v>
      </c>
      <c r="F118">
        <v>132.84457478005999</v>
      </c>
      <c r="G118">
        <v>114.36510263930001</v>
      </c>
      <c r="I118" s="9">
        <f t="shared" si="8"/>
        <v>458.59320021365994</v>
      </c>
      <c r="J118" s="9">
        <f t="shared" si="9"/>
        <v>2844.68358908244</v>
      </c>
      <c r="K118" s="9">
        <f t="shared" si="10"/>
        <v>458.59320021365994</v>
      </c>
      <c r="L118" s="10">
        <f t="shared" si="7"/>
        <v>0.16121061828235891</v>
      </c>
      <c r="M118" s="10">
        <f t="shared" si="11"/>
        <v>0.1641954002387446</v>
      </c>
      <c r="P118" s="8">
        <f t="shared" si="12"/>
        <v>-2.5596687955442787</v>
      </c>
      <c r="X118" s="8">
        <v>-13</v>
      </c>
    </row>
    <row r="119" spans="1:24" x14ac:dyDescent="0.2">
      <c r="A119" s="8">
        <v>58.5</v>
      </c>
      <c r="B119" s="8">
        <v>117</v>
      </c>
      <c r="D119">
        <v>2960.9846378932002</v>
      </c>
      <c r="E119">
        <v>567.97951719092998</v>
      </c>
      <c r="F119">
        <v>133.06304985336999</v>
      </c>
      <c r="G119">
        <v>114.30645161290001</v>
      </c>
      <c r="I119" s="9">
        <f t="shared" si="8"/>
        <v>453.67306557802999</v>
      </c>
      <c r="J119" s="9">
        <f t="shared" si="9"/>
        <v>2827.9215880398301</v>
      </c>
      <c r="K119" s="9">
        <f t="shared" si="10"/>
        <v>453.67306557802999</v>
      </c>
      <c r="L119" s="10">
        <f t="shared" si="7"/>
        <v>0.16042632422934075</v>
      </c>
      <c r="M119" s="10">
        <f t="shared" si="11"/>
        <v>0.16343683706466081</v>
      </c>
      <c r="P119" s="8">
        <f t="shared" si="12"/>
        <v>-3.0098315090840861</v>
      </c>
      <c r="X119" s="8">
        <v>-13</v>
      </c>
    </row>
    <row r="120" spans="1:24" x14ac:dyDescent="0.2">
      <c r="A120" s="8">
        <v>59</v>
      </c>
      <c r="B120" s="8">
        <v>118</v>
      </c>
      <c r="D120">
        <v>2954.2238478419999</v>
      </c>
      <c r="E120">
        <v>564.44550109729005</v>
      </c>
      <c r="F120">
        <v>132.50659824047</v>
      </c>
      <c r="G120">
        <v>114.11803519062001</v>
      </c>
      <c r="I120" s="9">
        <f t="shared" si="8"/>
        <v>450.32746590667006</v>
      </c>
      <c r="J120" s="9">
        <f t="shared" si="9"/>
        <v>2821.7172496015301</v>
      </c>
      <c r="K120" s="9">
        <f t="shared" si="10"/>
        <v>450.32746590667006</v>
      </c>
      <c r="L120" s="10">
        <f t="shared" si="7"/>
        <v>0.15959340574264244</v>
      </c>
      <c r="M120" s="10">
        <f t="shared" si="11"/>
        <v>0.16262964945689684</v>
      </c>
      <c r="P120" s="8">
        <f t="shared" si="12"/>
        <v>-3.4888499695908357</v>
      </c>
      <c r="X120" s="8">
        <v>-13</v>
      </c>
    </row>
    <row r="121" spans="1:24" x14ac:dyDescent="0.2">
      <c r="A121" s="8">
        <v>59.5</v>
      </c>
      <c r="B121" s="8">
        <v>119</v>
      </c>
      <c r="D121">
        <v>2921.8639356254998</v>
      </c>
      <c r="E121">
        <v>561.80541331382994</v>
      </c>
      <c r="F121">
        <v>132.70747800587</v>
      </c>
      <c r="G121">
        <v>114.56891495601</v>
      </c>
      <c r="I121" s="9">
        <f t="shared" si="8"/>
        <v>447.23649835781993</v>
      </c>
      <c r="J121" s="9">
        <f t="shared" si="9"/>
        <v>2789.1564576196297</v>
      </c>
      <c r="K121" s="9">
        <f t="shared" si="10"/>
        <v>447.23649835781993</v>
      </c>
      <c r="L121" s="10">
        <f t="shared" si="7"/>
        <v>0.16034830069716069</v>
      </c>
      <c r="M121" s="10">
        <f t="shared" si="11"/>
        <v>0.16341027529034946</v>
      </c>
      <c r="P121" s="8">
        <f t="shared" si="12"/>
        <v>-3.0255943628699549</v>
      </c>
      <c r="X121" s="8">
        <v>-13</v>
      </c>
    </row>
    <row r="122" spans="1:24" x14ac:dyDescent="0.2">
      <c r="A122" s="8">
        <v>60</v>
      </c>
      <c r="B122" s="8">
        <v>120</v>
      </c>
      <c r="D122">
        <v>2985.6517922458002</v>
      </c>
      <c r="E122">
        <v>570.67739575712994</v>
      </c>
      <c r="F122">
        <v>132.76612903226001</v>
      </c>
      <c r="G122">
        <v>113.87096774194001</v>
      </c>
      <c r="I122" s="9">
        <f t="shared" si="8"/>
        <v>456.80642801518991</v>
      </c>
      <c r="J122" s="9">
        <f t="shared" si="9"/>
        <v>2852.8856632135403</v>
      </c>
      <c r="K122" s="9">
        <f t="shared" si="10"/>
        <v>456.80642801518991</v>
      </c>
      <c r="L122" s="10">
        <f t="shared" si="7"/>
        <v>0.16012083270825342</v>
      </c>
      <c r="M122" s="10">
        <f t="shared" si="11"/>
        <v>0.16320853818037656</v>
      </c>
      <c r="P122" s="8">
        <f t="shared" si="12"/>
        <v>-3.1453134949735748</v>
      </c>
      <c r="X122" s="8">
        <v>-13</v>
      </c>
    </row>
    <row r="123" spans="1:24" x14ac:dyDescent="0.2">
      <c r="A123" s="8">
        <v>60.5</v>
      </c>
      <c r="B123" s="8">
        <v>121</v>
      </c>
      <c r="D123">
        <v>2988.7863935626001</v>
      </c>
      <c r="E123">
        <v>568.04389173371999</v>
      </c>
      <c r="F123">
        <v>132.90762463343</v>
      </c>
      <c r="G123">
        <v>114.15615835777</v>
      </c>
      <c r="I123" s="9">
        <f t="shared" si="8"/>
        <v>453.88773337595001</v>
      </c>
      <c r="J123" s="9">
        <f t="shared" si="9"/>
        <v>2855.8787689291703</v>
      </c>
      <c r="K123" s="9">
        <f t="shared" si="10"/>
        <v>453.88773337595001</v>
      </c>
      <c r="L123" s="10">
        <f t="shared" si="7"/>
        <v>0.15893102267297504</v>
      </c>
      <c r="M123" s="10">
        <f t="shared" si="11"/>
        <v>0.16204445902403253</v>
      </c>
      <c r="P123" s="8">
        <f t="shared" si="12"/>
        <v>-3.8361261387957417</v>
      </c>
      <c r="X123" s="8">
        <v>-13</v>
      </c>
    </row>
    <row r="124" spans="1:24" x14ac:dyDescent="0.2">
      <c r="A124" s="8">
        <v>61</v>
      </c>
      <c r="B124" s="8">
        <v>122</v>
      </c>
      <c r="D124">
        <v>2968.8668617409999</v>
      </c>
      <c r="E124">
        <v>562.41550841258004</v>
      </c>
      <c r="F124">
        <v>132.79178885631001</v>
      </c>
      <c r="G124">
        <v>114.357771261</v>
      </c>
      <c r="I124" s="9">
        <f t="shared" si="8"/>
        <v>448.05773715158006</v>
      </c>
      <c r="J124" s="9">
        <f t="shared" si="9"/>
        <v>2836.0750728846897</v>
      </c>
      <c r="K124" s="9">
        <f t="shared" si="10"/>
        <v>448.05773715158006</v>
      </c>
      <c r="L124" s="10">
        <f t="shared" si="7"/>
        <v>0.15798514695023286</v>
      </c>
      <c r="M124" s="10">
        <f t="shared" si="11"/>
        <v>0.16112431418022471</v>
      </c>
      <c r="P124" s="8">
        <f t="shared" si="12"/>
        <v>-4.382178087914526</v>
      </c>
      <c r="X124" s="8">
        <v>-13</v>
      </c>
    </row>
    <row r="125" spans="1:24" x14ac:dyDescent="0.2">
      <c r="A125" s="8">
        <v>61.5</v>
      </c>
      <c r="B125" s="8">
        <v>123</v>
      </c>
      <c r="D125">
        <v>3074.0731528894999</v>
      </c>
      <c r="E125">
        <v>577.40087783467004</v>
      </c>
      <c r="F125">
        <v>132.37976539588999</v>
      </c>
      <c r="G125">
        <v>114.13269794721</v>
      </c>
      <c r="I125" s="9">
        <f t="shared" si="8"/>
        <v>463.26817988746006</v>
      </c>
      <c r="J125" s="9">
        <f t="shared" si="9"/>
        <v>2941.6933874936099</v>
      </c>
      <c r="K125" s="9">
        <f t="shared" si="10"/>
        <v>463.26817988746006</v>
      </c>
      <c r="L125" s="10">
        <f t="shared" si="7"/>
        <v>0.15748350316080192</v>
      </c>
      <c r="M125" s="10">
        <f t="shared" si="11"/>
        <v>0.16064840126972812</v>
      </c>
      <c r="P125" s="8">
        <f t="shared" si="12"/>
        <v>-4.6646044625622718</v>
      </c>
      <c r="X125" s="8">
        <v>-13</v>
      </c>
    </row>
    <row r="126" spans="1:24" x14ac:dyDescent="0.2">
      <c r="A126" s="8">
        <v>62</v>
      </c>
      <c r="B126" s="8">
        <v>124</v>
      </c>
      <c r="D126">
        <v>3052.9568397951998</v>
      </c>
      <c r="E126">
        <v>572.08266276517998</v>
      </c>
      <c r="F126">
        <v>132.42888563049999</v>
      </c>
      <c r="G126">
        <v>113.81671554252</v>
      </c>
      <c r="I126" s="9">
        <f t="shared" si="8"/>
        <v>458.26594722265997</v>
      </c>
      <c r="J126" s="9">
        <f t="shared" si="9"/>
        <v>2920.5279541646996</v>
      </c>
      <c r="K126" s="9">
        <f t="shared" si="10"/>
        <v>458.26594722265997</v>
      </c>
      <c r="L126" s="10">
        <f t="shared" si="7"/>
        <v>0.15691202221473982</v>
      </c>
      <c r="M126" s="10">
        <f t="shared" si="11"/>
        <v>0.16010265120260039</v>
      </c>
      <c r="P126" s="8">
        <f t="shared" si="12"/>
        <v>-4.9884750899882393</v>
      </c>
      <c r="X126" s="8">
        <v>-13</v>
      </c>
    </row>
    <row r="127" spans="1:24" x14ac:dyDescent="0.2">
      <c r="A127" s="8">
        <v>62.5</v>
      </c>
      <c r="B127" s="8">
        <v>125</v>
      </c>
      <c r="D127">
        <v>3080.6539868324999</v>
      </c>
      <c r="E127">
        <v>576.99049012436001</v>
      </c>
      <c r="F127">
        <v>133.01906158358</v>
      </c>
      <c r="G127">
        <v>113.87756598241</v>
      </c>
      <c r="I127" s="9">
        <f t="shared" si="8"/>
        <v>463.11292414194997</v>
      </c>
      <c r="J127" s="9">
        <f t="shared" si="9"/>
        <v>2947.6349252489199</v>
      </c>
      <c r="K127" s="9">
        <f t="shared" si="10"/>
        <v>463.11292414194997</v>
      </c>
      <c r="L127" s="10">
        <f t="shared" si="7"/>
        <v>0.15711339290188434</v>
      </c>
      <c r="M127" s="10">
        <f t="shared" si="11"/>
        <v>0.16032975276867925</v>
      </c>
      <c r="P127" s="8">
        <f t="shared" si="12"/>
        <v>-4.8537036421669333</v>
      </c>
      <c r="X127" s="8">
        <v>-13</v>
      </c>
    </row>
    <row r="128" spans="1:24" x14ac:dyDescent="0.2">
      <c r="A128" s="8">
        <v>63</v>
      </c>
      <c r="B128" s="8">
        <v>126</v>
      </c>
      <c r="D128">
        <v>3109.979426892</v>
      </c>
      <c r="E128">
        <v>576.22336517267001</v>
      </c>
      <c r="F128">
        <v>132.85850439883001</v>
      </c>
      <c r="G128">
        <v>114.11070381232</v>
      </c>
      <c r="I128" s="9">
        <f t="shared" si="8"/>
        <v>462.11266136034999</v>
      </c>
      <c r="J128" s="9">
        <f t="shared" si="9"/>
        <v>2977.1209224931699</v>
      </c>
      <c r="K128" s="9">
        <f t="shared" si="10"/>
        <v>462.11266136034999</v>
      </c>
      <c r="L128" s="10">
        <f t="shared" si="7"/>
        <v>0.15522132738006383</v>
      </c>
      <c r="M128" s="10">
        <f t="shared" si="11"/>
        <v>0.15846341812579312</v>
      </c>
      <c r="P128" s="8">
        <f t="shared" si="12"/>
        <v>-5.9612636924286955</v>
      </c>
      <c r="X128" s="8">
        <v>-13</v>
      </c>
    </row>
    <row r="129" spans="1:24" x14ac:dyDescent="0.2">
      <c r="A129" s="8">
        <v>63.5</v>
      </c>
      <c r="B129" s="8">
        <v>127</v>
      </c>
      <c r="D129">
        <v>3091.4408523144998</v>
      </c>
      <c r="E129">
        <v>573.07641440118005</v>
      </c>
      <c r="F129">
        <v>132.58431085044</v>
      </c>
      <c r="G129">
        <v>114.08284457478</v>
      </c>
      <c r="I129" s="9">
        <f t="shared" si="8"/>
        <v>458.99356982640006</v>
      </c>
      <c r="J129" s="9">
        <f t="shared" si="9"/>
        <v>2958.8565414640598</v>
      </c>
      <c r="K129" s="9">
        <f t="shared" si="10"/>
        <v>458.99356982640006</v>
      </c>
      <c r="L129" s="10">
        <f t="shared" si="7"/>
        <v>0.15512532067515761</v>
      </c>
      <c r="M129" s="10">
        <f t="shared" si="11"/>
        <v>0.15839314229982127</v>
      </c>
      <c r="P129" s="8">
        <f t="shared" si="12"/>
        <v>-6.0029682697092257</v>
      </c>
      <c r="X129" s="8">
        <v>-13</v>
      </c>
    </row>
    <row r="130" spans="1:24" x14ac:dyDescent="0.2">
      <c r="A130" s="8">
        <v>64</v>
      </c>
      <c r="B130" s="8">
        <v>128</v>
      </c>
      <c r="D130">
        <v>3077.7149155032998</v>
      </c>
      <c r="E130">
        <v>569.28288023512005</v>
      </c>
      <c r="F130">
        <v>132.78885630498999</v>
      </c>
      <c r="G130">
        <v>113.81598240469</v>
      </c>
      <c r="I130" s="9">
        <f t="shared" si="8"/>
        <v>455.46689783043007</v>
      </c>
      <c r="J130" s="9">
        <f t="shared" si="9"/>
        <v>2944.9260591983098</v>
      </c>
      <c r="K130" s="9">
        <f t="shared" si="10"/>
        <v>455.46689783043007</v>
      </c>
      <c r="L130" s="10">
        <f t="shared" ref="L130:L193" si="14">K130/J130</f>
        <v>0.15466157338918748</v>
      </c>
      <c r="M130" s="10">
        <f t="shared" si="11"/>
        <v>0.15795512589278549</v>
      </c>
      <c r="P130" s="8">
        <f t="shared" si="12"/>
        <v>-6.2629052942086538</v>
      </c>
      <c r="X130" s="8">
        <v>-13</v>
      </c>
    </row>
    <row r="131" spans="1:24" x14ac:dyDescent="0.2">
      <c r="A131" s="8">
        <v>64.5</v>
      </c>
      <c r="B131" s="8">
        <v>129</v>
      </c>
      <c r="D131">
        <v>3119.9235855987999</v>
      </c>
      <c r="E131">
        <v>571.43938280676002</v>
      </c>
      <c r="F131">
        <v>132.15615835777001</v>
      </c>
      <c r="G131">
        <v>113.81671554252</v>
      </c>
      <c r="I131" s="9">
        <f t="shared" ref="I131:I194" si="15">E131-G131</f>
        <v>457.62266726424002</v>
      </c>
      <c r="J131" s="9">
        <f t="shared" ref="J131:J194" si="16">D131-F131</f>
        <v>2987.76742724103</v>
      </c>
      <c r="K131" s="9">
        <f t="shared" ref="K131:K194" si="17">I131*1</f>
        <v>457.62266726424002</v>
      </c>
      <c r="L131" s="10">
        <f t="shared" si="14"/>
        <v>0.15316542482251333</v>
      </c>
      <c r="M131" s="10">
        <f t="shared" ref="M131:M181" si="18">L131+ABS($N$2)*A131</f>
        <v>0.1564847082050457</v>
      </c>
      <c r="P131" s="8">
        <f t="shared" ref="P131:P194" si="19">(M131-$O$2)/$O$2*100</f>
        <v>-7.1355118732840994</v>
      </c>
      <c r="X131" s="8">
        <v>-13</v>
      </c>
    </row>
    <row r="132" spans="1:24" x14ac:dyDescent="0.2">
      <c r="A132" s="8">
        <v>65</v>
      </c>
      <c r="B132" s="8">
        <v>130</v>
      </c>
      <c r="D132">
        <v>3101.7038941954002</v>
      </c>
      <c r="E132">
        <v>573.33137398970996</v>
      </c>
      <c r="F132">
        <v>132.13929618768</v>
      </c>
      <c r="G132">
        <v>113.83284457478</v>
      </c>
      <c r="I132" s="9">
        <f t="shared" si="15"/>
        <v>459.49852941492998</v>
      </c>
      <c r="J132" s="9">
        <f t="shared" si="16"/>
        <v>2969.5645980077202</v>
      </c>
      <c r="K132" s="9">
        <f t="shared" si="17"/>
        <v>459.49852941492998</v>
      </c>
      <c r="L132" s="10">
        <f t="shared" si="14"/>
        <v>0.15473599386361467</v>
      </c>
      <c r="M132" s="10">
        <f t="shared" si="18"/>
        <v>0.15808100812508138</v>
      </c>
      <c r="P132" s="8">
        <f t="shared" si="19"/>
        <v>-6.1882015790629588</v>
      </c>
      <c r="X132" s="8">
        <v>-13</v>
      </c>
    </row>
    <row r="133" spans="1:24" x14ac:dyDescent="0.2">
      <c r="A133" s="8">
        <v>65.5</v>
      </c>
      <c r="B133" s="8">
        <v>131</v>
      </c>
      <c r="D133">
        <v>3102.8809698751002</v>
      </c>
      <c r="E133">
        <v>572.34753857457997</v>
      </c>
      <c r="F133">
        <v>132.22360703812001</v>
      </c>
      <c r="G133">
        <v>113.88269794721</v>
      </c>
      <c r="I133" s="9">
        <f t="shared" si="15"/>
        <v>458.46484062736999</v>
      </c>
      <c r="J133" s="9">
        <f t="shared" si="16"/>
        <v>2970.6573628369802</v>
      </c>
      <c r="K133" s="9">
        <f t="shared" si="17"/>
        <v>458.46484062736999</v>
      </c>
      <c r="L133" s="10">
        <f t="shared" si="14"/>
        <v>0.15433110743863632</v>
      </c>
      <c r="M133" s="10">
        <f t="shared" si="18"/>
        <v>0.1577018525790374</v>
      </c>
      <c r="P133" s="8">
        <f t="shared" si="19"/>
        <v>-6.4132081378996411</v>
      </c>
      <c r="X133" s="8">
        <v>-13</v>
      </c>
    </row>
    <row r="134" spans="1:24" x14ac:dyDescent="0.2">
      <c r="A134" s="8">
        <v>66</v>
      </c>
      <c r="B134" s="8">
        <v>132</v>
      </c>
      <c r="D134">
        <v>3075.4019103599999</v>
      </c>
      <c r="E134">
        <v>569.86700955180004</v>
      </c>
      <c r="F134">
        <v>132.16935483871001</v>
      </c>
      <c r="G134">
        <v>113.96187683285</v>
      </c>
      <c r="I134" s="9">
        <f t="shared" si="15"/>
        <v>455.90513271895003</v>
      </c>
      <c r="J134" s="9">
        <f t="shared" si="16"/>
        <v>2943.2325555212897</v>
      </c>
      <c r="K134" s="9">
        <f t="shared" si="17"/>
        <v>455.90513271895003</v>
      </c>
      <c r="L134" s="10">
        <f t="shared" si="14"/>
        <v>0.15489945973304259</v>
      </c>
      <c r="M134" s="10">
        <f t="shared" si="18"/>
        <v>0.15829593575237802</v>
      </c>
      <c r="P134" s="8">
        <f t="shared" si="19"/>
        <v>-6.0606546492566382</v>
      </c>
      <c r="X134" s="8">
        <v>-13</v>
      </c>
    </row>
    <row r="135" spans="1:24" x14ac:dyDescent="0.2">
      <c r="A135" s="8">
        <v>66.5</v>
      </c>
      <c r="B135" s="8">
        <v>133</v>
      </c>
      <c r="D135">
        <v>3072.8626010286998</v>
      </c>
      <c r="E135">
        <v>570.07935341661005</v>
      </c>
      <c r="F135">
        <v>132.19574780059</v>
      </c>
      <c r="G135">
        <v>114.02492668622</v>
      </c>
      <c r="I135" s="9">
        <f t="shared" si="15"/>
        <v>456.05442673039005</v>
      </c>
      <c r="J135" s="9">
        <f t="shared" si="16"/>
        <v>2940.6668532281096</v>
      </c>
      <c r="K135" s="9">
        <f t="shared" si="17"/>
        <v>456.05442673039005</v>
      </c>
      <c r="L135" s="10">
        <f t="shared" si="14"/>
        <v>0.15508537671642655</v>
      </c>
      <c r="M135" s="10">
        <f t="shared" si="18"/>
        <v>0.15850758361469636</v>
      </c>
      <c r="P135" s="8">
        <f t="shared" si="19"/>
        <v>-5.9350540674314018</v>
      </c>
      <c r="X135" s="8">
        <v>-13</v>
      </c>
    </row>
    <row r="136" spans="1:24" x14ac:dyDescent="0.2">
      <c r="A136" s="8">
        <v>67</v>
      </c>
      <c r="B136" s="8">
        <v>134</v>
      </c>
      <c r="D136">
        <v>2989.4386480529001</v>
      </c>
      <c r="E136">
        <v>566.53343130050996</v>
      </c>
      <c r="F136">
        <v>132.18988269795</v>
      </c>
      <c r="G136">
        <v>114.16935483871001</v>
      </c>
      <c r="I136" s="9">
        <f t="shared" si="15"/>
        <v>452.36407646179998</v>
      </c>
      <c r="J136" s="9">
        <f t="shared" si="16"/>
        <v>2857.2487653549501</v>
      </c>
      <c r="K136" s="9">
        <f t="shared" si="17"/>
        <v>452.36407646179998</v>
      </c>
      <c r="L136" s="10">
        <f t="shared" si="14"/>
        <v>0.15832155811802537</v>
      </c>
      <c r="M136" s="10">
        <f t="shared" si="18"/>
        <v>0.16176949589522954</v>
      </c>
      <c r="P136" s="8">
        <f t="shared" si="19"/>
        <v>-3.9993006144547385</v>
      </c>
      <c r="X136" s="8">
        <v>-13</v>
      </c>
    </row>
    <row r="137" spans="1:24" x14ac:dyDescent="0.2">
      <c r="A137" s="8">
        <v>67.5</v>
      </c>
      <c r="B137" s="8">
        <v>135</v>
      </c>
      <c r="D137">
        <v>3059.0602498162998</v>
      </c>
      <c r="E137">
        <v>573.41880969875001</v>
      </c>
      <c r="F137">
        <v>132.27639296187999</v>
      </c>
      <c r="G137">
        <v>114.15762463343</v>
      </c>
      <c r="I137" s="9">
        <f t="shared" si="15"/>
        <v>459.26118506531998</v>
      </c>
      <c r="J137" s="9">
        <f t="shared" si="16"/>
        <v>2926.7838568544198</v>
      </c>
      <c r="K137" s="9">
        <f t="shared" si="17"/>
        <v>459.26118506531998</v>
      </c>
      <c r="L137" s="10">
        <f t="shared" si="14"/>
        <v>0.15691667288301706</v>
      </c>
      <c r="M137" s="10">
        <f t="shared" si="18"/>
        <v>0.16039034153915557</v>
      </c>
      <c r="P137" s="8">
        <f t="shared" si="19"/>
        <v>-4.8177477636593791</v>
      </c>
      <c r="X137" s="8">
        <v>-13</v>
      </c>
    </row>
    <row r="138" spans="1:24" x14ac:dyDescent="0.2">
      <c r="A138" s="8">
        <v>68</v>
      </c>
      <c r="B138" s="8">
        <v>136</v>
      </c>
      <c r="D138">
        <v>3074.3372520205999</v>
      </c>
      <c r="E138">
        <v>573.14180749448997</v>
      </c>
      <c r="F138">
        <v>132.13489736069999</v>
      </c>
      <c r="G138">
        <v>113.99413489736</v>
      </c>
      <c r="I138" s="9">
        <f t="shared" si="15"/>
        <v>459.14767259712994</v>
      </c>
      <c r="J138" s="9">
        <f t="shared" si="16"/>
        <v>2942.2023546598998</v>
      </c>
      <c r="K138" s="9">
        <f t="shared" si="17"/>
        <v>459.14767259712994</v>
      </c>
      <c r="L138" s="10">
        <f t="shared" si="14"/>
        <v>0.15605577633704415</v>
      </c>
      <c r="M138" s="10">
        <f t="shared" si="18"/>
        <v>0.15955517587211704</v>
      </c>
      <c r="P138" s="8">
        <f t="shared" si="19"/>
        <v>-5.3133695599368505</v>
      </c>
      <c r="X138" s="8">
        <v>-13</v>
      </c>
    </row>
    <row r="139" spans="1:24" x14ac:dyDescent="0.2">
      <c r="A139" s="8">
        <v>68.5</v>
      </c>
      <c r="B139" s="8">
        <v>137</v>
      </c>
      <c r="D139">
        <v>3053.6370315944</v>
      </c>
      <c r="E139">
        <v>568.38795003673999</v>
      </c>
      <c r="F139">
        <v>132.44868035191001</v>
      </c>
      <c r="G139">
        <v>113.79105571848</v>
      </c>
      <c r="I139" s="9">
        <f t="shared" si="15"/>
        <v>454.59689431826001</v>
      </c>
      <c r="J139" s="9">
        <f t="shared" si="16"/>
        <v>2921.1883512424902</v>
      </c>
      <c r="K139" s="9">
        <f t="shared" si="17"/>
        <v>454.59689431826001</v>
      </c>
      <c r="L139" s="10">
        <f t="shared" si="14"/>
        <v>0.155620535089736</v>
      </c>
      <c r="M139" s="10">
        <f t="shared" si="18"/>
        <v>0.15914566550374323</v>
      </c>
      <c r="P139" s="8">
        <f t="shared" si="19"/>
        <v>-5.5563899238933461</v>
      </c>
      <c r="X139" s="8">
        <v>-13</v>
      </c>
    </row>
    <row r="140" spans="1:24" x14ac:dyDescent="0.2">
      <c r="A140" s="8">
        <v>69</v>
      </c>
      <c r="B140" s="8">
        <v>138</v>
      </c>
      <c r="D140">
        <v>3048.5936811167999</v>
      </c>
      <c r="E140">
        <v>566.63041880970002</v>
      </c>
      <c r="F140">
        <v>132.03079178886</v>
      </c>
      <c r="G140">
        <v>113.66862170088</v>
      </c>
      <c r="I140" s="9">
        <f t="shared" si="15"/>
        <v>452.96179710882001</v>
      </c>
      <c r="J140" s="9">
        <f t="shared" si="16"/>
        <v>2916.56288932794</v>
      </c>
      <c r="K140" s="9">
        <f t="shared" si="17"/>
        <v>452.96179710882001</v>
      </c>
      <c r="L140" s="10">
        <f t="shared" si="14"/>
        <v>0.15530671351756636</v>
      </c>
      <c r="M140" s="10">
        <f t="shared" si="18"/>
        <v>0.15885757481050797</v>
      </c>
      <c r="P140" s="8">
        <f t="shared" si="19"/>
        <v>-5.7273548384095179</v>
      </c>
      <c r="X140" s="8">
        <v>-13</v>
      </c>
    </row>
    <row r="141" spans="1:24" x14ac:dyDescent="0.2">
      <c r="A141" s="8">
        <v>69.5</v>
      </c>
      <c r="B141" s="8">
        <v>139</v>
      </c>
      <c r="D141">
        <v>3078.0257163850001</v>
      </c>
      <c r="E141">
        <v>568.83174136664002</v>
      </c>
      <c r="F141">
        <v>132.31011730205</v>
      </c>
      <c r="G141">
        <v>113.5784457478</v>
      </c>
      <c r="I141" s="9">
        <f t="shared" si="15"/>
        <v>455.25329561884001</v>
      </c>
      <c r="J141" s="9">
        <f t="shared" si="16"/>
        <v>2945.7155990829501</v>
      </c>
      <c r="K141" s="9">
        <f t="shared" si="17"/>
        <v>455.25329561884001</v>
      </c>
      <c r="L141" s="10">
        <f t="shared" si="14"/>
        <v>0.15454760661910738</v>
      </c>
      <c r="M141" s="10">
        <f t="shared" si="18"/>
        <v>0.15812419879098333</v>
      </c>
      <c r="P141" s="8">
        <f t="shared" si="19"/>
        <v>-6.1625704542914539</v>
      </c>
      <c r="X141" s="8">
        <v>-13</v>
      </c>
    </row>
    <row r="142" spans="1:24" x14ac:dyDescent="0.2">
      <c r="A142" s="8">
        <v>70</v>
      </c>
      <c r="B142" s="8">
        <v>140</v>
      </c>
      <c r="D142">
        <v>3060.2255694342002</v>
      </c>
      <c r="E142">
        <v>565.89125642910005</v>
      </c>
      <c r="F142">
        <v>132.05865102639001</v>
      </c>
      <c r="G142">
        <v>113.72140762463</v>
      </c>
      <c r="I142" s="9">
        <f t="shared" si="15"/>
        <v>452.16984880447006</v>
      </c>
      <c r="J142" s="9">
        <f t="shared" si="16"/>
        <v>2928.16691840781</v>
      </c>
      <c r="K142" s="9">
        <f t="shared" si="17"/>
        <v>452.16984880447006</v>
      </c>
      <c r="L142" s="10">
        <f t="shared" si="14"/>
        <v>0.1544207900041222</v>
      </c>
      <c r="M142" s="10">
        <f t="shared" si="18"/>
        <v>0.15802311305493252</v>
      </c>
      <c r="P142" s="8">
        <f t="shared" si="19"/>
        <v>-6.2225589045556795</v>
      </c>
      <c r="X142" s="8">
        <v>-13</v>
      </c>
    </row>
    <row r="143" spans="1:24" x14ac:dyDescent="0.2">
      <c r="A143" s="8">
        <v>70.5</v>
      </c>
      <c r="B143" s="8">
        <v>141</v>
      </c>
      <c r="D143">
        <v>3065.5569434240001</v>
      </c>
      <c r="E143">
        <v>564.92872887582996</v>
      </c>
      <c r="F143">
        <v>132.27785923754001</v>
      </c>
      <c r="G143">
        <v>113.88929618768</v>
      </c>
      <c r="I143" s="9">
        <f t="shared" si="15"/>
        <v>451.03943268814999</v>
      </c>
      <c r="J143" s="9">
        <f t="shared" si="16"/>
        <v>2933.2790841864603</v>
      </c>
      <c r="K143" s="9">
        <f t="shared" si="17"/>
        <v>451.03943268814999</v>
      </c>
      <c r="L143" s="10">
        <f t="shared" si="14"/>
        <v>0.15376628671978035</v>
      </c>
      <c r="M143" s="10">
        <f t="shared" si="18"/>
        <v>0.15739434064952504</v>
      </c>
      <c r="P143" s="8">
        <f t="shared" si="19"/>
        <v>-6.5956984160526071</v>
      </c>
      <c r="X143" s="8">
        <v>-13</v>
      </c>
    </row>
    <row r="144" spans="1:24" x14ac:dyDescent="0.2">
      <c r="A144" s="8">
        <v>71</v>
      </c>
      <c r="B144" s="8">
        <v>142</v>
      </c>
      <c r="D144">
        <v>3136.9485672300002</v>
      </c>
      <c r="E144">
        <v>571.55033063923997</v>
      </c>
      <c r="F144">
        <v>131.93108504399001</v>
      </c>
      <c r="G144">
        <v>113.48313782991001</v>
      </c>
      <c r="I144" s="9">
        <f t="shared" si="15"/>
        <v>458.06719280932998</v>
      </c>
      <c r="J144" s="9">
        <f t="shared" si="16"/>
        <v>3005.0174821860101</v>
      </c>
      <c r="K144" s="9">
        <f t="shared" si="17"/>
        <v>458.06719280932998</v>
      </c>
      <c r="L144" s="10">
        <f t="shared" si="14"/>
        <v>0.15243411911071728</v>
      </c>
      <c r="M144" s="10">
        <f t="shared" si="18"/>
        <v>0.15608790391939631</v>
      </c>
      <c r="P144" s="8">
        <f t="shared" si="19"/>
        <v>-7.3709919230346088</v>
      </c>
    </row>
    <row r="145" spans="1:16" x14ac:dyDescent="0.2">
      <c r="A145" s="8">
        <v>71.5</v>
      </c>
      <c r="B145" s="8">
        <v>143</v>
      </c>
      <c r="D145">
        <v>3051.5988243938</v>
      </c>
      <c r="E145">
        <v>558.21087435709001</v>
      </c>
      <c r="F145">
        <v>131.95454545454999</v>
      </c>
      <c r="G145">
        <v>113.9582111437</v>
      </c>
      <c r="I145" s="9">
        <f t="shared" si="15"/>
        <v>444.25266321339001</v>
      </c>
      <c r="J145" s="9">
        <f t="shared" si="16"/>
        <v>2919.6442789392499</v>
      </c>
      <c r="K145" s="9">
        <f t="shared" si="17"/>
        <v>444.25266321339001</v>
      </c>
      <c r="L145" s="10">
        <f t="shared" si="14"/>
        <v>0.15215985947945465</v>
      </c>
      <c r="M145" s="10">
        <f t="shared" si="18"/>
        <v>0.15583937516706806</v>
      </c>
      <c r="P145" s="8">
        <f t="shared" si="19"/>
        <v>-7.5184791480450732</v>
      </c>
    </row>
    <row r="146" spans="1:16" x14ac:dyDescent="0.2">
      <c r="A146" s="8">
        <v>72</v>
      </c>
      <c r="B146" s="8">
        <v>144</v>
      </c>
      <c r="D146">
        <v>3013.1983835414999</v>
      </c>
      <c r="E146">
        <v>555.83247612050002</v>
      </c>
      <c r="F146">
        <v>132.30718475072999</v>
      </c>
      <c r="G146">
        <v>113.77346041056001</v>
      </c>
      <c r="I146" s="9">
        <f t="shared" si="15"/>
        <v>442.05901570994001</v>
      </c>
      <c r="J146" s="9">
        <f t="shared" si="16"/>
        <v>2880.89119879077</v>
      </c>
      <c r="K146" s="9">
        <f t="shared" si="17"/>
        <v>442.05901570994001</v>
      </c>
      <c r="L146" s="10">
        <f t="shared" si="14"/>
        <v>0.15344523107831723</v>
      </c>
      <c r="M146" s="10">
        <f t="shared" si="18"/>
        <v>0.15715047764486498</v>
      </c>
      <c r="P146" s="8">
        <f t="shared" si="19"/>
        <v>-6.7404167937175075</v>
      </c>
    </row>
    <row r="147" spans="1:16" x14ac:dyDescent="0.2">
      <c r="A147" s="8">
        <v>72.5</v>
      </c>
      <c r="B147" s="8">
        <v>145</v>
      </c>
      <c r="D147">
        <v>2910.7479794269002</v>
      </c>
      <c r="E147">
        <v>545.66421748714004</v>
      </c>
      <c r="F147">
        <v>132.08064516128999</v>
      </c>
      <c r="G147">
        <v>113.70014662757001</v>
      </c>
      <c r="I147" s="9">
        <f t="shared" si="15"/>
        <v>431.96407085957003</v>
      </c>
      <c r="J147" s="9">
        <f t="shared" si="16"/>
        <v>2778.6673342656104</v>
      </c>
      <c r="K147" s="9">
        <f t="shared" si="17"/>
        <v>431.96407085957003</v>
      </c>
      <c r="L147" s="10">
        <f t="shared" si="14"/>
        <v>0.1554572818173415</v>
      </c>
      <c r="M147" s="10">
        <f t="shared" si="18"/>
        <v>0.15918825926282362</v>
      </c>
      <c r="P147" s="8">
        <f t="shared" si="19"/>
        <v>-5.5311130282799423</v>
      </c>
    </row>
    <row r="148" spans="1:16" x14ac:dyDescent="0.2">
      <c r="A148" s="8">
        <v>73</v>
      </c>
      <c r="B148" s="8">
        <v>146</v>
      </c>
      <c r="D148">
        <v>2954.5584129316999</v>
      </c>
      <c r="E148">
        <v>544.31961792798995</v>
      </c>
      <c r="F148">
        <v>131.90249266862</v>
      </c>
      <c r="G148">
        <v>113.93255131965</v>
      </c>
      <c r="I148" s="9">
        <f t="shared" si="15"/>
        <v>430.38706660833998</v>
      </c>
      <c r="J148" s="9">
        <f t="shared" si="16"/>
        <v>2822.6559202630797</v>
      </c>
      <c r="K148" s="9">
        <f t="shared" si="17"/>
        <v>430.38706660833998</v>
      </c>
      <c r="L148" s="10">
        <f t="shared" si="14"/>
        <v>0.15247592294856352</v>
      </c>
      <c r="M148" s="10">
        <f t="shared" si="18"/>
        <v>0.15623263127297998</v>
      </c>
      <c r="P148" s="8">
        <f t="shared" si="19"/>
        <v>-7.2851047346783426</v>
      </c>
    </row>
    <row r="149" spans="1:16" x14ac:dyDescent="0.2">
      <c r="A149" s="8">
        <v>73.5</v>
      </c>
      <c r="B149" s="8">
        <v>147</v>
      </c>
      <c r="D149">
        <v>2941.7237325495998</v>
      </c>
      <c r="E149">
        <v>539.85672299780003</v>
      </c>
      <c r="F149">
        <v>132.13782991202001</v>
      </c>
      <c r="G149">
        <v>113.50293255132</v>
      </c>
      <c r="I149" s="9">
        <f t="shared" si="15"/>
        <v>426.35379044648005</v>
      </c>
      <c r="J149" s="9">
        <f t="shared" si="16"/>
        <v>2809.5859026375797</v>
      </c>
      <c r="K149" s="9">
        <f t="shared" si="17"/>
        <v>426.35379044648005</v>
      </c>
      <c r="L149" s="10">
        <f t="shared" si="14"/>
        <v>0.15174969024660473</v>
      </c>
      <c r="M149" s="10">
        <f t="shared" si="18"/>
        <v>0.15553212944995556</v>
      </c>
      <c r="P149" s="8">
        <f t="shared" si="19"/>
        <v>-7.7008114447663019</v>
      </c>
    </row>
    <row r="150" spans="1:16" x14ac:dyDescent="0.2">
      <c r="A150" s="8">
        <v>74</v>
      </c>
      <c r="B150" s="8">
        <v>148</v>
      </c>
      <c r="D150">
        <v>2930.9052167524001</v>
      </c>
      <c r="E150">
        <v>540.51800146950995</v>
      </c>
      <c r="F150">
        <v>131.59310850439999</v>
      </c>
      <c r="G150">
        <v>113.53079178886</v>
      </c>
      <c r="I150" s="9">
        <f t="shared" si="15"/>
        <v>426.98720968064993</v>
      </c>
      <c r="J150" s="9">
        <f t="shared" si="16"/>
        <v>2799.3121082480002</v>
      </c>
      <c r="K150" s="9">
        <f t="shared" si="17"/>
        <v>426.98720968064993</v>
      </c>
      <c r="L150" s="10">
        <f t="shared" si="14"/>
        <v>0.1525329056458401</v>
      </c>
      <c r="M150" s="10">
        <f t="shared" si="18"/>
        <v>0.15634107572812531</v>
      </c>
      <c r="P150" s="8">
        <f t="shared" si="19"/>
        <v>-7.2207493166137535</v>
      </c>
    </row>
    <row r="151" spans="1:16" x14ac:dyDescent="0.2">
      <c r="A151" s="8">
        <v>74.5</v>
      </c>
      <c r="B151" s="8">
        <v>149</v>
      </c>
      <c r="D151">
        <v>2929.4753857457999</v>
      </c>
      <c r="E151">
        <v>534.08890521675005</v>
      </c>
      <c r="F151">
        <v>132.51612903226001</v>
      </c>
      <c r="G151">
        <v>113.71187683285</v>
      </c>
      <c r="I151" s="9">
        <f t="shared" si="15"/>
        <v>420.37702838390004</v>
      </c>
      <c r="J151" s="9">
        <f t="shared" si="16"/>
        <v>2796.9592567135401</v>
      </c>
      <c r="K151" s="9">
        <f t="shared" si="17"/>
        <v>420.37702838390004</v>
      </c>
      <c r="L151" s="10">
        <f t="shared" si="14"/>
        <v>0.15029787344054771</v>
      </c>
      <c r="M151" s="10">
        <f t="shared" si="18"/>
        <v>0.15413177440176726</v>
      </c>
      <c r="P151" s="8">
        <f t="shared" si="19"/>
        <v>-8.5318399601869341</v>
      </c>
    </row>
    <row r="152" spans="1:16" x14ac:dyDescent="0.2">
      <c r="A152" s="8">
        <v>75</v>
      </c>
      <c r="B152" s="8">
        <v>150</v>
      </c>
      <c r="D152">
        <v>2918.3262307127002</v>
      </c>
      <c r="E152">
        <v>539.46436443791004</v>
      </c>
      <c r="F152">
        <v>131.97580645161</v>
      </c>
      <c r="G152">
        <v>113.21847507331</v>
      </c>
      <c r="I152" s="9">
        <f t="shared" si="15"/>
        <v>426.24588936460003</v>
      </c>
      <c r="J152" s="9">
        <f t="shared" si="16"/>
        <v>2786.3504242610902</v>
      </c>
      <c r="K152" s="9">
        <f t="shared" si="17"/>
        <v>426.24588936460003</v>
      </c>
      <c r="L152" s="10">
        <f t="shared" si="14"/>
        <v>0.15297641160035921</v>
      </c>
      <c r="M152" s="10">
        <f t="shared" si="18"/>
        <v>0.15683604344051313</v>
      </c>
      <c r="P152" s="8">
        <f t="shared" si="19"/>
        <v>-6.9270150356262565</v>
      </c>
    </row>
    <row r="153" spans="1:16" x14ac:dyDescent="0.2">
      <c r="A153" s="8">
        <v>75.5</v>
      </c>
      <c r="B153" s="8">
        <v>151</v>
      </c>
      <c r="D153">
        <v>2908.4849375458998</v>
      </c>
      <c r="E153">
        <v>533.63262307127002</v>
      </c>
      <c r="F153">
        <v>132.09164222874</v>
      </c>
      <c r="G153">
        <v>113.91275659823999</v>
      </c>
      <c r="I153" s="9">
        <f t="shared" si="15"/>
        <v>419.71986647303004</v>
      </c>
      <c r="J153" s="9">
        <f t="shared" si="16"/>
        <v>2776.3932953171598</v>
      </c>
      <c r="K153" s="9">
        <f t="shared" si="17"/>
        <v>419.71986647303004</v>
      </c>
      <c r="L153" s="10">
        <f t="shared" si="14"/>
        <v>0.15117449936972405</v>
      </c>
      <c r="M153" s="10">
        <f t="shared" si="18"/>
        <v>0.15505986208881231</v>
      </c>
      <c r="P153" s="8">
        <f t="shared" si="19"/>
        <v>-7.9810743998791844</v>
      </c>
    </row>
    <row r="154" spans="1:16" x14ac:dyDescent="0.2">
      <c r="A154" s="8">
        <v>76</v>
      </c>
      <c r="B154" s="8">
        <v>152</v>
      </c>
      <c r="D154">
        <v>2907.1807494488999</v>
      </c>
      <c r="E154">
        <v>534.82145481264001</v>
      </c>
      <c r="F154">
        <v>131.59824046921</v>
      </c>
      <c r="G154">
        <v>113.14809384164001</v>
      </c>
      <c r="I154" s="9">
        <f t="shared" si="15"/>
        <v>421.67336097100002</v>
      </c>
      <c r="J154" s="9">
        <f t="shared" si="16"/>
        <v>2775.5825089796899</v>
      </c>
      <c r="K154" s="9">
        <f t="shared" si="17"/>
        <v>421.67336097100002</v>
      </c>
      <c r="L154" s="10">
        <f t="shared" si="14"/>
        <v>0.15192247378947782</v>
      </c>
      <c r="M154" s="10">
        <f t="shared" si="18"/>
        <v>0.15583356738750045</v>
      </c>
      <c r="P154" s="8">
        <f t="shared" si="19"/>
        <v>-7.5219257242817212</v>
      </c>
    </row>
    <row r="155" spans="1:16" x14ac:dyDescent="0.2">
      <c r="A155" s="8">
        <v>76.5</v>
      </c>
      <c r="B155" s="8">
        <v>153</v>
      </c>
      <c r="D155">
        <v>2898.4665686994999</v>
      </c>
      <c r="E155">
        <v>532.74430565760997</v>
      </c>
      <c r="F155">
        <v>132.31598240469</v>
      </c>
      <c r="G155">
        <v>113.25439882697999</v>
      </c>
      <c r="I155" s="9">
        <f t="shared" si="15"/>
        <v>419.48990683062999</v>
      </c>
      <c r="J155" s="9">
        <f t="shared" si="16"/>
        <v>2766.1505862948097</v>
      </c>
      <c r="K155" s="9">
        <f t="shared" si="17"/>
        <v>419.48990683062999</v>
      </c>
      <c r="L155" s="10">
        <f t="shared" si="14"/>
        <v>0.15165114614838318</v>
      </c>
      <c r="M155" s="10">
        <f t="shared" si="18"/>
        <v>0.15558797062534016</v>
      </c>
      <c r="P155" s="8">
        <f t="shared" si="19"/>
        <v>-7.6676729852454537</v>
      </c>
    </row>
    <row r="156" spans="1:16" x14ac:dyDescent="0.2">
      <c r="A156" s="8">
        <v>77</v>
      </c>
      <c r="B156" s="8">
        <v>154</v>
      </c>
      <c r="D156">
        <v>2886.0389419544999</v>
      </c>
      <c r="E156">
        <v>529.59955914769</v>
      </c>
      <c r="F156">
        <v>131.9582111437</v>
      </c>
      <c r="G156">
        <v>113.52126099707</v>
      </c>
      <c r="I156" s="9">
        <f t="shared" si="15"/>
        <v>416.07829815062001</v>
      </c>
      <c r="J156" s="9">
        <f t="shared" si="16"/>
        <v>2754.0807308108001</v>
      </c>
      <c r="K156" s="9">
        <f t="shared" si="17"/>
        <v>416.07829815062001</v>
      </c>
      <c r="L156" s="10">
        <f t="shared" si="14"/>
        <v>0.15107701582448774</v>
      </c>
      <c r="M156" s="10">
        <f t="shared" si="18"/>
        <v>0.15503957118037909</v>
      </c>
      <c r="P156" s="8">
        <f t="shared" si="19"/>
        <v>-7.993115862887878</v>
      </c>
    </row>
    <row r="157" spans="1:16" x14ac:dyDescent="0.2">
      <c r="A157" s="8">
        <v>77.5</v>
      </c>
      <c r="B157" s="8">
        <v>155</v>
      </c>
      <c r="D157">
        <v>2873.3644379133002</v>
      </c>
      <c r="E157">
        <v>526.85525349008003</v>
      </c>
      <c r="F157">
        <v>132.31011730205</v>
      </c>
      <c r="G157">
        <v>113.70747800587</v>
      </c>
      <c r="I157" s="9">
        <f t="shared" si="15"/>
        <v>413.14777548421</v>
      </c>
      <c r="J157" s="9">
        <f t="shared" si="16"/>
        <v>2741.0543206112502</v>
      </c>
      <c r="K157" s="9">
        <f t="shared" si="17"/>
        <v>413.14777548421</v>
      </c>
      <c r="L157" s="10">
        <f t="shared" si="14"/>
        <v>0.15072586208071892</v>
      </c>
      <c r="M157" s="10">
        <f t="shared" si="18"/>
        <v>0.15471414831554464</v>
      </c>
      <c r="P157" s="8">
        <f t="shared" si="19"/>
        <v>-8.1862352297207188</v>
      </c>
    </row>
    <row r="158" spans="1:16" x14ac:dyDescent="0.2">
      <c r="A158" s="8">
        <v>78</v>
      </c>
      <c r="B158" s="8">
        <v>156</v>
      </c>
      <c r="D158">
        <v>2861.5576781778</v>
      </c>
      <c r="E158">
        <v>522.14842027920997</v>
      </c>
      <c r="F158">
        <v>131.50366568915001</v>
      </c>
      <c r="G158">
        <v>113.37903225807</v>
      </c>
      <c r="I158" s="9">
        <f t="shared" si="15"/>
        <v>408.76938802114</v>
      </c>
      <c r="J158" s="9">
        <f t="shared" si="16"/>
        <v>2730.0540124886502</v>
      </c>
      <c r="K158" s="9">
        <f t="shared" si="17"/>
        <v>408.76938802114</v>
      </c>
      <c r="L158" s="10">
        <f t="shared" si="14"/>
        <v>0.14972941419884797</v>
      </c>
      <c r="M158" s="10">
        <f t="shared" si="18"/>
        <v>0.15374343131260804</v>
      </c>
      <c r="P158" s="8">
        <f t="shared" si="19"/>
        <v>-8.7622987865219901</v>
      </c>
    </row>
    <row r="159" spans="1:16" x14ac:dyDescent="0.2">
      <c r="A159" s="8">
        <v>78.5</v>
      </c>
      <c r="B159" s="8">
        <v>157</v>
      </c>
      <c r="D159">
        <v>2868.2373254959998</v>
      </c>
      <c r="E159">
        <v>525.17340191035998</v>
      </c>
      <c r="F159">
        <v>131.50586510264</v>
      </c>
      <c r="G159">
        <v>113.55425219941</v>
      </c>
      <c r="I159" s="9">
        <f t="shared" si="15"/>
        <v>411.61914971094996</v>
      </c>
      <c r="J159" s="9">
        <f t="shared" si="16"/>
        <v>2736.7314603933596</v>
      </c>
      <c r="K159" s="9">
        <f t="shared" si="17"/>
        <v>411.61914971094996</v>
      </c>
      <c r="L159" s="10">
        <f t="shared" si="14"/>
        <v>0.15040538528094624</v>
      </c>
      <c r="M159" s="10">
        <f t="shared" si="18"/>
        <v>0.15444513327364068</v>
      </c>
      <c r="P159" s="8">
        <f t="shared" si="19"/>
        <v>-8.3458798649783965</v>
      </c>
    </row>
    <row r="160" spans="1:16" x14ac:dyDescent="0.2">
      <c r="A160" s="8">
        <v>79</v>
      </c>
      <c r="B160" s="8">
        <v>158</v>
      </c>
      <c r="D160">
        <v>2840.5870683321</v>
      </c>
      <c r="E160">
        <v>521.14988978691997</v>
      </c>
      <c r="F160">
        <v>131.74266862170001</v>
      </c>
      <c r="G160">
        <v>113.3995601173</v>
      </c>
      <c r="I160" s="9">
        <f t="shared" si="15"/>
        <v>407.75032966961999</v>
      </c>
      <c r="J160" s="9">
        <f t="shared" si="16"/>
        <v>2708.8443997104</v>
      </c>
      <c r="K160" s="9">
        <f t="shared" si="17"/>
        <v>407.75032966961999</v>
      </c>
      <c r="L160" s="10">
        <f t="shared" si="14"/>
        <v>0.150525563488701</v>
      </c>
      <c r="M160" s="10">
        <f t="shared" si="18"/>
        <v>0.15459104236032978</v>
      </c>
      <c r="P160" s="8">
        <f t="shared" si="19"/>
        <v>-8.2592913873958764</v>
      </c>
    </row>
    <row r="161" spans="1:16" x14ac:dyDescent="0.2">
      <c r="A161" s="8">
        <v>79.5</v>
      </c>
      <c r="B161" s="8">
        <v>159</v>
      </c>
      <c r="D161">
        <v>2864.0668626010001</v>
      </c>
      <c r="E161">
        <v>522.84570168993002</v>
      </c>
      <c r="F161">
        <v>131.99633431084999</v>
      </c>
      <c r="G161">
        <v>113.76392961877001</v>
      </c>
      <c r="I161" s="9">
        <f t="shared" si="15"/>
        <v>409.08177207116</v>
      </c>
      <c r="J161" s="9">
        <f t="shared" si="16"/>
        <v>2732.0705282901499</v>
      </c>
      <c r="K161" s="9">
        <f t="shared" si="17"/>
        <v>409.08177207116</v>
      </c>
      <c r="L161" s="10">
        <f t="shared" si="14"/>
        <v>0.14973323998600482</v>
      </c>
      <c r="M161" s="10">
        <f t="shared" si="18"/>
        <v>0.15382444973656798</v>
      </c>
      <c r="P161" s="8">
        <f t="shared" si="19"/>
        <v>-8.7142191079631459</v>
      </c>
    </row>
    <row r="162" spans="1:16" x14ac:dyDescent="0.2">
      <c r="A162" s="8">
        <v>80</v>
      </c>
      <c r="B162" s="4">
        <v>160</v>
      </c>
      <c r="C162" s="4" t="s">
        <v>6</v>
      </c>
      <c r="D162">
        <v>2838.4981631154001</v>
      </c>
      <c r="E162">
        <v>517.00881704629001</v>
      </c>
      <c r="F162">
        <v>131.16715542521999</v>
      </c>
      <c r="G162">
        <v>113.25806451613001</v>
      </c>
      <c r="H162" s="4"/>
      <c r="I162" s="5">
        <f t="shared" si="15"/>
        <v>403.75075253016001</v>
      </c>
      <c r="J162" s="5">
        <f t="shared" si="16"/>
        <v>2707.3310076901803</v>
      </c>
      <c r="K162" s="9">
        <f t="shared" si="17"/>
        <v>403.75075253016001</v>
      </c>
      <c r="L162" s="6">
        <f t="shared" si="14"/>
        <v>0.14913239326233291</v>
      </c>
      <c r="M162" s="6">
        <f t="shared" si="18"/>
        <v>0.15324933389183043</v>
      </c>
      <c r="N162" s="4"/>
      <c r="O162" s="4"/>
      <c r="P162" s="4">
        <f t="shared" si="19"/>
        <v>-9.0555166005279428</v>
      </c>
    </row>
    <row r="163" spans="1:16" x14ac:dyDescent="0.2">
      <c r="A163" s="8">
        <v>80.5</v>
      </c>
      <c r="B163" s="8">
        <v>161</v>
      </c>
      <c r="D163">
        <v>2864.7516531962001</v>
      </c>
      <c r="E163">
        <v>520.75753122703998</v>
      </c>
      <c r="F163">
        <v>131.43108504399001</v>
      </c>
      <c r="G163">
        <v>113.38269794721</v>
      </c>
      <c r="I163" s="9">
        <f t="shared" si="15"/>
        <v>407.37483327983</v>
      </c>
      <c r="J163" s="9">
        <f t="shared" si="16"/>
        <v>2733.3205681522099</v>
      </c>
      <c r="K163" s="9">
        <f t="shared" si="17"/>
        <v>407.37483327983</v>
      </c>
      <c r="L163" s="10">
        <f t="shared" si="14"/>
        <v>0.14904026919726621</v>
      </c>
      <c r="M163" s="10">
        <f t="shared" si="18"/>
        <v>0.15318294070569807</v>
      </c>
      <c r="P163" s="8">
        <f t="shared" si="19"/>
        <v>-9.0949170589881021</v>
      </c>
    </row>
    <row r="164" spans="1:16" x14ac:dyDescent="0.2">
      <c r="A164" s="8">
        <v>81</v>
      </c>
      <c r="B164" s="8">
        <v>162</v>
      </c>
      <c r="D164">
        <v>2877.1866274797999</v>
      </c>
      <c r="E164">
        <v>539.06980161646004</v>
      </c>
      <c r="F164">
        <v>131.48680351906</v>
      </c>
      <c r="G164">
        <v>113.24633431085</v>
      </c>
      <c r="I164" s="9">
        <f t="shared" si="15"/>
        <v>425.82346730561005</v>
      </c>
      <c r="J164" s="9">
        <f t="shared" si="16"/>
        <v>2745.6998239607401</v>
      </c>
      <c r="K164" s="9">
        <f t="shared" si="17"/>
        <v>425.82346730561005</v>
      </c>
      <c r="L164" s="10">
        <f t="shared" si="14"/>
        <v>0.15508740743966293</v>
      </c>
      <c r="M164" s="10">
        <f t="shared" si="18"/>
        <v>0.15925580982702917</v>
      </c>
      <c r="P164" s="8">
        <f t="shared" si="19"/>
        <v>-5.4910257338754374</v>
      </c>
    </row>
    <row r="165" spans="1:16" x14ac:dyDescent="0.2">
      <c r="A165" s="8">
        <v>81.5</v>
      </c>
      <c r="B165" s="8">
        <v>163</v>
      </c>
      <c r="D165">
        <v>2863.9088905217</v>
      </c>
      <c r="E165">
        <v>527.99412196914</v>
      </c>
      <c r="F165">
        <v>132.14149560116999</v>
      </c>
      <c r="G165">
        <v>113.30718475073</v>
      </c>
      <c r="I165" s="9">
        <f t="shared" si="15"/>
        <v>414.68693721840998</v>
      </c>
      <c r="J165" s="9">
        <f t="shared" si="16"/>
        <v>2731.76739492053</v>
      </c>
      <c r="K165" s="9">
        <f t="shared" si="17"/>
        <v>414.68693721840998</v>
      </c>
      <c r="L165" s="10">
        <f t="shared" si="14"/>
        <v>0.15180170097552309</v>
      </c>
      <c r="M165" s="10">
        <f t="shared" si="18"/>
        <v>0.15599583424182367</v>
      </c>
      <c r="P165" s="8">
        <f t="shared" si="19"/>
        <v>-7.4256298718658229</v>
      </c>
    </row>
    <row r="166" spans="1:16" x14ac:dyDescent="0.2">
      <c r="A166" s="8">
        <v>82</v>
      </c>
      <c r="B166" s="8">
        <v>164</v>
      </c>
      <c r="D166">
        <v>2888.8986039677002</v>
      </c>
      <c r="E166">
        <v>540.03012490816002</v>
      </c>
      <c r="F166">
        <v>131.50586510264</v>
      </c>
      <c r="G166">
        <v>113.65762463343</v>
      </c>
      <c r="I166" s="9">
        <f t="shared" si="15"/>
        <v>426.37250027472999</v>
      </c>
      <c r="J166" s="9">
        <f t="shared" si="16"/>
        <v>2757.39273886506</v>
      </c>
      <c r="K166" s="9">
        <f t="shared" si="17"/>
        <v>426.37250027472999</v>
      </c>
      <c r="L166" s="10">
        <f t="shared" si="14"/>
        <v>0.15462886162898379</v>
      </c>
      <c r="M166" s="10">
        <f t="shared" si="18"/>
        <v>0.15884872577421874</v>
      </c>
      <c r="P166" s="8">
        <f t="shared" si="19"/>
        <v>-5.7326062219781733</v>
      </c>
    </row>
    <row r="167" spans="1:16" x14ac:dyDescent="0.2">
      <c r="A167" s="8">
        <v>82.5</v>
      </c>
      <c r="B167" s="8">
        <v>165</v>
      </c>
      <c r="D167">
        <v>2772.0903747245002</v>
      </c>
      <c r="E167">
        <v>546.994856723</v>
      </c>
      <c r="F167">
        <v>132.15395894427999</v>
      </c>
      <c r="G167">
        <v>113.70747800587</v>
      </c>
      <c r="I167" s="9">
        <f t="shared" si="15"/>
        <v>433.28737871712997</v>
      </c>
      <c r="J167" s="9">
        <f t="shared" si="16"/>
        <v>2639.9364157802202</v>
      </c>
      <c r="K167" s="9">
        <f t="shared" si="17"/>
        <v>433.28737871712997</v>
      </c>
      <c r="L167" s="10">
        <f t="shared" si="14"/>
        <v>0.16412796010053676</v>
      </c>
      <c r="M167" s="10">
        <f t="shared" si="18"/>
        <v>0.16837355512470606</v>
      </c>
      <c r="P167" s="8">
        <f t="shared" si="19"/>
        <v>-8.0179142852212865E-2</v>
      </c>
    </row>
    <row r="168" spans="1:16" x14ac:dyDescent="0.2">
      <c r="A168" s="8">
        <v>83</v>
      </c>
      <c r="B168" s="8">
        <v>166</v>
      </c>
      <c r="D168">
        <v>2938.9463629684001</v>
      </c>
      <c r="E168">
        <v>564.67156502572004</v>
      </c>
      <c r="F168">
        <v>131.84017595308001</v>
      </c>
      <c r="G168">
        <v>113.65249266862</v>
      </c>
      <c r="I168" s="9">
        <f t="shared" si="15"/>
        <v>451.01907235710007</v>
      </c>
      <c r="J168" s="9">
        <f t="shared" si="16"/>
        <v>2807.1061870153198</v>
      </c>
      <c r="K168" s="9">
        <f t="shared" si="17"/>
        <v>451.01907235710007</v>
      </c>
      <c r="L168" s="10">
        <f t="shared" si="14"/>
        <v>0.16067047069446633</v>
      </c>
      <c r="M168" s="10">
        <f t="shared" si="18"/>
        <v>0.16494179659757</v>
      </c>
      <c r="P168" s="8">
        <f t="shared" si="19"/>
        <v>-2.1167263726262417</v>
      </c>
    </row>
    <row r="169" spans="1:16" x14ac:dyDescent="0.2">
      <c r="A169" s="8">
        <v>83.5</v>
      </c>
      <c r="B169" s="8">
        <v>167</v>
      </c>
      <c r="D169">
        <v>3328.9626373626002</v>
      </c>
      <c r="E169">
        <v>667.77655677656003</v>
      </c>
      <c r="F169">
        <v>132.43401759531</v>
      </c>
      <c r="G169">
        <v>113.59090909091</v>
      </c>
      <c r="I169" s="9">
        <f t="shared" si="15"/>
        <v>554.18564768565</v>
      </c>
      <c r="J169" s="9">
        <f t="shared" si="16"/>
        <v>3196.5286197672904</v>
      </c>
      <c r="K169" s="9">
        <f t="shared" si="17"/>
        <v>554.18564768565</v>
      </c>
      <c r="L169" s="10">
        <f t="shared" si="14"/>
        <v>0.17337108895524142</v>
      </c>
      <c r="M169" s="10">
        <f t="shared" si="18"/>
        <v>0.17766814573727946</v>
      </c>
      <c r="P169" s="8">
        <f t="shared" si="19"/>
        <v>5.4356147611311574</v>
      </c>
    </row>
    <row r="170" spans="1:16" x14ac:dyDescent="0.2">
      <c r="A170" s="8">
        <v>84</v>
      </c>
      <c r="B170" s="8">
        <v>168</v>
      </c>
      <c r="D170">
        <v>3492.3070175439002</v>
      </c>
      <c r="E170">
        <v>669.34576023392003</v>
      </c>
      <c r="F170">
        <v>132.34017595308001</v>
      </c>
      <c r="G170">
        <v>113.46920821114</v>
      </c>
      <c r="I170" s="9">
        <f t="shared" si="15"/>
        <v>555.87655202278006</v>
      </c>
      <c r="J170" s="9">
        <f t="shared" si="16"/>
        <v>3359.96684159082</v>
      </c>
      <c r="K170" s="9">
        <f t="shared" si="17"/>
        <v>555.87655202278006</v>
      </c>
      <c r="L170" s="10">
        <f t="shared" si="14"/>
        <v>0.16544108267437338</v>
      </c>
      <c r="M170" s="10">
        <f t="shared" si="18"/>
        <v>0.16976387033534576</v>
      </c>
      <c r="P170" s="8">
        <f t="shared" si="19"/>
        <v>0.74489131835647016</v>
      </c>
    </row>
    <row r="171" spans="1:16" x14ac:dyDescent="0.2">
      <c r="A171" s="8">
        <v>84.5</v>
      </c>
      <c r="B171" s="8">
        <v>169</v>
      </c>
      <c r="D171">
        <v>3530.9656432748998</v>
      </c>
      <c r="E171">
        <v>680.72149122807002</v>
      </c>
      <c r="F171">
        <v>132.80205278592001</v>
      </c>
      <c r="G171">
        <v>113.99633431085</v>
      </c>
      <c r="I171" s="9">
        <f t="shared" si="15"/>
        <v>566.72515691722003</v>
      </c>
      <c r="J171" s="9">
        <f t="shared" si="16"/>
        <v>3398.1635904889799</v>
      </c>
      <c r="K171" s="9">
        <f t="shared" si="17"/>
        <v>566.72515691722003</v>
      </c>
      <c r="L171" s="10">
        <f t="shared" si="14"/>
        <v>0.16677394770028448</v>
      </c>
      <c r="M171" s="10">
        <f t="shared" si="18"/>
        <v>0.17112246624019123</v>
      </c>
      <c r="P171" s="8">
        <f t="shared" si="19"/>
        <v>1.5511382336091042</v>
      </c>
    </row>
    <row r="172" spans="1:16" x14ac:dyDescent="0.2">
      <c r="A172" s="8">
        <v>85</v>
      </c>
      <c r="B172" s="8">
        <v>170</v>
      </c>
      <c r="D172">
        <v>3489.8197932052999</v>
      </c>
      <c r="E172">
        <v>671.88183161003997</v>
      </c>
      <c r="F172">
        <v>132.14076246334</v>
      </c>
      <c r="G172">
        <v>113.86656891496</v>
      </c>
      <c r="I172" s="9">
        <f t="shared" si="15"/>
        <v>558.01526269507997</v>
      </c>
      <c r="J172" s="9">
        <f t="shared" si="16"/>
        <v>3357.6790307419601</v>
      </c>
      <c r="K172" s="9">
        <f t="shared" si="17"/>
        <v>558.01526269507997</v>
      </c>
      <c r="L172" s="10">
        <f t="shared" si="14"/>
        <v>0.16619076975078617</v>
      </c>
      <c r="M172" s="10">
        <f t="shared" si="18"/>
        <v>0.17056501916962727</v>
      </c>
      <c r="P172" s="8">
        <f t="shared" si="19"/>
        <v>1.2203261212982464</v>
      </c>
    </row>
    <row r="173" spans="1:16" x14ac:dyDescent="0.2">
      <c r="A173" s="8">
        <v>85.5</v>
      </c>
      <c r="B173" s="8">
        <v>171</v>
      </c>
      <c r="D173">
        <v>3531.3375184637998</v>
      </c>
      <c r="E173">
        <v>743.24593796160002</v>
      </c>
      <c r="F173">
        <v>132.58870967742001</v>
      </c>
      <c r="G173">
        <v>114.04325513197</v>
      </c>
      <c r="I173" s="9">
        <f t="shared" si="15"/>
        <v>629.20268282963002</v>
      </c>
      <c r="J173" s="9">
        <f t="shared" si="16"/>
        <v>3398.7488087863799</v>
      </c>
      <c r="K173" s="9">
        <f t="shared" si="17"/>
        <v>629.20268282963002</v>
      </c>
      <c r="L173" s="10">
        <f t="shared" si="14"/>
        <v>0.18512773912653602</v>
      </c>
      <c r="M173" s="10">
        <f t="shared" si="18"/>
        <v>0.18952771942431149</v>
      </c>
      <c r="P173" s="8">
        <f t="shared" si="19"/>
        <v>12.473575546438015</v>
      </c>
    </row>
    <row r="174" spans="1:16" x14ac:dyDescent="0.2">
      <c r="A174" s="8">
        <v>86</v>
      </c>
      <c r="B174" s="8">
        <v>172</v>
      </c>
      <c r="D174">
        <v>3564.7467057100998</v>
      </c>
      <c r="E174">
        <v>717.81405563689998</v>
      </c>
      <c r="F174">
        <v>132.72800586509999</v>
      </c>
      <c r="G174">
        <v>113.78592375367</v>
      </c>
      <c r="I174" s="9">
        <f t="shared" si="15"/>
        <v>604.02813188323</v>
      </c>
      <c r="J174" s="9">
        <f t="shared" si="16"/>
        <v>3432.0186998449999</v>
      </c>
      <c r="K174" s="9">
        <f t="shared" si="17"/>
        <v>604.02813188323</v>
      </c>
      <c r="L174" s="10">
        <f t="shared" si="14"/>
        <v>0.1759979139713049</v>
      </c>
      <c r="M174" s="10">
        <f t="shared" si="18"/>
        <v>0.18042362514801472</v>
      </c>
      <c r="P174" s="8">
        <f t="shared" si="19"/>
        <v>7.0708300352417792</v>
      </c>
    </row>
    <row r="175" spans="1:16" x14ac:dyDescent="0.2">
      <c r="A175" s="8">
        <v>86.5</v>
      </c>
      <c r="B175" s="8">
        <v>173</v>
      </c>
      <c r="D175">
        <v>3571.2642335766</v>
      </c>
      <c r="E175">
        <v>700.42189781022</v>
      </c>
      <c r="F175">
        <v>132.65029325513001</v>
      </c>
      <c r="G175">
        <v>113.83431085044</v>
      </c>
      <c r="I175" s="9">
        <f t="shared" si="15"/>
        <v>586.58758695977997</v>
      </c>
      <c r="J175" s="9">
        <f t="shared" si="16"/>
        <v>3438.6139403214702</v>
      </c>
      <c r="K175" s="9">
        <f t="shared" si="17"/>
        <v>586.58758695977997</v>
      </c>
      <c r="L175" s="10">
        <f t="shared" si="14"/>
        <v>0.17058838158055653</v>
      </c>
      <c r="M175" s="10">
        <f t="shared" si="18"/>
        <v>0.17503982363620071</v>
      </c>
      <c r="P175" s="8">
        <f t="shared" si="19"/>
        <v>3.8758598857283095</v>
      </c>
    </row>
    <row r="176" spans="1:16" x14ac:dyDescent="0.2">
      <c r="A176" s="8">
        <v>87</v>
      </c>
      <c r="B176" s="8">
        <v>174</v>
      </c>
      <c r="D176">
        <v>3488.4615384614999</v>
      </c>
      <c r="E176">
        <v>721.90329670330004</v>
      </c>
      <c r="F176">
        <v>132.5857771261</v>
      </c>
      <c r="G176">
        <v>113.892228739</v>
      </c>
      <c r="I176" s="9">
        <f t="shared" si="15"/>
        <v>608.01106796430008</v>
      </c>
      <c r="J176" s="9">
        <f t="shared" si="16"/>
        <v>3355.8757613354001</v>
      </c>
      <c r="K176" s="9">
        <f t="shared" si="17"/>
        <v>608.01106796430008</v>
      </c>
      <c r="L176" s="10">
        <f t="shared" si="14"/>
        <v>0.18117806236138936</v>
      </c>
      <c r="M176" s="10">
        <f t="shared" si="18"/>
        <v>0.18565523529596789</v>
      </c>
      <c r="P176" s="8">
        <f t="shared" si="19"/>
        <v>10.175483544462681</v>
      </c>
    </row>
    <row r="177" spans="1:16" x14ac:dyDescent="0.2">
      <c r="A177" s="8">
        <v>87.5</v>
      </c>
      <c r="B177" s="8">
        <v>175</v>
      </c>
      <c r="D177">
        <v>3554.0424908424998</v>
      </c>
      <c r="E177">
        <v>797.89010989011001</v>
      </c>
      <c r="F177">
        <v>132.66935483871001</v>
      </c>
      <c r="G177">
        <v>113.93841642229</v>
      </c>
      <c r="I177" s="9">
        <f t="shared" si="15"/>
        <v>683.95169346781995</v>
      </c>
      <c r="J177" s="9">
        <f t="shared" si="16"/>
        <v>3421.3731360037896</v>
      </c>
      <c r="K177" s="9">
        <f t="shared" si="17"/>
        <v>683.95169346781995</v>
      </c>
      <c r="L177" s="10">
        <f t="shared" si="14"/>
        <v>0.19990561282850453</v>
      </c>
      <c r="M177" s="10">
        <f t="shared" si="18"/>
        <v>0.20440851664201742</v>
      </c>
      <c r="P177" s="8">
        <f t="shared" si="19"/>
        <v>21.30445514094118</v>
      </c>
    </row>
    <row r="178" spans="1:16" x14ac:dyDescent="0.2">
      <c r="A178" s="8">
        <v>88</v>
      </c>
      <c r="B178" s="8">
        <v>176</v>
      </c>
      <c r="D178">
        <v>3595.3630338733001</v>
      </c>
      <c r="E178">
        <v>802.78718703976006</v>
      </c>
      <c r="F178">
        <v>132.96774193548001</v>
      </c>
      <c r="G178">
        <v>114.07551319648</v>
      </c>
      <c r="I178" s="9">
        <f t="shared" si="15"/>
        <v>688.7116738432801</v>
      </c>
      <c r="J178" s="9">
        <f t="shared" si="16"/>
        <v>3462.3952919378203</v>
      </c>
      <c r="K178" s="9">
        <f t="shared" si="17"/>
        <v>688.7116738432801</v>
      </c>
      <c r="L178" s="10">
        <f t="shared" si="14"/>
        <v>0.19891191379763706</v>
      </c>
      <c r="M178" s="10">
        <f t="shared" si="18"/>
        <v>0.20344054849008433</v>
      </c>
      <c r="P178" s="8">
        <f t="shared" si="19"/>
        <v>20.730022865843445</v>
      </c>
    </row>
    <row r="179" spans="1:16" x14ac:dyDescent="0.2">
      <c r="A179" s="8">
        <v>88.5</v>
      </c>
      <c r="B179" s="8">
        <v>177</v>
      </c>
      <c r="D179">
        <v>3591.8004418261999</v>
      </c>
      <c r="E179">
        <v>783.26583210603997</v>
      </c>
      <c r="F179">
        <v>132.63636363635999</v>
      </c>
      <c r="G179">
        <v>113.97067448679999</v>
      </c>
      <c r="I179" s="9">
        <f t="shared" si="15"/>
        <v>669.29515761923994</v>
      </c>
      <c r="J179" s="9">
        <f t="shared" si="16"/>
        <v>3459.16407818984</v>
      </c>
      <c r="K179" s="9">
        <f t="shared" si="17"/>
        <v>669.29515761923994</v>
      </c>
      <c r="L179" s="10">
        <f t="shared" si="14"/>
        <v>0.19348465192477315</v>
      </c>
      <c r="M179" s="10">
        <f t="shared" si="18"/>
        <v>0.19803901749615477</v>
      </c>
      <c r="P179" s="8">
        <f t="shared" si="19"/>
        <v>17.524531309476238</v>
      </c>
    </row>
    <row r="180" spans="1:16" x14ac:dyDescent="0.2">
      <c r="A180" s="8">
        <v>89</v>
      </c>
      <c r="B180" s="8">
        <v>178</v>
      </c>
      <c r="D180">
        <v>3629.8121790168998</v>
      </c>
      <c r="E180">
        <v>800.25018341892996</v>
      </c>
      <c r="F180">
        <v>133.10337243402</v>
      </c>
      <c r="G180">
        <v>113.82991202346</v>
      </c>
      <c r="I180" s="9">
        <f t="shared" si="15"/>
        <v>686.42027139546997</v>
      </c>
      <c r="J180" s="9">
        <f t="shared" si="16"/>
        <v>3496.7088065828798</v>
      </c>
      <c r="K180" s="9">
        <f t="shared" si="17"/>
        <v>686.42027139546997</v>
      </c>
      <c r="L180" s="10">
        <f t="shared" si="14"/>
        <v>0.19630467086742251</v>
      </c>
      <c r="M180" s="10">
        <f t="shared" si="18"/>
        <v>0.20088476731773849</v>
      </c>
      <c r="P180" s="8">
        <f t="shared" si="19"/>
        <v>19.21331677324045</v>
      </c>
    </row>
    <row r="181" spans="1:16" x14ac:dyDescent="0.2">
      <c r="A181" s="8">
        <v>89.5</v>
      </c>
      <c r="B181" s="8">
        <v>179</v>
      </c>
      <c r="D181">
        <v>3550.9933920704998</v>
      </c>
      <c r="E181">
        <v>787.19016152716995</v>
      </c>
      <c r="F181">
        <v>132.71627565982001</v>
      </c>
      <c r="G181">
        <v>113.71480938416001</v>
      </c>
      <c r="I181" s="9">
        <f t="shared" si="15"/>
        <v>673.4753521430099</v>
      </c>
      <c r="J181" s="9">
        <f t="shared" si="16"/>
        <v>3418.2771164106798</v>
      </c>
      <c r="K181" s="9">
        <f t="shared" si="17"/>
        <v>673.4753521430099</v>
      </c>
      <c r="L181" s="10">
        <f t="shared" si="14"/>
        <v>0.19702187072831137</v>
      </c>
      <c r="M181" s="10">
        <f t="shared" si="18"/>
        <v>0.2016276980575617</v>
      </c>
      <c r="P181" s="8">
        <f t="shared" si="19"/>
        <v>19.654202554724499</v>
      </c>
    </row>
    <row r="182" spans="1:16" x14ac:dyDescent="0.2">
      <c r="A182" s="8">
        <v>90</v>
      </c>
      <c r="B182" s="8">
        <v>180</v>
      </c>
      <c r="D182">
        <v>3558.5844346549002</v>
      </c>
      <c r="E182">
        <v>774.64904552128996</v>
      </c>
      <c r="F182">
        <v>132.26979472140999</v>
      </c>
      <c r="G182">
        <v>113.89516129032</v>
      </c>
      <c r="I182" s="9">
        <f t="shared" si="15"/>
        <v>660.75388423097002</v>
      </c>
      <c r="J182" s="9">
        <f t="shared" si="16"/>
        <v>3426.3146399334901</v>
      </c>
      <c r="K182" s="9">
        <f t="shared" si="17"/>
        <v>660.75388423097002</v>
      </c>
      <c r="L182" s="10">
        <f t="shared" si="14"/>
        <v>0.1928468204670766</v>
      </c>
      <c r="M182" s="10">
        <f>L182+ABS($N$2)*A182</f>
        <v>0.1974783786752613</v>
      </c>
      <c r="P182" s="8">
        <f t="shared" si="19"/>
        <v>17.191825080711588</v>
      </c>
    </row>
    <row r="183" spans="1:16" x14ac:dyDescent="0.2">
      <c r="A183" s="8">
        <v>90.5</v>
      </c>
      <c r="B183" s="8">
        <v>181</v>
      </c>
      <c r="D183">
        <v>3568.1160058737</v>
      </c>
      <c r="E183">
        <v>764.40675477238995</v>
      </c>
      <c r="F183">
        <v>132.20381231671999</v>
      </c>
      <c r="G183">
        <v>113.88636363636</v>
      </c>
      <c r="I183" s="9">
        <f t="shared" si="15"/>
        <v>650.52039113602996</v>
      </c>
      <c r="J183" s="9">
        <f t="shared" si="16"/>
        <v>3435.9121935569801</v>
      </c>
      <c r="K183" s="9">
        <f t="shared" si="17"/>
        <v>650.52039113602996</v>
      </c>
      <c r="L183" s="10">
        <f t="shared" si="14"/>
        <v>0.18932974840157013</v>
      </c>
      <c r="M183" s="10">
        <f t="shared" ref="M183:M241" si="20">L183+ABS($N$2)*A183</f>
        <v>0.19398703748868917</v>
      </c>
      <c r="P183" s="8">
        <f t="shared" si="19"/>
        <v>15.119919040270204</v>
      </c>
    </row>
    <row r="184" spans="1:16" x14ac:dyDescent="0.2">
      <c r="A184" s="8">
        <v>91</v>
      </c>
      <c r="B184" s="8">
        <v>182</v>
      </c>
      <c r="D184">
        <v>3586.0315249267001</v>
      </c>
      <c r="E184">
        <v>758.29398826980002</v>
      </c>
      <c r="F184">
        <v>132.29178885631001</v>
      </c>
      <c r="G184">
        <v>113.89882697947</v>
      </c>
      <c r="I184" s="9">
        <f t="shared" si="15"/>
        <v>644.39516129033007</v>
      </c>
      <c r="J184" s="9">
        <f t="shared" si="16"/>
        <v>3453.7397360703899</v>
      </c>
      <c r="K184" s="9">
        <f t="shared" si="17"/>
        <v>644.39516129033007</v>
      </c>
      <c r="L184" s="10">
        <f t="shared" si="14"/>
        <v>0.18657895803796515</v>
      </c>
      <c r="M184" s="10">
        <f t="shared" si="20"/>
        <v>0.19126197800401856</v>
      </c>
      <c r="P184" s="8">
        <f t="shared" si="19"/>
        <v>13.5027562065242</v>
      </c>
    </row>
    <row r="185" spans="1:16" x14ac:dyDescent="0.2">
      <c r="A185" s="8">
        <v>91.5</v>
      </c>
      <c r="B185" s="8">
        <v>183</v>
      </c>
      <c r="D185">
        <v>3456.3907624632998</v>
      </c>
      <c r="E185">
        <v>710.28225806451997</v>
      </c>
      <c r="F185">
        <v>132.67302052785999</v>
      </c>
      <c r="G185">
        <v>114.03885630499001</v>
      </c>
      <c r="I185" s="9">
        <f t="shared" si="15"/>
        <v>596.24340175953</v>
      </c>
      <c r="J185" s="9">
        <f t="shared" si="16"/>
        <v>3323.7177419354398</v>
      </c>
      <c r="K185" s="9">
        <f t="shared" si="17"/>
        <v>596.24340175953</v>
      </c>
      <c r="L185" s="10">
        <f t="shared" si="14"/>
        <v>0.17939050426476061</v>
      </c>
      <c r="M185" s="10">
        <f t="shared" si="20"/>
        <v>0.18409925510974839</v>
      </c>
      <c r="P185" s="8">
        <f t="shared" si="19"/>
        <v>9.2521006453537797</v>
      </c>
    </row>
    <row r="186" spans="1:16" x14ac:dyDescent="0.2">
      <c r="A186" s="8">
        <v>92</v>
      </c>
      <c r="B186" s="8">
        <v>184</v>
      </c>
      <c r="D186">
        <v>3539.1769456681</v>
      </c>
      <c r="E186">
        <v>723.02496328927998</v>
      </c>
      <c r="F186">
        <v>132.78519061584001</v>
      </c>
      <c r="G186">
        <v>113.77785923754</v>
      </c>
      <c r="I186" s="9">
        <f t="shared" si="15"/>
        <v>609.24710405173994</v>
      </c>
      <c r="J186" s="9">
        <f t="shared" si="16"/>
        <v>3406.3917550522601</v>
      </c>
      <c r="K186" s="9">
        <f t="shared" si="17"/>
        <v>609.24710405173994</v>
      </c>
      <c r="L186" s="10">
        <f t="shared" si="14"/>
        <v>0.17885409191356882</v>
      </c>
      <c r="M186" s="10">
        <f t="shared" si="20"/>
        <v>0.18358857363749095</v>
      </c>
      <c r="P186" s="8">
        <f t="shared" si="19"/>
        <v>8.9490411703356578</v>
      </c>
    </row>
    <row r="187" spans="1:16" x14ac:dyDescent="0.2">
      <c r="A187" s="8">
        <v>92.5</v>
      </c>
      <c r="B187" s="8">
        <v>185</v>
      </c>
      <c r="D187">
        <v>3501.3906020558002</v>
      </c>
      <c r="E187">
        <v>710.77679882526002</v>
      </c>
      <c r="F187">
        <v>132.53079178886</v>
      </c>
      <c r="G187">
        <v>113.72947214076</v>
      </c>
      <c r="I187" s="9">
        <f t="shared" si="15"/>
        <v>597.04732668450004</v>
      </c>
      <c r="J187" s="9">
        <f t="shared" si="16"/>
        <v>3368.8598102669403</v>
      </c>
      <c r="K187" s="9">
        <f t="shared" si="17"/>
        <v>597.04732668450004</v>
      </c>
      <c r="L187" s="10">
        <f t="shared" si="14"/>
        <v>0.17722534041486027</v>
      </c>
      <c r="M187" s="10">
        <f t="shared" si="20"/>
        <v>0.18198555301771677</v>
      </c>
      <c r="P187" s="8">
        <f t="shared" si="19"/>
        <v>7.9977425353480083</v>
      </c>
    </row>
    <row r="188" spans="1:16" x14ac:dyDescent="0.2">
      <c r="A188" s="8">
        <v>93</v>
      </c>
      <c r="B188" s="8">
        <v>186</v>
      </c>
      <c r="D188">
        <v>3484.9638376384</v>
      </c>
      <c r="E188">
        <v>732.21549815497997</v>
      </c>
      <c r="F188">
        <v>132.11803519061999</v>
      </c>
      <c r="G188">
        <v>113.78739002933</v>
      </c>
      <c r="I188" s="9">
        <f t="shared" si="15"/>
        <v>618.42810812564994</v>
      </c>
      <c r="J188" s="9">
        <f t="shared" si="16"/>
        <v>3352.84580244778</v>
      </c>
      <c r="K188" s="9">
        <f t="shared" si="17"/>
        <v>618.42810812564994</v>
      </c>
      <c r="L188" s="10">
        <f t="shared" si="14"/>
        <v>0.18444871746686353</v>
      </c>
      <c r="M188" s="10">
        <f t="shared" si="20"/>
        <v>0.18923466094865438</v>
      </c>
      <c r="P188" s="8">
        <f t="shared" si="19"/>
        <v>12.299662544680471</v>
      </c>
    </row>
    <row r="189" spans="1:16" x14ac:dyDescent="0.2">
      <c r="A189" s="8">
        <v>93.5</v>
      </c>
      <c r="B189" s="8">
        <v>187</v>
      </c>
      <c r="D189">
        <v>3476.6929889298999</v>
      </c>
      <c r="E189">
        <v>748.62656826568002</v>
      </c>
      <c r="F189">
        <v>131.98167155425</v>
      </c>
      <c r="G189">
        <v>114.16275659823999</v>
      </c>
      <c r="I189" s="9">
        <f t="shared" si="15"/>
        <v>634.46381166744004</v>
      </c>
      <c r="J189" s="9">
        <f t="shared" si="16"/>
        <v>3344.7113173756497</v>
      </c>
      <c r="K189" s="9">
        <f t="shared" si="17"/>
        <v>634.46381166744004</v>
      </c>
      <c r="L189" s="10">
        <f t="shared" si="14"/>
        <v>0.18969165092706936</v>
      </c>
      <c r="M189" s="10">
        <f t="shared" si="20"/>
        <v>0.19450332528779457</v>
      </c>
      <c r="P189" s="8">
        <f t="shared" si="19"/>
        <v>15.426305541161833</v>
      </c>
    </row>
    <row r="190" spans="1:16" x14ac:dyDescent="0.2">
      <c r="A190" s="8">
        <v>94</v>
      </c>
      <c r="B190" s="8">
        <v>188</v>
      </c>
      <c r="D190">
        <v>3527.6535375638</v>
      </c>
      <c r="E190">
        <v>748.91028446389998</v>
      </c>
      <c r="F190">
        <v>132.55571847506999</v>
      </c>
      <c r="G190">
        <v>113.99560117302001</v>
      </c>
      <c r="I190" s="9">
        <f t="shared" si="15"/>
        <v>634.91468329088002</v>
      </c>
      <c r="J190" s="9">
        <f t="shared" si="16"/>
        <v>3395.0978190887299</v>
      </c>
      <c r="K190" s="9">
        <f t="shared" si="17"/>
        <v>634.91468329088002</v>
      </c>
      <c r="L190" s="10">
        <f t="shared" si="14"/>
        <v>0.18700924601379995</v>
      </c>
      <c r="M190" s="10">
        <f t="shared" si="20"/>
        <v>0.19184665125345951</v>
      </c>
      <c r="P190" s="8">
        <f t="shared" si="19"/>
        <v>13.849725457727793</v>
      </c>
    </row>
    <row r="191" spans="1:16" x14ac:dyDescent="0.2">
      <c r="A191" s="8">
        <v>94.5</v>
      </c>
      <c r="B191" s="8">
        <v>189</v>
      </c>
      <c r="D191">
        <v>3518.1816849817001</v>
      </c>
      <c r="E191">
        <v>723.06300366300002</v>
      </c>
      <c r="F191">
        <v>132.72140762462999</v>
      </c>
      <c r="G191">
        <v>114.02419354839</v>
      </c>
      <c r="I191" s="9">
        <f t="shared" si="15"/>
        <v>609.03881011460999</v>
      </c>
      <c r="J191" s="9">
        <f t="shared" si="16"/>
        <v>3385.46027735707</v>
      </c>
      <c r="K191" s="9">
        <f t="shared" si="17"/>
        <v>609.03881011460999</v>
      </c>
      <c r="L191" s="10">
        <f t="shared" si="14"/>
        <v>0.17989837724224275</v>
      </c>
      <c r="M191" s="10">
        <f t="shared" si="20"/>
        <v>0.18476151336083668</v>
      </c>
      <c r="P191" s="8">
        <f t="shared" si="19"/>
        <v>9.6451120405274384</v>
      </c>
    </row>
    <row r="192" spans="1:16" x14ac:dyDescent="0.2">
      <c r="A192" s="8">
        <v>95</v>
      </c>
      <c r="B192" s="8">
        <v>190</v>
      </c>
      <c r="D192">
        <v>3428.8864468864999</v>
      </c>
      <c r="E192">
        <v>692.55091575092001</v>
      </c>
      <c r="F192">
        <v>132.43548387096999</v>
      </c>
      <c r="G192">
        <v>113.81451612903</v>
      </c>
      <c r="I192" s="9">
        <f t="shared" si="15"/>
        <v>578.73639962188997</v>
      </c>
      <c r="J192" s="9">
        <f t="shared" si="16"/>
        <v>3296.4509630155299</v>
      </c>
      <c r="K192" s="9">
        <f t="shared" si="17"/>
        <v>578.73639962188997</v>
      </c>
      <c r="L192" s="10">
        <f t="shared" si="14"/>
        <v>0.17556347906127293</v>
      </c>
      <c r="M192" s="10">
        <f t="shared" si="20"/>
        <v>0.18045234605880123</v>
      </c>
      <c r="P192" s="8">
        <f t="shared" si="19"/>
        <v>7.0878742097768885</v>
      </c>
    </row>
    <row r="193" spans="1:16" x14ac:dyDescent="0.2">
      <c r="A193" s="8">
        <v>95.5</v>
      </c>
      <c r="B193" s="8">
        <v>191</v>
      </c>
      <c r="D193">
        <v>3287.5055025678998</v>
      </c>
      <c r="E193">
        <v>673.75568598679001</v>
      </c>
      <c r="F193">
        <v>132.48533724340001</v>
      </c>
      <c r="G193">
        <v>113.98753665689</v>
      </c>
      <c r="I193" s="9">
        <f t="shared" si="15"/>
        <v>559.76814932989998</v>
      </c>
      <c r="J193" s="9">
        <f t="shared" si="16"/>
        <v>3155.0201653244999</v>
      </c>
      <c r="K193" s="9">
        <f t="shared" si="17"/>
        <v>559.76814932989998</v>
      </c>
      <c r="L193" s="10">
        <f t="shared" si="14"/>
        <v>0.17742141729617972</v>
      </c>
      <c r="M193" s="10">
        <f t="shared" si="20"/>
        <v>0.18233601517264236</v>
      </c>
      <c r="P193" s="8">
        <f t="shared" si="19"/>
        <v>8.2057212509571151</v>
      </c>
    </row>
    <row r="194" spans="1:16" x14ac:dyDescent="0.2">
      <c r="A194" s="8">
        <v>96</v>
      </c>
      <c r="B194" s="8">
        <v>192</v>
      </c>
      <c r="D194">
        <v>3425.4235552303999</v>
      </c>
      <c r="E194">
        <v>744.09656181418995</v>
      </c>
      <c r="F194">
        <v>132.55351906158</v>
      </c>
      <c r="G194">
        <v>114.00219941349</v>
      </c>
      <c r="I194" s="9">
        <f t="shared" si="15"/>
        <v>630.09436240069999</v>
      </c>
      <c r="J194" s="9">
        <f t="shared" si="16"/>
        <v>3292.8700361688198</v>
      </c>
      <c r="K194" s="9">
        <f t="shared" si="17"/>
        <v>630.09436240069999</v>
      </c>
      <c r="L194" s="10">
        <f t="shared" ref="L194:L257" si="21">K194/J194</f>
        <v>0.1913511178636739</v>
      </c>
      <c r="M194" s="10">
        <f t="shared" si="20"/>
        <v>0.19629144661907091</v>
      </c>
      <c r="P194" s="8">
        <f t="shared" si="19"/>
        <v>16.487450582374784</v>
      </c>
    </row>
    <row r="195" spans="1:16" x14ac:dyDescent="0.2">
      <c r="A195" s="8">
        <v>96.5</v>
      </c>
      <c r="B195" s="8">
        <v>193</v>
      </c>
      <c r="D195">
        <v>3509.398683248</v>
      </c>
      <c r="E195">
        <v>828.35186539868005</v>
      </c>
      <c r="F195">
        <v>132.75733137829999</v>
      </c>
      <c r="G195">
        <v>114.26246334311</v>
      </c>
      <c r="I195" s="9">
        <f t="shared" ref="I195:I241" si="22">E195-G195</f>
        <v>714.08940205557008</v>
      </c>
      <c r="J195" s="9">
        <f t="shared" ref="J195:J241" si="23">D195-F195</f>
        <v>3376.6413518697</v>
      </c>
      <c r="K195" s="9">
        <f t="shared" ref="K195:K258" si="24">I195*1</f>
        <v>714.08940205557008</v>
      </c>
      <c r="L195" s="10">
        <f t="shared" si="21"/>
        <v>0.21147919711999244</v>
      </c>
      <c r="M195" s="10">
        <f t="shared" si="20"/>
        <v>0.2164452567543238</v>
      </c>
      <c r="P195" s="8">
        <f t="shared" ref="P195:P241" si="25">(M195-$O$2)/$O$2*100</f>
        <v>28.447553799367149</v>
      </c>
    </row>
    <row r="196" spans="1:16" x14ac:dyDescent="0.2">
      <c r="A196" s="8">
        <v>97</v>
      </c>
      <c r="B196" s="8">
        <v>194</v>
      </c>
      <c r="D196">
        <v>3526.2150694953002</v>
      </c>
      <c r="E196">
        <v>827.87637161667999</v>
      </c>
      <c r="F196">
        <v>132.15322580645</v>
      </c>
      <c r="G196">
        <v>113.99120234604</v>
      </c>
      <c r="I196" s="9">
        <f t="shared" si="22"/>
        <v>713.88516927063995</v>
      </c>
      <c r="J196" s="9">
        <f t="shared" si="23"/>
        <v>3394.0618436888503</v>
      </c>
      <c r="K196" s="9">
        <f t="shared" si="24"/>
        <v>713.88516927063995</v>
      </c>
      <c r="L196" s="10">
        <f t="shared" si="21"/>
        <v>0.21033357733244804</v>
      </c>
      <c r="M196" s="10">
        <f t="shared" si="20"/>
        <v>0.21532536784571377</v>
      </c>
      <c r="P196" s="8">
        <f t="shared" si="25"/>
        <v>27.782965473454901</v>
      </c>
    </row>
    <row r="197" spans="1:16" x14ac:dyDescent="0.2">
      <c r="A197" s="8">
        <v>97.5</v>
      </c>
      <c r="B197" s="8">
        <v>195</v>
      </c>
      <c r="D197">
        <v>3458.5113386979001</v>
      </c>
      <c r="E197">
        <v>780.71250914410996</v>
      </c>
      <c r="F197">
        <v>132.44941348974001</v>
      </c>
      <c r="G197">
        <v>113.89589442815</v>
      </c>
      <c r="I197" s="9">
        <f t="shared" si="22"/>
        <v>666.81661471595999</v>
      </c>
      <c r="J197" s="9">
        <f t="shared" si="23"/>
        <v>3326.0619252081601</v>
      </c>
      <c r="K197" s="9">
        <f t="shared" si="24"/>
        <v>666.81661471595999</v>
      </c>
      <c r="L197" s="10">
        <f t="shared" si="21"/>
        <v>0.20048232104825517</v>
      </c>
      <c r="M197" s="10">
        <f t="shared" si="20"/>
        <v>0.20549984244045527</v>
      </c>
      <c r="P197" s="8">
        <f t="shared" si="25"/>
        <v>21.952092937719474</v>
      </c>
    </row>
    <row r="198" spans="1:16" x14ac:dyDescent="0.2">
      <c r="A198" s="8">
        <v>98</v>
      </c>
      <c r="B198" s="8">
        <v>196</v>
      </c>
      <c r="D198">
        <v>3551.9492273730998</v>
      </c>
      <c r="E198">
        <v>779.29286239882003</v>
      </c>
      <c r="F198">
        <v>132.70674486804</v>
      </c>
      <c r="G198">
        <v>114.17741935484</v>
      </c>
      <c r="I198" s="9">
        <f t="shared" si="22"/>
        <v>665.11544304398001</v>
      </c>
      <c r="J198" s="9">
        <f t="shared" si="23"/>
        <v>3419.2424825050598</v>
      </c>
      <c r="K198" s="9">
        <f t="shared" si="24"/>
        <v>665.11544304398001</v>
      </c>
      <c r="L198" s="10">
        <f t="shared" si="21"/>
        <v>0.19452128547393707</v>
      </c>
      <c r="M198" s="10">
        <f t="shared" si="20"/>
        <v>0.19956453774507152</v>
      </c>
      <c r="P198" s="8">
        <f t="shared" si="25"/>
        <v>18.42983802389951</v>
      </c>
    </row>
    <row r="199" spans="1:16" x14ac:dyDescent="0.2">
      <c r="A199" s="8">
        <v>98.5</v>
      </c>
      <c r="B199" s="8">
        <v>197</v>
      </c>
      <c r="D199">
        <v>3529.8749080205998</v>
      </c>
      <c r="E199">
        <v>756.59823399559002</v>
      </c>
      <c r="F199">
        <v>132.39296187682999</v>
      </c>
      <c r="G199">
        <v>114.07478005865001</v>
      </c>
      <c r="I199" s="9">
        <f t="shared" si="22"/>
        <v>642.52345393693997</v>
      </c>
      <c r="J199" s="9">
        <f t="shared" si="23"/>
        <v>3397.4819461437701</v>
      </c>
      <c r="K199" s="9">
        <f t="shared" si="24"/>
        <v>642.52345393693997</v>
      </c>
      <c r="L199" s="10">
        <f t="shared" si="21"/>
        <v>0.18911754767857433</v>
      </c>
      <c r="M199" s="10">
        <f t="shared" si="20"/>
        <v>0.19418653082864315</v>
      </c>
      <c r="P199" s="8">
        <f t="shared" si="25"/>
        <v>15.238306626584647</v>
      </c>
    </row>
    <row r="200" spans="1:16" x14ac:dyDescent="0.2">
      <c r="A200" s="8">
        <v>99</v>
      </c>
      <c r="B200" s="8">
        <v>198</v>
      </c>
      <c r="D200">
        <v>3459.7165814463001</v>
      </c>
      <c r="E200">
        <v>728.77282688093999</v>
      </c>
      <c r="F200">
        <v>132.36730205279</v>
      </c>
      <c r="G200">
        <v>113.61583577713</v>
      </c>
      <c r="I200" s="9">
        <f t="shared" si="22"/>
        <v>615.15699110381001</v>
      </c>
      <c r="J200" s="9">
        <f t="shared" si="23"/>
        <v>3327.3492793935102</v>
      </c>
      <c r="K200" s="9">
        <f t="shared" si="24"/>
        <v>615.15699110381001</v>
      </c>
      <c r="L200" s="10">
        <f t="shared" si="21"/>
        <v>0.18487899509483935</v>
      </c>
      <c r="M200" s="10">
        <f t="shared" si="20"/>
        <v>0.18997370912384251</v>
      </c>
      <c r="P200" s="8">
        <f t="shared" si="25"/>
        <v>12.738244251973557</v>
      </c>
    </row>
    <row r="201" spans="1:16" x14ac:dyDescent="0.2">
      <c r="A201" s="8">
        <v>99.5</v>
      </c>
      <c r="B201" s="8">
        <v>199</v>
      </c>
      <c r="D201">
        <v>3375.6369612856001</v>
      </c>
      <c r="E201">
        <v>718.34623813001997</v>
      </c>
      <c r="F201">
        <v>132.57624633431001</v>
      </c>
      <c r="G201">
        <v>113.96041055719</v>
      </c>
      <c r="I201" s="9">
        <f t="shared" si="22"/>
        <v>604.38582757282995</v>
      </c>
      <c r="J201" s="9">
        <f t="shared" si="23"/>
        <v>3243.0607149512903</v>
      </c>
      <c r="K201" s="9">
        <f t="shared" si="24"/>
        <v>604.38582757282995</v>
      </c>
      <c r="L201" s="10">
        <f t="shared" si="21"/>
        <v>0.18636278524989244</v>
      </c>
      <c r="M201" s="10">
        <f t="shared" si="20"/>
        <v>0.19148323015782998</v>
      </c>
      <c r="P201" s="8">
        <f t="shared" si="25"/>
        <v>13.634056371545485</v>
      </c>
    </row>
    <row r="202" spans="1:16" x14ac:dyDescent="0.2">
      <c r="A202" s="8">
        <v>100</v>
      </c>
      <c r="B202" s="8">
        <v>200</v>
      </c>
      <c r="D202">
        <v>3423.2951059166999</v>
      </c>
      <c r="E202">
        <v>715.82030679328</v>
      </c>
      <c r="F202">
        <v>132.60997067449</v>
      </c>
      <c r="G202">
        <v>113.85923753666</v>
      </c>
      <c r="I202" s="9">
        <f t="shared" si="22"/>
        <v>601.96106925662002</v>
      </c>
      <c r="J202" s="9">
        <f t="shared" si="23"/>
        <v>3290.68513524221</v>
      </c>
      <c r="K202" s="9">
        <f t="shared" si="24"/>
        <v>601.96106925662002</v>
      </c>
      <c r="L202" s="10">
        <f t="shared" si="21"/>
        <v>0.18292879583336763</v>
      </c>
      <c r="M202" s="10">
        <f t="shared" si="20"/>
        <v>0.18807497162023951</v>
      </c>
      <c r="P202" s="8">
        <f t="shared" si="25"/>
        <v>11.611455006036197</v>
      </c>
    </row>
    <row r="203" spans="1:16" x14ac:dyDescent="0.2">
      <c r="A203" s="8">
        <v>100.5</v>
      </c>
      <c r="B203" s="8">
        <v>201</v>
      </c>
      <c r="D203">
        <v>3384.2490869247999</v>
      </c>
      <c r="E203">
        <v>721.57487216947004</v>
      </c>
      <c r="F203">
        <v>132.41862170088001</v>
      </c>
      <c r="G203">
        <v>113.90322580645</v>
      </c>
      <c r="I203" s="9">
        <f t="shared" si="22"/>
        <v>607.67164636302005</v>
      </c>
      <c r="J203" s="9">
        <f t="shared" si="23"/>
        <v>3251.8304652239199</v>
      </c>
      <c r="K203" s="9">
        <f t="shared" si="24"/>
        <v>607.67164636302005</v>
      </c>
      <c r="L203" s="10">
        <f t="shared" si="21"/>
        <v>0.18687064189281957</v>
      </c>
      <c r="M203" s="10">
        <f t="shared" si="20"/>
        <v>0.19204254855862582</v>
      </c>
      <c r="P203" s="8">
        <f t="shared" si="25"/>
        <v>13.965979008495419</v>
      </c>
    </row>
    <row r="204" spans="1:16" x14ac:dyDescent="0.2">
      <c r="A204" s="8">
        <v>101</v>
      </c>
      <c r="B204" s="8">
        <v>202</v>
      </c>
      <c r="D204">
        <v>3384.4287801314999</v>
      </c>
      <c r="E204">
        <v>719.18407596786005</v>
      </c>
      <c r="F204">
        <v>131.97214076245999</v>
      </c>
      <c r="G204">
        <v>113.88563049853001</v>
      </c>
      <c r="I204" s="9">
        <f t="shared" si="22"/>
        <v>605.29844546933009</v>
      </c>
      <c r="J204" s="9">
        <f t="shared" si="23"/>
        <v>3252.4566393690397</v>
      </c>
      <c r="K204" s="9">
        <f t="shared" si="24"/>
        <v>605.29844546933009</v>
      </c>
      <c r="L204" s="10">
        <f t="shared" si="21"/>
        <v>0.1861050007992589</v>
      </c>
      <c r="M204" s="10">
        <f t="shared" si="20"/>
        <v>0.19130263834399952</v>
      </c>
      <c r="P204" s="8">
        <f t="shared" si="25"/>
        <v>13.526885731400473</v>
      </c>
    </row>
    <row r="205" spans="1:16" x14ac:dyDescent="0.2">
      <c r="A205" s="8">
        <v>101.5</v>
      </c>
      <c r="B205" s="8">
        <v>203</v>
      </c>
      <c r="D205">
        <v>3438.2657393851</v>
      </c>
      <c r="E205">
        <v>720.47364568082003</v>
      </c>
      <c r="F205">
        <v>132.30425219941</v>
      </c>
      <c r="G205">
        <v>113.85263929619001</v>
      </c>
      <c r="I205" s="9">
        <f t="shared" si="22"/>
        <v>606.62100638463005</v>
      </c>
      <c r="J205" s="9">
        <f t="shared" si="23"/>
        <v>3305.9614871856902</v>
      </c>
      <c r="K205" s="9">
        <f t="shared" si="24"/>
        <v>606.62100638463005</v>
      </c>
      <c r="L205" s="10">
        <f t="shared" si="21"/>
        <v>0.18349306509950797</v>
      </c>
      <c r="M205" s="10">
        <f t="shared" si="20"/>
        <v>0.18871643352318293</v>
      </c>
      <c r="P205" s="8">
        <f t="shared" si="25"/>
        <v>11.99212498940336</v>
      </c>
    </row>
    <row r="206" spans="1:16" x14ac:dyDescent="0.2">
      <c r="A206" s="8">
        <v>102</v>
      </c>
      <c r="B206" s="8">
        <v>204</v>
      </c>
      <c r="D206">
        <v>3495.9421669107001</v>
      </c>
      <c r="E206">
        <v>744.01537335286002</v>
      </c>
      <c r="F206">
        <v>132.47140762462999</v>
      </c>
      <c r="G206">
        <v>113.56011730205</v>
      </c>
      <c r="I206" s="9">
        <f t="shared" si="22"/>
        <v>630.45525605081002</v>
      </c>
      <c r="J206" s="9">
        <f t="shared" si="23"/>
        <v>3363.47075928607</v>
      </c>
      <c r="K206" s="9">
        <f t="shared" si="24"/>
        <v>630.45525605081002</v>
      </c>
      <c r="L206" s="10">
        <f t="shared" si="21"/>
        <v>0.1874418721525114</v>
      </c>
      <c r="M206" s="10">
        <f t="shared" si="20"/>
        <v>0.19269097145512074</v>
      </c>
      <c r="P206" s="8">
        <f t="shared" si="25"/>
        <v>14.350779932901023</v>
      </c>
    </row>
    <row r="207" spans="1:16" x14ac:dyDescent="0.2">
      <c r="A207" s="8">
        <v>102.5</v>
      </c>
      <c r="B207" s="8">
        <v>205</v>
      </c>
      <c r="D207">
        <v>3443.7210834552998</v>
      </c>
      <c r="E207">
        <v>710.72401171303</v>
      </c>
      <c r="F207">
        <v>131.98533724340001</v>
      </c>
      <c r="G207">
        <v>113.65982404691999</v>
      </c>
      <c r="I207" s="9">
        <f t="shared" si="22"/>
        <v>597.06418766611</v>
      </c>
      <c r="J207" s="9">
        <f t="shared" si="23"/>
        <v>3311.7357462118998</v>
      </c>
      <c r="K207" s="9">
        <f t="shared" si="24"/>
        <v>597.06418766611</v>
      </c>
      <c r="L207" s="10">
        <f t="shared" si="21"/>
        <v>0.18028738807106112</v>
      </c>
      <c r="M207" s="10">
        <f t="shared" si="20"/>
        <v>0.1855622182526048</v>
      </c>
      <c r="P207" s="8">
        <f t="shared" si="25"/>
        <v>10.120283389648478</v>
      </c>
    </row>
    <row r="208" spans="1:16" x14ac:dyDescent="0.2">
      <c r="A208" s="8">
        <v>103</v>
      </c>
      <c r="B208" s="8">
        <v>206</v>
      </c>
      <c r="D208">
        <v>3529.3482404691999</v>
      </c>
      <c r="E208">
        <v>720.25659824047</v>
      </c>
      <c r="F208">
        <v>132.41935483871001</v>
      </c>
      <c r="G208">
        <v>113.69134897361</v>
      </c>
      <c r="I208" s="9">
        <f t="shared" si="22"/>
        <v>606.56524926685995</v>
      </c>
      <c r="J208" s="9">
        <f t="shared" si="23"/>
        <v>3396.9288856304897</v>
      </c>
      <c r="K208" s="9">
        <f t="shared" si="24"/>
        <v>606.56524926685995</v>
      </c>
      <c r="L208" s="10">
        <f t="shared" si="21"/>
        <v>0.17856283416256385</v>
      </c>
      <c r="M208" s="10">
        <f t="shared" si="20"/>
        <v>0.1838633952230419</v>
      </c>
      <c r="P208" s="8">
        <f t="shared" si="25"/>
        <v>9.1121316483836505</v>
      </c>
    </row>
    <row r="209" spans="1:16" x14ac:dyDescent="0.2">
      <c r="A209" s="8">
        <v>103.5</v>
      </c>
      <c r="B209" s="8">
        <v>207</v>
      </c>
      <c r="D209">
        <v>3450.2272727272998</v>
      </c>
      <c r="E209">
        <v>696.08651026392999</v>
      </c>
      <c r="F209">
        <v>131.84604105572001</v>
      </c>
      <c r="G209">
        <v>114.11656891496</v>
      </c>
      <c r="I209" s="9">
        <f t="shared" si="22"/>
        <v>581.96994134897</v>
      </c>
      <c r="J209" s="9">
        <f t="shared" si="23"/>
        <v>3318.3812316715798</v>
      </c>
      <c r="K209" s="9">
        <f t="shared" si="24"/>
        <v>581.96994134897</v>
      </c>
      <c r="L209" s="10">
        <f t="shared" si="21"/>
        <v>0.17537766179319073</v>
      </c>
      <c r="M209" s="10">
        <f t="shared" si="20"/>
        <v>0.18070395373260312</v>
      </c>
      <c r="P209" s="8">
        <f t="shared" si="25"/>
        <v>7.2371885939386305</v>
      </c>
    </row>
    <row r="210" spans="1:16" x14ac:dyDescent="0.2">
      <c r="A210" s="8">
        <v>104</v>
      </c>
      <c r="B210" s="8">
        <v>208</v>
      </c>
      <c r="D210">
        <v>3304.9758595465</v>
      </c>
      <c r="E210">
        <v>671.32040965618</v>
      </c>
      <c r="F210">
        <v>132.48753665689</v>
      </c>
      <c r="G210">
        <v>113.36803519062001</v>
      </c>
      <c r="I210" s="9">
        <f t="shared" si="22"/>
        <v>557.95237446555996</v>
      </c>
      <c r="J210" s="9">
        <f t="shared" si="23"/>
        <v>3172.4883228896101</v>
      </c>
      <c r="K210" s="9">
        <f t="shared" si="24"/>
        <v>557.95237446555996</v>
      </c>
      <c r="L210" s="10">
        <f t="shared" si="21"/>
        <v>0.17587216017153312</v>
      </c>
      <c r="M210" s="10">
        <f t="shared" si="20"/>
        <v>0.18122418298987988</v>
      </c>
      <c r="P210" s="8">
        <f t="shared" si="25"/>
        <v>7.5459141188777545</v>
      </c>
    </row>
    <row r="211" spans="1:16" x14ac:dyDescent="0.2">
      <c r="A211" s="8">
        <v>104.5</v>
      </c>
      <c r="B211" s="8">
        <v>209</v>
      </c>
      <c r="D211">
        <v>3321.5566934894</v>
      </c>
      <c r="E211">
        <v>677.42574981712005</v>
      </c>
      <c r="F211">
        <v>132.02199413490001</v>
      </c>
      <c r="G211">
        <v>113.72580645161</v>
      </c>
      <c r="I211" s="9">
        <f t="shared" si="22"/>
        <v>563.69994336551008</v>
      </c>
      <c r="J211" s="9">
        <f t="shared" si="23"/>
        <v>3189.5346993544999</v>
      </c>
      <c r="K211" s="9">
        <f t="shared" si="24"/>
        <v>563.69994336551008</v>
      </c>
      <c r="L211" s="10">
        <f t="shared" si="21"/>
        <v>0.17673422505157008</v>
      </c>
      <c r="M211" s="10">
        <f t="shared" si="20"/>
        <v>0.18211197874885121</v>
      </c>
      <c r="P211" s="8">
        <f t="shared" si="25"/>
        <v>8.0727687851491208</v>
      </c>
    </row>
    <row r="212" spans="1:16" x14ac:dyDescent="0.2">
      <c r="A212" s="8">
        <v>105</v>
      </c>
      <c r="B212" s="8">
        <v>210</v>
      </c>
      <c r="D212">
        <v>3383.6298463788999</v>
      </c>
      <c r="E212">
        <v>678.86759326993001</v>
      </c>
      <c r="F212">
        <v>132.46407624633</v>
      </c>
      <c r="G212">
        <v>113.76026392962</v>
      </c>
      <c r="I212" s="9">
        <f t="shared" si="22"/>
        <v>565.10732934031</v>
      </c>
      <c r="J212" s="9">
        <f t="shared" si="23"/>
        <v>3251.1657701325698</v>
      </c>
      <c r="K212" s="9">
        <f t="shared" si="24"/>
        <v>565.10732934031</v>
      </c>
      <c r="L212" s="10">
        <f t="shared" si="21"/>
        <v>0.17381683042180501</v>
      </c>
      <c r="M212" s="10">
        <f t="shared" si="20"/>
        <v>0.17922031499802049</v>
      </c>
      <c r="P212" s="8">
        <f t="shared" si="25"/>
        <v>6.356736099683082</v>
      </c>
    </row>
    <row r="213" spans="1:16" x14ac:dyDescent="0.2">
      <c r="A213" s="8">
        <v>105.5</v>
      </c>
      <c r="B213" s="8">
        <v>211</v>
      </c>
      <c r="D213">
        <v>3253.3313825895998</v>
      </c>
      <c r="E213">
        <v>644.16971470373005</v>
      </c>
      <c r="F213">
        <v>132.44574780059</v>
      </c>
      <c r="G213">
        <v>113.77346041056001</v>
      </c>
      <c r="I213" s="9">
        <f t="shared" si="22"/>
        <v>530.39625429317005</v>
      </c>
      <c r="J213" s="9">
        <f t="shared" si="23"/>
        <v>3120.8856347890096</v>
      </c>
      <c r="K213" s="9">
        <f t="shared" si="24"/>
        <v>530.39625429317005</v>
      </c>
      <c r="L213" s="10">
        <f t="shared" si="21"/>
        <v>0.16995055774577525</v>
      </c>
      <c r="M213" s="10">
        <f t="shared" si="20"/>
        <v>0.1753797732009251</v>
      </c>
      <c r="P213" s="8">
        <f t="shared" si="25"/>
        <v>4.0775999961783596</v>
      </c>
    </row>
    <row r="214" spans="1:16" x14ac:dyDescent="0.2">
      <c r="A214" s="8">
        <v>106</v>
      </c>
      <c r="B214" s="8">
        <v>212</v>
      </c>
      <c r="D214">
        <v>3285.0504754938001</v>
      </c>
      <c r="E214">
        <v>662.12362838332001</v>
      </c>
      <c r="F214">
        <v>132.17008797654</v>
      </c>
      <c r="G214">
        <v>113.84310850440001</v>
      </c>
      <c r="I214" s="9">
        <f t="shared" si="22"/>
        <v>548.28051987892002</v>
      </c>
      <c r="J214" s="9">
        <f t="shared" si="23"/>
        <v>3152.8803875172603</v>
      </c>
      <c r="K214" s="9">
        <f t="shared" si="24"/>
        <v>548.28051987892002</v>
      </c>
      <c r="L214" s="10">
        <f t="shared" si="21"/>
        <v>0.17389829377912563</v>
      </c>
      <c r="M214" s="10">
        <f t="shared" si="20"/>
        <v>0.17935324011320983</v>
      </c>
      <c r="P214" s="8">
        <f t="shared" si="25"/>
        <v>6.4356193523844754</v>
      </c>
    </row>
    <row r="215" spans="1:16" x14ac:dyDescent="0.2">
      <c r="A215" s="8">
        <v>106.5</v>
      </c>
      <c r="B215" s="8">
        <v>213</v>
      </c>
      <c r="D215">
        <v>3350.041146216</v>
      </c>
      <c r="E215">
        <v>766.16017634092998</v>
      </c>
      <c r="F215">
        <v>132.57551319647999</v>
      </c>
      <c r="G215">
        <v>113.62536656892</v>
      </c>
      <c r="I215" s="9">
        <f t="shared" si="22"/>
        <v>652.53480977201002</v>
      </c>
      <c r="J215" s="9">
        <f t="shared" si="23"/>
        <v>3217.4656330195198</v>
      </c>
      <c r="K215" s="9">
        <f t="shared" si="24"/>
        <v>652.53480977201002</v>
      </c>
      <c r="L215" s="10">
        <f t="shared" si="21"/>
        <v>0.20281018795517658</v>
      </c>
      <c r="M215" s="10">
        <f t="shared" si="20"/>
        <v>0.20829086516819514</v>
      </c>
      <c r="P215" s="8">
        <f t="shared" si="25"/>
        <v>23.608401083956839</v>
      </c>
    </row>
    <row r="216" spans="1:16" x14ac:dyDescent="0.2">
      <c r="A216" s="8">
        <v>107</v>
      </c>
      <c r="B216" s="8">
        <v>214</v>
      </c>
      <c r="D216">
        <v>3355.9044819985002</v>
      </c>
      <c r="E216">
        <v>780.44966936076003</v>
      </c>
      <c r="F216">
        <v>131.76539589442999</v>
      </c>
      <c r="G216">
        <v>113.91202346041</v>
      </c>
      <c r="I216" s="9">
        <f t="shared" si="22"/>
        <v>666.53764590035007</v>
      </c>
      <c r="J216" s="9">
        <f t="shared" si="23"/>
        <v>3224.13908610407</v>
      </c>
      <c r="K216" s="9">
        <f t="shared" si="24"/>
        <v>666.53764590035007</v>
      </c>
      <c r="L216" s="10">
        <f t="shared" si="21"/>
        <v>0.20673352733853967</v>
      </c>
      <c r="M216" s="10">
        <f t="shared" si="20"/>
        <v>0.21223993543049258</v>
      </c>
      <c r="P216" s="8">
        <f t="shared" si="25"/>
        <v>25.951942460563128</v>
      </c>
    </row>
    <row r="217" spans="1:16" x14ac:dyDescent="0.2">
      <c r="A217" s="8">
        <v>107.5</v>
      </c>
      <c r="B217" s="8">
        <v>215</v>
      </c>
      <c r="D217">
        <v>3378.9823659074</v>
      </c>
      <c r="E217">
        <v>819.65540044085003</v>
      </c>
      <c r="F217">
        <v>132.5784457478</v>
      </c>
      <c r="G217">
        <v>114.1224340176</v>
      </c>
      <c r="I217" s="9">
        <f t="shared" si="22"/>
        <v>705.53296642325006</v>
      </c>
      <c r="J217" s="9">
        <f t="shared" si="23"/>
        <v>3246.4039201596001</v>
      </c>
      <c r="K217" s="9">
        <f t="shared" si="24"/>
        <v>705.53296642325006</v>
      </c>
      <c r="L217" s="10">
        <f t="shared" si="21"/>
        <v>0.21732753649107364</v>
      </c>
      <c r="M217" s="10">
        <f t="shared" si="20"/>
        <v>0.22285967546196092</v>
      </c>
      <c r="P217" s="8">
        <f t="shared" si="25"/>
        <v>32.254134753811769</v>
      </c>
    </row>
    <row r="218" spans="1:16" x14ac:dyDescent="0.2">
      <c r="A218" s="8">
        <v>108</v>
      </c>
      <c r="B218" s="8">
        <v>216</v>
      </c>
      <c r="D218">
        <v>3263.7861866274998</v>
      </c>
      <c r="E218">
        <v>810.49081557678005</v>
      </c>
      <c r="F218">
        <v>132.40175953079</v>
      </c>
      <c r="G218">
        <v>113.79252199414</v>
      </c>
      <c r="I218" s="9">
        <f t="shared" si="22"/>
        <v>696.69829358264008</v>
      </c>
      <c r="J218" s="9">
        <f t="shared" si="23"/>
        <v>3131.3844270967097</v>
      </c>
      <c r="K218" s="9">
        <f t="shared" si="24"/>
        <v>696.69829358264008</v>
      </c>
      <c r="L218" s="10">
        <f t="shared" si="21"/>
        <v>0.2224889054036045</v>
      </c>
      <c r="M218" s="10">
        <f t="shared" si="20"/>
        <v>0.22804677525342615</v>
      </c>
      <c r="P218" s="8">
        <f t="shared" si="25"/>
        <v>35.332373979368768</v>
      </c>
    </row>
    <row r="219" spans="1:16" x14ac:dyDescent="0.2">
      <c r="A219" s="8">
        <v>108.5</v>
      </c>
      <c r="B219" s="8">
        <v>217</v>
      </c>
      <c r="D219">
        <v>3170.0771491549999</v>
      </c>
      <c r="E219">
        <v>786.69360764144005</v>
      </c>
      <c r="F219">
        <v>132.45967741935999</v>
      </c>
      <c r="G219">
        <v>113.77785923754</v>
      </c>
      <c r="I219" s="9">
        <f t="shared" si="22"/>
        <v>672.91574840390001</v>
      </c>
      <c r="J219" s="9">
        <f t="shared" si="23"/>
        <v>3037.6174717356398</v>
      </c>
      <c r="K219" s="9">
        <f t="shared" si="24"/>
        <v>672.91574840390001</v>
      </c>
      <c r="L219" s="10">
        <f t="shared" si="21"/>
        <v>0.22152748154276586</v>
      </c>
      <c r="M219" s="10">
        <f t="shared" si="20"/>
        <v>0.22711108227152185</v>
      </c>
      <c r="P219" s="8">
        <f t="shared" si="25"/>
        <v>34.777095123019144</v>
      </c>
    </row>
    <row r="220" spans="1:16" x14ac:dyDescent="0.2">
      <c r="A220" s="8">
        <v>109</v>
      </c>
      <c r="B220" s="8">
        <v>218</v>
      </c>
      <c r="D220">
        <v>3262.4620991254001</v>
      </c>
      <c r="E220">
        <v>812.20481049563</v>
      </c>
      <c r="F220">
        <v>132.24413489736</v>
      </c>
      <c r="G220">
        <v>113.9582111437</v>
      </c>
      <c r="I220" s="9">
        <f t="shared" si="22"/>
        <v>698.24659935192994</v>
      </c>
      <c r="J220" s="9">
        <f t="shared" si="23"/>
        <v>3130.2179642280403</v>
      </c>
      <c r="K220" s="9">
        <f t="shared" si="24"/>
        <v>698.24659935192994</v>
      </c>
      <c r="L220" s="10">
        <f t="shared" si="21"/>
        <v>0.22306644691566335</v>
      </c>
      <c r="M220" s="10">
        <f t="shared" si="20"/>
        <v>0.22867577852335372</v>
      </c>
      <c r="P220" s="8">
        <f t="shared" si="25"/>
        <v>35.705650495405827</v>
      </c>
    </row>
    <row r="221" spans="1:16" x14ac:dyDescent="0.2">
      <c r="A221" s="8">
        <v>109.5</v>
      </c>
      <c r="B221" s="8">
        <v>219</v>
      </c>
      <c r="D221">
        <v>3441.5838827839002</v>
      </c>
      <c r="E221">
        <v>805.37069597070001</v>
      </c>
      <c r="F221">
        <v>132.23093841642</v>
      </c>
      <c r="G221">
        <v>113.77712609971</v>
      </c>
      <c r="I221" s="9">
        <f t="shared" si="22"/>
        <v>691.59356987099</v>
      </c>
      <c r="J221" s="9">
        <f t="shared" si="23"/>
        <v>3309.3529443674802</v>
      </c>
      <c r="K221" s="9">
        <f t="shared" si="24"/>
        <v>691.59356987099</v>
      </c>
      <c r="L221" s="10">
        <f t="shared" si="21"/>
        <v>0.20898150831813889</v>
      </c>
      <c r="M221" s="10">
        <f t="shared" si="20"/>
        <v>0.2146165708047636</v>
      </c>
      <c r="P221" s="8">
        <f t="shared" si="25"/>
        <v>27.362336038485957</v>
      </c>
    </row>
    <row r="222" spans="1:16" x14ac:dyDescent="0.2">
      <c r="A222" s="8">
        <v>110</v>
      </c>
      <c r="B222" s="8">
        <v>220</v>
      </c>
      <c r="D222">
        <v>3510.3611721612001</v>
      </c>
      <c r="E222">
        <v>821.40586080586002</v>
      </c>
      <c r="F222">
        <v>132.12903225807</v>
      </c>
      <c r="G222">
        <v>113.67741935484</v>
      </c>
      <c r="I222" s="9">
        <f t="shared" si="22"/>
        <v>707.72844145101999</v>
      </c>
      <c r="J222" s="9">
        <f t="shared" si="23"/>
        <v>3378.2321399031302</v>
      </c>
      <c r="K222" s="9">
        <f t="shared" si="24"/>
        <v>707.72844145101999</v>
      </c>
      <c r="L222" s="10">
        <f t="shared" si="21"/>
        <v>0.20949668706642341</v>
      </c>
      <c r="M222" s="10">
        <f t="shared" si="20"/>
        <v>0.21515748043198249</v>
      </c>
      <c r="P222" s="8">
        <f t="shared" si="25"/>
        <v>27.683334148976574</v>
      </c>
    </row>
    <row r="223" spans="1:16" x14ac:dyDescent="0.2">
      <c r="A223" s="8">
        <v>110.5</v>
      </c>
      <c r="B223" s="8">
        <v>221</v>
      </c>
      <c r="D223">
        <v>3515.2677395757</v>
      </c>
      <c r="E223">
        <v>818.10387710315001</v>
      </c>
      <c r="F223">
        <v>132.33504398827</v>
      </c>
      <c r="G223">
        <v>114.05131964809</v>
      </c>
      <c r="I223" s="9">
        <f t="shared" si="22"/>
        <v>704.05255745505997</v>
      </c>
      <c r="J223" s="9">
        <f t="shared" si="23"/>
        <v>3382.9326955874299</v>
      </c>
      <c r="K223" s="9">
        <f t="shared" si="24"/>
        <v>704.05255745505997</v>
      </c>
      <c r="L223" s="10">
        <f t="shared" si="21"/>
        <v>0.20811899638837025</v>
      </c>
      <c r="M223" s="10">
        <f t="shared" si="20"/>
        <v>0.21380552063286368</v>
      </c>
      <c r="P223" s="8">
        <f t="shared" si="25"/>
        <v>26.881025372910379</v>
      </c>
    </row>
    <row r="224" spans="1:16" x14ac:dyDescent="0.2">
      <c r="A224" s="8">
        <v>111</v>
      </c>
      <c r="B224" s="8">
        <v>222</v>
      </c>
      <c r="D224">
        <v>3559.5314787701</v>
      </c>
      <c r="E224">
        <v>816.19033674962998</v>
      </c>
      <c r="F224">
        <v>132.12023460411001</v>
      </c>
      <c r="G224">
        <v>113.47947214076</v>
      </c>
      <c r="I224" s="9">
        <f t="shared" si="22"/>
        <v>702.71086460887</v>
      </c>
      <c r="J224" s="9">
        <f t="shared" si="23"/>
        <v>3427.41124416599</v>
      </c>
      <c r="K224" s="9">
        <f t="shared" si="24"/>
        <v>702.71086460887</v>
      </c>
      <c r="L224" s="10">
        <f t="shared" si="21"/>
        <v>0.20502671390980523</v>
      </c>
      <c r="M224" s="10">
        <f t="shared" si="20"/>
        <v>0.21073896903323303</v>
      </c>
      <c r="P224" s="8">
        <f t="shared" si="25"/>
        <v>25.061207015702486</v>
      </c>
    </row>
    <row r="225" spans="1:16" x14ac:dyDescent="0.2">
      <c r="A225" s="8">
        <v>111.5</v>
      </c>
      <c r="B225" s="8">
        <v>223</v>
      </c>
      <c r="D225">
        <v>3583.0182481751999</v>
      </c>
      <c r="E225">
        <v>801.42627737225996</v>
      </c>
      <c r="F225">
        <v>132.49046920820999</v>
      </c>
      <c r="G225">
        <v>113.73387096774</v>
      </c>
      <c r="I225" s="9">
        <f t="shared" si="22"/>
        <v>687.69240640451994</v>
      </c>
      <c r="J225" s="9">
        <f t="shared" si="23"/>
        <v>3450.5277789669899</v>
      </c>
      <c r="K225" s="9">
        <f t="shared" si="24"/>
        <v>687.69240640451994</v>
      </c>
      <c r="L225" s="10">
        <f t="shared" si="21"/>
        <v>0.199300643396182</v>
      </c>
      <c r="M225" s="10">
        <f t="shared" si="20"/>
        <v>0.20503862939854417</v>
      </c>
      <c r="P225" s="8">
        <f t="shared" si="25"/>
        <v>21.67839007214415</v>
      </c>
    </row>
    <row r="226" spans="1:16" x14ac:dyDescent="0.2">
      <c r="A226" s="8">
        <v>112</v>
      </c>
      <c r="B226" s="8">
        <v>224</v>
      </c>
      <c r="D226">
        <v>3514.4416058393999</v>
      </c>
      <c r="E226">
        <v>756.20729927007005</v>
      </c>
      <c r="F226">
        <v>132.66788856305001</v>
      </c>
      <c r="G226">
        <v>113.61290322581</v>
      </c>
      <c r="I226" s="9">
        <f t="shared" si="22"/>
        <v>642.59439604426007</v>
      </c>
      <c r="J226" s="9">
        <f t="shared" si="23"/>
        <v>3381.77371727635</v>
      </c>
      <c r="K226" s="9">
        <f t="shared" si="24"/>
        <v>642.59439604426007</v>
      </c>
      <c r="L226" s="10">
        <f t="shared" si="21"/>
        <v>0.19001697031396877</v>
      </c>
      <c r="M226" s="10">
        <f t="shared" si="20"/>
        <v>0.19578068719526528</v>
      </c>
      <c r="P226" s="8">
        <f t="shared" si="25"/>
        <v>16.184344847688838</v>
      </c>
    </row>
    <row r="227" spans="1:16" x14ac:dyDescent="0.2">
      <c r="A227" s="8">
        <v>112.5</v>
      </c>
      <c r="B227" s="8">
        <v>225</v>
      </c>
      <c r="D227">
        <v>3512.5927007299001</v>
      </c>
      <c r="E227">
        <v>748.41094890510999</v>
      </c>
      <c r="F227">
        <v>132.59384164222999</v>
      </c>
      <c r="G227">
        <v>113.84237536657</v>
      </c>
      <c r="I227" s="9">
        <f t="shared" si="22"/>
        <v>634.56857353854002</v>
      </c>
      <c r="J227" s="9">
        <f t="shared" si="23"/>
        <v>3379.9988590876701</v>
      </c>
      <c r="K227" s="9">
        <f t="shared" si="24"/>
        <v>634.56857353854002</v>
      </c>
      <c r="L227" s="10">
        <f t="shared" si="21"/>
        <v>0.18774224489230237</v>
      </c>
      <c r="M227" s="10">
        <f t="shared" si="20"/>
        <v>0.19353169265253325</v>
      </c>
      <c r="P227" s="8">
        <f t="shared" si="25"/>
        <v>14.849698610326628</v>
      </c>
    </row>
    <row r="228" spans="1:16" x14ac:dyDescent="0.2">
      <c r="A228" s="8">
        <v>113</v>
      </c>
      <c r="B228" s="8">
        <v>226</v>
      </c>
      <c r="D228">
        <v>3466.0474452555</v>
      </c>
      <c r="E228">
        <v>738.73284671532997</v>
      </c>
      <c r="F228">
        <v>132.27639296187999</v>
      </c>
      <c r="G228">
        <v>113.83137829912</v>
      </c>
      <c r="I228" s="9">
        <f t="shared" si="22"/>
        <v>624.90146841620992</v>
      </c>
      <c r="J228" s="9">
        <f t="shared" si="23"/>
        <v>3333.77105229362</v>
      </c>
      <c r="K228" s="9">
        <f t="shared" si="24"/>
        <v>624.90146841620992</v>
      </c>
      <c r="L228" s="10">
        <f t="shared" si="21"/>
        <v>0.18744582594724987</v>
      </c>
      <c r="M228" s="10">
        <f t="shared" si="20"/>
        <v>0.1932610045864151</v>
      </c>
      <c r="P228" s="8">
        <f t="shared" si="25"/>
        <v>14.689061133410128</v>
      </c>
    </row>
    <row r="229" spans="1:16" x14ac:dyDescent="0.2">
      <c r="A229" s="8">
        <v>113.5</v>
      </c>
      <c r="B229" s="8">
        <v>227</v>
      </c>
      <c r="D229">
        <v>3473.0307017544001</v>
      </c>
      <c r="E229">
        <v>817.26535087719003</v>
      </c>
      <c r="F229">
        <v>132.17448680352001</v>
      </c>
      <c r="G229">
        <v>113.50586510264</v>
      </c>
      <c r="I229" s="9">
        <f t="shared" si="22"/>
        <v>703.75948577455006</v>
      </c>
      <c r="J229" s="9">
        <f t="shared" si="23"/>
        <v>3340.8562149508803</v>
      </c>
      <c r="K229" s="9">
        <f t="shared" si="24"/>
        <v>703.75948577455006</v>
      </c>
      <c r="L229" s="10">
        <f t="shared" si="21"/>
        <v>0.21065243174043552</v>
      </c>
      <c r="M229" s="10">
        <f t="shared" si="20"/>
        <v>0.21649334125853512</v>
      </c>
      <c r="P229" s="8">
        <f t="shared" si="25"/>
        <v>28.476089129890049</v>
      </c>
    </row>
    <row r="230" spans="1:16" x14ac:dyDescent="0.2">
      <c r="A230" s="8">
        <v>114</v>
      </c>
      <c r="B230" s="8">
        <v>228</v>
      </c>
      <c r="D230">
        <v>3474.4283625731</v>
      </c>
      <c r="E230">
        <v>854.90204678363</v>
      </c>
      <c r="F230">
        <v>132.22873900293001</v>
      </c>
      <c r="G230">
        <v>113.95601173020999</v>
      </c>
      <c r="I230" s="9">
        <f t="shared" si="22"/>
        <v>740.94603505342002</v>
      </c>
      <c r="J230" s="9">
        <f t="shared" si="23"/>
        <v>3342.1996235701699</v>
      </c>
      <c r="K230" s="9">
        <f t="shared" si="24"/>
        <v>740.94603505342002</v>
      </c>
      <c r="L230" s="10">
        <f t="shared" si="21"/>
        <v>0.22169412916812381</v>
      </c>
      <c r="M230" s="10">
        <f t="shared" si="20"/>
        <v>0.22756076956515775</v>
      </c>
      <c r="P230" s="8">
        <f t="shared" si="25"/>
        <v>35.04395813359438</v>
      </c>
    </row>
    <row r="231" spans="1:16" x14ac:dyDescent="0.2">
      <c r="A231" s="8">
        <v>114.5</v>
      </c>
      <c r="B231" s="8">
        <v>229</v>
      </c>
      <c r="D231">
        <v>3527.5369963369999</v>
      </c>
      <c r="E231">
        <v>812.44615384614997</v>
      </c>
      <c r="F231">
        <v>131.84237536657</v>
      </c>
      <c r="G231">
        <v>113.74706744868</v>
      </c>
      <c r="I231" s="9">
        <f t="shared" si="22"/>
        <v>698.69908639746996</v>
      </c>
      <c r="J231" s="9">
        <f t="shared" si="23"/>
        <v>3395.6946209704297</v>
      </c>
      <c r="K231" s="9">
        <f t="shared" si="24"/>
        <v>698.69908639746996</v>
      </c>
      <c r="L231" s="10">
        <f t="shared" si="21"/>
        <v>0.20576028306037544</v>
      </c>
      <c r="M231" s="10">
        <f t="shared" si="20"/>
        <v>0.21165265433634375</v>
      </c>
      <c r="P231" s="8">
        <f t="shared" si="25"/>
        <v>25.603425606614906</v>
      </c>
    </row>
    <row r="232" spans="1:16" x14ac:dyDescent="0.2">
      <c r="A232" s="8">
        <v>115</v>
      </c>
      <c r="B232" s="8">
        <v>230</v>
      </c>
      <c r="D232">
        <v>3555.8744525546999</v>
      </c>
      <c r="E232">
        <v>801.82335766423</v>
      </c>
      <c r="F232">
        <v>132.28372434017999</v>
      </c>
      <c r="G232">
        <v>113.55718475073</v>
      </c>
      <c r="I232" s="9">
        <f t="shared" si="22"/>
        <v>688.26617291349999</v>
      </c>
      <c r="J232" s="9">
        <f t="shared" si="23"/>
        <v>3423.5907282145199</v>
      </c>
      <c r="K232" s="9">
        <f t="shared" si="24"/>
        <v>688.26617291349999</v>
      </c>
      <c r="L232" s="10">
        <f t="shared" si="21"/>
        <v>0.20103634679266888</v>
      </c>
      <c r="M232" s="10">
        <f t="shared" si="20"/>
        <v>0.20695444894757153</v>
      </c>
      <c r="P232" s="8">
        <f t="shared" si="25"/>
        <v>22.815316509265788</v>
      </c>
    </row>
    <row r="233" spans="1:16" x14ac:dyDescent="0.2">
      <c r="A233" s="8">
        <v>115.5</v>
      </c>
      <c r="B233" s="8">
        <v>231</v>
      </c>
      <c r="D233">
        <v>3484.7722627736998</v>
      </c>
      <c r="E233">
        <v>764.92481751825005</v>
      </c>
      <c r="F233">
        <v>131.86876832844999</v>
      </c>
      <c r="G233">
        <v>113.69868035191</v>
      </c>
      <c r="I233" s="9">
        <f t="shared" si="22"/>
        <v>651.2261371663401</v>
      </c>
      <c r="J233" s="9">
        <f t="shared" si="23"/>
        <v>3352.9034944452496</v>
      </c>
      <c r="K233" s="9">
        <f t="shared" si="24"/>
        <v>651.2261371663401</v>
      </c>
      <c r="L233" s="10">
        <f t="shared" si="21"/>
        <v>0.19422752198064319</v>
      </c>
      <c r="M233" s="10">
        <f t="shared" si="20"/>
        <v>0.20017135501448022</v>
      </c>
      <c r="P233" s="8">
        <f t="shared" si="25"/>
        <v>18.789948451023488</v>
      </c>
    </row>
    <row r="234" spans="1:16" x14ac:dyDescent="0.2">
      <c r="A234" s="8">
        <v>116</v>
      </c>
      <c r="B234" s="8">
        <v>232</v>
      </c>
      <c r="D234">
        <v>3551.0703812317001</v>
      </c>
      <c r="E234">
        <v>761.43841642228995</v>
      </c>
      <c r="F234">
        <v>132.05645161289999</v>
      </c>
      <c r="G234">
        <v>113.36803519062001</v>
      </c>
      <c r="I234" s="9">
        <f t="shared" si="22"/>
        <v>648.0703812316699</v>
      </c>
      <c r="J234" s="9">
        <f t="shared" si="23"/>
        <v>3419.0139296187999</v>
      </c>
      <c r="K234" s="9">
        <f t="shared" si="24"/>
        <v>648.0703812316699</v>
      </c>
      <c r="L234" s="10">
        <f t="shared" si="21"/>
        <v>0.18954891514698391</v>
      </c>
      <c r="M234" s="10">
        <f t="shared" si="20"/>
        <v>0.19551847905975531</v>
      </c>
      <c r="P234" s="8">
        <f t="shared" si="25"/>
        <v>16.028739711787068</v>
      </c>
    </row>
    <row r="235" spans="1:16" x14ac:dyDescent="0.2">
      <c r="A235" s="8">
        <v>116.5</v>
      </c>
      <c r="B235" s="8">
        <v>233</v>
      </c>
      <c r="D235">
        <v>3584.3152094049001</v>
      </c>
      <c r="E235">
        <v>814.91329904481995</v>
      </c>
      <c r="F235">
        <v>131.96847507331</v>
      </c>
      <c r="G235">
        <v>113.85997067449</v>
      </c>
      <c r="I235" s="9">
        <f t="shared" si="22"/>
        <v>701.05332837032995</v>
      </c>
      <c r="J235" s="9">
        <f t="shared" si="23"/>
        <v>3452.3467343315901</v>
      </c>
      <c r="K235" s="9">
        <f t="shared" si="24"/>
        <v>701.05332837032995</v>
      </c>
      <c r="L235" s="10">
        <f t="shared" si="21"/>
        <v>0.20306573537320582</v>
      </c>
      <c r="M235" s="10">
        <f t="shared" si="20"/>
        <v>0.20906103016491157</v>
      </c>
      <c r="P235" s="8">
        <f t="shared" si="25"/>
        <v>24.065448798162041</v>
      </c>
    </row>
    <row r="236" spans="1:16" x14ac:dyDescent="0.2">
      <c r="A236" s="8">
        <v>117</v>
      </c>
      <c r="B236" s="8">
        <v>234</v>
      </c>
      <c r="D236">
        <v>3542.3892961877</v>
      </c>
      <c r="E236">
        <v>854.99560117301996</v>
      </c>
      <c r="F236">
        <v>132.36950146628001</v>
      </c>
      <c r="G236">
        <v>113.84530791789</v>
      </c>
      <c r="I236" s="9">
        <f t="shared" si="22"/>
        <v>741.15029325513001</v>
      </c>
      <c r="J236" s="9">
        <f t="shared" si="23"/>
        <v>3410.0197947214201</v>
      </c>
      <c r="K236" s="9">
        <f t="shared" si="24"/>
        <v>741.15029325513001</v>
      </c>
      <c r="L236" s="10">
        <f t="shared" si="21"/>
        <v>0.21734486538828959</v>
      </c>
      <c r="M236" s="10">
        <f t="shared" si="20"/>
        <v>0.22336589105892971</v>
      </c>
      <c r="P236" s="8">
        <f t="shared" si="25"/>
        <v>32.554543994008384</v>
      </c>
    </row>
    <row r="237" spans="1:16" x14ac:dyDescent="0.2">
      <c r="A237" s="8">
        <v>117.5</v>
      </c>
      <c r="B237" s="8">
        <v>235</v>
      </c>
      <c r="D237">
        <v>3590.7910557185</v>
      </c>
      <c r="E237">
        <v>903.61583577712997</v>
      </c>
      <c r="F237">
        <v>132.64442815249001</v>
      </c>
      <c r="G237">
        <v>113.77126099707</v>
      </c>
      <c r="I237" s="9">
        <f t="shared" si="22"/>
        <v>789.84457478005993</v>
      </c>
      <c r="J237" s="9">
        <f t="shared" si="23"/>
        <v>3458.14662756601</v>
      </c>
      <c r="K237" s="9">
        <f t="shared" si="24"/>
        <v>789.84457478005993</v>
      </c>
      <c r="L237" s="10">
        <f t="shared" si="21"/>
        <v>0.22840112344686378</v>
      </c>
      <c r="M237" s="10">
        <f t="shared" si="20"/>
        <v>0.23444787999643824</v>
      </c>
      <c r="P237" s="8">
        <f t="shared" si="25"/>
        <v>39.131053877384161</v>
      </c>
    </row>
    <row r="238" spans="1:16" x14ac:dyDescent="0.2">
      <c r="A238" s="8">
        <v>118</v>
      </c>
      <c r="B238" s="8">
        <v>236</v>
      </c>
      <c r="D238">
        <v>3614.1570489408</v>
      </c>
      <c r="E238">
        <v>875.69466764060996</v>
      </c>
      <c r="F238">
        <v>132.19281524927001</v>
      </c>
      <c r="G238">
        <v>113.26173020528</v>
      </c>
      <c r="I238" s="9">
        <f t="shared" si="22"/>
        <v>762.4329374353299</v>
      </c>
      <c r="J238" s="9">
        <f t="shared" si="23"/>
        <v>3481.9642336915299</v>
      </c>
      <c r="K238" s="9">
        <f t="shared" si="24"/>
        <v>762.4329374353299</v>
      </c>
      <c r="L238" s="10">
        <f t="shared" si="21"/>
        <v>0.21896633229543808</v>
      </c>
      <c r="M238" s="10">
        <f t="shared" si="20"/>
        <v>0.2250388197239469</v>
      </c>
      <c r="P238" s="8">
        <f t="shared" si="25"/>
        <v>33.547328950003994</v>
      </c>
    </row>
    <row r="239" spans="1:16" x14ac:dyDescent="0.2">
      <c r="A239" s="8">
        <v>118.5</v>
      </c>
      <c r="B239" s="8">
        <v>237</v>
      </c>
      <c r="D239">
        <v>3639.0942293644998</v>
      </c>
      <c r="E239">
        <v>836.84441197955005</v>
      </c>
      <c r="F239">
        <v>131.45381231671999</v>
      </c>
      <c r="G239">
        <v>113.65249266862</v>
      </c>
      <c r="I239" s="9">
        <f t="shared" si="22"/>
        <v>723.19191931093007</v>
      </c>
      <c r="J239" s="9">
        <f t="shared" si="23"/>
        <v>3507.6404170477799</v>
      </c>
      <c r="K239" s="9">
        <f t="shared" si="24"/>
        <v>723.19191931093007</v>
      </c>
      <c r="L239" s="10">
        <f t="shared" si="21"/>
        <v>0.20617618493505888</v>
      </c>
      <c r="M239" s="10">
        <f t="shared" si="20"/>
        <v>0.21227440324250207</v>
      </c>
      <c r="P239" s="8">
        <f t="shared" si="25"/>
        <v>25.972397083611128</v>
      </c>
    </row>
    <row r="240" spans="1:16" x14ac:dyDescent="0.2">
      <c r="A240" s="8">
        <v>119</v>
      </c>
      <c r="B240" s="8">
        <v>238</v>
      </c>
      <c r="D240">
        <v>3556.4521548575999</v>
      </c>
      <c r="E240">
        <v>787.06501095689998</v>
      </c>
      <c r="F240">
        <v>132.05791788856001</v>
      </c>
      <c r="G240">
        <v>113.31964809384</v>
      </c>
      <c r="I240" s="9">
        <f t="shared" si="22"/>
        <v>673.74536286306</v>
      </c>
      <c r="J240" s="9">
        <f t="shared" si="23"/>
        <v>3424.3942369690399</v>
      </c>
      <c r="K240" s="9">
        <f t="shared" si="24"/>
        <v>673.74536286306</v>
      </c>
      <c r="L240" s="10">
        <f t="shared" si="21"/>
        <v>0.19674877255353568</v>
      </c>
      <c r="M240" s="10">
        <f t="shared" si="20"/>
        <v>0.20287272173991322</v>
      </c>
      <c r="P240" s="8">
        <f t="shared" si="25"/>
        <v>20.393051023008795</v>
      </c>
    </row>
    <row r="241" spans="1:16" x14ac:dyDescent="0.2">
      <c r="A241" s="8">
        <v>119.5</v>
      </c>
      <c r="B241" s="8">
        <v>239</v>
      </c>
      <c r="D241">
        <v>3606.9162418063001</v>
      </c>
      <c r="E241">
        <v>794.48215586307003</v>
      </c>
      <c r="F241">
        <v>132.11363636364001</v>
      </c>
      <c r="G241">
        <v>113.56451612903</v>
      </c>
      <c r="I241" s="9">
        <f t="shared" si="22"/>
        <v>680.91763973403999</v>
      </c>
      <c r="J241" s="9">
        <f t="shared" si="23"/>
        <v>3474.80260544266</v>
      </c>
      <c r="K241" s="9">
        <f t="shared" si="24"/>
        <v>680.91763973403999</v>
      </c>
      <c r="L241" s="10">
        <f t="shared" si="21"/>
        <v>0.19595865349804437</v>
      </c>
      <c r="M241" s="10">
        <f t="shared" si="20"/>
        <v>0.20210833356335628</v>
      </c>
      <c r="P241" s="8">
        <f t="shared" si="25"/>
        <v>19.939431512448941</v>
      </c>
    </row>
    <row r="242" spans="1:16" x14ac:dyDescent="0.2">
      <c r="A242" s="8">
        <v>120</v>
      </c>
      <c r="B242" s="8">
        <v>240</v>
      </c>
      <c r="D242">
        <v>3505.9399707173998</v>
      </c>
      <c r="E242">
        <v>769.65739385066001</v>
      </c>
      <c r="F242">
        <v>131.38929618768</v>
      </c>
      <c r="G242">
        <v>113.49560117302001</v>
      </c>
      <c r="I242" s="9">
        <f>E242-G242</f>
        <v>656.16179267764005</v>
      </c>
      <c r="J242" s="9">
        <f>D242-F242</f>
        <v>3374.5506745297198</v>
      </c>
      <c r="K242" s="9">
        <f t="shared" si="24"/>
        <v>656.16179267764005</v>
      </c>
      <c r="L242" s="10">
        <f t="shared" si="21"/>
        <v>0.19444419597257442</v>
      </c>
      <c r="M242" s="10">
        <f>L242+ABS($N$2)*A242</f>
        <v>0.20061960691682068</v>
      </c>
      <c r="O242" s="11"/>
      <c r="P242" s="8">
        <f>(M242-$O$2)/$O$2*100</f>
        <v>19.055959641127313</v>
      </c>
    </row>
    <row r="243" spans="1:16" x14ac:dyDescent="0.2">
      <c r="A243" s="8">
        <v>120.5</v>
      </c>
      <c r="B243" s="8">
        <v>241</v>
      </c>
      <c r="D243">
        <v>3496.6295754026</v>
      </c>
      <c r="E243">
        <v>753.86090775987998</v>
      </c>
      <c r="F243">
        <v>132.24706744868001</v>
      </c>
      <c r="G243">
        <v>113.65029325512999</v>
      </c>
      <c r="I243" s="9">
        <f t="shared" ref="I243:I274" si="26">E243-G243</f>
        <v>640.21061450474997</v>
      </c>
      <c r="J243" s="9">
        <f t="shared" ref="J243:J274" si="27">D243-F243</f>
        <v>3364.3825079539201</v>
      </c>
      <c r="K243" s="9">
        <f t="shared" si="24"/>
        <v>640.21061450474997</v>
      </c>
      <c r="L243" s="10">
        <f t="shared" si="21"/>
        <v>0.19029067384317722</v>
      </c>
      <c r="M243" s="10">
        <f t="shared" ref="M243:M274" si="28">L243+ABS($N$2)*A243</f>
        <v>0.19649181566635784</v>
      </c>
      <c r="P243" s="8">
        <f t="shared" ref="P243:P274" si="29">(M243-$O$2)/$O$2*100</f>
        <v>16.606357849584285</v>
      </c>
    </row>
    <row r="244" spans="1:16" x14ac:dyDescent="0.2">
      <c r="A244" s="8">
        <v>121</v>
      </c>
      <c r="B244" s="8">
        <v>242</v>
      </c>
      <c r="D244">
        <v>3453.6632503659998</v>
      </c>
      <c r="E244">
        <v>739.26793557833003</v>
      </c>
      <c r="F244">
        <v>132.07258064516</v>
      </c>
      <c r="G244">
        <v>113.6004398827</v>
      </c>
      <c r="I244" s="9">
        <f t="shared" si="26"/>
        <v>625.66749569563001</v>
      </c>
      <c r="J244" s="9">
        <f t="shared" si="27"/>
        <v>3321.5906697208397</v>
      </c>
      <c r="K244" s="9">
        <f t="shared" si="24"/>
        <v>625.66749569563001</v>
      </c>
      <c r="L244" s="10">
        <f t="shared" si="21"/>
        <v>0.18836381658918067</v>
      </c>
      <c r="M244" s="10">
        <f t="shared" si="28"/>
        <v>0.19459068929129564</v>
      </c>
      <c r="N244" s="1"/>
      <c r="P244" s="8">
        <f t="shared" si="29"/>
        <v>15.478150948670896</v>
      </c>
    </row>
    <row r="245" spans="1:16" x14ac:dyDescent="0.2">
      <c r="A245" s="8">
        <v>121.5</v>
      </c>
      <c r="B245" s="8">
        <v>243</v>
      </c>
      <c r="D245">
        <v>3398.2144948755999</v>
      </c>
      <c r="E245">
        <v>732.08052708638002</v>
      </c>
      <c r="F245">
        <v>132.10117302053001</v>
      </c>
      <c r="G245">
        <v>113.25219941349</v>
      </c>
      <c r="I245" s="9">
        <f t="shared" si="26"/>
        <v>618.82832767289005</v>
      </c>
      <c r="J245" s="9">
        <f t="shared" si="27"/>
        <v>3266.1133218550699</v>
      </c>
      <c r="K245" s="9">
        <f t="shared" si="24"/>
        <v>618.82832767289005</v>
      </c>
      <c r="L245" s="10">
        <f t="shared" si="21"/>
        <v>0.18946933761667864</v>
      </c>
      <c r="M245" s="10">
        <f t="shared" si="28"/>
        <v>0.19572194119772798</v>
      </c>
      <c r="P245" s="8">
        <f t="shared" si="29"/>
        <v>16.149482546743453</v>
      </c>
    </row>
    <row r="246" spans="1:16" x14ac:dyDescent="0.2">
      <c r="A246" s="8">
        <v>122</v>
      </c>
      <c r="B246" s="8">
        <v>244</v>
      </c>
      <c r="D246">
        <v>3470.5581737849998</v>
      </c>
      <c r="E246">
        <v>765.45066273932002</v>
      </c>
      <c r="F246">
        <v>131.93108504399001</v>
      </c>
      <c r="G246">
        <v>113.55645161290001</v>
      </c>
      <c r="I246" s="9">
        <f t="shared" si="26"/>
        <v>651.89421112642003</v>
      </c>
      <c r="J246" s="9">
        <f t="shared" si="27"/>
        <v>3338.6270887410096</v>
      </c>
      <c r="K246" s="9">
        <f t="shared" si="24"/>
        <v>651.89421112642003</v>
      </c>
      <c r="L246" s="10">
        <f t="shared" si="21"/>
        <v>0.1952581686420834</v>
      </c>
      <c r="M246" s="10">
        <f t="shared" si="28"/>
        <v>0.20153650310206711</v>
      </c>
      <c r="P246" s="8">
        <f t="shared" si="29"/>
        <v>19.600083702097397</v>
      </c>
    </row>
    <row r="247" spans="1:16" x14ac:dyDescent="0.2">
      <c r="A247" s="8">
        <v>122.5</v>
      </c>
      <c r="B247" s="8">
        <v>245</v>
      </c>
      <c r="D247">
        <v>3573.2437407952998</v>
      </c>
      <c r="E247">
        <v>834.23048600883999</v>
      </c>
      <c r="F247">
        <v>132.05425219941</v>
      </c>
      <c r="G247">
        <v>113.52419354839</v>
      </c>
      <c r="I247" s="9">
        <f t="shared" si="26"/>
        <v>720.70629246044996</v>
      </c>
      <c r="J247" s="9">
        <f t="shared" si="27"/>
        <v>3441.18948859589</v>
      </c>
      <c r="K247" s="9">
        <f t="shared" si="24"/>
        <v>720.70629246044996</v>
      </c>
      <c r="L247" s="10">
        <f t="shared" si="21"/>
        <v>0.20943522431672892</v>
      </c>
      <c r="M247" s="10">
        <f t="shared" si="28"/>
        <v>0.21573928965564698</v>
      </c>
      <c r="P247" s="8">
        <f t="shared" si="29"/>
        <v>28.028603769010047</v>
      </c>
    </row>
    <row r="248" spans="1:16" x14ac:dyDescent="0.2">
      <c r="A248" s="8">
        <v>123</v>
      </c>
      <c r="B248" s="8">
        <v>246</v>
      </c>
      <c r="D248">
        <v>3521.5913107511001</v>
      </c>
      <c r="E248">
        <v>792.97643593520002</v>
      </c>
      <c r="F248">
        <v>131.86730205279</v>
      </c>
      <c r="G248">
        <v>113.69354838709999</v>
      </c>
      <c r="I248" s="9">
        <f t="shared" si="26"/>
        <v>679.28288754810001</v>
      </c>
      <c r="J248" s="9">
        <f t="shared" si="27"/>
        <v>3389.7240086983102</v>
      </c>
      <c r="K248" s="9">
        <f t="shared" si="24"/>
        <v>679.28288754810001</v>
      </c>
      <c r="L248" s="10">
        <f t="shared" si="21"/>
        <v>0.20039474771544949</v>
      </c>
      <c r="M248" s="10">
        <f t="shared" si="28"/>
        <v>0.20672454393330192</v>
      </c>
      <c r="P248" s="8">
        <f t="shared" si="29"/>
        <v>22.67888137951536</v>
      </c>
    </row>
    <row r="249" spans="1:16" x14ac:dyDescent="0.2">
      <c r="A249" s="8">
        <v>123.5</v>
      </c>
      <c r="B249" s="8">
        <v>247</v>
      </c>
      <c r="D249">
        <v>3633.8120903131999</v>
      </c>
      <c r="E249">
        <v>802.60888565185996</v>
      </c>
      <c r="F249">
        <v>132.72287390029001</v>
      </c>
      <c r="G249">
        <v>113.23387096774</v>
      </c>
      <c r="I249" s="9">
        <f t="shared" si="26"/>
        <v>689.37501468411995</v>
      </c>
      <c r="J249" s="9">
        <f t="shared" si="27"/>
        <v>3501.08921641291</v>
      </c>
      <c r="K249" s="9">
        <f t="shared" si="24"/>
        <v>689.37501468411995</v>
      </c>
      <c r="L249" s="10">
        <f t="shared" si="21"/>
        <v>0.19690301276881736</v>
      </c>
      <c r="M249" s="10">
        <f t="shared" si="28"/>
        <v>0.20325853986560413</v>
      </c>
      <c r="P249" s="8">
        <f t="shared" si="29"/>
        <v>20.622011431749488</v>
      </c>
    </row>
    <row r="250" spans="1:16" x14ac:dyDescent="0.2">
      <c r="A250" s="8">
        <v>124</v>
      </c>
      <c r="B250" s="8">
        <v>248</v>
      </c>
      <c r="D250">
        <v>3543.2148579752002</v>
      </c>
      <c r="E250">
        <v>755.57319737800003</v>
      </c>
      <c r="F250">
        <v>131.93035190616001</v>
      </c>
      <c r="G250">
        <v>113.33651026392999</v>
      </c>
      <c r="I250" s="9">
        <f t="shared" si="26"/>
        <v>642.23668711407004</v>
      </c>
      <c r="J250" s="9">
        <f t="shared" si="27"/>
        <v>3411.2845060690402</v>
      </c>
      <c r="K250" s="9">
        <f t="shared" si="24"/>
        <v>642.23668711407004</v>
      </c>
      <c r="L250" s="10">
        <f t="shared" si="21"/>
        <v>0.18826828602875612</v>
      </c>
      <c r="M250" s="10">
        <f t="shared" si="28"/>
        <v>0.19464954400447726</v>
      </c>
      <c r="P250" s="8">
        <f t="shared" si="29"/>
        <v>15.5130777659692</v>
      </c>
    </row>
    <row r="251" spans="1:16" x14ac:dyDescent="0.2">
      <c r="A251" s="8">
        <v>124.5</v>
      </c>
      <c r="B251" s="8">
        <v>249</v>
      </c>
      <c r="D251">
        <v>3521.8414096915999</v>
      </c>
      <c r="E251">
        <v>748.30543318648995</v>
      </c>
      <c r="F251">
        <v>132.00073313783</v>
      </c>
      <c r="G251">
        <v>113.45307917888999</v>
      </c>
      <c r="I251" s="9">
        <f t="shared" si="26"/>
        <v>634.85235400759996</v>
      </c>
      <c r="J251" s="9">
        <f t="shared" si="27"/>
        <v>3389.8406765537698</v>
      </c>
      <c r="K251" s="9">
        <f t="shared" si="24"/>
        <v>634.85235400759996</v>
      </c>
      <c r="L251" s="10">
        <f t="shared" si="21"/>
        <v>0.1872808826676223</v>
      </c>
      <c r="M251" s="10">
        <f t="shared" si="28"/>
        <v>0.19368787152227779</v>
      </c>
      <c r="P251" s="8">
        <f t="shared" si="29"/>
        <v>14.942381601280804</v>
      </c>
    </row>
    <row r="252" spans="1:16" x14ac:dyDescent="0.2">
      <c r="A252" s="8">
        <v>125</v>
      </c>
      <c r="B252" s="8">
        <v>250</v>
      </c>
      <c r="D252">
        <v>3461.0506607930001</v>
      </c>
      <c r="E252">
        <v>717.77973568282005</v>
      </c>
      <c r="F252">
        <v>131.84604105572001</v>
      </c>
      <c r="G252">
        <v>113.38782991202</v>
      </c>
      <c r="I252" s="9">
        <f t="shared" si="26"/>
        <v>604.39190577080001</v>
      </c>
      <c r="J252" s="9">
        <f t="shared" si="27"/>
        <v>3329.2046197372802</v>
      </c>
      <c r="K252" s="9">
        <f t="shared" si="24"/>
        <v>604.39190577080001</v>
      </c>
      <c r="L252" s="10">
        <f t="shared" si="21"/>
        <v>0.18154243274433965</v>
      </c>
      <c r="M252" s="10">
        <f t="shared" si="28"/>
        <v>0.18797515247792951</v>
      </c>
      <c r="P252" s="8">
        <f t="shared" si="29"/>
        <v>11.55221820480371</v>
      </c>
    </row>
    <row r="253" spans="1:16" x14ac:dyDescent="0.2">
      <c r="A253" s="8">
        <v>125.5</v>
      </c>
      <c r="B253" s="8">
        <v>251</v>
      </c>
      <c r="D253">
        <v>3454.8437956204002</v>
      </c>
      <c r="E253">
        <v>717.38321167882998</v>
      </c>
      <c r="F253">
        <v>132.10997067449</v>
      </c>
      <c r="G253">
        <v>113.37683284457999</v>
      </c>
      <c r="I253" s="9">
        <f t="shared" si="26"/>
        <v>604.00637883424997</v>
      </c>
      <c r="J253" s="9">
        <f t="shared" si="27"/>
        <v>3322.7338249459103</v>
      </c>
      <c r="K253" s="9">
        <f t="shared" si="24"/>
        <v>604.00637883424997</v>
      </c>
      <c r="L253" s="10">
        <f t="shared" si="21"/>
        <v>0.18177994707237266</v>
      </c>
      <c r="M253" s="10">
        <f t="shared" si="28"/>
        <v>0.18823839768489689</v>
      </c>
      <c r="P253" s="8">
        <f t="shared" si="29"/>
        <v>11.708438781735772</v>
      </c>
    </row>
    <row r="254" spans="1:16" x14ac:dyDescent="0.2">
      <c r="A254" s="8">
        <v>126</v>
      </c>
      <c r="B254" s="8">
        <v>252</v>
      </c>
      <c r="D254">
        <v>3419.9635036496002</v>
      </c>
      <c r="E254">
        <v>700.75182481751995</v>
      </c>
      <c r="F254">
        <v>131.59750733138</v>
      </c>
      <c r="G254">
        <v>113.36363636364</v>
      </c>
      <c r="I254" s="9">
        <f t="shared" si="26"/>
        <v>587.38818845387993</v>
      </c>
      <c r="J254" s="9">
        <f t="shared" si="27"/>
        <v>3288.3659963182204</v>
      </c>
      <c r="K254" s="9">
        <f t="shared" si="24"/>
        <v>587.38818845387993</v>
      </c>
      <c r="L254" s="10">
        <f t="shared" si="21"/>
        <v>0.17862615934830312</v>
      </c>
      <c r="M254" s="10">
        <f t="shared" si="28"/>
        <v>0.18511034083976169</v>
      </c>
      <c r="P254" s="8">
        <f t="shared" si="29"/>
        <v>9.8521206718913241</v>
      </c>
    </row>
    <row r="255" spans="1:16" x14ac:dyDescent="0.2">
      <c r="A255" s="8">
        <v>126.5</v>
      </c>
      <c r="B255" s="8">
        <v>253</v>
      </c>
      <c r="D255">
        <v>3412.6943836616001</v>
      </c>
      <c r="E255">
        <v>715.17651349380003</v>
      </c>
      <c r="F255">
        <v>131.70014662757001</v>
      </c>
      <c r="G255">
        <v>113.47434017595</v>
      </c>
      <c r="I255" s="9">
        <f t="shared" si="26"/>
        <v>601.70217331785</v>
      </c>
      <c r="J255" s="9">
        <f t="shared" si="27"/>
        <v>3280.99423703403</v>
      </c>
      <c r="K255" s="9">
        <f t="shared" si="24"/>
        <v>601.70217331785</v>
      </c>
      <c r="L255" s="10">
        <f t="shared" si="21"/>
        <v>0.1833901951201779</v>
      </c>
      <c r="M255" s="10">
        <f t="shared" si="28"/>
        <v>0.18990010749057085</v>
      </c>
      <c r="P255" s="8">
        <f t="shared" si="29"/>
        <v>12.69456600329697</v>
      </c>
    </row>
    <row r="256" spans="1:16" x14ac:dyDescent="0.2">
      <c r="A256" s="8">
        <v>127</v>
      </c>
      <c r="B256" s="8">
        <v>254</v>
      </c>
      <c r="D256">
        <v>3409.9405286343999</v>
      </c>
      <c r="E256">
        <v>741.02643171806005</v>
      </c>
      <c r="F256">
        <v>131.75219941348999</v>
      </c>
      <c r="G256">
        <v>113.44208211144</v>
      </c>
      <c r="I256" s="9">
        <f t="shared" si="26"/>
        <v>627.58434960662009</v>
      </c>
      <c r="J256" s="9">
        <f t="shared" si="27"/>
        <v>3278.18832922091</v>
      </c>
      <c r="K256" s="9">
        <f t="shared" si="24"/>
        <v>627.58434960662009</v>
      </c>
      <c r="L256" s="10">
        <f t="shared" si="21"/>
        <v>0.19144243300865238</v>
      </c>
      <c r="M256" s="10">
        <f t="shared" si="28"/>
        <v>0.19797807625797967</v>
      </c>
      <c r="P256" s="8">
        <f t="shared" si="29"/>
        <v>17.488366262080532</v>
      </c>
    </row>
    <row r="257" spans="1:16" x14ac:dyDescent="0.2">
      <c r="A257" s="8">
        <v>127.5</v>
      </c>
      <c r="B257" s="8">
        <v>255</v>
      </c>
      <c r="D257">
        <v>3413.4140969163</v>
      </c>
      <c r="E257">
        <v>757.99412628488005</v>
      </c>
      <c r="F257">
        <v>132.35703812317001</v>
      </c>
      <c r="G257">
        <v>113.65762463343</v>
      </c>
      <c r="I257" s="9">
        <f t="shared" si="26"/>
        <v>644.33650165145002</v>
      </c>
      <c r="J257" s="9">
        <f t="shared" si="27"/>
        <v>3281.0570587931297</v>
      </c>
      <c r="K257" s="9">
        <f t="shared" si="24"/>
        <v>644.33650165145002</v>
      </c>
      <c r="L257" s="10">
        <f t="shared" si="21"/>
        <v>0.19638076696186935</v>
      </c>
      <c r="M257" s="10">
        <f t="shared" si="28"/>
        <v>0.20294214109013101</v>
      </c>
      <c r="P257" s="8">
        <f t="shared" si="29"/>
        <v>20.43424733220737</v>
      </c>
    </row>
    <row r="258" spans="1:16" x14ac:dyDescent="0.2">
      <c r="A258" s="8">
        <v>128</v>
      </c>
      <c r="B258" s="8">
        <v>256</v>
      </c>
      <c r="D258">
        <v>3393.4706314243999</v>
      </c>
      <c r="E258">
        <v>747.22687224670005</v>
      </c>
      <c r="F258">
        <v>131.86290322580999</v>
      </c>
      <c r="G258">
        <v>113.65102639296001</v>
      </c>
      <c r="I258" s="9">
        <f t="shared" si="26"/>
        <v>633.57584585374002</v>
      </c>
      <c r="J258" s="9">
        <f t="shared" si="27"/>
        <v>3261.6077281985899</v>
      </c>
      <c r="K258" s="9">
        <f t="shared" si="24"/>
        <v>633.57584585374002</v>
      </c>
      <c r="L258" s="10">
        <f t="shared" ref="L258:L321" si="30">K258/J258</f>
        <v>0.19425261976665376</v>
      </c>
      <c r="M258" s="10">
        <f t="shared" si="28"/>
        <v>0.20083972477384976</v>
      </c>
      <c r="P258" s="8">
        <f t="shared" si="29"/>
        <v>19.186586667595424</v>
      </c>
    </row>
    <row r="259" spans="1:16" x14ac:dyDescent="0.2">
      <c r="A259" s="8">
        <v>128.5</v>
      </c>
      <c r="B259" s="8">
        <v>257</v>
      </c>
      <c r="D259">
        <v>3489.5577777777999</v>
      </c>
      <c r="E259">
        <v>752.51555555556001</v>
      </c>
      <c r="F259">
        <v>132.00219941348999</v>
      </c>
      <c r="G259">
        <v>113.34824046921</v>
      </c>
      <c r="I259" s="9">
        <f t="shared" si="26"/>
        <v>639.16731508635007</v>
      </c>
      <c r="J259" s="9">
        <f t="shared" si="27"/>
        <v>3357.5555783643099</v>
      </c>
      <c r="K259" s="9">
        <f t="shared" ref="K259:K321" si="31">I259*1</f>
        <v>639.16731508635007</v>
      </c>
      <c r="L259" s="10">
        <f t="shared" si="30"/>
        <v>0.19036686070219314</v>
      </c>
      <c r="M259" s="10">
        <f t="shared" si="28"/>
        <v>0.19697969658832351</v>
      </c>
      <c r="P259" s="8">
        <f t="shared" si="29"/>
        <v>16.895886536475309</v>
      </c>
    </row>
    <row r="260" spans="1:16" x14ac:dyDescent="0.2">
      <c r="A260" s="8">
        <v>129</v>
      </c>
      <c r="B260" s="8">
        <v>258</v>
      </c>
      <c r="D260">
        <v>3543.6229629630002</v>
      </c>
      <c r="E260">
        <v>739.81259259259002</v>
      </c>
      <c r="F260">
        <v>131.70601173021001</v>
      </c>
      <c r="G260">
        <v>113.41055718475</v>
      </c>
      <c r="I260" s="9">
        <f t="shared" si="26"/>
        <v>626.40203540784</v>
      </c>
      <c r="J260" s="9">
        <f t="shared" si="27"/>
        <v>3411.9169512327903</v>
      </c>
      <c r="K260" s="9">
        <f t="shared" si="31"/>
        <v>626.40203540784</v>
      </c>
      <c r="L260" s="10">
        <f t="shared" si="30"/>
        <v>0.18359240402422722</v>
      </c>
      <c r="M260" s="10">
        <f t="shared" si="28"/>
        <v>0.19023097078929196</v>
      </c>
      <c r="P260" s="8">
        <f t="shared" si="29"/>
        <v>12.890913948269286</v>
      </c>
    </row>
    <row r="261" spans="1:16" x14ac:dyDescent="0.2">
      <c r="A261" s="8">
        <v>129.5</v>
      </c>
      <c r="B261" s="8">
        <v>259</v>
      </c>
      <c r="D261">
        <v>3494.6459259259</v>
      </c>
      <c r="E261">
        <v>714.39111111111004</v>
      </c>
      <c r="F261">
        <v>132.05058651025999</v>
      </c>
      <c r="G261">
        <v>113.77272727272999</v>
      </c>
      <c r="I261" s="9">
        <f t="shared" si="26"/>
        <v>600.61838383838005</v>
      </c>
      <c r="J261" s="9">
        <f t="shared" si="27"/>
        <v>3362.59533941564</v>
      </c>
      <c r="K261" s="9">
        <f t="shared" si="31"/>
        <v>600.61838383838005</v>
      </c>
      <c r="L261" s="10">
        <f t="shared" si="30"/>
        <v>0.17861750321189615</v>
      </c>
      <c r="M261" s="10">
        <f t="shared" si="28"/>
        <v>0.18528180085589524</v>
      </c>
      <c r="P261" s="8">
        <f t="shared" si="29"/>
        <v>9.9538721261712961</v>
      </c>
    </row>
    <row r="262" spans="1:16" x14ac:dyDescent="0.2">
      <c r="A262" s="8">
        <v>130</v>
      </c>
      <c r="B262" s="8">
        <v>260</v>
      </c>
      <c r="D262">
        <v>3576.210989011</v>
      </c>
      <c r="E262">
        <v>736.13406593407001</v>
      </c>
      <c r="F262">
        <v>131.70454545454999</v>
      </c>
      <c r="G262">
        <v>113.14076246334</v>
      </c>
      <c r="I262" s="9">
        <f t="shared" si="26"/>
        <v>622.99330347072998</v>
      </c>
      <c r="J262" s="9">
        <f t="shared" si="27"/>
        <v>3444.50644355645</v>
      </c>
      <c r="K262" s="9">
        <f t="shared" si="31"/>
        <v>622.99330347072998</v>
      </c>
      <c r="L262" s="10">
        <f t="shared" si="30"/>
        <v>0.1808657680510796</v>
      </c>
      <c r="M262" s="10">
        <f t="shared" si="28"/>
        <v>0.18755579657401306</v>
      </c>
      <c r="P262" s="8">
        <f t="shared" si="29"/>
        <v>11.303355093469603</v>
      </c>
    </row>
    <row r="263" spans="1:16" x14ac:dyDescent="0.2">
      <c r="A263" s="8">
        <v>130.5</v>
      </c>
      <c r="B263" s="8">
        <v>261</v>
      </c>
      <c r="D263">
        <v>3576.4981684981999</v>
      </c>
      <c r="E263">
        <v>781.51135531136003</v>
      </c>
      <c r="F263">
        <v>132.20454545454999</v>
      </c>
      <c r="G263">
        <v>113.5366568915</v>
      </c>
      <c r="I263" s="9">
        <f t="shared" si="26"/>
        <v>667.97469841986003</v>
      </c>
      <c r="J263" s="9">
        <f t="shared" si="27"/>
        <v>3444.2936230436499</v>
      </c>
      <c r="K263" s="9">
        <f t="shared" si="31"/>
        <v>667.97469841986003</v>
      </c>
      <c r="L263" s="10">
        <f t="shared" si="30"/>
        <v>0.1939366301266687</v>
      </c>
      <c r="M263" s="10">
        <f t="shared" si="28"/>
        <v>0.20065238952853651</v>
      </c>
      <c r="P263" s="8">
        <f t="shared" si="29"/>
        <v>19.075414196728094</v>
      </c>
    </row>
    <row r="264" spans="1:16" x14ac:dyDescent="0.2">
      <c r="A264" s="8">
        <v>131</v>
      </c>
      <c r="B264" s="8">
        <v>262</v>
      </c>
      <c r="D264">
        <v>3544.5208791209002</v>
      </c>
      <c r="E264">
        <v>865.36190476190995</v>
      </c>
      <c r="F264">
        <v>131.94794721407999</v>
      </c>
      <c r="G264">
        <v>113.30425219941</v>
      </c>
      <c r="I264" s="9">
        <f t="shared" si="26"/>
        <v>752.05765256249992</v>
      </c>
      <c r="J264" s="9">
        <f t="shared" si="27"/>
        <v>3412.57293190682</v>
      </c>
      <c r="K264" s="9">
        <f t="shared" si="31"/>
        <v>752.05765256249992</v>
      </c>
      <c r="L264" s="10">
        <f t="shared" si="30"/>
        <v>0.22037848496391776</v>
      </c>
      <c r="M264" s="10">
        <f t="shared" si="28"/>
        <v>0.22711997524471994</v>
      </c>
      <c r="P264" s="8">
        <f t="shared" si="29"/>
        <v>34.782372580563965</v>
      </c>
    </row>
    <row r="265" spans="1:16" x14ac:dyDescent="0.2">
      <c r="A265" s="8">
        <v>131.5</v>
      </c>
      <c r="B265" s="8">
        <v>263</v>
      </c>
      <c r="D265">
        <v>3586.4527472527998</v>
      </c>
      <c r="E265">
        <v>852.71941391941004</v>
      </c>
      <c r="F265">
        <v>132.21407624633</v>
      </c>
      <c r="G265">
        <v>113.4633431085</v>
      </c>
      <c r="I265" s="9">
        <f t="shared" si="26"/>
        <v>739.25607081091005</v>
      </c>
      <c r="J265" s="9">
        <f t="shared" si="27"/>
        <v>3454.2386710064698</v>
      </c>
      <c r="K265" s="9">
        <f t="shared" si="31"/>
        <v>739.25607081091005</v>
      </c>
      <c r="L265" s="10">
        <f t="shared" si="30"/>
        <v>0.21401418408517534</v>
      </c>
      <c r="M265" s="10">
        <f t="shared" si="28"/>
        <v>0.22078140524491185</v>
      </c>
      <c r="P265" s="8">
        <f t="shared" si="29"/>
        <v>31.020803381634682</v>
      </c>
    </row>
    <row r="266" spans="1:16" x14ac:dyDescent="0.2">
      <c r="A266" s="8">
        <v>132</v>
      </c>
      <c r="B266" s="8">
        <v>264</v>
      </c>
      <c r="D266">
        <v>3657.4564102564</v>
      </c>
      <c r="E266">
        <v>841.48498168497997</v>
      </c>
      <c r="F266">
        <v>131.98093841642</v>
      </c>
      <c r="G266">
        <v>113.3357771261</v>
      </c>
      <c r="I266" s="9">
        <f t="shared" si="26"/>
        <v>728.14920455888</v>
      </c>
      <c r="J266" s="9">
        <f t="shared" si="27"/>
        <v>3525.4754718399799</v>
      </c>
      <c r="K266" s="9">
        <f t="shared" si="31"/>
        <v>728.14920455888</v>
      </c>
      <c r="L266" s="10">
        <f t="shared" si="30"/>
        <v>0.20653929104741489</v>
      </c>
      <c r="M266" s="10">
        <f t="shared" si="28"/>
        <v>0.21333224308608578</v>
      </c>
      <c r="P266" s="8">
        <f t="shared" si="29"/>
        <v>26.600162931924721</v>
      </c>
    </row>
    <row r="267" spans="1:16" x14ac:dyDescent="0.2">
      <c r="A267" s="8">
        <v>132.5</v>
      </c>
      <c r="B267" s="8">
        <v>265</v>
      </c>
      <c r="D267">
        <v>3634.7238095237999</v>
      </c>
      <c r="E267">
        <v>807.27692307691996</v>
      </c>
      <c r="F267">
        <v>131.80131964808999</v>
      </c>
      <c r="G267">
        <v>113.40249266862</v>
      </c>
      <c r="I267" s="9">
        <f t="shared" si="26"/>
        <v>693.87443040829999</v>
      </c>
      <c r="J267" s="9">
        <f t="shared" si="27"/>
        <v>3502.9224898757097</v>
      </c>
      <c r="K267" s="9">
        <f t="shared" si="31"/>
        <v>693.87443040829999</v>
      </c>
      <c r="L267" s="10">
        <f t="shared" si="30"/>
        <v>0.19808443732733577</v>
      </c>
      <c r="M267" s="10">
        <f t="shared" si="28"/>
        <v>0.20490312024494103</v>
      </c>
      <c r="P267" s="8">
        <f t="shared" si="29"/>
        <v>21.597973344336147</v>
      </c>
    </row>
    <row r="268" spans="1:16" x14ac:dyDescent="0.2">
      <c r="A268" s="8">
        <v>133</v>
      </c>
      <c r="B268" s="8">
        <v>266</v>
      </c>
      <c r="D268">
        <v>3591.6035113387002</v>
      </c>
      <c r="E268">
        <v>788.31309436722995</v>
      </c>
      <c r="F268">
        <v>131.57331378299</v>
      </c>
      <c r="G268">
        <v>113.18988269795</v>
      </c>
      <c r="I268" s="9">
        <f t="shared" si="26"/>
        <v>675.12321166927995</v>
      </c>
      <c r="J268" s="9">
        <f t="shared" si="27"/>
        <v>3460.0301975557104</v>
      </c>
      <c r="K268" s="9">
        <f t="shared" si="31"/>
        <v>675.12321166927995</v>
      </c>
      <c r="L268" s="10">
        <f t="shared" si="30"/>
        <v>0.19512061257332702</v>
      </c>
      <c r="M268" s="10">
        <f t="shared" si="28"/>
        <v>0.20196502636986663</v>
      </c>
      <c r="P268" s="8">
        <f t="shared" si="29"/>
        <v>19.854387105740177</v>
      </c>
    </row>
    <row r="269" spans="1:16" x14ac:dyDescent="0.2">
      <c r="A269" s="8">
        <v>133.5</v>
      </c>
      <c r="B269" s="8">
        <v>267</v>
      </c>
      <c r="D269">
        <v>3572.3657644476998</v>
      </c>
      <c r="E269">
        <v>763.88880760790005</v>
      </c>
      <c r="F269">
        <v>131.53885630498999</v>
      </c>
      <c r="G269">
        <v>113.44428152493001</v>
      </c>
      <c r="I269" s="9">
        <f t="shared" si="26"/>
        <v>650.44452608297001</v>
      </c>
      <c r="J269" s="9">
        <f t="shared" si="27"/>
        <v>3440.8269081427097</v>
      </c>
      <c r="K269" s="9">
        <f t="shared" si="31"/>
        <v>650.44452608297001</v>
      </c>
      <c r="L269" s="10">
        <f t="shared" si="30"/>
        <v>0.18903727023980613</v>
      </c>
      <c r="M269" s="10">
        <f t="shared" si="28"/>
        <v>0.1959074149152801</v>
      </c>
      <c r="P269" s="8">
        <f t="shared" si="29"/>
        <v>16.259550310162663</v>
      </c>
    </row>
    <row r="270" spans="1:16" x14ac:dyDescent="0.2">
      <c r="A270" s="8">
        <v>134</v>
      </c>
      <c r="B270" s="8">
        <v>268</v>
      </c>
      <c r="D270">
        <v>3564.3416239941998</v>
      </c>
      <c r="E270">
        <v>742.54937820043995</v>
      </c>
      <c r="F270">
        <v>131.70381231671999</v>
      </c>
      <c r="G270">
        <v>113.03812316715999</v>
      </c>
      <c r="I270" s="9">
        <f t="shared" si="26"/>
        <v>629.51125503327989</v>
      </c>
      <c r="J270" s="9">
        <f t="shared" si="27"/>
        <v>3432.6378116774799</v>
      </c>
      <c r="K270" s="9">
        <f t="shared" si="31"/>
        <v>629.51125503327989</v>
      </c>
      <c r="L270" s="10">
        <f t="shared" si="30"/>
        <v>0.18338994370211373</v>
      </c>
      <c r="M270" s="10">
        <f t="shared" si="28"/>
        <v>0.19028581925652205</v>
      </c>
      <c r="P270" s="8">
        <f t="shared" si="29"/>
        <v>12.92346329377583</v>
      </c>
    </row>
    <row r="271" spans="1:16" x14ac:dyDescent="0.2">
      <c r="A271" s="8">
        <v>134.5</v>
      </c>
      <c r="B271" s="8">
        <v>269</v>
      </c>
      <c r="D271">
        <v>3373.4601316752</v>
      </c>
      <c r="E271">
        <v>712.43013899049004</v>
      </c>
      <c r="F271">
        <v>131.84310850439999</v>
      </c>
      <c r="G271">
        <v>113.0784457478</v>
      </c>
      <c r="I271" s="9">
        <f t="shared" si="26"/>
        <v>599.35169324269009</v>
      </c>
      <c r="J271" s="9">
        <f t="shared" si="27"/>
        <v>3241.6170231708002</v>
      </c>
      <c r="K271" s="9">
        <f t="shared" si="31"/>
        <v>599.35169324269009</v>
      </c>
      <c r="L271" s="10">
        <f t="shared" si="30"/>
        <v>0.18489281397480814</v>
      </c>
      <c r="M271" s="10">
        <f t="shared" si="28"/>
        <v>0.19181442040815083</v>
      </c>
      <c r="P271" s="8">
        <f t="shared" si="29"/>
        <v>13.83059834309906</v>
      </c>
    </row>
    <row r="272" spans="1:16" x14ac:dyDescent="0.2">
      <c r="A272" s="8">
        <v>135</v>
      </c>
      <c r="B272" s="8">
        <v>270</v>
      </c>
      <c r="D272">
        <v>3406.1797505503</v>
      </c>
      <c r="E272">
        <v>762.02567865004005</v>
      </c>
      <c r="F272">
        <v>131.97653958943999</v>
      </c>
      <c r="G272">
        <v>113.56011730205</v>
      </c>
      <c r="I272" s="9">
        <f t="shared" si="26"/>
        <v>648.46556134799005</v>
      </c>
      <c r="J272" s="9">
        <f t="shared" si="27"/>
        <v>3274.2032109608599</v>
      </c>
      <c r="K272" s="9">
        <f t="shared" si="31"/>
        <v>648.46556134799005</v>
      </c>
      <c r="L272" s="10">
        <f t="shared" si="30"/>
        <v>0.19805293671973676</v>
      </c>
      <c r="M272" s="10">
        <f t="shared" si="28"/>
        <v>0.20500027403201379</v>
      </c>
      <c r="P272" s="8">
        <f t="shared" si="29"/>
        <v>21.655628413700889</v>
      </c>
    </row>
    <row r="273" spans="1:16" x14ac:dyDescent="0.2">
      <c r="A273" s="8">
        <v>135.5</v>
      </c>
      <c r="B273" s="8">
        <v>271</v>
      </c>
      <c r="D273">
        <v>3391.5994130593999</v>
      </c>
      <c r="E273">
        <v>807.98092443140001</v>
      </c>
      <c r="F273">
        <v>131.83137829911999</v>
      </c>
      <c r="G273">
        <v>113.57551319648</v>
      </c>
      <c r="I273" s="9">
        <f t="shared" si="26"/>
        <v>694.40541123492005</v>
      </c>
      <c r="J273" s="9">
        <f t="shared" si="27"/>
        <v>3259.76803476028</v>
      </c>
      <c r="K273" s="9">
        <f t="shared" si="31"/>
        <v>694.40541123492005</v>
      </c>
      <c r="L273" s="10">
        <f t="shared" si="30"/>
        <v>0.21302295250158373</v>
      </c>
      <c r="M273" s="10">
        <f t="shared" si="28"/>
        <v>0.21999602069279514</v>
      </c>
      <c r="P273" s="8">
        <f t="shared" si="29"/>
        <v>30.554723754739889</v>
      </c>
    </row>
    <row r="274" spans="1:16" x14ac:dyDescent="0.2">
      <c r="A274" s="8">
        <v>136</v>
      </c>
      <c r="B274" s="8">
        <v>272</v>
      </c>
      <c r="D274">
        <v>3375.3969185619999</v>
      </c>
      <c r="E274">
        <v>786.32501834188997</v>
      </c>
      <c r="F274">
        <v>131.48313782990999</v>
      </c>
      <c r="G274">
        <v>113.4780058651</v>
      </c>
      <c r="I274" s="9">
        <f t="shared" si="26"/>
        <v>672.84701247678993</v>
      </c>
      <c r="J274" s="9">
        <f t="shared" si="27"/>
        <v>3243.9137807320899</v>
      </c>
      <c r="K274" s="9">
        <f t="shared" si="31"/>
        <v>672.84701247678993</v>
      </c>
      <c r="L274" s="10">
        <f t="shared" si="30"/>
        <v>0.20741827864640136</v>
      </c>
      <c r="M274" s="10">
        <f t="shared" si="28"/>
        <v>0.21441707771654714</v>
      </c>
      <c r="P274" s="8">
        <f t="shared" si="29"/>
        <v>27.243948601562956</v>
      </c>
    </row>
    <row r="275" spans="1:16" x14ac:dyDescent="0.2">
      <c r="A275" s="8">
        <v>136.5</v>
      </c>
      <c r="B275" s="8">
        <v>273</v>
      </c>
      <c r="D275">
        <v>3515.1967694567002</v>
      </c>
      <c r="E275">
        <v>810.02276064610999</v>
      </c>
      <c r="F275">
        <v>131.96041055718999</v>
      </c>
      <c r="G275">
        <v>113.07624633431</v>
      </c>
      <c r="I275" s="9">
        <f>E275-G275</f>
        <v>696.9465143118</v>
      </c>
      <c r="J275" s="9">
        <f>D275-F275</f>
        <v>3383.2363588995104</v>
      </c>
      <c r="K275" s="9">
        <f t="shared" si="31"/>
        <v>696.9465143118</v>
      </c>
      <c r="L275" s="10">
        <f t="shared" si="30"/>
        <v>0.2059999480906799</v>
      </c>
      <c r="M275" s="10">
        <f>L275+ABS($N$2)*A275</f>
        <v>0.21302447803976002</v>
      </c>
      <c r="O275" s="11"/>
      <c r="P275" s="8">
        <f>(M275-$O$2)/$O$2*100</f>
        <v>26.417522443801833</v>
      </c>
    </row>
    <row r="276" spans="1:16" x14ac:dyDescent="0.2">
      <c r="A276" s="8">
        <v>137</v>
      </c>
      <c r="B276" s="8">
        <v>274</v>
      </c>
      <c r="D276">
        <v>3496.4441997063</v>
      </c>
      <c r="E276">
        <v>772.43171806167004</v>
      </c>
      <c r="F276">
        <v>131.29105571848001</v>
      </c>
      <c r="G276">
        <v>113.48753665689</v>
      </c>
      <c r="I276" s="9">
        <f t="shared" ref="I276:I291" si="32">E276-G276</f>
        <v>658.94418140478001</v>
      </c>
      <c r="J276" s="9">
        <f t="shared" ref="J276:J291" si="33">D276-F276</f>
        <v>3365.1531439878199</v>
      </c>
      <c r="K276" s="9">
        <f t="shared" si="31"/>
        <v>658.94418140478001</v>
      </c>
      <c r="L276" s="10">
        <f t="shared" si="30"/>
        <v>0.1958140248630435</v>
      </c>
      <c r="M276" s="10">
        <f t="shared" ref="M276:M291" si="34">L276+ABS($N$2)*A276</f>
        <v>0.20286428569105799</v>
      </c>
      <c r="P276" s="8">
        <f t="shared" ref="P276:P291" si="35">(M276-$O$2)/$O$2*100</f>
        <v>20.388044723238426</v>
      </c>
    </row>
    <row r="277" spans="1:16" x14ac:dyDescent="0.2">
      <c r="A277" s="8">
        <v>137.5</v>
      </c>
      <c r="B277" s="8">
        <v>275</v>
      </c>
      <c r="D277">
        <v>3532.8999264165</v>
      </c>
      <c r="E277">
        <v>765.43046357616004</v>
      </c>
      <c r="F277">
        <v>131.53299120234999</v>
      </c>
      <c r="G277">
        <v>113.16202346041</v>
      </c>
      <c r="I277" s="9">
        <f t="shared" si="32"/>
        <v>652.26844011575008</v>
      </c>
      <c r="J277" s="9">
        <f t="shared" si="33"/>
        <v>3401.3669352141501</v>
      </c>
      <c r="K277" s="9">
        <f t="shared" si="31"/>
        <v>652.26844011575008</v>
      </c>
      <c r="L277" s="10">
        <f t="shared" si="30"/>
        <v>0.19176656107368295</v>
      </c>
      <c r="M277" s="10">
        <f t="shared" si="34"/>
        <v>0.19884255278063179</v>
      </c>
      <c r="N277" s="1"/>
      <c r="P277" s="8">
        <f t="shared" si="35"/>
        <v>18.001382330516179</v>
      </c>
    </row>
    <row r="278" spans="1:16" x14ac:dyDescent="0.2">
      <c r="A278" s="8">
        <v>138</v>
      </c>
      <c r="B278" s="8">
        <v>276</v>
      </c>
      <c r="D278">
        <v>3436.7836644591998</v>
      </c>
      <c r="E278">
        <v>730.06254598969997</v>
      </c>
      <c r="F278">
        <v>131.16495601173</v>
      </c>
      <c r="G278">
        <v>112.95527859238</v>
      </c>
      <c r="I278" s="9">
        <f t="shared" si="32"/>
        <v>617.10726739732002</v>
      </c>
      <c r="J278" s="9">
        <f t="shared" si="33"/>
        <v>3305.61870844747</v>
      </c>
      <c r="K278" s="9">
        <f t="shared" si="31"/>
        <v>617.10726739732002</v>
      </c>
      <c r="L278" s="10">
        <f t="shared" si="30"/>
        <v>0.18668434620735586</v>
      </c>
      <c r="M278" s="10">
        <f t="shared" si="34"/>
        <v>0.19378606879323906</v>
      </c>
      <c r="P278" s="8">
        <f t="shared" si="35"/>
        <v>15.000655917077275</v>
      </c>
    </row>
    <row r="279" spans="1:16" x14ac:dyDescent="0.2">
      <c r="A279" s="8">
        <v>138.5</v>
      </c>
      <c r="B279" s="8">
        <v>277</v>
      </c>
      <c r="D279">
        <v>3339.0582595870001</v>
      </c>
      <c r="E279">
        <v>715.12536873156</v>
      </c>
      <c r="F279">
        <v>131.14002932551</v>
      </c>
      <c r="G279">
        <v>113.27419354839</v>
      </c>
      <c r="I279" s="9">
        <f t="shared" si="32"/>
        <v>601.85117518316997</v>
      </c>
      <c r="J279" s="9">
        <f t="shared" si="33"/>
        <v>3207.91823026149</v>
      </c>
      <c r="K279" s="9">
        <f t="shared" si="31"/>
        <v>601.85117518316997</v>
      </c>
      <c r="L279" s="10">
        <f t="shared" si="30"/>
        <v>0.18761425073297791</v>
      </c>
      <c r="M279" s="10">
        <f t="shared" si="34"/>
        <v>0.19474170419779546</v>
      </c>
      <c r="P279" s="8">
        <f t="shared" si="35"/>
        <v>15.567769430581821</v>
      </c>
    </row>
    <row r="280" spans="1:16" x14ac:dyDescent="0.2">
      <c r="A280" s="8">
        <v>139</v>
      </c>
      <c r="B280" s="8">
        <v>278</v>
      </c>
      <c r="D280">
        <v>3397.4242867592998</v>
      </c>
      <c r="E280">
        <v>807.46744696415999</v>
      </c>
      <c r="F280">
        <v>131.74926686217</v>
      </c>
      <c r="G280">
        <v>113.2939882698</v>
      </c>
      <c r="I280" s="9">
        <f t="shared" si="32"/>
        <v>694.17345869435997</v>
      </c>
      <c r="J280" s="9">
        <f t="shared" si="33"/>
        <v>3265.6750198971299</v>
      </c>
      <c r="K280" s="9">
        <f t="shared" si="31"/>
        <v>694.17345869435997</v>
      </c>
      <c r="L280" s="10">
        <f t="shared" si="30"/>
        <v>0.21256660704598423</v>
      </c>
      <c r="M280" s="10">
        <f t="shared" si="34"/>
        <v>0.21971979138973616</v>
      </c>
      <c r="P280" s="8">
        <f t="shared" si="35"/>
        <v>30.390797878988757</v>
      </c>
    </row>
    <row r="281" spans="1:16" x14ac:dyDescent="0.2">
      <c r="A281" s="8">
        <v>139.5</v>
      </c>
      <c r="B281" s="8">
        <v>279</v>
      </c>
      <c r="D281">
        <v>3428.7739575712999</v>
      </c>
      <c r="E281">
        <v>816.89539136795997</v>
      </c>
      <c r="F281">
        <v>131.59164222874</v>
      </c>
      <c r="G281">
        <v>113.77859237537</v>
      </c>
      <c r="I281" s="9">
        <f t="shared" si="32"/>
        <v>703.11679899259002</v>
      </c>
      <c r="J281" s="9">
        <f t="shared" si="33"/>
        <v>3297.1823153425598</v>
      </c>
      <c r="K281" s="9">
        <f t="shared" si="31"/>
        <v>703.11679899259002</v>
      </c>
      <c r="L281" s="10">
        <f t="shared" si="30"/>
        <v>0.21324777696423497</v>
      </c>
      <c r="M281" s="10">
        <f t="shared" si="34"/>
        <v>0.22042669218692126</v>
      </c>
      <c r="P281" s="8">
        <f t="shared" si="35"/>
        <v>30.810302004599201</v>
      </c>
    </row>
    <row r="282" spans="1:16" x14ac:dyDescent="0.2">
      <c r="A282" s="8">
        <v>140</v>
      </c>
      <c r="B282" s="8">
        <v>280</v>
      </c>
      <c r="D282">
        <v>3562.8416422287</v>
      </c>
      <c r="E282">
        <v>851.14149560117005</v>
      </c>
      <c r="F282">
        <v>131.90615835777001</v>
      </c>
      <c r="G282">
        <v>113.40249266862</v>
      </c>
      <c r="I282" s="9">
        <f t="shared" si="32"/>
        <v>737.73900293255008</v>
      </c>
      <c r="J282" s="9">
        <f t="shared" si="33"/>
        <v>3430.9354838709301</v>
      </c>
      <c r="K282" s="9">
        <f t="shared" si="31"/>
        <v>737.73900293255008</v>
      </c>
      <c r="L282" s="10">
        <f t="shared" si="30"/>
        <v>0.21502561222754354</v>
      </c>
      <c r="M282" s="10">
        <f t="shared" si="34"/>
        <v>0.22223025832916418</v>
      </c>
      <c r="P282" s="8">
        <f t="shared" si="35"/>
        <v>31.880612634457044</v>
      </c>
    </row>
    <row r="283" spans="1:16" x14ac:dyDescent="0.2">
      <c r="A283" s="8">
        <v>140.5</v>
      </c>
      <c r="B283" s="8">
        <v>281</v>
      </c>
      <c r="D283">
        <v>3510.5395314788002</v>
      </c>
      <c r="E283">
        <v>805.94509516838002</v>
      </c>
      <c r="F283">
        <v>131.44648093842</v>
      </c>
      <c r="G283">
        <v>113.08724340176001</v>
      </c>
      <c r="I283" s="9">
        <f t="shared" si="32"/>
        <v>692.85785176662</v>
      </c>
      <c r="J283" s="9">
        <f t="shared" si="33"/>
        <v>3379.0930505403803</v>
      </c>
      <c r="K283" s="9">
        <f t="shared" si="31"/>
        <v>692.85785176662</v>
      </c>
      <c r="L283" s="10">
        <f t="shared" si="30"/>
        <v>0.20504254881522693</v>
      </c>
      <c r="M283" s="10">
        <f t="shared" si="34"/>
        <v>0.21227292579578194</v>
      </c>
      <c r="P283" s="8">
        <f t="shared" si="35"/>
        <v>25.971520305713952</v>
      </c>
    </row>
    <row r="284" spans="1:16" x14ac:dyDescent="0.2">
      <c r="A284" s="8">
        <v>141</v>
      </c>
      <c r="B284" s="8">
        <v>282</v>
      </c>
      <c r="D284">
        <v>3525.9699853586999</v>
      </c>
      <c r="E284">
        <v>776.94509516838002</v>
      </c>
      <c r="F284">
        <v>131.71774193548001</v>
      </c>
      <c r="G284">
        <v>113.02932551320001</v>
      </c>
      <c r="I284" s="9">
        <f t="shared" si="32"/>
        <v>663.91576965518004</v>
      </c>
      <c r="J284" s="9">
        <f t="shared" si="33"/>
        <v>3394.2522434232201</v>
      </c>
      <c r="K284" s="9">
        <f t="shared" si="31"/>
        <v>663.91576965518004</v>
      </c>
      <c r="L284" s="10">
        <f t="shared" si="30"/>
        <v>0.19560000908641903</v>
      </c>
      <c r="M284" s="10">
        <f t="shared" si="34"/>
        <v>0.20285611694590838</v>
      </c>
      <c r="P284" s="8">
        <f t="shared" si="35"/>
        <v>20.383197052525695</v>
      </c>
    </row>
    <row r="285" spans="1:16" x14ac:dyDescent="0.2">
      <c r="A285" s="8">
        <v>141.5</v>
      </c>
      <c r="B285" s="8">
        <v>283</v>
      </c>
      <c r="D285">
        <v>3437.1215226939999</v>
      </c>
      <c r="E285">
        <v>746.70278184480003</v>
      </c>
      <c r="F285">
        <v>131.81744868035</v>
      </c>
      <c r="G285">
        <v>112.90029325512999</v>
      </c>
      <c r="I285" s="9">
        <f t="shared" si="32"/>
        <v>633.80248858967002</v>
      </c>
      <c r="J285" s="9">
        <f t="shared" si="33"/>
        <v>3305.3040740136498</v>
      </c>
      <c r="K285" s="9">
        <f t="shared" si="31"/>
        <v>633.80248858967002</v>
      </c>
      <c r="L285" s="10">
        <f t="shared" si="30"/>
        <v>0.19175315625955103</v>
      </c>
      <c r="M285" s="10">
        <f t="shared" si="34"/>
        <v>0.19903499499797475</v>
      </c>
      <c r="P285" s="8">
        <f t="shared" si="35"/>
        <v>18.115585489486243</v>
      </c>
    </row>
    <row r="286" spans="1:16" x14ac:dyDescent="0.2">
      <c r="A286" s="8">
        <v>142</v>
      </c>
      <c r="B286" s="8">
        <v>284</v>
      </c>
      <c r="D286">
        <v>3487.3941391940998</v>
      </c>
      <c r="E286">
        <v>838.15824175824002</v>
      </c>
      <c r="F286">
        <v>131.59090909091</v>
      </c>
      <c r="G286">
        <v>113.14662756598</v>
      </c>
      <c r="I286" s="9">
        <f t="shared" si="32"/>
        <v>725.01161419226003</v>
      </c>
      <c r="J286" s="9">
        <f t="shared" si="33"/>
        <v>3355.8032301031899</v>
      </c>
      <c r="K286" s="9">
        <f t="shared" si="31"/>
        <v>725.01161419226003</v>
      </c>
      <c r="L286" s="10">
        <f t="shared" si="30"/>
        <v>0.21604711733052542</v>
      </c>
      <c r="M286" s="10">
        <f t="shared" si="34"/>
        <v>0.22335468694788349</v>
      </c>
      <c r="P286" s="8">
        <f t="shared" si="35"/>
        <v>32.547895011822483</v>
      </c>
    </row>
    <row r="287" spans="1:16" x14ac:dyDescent="0.2">
      <c r="A287" s="8">
        <v>142.5</v>
      </c>
      <c r="B287" s="8">
        <v>285</v>
      </c>
      <c r="D287">
        <v>3408.6117216117</v>
      </c>
      <c r="E287">
        <v>858.57875457876003</v>
      </c>
      <c r="F287">
        <v>131.78739002933</v>
      </c>
      <c r="G287">
        <v>113.43401759531</v>
      </c>
      <c r="I287" s="9">
        <f t="shared" si="32"/>
        <v>745.14473698345</v>
      </c>
      <c r="J287" s="9">
        <f t="shared" si="33"/>
        <v>3276.8243315823702</v>
      </c>
      <c r="K287" s="9">
        <f t="shared" si="31"/>
        <v>745.14473698345</v>
      </c>
      <c r="L287" s="10">
        <f t="shared" si="30"/>
        <v>0.2273984387266868</v>
      </c>
      <c r="M287" s="10">
        <f t="shared" si="34"/>
        <v>0.23473173922297924</v>
      </c>
      <c r="P287" s="8">
        <f t="shared" si="35"/>
        <v>39.299507664819004</v>
      </c>
    </row>
    <row r="288" spans="1:16" x14ac:dyDescent="0.2">
      <c r="A288" s="8">
        <v>143</v>
      </c>
      <c r="B288" s="8">
        <v>286</v>
      </c>
      <c r="D288">
        <v>3388.2824651504002</v>
      </c>
      <c r="E288">
        <v>846.17754952310997</v>
      </c>
      <c r="F288">
        <v>131.79765395894</v>
      </c>
      <c r="G288">
        <v>113.18695014663</v>
      </c>
      <c r="I288" s="9">
        <f t="shared" si="32"/>
        <v>732.99059937647996</v>
      </c>
      <c r="J288" s="9">
        <f t="shared" si="33"/>
        <v>3256.4848111914603</v>
      </c>
      <c r="K288" s="9">
        <f t="shared" si="31"/>
        <v>732.99059937647996</v>
      </c>
      <c r="L288" s="10">
        <f t="shared" si="30"/>
        <v>0.22508644807966982</v>
      </c>
      <c r="M288" s="10">
        <f t="shared" si="34"/>
        <v>0.23244547945489663</v>
      </c>
      <c r="P288" s="8">
        <f t="shared" si="35"/>
        <v>37.942746703808695</v>
      </c>
    </row>
    <row r="289" spans="1:16" x14ac:dyDescent="0.2">
      <c r="A289" s="8">
        <v>143.5</v>
      </c>
      <c r="B289" s="8">
        <v>287</v>
      </c>
      <c r="D289">
        <v>3337.5539251650998</v>
      </c>
      <c r="E289">
        <v>813.59134262656005</v>
      </c>
      <c r="F289">
        <v>131.70894428152999</v>
      </c>
      <c r="G289">
        <v>112.97653958943999</v>
      </c>
      <c r="I289" s="9">
        <f t="shared" si="32"/>
        <v>700.61480303712005</v>
      </c>
      <c r="J289" s="9">
        <f t="shared" si="33"/>
        <v>3205.8449808835699</v>
      </c>
      <c r="K289" s="9">
        <f t="shared" si="31"/>
        <v>700.61480303712005</v>
      </c>
      <c r="L289" s="10">
        <f t="shared" si="30"/>
        <v>0.21854294490684389</v>
      </c>
      <c r="M289" s="10">
        <f t="shared" si="34"/>
        <v>0.22592770716100505</v>
      </c>
      <c r="P289" s="8">
        <f t="shared" si="35"/>
        <v>34.074831463134608</v>
      </c>
    </row>
    <row r="290" spans="1:16" x14ac:dyDescent="0.2">
      <c r="A290" s="8">
        <v>144</v>
      </c>
      <c r="B290" s="8">
        <v>288</v>
      </c>
      <c r="D290">
        <v>3347.4893617020998</v>
      </c>
      <c r="E290">
        <v>797.91929567131001</v>
      </c>
      <c r="F290">
        <v>131.60557184750999</v>
      </c>
      <c r="G290">
        <v>113.35483870968</v>
      </c>
      <c r="I290" s="9">
        <f t="shared" si="32"/>
        <v>684.56445696162996</v>
      </c>
      <c r="J290" s="9">
        <f t="shared" si="33"/>
        <v>3215.8837898545898</v>
      </c>
      <c r="K290" s="9">
        <f t="shared" si="31"/>
        <v>684.56445696162996</v>
      </c>
      <c r="L290" s="10">
        <f t="shared" si="30"/>
        <v>0.21286977443690008</v>
      </c>
      <c r="M290" s="10">
        <f t="shared" si="34"/>
        <v>0.22028026756999561</v>
      </c>
      <c r="P290" s="8">
        <f t="shared" si="35"/>
        <v>30.72340759008469</v>
      </c>
    </row>
    <row r="291" spans="1:16" x14ac:dyDescent="0.2">
      <c r="A291" s="8">
        <v>144.5</v>
      </c>
      <c r="B291" s="8">
        <v>289</v>
      </c>
      <c r="D291">
        <v>3305.9853264857002</v>
      </c>
      <c r="E291">
        <v>796.61628760088001</v>
      </c>
      <c r="F291">
        <v>131.54618768328001</v>
      </c>
      <c r="G291">
        <v>113.28592375367</v>
      </c>
      <c r="I291" s="9">
        <f t="shared" si="32"/>
        <v>683.33036384721004</v>
      </c>
      <c r="J291" s="9">
        <f t="shared" si="33"/>
        <v>3174.4391388024201</v>
      </c>
      <c r="K291" s="9">
        <f t="shared" si="31"/>
        <v>683.33036384721004</v>
      </c>
      <c r="L291" s="10">
        <f t="shared" si="30"/>
        <v>0.21526018738069155</v>
      </c>
      <c r="M291" s="10">
        <f t="shared" si="34"/>
        <v>0.22269641139272142</v>
      </c>
      <c r="P291" s="8">
        <f t="shared" si="35"/>
        <v>32.15724711288302</v>
      </c>
    </row>
    <row r="292" spans="1:16" x14ac:dyDescent="0.2">
      <c r="A292" s="8">
        <v>145</v>
      </c>
      <c r="B292" s="8">
        <v>290</v>
      </c>
      <c r="D292">
        <v>3274.6544387381</v>
      </c>
      <c r="E292">
        <v>797.61995597945997</v>
      </c>
      <c r="F292">
        <v>131.44868035191001</v>
      </c>
      <c r="G292">
        <v>113.28739002933</v>
      </c>
      <c r="I292" s="9">
        <f>E292-G292</f>
        <v>684.33256595012995</v>
      </c>
      <c r="J292" s="9">
        <f>D292-F292</f>
        <v>3143.2057583861902</v>
      </c>
      <c r="K292" s="9">
        <f t="shared" si="31"/>
        <v>684.33256595012995</v>
      </c>
      <c r="L292" s="10">
        <f t="shared" si="30"/>
        <v>0.21771803011123442</v>
      </c>
      <c r="M292" s="10">
        <f>L292+ABS($N$2)*A292</f>
        <v>0.22517998500219866</v>
      </c>
      <c r="O292" s="11"/>
      <c r="P292" s="8">
        <f>(M292-$O$2)/$O$2*100</f>
        <v>33.631102255756886</v>
      </c>
    </row>
    <row r="293" spans="1:16" x14ac:dyDescent="0.2">
      <c r="A293" s="8">
        <v>145.5</v>
      </c>
      <c r="B293" s="8">
        <v>291</v>
      </c>
      <c r="D293">
        <v>3219.5788701393999</v>
      </c>
      <c r="E293">
        <v>777.19002201027001</v>
      </c>
      <c r="F293">
        <v>131.82331378299</v>
      </c>
      <c r="G293">
        <v>112.95234604106</v>
      </c>
      <c r="I293" s="9">
        <f t="shared" ref="I293:I301" si="36">E293-G293</f>
        <v>664.23767596921004</v>
      </c>
      <c r="J293" s="9">
        <f t="shared" ref="J293:J301" si="37">D293-F293</f>
        <v>3087.7555563564101</v>
      </c>
      <c r="K293" s="9">
        <f t="shared" si="31"/>
        <v>664.23767596921004</v>
      </c>
      <c r="L293" s="10">
        <f t="shared" si="30"/>
        <v>0.21511990306415923</v>
      </c>
      <c r="M293" s="10">
        <f t="shared" ref="M293:M301" si="38">L293+ABS($N$2)*A293</f>
        <v>0.22260758883405782</v>
      </c>
      <c r="P293" s="8">
        <f t="shared" ref="P293:P301" si="39">(M293-$O$2)/$O$2*100</f>
        <v>32.104536138507221</v>
      </c>
    </row>
    <row r="294" spans="1:16" x14ac:dyDescent="0.2">
      <c r="A294" s="8">
        <v>146</v>
      </c>
      <c r="B294" s="8">
        <v>292</v>
      </c>
      <c r="D294">
        <v>3237.2969208210998</v>
      </c>
      <c r="E294">
        <v>746.31011730205</v>
      </c>
      <c r="F294">
        <v>131.56378299119999</v>
      </c>
      <c r="G294">
        <v>113.05131964809</v>
      </c>
      <c r="I294" s="9">
        <f t="shared" si="36"/>
        <v>633.25879765395996</v>
      </c>
      <c r="J294" s="9">
        <f t="shared" si="37"/>
        <v>3105.7331378299</v>
      </c>
      <c r="K294" s="9">
        <f t="shared" si="31"/>
        <v>633.25879765395996</v>
      </c>
      <c r="L294" s="10">
        <f t="shared" si="30"/>
        <v>0.20389993909664861</v>
      </c>
      <c r="M294" s="10">
        <f t="shared" si="38"/>
        <v>0.21141335574548156</v>
      </c>
      <c r="N294" s="1"/>
      <c r="P294" s="8">
        <f t="shared" si="39"/>
        <v>25.461415940592186</v>
      </c>
    </row>
    <row r="295" spans="1:16" x14ac:dyDescent="0.2">
      <c r="A295" s="8">
        <v>146.5</v>
      </c>
      <c r="B295" s="8">
        <v>293</v>
      </c>
      <c r="D295">
        <v>3229.8357771260999</v>
      </c>
      <c r="E295">
        <v>732.00293255131999</v>
      </c>
      <c r="F295">
        <v>131.0491202346</v>
      </c>
      <c r="G295">
        <v>113.04472140763001</v>
      </c>
      <c r="I295" s="9">
        <f t="shared" si="36"/>
        <v>618.95821114368994</v>
      </c>
      <c r="J295" s="9">
        <f t="shared" si="37"/>
        <v>3098.7866568914997</v>
      </c>
      <c r="K295" s="9">
        <f t="shared" si="31"/>
        <v>618.95821114368994</v>
      </c>
      <c r="L295" s="10">
        <f t="shared" si="30"/>
        <v>0.19974211834401934</v>
      </c>
      <c r="M295" s="10">
        <f t="shared" si="38"/>
        <v>0.20728126587178666</v>
      </c>
      <c r="P295" s="8">
        <f t="shared" si="39"/>
        <v>23.009263168504962</v>
      </c>
    </row>
    <row r="296" spans="1:16" x14ac:dyDescent="0.2">
      <c r="A296" s="8">
        <v>147</v>
      </c>
      <c r="B296" s="8">
        <v>294</v>
      </c>
      <c r="D296">
        <v>3196.3328445748002</v>
      </c>
      <c r="E296">
        <v>712.47214076245996</v>
      </c>
      <c r="F296">
        <v>131.24266862170001</v>
      </c>
      <c r="G296">
        <v>113.20014662757001</v>
      </c>
      <c r="I296" s="9">
        <f t="shared" si="36"/>
        <v>599.27199413488995</v>
      </c>
      <c r="J296" s="9">
        <f t="shared" si="37"/>
        <v>3065.0901759531002</v>
      </c>
      <c r="K296" s="9">
        <f t="shared" si="31"/>
        <v>599.27199413488995</v>
      </c>
      <c r="L296" s="10">
        <f t="shared" si="30"/>
        <v>0.19551528983924404</v>
      </c>
      <c r="M296" s="10">
        <f t="shared" si="38"/>
        <v>0.20308016824594571</v>
      </c>
      <c r="P296" s="8">
        <f t="shared" si="39"/>
        <v>20.516158346512508</v>
      </c>
    </row>
    <row r="297" spans="1:16" x14ac:dyDescent="0.2">
      <c r="A297" s="8">
        <v>147.5</v>
      </c>
      <c r="B297" s="8">
        <v>295</v>
      </c>
      <c r="D297">
        <v>3200.1363636363999</v>
      </c>
      <c r="E297">
        <v>703.82184750732995</v>
      </c>
      <c r="F297">
        <v>131.10630498533999</v>
      </c>
      <c r="G297">
        <v>113.04032258065</v>
      </c>
      <c r="I297" s="9">
        <f t="shared" si="36"/>
        <v>590.78152492667994</v>
      </c>
      <c r="J297" s="9">
        <f t="shared" si="37"/>
        <v>3069.0300586510598</v>
      </c>
      <c r="K297" s="9">
        <f t="shared" si="31"/>
        <v>590.78152492667994</v>
      </c>
      <c r="L297" s="10">
        <f t="shared" si="30"/>
        <v>0.19249779690536753</v>
      </c>
      <c r="M297" s="10">
        <f t="shared" si="38"/>
        <v>0.20008840619100357</v>
      </c>
      <c r="P297" s="8">
        <f t="shared" si="39"/>
        <v>18.740723193672601</v>
      </c>
    </row>
    <row r="298" spans="1:16" x14ac:dyDescent="0.2">
      <c r="A298" s="8">
        <v>148</v>
      </c>
      <c r="B298" s="8">
        <v>296</v>
      </c>
      <c r="D298">
        <v>3199.6260997067002</v>
      </c>
      <c r="E298">
        <v>690.58577712609997</v>
      </c>
      <c r="F298">
        <v>131.24780058651001</v>
      </c>
      <c r="G298">
        <v>113.35630498534</v>
      </c>
      <c r="I298" s="9">
        <f t="shared" si="36"/>
        <v>577.22947214075998</v>
      </c>
      <c r="J298" s="9">
        <f t="shared" si="37"/>
        <v>3068.3782991201901</v>
      </c>
      <c r="K298" s="9">
        <f t="shared" si="31"/>
        <v>577.22947214075998</v>
      </c>
      <c r="L298" s="10">
        <f t="shared" si="30"/>
        <v>0.18812200317877087</v>
      </c>
      <c r="M298" s="10">
        <f t="shared" si="38"/>
        <v>0.19573834334334125</v>
      </c>
      <c r="P298" s="8">
        <f t="shared" si="39"/>
        <v>16.159216257302315</v>
      </c>
    </row>
    <row r="299" spans="1:16" x14ac:dyDescent="0.2">
      <c r="A299" s="8">
        <v>148.5</v>
      </c>
      <c r="B299" s="8">
        <v>297</v>
      </c>
      <c r="D299">
        <v>3185.2837243402</v>
      </c>
      <c r="E299">
        <v>685.98900293254997</v>
      </c>
      <c r="F299">
        <v>131.34237536657</v>
      </c>
      <c r="G299">
        <v>112.79692082111001</v>
      </c>
      <c r="I299" s="9">
        <f t="shared" si="36"/>
        <v>573.19208211143996</v>
      </c>
      <c r="J299" s="9">
        <f t="shared" si="37"/>
        <v>3053.9413489736298</v>
      </c>
      <c r="K299" s="9">
        <f t="shared" si="31"/>
        <v>573.19208211143996</v>
      </c>
      <c r="L299" s="10">
        <f t="shared" si="30"/>
        <v>0.18768928954843178</v>
      </c>
      <c r="M299" s="10">
        <f t="shared" si="38"/>
        <v>0.19533136059193654</v>
      </c>
      <c r="P299" s="8">
        <f t="shared" si="39"/>
        <v>15.917695885637128</v>
      </c>
    </row>
    <row r="300" spans="1:16" x14ac:dyDescent="0.2">
      <c r="A300" s="8">
        <v>149</v>
      </c>
      <c r="B300" s="8">
        <v>298</v>
      </c>
      <c r="D300">
        <v>3170.6818181817998</v>
      </c>
      <c r="E300">
        <v>673.03152492669005</v>
      </c>
      <c r="F300">
        <v>130.73607038123001</v>
      </c>
      <c r="G300">
        <v>113.10630498534</v>
      </c>
      <c r="I300" s="9">
        <f t="shared" si="36"/>
        <v>559.92521994135006</v>
      </c>
      <c r="J300" s="9">
        <f t="shared" si="37"/>
        <v>3039.9457478005697</v>
      </c>
      <c r="K300" s="9">
        <f t="shared" si="31"/>
        <v>559.92521994135006</v>
      </c>
      <c r="L300" s="10">
        <f t="shared" si="30"/>
        <v>0.18418921467478866</v>
      </c>
      <c r="M300" s="10">
        <f t="shared" si="38"/>
        <v>0.19185701659722776</v>
      </c>
      <c r="P300" s="8">
        <f t="shared" si="39"/>
        <v>13.855876680772761</v>
      </c>
    </row>
    <row r="301" spans="1:16" x14ac:dyDescent="0.2">
      <c r="A301" s="8">
        <v>149.5</v>
      </c>
      <c r="B301" s="8">
        <v>299</v>
      </c>
      <c r="D301">
        <v>3175.2375366568999</v>
      </c>
      <c r="E301">
        <v>669.82184750732995</v>
      </c>
      <c r="F301">
        <v>131.42741935484</v>
      </c>
      <c r="G301">
        <v>113.02639296188001</v>
      </c>
      <c r="I301" s="9">
        <f t="shared" si="36"/>
        <v>556.79545454544996</v>
      </c>
      <c r="J301" s="9">
        <f t="shared" si="37"/>
        <v>3043.81011730206</v>
      </c>
      <c r="K301" s="9">
        <f t="shared" si="31"/>
        <v>556.79545454544996</v>
      </c>
      <c r="L301" s="10">
        <f t="shared" si="30"/>
        <v>0.18292713181431186</v>
      </c>
      <c r="M301" s="10">
        <f t="shared" si="38"/>
        <v>0.19062066461568533</v>
      </c>
      <c r="P301" s="8">
        <f t="shared" si="39"/>
        <v>13.122174357859864</v>
      </c>
    </row>
    <row r="302" spans="1:16" x14ac:dyDescent="0.2">
      <c r="A302" s="8">
        <v>150</v>
      </c>
      <c r="B302" s="8">
        <v>300</v>
      </c>
      <c r="D302">
        <v>3166.1224340176</v>
      </c>
      <c r="E302">
        <v>658.64516129031995</v>
      </c>
      <c r="F302">
        <v>131.15029325513001</v>
      </c>
      <c r="G302">
        <v>113.14589442815</v>
      </c>
      <c r="I302" s="9">
        <f>E302-G302</f>
        <v>545.49926686216997</v>
      </c>
      <c r="J302" s="9">
        <f>D302-F302</f>
        <v>3034.9721407624702</v>
      </c>
      <c r="K302" s="9">
        <f t="shared" si="31"/>
        <v>545.49926686216997</v>
      </c>
      <c r="L302" s="10">
        <f t="shared" si="30"/>
        <v>0.17973781687667328</v>
      </c>
      <c r="M302" s="10">
        <f>L302+ABS($N$2)*A302</f>
        <v>0.18745708055698113</v>
      </c>
      <c r="O302" s="11"/>
      <c r="P302" s="8">
        <f>(M302-$O$2)/$O$2*100</f>
        <v>11.244772932332387</v>
      </c>
    </row>
    <row r="303" spans="1:16" x14ac:dyDescent="0.2">
      <c r="A303" s="8">
        <v>150.5</v>
      </c>
      <c r="B303" s="8">
        <v>301</v>
      </c>
      <c r="D303">
        <v>3153.9824046920999</v>
      </c>
      <c r="E303">
        <v>653.72067448680002</v>
      </c>
      <c r="F303">
        <v>131.24560117301999</v>
      </c>
      <c r="G303">
        <v>113.20014662757001</v>
      </c>
      <c r="I303" s="9">
        <f t="shared" ref="I303:I309" si="40">E303-G303</f>
        <v>540.52052785923001</v>
      </c>
      <c r="J303" s="9">
        <f t="shared" ref="J303:J309" si="41">D303-F303</f>
        <v>3022.7368035190798</v>
      </c>
      <c r="K303" s="9">
        <f t="shared" si="31"/>
        <v>540.52052785923001</v>
      </c>
      <c r="L303" s="10">
        <f t="shared" si="30"/>
        <v>0.17881825742484569</v>
      </c>
      <c r="M303" s="10">
        <f t="shared" ref="M303:M309" si="42">L303+ABS($N$2)*A303</f>
        <v>0.18656325198408788</v>
      </c>
      <c r="P303" s="8">
        <f t="shared" ref="P303:P309" si="43">(M303-$O$2)/$O$2*100</f>
        <v>10.71433814514538</v>
      </c>
    </row>
    <row r="304" spans="1:16" x14ac:dyDescent="0.2">
      <c r="A304" s="8">
        <v>151</v>
      </c>
      <c r="B304" s="8">
        <v>302</v>
      </c>
      <c r="D304">
        <v>3200.6286549708002</v>
      </c>
      <c r="E304">
        <v>662.80628654970997</v>
      </c>
      <c r="F304">
        <v>131.21041055718999</v>
      </c>
      <c r="G304">
        <v>112.98313782991001</v>
      </c>
      <c r="I304" s="9">
        <f t="shared" si="40"/>
        <v>549.82314871979997</v>
      </c>
      <c r="J304" s="9">
        <f t="shared" si="41"/>
        <v>3069.4182444136104</v>
      </c>
      <c r="K304" s="9">
        <f t="shared" si="31"/>
        <v>549.82314871979997</v>
      </c>
      <c r="L304" s="10">
        <f t="shared" si="30"/>
        <v>0.17912943266056583</v>
      </c>
      <c r="M304" s="10">
        <f t="shared" si="42"/>
        <v>0.18690015809874239</v>
      </c>
      <c r="N304" s="1"/>
      <c r="P304" s="8">
        <f t="shared" si="43"/>
        <v>10.914272146639991</v>
      </c>
    </row>
    <row r="305" spans="1:16" x14ac:dyDescent="0.2">
      <c r="A305" s="8">
        <v>151.5</v>
      </c>
      <c r="B305" s="8">
        <v>303</v>
      </c>
      <c r="D305">
        <v>3187.4532163743002</v>
      </c>
      <c r="E305">
        <v>654.32967836257001</v>
      </c>
      <c r="F305">
        <v>131.1715542522</v>
      </c>
      <c r="G305">
        <v>113.01539589443</v>
      </c>
      <c r="I305" s="9">
        <f t="shared" si="40"/>
        <v>541.31428246814005</v>
      </c>
      <c r="J305" s="9">
        <f t="shared" si="41"/>
        <v>3056.2816621221</v>
      </c>
      <c r="K305" s="9">
        <f t="shared" si="31"/>
        <v>541.31428246814005</v>
      </c>
      <c r="L305" s="10">
        <f t="shared" si="30"/>
        <v>0.177115312759585</v>
      </c>
      <c r="M305" s="10">
        <f t="shared" si="42"/>
        <v>0.1849117690766959</v>
      </c>
      <c r="P305" s="8">
        <f t="shared" si="43"/>
        <v>9.7342799873602761</v>
      </c>
    </row>
    <row r="306" spans="1:16" x14ac:dyDescent="0.2">
      <c r="A306" s="8">
        <v>152</v>
      </c>
      <c r="B306" s="8">
        <v>304</v>
      </c>
      <c r="D306">
        <v>3185.0804093566999</v>
      </c>
      <c r="E306">
        <v>657.25584795322004</v>
      </c>
      <c r="F306">
        <v>131.04618768328001</v>
      </c>
      <c r="G306">
        <v>112.85703812317</v>
      </c>
      <c r="I306" s="9">
        <f t="shared" si="40"/>
        <v>544.39880983005003</v>
      </c>
      <c r="J306" s="9">
        <f t="shared" si="41"/>
        <v>3054.0342216734198</v>
      </c>
      <c r="K306" s="9">
        <f t="shared" si="31"/>
        <v>544.39880983005003</v>
      </c>
      <c r="L306" s="10">
        <f t="shared" si="30"/>
        <v>0.17825563510933859</v>
      </c>
      <c r="M306" s="10">
        <f t="shared" si="42"/>
        <v>0.18607782230538386</v>
      </c>
      <c r="P306" s="8">
        <f t="shared" si="43"/>
        <v>10.426264127233695</v>
      </c>
    </row>
    <row r="307" spans="1:16" x14ac:dyDescent="0.2">
      <c r="A307" s="8">
        <v>152.5</v>
      </c>
      <c r="B307" s="8">
        <v>305</v>
      </c>
      <c r="D307">
        <v>3190.7982456139998</v>
      </c>
      <c r="E307">
        <v>652.53435672515002</v>
      </c>
      <c r="F307">
        <v>131.21700879765001</v>
      </c>
      <c r="G307">
        <v>113.10997067449</v>
      </c>
      <c r="I307" s="9">
        <f t="shared" si="40"/>
        <v>539.42438605066002</v>
      </c>
      <c r="J307" s="9">
        <f t="shared" si="41"/>
        <v>3059.5812368163497</v>
      </c>
      <c r="K307" s="9">
        <f t="shared" si="31"/>
        <v>539.42438605066002</v>
      </c>
      <c r="L307" s="10">
        <f t="shared" si="30"/>
        <v>0.17630660678647597</v>
      </c>
      <c r="M307" s="10">
        <f t="shared" si="42"/>
        <v>0.18415452486145559</v>
      </c>
      <c r="P307" s="8">
        <f t="shared" si="43"/>
        <v>9.2848999984666314</v>
      </c>
    </row>
    <row r="308" spans="1:16" x14ac:dyDescent="0.2">
      <c r="A308" s="8">
        <v>153</v>
      </c>
      <c r="B308" s="8">
        <v>306</v>
      </c>
      <c r="D308">
        <v>3193.1388888889001</v>
      </c>
      <c r="E308">
        <v>647.24122807018</v>
      </c>
      <c r="F308">
        <v>131.29618768328001</v>
      </c>
      <c r="G308">
        <v>112.62316715543</v>
      </c>
      <c r="I308" s="9">
        <f t="shared" si="40"/>
        <v>534.61806091475</v>
      </c>
      <c r="J308" s="9">
        <f t="shared" si="41"/>
        <v>3061.84270120562</v>
      </c>
      <c r="K308" s="9">
        <f t="shared" si="31"/>
        <v>534.61806091475</v>
      </c>
      <c r="L308" s="10">
        <f t="shared" si="30"/>
        <v>0.17460663825226577</v>
      </c>
      <c r="M308" s="10">
        <f t="shared" si="42"/>
        <v>0.18248028720617976</v>
      </c>
      <c r="P308" s="8">
        <f t="shared" si="43"/>
        <v>8.2913382335947752</v>
      </c>
    </row>
    <row r="309" spans="1:16" x14ac:dyDescent="0.2">
      <c r="A309" s="8">
        <v>153.5</v>
      </c>
      <c r="B309" s="8">
        <v>307</v>
      </c>
      <c r="D309">
        <v>3288.0153508772</v>
      </c>
      <c r="E309">
        <v>657.98903508772003</v>
      </c>
      <c r="F309">
        <v>131.24340175953</v>
      </c>
      <c r="G309">
        <v>113.11803519062001</v>
      </c>
      <c r="I309" s="9">
        <f t="shared" si="40"/>
        <v>544.87099989709998</v>
      </c>
      <c r="J309" s="9">
        <f t="shared" si="41"/>
        <v>3156.7719491176699</v>
      </c>
      <c r="K309" s="9">
        <f t="shared" si="31"/>
        <v>544.87099989709998</v>
      </c>
      <c r="L309" s="10">
        <f t="shared" si="30"/>
        <v>0.17260385250489618</v>
      </c>
      <c r="M309" s="10">
        <f t="shared" si="42"/>
        <v>0.18050323233774454</v>
      </c>
      <c r="P309" s="8">
        <f t="shared" si="43"/>
        <v>7.1180722291293739</v>
      </c>
    </row>
    <row r="310" spans="1:16" x14ac:dyDescent="0.2">
      <c r="A310" s="8">
        <v>154</v>
      </c>
      <c r="B310" s="8">
        <v>308</v>
      </c>
      <c r="D310">
        <v>3410.8347953215998</v>
      </c>
      <c r="E310">
        <v>670.18786549708</v>
      </c>
      <c r="F310">
        <v>131.42302052785999</v>
      </c>
      <c r="G310">
        <v>112.65689149559999</v>
      </c>
      <c r="I310" s="9">
        <f>E310-G310</f>
        <v>557.53097400147999</v>
      </c>
      <c r="J310" s="9">
        <f>D310-F310</f>
        <v>3279.4117747937398</v>
      </c>
      <c r="K310" s="9">
        <f t="shared" si="31"/>
        <v>557.53097400147999</v>
      </c>
      <c r="L310" s="10">
        <f t="shared" si="30"/>
        <v>0.17000944446402927</v>
      </c>
      <c r="M310" s="10">
        <f>L310+ABS($N$2)*A310</f>
        <v>0.17793455517581197</v>
      </c>
      <c r="O310" s="11"/>
      <c r="P310" s="8">
        <f>(M310-$O$2)/$O$2*100</f>
        <v>5.5937131237457969</v>
      </c>
    </row>
    <row r="311" spans="1:16" x14ac:dyDescent="0.2">
      <c r="A311" s="8">
        <v>154.5</v>
      </c>
      <c r="B311" s="8">
        <v>309</v>
      </c>
      <c r="D311">
        <v>3474.7887740030001</v>
      </c>
      <c r="E311">
        <v>670.35524372229997</v>
      </c>
      <c r="F311">
        <v>131.13856304985001</v>
      </c>
      <c r="G311">
        <v>113.36217008798</v>
      </c>
      <c r="I311" s="9">
        <f t="shared" ref="I311:I319" si="44">E311-G311</f>
        <v>556.99307363432001</v>
      </c>
      <c r="J311" s="9">
        <f t="shared" ref="J311:J319" si="45">D311-F311</f>
        <v>3343.6502109531502</v>
      </c>
      <c r="K311" s="9">
        <f t="shared" si="31"/>
        <v>556.99307363432001</v>
      </c>
      <c r="L311" s="10">
        <f t="shared" si="30"/>
        <v>0.1665823392081261</v>
      </c>
      <c r="M311" s="10">
        <f t="shared" ref="M311:M319" si="46">L311+ABS($N$2)*A311</f>
        <v>0.17453318079884317</v>
      </c>
      <c r="P311" s="8">
        <f t="shared" ref="P311:P319" si="47">(M311-$O$2)/$O$2*100</f>
        <v>3.5751971034414556</v>
      </c>
    </row>
    <row r="312" spans="1:16" x14ac:dyDescent="0.2">
      <c r="A312" s="8">
        <v>155</v>
      </c>
      <c r="B312" s="8">
        <v>310</v>
      </c>
      <c r="D312">
        <v>3543.8259911894002</v>
      </c>
      <c r="E312">
        <v>679.76798825257004</v>
      </c>
      <c r="F312">
        <v>131.78225806451999</v>
      </c>
      <c r="G312">
        <v>112.88856304985001</v>
      </c>
      <c r="I312" s="9">
        <f t="shared" si="44"/>
        <v>566.87942520272009</v>
      </c>
      <c r="J312" s="9">
        <f t="shared" si="45"/>
        <v>3412.04373312488</v>
      </c>
      <c r="K312" s="9">
        <f t="shared" si="31"/>
        <v>566.87942520272009</v>
      </c>
      <c r="L312" s="10">
        <f t="shared" si="30"/>
        <v>0.16614072665579532</v>
      </c>
      <c r="M312" s="10">
        <f t="shared" si="46"/>
        <v>0.17411729912544674</v>
      </c>
      <c r="N312" s="1"/>
      <c r="P312" s="8">
        <f t="shared" si="47"/>
        <v>3.3283957439716483</v>
      </c>
    </row>
    <row r="313" spans="1:16" x14ac:dyDescent="0.2">
      <c r="A313" s="8">
        <v>155.5</v>
      </c>
      <c r="B313" s="8">
        <v>311</v>
      </c>
      <c r="D313">
        <v>3527.4647577093001</v>
      </c>
      <c r="E313">
        <v>741.04992657855996</v>
      </c>
      <c r="F313">
        <v>131.57624633431001</v>
      </c>
      <c r="G313">
        <v>112.92961876833</v>
      </c>
      <c r="I313" s="9">
        <f t="shared" si="44"/>
        <v>628.12030781022997</v>
      </c>
      <c r="J313" s="9">
        <f t="shared" si="45"/>
        <v>3395.8885113749902</v>
      </c>
      <c r="K313" s="9">
        <f t="shared" si="31"/>
        <v>628.12030781022997</v>
      </c>
      <c r="L313" s="10">
        <f t="shared" si="30"/>
        <v>0.18496493795548813</v>
      </c>
      <c r="M313" s="10">
        <f t="shared" si="46"/>
        <v>0.19296724130407392</v>
      </c>
      <c r="P313" s="8">
        <f t="shared" si="47"/>
        <v>14.514729870260174</v>
      </c>
    </row>
    <row r="314" spans="1:16" x14ac:dyDescent="0.2">
      <c r="A314" s="8">
        <v>156</v>
      </c>
      <c r="B314" s="8">
        <v>312</v>
      </c>
      <c r="D314">
        <v>3608.7635829661999</v>
      </c>
      <c r="E314">
        <v>736.75330396475999</v>
      </c>
      <c r="F314">
        <v>131.50366568915001</v>
      </c>
      <c r="G314">
        <v>112.89076246334</v>
      </c>
      <c r="I314" s="9">
        <f t="shared" si="44"/>
        <v>623.86254150141997</v>
      </c>
      <c r="J314" s="9">
        <f t="shared" si="45"/>
        <v>3477.2599172770497</v>
      </c>
      <c r="K314" s="9">
        <f t="shared" si="31"/>
        <v>623.86254150141997</v>
      </c>
      <c r="L314" s="10">
        <f t="shared" si="30"/>
        <v>0.17941211078346719</v>
      </c>
      <c r="M314" s="10">
        <f t="shared" si="46"/>
        <v>0.18744014501098732</v>
      </c>
      <c r="P314" s="8">
        <f t="shared" si="47"/>
        <v>11.234722679960123</v>
      </c>
    </row>
    <row r="315" spans="1:16" x14ac:dyDescent="0.2">
      <c r="A315" s="8">
        <v>156.5</v>
      </c>
      <c r="B315" s="8">
        <v>313</v>
      </c>
      <c r="D315">
        <v>3532.1850220264</v>
      </c>
      <c r="E315">
        <v>710.66446402350005</v>
      </c>
      <c r="F315">
        <v>131.58211143694999</v>
      </c>
      <c r="G315">
        <v>113.0219941349</v>
      </c>
      <c r="I315" s="9">
        <f t="shared" si="44"/>
        <v>597.64246988860009</v>
      </c>
      <c r="J315" s="9">
        <f t="shared" si="45"/>
        <v>3400.6029105894499</v>
      </c>
      <c r="K315" s="9">
        <f t="shared" si="31"/>
        <v>597.64246988860009</v>
      </c>
      <c r="L315" s="10">
        <f t="shared" si="30"/>
        <v>0.17574603257191432</v>
      </c>
      <c r="M315" s="10">
        <f t="shared" si="46"/>
        <v>0.18379979767836882</v>
      </c>
      <c r="P315" s="8">
        <f t="shared" si="47"/>
        <v>9.0743902390157594</v>
      </c>
    </row>
    <row r="316" spans="1:16" x14ac:dyDescent="0.2">
      <c r="A316" s="8">
        <v>157</v>
      </c>
      <c r="B316" s="8">
        <v>314</v>
      </c>
      <c r="D316">
        <v>3515.8524229075001</v>
      </c>
      <c r="E316">
        <v>691.94860499265997</v>
      </c>
      <c r="F316">
        <v>131.38269794721</v>
      </c>
      <c r="G316">
        <v>112.90175953079</v>
      </c>
      <c r="I316" s="9">
        <f t="shared" si="44"/>
        <v>579.04684546186991</v>
      </c>
      <c r="J316" s="9">
        <f t="shared" si="45"/>
        <v>3384.46972496029</v>
      </c>
      <c r="K316" s="9">
        <f t="shared" si="31"/>
        <v>579.04684546186991</v>
      </c>
      <c r="L316" s="10">
        <f t="shared" si="30"/>
        <v>0.171089385492631</v>
      </c>
      <c r="M316" s="10">
        <f t="shared" si="46"/>
        <v>0.17916888147801988</v>
      </c>
      <c r="P316" s="8">
        <f t="shared" si="47"/>
        <v>6.3262133248880277</v>
      </c>
    </row>
    <row r="317" spans="1:16" x14ac:dyDescent="0.2">
      <c r="A317" s="8">
        <v>157.5</v>
      </c>
      <c r="B317" s="8">
        <v>315</v>
      </c>
      <c r="D317">
        <v>3563.3142437592001</v>
      </c>
      <c r="E317">
        <v>688.76725403818</v>
      </c>
      <c r="F317">
        <v>131.49413489736</v>
      </c>
      <c r="G317">
        <v>113.03005865103</v>
      </c>
      <c r="I317" s="9">
        <f t="shared" si="44"/>
        <v>575.73719538715</v>
      </c>
      <c r="J317" s="9">
        <f t="shared" si="45"/>
        <v>3431.8201088618403</v>
      </c>
      <c r="K317" s="9">
        <f t="shared" si="31"/>
        <v>575.73719538715</v>
      </c>
      <c r="L317" s="10">
        <f t="shared" si="30"/>
        <v>0.16776438657155973</v>
      </c>
      <c r="M317" s="10">
        <f t="shared" si="46"/>
        <v>0.17586961343588295</v>
      </c>
      <c r="P317" s="8">
        <f t="shared" si="47"/>
        <v>4.3682914203118024</v>
      </c>
    </row>
    <row r="318" spans="1:16" x14ac:dyDescent="0.2">
      <c r="A318" s="8">
        <v>158</v>
      </c>
      <c r="B318" s="8">
        <v>316</v>
      </c>
      <c r="D318">
        <v>3504.637298091</v>
      </c>
      <c r="E318">
        <v>676.32085168869003</v>
      </c>
      <c r="F318">
        <v>131.42595307918</v>
      </c>
      <c r="G318">
        <v>112.72653958943999</v>
      </c>
      <c r="I318" s="9">
        <f t="shared" si="44"/>
        <v>563.59431209925003</v>
      </c>
      <c r="J318" s="9">
        <f t="shared" si="45"/>
        <v>3373.21134501182</v>
      </c>
      <c r="K318" s="9">
        <f t="shared" si="31"/>
        <v>563.59431209925003</v>
      </c>
      <c r="L318" s="10">
        <f t="shared" si="30"/>
        <v>0.16707945469609323</v>
      </c>
      <c r="M318" s="10">
        <f t="shared" si="46"/>
        <v>0.17521041243935082</v>
      </c>
      <c r="P318" s="8">
        <f t="shared" si="47"/>
        <v>3.9770943262458172</v>
      </c>
    </row>
    <row r="319" spans="1:16" x14ac:dyDescent="0.2">
      <c r="A319" s="8">
        <v>158.5</v>
      </c>
      <c r="B319" s="8">
        <v>317</v>
      </c>
      <c r="D319">
        <v>3449.4324522760999</v>
      </c>
      <c r="E319">
        <v>673.03230543319</v>
      </c>
      <c r="F319">
        <v>131.69941348974001</v>
      </c>
      <c r="G319">
        <v>112.9215542522</v>
      </c>
      <c r="I319" s="9">
        <f t="shared" si="44"/>
        <v>560.11075118099006</v>
      </c>
      <c r="J319" s="9">
        <f t="shared" si="45"/>
        <v>3317.7330387863599</v>
      </c>
      <c r="K319" s="9">
        <f t="shared" si="31"/>
        <v>560.11075118099006</v>
      </c>
      <c r="L319" s="10">
        <f t="shared" si="30"/>
        <v>0.16882333347287062</v>
      </c>
      <c r="M319" s="10">
        <f t="shared" si="46"/>
        <v>0.17698002209506256</v>
      </c>
      <c r="P319" s="8">
        <f t="shared" si="47"/>
        <v>5.0272537747104815</v>
      </c>
    </row>
    <row r="320" spans="1:16" x14ac:dyDescent="0.2">
      <c r="A320" s="8">
        <v>159</v>
      </c>
      <c r="B320" s="8">
        <v>318</v>
      </c>
      <c r="D320">
        <v>3510.4512105649001</v>
      </c>
      <c r="E320">
        <v>675.62729273661</v>
      </c>
      <c r="F320">
        <v>131.37976539588999</v>
      </c>
      <c r="G320">
        <v>112.75806451613001</v>
      </c>
      <c r="I320" s="9">
        <f>E320-G320</f>
        <v>562.86922822047995</v>
      </c>
      <c r="J320" s="9">
        <f>D320-F320</f>
        <v>3379.0714451690101</v>
      </c>
      <c r="K320" s="9">
        <f t="shared" si="31"/>
        <v>562.86922822047995</v>
      </c>
      <c r="L320" s="10">
        <f t="shared" si="30"/>
        <v>0.16657511903904923</v>
      </c>
      <c r="M320" s="10">
        <f>L320+ABS($N$2)*A320</f>
        <v>0.17475753854017553</v>
      </c>
      <c r="O320" s="11"/>
      <c r="P320" s="8">
        <f>(M320-$O$2)/$O$2*100</f>
        <v>3.7083402523477105</v>
      </c>
    </row>
    <row r="321" spans="1:16" x14ac:dyDescent="0.2">
      <c r="A321" s="8">
        <v>159.5</v>
      </c>
      <c r="B321" s="8">
        <v>319</v>
      </c>
      <c r="D321">
        <v>3522.1702127660001</v>
      </c>
      <c r="E321">
        <v>664.45414526778995</v>
      </c>
      <c r="F321">
        <v>130.81451612903001</v>
      </c>
      <c r="G321">
        <v>113.06231671554001</v>
      </c>
      <c r="I321" s="9">
        <f t="shared" ref="I321" si="48">E321-G321</f>
        <v>551.39182855224999</v>
      </c>
      <c r="J321" s="9">
        <f t="shared" ref="J321" si="49">D321-F321</f>
        <v>3391.3556966369702</v>
      </c>
      <c r="K321" s="9">
        <f t="shared" si="31"/>
        <v>551.39182855224999</v>
      </c>
      <c r="L321" s="10">
        <f t="shared" si="30"/>
        <v>0.16258743637508632</v>
      </c>
      <c r="M321" s="10">
        <f t="shared" ref="M321" si="50">L321+ABS($N$2)*A321</f>
        <v>0.17079558675514697</v>
      </c>
      <c r="P321" s="8">
        <f t="shared" ref="P321" si="51">(M321-$O$2)/$O$2*100</f>
        <v>1.3571544481903792</v>
      </c>
    </row>
    <row r="322" spans="1:16" x14ac:dyDescent="0.2">
      <c r="A322" s="8">
        <v>160</v>
      </c>
      <c r="D322">
        <v>3616.2538293216999</v>
      </c>
      <c r="E322">
        <v>679.72501823487005</v>
      </c>
      <c r="F322">
        <v>131.53812316715999</v>
      </c>
      <c r="G322">
        <v>112.91348973607001</v>
      </c>
      <c r="I322" s="9">
        <f t="shared" ref="I322" si="52">E322-G322</f>
        <v>566.81152849880004</v>
      </c>
      <c r="J322" s="9">
        <f t="shared" ref="J322" si="53">D322-F322</f>
        <v>3484.7157061545399</v>
      </c>
      <c r="K322" s="9">
        <f t="shared" ref="K322" si="54">I322*1</f>
        <v>566.81152849880004</v>
      </c>
      <c r="L322" s="10">
        <f t="shared" ref="L322" si="55">K322/J322</f>
        <v>0.1626564621893615</v>
      </c>
      <c r="M322" s="10">
        <f t="shared" ref="M322" si="56">L322+ABS($N$2)*A322</f>
        <v>0.17089034344835652</v>
      </c>
      <c r="P322" s="8">
        <f t="shared" ref="P322" si="57">(M322-$O$2)/$O$2*100</f>
        <v>1.4133869830649981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7FFF5-28DE-444B-BB66-E226CACA11C0}">
  <dimension ref="A1:Y798"/>
  <sheetViews>
    <sheetView topLeftCell="E1" zoomScale="75" zoomScaleNormal="70" workbookViewId="0">
      <selection activeCell="N2" sqref="N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2705.7143589744001</v>
      </c>
      <c r="E2">
        <v>573.04102564103005</v>
      </c>
      <c r="F2">
        <v>117.24509803922</v>
      </c>
      <c r="G2">
        <v>106.62435500516</v>
      </c>
      <c r="H2" s="4"/>
      <c r="I2" s="5">
        <f>E2-G2</f>
        <v>466.41667063587005</v>
      </c>
      <c r="J2" s="5">
        <f>D2-F2</f>
        <v>2588.46926093518</v>
      </c>
      <c r="K2" s="9">
        <f>I2*1</f>
        <v>466.41667063587005</v>
      </c>
      <c r="L2" s="6">
        <f t="shared" ref="L2:L65" si="0">K2/J2</f>
        <v>0.1801901524097527</v>
      </c>
      <c r="M2" s="6">
        <f>L2+ABS($N$2)*A2</f>
        <v>0.1801901524097527</v>
      </c>
      <c r="N2" s="4">
        <f>LINEST(V64:V103,U64:U103)</f>
        <v>3.3297723316413539E-4</v>
      </c>
      <c r="O2" s="7">
        <f>AVERAGE(M62:M81)</f>
        <v>0.17328036111601083</v>
      </c>
      <c r="P2" s="4">
        <f>(M2-$O$2)/$O$2*100</f>
        <v>3.9876367115346514</v>
      </c>
    </row>
    <row r="3" spans="1:16" x14ac:dyDescent="0.2">
      <c r="A3" s="8">
        <v>0.5</v>
      </c>
      <c r="B3" s="8">
        <v>1</v>
      </c>
      <c r="D3">
        <v>2702.6707692308</v>
      </c>
      <c r="E3">
        <v>571.47025641026005</v>
      </c>
      <c r="F3">
        <v>117.03302373581</v>
      </c>
      <c r="G3">
        <v>106.68575851393</v>
      </c>
      <c r="I3" s="9">
        <f t="shared" ref="I3:I66" si="1">E3-G3</f>
        <v>464.78449789633004</v>
      </c>
      <c r="J3" s="9">
        <f t="shared" ref="J3:J66" si="2">D3-F3</f>
        <v>2585.6377454949902</v>
      </c>
      <c r="K3" s="9">
        <f t="shared" ref="K3:K66" si="3">I3*1</f>
        <v>464.78449789633004</v>
      </c>
      <c r="L3" s="10">
        <f t="shared" si="0"/>
        <v>0.1797562317869677</v>
      </c>
      <c r="M3" s="10">
        <f t="shared" ref="M3:M66" si="4">L3+ABS($N$2)*A3</f>
        <v>0.17992272040354976</v>
      </c>
      <c r="P3" s="8">
        <f t="shared" ref="P3:P66" si="5">(M3-$O$2)/$O$2*100</f>
        <v>3.8333018495338189</v>
      </c>
    </row>
    <row r="4" spans="1:16" ht="16" x14ac:dyDescent="0.2">
      <c r="A4" s="8">
        <v>1</v>
      </c>
      <c r="B4" s="8">
        <v>2</v>
      </c>
      <c r="D4">
        <v>2699.0682051282001</v>
      </c>
      <c r="E4">
        <v>568.73435897436002</v>
      </c>
      <c r="F4">
        <v>117.30237358101</v>
      </c>
      <c r="G4">
        <v>106.64757481940001</v>
      </c>
      <c r="I4" s="9">
        <f t="shared" si="1"/>
        <v>462.08678415496001</v>
      </c>
      <c r="J4" s="9">
        <f t="shared" si="2"/>
        <v>2581.7658315471899</v>
      </c>
      <c r="K4" s="9">
        <f t="shared" si="3"/>
        <v>462.08678415496001</v>
      </c>
      <c r="L4" s="10">
        <f t="shared" si="0"/>
        <v>0.17898090466169139</v>
      </c>
      <c r="M4" s="10">
        <f t="shared" si="4"/>
        <v>0.17931388189485553</v>
      </c>
      <c r="N4" s="1" t="s">
        <v>7</v>
      </c>
      <c r="P4" s="8">
        <f t="shared" si="5"/>
        <v>3.4819414848779475</v>
      </c>
    </row>
    <row r="5" spans="1:16" x14ac:dyDescent="0.2">
      <c r="A5" s="8">
        <v>1.5</v>
      </c>
      <c r="B5" s="8">
        <v>3</v>
      </c>
      <c r="D5">
        <v>2706.1558974359</v>
      </c>
      <c r="E5">
        <v>565.76923076923003</v>
      </c>
      <c r="F5">
        <v>117.25541795666</v>
      </c>
      <c r="G5">
        <v>106.64344685243</v>
      </c>
      <c r="I5" s="9">
        <f t="shared" si="1"/>
        <v>459.12578391680006</v>
      </c>
      <c r="J5" s="9">
        <f t="shared" si="2"/>
        <v>2588.9004794792399</v>
      </c>
      <c r="K5" s="9">
        <f t="shared" si="3"/>
        <v>459.12578391680006</v>
      </c>
      <c r="L5" s="10">
        <f t="shared" si="0"/>
        <v>0.1773439294233333</v>
      </c>
      <c r="M5" s="10">
        <f t="shared" si="4"/>
        <v>0.17784339527307949</v>
      </c>
      <c r="N5" s="8">
        <f>RSQ(V64:V83,U64:U83)</f>
        <v>0.42787935278967121</v>
      </c>
      <c r="P5" s="8">
        <f t="shared" si="5"/>
        <v>2.6333244735182166</v>
      </c>
    </row>
    <row r="6" spans="1:16" x14ac:dyDescent="0.2">
      <c r="A6" s="8">
        <v>2</v>
      </c>
      <c r="B6" s="8">
        <v>4</v>
      </c>
      <c r="D6">
        <v>2719.9738461539</v>
      </c>
      <c r="E6">
        <v>566.94410256410004</v>
      </c>
      <c r="F6">
        <v>117.40196078431001</v>
      </c>
      <c r="G6">
        <v>106.80701754386</v>
      </c>
      <c r="I6" s="9">
        <f t="shared" si="1"/>
        <v>460.13708502024002</v>
      </c>
      <c r="J6" s="9">
        <f t="shared" si="2"/>
        <v>2602.5718853695898</v>
      </c>
      <c r="K6" s="9">
        <f t="shared" si="3"/>
        <v>460.13708502024002</v>
      </c>
      <c r="L6" s="10">
        <f t="shared" si="0"/>
        <v>0.1768009128227773</v>
      </c>
      <c r="M6" s="10">
        <f t="shared" si="4"/>
        <v>0.17746686728910557</v>
      </c>
      <c r="P6" s="8">
        <f t="shared" si="5"/>
        <v>2.4160303834384802</v>
      </c>
    </row>
    <row r="7" spans="1:16" x14ac:dyDescent="0.2">
      <c r="A7" s="8">
        <v>2.5</v>
      </c>
      <c r="B7" s="8">
        <v>5</v>
      </c>
      <c r="D7">
        <v>2704.8092307692</v>
      </c>
      <c r="E7">
        <v>564.11538461538998</v>
      </c>
      <c r="F7">
        <v>117.44169246646</v>
      </c>
      <c r="G7">
        <v>106.84674922601</v>
      </c>
      <c r="I7" s="9">
        <f t="shared" si="1"/>
        <v>457.26863538937999</v>
      </c>
      <c r="J7" s="9">
        <f t="shared" si="2"/>
        <v>2587.3675383027398</v>
      </c>
      <c r="K7" s="9">
        <f t="shared" si="3"/>
        <v>457.26863538937999</v>
      </c>
      <c r="L7" s="10">
        <f t="shared" si="0"/>
        <v>0.1767312253168867</v>
      </c>
      <c r="M7" s="10">
        <f t="shared" si="4"/>
        <v>0.17756366839979704</v>
      </c>
      <c r="P7" s="8">
        <f t="shared" si="5"/>
        <v>2.471894250565728</v>
      </c>
    </row>
    <row r="8" spans="1:16" x14ac:dyDescent="0.2">
      <c r="A8" s="8">
        <v>3</v>
      </c>
      <c r="B8" s="8">
        <v>6</v>
      </c>
      <c r="D8">
        <v>2693.4579487179999</v>
      </c>
      <c r="E8">
        <v>557.75538461538997</v>
      </c>
      <c r="F8">
        <v>117.36790505675999</v>
      </c>
      <c r="G8">
        <v>106.65892672859</v>
      </c>
      <c r="I8" s="9">
        <f t="shared" si="1"/>
        <v>451.09645788679995</v>
      </c>
      <c r="J8" s="9">
        <f t="shared" si="2"/>
        <v>2576.0900436612401</v>
      </c>
      <c r="K8" s="9">
        <f t="shared" si="3"/>
        <v>451.09645788679995</v>
      </c>
      <c r="L8" s="10">
        <f t="shared" si="0"/>
        <v>0.17510896367802578</v>
      </c>
      <c r="M8" s="10">
        <f t="shared" si="4"/>
        <v>0.1761078953775182</v>
      </c>
      <c r="P8" s="8">
        <f t="shared" si="5"/>
        <v>1.6317684492903013</v>
      </c>
    </row>
    <row r="9" spans="1:16" x14ac:dyDescent="0.2">
      <c r="A9" s="8">
        <v>3.5</v>
      </c>
      <c r="B9" s="8">
        <v>7</v>
      </c>
      <c r="D9">
        <v>2705.3748717949002</v>
      </c>
      <c r="E9">
        <v>558.00410256409998</v>
      </c>
      <c r="F9">
        <v>117.73839009288</v>
      </c>
      <c r="G9">
        <v>106.76728586170999</v>
      </c>
      <c r="I9" s="9">
        <f t="shared" si="1"/>
        <v>451.23681670239</v>
      </c>
      <c r="J9" s="9">
        <f t="shared" si="2"/>
        <v>2587.6364817020203</v>
      </c>
      <c r="K9" s="9">
        <f t="shared" si="3"/>
        <v>451.23681670239</v>
      </c>
      <c r="L9" s="10">
        <f t="shared" si="0"/>
        <v>0.17438184223063224</v>
      </c>
      <c r="M9" s="10">
        <f t="shared" si="4"/>
        <v>0.17554726254670672</v>
      </c>
      <c r="P9" s="8">
        <f t="shared" si="5"/>
        <v>1.3082275545225797</v>
      </c>
    </row>
    <row r="10" spans="1:16" x14ac:dyDescent="0.2">
      <c r="A10" s="8">
        <v>4</v>
      </c>
      <c r="B10" s="8">
        <v>8</v>
      </c>
      <c r="D10">
        <v>2764.3855236139998</v>
      </c>
      <c r="E10">
        <v>562.96149897330997</v>
      </c>
      <c r="F10">
        <v>117.28121775026</v>
      </c>
      <c r="G10">
        <v>107.04592363261</v>
      </c>
      <c r="I10" s="9">
        <f t="shared" si="1"/>
        <v>455.9155753407</v>
      </c>
      <c r="J10" s="9">
        <f t="shared" si="2"/>
        <v>2647.1043058637397</v>
      </c>
      <c r="K10" s="9">
        <f t="shared" si="3"/>
        <v>455.9155753407</v>
      </c>
      <c r="L10" s="10">
        <f t="shared" si="0"/>
        <v>0.17223181358240303</v>
      </c>
      <c r="M10" s="10">
        <f t="shared" si="4"/>
        <v>0.17356372251505955</v>
      </c>
      <c r="P10" s="8">
        <f t="shared" si="5"/>
        <v>0.16352770575022674</v>
      </c>
    </row>
    <row r="11" spans="1:16" x14ac:dyDescent="0.2">
      <c r="A11" s="8">
        <v>4.5</v>
      </c>
      <c r="B11" s="8">
        <v>9</v>
      </c>
      <c r="D11">
        <v>2799.3510858324998</v>
      </c>
      <c r="E11">
        <v>563.50620475697997</v>
      </c>
      <c r="F11">
        <v>117.42053663570999</v>
      </c>
      <c r="G11">
        <v>106.79411764706001</v>
      </c>
      <c r="I11" s="9">
        <f t="shared" si="1"/>
        <v>456.71208710991993</v>
      </c>
      <c r="J11" s="9">
        <f t="shared" si="2"/>
        <v>2681.9305491967898</v>
      </c>
      <c r="K11" s="9">
        <f t="shared" si="3"/>
        <v>456.71208710991993</v>
      </c>
      <c r="L11" s="10">
        <f t="shared" si="0"/>
        <v>0.17029228711634625</v>
      </c>
      <c r="M11" s="10">
        <f t="shared" si="4"/>
        <v>0.17179068466558486</v>
      </c>
      <c r="P11" s="8">
        <f t="shared" si="5"/>
        <v>-0.85969145079783993</v>
      </c>
    </row>
    <row r="12" spans="1:16" x14ac:dyDescent="0.2">
      <c r="A12" s="8">
        <v>5</v>
      </c>
      <c r="B12" s="8">
        <v>10</v>
      </c>
      <c r="D12">
        <v>2713.3340227508002</v>
      </c>
      <c r="E12">
        <v>557.34488107548998</v>
      </c>
      <c r="F12">
        <v>117.57223942208999</v>
      </c>
      <c r="G12">
        <v>106.78121775026</v>
      </c>
      <c r="I12" s="9">
        <f t="shared" si="1"/>
        <v>450.56366332522998</v>
      </c>
      <c r="J12" s="9">
        <f t="shared" si="2"/>
        <v>2595.76178332871</v>
      </c>
      <c r="K12" s="9">
        <f t="shared" si="3"/>
        <v>450.56366332522998</v>
      </c>
      <c r="L12" s="10">
        <f t="shared" si="0"/>
        <v>0.17357666108615083</v>
      </c>
      <c r="M12" s="10">
        <f t="shared" si="4"/>
        <v>0.1752415472519715</v>
      </c>
      <c r="P12" s="8">
        <f t="shared" si="5"/>
        <v>1.131799428007686</v>
      </c>
    </row>
    <row r="13" spans="1:16" x14ac:dyDescent="0.2">
      <c r="A13" s="8">
        <v>5.5</v>
      </c>
      <c r="B13" s="8">
        <v>11</v>
      </c>
      <c r="D13">
        <v>2600.5352185090001</v>
      </c>
      <c r="E13">
        <v>530.61593830334004</v>
      </c>
      <c r="F13">
        <v>117.50567595459</v>
      </c>
      <c r="G13">
        <v>107.01496388029</v>
      </c>
      <c r="I13" s="9">
        <f t="shared" si="1"/>
        <v>423.60097442305005</v>
      </c>
      <c r="J13" s="9">
        <f t="shared" si="2"/>
        <v>2483.02954255441</v>
      </c>
      <c r="K13" s="9">
        <f t="shared" si="3"/>
        <v>423.60097442305005</v>
      </c>
      <c r="L13" s="10">
        <f t="shared" si="0"/>
        <v>0.17059844321758319</v>
      </c>
      <c r="M13" s="10">
        <f t="shared" si="4"/>
        <v>0.17242981799998594</v>
      </c>
      <c r="P13" s="8">
        <f t="shared" si="5"/>
        <v>-0.49084795908028872</v>
      </c>
    </row>
    <row r="14" spans="1:16" x14ac:dyDescent="0.2">
      <c r="A14" s="8">
        <v>6</v>
      </c>
      <c r="B14" s="8">
        <v>12</v>
      </c>
      <c r="D14">
        <v>2486.5686375321002</v>
      </c>
      <c r="E14">
        <v>507.00719794345002</v>
      </c>
      <c r="F14">
        <v>117.79360165119</v>
      </c>
      <c r="G14">
        <v>106.80082559340001</v>
      </c>
      <c r="I14" s="9">
        <f t="shared" si="1"/>
        <v>400.20637235005</v>
      </c>
      <c r="J14" s="9">
        <f t="shared" si="2"/>
        <v>2368.7750358809103</v>
      </c>
      <c r="K14" s="9">
        <f t="shared" si="3"/>
        <v>400.20637235005</v>
      </c>
      <c r="L14" s="10">
        <f t="shared" si="0"/>
        <v>0.16895077256723096</v>
      </c>
      <c r="M14" s="10">
        <f t="shared" si="4"/>
        <v>0.17094863596621576</v>
      </c>
      <c r="P14" s="8">
        <f t="shared" si="5"/>
        <v>-1.3456372867517208</v>
      </c>
    </row>
    <row r="15" spans="1:16" x14ac:dyDescent="0.2">
      <c r="A15" s="8">
        <v>6.5</v>
      </c>
      <c r="B15" s="8">
        <v>13</v>
      </c>
      <c r="D15">
        <v>2468.8874035990002</v>
      </c>
      <c r="E15">
        <v>503.69511568122999</v>
      </c>
      <c r="F15">
        <v>117.8173374613</v>
      </c>
      <c r="G15">
        <v>106.86635706913999</v>
      </c>
      <c r="I15" s="9">
        <f t="shared" si="1"/>
        <v>396.82875861208998</v>
      </c>
      <c r="J15" s="9">
        <f t="shared" si="2"/>
        <v>2351.0700661377</v>
      </c>
      <c r="K15" s="9">
        <f t="shared" si="3"/>
        <v>396.82875861208998</v>
      </c>
      <c r="L15" s="10">
        <f t="shared" si="0"/>
        <v>0.16878644508625551</v>
      </c>
      <c r="M15" s="10">
        <f t="shared" si="4"/>
        <v>0.1709507971018224</v>
      </c>
      <c r="P15" s="8">
        <f t="shared" si="5"/>
        <v>-1.3443900965954221</v>
      </c>
    </row>
    <row r="16" spans="1:16" x14ac:dyDescent="0.2">
      <c r="A16" s="8">
        <v>7</v>
      </c>
      <c r="B16" s="8">
        <v>14</v>
      </c>
      <c r="D16">
        <v>2401.0796915167002</v>
      </c>
      <c r="E16">
        <v>495.16246786632001</v>
      </c>
      <c r="F16">
        <v>117.37358101135</v>
      </c>
      <c r="G16">
        <v>106.89525283798</v>
      </c>
      <c r="I16" s="9">
        <f t="shared" si="1"/>
        <v>388.26721502834005</v>
      </c>
      <c r="J16" s="9">
        <f t="shared" si="2"/>
        <v>2283.7061105053504</v>
      </c>
      <c r="K16" s="9">
        <f t="shared" si="3"/>
        <v>388.26721502834005</v>
      </c>
      <c r="L16" s="10">
        <f t="shared" si="0"/>
        <v>0.17001627890833215</v>
      </c>
      <c r="M16" s="10">
        <f t="shared" si="4"/>
        <v>0.1723471195404811</v>
      </c>
      <c r="P16" s="8">
        <f t="shared" si="5"/>
        <v>-0.53857319405338322</v>
      </c>
    </row>
    <row r="17" spans="1:16" x14ac:dyDescent="0.2">
      <c r="A17" s="8">
        <v>7.5</v>
      </c>
      <c r="B17" s="8">
        <v>15</v>
      </c>
      <c r="D17">
        <v>2344.4607491021002</v>
      </c>
      <c r="E17">
        <v>482.33401744484001</v>
      </c>
      <c r="F17">
        <v>117.32352941177</v>
      </c>
      <c r="G17">
        <v>107.19143446852</v>
      </c>
      <c r="I17" s="9">
        <f t="shared" si="1"/>
        <v>375.14258297632</v>
      </c>
      <c r="J17" s="9">
        <f t="shared" si="2"/>
        <v>2227.1372196903303</v>
      </c>
      <c r="K17" s="9">
        <f t="shared" si="3"/>
        <v>375.14258297632</v>
      </c>
      <c r="L17" s="10">
        <f t="shared" si="0"/>
        <v>0.16844161179636757</v>
      </c>
      <c r="M17" s="10">
        <f t="shared" si="4"/>
        <v>0.1709389410450986</v>
      </c>
      <c r="P17" s="8">
        <f t="shared" si="5"/>
        <v>-1.3512322203349147</v>
      </c>
    </row>
    <row r="18" spans="1:16" x14ac:dyDescent="0.2">
      <c r="A18" s="8">
        <v>8</v>
      </c>
      <c r="B18" s="8">
        <v>16</v>
      </c>
      <c r="D18">
        <v>2567.1390456643999</v>
      </c>
      <c r="E18">
        <v>525.90661877885998</v>
      </c>
      <c r="F18">
        <v>117.37564499484</v>
      </c>
      <c r="G18">
        <v>107.0830753354</v>
      </c>
      <c r="I18" s="9">
        <f t="shared" si="1"/>
        <v>418.82354344345998</v>
      </c>
      <c r="J18" s="9">
        <f t="shared" si="2"/>
        <v>2449.7634006695598</v>
      </c>
      <c r="K18" s="9">
        <f t="shared" si="3"/>
        <v>418.82354344345998</v>
      </c>
      <c r="L18" s="10">
        <f t="shared" si="0"/>
        <v>0.17096489535642045</v>
      </c>
      <c r="M18" s="10">
        <f t="shared" si="4"/>
        <v>0.17362871322173354</v>
      </c>
      <c r="P18" s="8">
        <f t="shared" si="5"/>
        <v>0.20103380641588323</v>
      </c>
    </row>
    <row r="19" spans="1:16" x14ac:dyDescent="0.2">
      <c r="A19" s="8">
        <v>8.5</v>
      </c>
      <c r="B19" s="8">
        <v>17</v>
      </c>
      <c r="D19">
        <v>2634.9599794767</v>
      </c>
      <c r="E19">
        <v>532.88609543355994</v>
      </c>
      <c r="F19">
        <v>117.48400412797</v>
      </c>
      <c r="G19">
        <v>106.9742002064</v>
      </c>
      <c r="I19" s="9">
        <f t="shared" si="1"/>
        <v>425.91189522715996</v>
      </c>
      <c r="J19" s="9">
        <f t="shared" si="2"/>
        <v>2517.4759753487301</v>
      </c>
      <c r="K19" s="9">
        <f t="shared" si="3"/>
        <v>425.91189522715996</v>
      </c>
      <c r="L19" s="10">
        <f t="shared" si="0"/>
        <v>0.16918210914332998</v>
      </c>
      <c r="M19" s="10">
        <f t="shared" si="4"/>
        <v>0.17201241562522512</v>
      </c>
      <c r="P19" s="8">
        <f t="shared" si="5"/>
        <v>-0.73173063734373422</v>
      </c>
    </row>
    <row r="20" spans="1:16" x14ac:dyDescent="0.2">
      <c r="A20" s="8">
        <v>9</v>
      </c>
      <c r="B20" s="8">
        <v>18</v>
      </c>
      <c r="D20">
        <v>2586.2131484335</v>
      </c>
      <c r="E20">
        <v>519.72778633795997</v>
      </c>
      <c r="F20">
        <v>117.66253869969</v>
      </c>
      <c r="G20">
        <v>106.97884416925</v>
      </c>
      <c r="I20" s="9">
        <f t="shared" si="1"/>
        <v>412.74894216870996</v>
      </c>
      <c r="J20" s="9">
        <f t="shared" si="2"/>
        <v>2468.5506097338102</v>
      </c>
      <c r="K20" s="9">
        <f t="shared" si="3"/>
        <v>412.74894216870996</v>
      </c>
      <c r="L20" s="10">
        <f t="shared" si="0"/>
        <v>0.16720294918855955</v>
      </c>
      <c r="M20" s="10">
        <f t="shared" si="4"/>
        <v>0.17019974428703677</v>
      </c>
      <c r="P20" s="8">
        <f t="shared" si="5"/>
        <v>-1.7778222581793894</v>
      </c>
    </row>
    <row r="21" spans="1:16" x14ac:dyDescent="0.2">
      <c r="A21" s="8">
        <v>9.5</v>
      </c>
      <c r="B21" s="8">
        <v>19</v>
      </c>
      <c r="D21">
        <v>2520.9871597329002</v>
      </c>
      <c r="E21">
        <v>507.53620955316001</v>
      </c>
      <c r="F21">
        <v>117.49535603715</v>
      </c>
      <c r="G21">
        <v>107.07585139319001</v>
      </c>
      <c r="I21" s="9">
        <f t="shared" si="1"/>
        <v>400.46035815996999</v>
      </c>
      <c r="J21" s="9">
        <f t="shared" si="2"/>
        <v>2403.4918036957501</v>
      </c>
      <c r="K21" s="9">
        <f t="shared" si="3"/>
        <v>400.46035815996999</v>
      </c>
      <c r="L21" s="10">
        <f t="shared" si="0"/>
        <v>0.16661606981317706</v>
      </c>
      <c r="M21" s="10">
        <f t="shared" si="4"/>
        <v>0.16977935352823634</v>
      </c>
      <c r="P21" s="8">
        <f t="shared" si="5"/>
        <v>-2.0204295312095866</v>
      </c>
    </row>
    <row r="22" spans="1:16" x14ac:dyDescent="0.2">
      <c r="A22" s="8">
        <v>10</v>
      </c>
      <c r="B22" s="8">
        <v>20</v>
      </c>
      <c r="D22">
        <v>2672.9332306112001</v>
      </c>
      <c r="E22">
        <v>529.73343605546995</v>
      </c>
      <c r="F22">
        <v>117.63880288958001</v>
      </c>
      <c r="G22">
        <v>106.82662538700001</v>
      </c>
      <c r="I22" s="9">
        <f t="shared" si="1"/>
        <v>422.90681066846992</v>
      </c>
      <c r="J22" s="9">
        <f t="shared" si="2"/>
        <v>2555.2944277216202</v>
      </c>
      <c r="K22" s="9">
        <f t="shared" si="3"/>
        <v>422.90681066846992</v>
      </c>
      <c r="L22" s="10">
        <f t="shared" si="0"/>
        <v>0.16550218482867618</v>
      </c>
      <c r="M22" s="10">
        <f t="shared" si="4"/>
        <v>0.16883195716031754</v>
      </c>
      <c r="P22" s="8">
        <f t="shared" si="5"/>
        <v>-2.567171448076043</v>
      </c>
    </row>
    <row r="23" spans="1:16" x14ac:dyDescent="0.2">
      <c r="A23" s="8">
        <v>10.5</v>
      </c>
      <c r="B23" s="8">
        <v>21</v>
      </c>
      <c r="D23">
        <v>2676.6026762738002</v>
      </c>
      <c r="E23">
        <v>538.38548636129997</v>
      </c>
      <c r="F23">
        <v>117.57481940145</v>
      </c>
      <c r="G23">
        <v>107.1862745098</v>
      </c>
      <c r="I23" s="9">
        <f t="shared" si="1"/>
        <v>431.19921185149997</v>
      </c>
      <c r="J23" s="9">
        <f t="shared" si="2"/>
        <v>2559.0278568723502</v>
      </c>
      <c r="K23" s="9">
        <f t="shared" si="3"/>
        <v>431.19921185149997</v>
      </c>
      <c r="L23" s="10">
        <f t="shared" si="0"/>
        <v>0.16850117934179609</v>
      </c>
      <c r="M23" s="10">
        <f t="shared" si="4"/>
        <v>0.17199744029001951</v>
      </c>
      <c r="P23" s="8">
        <f t="shared" si="5"/>
        <v>-0.74037289495975322</v>
      </c>
    </row>
    <row r="24" spans="1:16" x14ac:dyDescent="0.2">
      <c r="A24" s="8">
        <v>11</v>
      </c>
      <c r="B24" s="8">
        <v>22</v>
      </c>
      <c r="D24">
        <v>2601.5898095727998</v>
      </c>
      <c r="E24">
        <v>531.40967575913999</v>
      </c>
      <c r="F24">
        <v>117.50773993807999</v>
      </c>
      <c r="G24">
        <v>106.85500515996</v>
      </c>
      <c r="I24" s="9">
        <f t="shared" si="1"/>
        <v>424.55467059917999</v>
      </c>
      <c r="J24" s="9">
        <f t="shared" si="2"/>
        <v>2484.08206963472</v>
      </c>
      <c r="K24" s="9">
        <f t="shared" si="3"/>
        <v>424.55467059917999</v>
      </c>
      <c r="L24" s="10">
        <f t="shared" si="0"/>
        <v>0.17091008215425427</v>
      </c>
      <c r="M24" s="10">
        <f t="shared" si="4"/>
        <v>0.17457283171905977</v>
      </c>
      <c r="P24" s="8">
        <f t="shared" si="5"/>
        <v>0.74588406598692847</v>
      </c>
    </row>
    <row r="25" spans="1:16" x14ac:dyDescent="0.2">
      <c r="A25" s="8">
        <v>11.5</v>
      </c>
      <c r="B25" s="8">
        <v>23</v>
      </c>
      <c r="D25">
        <v>2490.0395886890001</v>
      </c>
      <c r="E25">
        <v>500.38663239074998</v>
      </c>
      <c r="F25">
        <v>117.54282765738</v>
      </c>
      <c r="G25">
        <v>106.77966976264</v>
      </c>
      <c r="I25" s="9">
        <f t="shared" si="1"/>
        <v>393.60696262810995</v>
      </c>
      <c r="J25" s="9">
        <f t="shared" si="2"/>
        <v>2372.4967610316203</v>
      </c>
      <c r="K25" s="9">
        <f t="shared" si="3"/>
        <v>393.60696262810995</v>
      </c>
      <c r="L25" s="10">
        <f t="shared" si="0"/>
        <v>0.16590410958325605</v>
      </c>
      <c r="M25" s="10">
        <f t="shared" si="4"/>
        <v>0.16973334776464361</v>
      </c>
      <c r="P25" s="8">
        <f t="shared" si="5"/>
        <v>-2.0469794317848349</v>
      </c>
    </row>
    <row r="26" spans="1:16" x14ac:dyDescent="0.2">
      <c r="A26" s="8">
        <v>12</v>
      </c>
      <c r="B26" s="8">
        <v>24</v>
      </c>
      <c r="D26">
        <v>2300.1419023136</v>
      </c>
      <c r="E26">
        <v>462.94910025706997</v>
      </c>
      <c r="F26">
        <v>117.5737874097</v>
      </c>
      <c r="G26">
        <v>106.90092879257</v>
      </c>
      <c r="I26" s="9">
        <f t="shared" si="1"/>
        <v>356.0481714645</v>
      </c>
      <c r="J26" s="9">
        <f t="shared" si="2"/>
        <v>2182.5681149039001</v>
      </c>
      <c r="K26" s="9">
        <f t="shared" si="3"/>
        <v>356.0481714645</v>
      </c>
      <c r="L26" s="10">
        <f t="shared" si="0"/>
        <v>0.16313267340120427</v>
      </c>
      <c r="M26" s="10">
        <f t="shared" si="4"/>
        <v>0.16712840019917388</v>
      </c>
      <c r="P26" s="8">
        <f t="shared" si="5"/>
        <v>-3.5502932226221682</v>
      </c>
    </row>
    <row r="27" spans="1:16" x14ac:dyDescent="0.2">
      <c r="A27" s="8">
        <v>12.5</v>
      </c>
      <c r="B27" s="8">
        <v>25</v>
      </c>
      <c r="D27">
        <v>2400.2331792501</v>
      </c>
      <c r="E27">
        <v>480.16076014381002</v>
      </c>
      <c r="F27">
        <v>117.75232198142</v>
      </c>
      <c r="G27">
        <v>107.10939112487</v>
      </c>
      <c r="I27" s="9">
        <f t="shared" si="1"/>
        <v>373.05136901894002</v>
      </c>
      <c r="J27" s="9">
        <f t="shared" si="2"/>
        <v>2282.4808572686798</v>
      </c>
      <c r="K27" s="9">
        <f t="shared" si="3"/>
        <v>373.05136901894002</v>
      </c>
      <c r="L27" s="10">
        <f t="shared" si="0"/>
        <v>0.16344118191876109</v>
      </c>
      <c r="M27" s="10">
        <f t="shared" si="4"/>
        <v>0.16760339733331278</v>
      </c>
      <c r="P27" s="8">
        <f t="shared" si="5"/>
        <v>-3.2761726407629874</v>
      </c>
    </row>
    <row r="28" spans="1:16" x14ac:dyDescent="0.2">
      <c r="A28" s="8">
        <v>13</v>
      </c>
      <c r="B28" s="8">
        <v>26</v>
      </c>
      <c r="D28">
        <v>2428.7422997947001</v>
      </c>
      <c r="E28">
        <v>486.83880903491001</v>
      </c>
      <c r="F28">
        <v>117.98658410733</v>
      </c>
      <c r="G28">
        <v>106.92053663570999</v>
      </c>
      <c r="I28" s="9">
        <f t="shared" si="1"/>
        <v>379.91827239920002</v>
      </c>
      <c r="J28" s="9">
        <f t="shared" si="2"/>
        <v>2310.75571568737</v>
      </c>
      <c r="K28" s="9">
        <f t="shared" si="3"/>
        <v>379.91827239920002</v>
      </c>
      <c r="L28" s="10">
        <f t="shared" si="0"/>
        <v>0.16441299693428973</v>
      </c>
      <c r="M28" s="10">
        <f t="shared" si="4"/>
        <v>0.16874170096542349</v>
      </c>
      <c r="P28" s="8">
        <f t="shared" si="5"/>
        <v>-2.6192582479377018</v>
      </c>
    </row>
    <row r="29" spans="1:16" x14ac:dyDescent="0.2">
      <c r="A29" s="8">
        <v>13.5</v>
      </c>
      <c r="B29" s="8">
        <v>27</v>
      </c>
      <c r="D29">
        <v>2405.6683804627</v>
      </c>
      <c r="E29">
        <v>481.22416452442002</v>
      </c>
      <c r="F29">
        <v>117.7471620227</v>
      </c>
      <c r="G29">
        <v>106.79102167182999</v>
      </c>
      <c r="I29" s="9">
        <f t="shared" si="1"/>
        <v>374.43314285259004</v>
      </c>
      <c r="J29" s="9">
        <f t="shared" si="2"/>
        <v>2287.9212184399998</v>
      </c>
      <c r="K29" s="9">
        <f t="shared" si="3"/>
        <v>374.43314285259004</v>
      </c>
      <c r="L29" s="10">
        <f t="shared" si="0"/>
        <v>0.16365648425075327</v>
      </c>
      <c r="M29" s="10">
        <f t="shared" si="4"/>
        <v>0.1681516768984691</v>
      </c>
      <c r="P29" s="8">
        <f t="shared" si="5"/>
        <v>-2.9597608087324367</v>
      </c>
    </row>
    <row r="30" spans="1:16" x14ac:dyDescent="0.2">
      <c r="A30" s="8">
        <v>14</v>
      </c>
      <c r="B30" s="8">
        <v>28</v>
      </c>
      <c r="D30">
        <v>2461.6010282776001</v>
      </c>
      <c r="E30">
        <v>495.04678663239002</v>
      </c>
      <c r="F30">
        <v>117.84520123839</v>
      </c>
      <c r="G30">
        <v>106.93034055728</v>
      </c>
      <c r="I30" s="9">
        <f t="shared" si="1"/>
        <v>388.11644607511005</v>
      </c>
      <c r="J30" s="9">
        <f t="shared" si="2"/>
        <v>2343.7558270392101</v>
      </c>
      <c r="K30" s="9">
        <f t="shared" si="3"/>
        <v>388.11644607511005</v>
      </c>
      <c r="L30" s="10">
        <f t="shared" si="0"/>
        <v>0.16559593862019528</v>
      </c>
      <c r="M30" s="10">
        <f t="shared" si="4"/>
        <v>0.17025761988449317</v>
      </c>
      <c r="P30" s="8">
        <f t="shared" si="5"/>
        <v>-1.7444222830848919</v>
      </c>
    </row>
    <row r="31" spans="1:16" x14ac:dyDescent="0.2">
      <c r="A31" s="8">
        <v>14.5</v>
      </c>
      <c r="B31" s="8">
        <v>29</v>
      </c>
      <c r="D31">
        <v>2341.6971722365001</v>
      </c>
      <c r="E31">
        <v>465.00822622108001</v>
      </c>
      <c r="F31">
        <v>117.94994840040999</v>
      </c>
      <c r="G31">
        <v>107.01754385965</v>
      </c>
      <c r="I31" s="9">
        <f t="shared" si="1"/>
        <v>357.99068236143</v>
      </c>
      <c r="J31" s="9">
        <f t="shared" si="2"/>
        <v>2223.7472238360901</v>
      </c>
      <c r="K31" s="9">
        <f t="shared" si="3"/>
        <v>357.99068236143</v>
      </c>
      <c r="L31" s="10">
        <f t="shared" si="0"/>
        <v>0.16098533076249366</v>
      </c>
      <c r="M31" s="10">
        <f t="shared" si="4"/>
        <v>0.16581350064337363</v>
      </c>
      <c r="P31" s="8">
        <f t="shared" si="5"/>
        <v>-4.309121024764111</v>
      </c>
    </row>
    <row r="32" spans="1:16" x14ac:dyDescent="0.2">
      <c r="A32" s="8">
        <v>15</v>
      </c>
      <c r="B32" s="8">
        <v>30</v>
      </c>
      <c r="D32">
        <v>2512.6879177378</v>
      </c>
      <c r="E32">
        <v>498.63753213368</v>
      </c>
      <c r="F32">
        <v>117.782249742</v>
      </c>
      <c r="G32">
        <v>106.95098039216001</v>
      </c>
      <c r="I32" s="9">
        <f t="shared" si="1"/>
        <v>391.68655174152002</v>
      </c>
      <c r="J32" s="9">
        <f t="shared" si="2"/>
        <v>2394.9056679957998</v>
      </c>
      <c r="K32" s="9">
        <f t="shared" si="3"/>
        <v>391.68655174152002</v>
      </c>
      <c r="L32" s="10">
        <f t="shared" si="0"/>
        <v>0.1635498871524684</v>
      </c>
      <c r="M32" s="10">
        <f t="shared" si="4"/>
        <v>0.16854454564993043</v>
      </c>
      <c r="P32" s="8">
        <f t="shared" si="5"/>
        <v>-2.7330364708264789</v>
      </c>
    </row>
    <row r="33" spans="1:16" x14ac:dyDescent="0.2">
      <c r="A33" s="8">
        <v>15.5</v>
      </c>
      <c r="B33" s="8">
        <v>31</v>
      </c>
      <c r="D33">
        <v>2386.5606846473001</v>
      </c>
      <c r="E33">
        <v>473.95643153526999</v>
      </c>
      <c r="F33">
        <v>117.92208462332</v>
      </c>
      <c r="G33">
        <v>107.04385964911999</v>
      </c>
      <c r="I33" s="9">
        <f t="shared" si="1"/>
        <v>366.91257188614998</v>
      </c>
      <c r="J33" s="9">
        <f t="shared" si="2"/>
        <v>2268.63860002398</v>
      </c>
      <c r="K33" s="9">
        <f t="shared" si="3"/>
        <v>366.91257188614998</v>
      </c>
      <c r="L33" s="10">
        <f t="shared" si="0"/>
        <v>0.16173249096716932</v>
      </c>
      <c r="M33" s="10">
        <f t="shared" si="4"/>
        <v>0.16689363808121344</v>
      </c>
      <c r="P33" s="8">
        <f t="shared" si="5"/>
        <v>-3.6857743102933056</v>
      </c>
    </row>
    <row r="34" spans="1:16" x14ac:dyDescent="0.2">
      <c r="A34" s="8">
        <v>16</v>
      </c>
      <c r="B34" s="8">
        <v>32</v>
      </c>
      <c r="D34">
        <v>2342.3876923077</v>
      </c>
      <c r="E34">
        <v>465.78102564103</v>
      </c>
      <c r="F34">
        <v>118.38544891641</v>
      </c>
      <c r="G34">
        <v>107.04540763673999</v>
      </c>
      <c r="I34" s="9">
        <f t="shared" si="1"/>
        <v>358.73561800429002</v>
      </c>
      <c r="J34" s="9">
        <f t="shared" si="2"/>
        <v>2224.00224339129</v>
      </c>
      <c r="K34" s="9">
        <f t="shared" si="3"/>
        <v>358.73561800429002</v>
      </c>
      <c r="L34" s="10">
        <f t="shared" si="0"/>
        <v>0.16130182380448896</v>
      </c>
      <c r="M34" s="10">
        <f t="shared" si="4"/>
        <v>0.16662945953511513</v>
      </c>
      <c r="P34" s="8">
        <f t="shared" si="5"/>
        <v>-3.8382316022777347</v>
      </c>
    </row>
    <row r="35" spans="1:16" x14ac:dyDescent="0.2">
      <c r="A35" s="8">
        <v>16.5</v>
      </c>
      <c r="B35" s="8">
        <v>33</v>
      </c>
      <c r="D35">
        <v>2473.4994871795002</v>
      </c>
      <c r="E35">
        <v>488.38256410256002</v>
      </c>
      <c r="F35">
        <v>118.00567595459</v>
      </c>
      <c r="G35">
        <v>107.15118679051</v>
      </c>
      <c r="I35" s="9">
        <f t="shared" si="1"/>
        <v>381.23137731205003</v>
      </c>
      <c r="J35" s="9">
        <f t="shared" si="2"/>
        <v>2355.4938112249101</v>
      </c>
      <c r="K35" s="9">
        <f t="shared" si="3"/>
        <v>381.23137731205003</v>
      </c>
      <c r="L35" s="10">
        <f t="shared" si="0"/>
        <v>0.16184775162444645</v>
      </c>
      <c r="M35" s="10">
        <f t="shared" si="4"/>
        <v>0.16734187597165467</v>
      </c>
      <c r="P35" s="8">
        <f t="shared" si="5"/>
        <v>-3.4270964730852311</v>
      </c>
    </row>
    <row r="36" spans="1:16" x14ac:dyDescent="0.2">
      <c r="A36" s="8">
        <v>17</v>
      </c>
      <c r="B36" s="8">
        <v>34</v>
      </c>
      <c r="D36">
        <v>2525.6841025641002</v>
      </c>
      <c r="E36">
        <v>498.01230769231</v>
      </c>
      <c r="F36">
        <v>118.01857585139</v>
      </c>
      <c r="G36">
        <v>107.09236326109</v>
      </c>
      <c r="I36" s="9">
        <f t="shared" si="1"/>
        <v>390.91994443122002</v>
      </c>
      <c r="J36" s="9">
        <f t="shared" si="2"/>
        <v>2407.6655267127103</v>
      </c>
      <c r="K36" s="9">
        <f t="shared" si="3"/>
        <v>390.91994443122002</v>
      </c>
      <c r="L36" s="10">
        <f t="shared" si="0"/>
        <v>0.1623647222149498</v>
      </c>
      <c r="M36" s="10">
        <f t="shared" si="4"/>
        <v>0.1680253351787401</v>
      </c>
      <c r="P36" s="8">
        <f t="shared" si="5"/>
        <v>-3.0326725449010929</v>
      </c>
    </row>
    <row r="37" spans="1:16" x14ac:dyDescent="0.2">
      <c r="A37" s="8">
        <v>17.5</v>
      </c>
      <c r="B37" s="8">
        <v>35</v>
      </c>
      <c r="D37">
        <v>2479.6584615385</v>
      </c>
      <c r="E37">
        <v>488.86</v>
      </c>
      <c r="F37">
        <v>118.54024767801999</v>
      </c>
      <c r="G37">
        <v>107.01960784313999</v>
      </c>
      <c r="I37" s="9">
        <f t="shared" si="1"/>
        <v>381.84039215686005</v>
      </c>
      <c r="J37" s="9">
        <f t="shared" si="2"/>
        <v>2361.11821386048</v>
      </c>
      <c r="K37" s="9">
        <f t="shared" si="3"/>
        <v>381.84039215686005</v>
      </c>
      <c r="L37" s="10">
        <f t="shared" si="0"/>
        <v>0.1617201501878818</v>
      </c>
      <c r="M37" s="10">
        <f t="shared" si="4"/>
        <v>0.16754725176825416</v>
      </c>
      <c r="P37" s="8">
        <f t="shared" si="5"/>
        <v>-3.3085742151231821</v>
      </c>
    </row>
    <row r="38" spans="1:16" x14ac:dyDescent="0.2">
      <c r="A38" s="8">
        <v>18</v>
      </c>
      <c r="B38" s="8">
        <v>36</v>
      </c>
      <c r="D38">
        <v>2297.2092307692001</v>
      </c>
      <c r="E38">
        <v>454.85282051282002</v>
      </c>
      <c r="F38">
        <v>118.00515995872</v>
      </c>
      <c r="G38">
        <v>106.81682146543</v>
      </c>
      <c r="I38" s="9">
        <f t="shared" si="1"/>
        <v>348.03599904739002</v>
      </c>
      <c r="J38" s="9">
        <f t="shared" si="2"/>
        <v>2179.2040708104801</v>
      </c>
      <c r="K38" s="9">
        <f t="shared" si="3"/>
        <v>348.03599904739002</v>
      </c>
      <c r="L38" s="10">
        <f t="shared" si="0"/>
        <v>0.15970785100357765</v>
      </c>
      <c r="M38" s="10">
        <f t="shared" si="4"/>
        <v>0.1657014412005321</v>
      </c>
      <c r="P38" s="8">
        <f t="shared" si="5"/>
        <v>-4.3737904668865895</v>
      </c>
    </row>
    <row r="39" spans="1:16" x14ac:dyDescent="0.2">
      <c r="A39" s="8">
        <v>18.5</v>
      </c>
      <c r="B39" s="8">
        <v>37</v>
      </c>
      <c r="D39">
        <v>2434.6606311433002</v>
      </c>
      <c r="E39">
        <v>487.59906880496999</v>
      </c>
      <c r="F39">
        <v>118.22084623323001</v>
      </c>
      <c r="G39">
        <v>106.94994840040999</v>
      </c>
      <c r="I39" s="9">
        <f t="shared" si="1"/>
        <v>380.64912040455999</v>
      </c>
      <c r="J39" s="9">
        <f t="shared" si="2"/>
        <v>2316.4397849100701</v>
      </c>
      <c r="K39" s="9">
        <f t="shared" si="3"/>
        <v>380.64912040455999</v>
      </c>
      <c r="L39" s="10">
        <f t="shared" si="0"/>
        <v>0.16432506594136992</v>
      </c>
      <c r="M39" s="10">
        <f t="shared" si="4"/>
        <v>0.17048514475490642</v>
      </c>
      <c r="P39" s="8">
        <f t="shared" si="5"/>
        <v>-1.6131178069469869</v>
      </c>
    </row>
    <row r="40" spans="1:16" x14ac:dyDescent="0.2">
      <c r="A40" s="8">
        <v>19</v>
      </c>
      <c r="B40" s="8">
        <v>38</v>
      </c>
      <c r="D40">
        <v>2411.9901707191002</v>
      </c>
      <c r="E40">
        <v>485.97878944645998</v>
      </c>
      <c r="F40">
        <v>118.391124871</v>
      </c>
      <c r="G40">
        <v>107.04231166151</v>
      </c>
      <c r="I40" s="9">
        <f t="shared" si="1"/>
        <v>378.93647778495</v>
      </c>
      <c r="J40" s="9">
        <f t="shared" si="2"/>
        <v>2293.5990458481001</v>
      </c>
      <c r="K40" s="9">
        <f t="shared" si="3"/>
        <v>378.93647778495</v>
      </c>
      <c r="L40" s="10">
        <f t="shared" si="0"/>
        <v>0.16521478698332442</v>
      </c>
      <c r="M40" s="10">
        <f t="shared" si="4"/>
        <v>0.17154135441344301</v>
      </c>
      <c r="P40" s="8">
        <f t="shared" si="5"/>
        <v>-1.0035798006004635</v>
      </c>
    </row>
    <row r="41" spans="1:16" x14ac:dyDescent="0.2">
      <c r="A41" s="8">
        <v>19.5</v>
      </c>
      <c r="B41" s="8">
        <v>39</v>
      </c>
      <c r="D41">
        <v>2366.6533678757</v>
      </c>
      <c r="E41">
        <v>474.50880829016</v>
      </c>
      <c r="F41">
        <v>118.39267285862</v>
      </c>
      <c r="G41">
        <v>107.01083591331</v>
      </c>
      <c r="I41" s="9">
        <f t="shared" si="1"/>
        <v>367.49797237684999</v>
      </c>
      <c r="J41" s="9">
        <f t="shared" si="2"/>
        <v>2248.2606950170803</v>
      </c>
      <c r="K41" s="9">
        <f t="shared" si="3"/>
        <v>367.49797237684999</v>
      </c>
      <c r="L41" s="10">
        <f t="shared" si="0"/>
        <v>0.1634587898064277</v>
      </c>
      <c r="M41" s="10">
        <f t="shared" si="4"/>
        <v>0.16995184585312834</v>
      </c>
      <c r="P41" s="8">
        <f t="shared" si="5"/>
        <v>-1.9208843064760603</v>
      </c>
    </row>
    <row r="42" spans="1:16" x14ac:dyDescent="0.2">
      <c r="A42" s="8">
        <v>20</v>
      </c>
      <c r="B42" s="8">
        <v>40</v>
      </c>
      <c r="D42">
        <v>2495.1212435233001</v>
      </c>
      <c r="E42">
        <v>503.19948186529001</v>
      </c>
      <c r="F42">
        <v>117.77708978328</v>
      </c>
      <c r="G42">
        <v>107.19762641899</v>
      </c>
      <c r="I42" s="9">
        <f t="shared" si="1"/>
        <v>396.0018554463</v>
      </c>
      <c r="J42" s="9">
        <f t="shared" si="2"/>
        <v>2377.3441537400199</v>
      </c>
      <c r="K42" s="9">
        <f t="shared" si="3"/>
        <v>396.0018554463</v>
      </c>
      <c r="L42" s="10">
        <f t="shared" si="0"/>
        <v>0.16657321356830598</v>
      </c>
      <c r="M42" s="10">
        <f t="shared" si="4"/>
        <v>0.17323275823158868</v>
      </c>
      <c r="P42" s="8">
        <f t="shared" si="5"/>
        <v>-2.7471598117390979E-2</v>
      </c>
    </row>
    <row r="43" spans="1:16" x14ac:dyDescent="0.2">
      <c r="A43" s="8">
        <v>20.5</v>
      </c>
      <c r="B43" s="8">
        <v>41</v>
      </c>
      <c r="D43">
        <v>2451.4336787564998</v>
      </c>
      <c r="E43">
        <v>488.23523316062</v>
      </c>
      <c r="F43">
        <v>117.97678018576001</v>
      </c>
      <c r="G43">
        <v>107.08565531476</v>
      </c>
      <c r="I43" s="9">
        <f t="shared" si="1"/>
        <v>381.14957784585999</v>
      </c>
      <c r="J43" s="9">
        <f t="shared" si="2"/>
        <v>2333.4568985707397</v>
      </c>
      <c r="K43" s="9">
        <f t="shared" si="3"/>
        <v>381.14957784585999</v>
      </c>
      <c r="L43" s="10">
        <f t="shared" si="0"/>
        <v>0.16334116909522395</v>
      </c>
      <c r="M43" s="10">
        <f t="shared" si="4"/>
        <v>0.17016720237508873</v>
      </c>
      <c r="P43" s="8">
        <f t="shared" si="5"/>
        <v>-1.7966021774607526</v>
      </c>
    </row>
    <row r="44" spans="1:16" x14ac:dyDescent="0.2">
      <c r="A44" s="8">
        <v>21</v>
      </c>
      <c r="B44" s="8">
        <v>42</v>
      </c>
      <c r="D44">
        <v>2499.7546201231999</v>
      </c>
      <c r="E44">
        <v>491.36755646816999</v>
      </c>
      <c r="F44">
        <v>118.55779153767</v>
      </c>
      <c r="G44">
        <v>107.01135190919</v>
      </c>
      <c r="I44" s="9">
        <f t="shared" si="1"/>
        <v>384.35620455897998</v>
      </c>
      <c r="J44" s="9">
        <f t="shared" si="2"/>
        <v>2381.1968285855301</v>
      </c>
      <c r="K44" s="9">
        <f t="shared" si="3"/>
        <v>384.35620455897998</v>
      </c>
      <c r="L44" s="10">
        <f t="shared" si="0"/>
        <v>0.16141303396044496</v>
      </c>
      <c r="M44" s="10">
        <f t="shared" si="4"/>
        <v>0.16840555585689179</v>
      </c>
      <c r="P44" s="8">
        <f t="shared" si="5"/>
        <v>-2.8132474030657</v>
      </c>
    </row>
    <row r="45" spans="1:16" x14ac:dyDescent="0.2">
      <c r="A45" s="8">
        <v>21.5</v>
      </c>
      <c r="B45" s="8">
        <v>43</v>
      </c>
      <c r="D45">
        <v>2386.7751540040999</v>
      </c>
      <c r="E45">
        <v>471.51437371663002</v>
      </c>
      <c r="F45">
        <v>118.24922600619</v>
      </c>
      <c r="G45">
        <v>106.97884416925</v>
      </c>
      <c r="I45" s="9">
        <f t="shared" si="1"/>
        <v>364.53552954738001</v>
      </c>
      <c r="J45" s="9">
        <f t="shared" si="2"/>
        <v>2268.52592799791</v>
      </c>
      <c r="K45" s="9">
        <f t="shared" si="3"/>
        <v>364.53552954738001</v>
      </c>
      <c r="L45" s="10">
        <f t="shared" si="0"/>
        <v>0.16069268816737803</v>
      </c>
      <c r="M45" s="10">
        <f t="shared" si="4"/>
        <v>0.16785169868040695</v>
      </c>
      <c r="P45" s="8">
        <f t="shared" si="5"/>
        <v>-3.1328780714909805</v>
      </c>
    </row>
    <row r="46" spans="1:16" x14ac:dyDescent="0.2">
      <c r="A46" s="8">
        <v>22</v>
      </c>
      <c r="B46" s="8">
        <v>44</v>
      </c>
      <c r="D46">
        <v>2551.3673890609002</v>
      </c>
      <c r="E46">
        <v>500.98555211557999</v>
      </c>
      <c r="F46">
        <v>118.01186790506</v>
      </c>
      <c r="G46">
        <v>106.86842105263</v>
      </c>
      <c r="I46" s="9">
        <f t="shared" si="1"/>
        <v>394.11713106294997</v>
      </c>
      <c r="J46" s="9">
        <f t="shared" si="2"/>
        <v>2433.3555211558401</v>
      </c>
      <c r="K46" s="9">
        <f t="shared" si="3"/>
        <v>394.11713106294997</v>
      </c>
      <c r="L46" s="10">
        <f t="shared" si="0"/>
        <v>0.16196446743455922</v>
      </c>
      <c r="M46" s="10">
        <f t="shared" si="4"/>
        <v>0.1692899665641702</v>
      </c>
      <c r="P46" s="8">
        <f t="shared" si="5"/>
        <v>-2.3028544759143688</v>
      </c>
    </row>
    <row r="47" spans="1:16" x14ac:dyDescent="0.2">
      <c r="A47" s="8">
        <v>22.5</v>
      </c>
      <c r="B47" s="8">
        <v>45</v>
      </c>
      <c r="D47">
        <v>2345.0134020618998</v>
      </c>
      <c r="E47">
        <v>464.56649484536001</v>
      </c>
      <c r="F47">
        <v>117.97832817338001</v>
      </c>
      <c r="G47">
        <v>107.07275541796</v>
      </c>
      <c r="I47" s="9">
        <f t="shared" si="1"/>
        <v>357.49373942739999</v>
      </c>
      <c r="J47" s="9">
        <f t="shared" si="2"/>
        <v>2227.0350738885199</v>
      </c>
      <c r="K47" s="9">
        <f t="shared" si="3"/>
        <v>357.49373942739999</v>
      </c>
      <c r="L47" s="10">
        <f t="shared" si="0"/>
        <v>0.16052452142264523</v>
      </c>
      <c r="M47" s="10">
        <f t="shared" si="4"/>
        <v>0.16801650916883829</v>
      </c>
      <c r="P47" s="8">
        <f t="shared" si="5"/>
        <v>-3.0377660303053102</v>
      </c>
    </row>
    <row r="48" spans="1:16" x14ac:dyDescent="0.2">
      <c r="A48" s="8">
        <v>23</v>
      </c>
      <c r="B48" s="8">
        <v>46</v>
      </c>
      <c r="D48">
        <v>2421.9979381443</v>
      </c>
      <c r="E48">
        <v>486.48144329897002</v>
      </c>
      <c r="F48">
        <v>117.92518059856</v>
      </c>
      <c r="G48">
        <v>107.11197110422999</v>
      </c>
      <c r="I48" s="9">
        <f t="shared" si="1"/>
        <v>379.36947219474001</v>
      </c>
      <c r="J48" s="9">
        <f t="shared" si="2"/>
        <v>2304.0727575457399</v>
      </c>
      <c r="K48" s="9">
        <f t="shared" si="3"/>
        <v>379.36947219474001</v>
      </c>
      <c r="L48" s="10">
        <f t="shared" si="0"/>
        <v>0.16465168947131603</v>
      </c>
      <c r="M48" s="10">
        <f t="shared" si="4"/>
        <v>0.17231016583409114</v>
      </c>
      <c r="P48" s="8">
        <f t="shared" si="5"/>
        <v>-0.55989915745278573</v>
      </c>
    </row>
    <row r="49" spans="1:25" x14ac:dyDescent="0.2">
      <c r="A49" s="8">
        <v>23.5</v>
      </c>
      <c r="B49" s="8">
        <v>47</v>
      </c>
      <c r="D49">
        <v>2357.4657039711001</v>
      </c>
      <c r="E49">
        <v>475.32336255801999</v>
      </c>
      <c r="F49">
        <v>118.2399380805</v>
      </c>
      <c r="G49">
        <v>106.96026831784999</v>
      </c>
      <c r="I49" s="9">
        <f t="shared" si="1"/>
        <v>368.36309424016997</v>
      </c>
      <c r="J49" s="9">
        <f t="shared" si="2"/>
        <v>2239.2257658906001</v>
      </c>
      <c r="K49" s="9">
        <f t="shared" si="3"/>
        <v>368.36309424016997</v>
      </c>
      <c r="L49" s="10">
        <f t="shared" si="0"/>
        <v>0.16450466935997501</v>
      </c>
      <c r="M49" s="10">
        <f t="shared" si="4"/>
        <v>0.17232963433933218</v>
      </c>
      <c r="P49" s="8">
        <f t="shared" si="5"/>
        <v>-0.54866389390898218</v>
      </c>
    </row>
    <row r="50" spans="1:25" x14ac:dyDescent="0.2">
      <c r="A50" s="8">
        <v>24</v>
      </c>
      <c r="B50" s="8">
        <v>48</v>
      </c>
      <c r="D50">
        <v>2359.5683341928998</v>
      </c>
      <c r="E50">
        <v>475.08767405879001</v>
      </c>
      <c r="F50">
        <v>117.88132094943001</v>
      </c>
      <c r="G50">
        <v>106.90454076367</v>
      </c>
      <c r="I50" s="9">
        <f t="shared" si="1"/>
        <v>368.18313329512</v>
      </c>
      <c r="J50" s="9">
        <f t="shared" si="2"/>
        <v>2241.6870132434697</v>
      </c>
      <c r="K50" s="9">
        <f t="shared" si="3"/>
        <v>368.18313329512</v>
      </c>
      <c r="L50" s="10">
        <f t="shared" si="0"/>
        <v>0.16424377315832342</v>
      </c>
      <c r="M50" s="10">
        <f t="shared" si="4"/>
        <v>0.17223522675426267</v>
      </c>
      <c r="P50" s="8">
        <f t="shared" si="5"/>
        <v>-0.60314645873137762</v>
      </c>
    </row>
    <row r="51" spans="1:25" x14ac:dyDescent="0.2">
      <c r="A51" s="8">
        <v>24.5</v>
      </c>
      <c r="B51" s="8">
        <v>49</v>
      </c>
      <c r="D51">
        <v>2358.1567818463</v>
      </c>
      <c r="E51">
        <v>473.47705002578999</v>
      </c>
      <c r="F51">
        <v>117.96026831784999</v>
      </c>
      <c r="G51">
        <v>106.91434468524</v>
      </c>
      <c r="I51" s="9">
        <f t="shared" si="1"/>
        <v>366.56270534055</v>
      </c>
      <c r="J51" s="9">
        <f t="shared" si="2"/>
        <v>2240.1965135284499</v>
      </c>
      <c r="K51" s="9">
        <f t="shared" si="3"/>
        <v>366.56270534055</v>
      </c>
      <c r="L51" s="10">
        <f t="shared" si="0"/>
        <v>0.16362970977184085</v>
      </c>
      <c r="M51" s="10">
        <f t="shared" si="4"/>
        <v>0.17178765198436216</v>
      </c>
      <c r="P51" s="8">
        <f t="shared" si="5"/>
        <v>-0.86144160944430814</v>
      </c>
    </row>
    <row r="52" spans="1:25" x14ac:dyDescent="0.2">
      <c r="A52" s="8">
        <v>25</v>
      </c>
      <c r="B52" s="8">
        <v>50</v>
      </c>
      <c r="D52">
        <v>2367.7091284167</v>
      </c>
      <c r="E52">
        <v>481.46621970088</v>
      </c>
      <c r="F52">
        <v>118.10268317854</v>
      </c>
      <c r="G52">
        <v>106.95046439629</v>
      </c>
      <c r="I52" s="9">
        <f t="shared" si="1"/>
        <v>374.51575530459002</v>
      </c>
      <c r="J52" s="9">
        <f t="shared" si="2"/>
        <v>2249.6064452381602</v>
      </c>
      <c r="K52" s="9">
        <f t="shared" si="3"/>
        <v>374.51575530459002</v>
      </c>
      <c r="L52" s="10">
        <f t="shared" si="0"/>
        <v>0.16648056645523213</v>
      </c>
      <c r="M52" s="10">
        <f t="shared" si="4"/>
        <v>0.17480499728433552</v>
      </c>
      <c r="P52" s="8">
        <f t="shared" si="5"/>
        <v>0.87986668454825223</v>
      </c>
    </row>
    <row r="53" spans="1:25" x14ac:dyDescent="0.2">
      <c r="A53" s="8">
        <v>25.5</v>
      </c>
      <c r="B53" s="8">
        <v>51</v>
      </c>
      <c r="D53">
        <v>2359.2975760701001</v>
      </c>
      <c r="E53">
        <v>479.60649819495001</v>
      </c>
      <c r="F53">
        <v>118.21207430341001</v>
      </c>
      <c r="G53">
        <v>107.2528379773</v>
      </c>
      <c r="I53" s="9">
        <f t="shared" si="1"/>
        <v>372.35366021765003</v>
      </c>
      <c r="J53" s="9">
        <f t="shared" si="2"/>
        <v>2241.08550176669</v>
      </c>
      <c r="K53" s="9">
        <f t="shared" si="3"/>
        <v>372.35366021765003</v>
      </c>
      <c r="L53" s="10">
        <f t="shared" si="0"/>
        <v>0.16614879705576455</v>
      </c>
      <c r="M53" s="10">
        <f t="shared" si="4"/>
        <v>0.17463971650144999</v>
      </c>
      <c r="P53" s="8">
        <f t="shared" si="5"/>
        <v>0.78448323669470765</v>
      </c>
      <c r="S53" s="11"/>
      <c r="U53" s="12"/>
    </row>
    <row r="54" spans="1:25" x14ac:dyDescent="0.2">
      <c r="A54" s="8">
        <v>26</v>
      </c>
      <c r="B54" s="8">
        <v>52</v>
      </c>
      <c r="D54">
        <v>2360.5162454873998</v>
      </c>
      <c r="E54">
        <v>479.23568849922998</v>
      </c>
      <c r="F54">
        <v>118.07843137255</v>
      </c>
      <c r="G54">
        <v>106.92827657379</v>
      </c>
      <c r="I54" s="9">
        <f t="shared" si="1"/>
        <v>372.30741192543996</v>
      </c>
      <c r="J54" s="9">
        <f t="shared" si="2"/>
        <v>2242.43781411485</v>
      </c>
      <c r="K54" s="9">
        <f t="shared" si="3"/>
        <v>372.30741192543996</v>
      </c>
      <c r="L54" s="10">
        <f t="shared" si="0"/>
        <v>0.16602797615255147</v>
      </c>
      <c r="M54" s="10">
        <f t="shared" si="4"/>
        <v>0.174685384214819</v>
      </c>
      <c r="P54" s="8">
        <f t="shared" si="5"/>
        <v>0.81083804867390674</v>
      </c>
      <c r="S54" s="11"/>
    </row>
    <row r="55" spans="1:25" x14ac:dyDescent="0.2">
      <c r="A55" s="8">
        <v>26.5</v>
      </c>
      <c r="B55" s="8">
        <v>53</v>
      </c>
      <c r="D55">
        <v>2369.6668385766002</v>
      </c>
      <c r="E55">
        <v>484.70397111913002</v>
      </c>
      <c r="F55">
        <v>118.1826625387</v>
      </c>
      <c r="G55">
        <v>107.28895768834001</v>
      </c>
      <c r="I55" s="9">
        <f t="shared" si="1"/>
        <v>377.41501343079</v>
      </c>
      <c r="J55" s="9">
        <f t="shared" si="2"/>
        <v>2251.4841760379004</v>
      </c>
      <c r="K55" s="9">
        <f t="shared" si="3"/>
        <v>377.41501343079</v>
      </c>
      <c r="L55" s="10">
        <f t="shared" si="0"/>
        <v>0.16762943193096497</v>
      </c>
      <c r="M55" s="10">
        <f t="shared" si="4"/>
        <v>0.17645332860981455</v>
      </c>
      <c r="P55" s="8">
        <f t="shared" si="5"/>
        <v>1.831117775475678</v>
      </c>
      <c r="S55" s="11"/>
    </row>
    <row r="56" spans="1:25" x14ac:dyDescent="0.2">
      <c r="A56" s="8">
        <v>27</v>
      </c>
      <c r="B56" s="8">
        <v>54</v>
      </c>
      <c r="D56">
        <v>2306.7024239298999</v>
      </c>
      <c r="E56">
        <v>463.48272305312003</v>
      </c>
      <c r="F56">
        <v>118.07894736842</v>
      </c>
      <c r="G56">
        <v>106.80804953560001</v>
      </c>
      <c r="I56" s="9">
        <f t="shared" si="1"/>
        <v>356.67467351752003</v>
      </c>
      <c r="J56" s="9">
        <f t="shared" si="2"/>
        <v>2188.6234765614799</v>
      </c>
      <c r="K56" s="9">
        <f t="shared" si="3"/>
        <v>356.67467351752003</v>
      </c>
      <c r="L56" s="10">
        <f t="shared" si="0"/>
        <v>0.16296758091889216</v>
      </c>
      <c r="M56" s="10">
        <f t="shared" si="4"/>
        <v>0.1719579662143238</v>
      </c>
      <c r="P56" s="8">
        <f t="shared" si="5"/>
        <v>-0.76315336208336637</v>
      </c>
      <c r="S56" s="11"/>
    </row>
    <row r="57" spans="1:25" x14ac:dyDescent="0.2">
      <c r="A57" s="8">
        <v>27.5</v>
      </c>
      <c r="B57" s="8">
        <v>55</v>
      </c>
      <c r="D57">
        <v>2296.4105208871001</v>
      </c>
      <c r="E57">
        <v>464.52707581227003</v>
      </c>
      <c r="F57">
        <v>118.01651186791</v>
      </c>
      <c r="G57">
        <v>106.89473684211001</v>
      </c>
      <c r="I57" s="9">
        <f t="shared" si="1"/>
        <v>357.63233897016005</v>
      </c>
      <c r="J57" s="9">
        <f t="shared" si="2"/>
        <v>2178.39400901919</v>
      </c>
      <c r="K57" s="9">
        <f t="shared" si="3"/>
        <v>357.63233897016005</v>
      </c>
      <c r="L57" s="10">
        <f t="shared" si="0"/>
        <v>0.16417247636995755</v>
      </c>
      <c r="M57" s="10">
        <f t="shared" si="4"/>
        <v>0.17332935028197127</v>
      </c>
      <c r="P57" s="8">
        <f t="shared" si="5"/>
        <v>2.8271620421913234E-2</v>
      </c>
      <c r="S57" s="11"/>
    </row>
    <row r="58" spans="1:25" x14ac:dyDescent="0.2">
      <c r="A58" s="8">
        <v>28</v>
      </c>
      <c r="B58" s="8">
        <v>56</v>
      </c>
      <c r="D58">
        <v>2296.5554409489</v>
      </c>
      <c r="E58">
        <v>461.73233625580002</v>
      </c>
      <c r="F58">
        <v>118.12383900928999</v>
      </c>
      <c r="G58">
        <v>106.95304437564999</v>
      </c>
      <c r="I58" s="9">
        <f t="shared" si="1"/>
        <v>354.77929188015003</v>
      </c>
      <c r="J58" s="9">
        <f t="shared" si="2"/>
        <v>2178.4316019396101</v>
      </c>
      <c r="K58" s="9">
        <f t="shared" si="3"/>
        <v>354.77929188015003</v>
      </c>
      <c r="L58" s="10">
        <f t="shared" si="0"/>
        <v>0.16285996382179968</v>
      </c>
      <c r="M58" s="10">
        <f t="shared" si="4"/>
        <v>0.17218332635039546</v>
      </c>
      <c r="P58" s="8">
        <f t="shared" si="5"/>
        <v>-0.63309815292969696</v>
      </c>
      <c r="S58" s="11"/>
    </row>
    <row r="59" spans="1:25" x14ac:dyDescent="0.2">
      <c r="A59" s="8">
        <v>28.5</v>
      </c>
      <c r="B59" s="8">
        <v>57</v>
      </c>
      <c r="D59">
        <v>2306.7307890665002</v>
      </c>
      <c r="E59">
        <v>464.62919030427997</v>
      </c>
      <c r="F59">
        <v>118.04024767801999</v>
      </c>
      <c r="G59">
        <v>107.03147574819</v>
      </c>
      <c r="I59" s="9">
        <f t="shared" si="1"/>
        <v>357.59771455608995</v>
      </c>
      <c r="J59" s="9">
        <f t="shared" si="2"/>
        <v>2188.6905413884801</v>
      </c>
      <c r="K59" s="9">
        <f t="shared" si="3"/>
        <v>357.59771455608995</v>
      </c>
      <c r="L59" s="10">
        <f t="shared" si="0"/>
        <v>0.16338431943386297</v>
      </c>
      <c r="M59" s="10">
        <f t="shared" si="4"/>
        <v>0.17287417057904084</v>
      </c>
      <c r="P59" s="8">
        <f t="shared" si="5"/>
        <v>-0.23441233291177946</v>
      </c>
      <c r="R59" s="1"/>
      <c r="S59" s="11"/>
    </row>
    <row r="60" spans="1:25" x14ac:dyDescent="0.2">
      <c r="A60" s="8">
        <v>29</v>
      </c>
      <c r="B60" s="8">
        <v>58</v>
      </c>
      <c r="D60">
        <v>2285.4043321300001</v>
      </c>
      <c r="E60">
        <v>457.33109850438001</v>
      </c>
      <c r="F60">
        <v>118.09184726522</v>
      </c>
      <c r="G60">
        <v>106.89370485036</v>
      </c>
      <c r="I60" s="9">
        <f t="shared" si="1"/>
        <v>350.43739365402001</v>
      </c>
      <c r="J60" s="9">
        <f t="shared" si="2"/>
        <v>2167.3124848647799</v>
      </c>
      <c r="K60" s="9">
        <f t="shared" si="3"/>
        <v>350.43739365402001</v>
      </c>
      <c r="L60" s="10">
        <f t="shared" si="0"/>
        <v>0.16169213996655588</v>
      </c>
      <c r="M60" s="10">
        <f t="shared" si="4"/>
        <v>0.17134847972831579</v>
      </c>
      <c r="P60" s="8">
        <f t="shared" si="5"/>
        <v>-1.1148876740865334</v>
      </c>
      <c r="S60" s="11"/>
    </row>
    <row r="61" spans="1:25" x14ac:dyDescent="0.2">
      <c r="A61" s="8">
        <v>29.5</v>
      </c>
      <c r="B61" s="8">
        <v>59</v>
      </c>
      <c r="C61" s="2"/>
      <c r="D61">
        <v>2405.0700669757998</v>
      </c>
      <c r="E61">
        <v>487.53580628541999</v>
      </c>
      <c r="F61">
        <v>118.10732714138</v>
      </c>
      <c r="G61">
        <v>106.93962848296999</v>
      </c>
      <c r="I61" s="9">
        <f t="shared" si="1"/>
        <v>380.59617780245003</v>
      </c>
      <c r="J61" s="9">
        <f t="shared" si="2"/>
        <v>2286.9627398344196</v>
      </c>
      <c r="K61" s="9">
        <f t="shared" si="3"/>
        <v>380.59617780245003</v>
      </c>
      <c r="L61" s="10">
        <f t="shared" si="0"/>
        <v>0.16641992944319062</v>
      </c>
      <c r="M61" s="10">
        <f t="shared" si="4"/>
        <v>0.17624275782153262</v>
      </c>
      <c r="P61" s="8">
        <f t="shared" si="5"/>
        <v>1.7095974907037892</v>
      </c>
      <c r="S61" s="11"/>
    </row>
    <row r="62" spans="1:25" x14ac:dyDescent="0.2">
      <c r="A62" s="8">
        <v>30</v>
      </c>
      <c r="B62" s="8">
        <v>60</v>
      </c>
      <c r="D62">
        <v>2580.6018518518999</v>
      </c>
      <c r="E62">
        <v>503.20576131687</v>
      </c>
      <c r="F62">
        <v>118.00515995872</v>
      </c>
      <c r="G62">
        <v>106.89628482972</v>
      </c>
      <c r="I62" s="9">
        <f t="shared" si="1"/>
        <v>396.30947648714999</v>
      </c>
      <c r="J62" s="9">
        <f t="shared" si="2"/>
        <v>2462.5966918931799</v>
      </c>
      <c r="K62" s="9">
        <f t="shared" si="3"/>
        <v>396.30947648714999</v>
      </c>
      <c r="L62" s="10">
        <f t="shared" si="0"/>
        <v>0.16093153937540525</v>
      </c>
      <c r="M62" s="10">
        <f t="shared" si="4"/>
        <v>0.1709208563703293</v>
      </c>
      <c r="P62" s="8">
        <f t="shared" si="5"/>
        <v>-1.3616688760833349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2530.2605344295998</v>
      </c>
      <c r="E63">
        <v>502.53288797533003</v>
      </c>
      <c r="F63">
        <v>117.88596491228</v>
      </c>
      <c r="G63">
        <v>107.06707946336</v>
      </c>
      <c r="I63" s="9">
        <f t="shared" si="1"/>
        <v>395.46580851197001</v>
      </c>
      <c r="J63" s="9">
        <f t="shared" si="2"/>
        <v>2412.3745695173197</v>
      </c>
      <c r="K63" s="9">
        <f t="shared" si="3"/>
        <v>395.46580851197001</v>
      </c>
      <c r="L63" s="10">
        <f t="shared" si="0"/>
        <v>0.16393217434351284</v>
      </c>
      <c r="M63" s="10">
        <f t="shared" si="4"/>
        <v>0.17408797995501898</v>
      </c>
      <c r="P63" s="8">
        <f t="shared" si="5"/>
        <v>0.46607638269373852</v>
      </c>
    </row>
    <row r="64" spans="1:25" x14ac:dyDescent="0.2">
      <c r="A64" s="8">
        <v>31</v>
      </c>
      <c r="B64" s="8">
        <v>62</v>
      </c>
      <c r="D64">
        <v>2455.7014388489001</v>
      </c>
      <c r="E64">
        <v>491.00462487152998</v>
      </c>
      <c r="F64">
        <v>117.77554179566999</v>
      </c>
      <c r="G64">
        <v>106.86738906089001</v>
      </c>
      <c r="I64" s="9">
        <f t="shared" si="1"/>
        <v>384.13723581063999</v>
      </c>
      <c r="J64" s="9">
        <f t="shared" si="2"/>
        <v>2337.9258970532301</v>
      </c>
      <c r="K64" s="9">
        <f t="shared" si="3"/>
        <v>384.13723581063999</v>
      </c>
      <c r="L64" s="10">
        <f t="shared" si="0"/>
        <v>0.16430684834571296</v>
      </c>
      <c r="M64" s="10">
        <f t="shared" si="4"/>
        <v>0.17462914257380116</v>
      </c>
      <c r="P64" s="8">
        <f t="shared" si="5"/>
        <v>0.77838102893109762</v>
      </c>
      <c r="U64" s="8">
        <v>30.5</v>
      </c>
      <c r="V64" s="10">
        <f>L62</f>
        <v>0.16093153937540525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2389.275950668</v>
      </c>
      <c r="E65">
        <v>483.55190133606999</v>
      </c>
      <c r="F65">
        <v>118.22291021672</v>
      </c>
      <c r="G65">
        <v>107.01031991744</v>
      </c>
      <c r="I65" s="9">
        <f t="shared" si="1"/>
        <v>376.54158141863002</v>
      </c>
      <c r="J65" s="9">
        <f t="shared" si="2"/>
        <v>2271.0530404512801</v>
      </c>
      <c r="K65" s="9">
        <f t="shared" si="3"/>
        <v>376.54158141863002</v>
      </c>
      <c r="L65" s="10">
        <f t="shared" si="0"/>
        <v>0.16580043473745007</v>
      </c>
      <c r="M65" s="10">
        <f t="shared" si="4"/>
        <v>0.17628921758212032</v>
      </c>
      <c r="P65" s="8">
        <f t="shared" si="5"/>
        <v>1.7364093926922657</v>
      </c>
      <c r="U65" s="8">
        <v>31</v>
      </c>
      <c r="V65" s="10">
        <f t="shared" ref="V65:V83" si="6">L63</f>
        <v>0.16393217434351284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2323.6855087358999</v>
      </c>
      <c r="E66">
        <v>466.96505652620999</v>
      </c>
      <c r="F66">
        <v>117.64241486068001</v>
      </c>
      <c r="G66">
        <v>106.83436532508</v>
      </c>
      <c r="I66" s="9">
        <f t="shared" si="1"/>
        <v>360.13069120112999</v>
      </c>
      <c r="J66" s="9">
        <f t="shared" si="2"/>
        <v>2206.0430938752197</v>
      </c>
      <c r="K66" s="9">
        <f t="shared" si="3"/>
        <v>360.13069120112999</v>
      </c>
      <c r="L66" s="10">
        <f t="shared" ref="L66:L129" si="7">K66/J66</f>
        <v>0.16324735097015292</v>
      </c>
      <c r="M66" s="10">
        <f t="shared" si="4"/>
        <v>0.17390262243140525</v>
      </c>
      <c r="P66" s="8">
        <f t="shared" si="5"/>
        <v>0.35910665893512034</v>
      </c>
      <c r="U66" s="8">
        <v>31.5</v>
      </c>
      <c r="V66" s="10">
        <f t="shared" si="6"/>
        <v>0.16430684834571296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2346.8453237409999</v>
      </c>
      <c r="E67">
        <v>474.65056526208002</v>
      </c>
      <c r="F67">
        <v>117.99432404541</v>
      </c>
      <c r="G67">
        <v>107.16150670795</v>
      </c>
      <c r="I67" s="9">
        <f t="shared" ref="I67:I130" si="8">E67-G67</f>
        <v>367.48905855413</v>
      </c>
      <c r="J67" s="9">
        <f t="shared" ref="J67:J130" si="9">D67-F67</f>
        <v>2228.85099969559</v>
      </c>
      <c r="K67" s="9">
        <f t="shared" ref="K67:K130" si="10">I67*1</f>
        <v>367.48905855413</v>
      </c>
      <c r="L67" s="10">
        <f t="shared" si="7"/>
        <v>0.16487825278779092</v>
      </c>
      <c r="M67" s="10">
        <f t="shared" ref="M67:M130" si="11">L67+ABS($N$2)*A67</f>
        <v>0.17570001286562531</v>
      </c>
      <c r="P67" s="8">
        <f t="shared" ref="P67:P130" si="12">(M67-$O$2)/$O$2*100</f>
        <v>1.3963796785918081</v>
      </c>
      <c r="U67" s="8">
        <v>32</v>
      </c>
      <c r="V67" s="10">
        <f t="shared" si="6"/>
        <v>0.16580043473745007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2300.1205564142001</v>
      </c>
      <c r="E68">
        <v>459.75321998970003</v>
      </c>
      <c r="F68">
        <v>117.95252837977</v>
      </c>
      <c r="G68">
        <v>107.03147574819</v>
      </c>
      <c r="I68" s="9">
        <f t="shared" si="8"/>
        <v>352.72174424151001</v>
      </c>
      <c r="J68" s="9">
        <f t="shared" si="9"/>
        <v>2182.1680280344299</v>
      </c>
      <c r="K68" s="9">
        <f t="shared" si="10"/>
        <v>352.72174424151001</v>
      </c>
      <c r="L68" s="10">
        <f t="shared" si="7"/>
        <v>0.16163821470669298</v>
      </c>
      <c r="M68" s="10">
        <f t="shared" si="11"/>
        <v>0.17262646340110946</v>
      </c>
      <c r="P68" s="8">
        <f t="shared" si="12"/>
        <v>-0.37736400749049198</v>
      </c>
      <c r="U68" s="8">
        <v>32.5</v>
      </c>
      <c r="V68" s="10">
        <f t="shared" si="6"/>
        <v>0.16324735097015292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2196.4451313755999</v>
      </c>
      <c r="E69">
        <v>441.76455435343001</v>
      </c>
      <c r="F69">
        <v>117.88390092879</v>
      </c>
      <c r="G69">
        <v>106.85242518059999</v>
      </c>
      <c r="I69" s="9">
        <f t="shared" si="8"/>
        <v>334.91212917283002</v>
      </c>
      <c r="J69" s="9">
        <f t="shared" si="9"/>
        <v>2078.56123044681</v>
      </c>
      <c r="K69" s="9">
        <f t="shared" si="10"/>
        <v>334.91212917283002</v>
      </c>
      <c r="L69" s="10">
        <f t="shared" si="7"/>
        <v>0.1611269007941791</v>
      </c>
      <c r="M69" s="10">
        <f t="shared" si="11"/>
        <v>0.17228163810517763</v>
      </c>
      <c r="P69" s="8">
        <f t="shared" si="12"/>
        <v>-0.57636249393810957</v>
      </c>
      <c r="U69" s="8">
        <v>33</v>
      </c>
      <c r="V69" s="10">
        <f t="shared" si="6"/>
        <v>0.16487825278779092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2293.7904468412999</v>
      </c>
      <c r="E70">
        <v>458.78993323061002</v>
      </c>
      <c r="F70">
        <v>118.18782249742</v>
      </c>
      <c r="G70">
        <v>106.99277605779</v>
      </c>
      <c r="I70" s="9">
        <f t="shared" si="8"/>
        <v>351.79715717281999</v>
      </c>
      <c r="J70" s="9">
        <f t="shared" si="9"/>
        <v>2175.6026243438801</v>
      </c>
      <c r="K70" s="9">
        <f t="shared" si="10"/>
        <v>351.79715717281999</v>
      </c>
      <c r="L70" s="10">
        <f t="shared" si="7"/>
        <v>0.16170101710504933</v>
      </c>
      <c r="M70" s="10">
        <f t="shared" si="11"/>
        <v>0.17302224303262995</v>
      </c>
      <c r="P70" s="8">
        <f t="shared" si="12"/>
        <v>-0.14895980232178627</v>
      </c>
      <c r="U70" s="8">
        <v>33.5</v>
      </c>
      <c r="V70" s="10">
        <f t="shared" si="6"/>
        <v>0.16163821470669298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2316.6610169492001</v>
      </c>
      <c r="E71">
        <v>464.48638931689999</v>
      </c>
      <c r="F71">
        <v>118.05211558308</v>
      </c>
      <c r="G71">
        <v>106.68833849329</v>
      </c>
      <c r="I71" s="9">
        <f t="shared" si="8"/>
        <v>357.79805082360997</v>
      </c>
      <c r="J71" s="9">
        <f t="shared" si="9"/>
        <v>2198.6089013661199</v>
      </c>
      <c r="K71" s="9">
        <f t="shared" si="10"/>
        <v>357.79805082360997</v>
      </c>
      <c r="L71" s="10">
        <f t="shared" si="7"/>
        <v>0.16273837998258345</v>
      </c>
      <c r="M71" s="10">
        <f t="shared" si="11"/>
        <v>0.17422609452674612</v>
      </c>
      <c r="P71" s="8">
        <f t="shared" si="12"/>
        <v>0.54578222520099473</v>
      </c>
      <c r="U71" s="8">
        <v>34</v>
      </c>
      <c r="V71" s="10">
        <f t="shared" si="6"/>
        <v>0.1611269007941791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2332.7457627119002</v>
      </c>
      <c r="E72">
        <v>473.07498715972997</v>
      </c>
      <c r="F72">
        <v>117.96439628483</v>
      </c>
      <c r="G72">
        <v>106.88028895769</v>
      </c>
      <c r="I72" s="9">
        <f t="shared" si="8"/>
        <v>366.19469820203994</v>
      </c>
      <c r="J72" s="9">
        <f t="shared" si="9"/>
        <v>2214.7813664270702</v>
      </c>
      <c r="K72" s="9">
        <f t="shared" si="10"/>
        <v>366.19469820203994</v>
      </c>
      <c r="L72" s="10">
        <f t="shared" si="7"/>
        <v>0.1653412403377732</v>
      </c>
      <c r="M72" s="10">
        <f t="shared" si="11"/>
        <v>0.17699544349851792</v>
      </c>
      <c r="P72" s="8">
        <f t="shared" si="12"/>
        <v>2.1439719761547882</v>
      </c>
      <c r="U72" s="8">
        <v>34.5</v>
      </c>
      <c r="V72" s="10">
        <f t="shared" si="6"/>
        <v>0.16170101710504933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2289.9069286453</v>
      </c>
      <c r="E73">
        <v>451.85470527403999</v>
      </c>
      <c r="F73">
        <v>118.12074303406</v>
      </c>
      <c r="G73">
        <v>107.09391124871</v>
      </c>
      <c r="I73" s="9">
        <f t="shared" si="8"/>
        <v>344.76079402532997</v>
      </c>
      <c r="J73" s="9">
        <f t="shared" si="9"/>
        <v>2171.7861856112399</v>
      </c>
      <c r="K73" s="9">
        <f t="shared" si="10"/>
        <v>344.76079402532997</v>
      </c>
      <c r="L73" s="10">
        <f t="shared" si="7"/>
        <v>0.158745274424102</v>
      </c>
      <c r="M73" s="10">
        <f t="shared" si="11"/>
        <v>0.1705659662014288</v>
      </c>
      <c r="P73" s="8">
        <f t="shared" si="12"/>
        <v>-1.5664757951218422</v>
      </c>
      <c r="U73" s="8">
        <v>35</v>
      </c>
      <c r="V73" s="10">
        <f t="shared" si="6"/>
        <v>0.16273837998258345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2254.5527404343002</v>
      </c>
      <c r="E74">
        <v>445.33453981385998</v>
      </c>
      <c r="F74">
        <v>117.96542827656999</v>
      </c>
      <c r="G74">
        <v>106.86326109391</v>
      </c>
      <c r="I74" s="9">
        <f t="shared" si="8"/>
        <v>338.47127871994996</v>
      </c>
      <c r="J74" s="9">
        <f t="shared" si="9"/>
        <v>2136.5873121577301</v>
      </c>
      <c r="K74" s="9">
        <f t="shared" si="10"/>
        <v>338.47127871994996</v>
      </c>
      <c r="L74" s="10">
        <f t="shared" si="7"/>
        <v>0.15841677838015863</v>
      </c>
      <c r="M74" s="10">
        <f t="shared" si="11"/>
        <v>0.1704039587740675</v>
      </c>
      <c r="P74" s="8">
        <f t="shared" si="12"/>
        <v>-1.6599701913234066</v>
      </c>
      <c r="U74" s="8">
        <v>35.5</v>
      </c>
      <c r="V74" s="10">
        <f t="shared" si="6"/>
        <v>0.1653412403377732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2421.6907962772002</v>
      </c>
      <c r="E75">
        <v>479.42761116856002</v>
      </c>
      <c r="F75">
        <v>118.35706914345</v>
      </c>
      <c r="G75">
        <v>106.85500515996</v>
      </c>
      <c r="I75" s="9">
        <f t="shared" si="8"/>
        <v>372.57260600860002</v>
      </c>
      <c r="J75" s="9">
        <f t="shared" si="9"/>
        <v>2303.33372713375</v>
      </c>
      <c r="K75" s="9">
        <f t="shared" si="10"/>
        <v>372.57260600860002</v>
      </c>
      <c r="L75" s="10">
        <f t="shared" si="7"/>
        <v>0.16175363631401621</v>
      </c>
      <c r="M75" s="10">
        <f t="shared" si="11"/>
        <v>0.17390730532450716</v>
      </c>
      <c r="P75" s="8">
        <f t="shared" si="12"/>
        <v>0.36180915393902252</v>
      </c>
      <c r="U75" s="8">
        <v>36</v>
      </c>
      <c r="V75" s="10">
        <f t="shared" si="6"/>
        <v>0.158745274424102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2369.3960703205998</v>
      </c>
      <c r="E76">
        <v>466.23422957601002</v>
      </c>
      <c r="F76">
        <v>118.31114551084001</v>
      </c>
      <c r="G76">
        <v>106.9133126935</v>
      </c>
      <c r="I76" s="9">
        <f t="shared" si="8"/>
        <v>359.32091688251001</v>
      </c>
      <c r="J76" s="9">
        <f t="shared" si="9"/>
        <v>2251.0849248097597</v>
      </c>
      <c r="K76" s="9">
        <f t="shared" si="10"/>
        <v>359.32091688251001</v>
      </c>
      <c r="L76" s="10">
        <f t="shared" si="7"/>
        <v>0.15962121771699767</v>
      </c>
      <c r="M76" s="10">
        <f t="shared" si="11"/>
        <v>0.17194137534407067</v>
      </c>
      <c r="P76" s="8">
        <f t="shared" si="12"/>
        <v>-0.7727279440765461</v>
      </c>
      <c r="U76" s="8">
        <v>36.5</v>
      </c>
      <c r="V76" s="10">
        <f t="shared" si="6"/>
        <v>0.15841677838015863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2395.0087224218</v>
      </c>
      <c r="E77">
        <v>475.79066187788999</v>
      </c>
      <c r="F77">
        <v>117.88390092879</v>
      </c>
      <c r="G77">
        <v>106.70794633643</v>
      </c>
      <c r="I77" s="9">
        <f t="shared" si="8"/>
        <v>369.08271554146</v>
      </c>
      <c r="J77" s="9">
        <f t="shared" si="9"/>
        <v>2277.1248214930101</v>
      </c>
      <c r="K77" s="9">
        <f t="shared" si="10"/>
        <v>369.08271554146</v>
      </c>
      <c r="L77" s="10">
        <f t="shared" si="7"/>
        <v>0.16208277739446394</v>
      </c>
      <c r="M77" s="10">
        <f t="shared" si="11"/>
        <v>0.17456942363811903</v>
      </c>
      <c r="P77" s="8">
        <f t="shared" si="12"/>
        <v>0.7439172643720271</v>
      </c>
      <c r="U77" s="8">
        <v>37</v>
      </c>
      <c r="V77" s="10">
        <f t="shared" si="6"/>
        <v>0.16175363631401621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2419.5942622951002</v>
      </c>
      <c r="E78">
        <v>473.62807377049</v>
      </c>
      <c r="F78">
        <v>118.044375645</v>
      </c>
      <c r="G78">
        <v>106.76883384932999</v>
      </c>
      <c r="I78" s="9">
        <f t="shared" si="8"/>
        <v>366.85923992116</v>
      </c>
      <c r="J78" s="9">
        <f t="shared" si="9"/>
        <v>2301.5498866501002</v>
      </c>
      <c r="K78" s="9">
        <f t="shared" si="10"/>
        <v>366.85923992116</v>
      </c>
      <c r="L78" s="10">
        <f t="shared" si="7"/>
        <v>0.15939660576079132</v>
      </c>
      <c r="M78" s="10">
        <f t="shared" si="11"/>
        <v>0.17204974062102846</v>
      </c>
      <c r="P78" s="8">
        <f t="shared" si="12"/>
        <v>-0.7101904030304268</v>
      </c>
      <c r="U78" s="8">
        <v>37.5</v>
      </c>
      <c r="V78" s="10">
        <f t="shared" si="6"/>
        <v>0.15962121771699767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2467.2858606557002</v>
      </c>
      <c r="E79">
        <v>483.66803278689002</v>
      </c>
      <c r="F79">
        <v>117.95252837977</v>
      </c>
      <c r="G79">
        <v>106.82249742002</v>
      </c>
      <c r="I79" s="9">
        <f t="shared" si="8"/>
        <v>376.84553536687002</v>
      </c>
      <c r="J79" s="9">
        <f t="shared" si="9"/>
        <v>2349.3333322759299</v>
      </c>
      <c r="K79" s="9">
        <f t="shared" si="10"/>
        <v>376.84553536687002</v>
      </c>
      <c r="L79" s="10">
        <f t="shared" si="7"/>
        <v>0.16040530740769715</v>
      </c>
      <c r="M79" s="10">
        <f t="shared" si="11"/>
        <v>0.17322493088451638</v>
      </c>
      <c r="P79" s="8">
        <f t="shared" si="12"/>
        <v>-3.1988755758275034E-2</v>
      </c>
      <c r="U79" s="8">
        <v>38</v>
      </c>
      <c r="V79" s="10">
        <f t="shared" si="6"/>
        <v>0.16208277739446394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2444.2382172131001</v>
      </c>
      <c r="E80">
        <v>477.10963114753997</v>
      </c>
      <c r="F80">
        <v>118.30701754386</v>
      </c>
      <c r="G80">
        <v>106.82404540764</v>
      </c>
      <c r="I80" s="9">
        <f t="shared" si="8"/>
        <v>370.28558573989994</v>
      </c>
      <c r="J80" s="9">
        <f t="shared" si="9"/>
        <v>2325.93119966924</v>
      </c>
      <c r="K80" s="9">
        <f t="shared" si="10"/>
        <v>370.28558573989994</v>
      </c>
      <c r="L80" s="10">
        <f t="shared" si="7"/>
        <v>0.15919885583569993</v>
      </c>
      <c r="M80" s="10">
        <f t="shared" si="11"/>
        <v>0.17218496792910121</v>
      </c>
      <c r="P80" s="8">
        <f t="shared" si="12"/>
        <v>-0.63215079877186042</v>
      </c>
      <c r="U80" s="8">
        <v>38.5</v>
      </c>
      <c r="V80" s="10">
        <f t="shared" si="6"/>
        <v>0.15939660576079132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2403.4528688525002</v>
      </c>
      <c r="E81">
        <v>470.01690573770998</v>
      </c>
      <c r="F81">
        <v>118.40299277606</v>
      </c>
      <c r="G81">
        <v>106.86480908153</v>
      </c>
      <c r="I81" s="9">
        <f t="shared" si="8"/>
        <v>363.15209665617999</v>
      </c>
      <c r="J81" s="9">
        <f t="shared" si="9"/>
        <v>2285.0498760764403</v>
      </c>
      <c r="K81" s="9">
        <f t="shared" si="10"/>
        <v>363.15209665617999</v>
      </c>
      <c r="L81" s="10">
        <f t="shared" si="7"/>
        <v>0.15892523855091192</v>
      </c>
      <c r="M81" s="10">
        <f t="shared" si="11"/>
        <v>0.17207783926089526</v>
      </c>
      <c r="P81" s="8">
        <f t="shared" si="12"/>
        <v>-0.69397469359524688</v>
      </c>
      <c r="U81" s="8">
        <v>39</v>
      </c>
      <c r="V81" s="10">
        <f t="shared" si="6"/>
        <v>0.16040530740769715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2458.5691434468999</v>
      </c>
      <c r="E82">
        <v>483.37564499484</v>
      </c>
      <c r="F82">
        <v>117.84055727553999</v>
      </c>
      <c r="G82">
        <v>106.84107327141</v>
      </c>
      <c r="H82" s="13"/>
      <c r="I82" s="14">
        <f t="shared" si="8"/>
        <v>376.53457172343002</v>
      </c>
      <c r="J82" s="14">
        <f t="shared" si="9"/>
        <v>2340.7285861713599</v>
      </c>
      <c r="K82" s="9">
        <f t="shared" si="10"/>
        <v>376.53457172343002</v>
      </c>
      <c r="L82" s="15">
        <f t="shared" si="7"/>
        <v>0.16086212384807638</v>
      </c>
      <c r="M82" s="15">
        <f t="shared" si="11"/>
        <v>0.1741812131746418</v>
      </c>
      <c r="N82" s="13"/>
      <c r="O82" s="13"/>
      <c r="P82" s="13">
        <f t="shared" si="12"/>
        <v>0.51988122187017505</v>
      </c>
      <c r="U82" s="8">
        <v>39.5</v>
      </c>
      <c r="V82" s="10">
        <f t="shared" si="6"/>
        <v>0.15919885583569993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2551.4458204334001</v>
      </c>
      <c r="E83">
        <v>503.29514963880001</v>
      </c>
      <c r="F83">
        <v>118.10216718266</v>
      </c>
      <c r="G83">
        <v>106.85706914345</v>
      </c>
      <c r="I83" s="9">
        <f t="shared" si="8"/>
        <v>396.43808049534999</v>
      </c>
      <c r="J83" s="9">
        <f t="shared" si="9"/>
        <v>2433.3436532507399</v>
      </c>
      <c r="K83" s="9">
        <f t="shared" si="10"/>
        <v>396.43808049534999</v>
      </c>
      <c r="L83" s="10">
        <f t="shared" si="7"/>
        <v>0.16291906815781754</v>
      </c>
      <c r="M83" s="10">
        <f t="shared" si="11"/>
        <v>0.17640464610096501</v>
      </c>
      <c r="P83" s="8">
        <f t="shared" si="12"/>
        <v>1.8030231267018637</v>
      </c>
      <c r="U83" s="8">
        <v>40</v>
      </c>
      <c r="V83" s="10">
        <f t="shared" si="6"/>
        <v>0.15892523855091192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2591.1191950463999</v>
      </c>
      <c r="E84">
        <v>522.80082559339996</v>
      </c>
      <c r="F84">
        <v>118.19556243549999</v>
      </c>
      <c r="G84">
        <v>107.05779153767</v>
      </c>
      <c r="I84" s="9">
        <f t="shared" si="8"/>
        <v>415.74303405572994</v>
      </c>
      <c r="J84" s="9">
        <f t="shared" si="9"/>
        <v>2472.9236326108999</v>
      </c>
      <c r="K84" s="9">
        <f t="shared" si="10"/>
        <v>415.74303405572994</v>
      </c>
      <c r="L84" s="10">
        <f t="shared" si="7"/>
        <v>0.16811802377285329</v>
      </c>
      <c r="M84" s="10">
        <f t="shared" si="11"/>
        <v>0.18177009033258285</v>
      </c>
      <c r="P84" s="8">
        <f t="shared" si="12"/>
        <v>4.8994180078423062</v>
      </c>
      <c r="U84" s="8">
        <v>150.5</v>
      </c>
      <c r="V84" s="10">
        <f>L302</f>
        <v>0.21197856630469067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2545.1750129065999</v>
      </c>
      <c r="E85">
        <v>508.15642746514999</v>
      </c>
      <c r="F85">
        <v>118.02837977295999</v>
      </c>
      <c r="G85">
        <v>106.82972136223</v>
      </c>
      <c r="I85" s="9">
        <f t="shared" si="8"/>
        <v>401.32670610291996</v>
      </c>
      <c r="J85" s="9">
        <f t="shared" si="9"/>
        <v>2427.1466331336401</v>
      </c>
      <c r="K85" s="9">
        <f t="shared" si="10"/>
        <v>401.32670610291996</v>
      </c>
      <c r="L85" s="10">
        <f t="shared" si="7"/>
        <v>0.16534918023670253</v>
      </c>
      <c r="M85" s="10">
        <f t="shared" si="11"/>
        <v>0.17916773541301415</v>
      </c>
      <c r="P85" s="8">
        <f t="shared" si="12"/>
        <v>3.3976004315121018</v>
      </c>
      <c r="U85" s="8">
        <v>151</v>
      </c>
      <c r="V85" s="10">
        <f t="shared" ref="V85:V103" si="13">L303</f>
        <v>0.21192049492043932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2483.7821373257998</v>
      </c>
      <c r="E86">
        <v>493.37067630356</v>
      </c>
      <c r="F86">
        <v>118.09081527348</v>
      </c>
      <c r="G86">
        <v>106.90608875129</v>
      </c>
      <c r="I86" s="9">
        <f t="shared" si="8"/>
        <v>386.46458755227002</v>
      </c>
      <c r="J86" s="9">
        <f t="shared" si="9"/>
        <v>2365.6913220523197</v>
      </c>
      <c r="K86" s="9">
        <f t="shared" si="10"/>
        <v>386.46458755227002</v>
      </c>
      <c r="L86" s="10">
        <f t="shared" si="7"/>
        <v>0.16336222056941838</v>
      </c>
      <c r="M86" s="10">
        <f t="shared" si="11"/>
        <v>0.17734726436231207</v>
      </c>
      <c r="P86" s="8">
        <f t="shared" si="12"/>
        <v>2.3470076009239484</v>
      </c>
      <c r="U86" s="8">
        <v>151.5</v>
      </c>
      <c r="V86" s="10">
        <f t="shared" si="13"/>
        <v>0.21128416033511183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2515.3892617450001</v>
      </c>
      <c r="E87">
        <v>497.71295818276002</v>
      </c>
      <c r="F87">
        <v>118.17647058823999</v>
      </c>
      <c r="G87">
        <v>106.5866873065</v>
      </c>
      <c r="I87" s="9">
        <f t="shared" si="8"/>
        <v>391.12627087626004</v>
      </c>
      <c r="J87" s="9">
        <f t="shared" si="9"/>
        <v>2397.21279115676</v>
      </c>
      <c r="K87" s="9">
        <f t="shared" si="10"/>
        <v>391.12627087626004</v>
      </c>
      <c r="L87" s="10">
        <f t="shared" si="7"/>
        <v>0.16315876184171557</v>
      </c>
      <c r="M87" s="10">
        <f t="shared" si="11"/>
        <v>0.17731029425119132</v>
      </c>
      <c r="P87" s="8">
        <f t="shared" si="12"/>
        <v>2.3256721703635299</v>
      </c>
      <c r="U87" s="8">
        <v>152</v>
      </c>
      <c r="V87" s="10">
        <f t="shared" si="13"/>
        <v>0.2048479997205018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2536.8833247289999</v>
      </c>
      <c r="E88">
        <v>503.14610221993001</v>
      </c>
      <c r="F88">
        <v>117.73271413829001</v>
      </c>
      <c r="G88">
        <v>106.82507739938001</v>
      </c>
      <c r="I88" s="9">
        <f t="shared" si="8"/>
        <v>396.32102482055001</v>
      </c>
      <c r="J88" s="9">
        <f t="shared" si="9"/>
        <v>2419.1506105907101</v>
      </c>
      <c r="K88" s="9">
        <f t="shared" si="10"/>
        <v>396.32102482055001</v>
      </c>
      <c r="L88" s="10">
        <f t="shared" si="7"/>
        <v>0.16382651955835689</v>
      </c>
      <c r="M88" s="10">
        <f t="shared" si="11"/>
        <v>0.1781445405844147</v>
      </c>
      <c r="P88" s="8">
        <f t="shared" si="12"/>
        <v>2.8071152651553568</v>
      </c>
      <c r="U88" s="8">
        <v>152.5</v>
      </c>
      <c r="V88" s="10">
        <f t="shared" si="13"/>
        <v>0.20659665537941369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2479.3128549303001</v>
      </c>
      <c r="E89">
        <v>494.77336086731998</v>
      </c>
      <c r="F89">
        <v>117.85190918473</v>
      </c>
      <c r="G89">
        <v>106.97678018576001</v>
      </c>
      <c r="I89" s="9">
        <f t="shared" si="8"/>
        <v>387.79658068155999</v>
      </c>
      <c r="J89" s="9">
        <f t="shared" si="9"/>
        <v>2361.4609457455699</v>
      </c>
      <c r="K89" s="9">
        <f t="shared" si="10"/>
        <v>387.79658068155999</v>
      </c>
      <c r="L89" s="10">
        <f t="shared" si="7"/>
        <v>0.16421892616103514</v>
      </c>
      <c r="M89" s="10">
        <f t="shared" si="11"/>
        <v>0.17870343580367504</v>
      </c>
      <c r="P89" s="8">
        <f t="shared" si="12"/>
        <v>3.1296533852635879</v>
      </c>
      <c r="U89" s="8">
        <v>153</v>
      </c>
      <c r="V89" s="10">
        <f t="shared" si="13"/>
        <v>0.20758176327250083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2527.5828600928999</v>
      </c>
      <c r="E90">
        <v>511.39752194114999</v>
      </c>
      <c r="F90">
        <v>117.97007223942001</v>
      </c>
      <c r="G90">
        <v>106.80288957688001</v>
      </c>
      <c r="I90" s="9">
        <f t="shared" si="8"/>
        <v>404.59463236426996</v>
      </c>
      <c r="J90" s="9">
        <f t="shared" si="9"/>
        <v>2409.6127878534799</v>
      </c>
      <c r="K90" s="9">
        <f t="shared" si="10"/>
        <v>404.59463236426996</v>
      </c>
      <c r="L90" s="10">
        <f t="shared" si="7"/>
        <v>0.16790856788434008</v>
      </c>
      <c r="M90" s="10">
        <f t="shared" si="11"/>
        <v>0.18255956614356203</v>
      </c>
      <c r="P90" s="8">
        <f t="shared" si="12"/>
        <v>5.3550240591539326</v>
      </c>
      <c r="U90" s="8">
        <v>153.5</v>
      </c>
      <c r="V90" s="10">
        <f t="shared" si="13"/>
        <v>0.20927421364868579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2577.8207109737</v>
      </c>
      <c r="E91">
        <v>528.32766615147</v>
      </c>
      <c r="F91">
        <v>118.00928792569999</v>
      </c>
      <c r="G91">
        <v>106.97523219814001</v>
      </c>
      <c r="I91" s="9">
        <f t="shared" si="8"/>
        <v>421.35243395332998</v>
      </c>
      <c r="J91" s="9">
        <f t="shared" si="9"/>
        <v>2459.8114230480001</v>
      </c>
      <c r="K91" s="9">
        <f t="shared" si="10"/>
        <v>421.35243395332998</v>
      </c>
      <c r="L91" s="10">
        <f t="shared" si="7"/>
        <v>0.17129460819855208</v>
      </c>
      <c r="M91" s="10">
        <f t="shared" si="11"/>
        <v>0.18611209507435611</v>
      </c>
      <c r="P91" s="8">
        <f t="shared" si="12"/>
        <v>7.4051865287575538</v>
      </c>
      <c r="U91" s="8">
        <v>154</v>
      </c>
      <c r="V91" s="10">
        <f t="shared" si="13"/>
        <v>0.20033056343283995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2440.1107676454999</v>
      </c>
      <c r="E92">
        <v>493.24523441525002</v>
      </c>
      <c r="F92">
        <v>117.93292053664</v>
      </c>
      <c r="G92">
        <v>107.00309597523</v>
      </c>
      <c r="I92" s="9">
        <f t="shared" si="8"/>
        <v>386.24213844002003</v>
      </c>
      <c r="J92" s="9">
        <f t="shared" si="9"/>
        <v>2322.1778471088601</v>
      </c>
      <c r="K92" s="9">
        <f t="shared" si="10"/>
        <v>386.24213844002003</v>
      </c>
      <c r="L92" s="10">
        <f t="shared" si="7"/>
        <v>0.16632754417190579</v>
      </c>
      <c r="M92" s="10">
        <f t="shared" si="11"/>
        <v>0.18131151966429188</v>
      </c>
      <c r="P92" s="8">
        <f t="shared" si="12"/>
        <v>4.6347771302855252</v>
      </c>
      <c r="U92" s="8">
        <v>154.5</v>
      </c>
      <c r="V92" s="10">
        <f t="shared" si="13"/>
        <v>0.19357512892899312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2549.4848640328</v>
      </c>
      <c r="E93">
        <v>509.37198563366002</v>
      </c>
      <c r="F93">
        <v>117.96542827656999</v>
      </c>
      <c r="G93">
        <v>107.02063983488</v>
      </c>
      <c r="I93" s="9">
        <f t="shared" si="8"/>
        <v>402.35134579878002</v>
      </c>
      <c r="J93" s="9">
        <f t="shared" si="9"/>
        <v>2431.51943575623</v>
      </c>
      <c r="K93" s="9">
        <f t="shared" si="10"/>
        <v>402.35134579878002</v>
      </c>
      <c r="L93" s="10">
        <f t="shared" si="7"/>
        <v>0.16547321805537787</v>
      </c>
      <c r="M93" s="10">
        <f t="shared" si="11"/>
        <v>0.18062368216434604</v>
      </c>
      <c r="P93" s="8">
        <f t="shared" si="12"/>
        <v>4.2378264917273993</v>
      </c>
      <c r="U93" s="8">
        <v>155</v>
      </c>
      <c r="V93" s="10">
        <f t="shared" si="13"/>
        <v>0.19954240366815018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2457.0677270394999</v>
      </c>
      <c r="E94">
        <v>490.47922011288</v>
      </c>
      <c r="F94">
        <v>118.00773993807999</v>
      </c>
      <c r="G94">
        <v>106.93343653251</v>
      </c>
      <c r="I94" s="9">
        <f t="shared" si="8"/>
        <v>383.54578358036997</v>
      </c>
      <c r="J94" s="9">
        <f t="shared" si="9"/>
        <v>2339.0599871014201</v>
      </c>
      <c r="K94" s="9">
        <f t="shared" si="10"/>
        <v>383.54578358036997</v>
      </c>
      <c r="L94" s="10">
        <f t="shared" si="7"/>
        <v>0.1639743254535608</v>
      </c>
      <c r="M94" s="10">
        <f t="shared" si="11"/>
        <v>0.17929127817911103</v>
      </c>
      <c r="P94" s="8">
        <f t="shared" si="12"/>
        <v>3.4688968930967885</v>
      </c>
      <c r="U94" s="8">
        <v>155.5</v>
      </c>
      <c r="V94" s="10">
        <f t="shared" si="13"/>
        <v>0.19088907894916446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2472.9148281170001</v>
      </c>
      <c r="E95">
        <v>497.31400718317002</v>
      </c>
      <c r="F95">
        <v>117.89215686275</v>
      </c>
      <c r="G95">
        <v>106.89009287926</v>
      </c>
      <c r="I95" s="9">
        <f t="shared" si="8"/>
        <v>390.42391430391001</v>
      </c>
      <c r="J95" s="9">
        <f t="shared" si="9"/>
        <v>2355.0226712542499</v>
      </c>
      <c r="K95" s="9">
        <f t="shared" si="10"/>
        <v>390.42391430391001</v>
      </c>
      <c r="L95" s="10">
        <f t="shared" si="7"/>
        <v>0.16578350564072322</v>
      </c>
      <c r="M95" s="10">
        <f t="shared" si="11"/>
        <v>0.1812669469828555</v>
      </c>
      <c r="P95" s="8">
        <f t="shared" si="12"/>
        <v>4.6090542606254541</v>
      </c>
      <c r="U95" s="8">
        <v>156</v>
      </c>
      <c r="V95" s="10">
        <f t="shared" si="13"/>
        <v>0.19078250940583763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2432.7502569373</v>
      </c>
      <c r="E96">
        <v>488.42600205550002</v>
      </c>
      <c r="F96">
        <v>117.9226006192</v>
      </c>
      <c r="G96">
        <v>106.75438596491</v>
      </c>
      <c r="I96" s="9">
        <f t="shared" si="8"/>
        <v>381.67161609059002</v>
      </c>
      <c r="J96" s="9">
        <f t="shared" si="9"/>
        <v>2314.8276563181003</v>
      </c>
      <c r="K96" s="9">
        <f t="shared" si="10"/>
        <v>381.67161609059002</v>
      </c>
      <c r="L96" s="10">
        <f t="shared" si="7"/>
        <v>0.16488122346769701</v>
      </c>
      <c r="M96" s="10">
        <f t="shared" si="11"/>
        <v>0.18053115342641138</v>
      </c>
      <c r="P96" s="8">
        <f t="shared" si="12"/>
        <v>4.1844282085412754</v>
      </c>
      <c r="U96" s="8">
        <v>156.5</v>
      </c>
      <c r="V96" s="10">
        <f t="shared" si="13"/>
        <v>0.19823074457930032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2412.6372045221001</v>
      </c>
      <c r="E97">
        <v>493.11459403905002</v>
      </c>
      <c r="F97">
        <v>117.90247678019</v>
      </c>
      <c r="G97">
        <v>106.93704850361</v>
      </c>
      <c r="I97" s="9">
        <f t="shared" si="8"/>
        <v>386.17754553544</v>
      </c>
      <c r="J97" s="9">
        <f t="shared" si="9"/>
        <v>2294.7347277419103</v>
      </c>
      <c r="K97" s="9">
        <f t="shared" si="10"/>
        <v>386.17754553544</v>
      </c>
      <c r="L97" s="10">
        <f t="shared" si="7"/>
        <v>0.16828853499569887</v>
      </c>
      <c r="M97" s="10">
        <f t="shared" si="11"/>
        <v>0.18410495357099529</v>
      </c>
      <c r="P97" s="8">
        <f t="shared" si="12"/>
        <v>6.2468662837893207</v>
      </c>
      <c r="U97" s="8">
        <v>157</v>
      </c>
      <c r="V97" s="10">
        <f t="shared" si="13"/>
        <v>0.19117932394522216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2531.2446043166001</v>
      </c>
      <c r="E98">
        <v>520.57913669064999</v>
      </c>
      <c r="F98">
        <v>117.79411764706001</v>
      </c>
      <c r="G98">
        <v>106.82920536636</v>
      </c>
      <c r="I98" s="9">
        <f t="shared" si="8"/>
        <v>413.74993132429</v>
      </c>
      <c r="J98" s="9">
        <f t="shared" si="9"/>
        <v>2413.4504866695402</v>
      </c>
      <c r="K98" s="9">
        <f t="shared" si="10"/>
        <v>413.74993132429</v>
      </c>
      <c r="L98" s="10">
        <f t="shared" si="7"/>
        <v>0.17143501953307003</v>
      </c>
      <c r="M98" s="10">
        <f t="shared" si="11"/>
        <v>0.18741792672494853</v>
      </c>
      <c r="P98" s="8">
        <f t="shared" si="12"/>
        <v>8.1587812478487542</v>
      </c>
      <c r="U98" s="8">
        <v>157.5</v>
      </c>
      <c r="V98" s="10">
        <f t="shared" si="13"/>
        <v>0.18706738617403762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2493.8545734841</v>
      </c>
      <c r="E99">
        <v>512.09558067830994</v>
      </c>
      <c r="F99">
        <v>117.98090815274</v>
      </c>
      <c r="G99">
        <v>106.85552115583</v>
      </c>
      <c r="I99" s="9">
        <f t="shared" si="8"/>
        <v>405.24005952247995</v>
      </c>
      <c r="J99" s="9">
        <f t="shared" si="9"/>
        <v>2375.8736653313599</v>
      </c>
      <c r="K99" s="9">
        <f t="shared" si="10"/>
        <v>405.24005952247995</v>
      </c>
      <c r="L99" s="10">
        <f t="shared" si="7"/>
        <v>0.17056464972684549</v>
      </c>
      <c r="M99" s="10">
        <f t="shared" si="11"/>
        <v>0.18671404553530604</v>
      </c>
      <c r="P99" s="8">
        <f t="shared" si="12"/>
        <v>7.7525718048921819</v>
      </c>
      <c r="U99" s="8">
        <v>158</v>
      </c>
      <c r="V99" s="10">
        <f t="shared" si="13"/>
        <v>0.19026099288789966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2440.4225641026001</v>
      </c>
      <c r="E100">
        <v>493.43333333332998</v>
      </c>
      <c r="F100">
        <v>117.93446852424999</v>
      </c>
      <c r="G100">
        <v>107.05572755418</v>
      </c>
      <c r="I100" s="9">
        <f t="shared" si="8"/>
        <v>386.37760577914997</v>
      </c>
      <c r="J100" s="9">
        <f t="shared" si="9"/>
        <v>2322.4880955783501</v>
      </c>
      <c r="K100" s="9">
        <f t="shared" si="10"/>
        <v>386.37760577914997</v>
      </c>
      <c r="L100" s="10">
        <f t="shared" si="7"/>
        <v>0.16636365392561184</v>
      </c>
      <c r="M100" s="10">
        <f t="shared" si="11"/>
        <v>0.18267953835065448</v>
      </c>
      <c r="P100" s="8">
        <f t="shared" si="12"/>
        <v>5.4242599531235491</v>
      </c>
      <c r="U100" s="8">
        <v>158.5</v>
      </c>
      <c r="V100" s="10">
        <f t="shared" si="13"/>
        <v>0.19299382433679005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2489.7249357327</v>
      </c>
      <c r="E101">
        <v>512.01388174807005</v>
      </c>
      <c r="F101">
        <v>118.12693498452001</v>
      </c>
      <c r="G101">
        <v>106.65737874097</v>
      </c>
      <c r="I101" s="9">
        <f t="shared" si="8"/>
        <v>405.35650300710006</v>
      </c>
      <c r="J101" s="9">
        <f t="shared" si="9"/>
        <v>2371.5980007481799</v>
      </c>
      <c r="K101" s="9">
        <f t="shared" si="10"/>
        <v>405.35650300710006</v>
      </c>
      <c r="L101" s="10">
        <f t="shared" si="7"/>
        <v>0.17092125346674278</v>
      </c>
      <c r="M101" s="10">
        <f t="shared" si="11"/>
        <v>0.18740362650836748</v>
      </c>
      <c r="P101" s="8">
        <f t="shared" si="12"/>
        <v>8.1505286008153846</v>
      </c>
      <c r="U101" s="8">
        <v>159</v>
      </c>
      <c r="V101" s="10">
        <f t="shared" si="13"/>
        <v>0.20252879318625641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2497.5403598971998</v>
      </c>
      <c r="E102">
        <v>515.15938303342</v>
      </c>
      <c r="F102">
        <v>117.53044375645</v>
      </c>
      <c r="G102">
        <v>106.92466460268</v>
      </c>
      <c r="I102" s="9">
        <f t="shared" si="8"/>
        <v>408.23471843074003</v>
      </c>
      <c r="J102" s="9">
        <f t="shared" si="9"/>
        <v>2380.0099161407497</v>
      </c>
      <c r="K102" s="9">
        <f t="shared" si="10"/>
        <v>408.23471843074003</v>
      </c>
      <c r="L102" s="10">
        <f t="shared" si="7"/>
        <v>0.17152647796220263</v>
      </c>
      <c r="M102" s="10">
        <f t="shared" si="11"/>
        <v>0.18817533962040939</v>
      </c>
      <c r="P102" s="8">
        <f t="shared" si="12"/>
        <v>8.595883808452129</v>
      </c>
      <c r="U102" s="8">
        <v>159.5</v>
      </c>
      <c r="V102" s="10">
        <f t="shared" si="13"/>
        <v>0.2180884384117584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2364.0708782743</v>
      </c>
      <c r="E103">
        <v>492.97483307652999</v>
      </c>
      <c r="F103">
        <v>117.59907120743</v>
      </c>
      <c r="G103">
        <v>106.52889576883</v>
      </c>
      <c r="I103" s="9">
        <f t="shared" si="8"/>
        <v>386.44593730769998</v>
      </c>
      <c r="J103" s="9">
        <f t="shared" si="9"/>
        <v>2246.47180706687</v>
      </c>
      <c r="K103" s="9">
        <f t="shared" si="10"/>
        <v>386.44593730769998</v>
      </c>
      <c r="L103" s="10">
        <f t="shared" si="7"/>
        <v>0.17202349750930873</v>
      </c>
      <c r="M103" s="10">
        <f t="shared" si="11"/>
        <v>0.18883884778409757</v>
      </c>
      <c r="P103" s="8">
        <f t="shared" si="12"/>
        <v>8.9787940005909626</v>
      </c>
      <c r="U103" s="8">
        <v>160</v>
      </c>
      <c r="V103" s="10">
        <f t="shared" si="13"/>
        <v>0.2199240359060772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2378.0472036942001</v>
      </c>
      <c r="E104">
        <v>495.80041046691002</v>
      </c>
      <c r="F104">
        <v>117.84210526315999</v>
      </c>
      <c r="G104">
        <v>107.01754385965</v>
      </c>
      <c r="I104" s="9">
        <f t="shared" si="8"/>
        <v>388.78286660726002</v>
      </c>
      <c r="J104" s="9">
        <f t="shared" si="9"/>
        <v>2260.2050984310399</v>
      </c>
      <c r="K104" s="9">
        <f t="shared" si="10"/>
        <v>388.78286660726002</v>
      </c>
      <c r="L104" s="10">
        <f t="shared" si="7"/>
        <v>0.1720122067139572</v>
      </c>
      <c r="M104" s="10">
        <f t="shared" si="11"/>
        <v>0.18899404560532809</v>
      </c>
      <c r="P104" s="8">
        <f t="shared" si="12"/>
        <v>9.068358576882801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2311.4612621857</v>
      </c>
      <c r="E105">
        <v>475.60903027193001</v>
      </c>
      <c r="F105">
        <v>117.86377708978</v>
      </c>
      <c r="G105">
        <v>106.97368421053</v>
      </c>
      <c r="I105" s="9">
        <f t="shared" si="8"/>
        <v>368.63534606140001</v>
      </c>
      <c r="J105" s="9">
        <f t="shared" si="9"/>
        <v>2193.5974850959201</v>
      </c>
      <c r="K105" s="9">
        <f t="shared" si="10"/>
        <v>368.63534606140001</v>
      </c>
      <c r="L105" s="10">
        <f t="shared" si="7"/>
        <v>0.16805058747834978</v>
      </c>
      <c r="M105" s="10">
        <f t="shared" si="11"/>
        <v>0.18519891498630275</v>
      </c>
      <c r="P105" s="8">
        <f t="shared" si="12"/>
        <v>6.8781908079660985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2364.6726711270999</v>
      </c>
      <c r="E106">
        <v>486.22233659289998</v>
      </c>
      <c r="F106">
        <v>117.89318885449001</v>
      </c>
      <c r="G106">
        <v>106.73271413829001</v>
      </c>
      <c r="I106" s="9">
        <f t="shared" si="8"/>
        <v>379.48962245460996</v>
      </c>
      <c r="J106" s="9">
        <f t="shared" si="9"/>
        <v>2246.77948227261</v>
      </c>
      <c r="K106" s="9">
        <f t="shared" si="10"/>
        <v>379.48962245460996</v>
      </c>
      <c r="L106" s="10">
        <f t="shared" si="7"/>
        <v>0.16890381341330279</v>
      </c>
      <c r="M106" s="10">
        <f t="shared" si="11"/>
        <v>0.18621862953783783</v>
      </c>
      <c r="P106" s="8">
        <f t="shared" si="12"/>
        <v>7.4666675083651572</v>
      </c>
      <c r="X106" s="8">
        <v>-13</v>
      </c>
    </row>
    <row r="107" spans="1:25" x14ac:dyDescent="0.2">
      <c r="A107" s="8">
        <v>52.5</v>
      </c>
      <c r="B107" s="8">
        <v>105</v>
      </c>
      <c r="D107">
        <v>2282.8903757077001</v>
      </c>
      <c r="E107">
        <v>467.05764282038001</v>
      </c>
      <c r="F107">
        <v>117.89576883385</v>
      </c>
      <c r="G107">
        <v>106.62074303406</v>
      </c>
      <c r="I107" s="9">
        <f t="shared" si="8"/>
        <v>360.43689978632</v>
      </c>
      <c r="J107" s="9">
        <f t="shared" si="9"/>
        <v>2164.99460687385</v>
      </c>
      <c r="K107" s="9">
        <f t="shared" si="10"/>
        <v>360.43689978632</v>
      </c>
      <c r="L107" s="10">
        <f t="shared" si="7"/>
        <v>0.16648397120340816</v>
      </c>
      <c r="M107" s="10">
        <f t="shared" si="11"/>
        <v>0.18396527594452527</v>
      </c>
      <c r="P107" s="8">
        <f t="shared" si="12"/>
        <v>6.1662584032595094</v>
      </c>
      <c r="X107" s="8">
        <v>-13</v>
      </c>
    </row>
    <row r="108" spans="1:25" x14ac:dyDescent="0.2">
      <c r="A108" s="8">
        <v>53</v>
      </c>
      <c r="B108" s="8">
        <v>106</v>
      </c>
      <c r="D108">
        <v>2313.4086464231</v>
      </c>
      <c r="E108">
        <v>471.33607822954002</v>
      </c>
      <c r="F108">
        <v>118.07533539732</v>
      </c>
      <c r="G108">
        <v>106.77450980392</v>
      </c>
      <c r="I108" s="9">
        <f t="shared" si="8"/>
        <v>364.56156842562001</v>
      </c>
      <c r="J108" s="9">
        <f t="shared" si="9"/>
        <v>2195.3333110257799</v>
      </c>
      <c r="K108" s="9">
        <f t="shared" si="10"/>
        <v>364.56156842562001</v>
      </c>
      <c r="L108" s="10">
        <f t="shared" si="7"/>
        <v>0.16606205836473956</v>
      </c>
      <c r="M108" s="10">
        <f t="shared" si="11"/>
        <v>0.18370985172243873</v>
      </c>
      <c r="P108" s="8">
        <f t="shared" si="12"/>
        <v>6.0188532267920269</v>
      </c>
      <c r="X108" s="8">
        <v>-13</v>
      </c>
    </row>
    <row r="109" spans="1:25" x14ac:dyDescent="0.2">
      <c r="A109" s="8">
        <v>53.5</v>
      </c>
      <c r="B109" s="8">
        <v>107</v>
      </c>
      <c r="D109">
        <v>2414.9042717447001</v>
      </c>
      <c r="E109">
        <v>488.90684508492001</v>
      </c>
      <c r="F109">
        <v>117.66253869969</v>
      </c>
      <c r="G109">
        <v>106.81940144479</v>
      </c>
      <c r="I109" s="9">
        <f t="shared" si="8"/>
        <v>382.08744364013</v>
      </c>
      <c r="J109" s="9">
        <f t="shared" si="9"/>
        <v>2297.2417330450098</v>
      </c>
      <c r="K109" s="9">
        <f t="shared" si="10"/>
        <v>382.08744364013</v>
      </c>
      <c r="L109" s="10">
        <f t="shared" si="7"/>
        <v>0.16632443949800199</v>
      </c>
      <c r="M109" s="10">
        <f t="shared" si="11"/>
        <v>0.18413872147228325</v>
      </c>
      <c r="P109" s="8">
        <f t="shared" si="12"/>
        <v>6.2663537208366984</v>
      </c>
      <c r="X109" s="8">
        <v>-13</v>
      </c>
    </row>
    <row r="110" spans="1:25" x14ac:dyDescent="0.2">
      <c r="A110" s="8">
        <v>54</v>
      </c>
      <c r="B110" s="8">
        <v>108</v>
      </c>
      <c r="D110">
        <v>2342.0576725025999</v>
      </c>
      <c r="E110">
        <v>470.73069001030001</v>
      </c>
      <c r="F110">
        <v>117.83178534571999</v>
      </c>
      <c r="G110">
        <v>106.76470588235</v>
      </c>
      <c r="I110" s="9">
        <f t="shared" si="8"/>
        <v>363.96598412795004</v>
      </c>
      <c r="J110" s="9">
        <f t="shared" si="9"/>
        <v>2224.2258871568797</v>
      </c>
      <c r="K110" s="9">
        <f t="shared" si="10"/>
        <v>363.96598412795004</v>
      </c>
      <c r="L110" s="10">
        <f t="shared" si="7"/>
        <v>0.16363714954922592</v>
      </c>
      <c r="M110" s="10">
        <f t="shared" si="11"/>
        <v>0.18161792014008923</v>
      </c>
      <c r="P110" s="8">
        <f t="shared" si="12"/>
        <v>4.8116006744101965</v>
      </c>
      <c r="X110" s="8">
        <v>-13</v>
      </c>
    </row>
    <row r="111" spans="1:25" x14ac:dyDescent="0.2">
      <c r="A111" s="8">
        <v>54.5</v>
      </c>
      <c r="B111" s="8">
        <v>109</v>
      </c>
      <c r="D111">
        <v>2416.2108773730001</v>
      </c>
      <c r="E111">
        <v>492.91841970241001</v>
      </c>
      <c r="F111">
        <v>117.71207430341001</v>
      </c>
      <c r="G111">
        <v>106.65376676987</v>
      </c>
      <c r="I111" s="9">
        <f t="shared" si="8"/>
        <v>386.26465293254</v>
      </c>
      <c r="J111" s="9">
        <f t="shared" si="9"/>
        <v>2298.4988030695899</v>
      </c>
      <c r="K111" s="9">
        <f t="shared" si="10"/>
        <v>386.26465293254</v>
      </c>
      <c r="L111" s="10">
        <f t="shared" si="7"/>
        <v>0.16805083927678921</v>
      </c>
      <c r="M111" s="10">
        <f t="shared" si="11"/>
        <v>0.18619809848423458</v>
      </c>
      <c r="P111" s="8">
        <f t="shared" si="12"/>
        <v>7.4548190487526425</v>
      </c>
      <c r="X111" s="8">
        <v>-13</v>
      </c>
    </row>
    <row r="112" spans="1:25" x14ac:dyDescent="0.2">
      <c r="A112" s="8">
        <v>55</v>
      </c>
      <c r="B112" s="8">
        <v>110</v>
      </c>
      <c r="D112">
        <v>2362.7070393375002</v>
      </c>
      <c r="E112">
        <v>474.06107660456001</v>
      </c>
      <c r="F112">
        <v>117.58565531476</v>
      </c>
      <c r="G112">
        <v>106.81888544892</v>
      </c>
      <c r="I112" s="9">
        <f t="shared" si="8"/>
        <v>367.24219115564</v>
      </c>
      <c r="J112" s="9">
        <f t="shared" si="9"/>
        <v>2245.1213840227401</v>
      </c>
      <c r="K112" s="9">
        <f t="shared" si="10"/>
        <v>367.24219115564</v>
      </c>
      <c r="L112" s="10">
        <f t="shared" si="7"/>
        <v>0.1635734235881833</v>
      </c>
      <c r="M112" s="10">
        <f t="shared" si="11"/>
        <v>0.18188717141221075</v>
      </c>
      <c r="P112" s="8">
        <f t="shared" si="12"/>
        <v>4.9669854337605388</v>
      </c>
      <c r="X112" s="8">
        <v>-13</v>
      </c>
    </row>
    <row r="113" spans="1:24" x14ac:dyDescent="0.2">
      <c r="A113" s="8">
        <v>55.5</v>
      </c>
      <c r="B113" s="8">
        <v>111</v>
      </c>
      <c r="D113">
        <v>2316.1105398457998</v>
      </c>
      <c r="E113">
        <v>471.95167095116</v>
      </c>
      <c r="F113">
        <v>117.50980392157</v>
      </c>
      <c r="G113">
        <v>106.54127966976</v>
      </c>
      <c r="I113" s="9">
        <f t="shared" si="8"/>
        <v>365.4103912814</v>
      </c>
      <c r="J113" s="9">
        <f t="shared" si="9"/>
        <v>2198.6007359242299</v>
      </c>
      <c r="K113" s="9">
        <f t="shared" si="10"/>
        <v>365.4103912814</v>
      </c>
      <c r="L113" s="10">
        <f t="shared" si="7"/>
        <v>0.16620134129437183</v>
      </c>
      <c r="M113" s="10">
        <f t="shared" si="11"/>
        <v>0.18468157773498134</v>
      </c>
      <c r="P113" s="8">
        <f t="shared" si="12"/>
        <v>6.5796357680357183</v>
      </c>
      <c r="X113" s="8">
        <v>-13</v>
      </c>
    </row>
    <row r="114" spans="1:24" x14ac:dyDescent="0.2">
      <c r="A114" s="8">
        <v>56</v>
      </c>
      <c r="B114" s="8">
        <v>112</v>
      </c>
      <c r="D114">
        <v>2432.6267352185</v>
      </c>
      <c r="E114">
        <v>498.40719794345</v>
      </c>
      <c r="F114">
        <v>117.58875128999</v>
      </c>
      <c r="G114">
        <v>106.86945304437999</v>
      </c>
      <c r="I114" s="9">
        <f t="shared" si="8"/>
        <v>391.53774489906999</v>
      </c>
      <c r="J114" s="9">
        <f t="shared" si="9"/>
        <v>2315.0379839285101</v>
      </c>
      <c r="K114" s="9">
        <f t="shared" si="10"/>
        <v>391.53774489906999</v>
      </c>
      <c r="L114" s="10">
        <f t="shared" si="7"/>
        <v>0.16912800032535488</v>
      </c>
      <c r="M114" s="10">
        <f t="shared" si="11"/>
        <v>0.18777472538254647</v>
      </c>
      <c r="P114" s="8">
        <f t="shared" si="12"/>
        <v>8.3646895546528164</v>
      </c>
      <c r="X114" s="8">
        <v>-13</v>
      </c>
    </row>
    <row r="115" spans="1:24" x14ac:dyDescent="0.2">
      <c r="A115" s="8">
        <v>56.5</v>
      </c>
      <c r="B115" s="8">
        <v>113</v>
      </c>
      <c r="D115">
        <v>2344.1886889460002</v>
      </c>
      <c r="E115">
        <v>475.17840616966998</v>
      </c>
      <c r="F115">
        <v>117.7657378741</v>
      </c>
      <c r="G115">
        <v>106.53611971104</v>
      </c>
      <c r="I115" s="9">
        <f t="shared" si="8"/>
        <v>368.64228645863</v>
      </c>
      <c r="J115" s="9">
        <f t="shared" si="9"/>
        <v>2226.4229510719001</v>
      </c>
      <c r="K115" s="9">
        <f t="shared" si="10"/>
        <v>368.64228645863</v>
      </c>
      <c r="L115" s="10">
        <f t="shared" si="7"/>
        <v>0.16557603589252842</v>
      </c>
      <c r="M115" s="10">
        <f t="shared" si="11"/>
        <v>0.18438924956630207</v>
      </c>
      <c r="P115" s="8">
        <f t="shared" si="12"/>
        <v>6.4109333445201298</v>
      </c>
      <c r="X115" s="8">
        <v>-13</v>
      </c>
    </row>
    <row r="116" spans="1:24" x14ac:dyDescent="0.2">
      <c r="A116" s="8">
        <v>57</v>
      </c>
      <c r="B116" s="8">
        <v>114</v>
      </c>
      <c r="D116">
        <v>2366.1799485861002</v>
      </c>
      <c r="E116">
        <v>477.35012853469999</v>
      </c>
      <c r="F116">
        <v>117.564499484</v>
      </c>
      <c r="G116">
        <v>106.45717234262</v>
      </c>
      <c r="I116" s="9">
        <f t="shared" si="8"/>
        <v>370.89295619207996</v>
      </c>
      <c r="J116" s="9">
        <f t="shared" si="9"/>
        <v>2248.6154491021002</v>
      </c>
      <c r="K116" s="9">
        <f t="shared" si="10"/>
        <v>370.89295619207996</v>
      </c>
      <c r="L116" s="10">
        <f t="shared" si="7"/>
        <v>0.16494281240493214</v>
      </c>
      <c r="M116" s="10">
        <f t="shared" si="11"/>
        <v>0.18392251469528786</v>
      </c>
      <c r="P116" s="8">
        <f t="shared" si="12"/>
        <v>6.1415809101137153</v>
      </c>
      <c r="X116" s="8">
        <v>-13</v>
      </c>
    </row>
    <row r="117" spans="1:24" x14ac:dyDescent="0.2">
      <c r="A117" s="8">
        <v>57.5</v>
      </c>
      <c r="B117" s="8">
        <v>115</v>
      </c>
      <c r="D117">
        <v>2421.9079691516999</v>
      </c>
      <c r="E117">
        <v>496.49357326478003</v>
      </c>
      <c r="F117">
        <v>117.60939112487</v>
      </c>
      <c r="G117">
        <v>106.66408668731</v>
      </c>
      <c r="I117" s="9">
        <f t="shared" si="8"/>
        <v>389.82948657746999</v>
      </c>
      <c r="J117" s="9">
        <f t="shared" si="9"/>
        <v>2304.29857802683</v>
      </c>
      <c r="K117" s="9">
        <f t="shared" si="10"/>
        <v>389.82948657746999</v>
      </c>
      <c r="L117" s="10">
        <f t="shared" si="7"/>
        <v>0.16917490220007897</v>
      </c>
      <c r="M117" s="10">
        <f t="shared" si="11"/>
        <v>0.18832109310701675</v>
      </c>
      <c r="P117" s="8">
        <f t="shared" si="12"/>
        <v>8.6799980644870551</v>
      </c>
      <c r="X117" s="8">
        <v>-13</v>
      </c>
    </row>
    <row r="118" spans="1:24" x14ac:dyDescent="0.2">
      <c r="A118" s="8">
        <v>58</v>
      </c>
      <c r="B118" s="8">
        <v>116</v>
      </c>
      <c r="D118">
        <v>2396.4</v>
      </c>
      <c r="E118">
        <v>497.46649484535999</v>
      </c>
      <c r="F118">
        <v>117.33797729618</v>
      </c>
      <c r="G118">
        <v>106.67801857585</v>
      </c>
      <c r="I118" s="9">
        <f t="shared" si="8"/>
        <v>390.78847626951</v>
      </c>
      <c r="J118" s="9">
        <f t="shared" si="9"/>
        <v>2279.0620227038203</v>
      </c>
      <c r="K118" s="9">
        <f t="shared" si="10"/>
        <v>390.78847626951</v>
      </c>
      <c r="L118" s="10">
        <f t="shared" si="7"/>
        <v>0.1714689957432087</v>
      </c>
      <c r="M118" s="10">
        <f t="shared" si="11"/>
        <v>0.19078167526672857</v>
      </c>
      <c r="P118" s="8">
        <f t="shared" si="12"/>
        <v>10.09999865997546</v>
      </c>
      <c r="X118" s="8">
        <v>-13</v>
      </c>
    </row>
    <row r="119" spans="1:24" x14ac:dyDescent="0.2">
      <c r="A119" s="8">
        <v>58.5</v>
      </c>
      <c r="B119" s="8">
        <v>117</v>
      </c>
      <c r="D119">
        <v>2321.3627954778999</v>
      </c>
      <c r="E119">
        <v>472.04573484069999</v>
      </c>
      <c r="F119">
        <v>117.94375644995</v>
      </c>
      <c r="G119">
        <v>106.63777089782999</v>
      </c>
      <c r="I119" s="9">
        <f t="shared" si="8"/>
        <v>365.40796394286997</v>
      </c>
      <c r="J119" s="9">
        <f t="shared" si="9"/>
        <v>2203.41903902795</v>
      </c>
      <c r="K119" s="9">
        <f t="shared" si="10"/>
        <v>365.40796394286997</v>
      </c>
      <c r="L119" s="10">
        <f t="shared" si="7"/>
        <v>0.1658368006587034</v>
      </c>
      <c r="M119" s="10">
        <f t="shared" si="11"/>
        <v>0.18531596879880533</v>
      </c>
      <c r="P119" s="8">
        <f t="shared" si="12"/>
        <v>6.9457424980414695</v>
      </c>
      <c r="X119" s="8">
        <v>-13</v>
      </c>
    </row>
    <row r="120" spans="1:24" x14ac:dyDescent="0.2">
      <c r="A120" s="8">
        <v>59</v>
      </c>
      <c r="B120" s="8">
        <v>118</v>
      </c>
      <c r="D120">
        <v>2295.3900308325001</v>
      </c>
      <c r="E120">
        <v>464.27954779034002</v>
      </c>
      <c r="F120">
        <v>117.53405572755</v>
      </c>
      <c r="G120">
        <v>106.61042311662</v>
      </c>
      <c r="I120" s="9">
        <f t="shared" si="8"/>
        <v>357.66912467372003</v>
      </c>
      <c r="J120" s="9">
        <f t="shared" si="9"/>
        <v>2177.8559751049502</v>
      </c>
      <c r="K120" s="9">
        <f t="shared" si="10"/>
        <v>357.66912467372003</v>
      </c>
      <c r="L120" s="10">
        <f t="shared" si="7"/>
        <v>0.16422992556084159</v>
      </c>
      <c r="M120" s="10">
        <f t="shared" si="11"/>
        <v>0.18387558231752557</v>
      </c>
      <c r="P120" s="8">
        <f t="shared" si="12"/>
        <v>6.1144962610167113</v>
      </c>
      <c r="X120" s="8">
        <v>-13</v>
      </c>
    </row>
    <row r="121" spans="1:24" x14ac:dyDescent="0.2">
      <c r="A121" s="8">
        <v>59.5</v>
      </c>
      <c r="B121" s="8">
        <v>119</v>
      </c>
      <c r="D121">
        <v>2325.7895007719999</v>
      </c>
      <c r="E121">
        <v>468.47195059186998</v>
      </c>
      <c r="F121">
        <v>117.7084623323</v>
      </c>
      <c r="G121">
        <v>106.7084623323</v>
      </c>
      <c r="I121" s="9">
        <f t="shared" si="8"/>
        <v>361.76348825956995</v>
      </c>
      <c r="J121" s="9">
        <f t="shared" si="9"/>
        <v>2208.0810384397</v>
      </c>
      <c r="K121" s="9">
        <f t="shared" si="10"/>
        <v>361.76348825956995</v>
      </c>
      <c r="L121" s="10">
        <f t="shared" si="7"/>
        <v>0.16383614639216479</v>
      </c>
      <c r="M121" s="10">
        <f t="shared" si="11"/>
        <v>0.18364829176543085</v>
      </c>
      <c r="P121" s="8">
        <f t="shared" si="12"/>
        <v>5.9833270098500702</v>
      </c>
      <c r="X121" s="8">
        <v>-13</v>
      </c>
    </row>
    <row r="122" spans="1:24" x14ac:dyDescent="0.2">
      <c r="A122" s="8">
        <v>60</v>
      </c>
      <c r="B122" s="8">
        <v>120</v>
      </c>
      <c r="D122">
        <v>2235.9624292331</v>
      </c>
      <c r="E122">
        <v>447.35151827072002</v>
      </c>
      <c r="F122">
        <v>117.73890608875</v>
      </c>
      <c r="G122">
        <v>106.79308565532</v>
      </c>
      <c r="I122" s="9">
        <f t="shared" si="8"/>
        <v>340.55843261540002</v>
      </c>
      <c r="J122" s="9">
        <f t="shared" si="9"/>
        <v>2118.2235231443501</v>
      </c>
      <c r="K122" s="9">
        <f t="shared" si="10"/>
        <v>340.55843261540002</v>
      </c>
      <c r="L122" s="10">
        <f t="shared" si="7"/>
        <v>0.16077549365983132</v>
      </c>
      <c r="M122" s="10">
        <f t="shared" si="11"/>
        <v>0.18075412764967944</v>
      </c>
      <c r="P122" s="8">
        <f t="shared" si="12"/>
        <v>4.313106508743326</v>
      </c>
      <c r="X122" s="8">
        <v>-13</v>
      </c>
    </row>
    <row r="123" spans="1:24" x14ac:dyDescent="0.2">
      <c r="A123" s="8">
        <v>60.5</v>
      </c>
      <c r="B123" s="8">
        <v>121</v>
      </c>
      <c r="D123">
        <v>2383.6829896907002</v>
      </c>
      <c r="E123">
        <v>472.37371134020998</v>
      </c>
      <c r="F123">
        <v>118.17853457171999</v>
      </c>
      <c r="G123">
        <v>106.82404540764</v>
      </c>
      <c r="I123" s="9">
        <f t="shared" si="8"/>
        <v>365.54966593256995</v>
      </c>
      <c r="J123" s="9">
        <f t="shared" si="9"/>
        <v>2265.5044551189803</v>
      </c>
      <c r="K123" s="9">
        <f t="shared" si="10"/>
        <v>365.54966593256995</v>
      </c>
      <c r="L123" s="10">
        <f t="shared" si="7"/>
        <v>0.16135464448396855</v>
      </c>
      <c r="M123" s="10">
        <f t="shared" si="11"/>
        <v>0.18149976709039875</v>
      </c>
      <c r="P123" s="8">
        <f t="shared" si="12"/>
        <v>4.7434146151652135</v>
      </c>
      <c r="X123" s="8">
        <v>-13</v>
      </c>
    </row>
    <row r="124" spans="1:24" x14ac:dyDescent="0.2">
      <c r="A124" s="8">
        <v>61</v>
      </c>
      <c r="B124" s="8">
        <v>122</v>
      </c>
      <c r="D124">
        <v>2466.4056701031</v>
      </c>
      <c r="E124">
        <v>483.54072164949002</v>
      </c>
      <c r="F124">
        <v>117.79979360164999</v>
      </c>
      <c r="G124">
        <v>106.7213622291</v>
      </c>
      <c r="I124" s="9">
        <f t="shared" si="8"/>
        <v>376.81935942039001</v>
      </c>
      <c r="J124" s="9">
        <f t="shared" si="9"/>
        <v>2348.60587650145</v>
      </c>
      <c r="K124" s="9">
        <f t="shared" si="10"/>
        <v>376.81935942039001</v>
      </c>
      <c r="L124" s="10">
        <f t="shared" si="7"/>
        <v>0.16044384593881322</v>
      </c>
      <c r="M124" s="10">
        <f t="shared" si="11"/>
        <v>0.18075545716182548</v>
      </c>
      <c r="P124" s="8">
        <f t="shared" si="12"/>
        <v>4.313873769463167</v>
      </c>
      <c r="X124" s="8">
        <v>-13</v>
      </c>
    </row>
    <row r="125" spans="1:24" x14ac:dyDescent="0.2">
      <c r="A125" s="8">
        <v>61.5</v>
      </c>
      <c r="B125" s="8">
        <v>123</v>
      </c>
      <c r="D125">
        <v>2493.5340206186002</v>
      </c>
      <c r="E125">
        <v>497.90051546391999</v>
      </c>
      <c r="F125">
        <v>117.85758513931999</v>
      </c>
      <c r="G125">
        <v>106.66253869969</v>
      </c>
      <c r="I125" s="9">
        <f t="shared" si="8"/>
        <v>391.23797676422998</v>
      </c>
      <c r="J125" s="9">
        <f t="shared" si="9"/>
        <v>2375.6764354792804</v>
      </c>
      <c r="K125" s="9">
        <f t="shared" si="10"/>
        <v>391.23797676422998</v>
      </c>
      <c r="L125" s="10">
        <f t="shared" si="7"/>
        <v>0.1646848749776397</v>
      </c>
      <c r="M125" s="10">
        <f t="shared" si="11"/>
        <v>0.18516297481723404</v>
      </c>
      <c r="P125" s="8">
        <f t="shared" si="12"/>
        <v>6.8574497563909276</v>
      </c>
      <c r="X125" s="8">
        <v>-13</v>
      </c>
    </row>
    <row r="126" spans="1:24" x14ac:dyDescent="0.2">
      <c r="A126" s="8">
        <v>62</v>
      </c>
      <c r="B126" s="8">
        <v>124</v>
      </c>
      <c r="D126">
        <v>2463.3082474226999</v>
      </c>
      <c r="E126">
        <v>496.65927835052003</v>
      </c>
      <c r="F126">
        <v>117.66150670795</v>
      </c>
      <c r="G126">
        <v>106.61713106294999</v>
      </c>
      <c r="I126" s="9">
        <f t="shared" si="8"/>
        <v>390.04214728757006</v>
      </c>
      <c r="J126" s="9">
        <f t="shared" si="9"/>
        <v>2345.6467407147497</v>
      </c>
      <c r="K126" s="9">
        <f t="shared" si="10"/>
        <v>390.04214728757006</v>
      </c>
      <c r="L126" s="10">
        <f t="shared" si="7"/>
        <v>0.16628341366045554</v>
      </c>
      <c r="M126" s="10">
        <f t="shared" si="11"/>
        <v>0.18692800211663194</v>
      </c>
      <c r="P126" s="8">
        <f t="shared" si="12"/>
        <v>7.8760460289461403</v>
      </c>
      <c r="X126" s="8">
        <v>-13</v>
      </c>
    </row>
    <row r="127" spans="1:24" x14ac:dyDescent="0.2">
      <c r="A127" s="8">
        <v>62.5</v>
      </c>
      <c r="B127" s="8">
        <v>125</v>
      </c>
      <c r="D127">
        <v>2452.8058401639</v>
      </c>
      <c r="E127">
        <v>479.02100409835998</v>
      </c>
      <c r="F127">
        <v>117.5221878225</v>
      </c>
      <c r="G127">
        <v>106.67440660475</v>
      </c>
      <c r="I127" s="9">
        <f t="shared" si="8"/>
        <v>372.34659749360998</v>
      </c>
      <c r="J127" s="9">
        <f t="shared" si="9"/>
        <v>2335.2836523413998</v>
      </c>
      <c r="K127" s="9">
        <f t="shared" si="10"/>
        <v>372.34659749360998</v>
      </c>
      <c r="L127" s="10">
        <f t="shared" si="7"/>
        <v>0.15944384191628636</v>
      </c>
      <c r="M127" s="10">
        <f t="shared" si="11"/>
        <v>0.18025491898904483</v>
      </c>
      <c r="P127" s="8">
        <f t="shared" si="12"/>
        <v>4.0250134684129302</v>
      </c>
      <c r="X127" s="8">
        <v>-13</v>
      </c>
    </row>
    <row r="128" spans="1:24" x14ac:dyDescent="0.2">
      <c r="A128" s="8">
        <v>63</v>
      </c>
      <c r="B128" s="8">
        <v>126</v>
      </c>
      <c r="D128">
        <v>2411.9840534978998</v>
      </c>
      <c r="E128">
        <v>493.78909465021002</v>
      </c>
      <c r="F128">
        <v>117.98658410733</v>
      </c>
      <c r="G128">
        <v>106.54592363261</v>
      </c>
      <c r="I128" s="9">
        <f t="shared" si="8"/>
        <v>387.24317101760005</v>
      </c>
      <c r="J128" s="9">
        <f t="shared" si="9"/>
        <v>2293.9974693905697</v>
      </c>
      <c r="K128" s="9">
        <f t="shared" si="10"/>
        <v>387.24317101760005</v>
      </c>
      <c r="L128" s="10">
        <f t="shared" si="7"/>
        <v>0.16880714830102941</v>
      </c>
      <c r="M128" s="10">
        <f t="shared" si="11"/>
        <v>0.18978471399036995</v>
      </c>
      <c r="P128" s="8">
        <f t="shared" si="12"/>
        <v>9.5246528620225366</v>
      </c>
      <c r="X128" s="8">
        <v>-13</v>
      </c>
    </row>
    <row r="129" spans="1:24" x14ac:dyDescent="0.2">
      <c r="A129" s="8">
        <v>63.5</v>
      </c>
      <c r="B129" s="8">
        <v>127</v>
      </c>
      <c r="D129">
        <v>2530.4279835390998</v>
      </c>
      <c r="E129">
        <v>540.26748971193001</v>
      </c>
      <c r="F129">
        <v>117.57172342621</v>
      </c>
      <c r="G129">
        <v>106.53766769866</v>
      </c>
      <c r="I129" s="9">
        <f t="shared" si="8"/>
        <v>433.72982201327</v>
      </c>
      <c r="J129" s="9">
        <f t="shared" si="9"/>
        <v>2412.8562601128897</v>
      </c>
      <c r="K129" s="9">
        <f t="shared" si="10"/>
        <v>433.72982201327</v>
      </c>
      <c r="L129" s="10">
        <f t="shared" si="7"/>
        <v>0.17975783687710314</v>
      </c>
      <c r="M129" s="10">
        <f t="shared" si="11"/>
        <v>0.20090189118302573</v>
      </c>
      <c r="P129" s="8">
        <f t="shared" si="12"/>
        <v>15.940369635150024</v>
      </c>
      <c r="X129" s="8">
        <v>-13</v>
      </c>
    </row>
    <row r="130" spans="1:24" x14ac:dyDescent="0.2">
      <c r="A130" s="8">
        <v>64</v>
      </c>
      <c r="B130" s="8">
        <v>128</v>
      </c>
      <c r="D130">
        <v>2530.4753086420001</v>
      </c>
      <c r="E130">
        <v>534.14300411523004</v>
      </c>
      <c r="F130">
        <v>117.95975232198001</v>
      </c>
      <c r="G130">
        <v>106.69246646027</v>
      </c>
      <c r="I130" s="9">
        <f t="shared" si="8"/>
        <v>427.45053765496004</v>
      </c>
      <c r="J130" s="9">
        <f t="shared" si="9"/>
        <v>2412.5155563200201</v>
      </c>
      <c r="K130" s="9">
        <f t="shared" si="10"/>
        <v>427.45053765496004</v>
      </c>
      <c r="L130" s="10">
        <f t="shared" ref="L130:L193" si="14">K130/J130</f>
        <v>0.1771804275148304</v>
      </c>
      <c r="M130" s="10">
        <f t="shared" si="11"/>
        <v>0.19849097043733507</v>
      </c>
      <c r="P130" s="8">
        <f t="shared" si="12"/>
        <v>14.549028614065382</v>
      </c>
      <c r="X130" s="8">
        <v>-13</v>
      </c>
    </row>
    <row r="131" spans="1:24" x14ac:dyDescent="0.2">
      <c r="A131" s="8">
        <v>64.5</v>
      </c>
      <c r="B131" s="8">
        <v>129</v>
      </c>
      <c r="D131">
        <v>2528.5621149897001</v>
      </c>
      <c r="E131">
        <v>515.78696098563</v>
      </c>
      <c r="F131">
        <v>117.72239422085001</v>
      </c>
      <c r="G131">
        <v>106.59236326109</v>
      </c>
      <c r="I131" s="9">
        <f t="shared" ref="I131:I194" si="15">E131-G131</f>
        <v>409.19459772454002</v>
      </c>
      <c r="J131" s="9">
        <f t="shared" ref="J131:J194" si="16">D131-F131</f>
        <v>2410.8397207688499</v>
      </c>
      <c r="K131" s="9">
        <f t="shared" ref="K131:K194" si="17">I131*1</f>
        <v>409.19459772454002</v>
      </c>
      <c r="L131" s="10">
        <f t="shared" si="14"/>
        <v>0.16973114977301032</v>
      </c>
      <c r="M131" s="10">
        <f t="shared" ref="M131:M181" si="18">L131+ABS($N$2)*A131</f>
        <v>0.19120818131209705</v>
      </c>
      <c r="P131" s="8">
        <f t="shared" ref="P131:P194" si="19">(M131-$O$2)/$O$2*100</f>
        <v>10.346135061481997</v>
      </c>
      <c r="X131" s="8">
        <v>-13</v>
      </c>
    </row>
    <row r="132" spans="1:24" x14ac:dyDescent="0.2">
      <c r="A132" s="8">
        <v>65</v>
      </c>
      <c r="B132" s="8">
        <v>130</v>
      </c>
      <c r="D132">
        <v>2523.2520533881002</v>
      </c>
      <c r="E132">
        <v>517.08675564682005</v>
      </c>
      <c r="F132">
        <v>117.79824561404</v>
      </c>
      <c r="G132">
        <v>106.74509803922</v>
      </c>
      <c r="I132" s="9">
        <f t="shared" si="15"/>
        <v>410.34165760760004</v>
      </c>
      <c r="J132" s="9">
        <f t="shared" si="16"/>
        <v>2405.4538077740604</v>
      </c>
      <c r="K132" s="9">
        <f t="shared" si="17"/>
        <v>410.34165760760004</v>
      </c>
      <c r="L132" s="10">
        <f t="shared" si="14"/>
        <v>0.17058804300520689</v>
      </c>
      <c r="M132" s="10">
        <f t="shared" si="18"/>
        <v>0.1922315631608757</v>
      </c>
      <c r="P132" s="8">
        <f t="shared" si="19"/>
        <v>10.936728157080116</v>
      </c>
      <c r="X132" s="8">
        <v>-13</v>
      </c>
    </row>
    <row r="133" spans="1:24" x14ac:dyDescent="0.2">
      <c r="A133" s="8">
        <v>65.5</v>
      </c>
      <c r="B133" s="8">
        <v>131</v>
      </c>
      <c r="D133">
        <v>2489.1011293635001</v>
      </c>
      <c r="E133">
        <v>515.82905544148002</v>
      </c>
      <c r="F133">
        <v>117.49587203302001</v>
      </c>
      <c r="G133">
        <v>106.52941176471001</v>
      </c>
      <c r="I133" s="9">
        <f t="shared" si="15"/>
        <v>409.29964367677002</v>
      </c>
      <c r="J133" s="9">
        <f t="shared" si="16"/>
        <v>2371.6052573304801</v>
      </c>
      <c r="K133" s="9">
        <f t="shared" si="17"/>
        <v>409.29964367677002</v>
      </c>
      <c r="L133" s="10">
        <f t="shared" si="14"/>
        <v>0.17258337677050217</v>
      </c>
      <c r="M133" s="10">
        <f t="shared" si="18"/>
        <v>0.19439338554275304</v>
      </c>
      <c r="P133" s="8">
        <f t="shared" si="19"/>
        <v>12.184314650987529</v>
      </c>
      <c r="X133" s="8">
        <v>-13</v>
      </c>
    </row>
    <row r="134" spans="1:24" x14ac:dyDescent="0.2">
      <c r="A134" s="8">
        <v>66</v>
      </c>
      <c r="B134" s="8">
        <v>132</v>
      </c>
      <c r="D134">
        <v>2473.2802874743002</v>
      </c>
      <c r="E134">
        <v>515.62012320328995</v>
      </c>
      <c r="F134">
        <v>117.62745098038999</v>
      </c>
      <c r="G134">
        <v>106.69607843137</v>
      </c>
      <c r="I134" s="9">
        <f t="shared" si="15"/>
        <v>408.92404477191997</v>
      </c>
      <c r="J134" s="9">
        <f t="shared" si="16"/>
        <v>2355.6528364939104</v>
      </c>
      <c r="K134" s="9">
        <f t="shared" si="17"/>
        <v>408.92404477191997</v>
      </c>
      <c r="L134" s="10">
        <f t="shared" si="14"/>
        <v>0.17359266120917519</v>
      </c>
      <c r="M134" s="10">
        <f t="shared" si="18"/>
        <v>0.19556915859800811</v>
      </c>
      <c r="P134" s="8">
        <f t="shared" si="19"/>
        <v>12.862852627064283</v>
      </c>
      <c r="X134" s="8">
        <v>-13</v>
      </c>
    </row>
    <row r="135" spans="1:24" x14ac:dyDescent="0.2">
      <c r="A135" s="8">
        <v>66.5</v>
      </c>
      <c r="B135" s="8">
        <v>133</v>
      </c>
      <c r="D135">
        <v>2472.4794661190999</v>
      </c>
      <c r="E135">
        <v>516.74845995892997</v>
      </c>
      <c r="F135">
        <v>117.71465428277</v>
      </c>
      <c r="G135">
        <v>106.82868937049</v>
      </c>
      <c r="I135" s="9">
        <f t="shared" si="15"/>
        <v>409.91977058843997</v>
      </c>
      <c r="J135" s="9">
        <f t="shared" si="16"/>
        <v>2354.76481183633</v>
      </c>
      <c r="K135" s="9">
        <f t="shared" si="17"/>
        <v>409.91977058843997</v>
      </c>
      <c r="L135" s="10">
        <f t="shared" si="14"/>
        <v>0.1740809819001711</v>
      </c>
      <c r="M135" s="10">
        <f t="shared" si="18"/>
        <v>0.19622396790558611</v>
      </c>
      <c r="P135" s="8">
        <f t="shared" si="19"/>
        <v>13.240742714181311</v>
      </c>
      <c r="X135" s="8">
        <v>-13</v>
      </c>
    </row>
    <row r="136" spans="1:24" x14ac:dyDescent="0.2">
      <c r="A136" s="8">
        <v>67</v>
      </c>
      <c r="B136" s="8">
        <v>134</v>
      </c>
      <c r="D136">
        <v>2458.3105749486999</v>
      </c>
      <c r="E136">
        <v>513.68377823409003</v>
      </c>
      <c r="F136">
        <v>117.68575851393</v>
      </c>
      <c r="G136">
        <v>106.82610939113</v>
      </c>
      <c r="I136" s="9">
        <f t="shared" si="15"/>
        <v>406.85766884296004</v>
      </c>
      <c r="J136" s="9">
        <f t="shared" si="16"/>
        <v>2340.6248164347699</v>
      </c>
      <c r="K136" s="9">
        <f t="shared" si="17"/>
        <v>406.85766884296004</v>
      </c>
      <c r="L136" s="10">
        <f t="shared" si="14"/>
        <v>0.17382438483356935</v>
      </c>
      <c r="M136" s="10">
        <f t="shared" si="18"/>
        <v>0.19613385945556641</v>
      </c>
      <c r="P136" s="8">
        <f t="shared" si="19"/>
        <v>13.188741177804452</v>
      </c>
      <c r="X136" s="8">
        <v>-13</v>
      </c>
    </row>
    <row r="137" spans="1:24" x14ac:dyDescent="0.2">
      <c r="A137" s="8">
        <v>67.5</v>
      </c>
      <c r="B137" s="8">
        <v>135</v>
      </c>
      <c r="D137">
        <v>2442.9887063655001</v>
      </c>
      <c r="E137">
        <v>508.36652977413002</v>
      </c>
      <c r="F137">
        <v>117.56191950464</v>
      </c>
      <c r="G137">
        <v>106.77141382869</v>
      </c>
      <c r="I137" s="9">
        <f t="shared" si="15"/>
        <v>401.59511594544</v>
      </c>
      <c r="J137" s="9">
        <f t="shared" si="16"/>
        <v>2325.4267868608599</v>
      </c>
      <c r="K137" s="9">
        <f t="shared" si="17"/>
        <v>401.59511594544</v>
      </c>
      <c r="L137" s="10">
        <f t="shared" si="14"/>
        <v>0.17269738106335364</v>
      </c>
      <c r="M137" s="10">
        <f t="shared" si="18"/>
        <v>0.19517334430193278</v>
      </c>
      <c r="P137" s="8">
        <f t="shared" si="19"/>
        <v>12.634428417000265</v>
      </c>
      <c r="X137" s="8">
        <v>-13</v>
      </c>
    </row>
    <row r="138" spans="1:24" x14ac:dyDescent="0.2">
      <c r="A138" s="8">
        <v>68</v>
      </c>
      <c r="B138" s="8">
        <v>136</v>
      </c>
      <c r="D138">
        <v>2459.9471252567</v>
      </c>
      <c r="E138">
        <v>508.05544147844</v>
      </c>
      <c r="F138">
        <v>117.74664602683001</v>
      </c>
      <c r="G138">
        <v>106.75128998968</v>
      </c>
      <c r="I138" s="9">
        <f t="shared" si="15"/>
        <v>401.30415148876</v>
      </c>
      <c r="J138" s="9">
        <f t="shared" si="16"/>
        <v>2342.2004792298699</v>
      </c>
      <c r="K138" s="9">
        <f t="shared" si="17"/>
        <v>401.30415148876</v>
      </c>
      <c r="L138" s="10">
        <f t="shared" si="14"/>
        <v>0.17133638006115998</v>
      </c>
      <c r="M138" s="10">
        <f t="shared" si="18"/>
        <v>0.19397883191632118</v>
      </c>
      <c r="P138" s="8">
        <f t="shared" si="19"/>
        <v>11.945075983799896</v>
      </c>
      <c r="X138" s="8">
        <v>-13</v>
      </c>
    </row>
    <row r="139" spans="1:24" x14ac:dyDescent="0.2">
      <c r="A139" s="8">
        <v>68.5</v>
      </c>
      <c r="B139" s="8">
        <v>137</v>
      </c>
      <c r="D139">
        <v>2448.0800821355001</v>
      </c>
      <c r="E139">
        <v>502.71201232033002</v>
      </c>
      <c r="F139">
        <v>118.11661506708001</v>
      </c>
      <c r="G139">
        <v>106.52683178535</v>
      </c>
      <c r="I139" s="9">
        <f t="shared" si="15"/>
        <v>396.18518053498002</v>
      </c>
      <c r="J139" s="9">
        <f t="shared" si="16"/>
        <v>2329.96346706842</v>
      </c>
      <c r="K139" s="9">
        <f t="shared" si="17"/>
        <v>396.18518053498002</v>
      </c>
      <c r="L139" s="10">
        <f t="shared" si="14"/>
        <v>0.17003922427739335</v>
      </c>
      <c r="M139" s="10">
        <f t="shared" si="18"/>
        <v>0.19284816474913663</v>
      </c>
      <c r="P139" s="8">
        <f t="shared" si="19"/>
        <v>11.292568590635147</v>
      </c>
      <c r="X139" s="8">
        <v>-13</v>
      </c>
    </row>
    <row r="140" spans="1:24" x14ac:dyDescent="0.2">
      <c r="A140" s="8">
        <v>69</v>
      </c>
      <c r="B140" s="8">
        <v>138</v>
      </c>
      <c r="D140">
        <v>2426.9969199179</v>
      </c>
      <c r="E140">
        <v>499.94866529773998</v>
      </c>
      <c r="F140">
        <v>117.3746130031</v>
      </c>
      <c r="G140">
        <v>106.39215686275</v>
      </c>
      <c r="I140" s="9">
        <f t="shared" si="15"/>
        <v>393.55650843498995</v>
      </c>
      <c r="J140" s="9">
        <f t="shared" si="16"/>
        <v>2309.6223069148</v>
      </c>
      <c r="K140" s="9">
        <f t="shared" si="17"/>
        <v>393.55650843498995</v>
      </c>
      <c r="L140" s="10">
        <f t="shared" si="14"/>
        <v>0.1703986436469363</v>
      </c>
      <c r="M140" s="10">
        <f t="shared" si="18"/>
        <v>0.19337407273526164</v>
      </c>
      <c r="P140" s="8">
        <f t="shared" si="19"/>
        <v>11.596069796852573</v>
      </c>
      <c r="X140" s="8">
        <v>-13</v>
      </c>
    </row>
    <row r="141" spans="1:24" x14ac:dyDescent="0.2">
      <c r="A141" s="8">
        <v>69.5</v>
      </c>
      <c r="B141" s="8">
        <v>139</v>
      </c>
      <c r="D141">
        <v>2438.8696098563</v>
      </c>
      <c r="E141">
        <v>501.26694045174997</v>
      </c>
      <c r="F141">
        <v>117.75180598555001</v>
      </c>
      <c r="G141">
        <v>106.68163054695999</v>
      </c>
      <c r="I141" s="9">
        <f t="shared" si="15"/>
        <v>394.58530990478999</v>
      </c>
      <c r="J141" s="9">
        <f t="shared" si="16"/>
        <v>2321.1178038707499</v>
      </c>
      <c r="K141" s="9">
        <f t="shared" si="17"/>
        <v>394.58530990478999</v>
      </c>
      <c r="L141" s="10">
        <f t="shared" si="14"/>
        <v>0.16999796789580018</v>
      </c>
      <c r="M141" s="10">
        <f t="shared" si="18"/>
        <v>0.19313988560070761</v>
      </c>
      <c r="P141" s="8">
        <f t="shared" si="19"/>
        <v>11.460920531785401</v>
      </c>
      <c r="X141" s="8">
        <v>-13</v>
      </c>
    </row>
    <row r="142" spans="1:24" x14ac:dyDescent="0.2">
      <c r="A142" s="8">
        <v>70</v>
      </c>
      <c r="B142" s="8">
        <v>140</v>
      </c>
      <c r="D142">
        <v>2409.6853182752002</v>
      </c>
      <c r="E142">
        <v>494.55030800820998</v>
      </c>
      <c r="F142">
        <v>117.33591331269</v>
      </c>
      <c r="G142">
        <v>106.43034055728</v>
      </c>
      <c r="I142" s="9">
        <f t="shared" si="15"/>
        <v>388.11996745092995</v>
      </c>
      <c r="J142" s="9">
        <f t="shared" si="16"/>
        <v>2292.3494049625101</v>
      </c>
      <c r="K142" s="9">
        <f t="shared" si="17"/>
        <v>388.11996745092995</v>
      </c>
      <c r="L142" s="10">
        <f t="shared" si="14"/>
        <v>0.1693109988428127</v>
      </c>
      <c r="M142" s="10">
        <f t="shared" si="18"/>
        <v>0.19261940516430218</v>
      </c>
      <c r="P142" s="8">
        <f t="shared" si="19"/>
        <v>11.160551561491665</v>
      </c>
      <c r="X142" s="8">
        <v>-13</v>
      </c>
    </row>
    <row r="143" spans="1:24" x14ac:dyDescent="0.2">
      <c r="A143" s="8">
        <v>70.5</v>
      </c>
      <c r="B143" s="8">
        <v>141</v>
      </c>
      <c r="D143">
        <v>2406.1001026693998</v>
      </c>
      <c r="E143">
        <v>495.72535934292</v>
      </c>
      <c r="F143">
        <v>117.57791537668</v>
      </c>
      <c r="G143">
        <v>106.67543859649</v>
      </c>
      <c r="I143" s="9">
        <f t="shared" si="15"/>
        <v>389.04992074643002</v>
      </c>
      <c r="J143" s="9">
        <f t="shared" si="16"/>
        <v>2288.52218729272</v>
      </c>
      <c r="K143" s="9">
        <f t="shared" si="17"/>
        <v>389.04992074643002</v>
      </c>
      <c r="L143" s="10">
        <f t="shared" si="14"/>
        <v>0.17000050202994491</v>
      </c>
      <c r="M143" s="10">
        <f t="shared" si="18"/>
        <v>0.19347539696801644</v>
      </c>
      <c r="P143" s="8">
        <f t="shared" si="19"/>
        <v>11.654543955206252</v>
      </c>
      <c r="X143" s="8">
        <v>-13</v>
      </c>
    </row>
    <row r="144" spans="1:24" x14ac:dyDescent="0.2">
      <c r="A144" s="8">
        <v>71</v>
      </c>
      <c r="B144" s="8">
        <v>142</v>
      </c>
      <c r="D144">
        <v>2410.1201232033</v>
      </c>
      <c r="E144">
        <v>496.17094455851998</v>
      </c>
      <c r="F144">
        <v>117.57946336429001</v>
      </c>
      <c r="G144">
        <v>106.45562435501</v>
      </c>
      <c r="I144" s="9">
        <f t="shared" si="15"/>
        <v>389.71532020350998</v>
      </c>
      <c r="J144" s="9">
        <f t="shared" si="16"/>
        <v>2292.54065983901</v>
      </c>
      <c r="K144" s="9">
        <f t="shared" si="17"/>
        <v>389.71532020350998</v>
      </c>
      <c r="L144" s="10">
        <f t="shared" si="14"/>
        <v>0.16999276262820007</v>
      </c>
      <c r="M144" s="10">
        <f t="shared" si="18"/>
        <v>0.19363414618285368</v>
      </c>
      <c r="P144" s="8">
        <f t="shared" si="19"/>
        <v>11.746158038772805</v>
      </c>
    </row>
    <row r="145" spans="1:16" x14ac:dyDescent="0.2">
      <c r="A145" s="8">
        <v>71.5</v>
      </c>
      <c r="B145" s="8">
        <v>143</v>
      </c>
      <c r="D145">
        <v>2484.1437371663001</v>
      </c>
      <c r="E145">
        <v>507.47997946612003</v>
      </c>
      <c r="F145">
        <v>117.67027863777</v>
      </c>
      <c r="G145">
        <v>106.82662538700001</v>
      </c>
      <c r="I145" s="9">
        <f t="shared" si="15"/>
        <v>400.65335407912005</v>
      </c>
      <c r="J145" s="9">
        <f t="shared" si="16"/>
        <v>2366.47345852853</v>
      </c>
      <c r="K145" s="9">
        <f t="shared" si="17"/>
        <v>400.65335407912005</v>
      </c>
      <c r="L145" s="10">
        <f t="shared" si="14"/>
        <v>0.16930397112006731</v>
      </c>
      <c r="M145" s="10">
        <f t="shared" si="18"/>
        <v>0.19311184329130299</v>
      </c>
      <c r="P145" s="8">
        <f t="shared" si="19"/>
        <v>11.444737330628611</v>
      </c>
    </row>
    <row r="146" spans="1:16" x14ac:dyDescent="0.2">
      <c r="A146" s="8">
        <v>72</v>
      </c>
      <c r="B146" s="8">
        <v>144</v>
      </c>
      <c r="D146">
        <v>2553.5651950718998</v>
      </c>
      <c r="E146">
        <v>507.38655030800999</v>
      </c>
      <c r="F146">
        <v>117.54385964911999</v>
      </c>
      <c r="G146">
        <v>106.40196078431001</v>
      </c>
      <c r="I146" s="9">
        <f t="shared" si="15"/>
        <v>400.98458952369998</v>
      </c>
      <c r="J146" s="9">
        <f t="shared" si="16"/>
        <v>2436.0213354227799</v>
      </c>
      <c r="K146" s="9">
        <f t="shared" si="17"/>
        <v>400.98458952369998</v>
      </c>
      <c r="L146" s="10">
        <f t="shared" si="14"/>
        <v>0.16460635368536611</v>
      </c>
      <c r="M146" s="10">
        <f t="shared" si="18"/>
        <v>0.18858071447318386</v>
      </c>
      <c r="P146" s="8">
        <f t="shared" si="19"/>
        <v>8.8298254104684588</v>
      </c>
    </row>
    <row r="147" spans="1:16" x14ac:dyDescent="0.2">
      <c r="A147" s="8">
        <v>72.5</v>
      </c>
      <c r="B147" s="8">
        <v>145</v>
      </c>
      <c r="D147">
        <v>2404.6182657773002</v>
      </c>
      <c r="E147">
        <v>485.21395587480998</v>
      </c>
      <c r="F147">
        <v>117.64344685243</v>
      </c>
      <c r="G147">
        <v>106.57894736842</v>
      </c>
      <c r="I147" s="9">
        <f t="shared" si="15"/>
        <v>378.63500850638997</v>
      </c>
      <c r="J147" s="9">
        <f t="shared" si="16"/>
        <v>2286.9748189248703</v>
      </c>
      <c r="K147" s="9">
        <f t="shared" si="17"/>
        <v>378.63500850638997</v>
      </c>
      <c r="L147" s="10">
        <f t="shared" si="14"/>
        <v>0.16556151181602868</v>
      </c>
      <c r="M147" s="10">
        <f t="shared" si="18"/>
        <v>0.18970236122042849</v>
      </c>
      <c r="P147" s="8">
        <f t="shared" si="19"/>
        <v>9.477127124304161</v>
      </c>
    </row>
    <row r="148" spans="1:16" x14ac:dyDescent="0.2">
      <c r="A148" s="8">
        <v>73</v>
      </c>
      <c r="B148" s="8">
        <v>146</v>
      </c>
      <c r="D148">
        <v>2384.1949717804</v>
      </c>
      <c r="E148">
        <v>479.22934838379001</v>
      </c>
      <c r="F148">
        <v>117.53766769866</v>
      </c>
      <c r="G148">
        <v>106.61558307534</v>
      </c>
      <c r="I148" s="9">
        <f t="shared" si="15"/>
        <v>372.61376530845001</v>
      </c>
      <c r="J148" s="9">
        <f t="shared" si="16"/>
        <v>2266.6573040817402</v>
      </c>
      <c r="K148" s="9">
        <f t="shared" si="17"/>
        <v>372.61376530845001</v>
      </c>
      <c r="L148" s="10">
        <f t="shared" si="14"/>
        <v>0.16438910488914948</v>
      </c>
      <c r="M148" s="10">
        <f t="shared" si="18"/>
        <v>0.18869644291013138</v>
      </c>
      <c r="P148" s="8">
        <f t="shared" si="19"/>
        <v>8.8966122270483456</v>
      </c>
    </row>
    <row r="149" spans="1:16" x14ac:dyDescent="0.2">
      <c r="A149" s="8">
        <v>73.5</v>
      </c>
      <c r="B149" s="8">
        <v>147</v>
      </c>
      <c r="D149">
        <v>2257.8948178553001</v>
      </c>
      <c r="E149">
        <v>459.17393535145999</v>
      </c>
      <c r="F149">
        <v>117.4133126935</v>
      </c>
      <c r="G149">
        <v>106.41898864808999</v>
      </c>
      <c r="I149" s="9">
        <f t="shared" si="15"/>
        <v>352.75494670337002</v>
      </c>
      <c r="J149" s="9">
        <f t="shared" si="16"/>
        <v>2140.4815051618002</v>
      </c>
      <c r="K149" s="9">
        <f t="shared" si="17"/>
        <v>352.75494670337002</v>
      </c>
      <c r="L149" s="10">
        <f t="shared" si="14"/>
        <v>0.16480167936639334</v>
      </c>
      <c r="M149" s="10">
        <f t="shared" si="18"/>
        <v>0.18927550600395729</v>
      </c>
      <c r="P149" s="8">
        <f t="shared" si="19"/>
        <v>9.2307892163484944</v>
      </c>
    </row>
    <row r="150" spans="1:16" x14ac:dyDescent="0.2">
      <c r="A150" s="8">
        <v>74</v>
      </c>
      <c r="B150" s="8">
        <v>148</v>
      </c>
      <c r="D150">
        <v>2197.1067213955998</v>
      </c>
      <c r="E150">
        <v>448.48281169831</v>
      </c>
      <c r="F150">
        <v>117.2786377709</v>
      </c>
      <c r="G150">
        <v>106.59287925696999</v>
      </c>
      <c r="I150" s="9">
        <f t="shared" si="15"/>
        <v>341.88993244134002</v>
      </c>
      <c r="J150" s="9">
        <f t="shared" si="16"/>
        <v>2079.8280836247</v>
      </c>
      <c r="K150" s="9">
        <f t="shared" si="17"/>
        <v>341.88993244134002</v>
      </c>
      <c r="L150" s="10">
        <f t="shared" si="14"/>
        <v>0.16438374648999751</v>
      </c>
      <c r="M150" s="10">
        <f t="shared" si="18"/>
        <v>0.18902406174414355</v>
      </c>
      <c r="P150" s="8">
        <f t="shared" si="19"/>
        <v>9.0856808738944963</v>
      </c>
    </row>
    <row r="151" spans="1:16" x14ac:dyDescent="0.2">
      <c r="A151" s="8">
        <v>74.5</v>
      </c>
      <c r="B151" s="8">
        <v>149</v>
      </c>
      <c r="D151">
        <v>2259.9815289891999</v>
      </c>
      <c r="E151">
        <v>457.15033350435999</v>
      </c>
      <c r="F151">
        <v>117.39060887513</v>
      </c>
      <c r="G151">
        <v>106.5608875129</v>
      </c>
      <c r="I151" s="9">
        <f t="shared" si="15"/>
        <v>350.58944599146002</v>
      </c>
      <c r="J151" s="9">
        <f t="shared" si="16"/>
        <v>2142.5909201140698</v>
      </c>
      <c r="K151" s="9">
        <f t="shared" si="17"/>
        <v>350.58944599146002</v>
      </c>
      <c r="L151" s="10">
        <f t="shared" si="14"/>
        <v>0.16362873691856911</v>
      </c>
      <c r="M151" s="10">
        <f t="shared" si="18"/>
        <v>0.1884355407892972</v>
      </c>
      <c r="P151" s="8">
        <f t="shared" si="19"/>
        <v>8.7460457582610882</v>
      </c>
    </row>
    <row r="152" spans="1:16" x14ac:dyDescent="0.2">
      <c r="A152" s="8">
        <v>75</v>
      </c>
      <c r="B152" s="8">
        <v>150</v>
      </c>
      <c r="D152">
        <v>2184.094920472</v>
      </c>
      <c r="E152">
        <v>445.66393022062999</v>
      </c>
      <c r="F152">
        <v>117.47987616099</v>
      </c>
      <c r="G152">
        <v>106.49896800825999</v>
      </c>
      <c r="I152" s="9">
        <f t="shared" si="15"/>
        <v>339.16496221237003</v>
      </c>
      <c r="J152" s="9">
        <f t="shared" si="16"/>
        <v>2066.61504431101</v>
      </c>
      <c r="K152" s="9">
        <f t="shared" si="17"/>
        <v>339.16496221237003</v>
      </c>
      <c r="L152" s="10">
        <f t="shared" si="14"/>
        <v>0.16411617787551935</v>
      </c>
      <c r="M152" s="10">
        <f t="shared" si="18"/>
        <v>0.1890894703628295</v>
      </c>
      <c r="P152" s="8">
        <f t="shared" si="19"/>
        <v>9.1234281513497653</v>
      </c>
    </row>
    <row r="153" spans="1:16" x14ac:dyDescent="0.2">
      <c r="A153" s="8">
        <v>75.5</v>
      </c>
      <c r="B153" s="8">
        <v>151</v>
      </c>
      <c r="D153">
        <v>2389.0726429675001</v>
      </c>
      <c r="E153">
        <v>477.93508500772998</v>
      </c>
      <c r="F153">
        <v>117.55056759546</v>
      </c>
      <c r="G153">
        <v>106.72858617131</v>
      </c>
      <c r="I153" s="9">
        <f t="shared" si="15"/>
        <v>371.20649883642</v>
      </c>
      <c r="J153" s="9">
        <f t="shared" si="16"/>
        <v>2271.52207537204</v>
      </c>
      <c r="K153" s="9">
        <f t="shared" si="17"/>
        <v>371.20649883642</v>
      </c>
      <c r="L153" s="10">
        <f t="shared" si="14"/>
        <v>0.16341751764645393</v>
      </c>
      <c r="M153" s="10">
        <f t="shared" si="18"/>
        <v>0.18855729875034616</v>
      </c>
      <c r="P153" s="8">
        <f t="shared" si="19"/>
        <v>8.8163122098455506</v>
      </c>
    </row>
    <row r="154" spans="1:16" x14ac:dyDescent="0.2">
      <c r="A154" s="8">
        <v>76</v>
      </c>
      <c r="B154" s="8">
        <v>152</v>
      </c>
      <c r="D154">
        <v>2393.3461139895999</v>
      </c>
      <c r="E154">
        <v>475.29222797928003</v>
      </c>
      <c r="F154">
        <v>117.35552115583</v>
      </c>
      <c r="G154">
        <v>106.51083591331</v>
      </c>
      <c r="I154" s="9">
        <f t="shared" si="15"/>
        <v>368.78139206597001</v>
      </c>
      <c r="J154" s="9">
        <f t="shared" si="16"/>
        <v>2275.9905928337698</v>
      </c>
      <c r="K154" s="9">
        <f t="shared" si="17"/>
        <v>368.78139206597001</v>
      </c>
      <c r="L154" s="10">
        <f t="shared" si="14"/>
        <v>0.16203115831283424</v>
      </c>
      <c r="M154" s="10">
        <f t="shared" si="18"/>
        <v>0.18733742803330852</v>
      </c>
      <c r="P154" s="8">
        <f t="shared" si="19"/>
        <v>8.1123254976866725</v>
      </c>
    </row>
    <row r="155" spans="1:16" x14ac:dyDescent="0.2">
      <c r="A155" s="8">
        <v>76.5</v>
      </c>
      <c r="B155" s="8">
        <v>153</v>
      </c>
      <c r="D155">
        <v>2383.5911917098001</v>
      </c>
      <c r="E155">
        <v>483.87098445596001</v>
      </c>
      <c r="F155">
        <v>117.32146542828001</v>
      </c>
      <c r="G155">
        <v>106.54076367389</v>
      </c>
      <c r="I155" s="9">
        <f t="shared" si="15"/>
        <v>377.33022078207</v>
      </c>
      <c r="J155" s="9">
        <f t="shared" si="16"/>
        <v>2266.26972628152</v>
      </c>
      <c r="K155" s="9">
        <f t="shared" si="17"/>
        <v>377.33022078207</v>
      </c>
      <c r="L155" s="10">
        <f t="shared" si="14"/>
        <v>0.16649837237211426</v>
      </c>
      <c r="M155" s="10">
        <f t="shared" si="18"/>
        <v>0.19197113070917063</v>
      </c>
      <c r="P155" s="8">
        <f t="shared" si="19"/>
        <v>10.786432734085984</v>
      </c>
    </row>
    <row r="156" spans="1:16" x14ac:dyDescent="0.2">
      <c r="A156" s="8">
        <v>77</v>
      </c>
      <c r="B156" s="8">
        <v>154</v>
      </c>
      <c r="D156">
        <v>2397.2455958548999</v>
      </c>
      <c r="E156">
        <v>488.28963730570001</v>
      </c>
      <c r="F156">
        <v>117.28431372548999</v>
      </c>
      <c r="G156">
        <v>106.4427244582</v>
      </c>
      <c r="I156" s="9">
        <f t="shared" si="15"/>
        <v>381.84691284749999</v>
      </c>
      <c r="J156" s="9">
        <f t="shared" si="16"/>
        <v>2279.9612821294099</v>
      </c>
      <c r="K156" s="9">
        <f t="shared" si="17"/>
        <v>381.84691284749999</v>
      </c>
      <c r="L156" s="10">
        <f t="shared" si="14"/>
        <v>0.16747956021905222</v>
      </c>
      <c r="M156" s="10">
        <f t="shared" si="18"/>
        <v>0.19311880717269064</v>
      </c>
      <c r="P156" s="8">
        <f t="shared" si="19"/>
        <v>11.448756182703249</v>
      </c>
    </row>
    <row r="157" spans="1:16" x14ac:dyDescent="0.2">
      <c r="A157" s="8">
        <v>77.5</v>
      </c>
      <c r="B157" s="8">
        <v>155</v>
      </c>
      <c r="D157">
        <v>2460.2647668394002</v>
      </c>
      <c r="E157">
        <v>492.29015544040999</v>
      </c>
      <c r="F157">
        <v>117.42776057792</v>
      </c>
      <c r="G157">
        <v>106.53457172343001</v>
      </c>
      <c r="I157" s="9">
        <f t="shared" si="15"/>
        <v>385.75558371697997</v>
      </c>
      <c r="J157" s="9">
        <f t="shared" si="16"/>
        <v>2342.8370062614804</v>
      </c>
      <c r="K157" s="9">
        <f t="shared" si="17"/>
        <v>385.75558371697997</v>
      </c>
      <c r="L157" s="10">
        <f t="shared" si="14"/>
        <v>0.16465318871351581</v>
      </c>
      <c r="M157" s="10">
        <f t="shared" si="18"/>
        <v>0.19045892428373629</v>
      </c>
      <c r="P157" s="8">
        <f t="shared" si="19"/>
        <v>9.9137392472447825</v>
      </c>
    </row>
    <row r="158" spans="1:16" x14ac:dyDescent="0.2">
      <c r="A158" s="8">
        <v>78</v>
      </c>
      <c r="B158" s="8">
        <v>156</v>
      </c>
      <c r="D158">
        <v>2508.4269430052</v>
      </c>
      <c r="E158">
        <v>500.9792746114</v>
      </c>
      <c r="F158">
        <v>117.21052631579001</v>
      </c>
      <c r="G158">
        <v>106.72342621259</v>
      </c>
      <c r="I158" s="9">
        <f t="shared" si="15"/>
        <v>394.25584839881003</v>
      </c>
      <c r="J158" s="9">
        <f t="shared" si="16"/>
        <v>2391.2164166894099</v>
      </c>
      <c r="K158" s="9">
        <f t="shared" si="17"/>
        <v>394.25584839881003</v>
      </c>
      <c r="L158" s="10">
        <f t="shared" si="14"/>
        <v>0.16487669022641169</v>
      </c>
      <c r="M158" s="10">
        <f t="shared" si="18"/>
        <v>0.19084891441321425</v>
      </c>
      <c r="P158" s="8">
        <f t="shared" si="19"/>
        <v>10.138802334005586</v>
      </c>
    </row>
    <row r="159" spans="1:16" x14ac:dyDescent="0.2">
      <c r="A159" s="8">
        <v>78.5</v>
      </c>
      <c r="B159" s="8">
        <v>157</v>
      </c>
      <c r="D159">
        <v>2554.6689119171001</v>
      </c>
      <c r="E159">
        <v>511.23523316062</v>
      </c>
      <c r="F159">
        <v>117.52063983488</v>
      </c>
      <c r="G159">
        <v>106.72394220846</v>
      </c>
      <c r="I159" s="9">
        <f t="shared" si="15"/>
        <v>404.51129095215998</v>
      </c>
      <c r="J159" s="9">
        <f t="shared" si="16"/>
        <v>2437.14827208222</v>
      </c>
      <c r="K159" s="9">
        <f t="shared" si="17"/>
        <v>404.51129095215998</v>
      </c>
      <c r="L159" s="10">
        <f t="shared" si="14"/>
        <v>0.16597730043177009</v>
      </c>
      <c r="M159" s="10">
        <f t="shared" si="18"/>
        <v>0.1921160132351547</v>
      </c>
      <c r="P159" s="8">
        <f t="shared" si="19"/>
        <v>10.870044359229745</v>
      </c>
    </row>
    <row r="160" spans="1:16" x14ac:dyDescent="0.2">
      <c r="A160" s="8">
        <v>79</v>
      </c>
      <c r="B160" s="8">
        <v>158</v>
      </c>
      <c r="D160">
        <v>2455.7191709845001</v>
      </c>
      <c r="E160">
        <v>492.50621761657999</v>
      </c>
      <c r="F160">
        <v>117.28121775026</v>
      </c>
      <c r="G160">
        <v>106.63725490196001</v>
      </c>
      <c r="I160" s="9">
        <f t="shared" si="15"/>
        <v>385.86896271462001</v>
      </c>
      <c r="J160" s="9">
        <f t="shared" si="16"/>
        <v>2338.43795323424</v>
      </c>
      <c r="K160" s="9">
        <f t="shared" si="17"/>
        <v>385.86896271462001</v>
      </c>
      <c r="L160" s="10">
        <f t="shared" si="14"/>
        <v>0.1650114180626146</v>
      </c>
      <c r="M160" s="10">
        <f t="shared" si="18"/>
        <v>0.1913166194825813</v>
      </c>
      <c r="P160" s="8">
        <f t="shared" si="19"/>
        <v>10.408714669341688</v>
      </c>
    </row>
    <row r="161" spans="1:16" x14ac:dyDescent="0.2">
      <c r="A161" s="8">
        <v>79.5</v>
      </c>
      <c r="B161" s="8">
        <v>159</v>
      </c>
      <c r="D161">
        <v>2481.1772020725002</v>
      </c>
      <c r="E161">
        <v>494.61398963731</v>
      </c>
      <c r="F161">
        <v>117.33178534571999</v>
      </c>
      <c r="G161">
        <v>106.57327141383</v>
      </c>
      <c r="I161" s="9">
        <f t="shared" si="15"/>
        <v>388.04071822347998</v>
      </c>
      <c r="J161" s="9">
        <f t="shared" si="16"/>
        <v>2363.8454167267801</v>
      </c>
      <c r="K161" s="9">
        <f t="shared" si="17"/>
        <v>388.04071822347998</v>
      </c>
      <c r="L161" s="10">
        <f t="shared" si="14"/>
        <v>0.16415655417975702</v>
      </c>
      <c r="M161" s="10">
        <f t="shared" si="18"/>
        <v>0.19062824421630578</v>
      </c>
      <c r="P161" s="8">
        <f t="shared" si="19"/>
        <v>10.011453686133869</v>
      </c>
    </row>
    <row r="162" spans="1:16" x14ac:dyDescent="0.2">
      <c r="A162" s="8">
        <v>80</v>
      </c>
      <c r="B162" s="4">
        <v>160</v>
      </c>
      <c r="C162" s="4" t="s">
        <v>6</v>
      </c>
      <c r="D162">
        <v>2511.8502590674002</v>
      </c>
      <c r="E162">
        <v>500.13626943004999</v>
      </c>
      <c r="F162">
        <v>117.3617131063</v>
      </c>
      <c r="G162">
        <v>106.41950464396</v>
      </c>
      <c r="H162" s="4"/>
      <c r="I162" s="5">
        <f t="shared" si="15"/>
        <v>393.71676478608998</v>
      </c>
      <c r="J162" s="5">
        <f t="shared" si="16"/>
        <v>2394.4885459611</v>
      </c>
      <c r="K162" s="9">
        <f t="shared" si="17"/>
        <v>393.71676478608998</v>
      </c>
      <c r="L162" s="6">
        <f t="shared" si="14"/>
        <v>0.16442624687020999</v>
      </c>
      <c r="M162" s="6">
        <f t="shared" si="18"/>
        <v>0.19106442552334083</v>
      </c>
      <c r="N162" s="4"/>
      <c r="O162" s="4"/>
      <c r="P162" s="4">
        <f t="shared" si="19"/>
        <v>10.263173675765598</v>
      </c>
    </row>
    <row r="163" spans="1:16" x14ac:dyDescent="0.2">
      <c r="A163" s="8">
        <v>80.5</v>
      </c>
      <c r="B163" s="8">
        <v>161</v>
      </c>
      <c r="D163">
        <v>2616.5112936344999</v>
      </c>
      <c r="E163">
        <v>503.17813141684002</v>
      </c>
      <c r="F163">
        <v>117.40866873065001</v>
      </c>
      <c r="G163">
        <v>106.8137254902</v>
      </c>
      <c r="I163" s="9">
        <f t="shared" si="15"/>
        <v>396.36440592664002</v>
      </c>
      <c r="J163" s="9">
        <f t="shared" si="16"/>
        <v>2499.10262490385</v>
      </c>
      <c r="K163" s="9">
        <f t="shared" si="17"/>
        <v>396.36440592664002</v>
      </c>
      <c r="L163" s="10">
        <f t="shared" si="14"/>
        <v>0.15860269281334122</v>
      </c>
      <c r="M163" s="10">
        <f t="shared" si="18"/>
        <v>0.18540736008305411</v>
      </c>
      <c r="P163" s="8">
        <f t="shared" si="19"/>
        <v>6.9984843573382669</v>
      </c>
    </row>
    <row r="164" spans="1:16" x14ac:dyDescent="0.2">
      <c r="A164" s="8">
        <v>81</v>
      </c>
      <c r="B164" s="8">
        <v>162</v>
      </c>
      <c r="D164">
        <v>2658.0523613963001</v>
      </c>
      <c r="E164">
        <v>514.04774127309997</v>
      </c>
      <c r="F164">
        <v>117.44014447884</v>
      </c>
      <c r="G164">
        <v>106.69504643963</v>
      </c>
      <c r="I164" s="9">
        <f t="shared" si="15"/>
        <v>407.35269483346997</v>
      </c>
      <c r="J164" s="9">
        <f t="shared" si="16"/>
        <v>2540.61221691746</v>
      </c>
      <c r="K164" s="9">
        <f t="shared" si="17"/>
        <v>407.35269483346997</v>
      </c>
      <c r="L164" s="10">
        <f t="shared" si="14"/>
        <v>0.16033643077089246</v>
      </c>
      <c r="M164" s="10">
        <f t="shared" si="18"/>
        <v>0.18730758665718744</v>
      </c>
      <c r="P164" s="8">
        <f t="shared" si="19"/>
        <v>8.0951040561286742</v>
      </c>
    </row>
    <row r="165" spans="1:16" x14ac:dyDescent="0.2">
      <c r="A165" s="8">
        <v>81.5</v>
      </c>
      <c r="B165" s="8">
        <v>163</v>
      </c>
      <c r="D165">
        <v>2661.4342915810998</v>
      </c>
      <c r="E165">
        <v>511.70585215606002</v>
      </c>
      <c r="F165">
        <v>117.56501547988</v>
      </c>
      <c r="G165">
        <v>106.57481940145</v>
      </c>
      <c r="I165" s="9">
        <f t="shared" si="15"/>
        <v>405.13103275461003</v>
      </c>
      <c r="J165" s="9">
        <f t="shared" si="16"/>
        <v>2543.8692761012198</v>
      </c>
      <c r="K165" s="9">
        <f t="shared" si="17"/>
        <v>405.13103275461003</v>
      </c>
      <c r="L165" s="10">
        <f t="shared" si="14"/>
        <v>0.1592578032844208</v>
      </c>
      <c r="M165" s="10">
        <f t="shared" si="18"/>
        <v>0.18639544778729783</v>
      </c>
      <c r="P165" s="8">
        <f t="shared" si="19"/>
        <v>7.5687092217602627</v>
      </c>
    </row>
    <row r="166" spans="1:16" x14ac:dyDescent="0.2">
      <c r="A166" s="8">
        <v>82</v>
      </c>
      <c r="B166" s="8">
        <v>164</v>
      </c>
      <c r="D166">
        <v>2687.8244353182999</v>
      </c>
      <c r="E166">
        <v>515.95431211498999</v>
      </c>
      <c r="F166">
        <v>117.33281733746</v>
      </c>
      <c r="G166">
        <v>106.45510835912999</v>
      </c>
      <c r="I166" s="9">
        <f t="shared" si="15"/>
        <v>409.49920375585998</v>
      </c>
      <c r="J166" s="9">
        <f t="shared" si="16"/>
        <v>2570.4916179808401</v>
      </c>
      <c r="K166" s="9">
        <f t="shared" si="17"/>
        <v>409.49920375585998</v>
      </c>
      <c r="L166" s="10">
        <f t="shared" si="14"/>
        <v>0.15930773743488327</v>
      </c>
      <c r="M166" s="10">
        <f t="shared" si="18"/>
        <v>0.18661187055434236</v>
      </c>
      <c r="P166" s="8">
        <f t="shared" si="19"/>
        <v>7.6936066802204506</v>
      </c>
    </row>
    <row r="167" spans="1:16" x14ac:dyDescent="0.2">
      <c r="A167" s="8">
        <v>82.5</v>
      </c>
      <c r="B167" s="8">
        <v>165</v>
      </c>
      <c r="D167">
        <v>2650.9774127310002</v>
      </c>
      <c r="E167">
        <v>519.81314168378003</v>
      </c>
      <c r="F167">
        <v>117.7306501548</v>
      </c>
      <c r="G167">
        <v>106.92156862745</v>
      </c>
      <c r="I167" s="9">
        <f t="shared" si="15"/>
        <v>412.89157305633</v>
      </c>
      <c r="J167" s="9">
        <f t="shared" si="16"/>
        <v>2533.2467625762001</v>
      </c>
      <c r="K167" s="9">
        <f t="shared" si="17"/>
        <v>412.89157305633</v>
      </c>
      <c r="L167" s="10">
        <f t="shared" si="14"/>
        <v>0.16298908545191923</v>
      </c>
      <c r="M167" s="10">
        <f t="shared" si="18"/>
        <v>0.1904597071879604</v>
      </c>
      <c r="P167" s="8">
        <f t="shared" si="19"/>
        <v>9.9141910608369717</v>
      </c>
    </row>
    <row r="168" spans="1:16" x14ac:dyDescent="0.2">
      <c r="A168" s="8">
        <v>83</v>
      </c>
      <c r="B168" s="8">
        <v>166</v>
      </c>
      <c r="D168">
        <v>2762.3027663933999</v>
      </c>
      <c r="E168">
        <v>539.80071721312004</v>
      </c>
      <c r="F168">
        <v>117.60423116615</v>
      </c>
      <c r="G168">
        <v>106.58565531476</v>
      </c>
      <c r="I168" s="9">
        <f t="shared" si="15"/>
        <v>433.21506189836003</v>
      </c>
      <c r="J168" s="9">
        <f t="shared" si="16"/>
        <v>2644.69853522725</v>
      </c>
      <c r="K168" s="9">
        <f t="shared" si="17"/>
        <v>433.21506189836003</v>
      </c>
      <c r="L168" s="10">
        <f t="shared" si="14"/>
        <v>0.16380508255589718</v>
      </c>
      <c r="M168" s="10">
        <f t="shared" si="18"/>
        <v>0.19144219290852041</v>
      </c>
      <c r="P168" s="8">
        <f t="shared" si="19"/>
        <v>10.481183023591615</v>
      </c>
    </row>
    <row r="169" spans="1:16" x14ac:dyDescent="0.2">
      <c r="A169" s="8">
        <v>83.5</v>
      </c>
      <c r="B169" s="8">
        <v>167</v>
      </c>
      <c r="D169">
        <v>2593.6741803279001</v>
      </c>
      <c r="E169">
        <v>529.93493852459005</v>
      </c>
      <c r="F169">
        <v>117.57894736842</v>
      </c>
      <c r="G169">
        <v>106.73839009288</v>
      </c>
      <c r="I169" s="9">
        <f t="shared" si="15"/>
        <v>423.19654843171008</v>
      </c>
      <c r="J169" s="9">
        <f t="shared" si="16"/>
        <v>2476.0952329594802</v>
      </c>
      <c r="K169" s="9">
        <f t="shared" si="17"/>
        <v>423.19654843171008</v>
      </c>
      <c r="L169" s="10">
        <f t="shared" si="14"/>
        <v>0.17091287233160932</v>
      </c>
      <c r="M169" s="10">
        <f t="shared" si="18"/>
        <v>0.19871647130081463</v>
      </c>
      <c r="P169" s="8">
        <f t="shared" si="19"/>
        <v>14.679165036927857</v>
      </c>
    </row>
    <row r="170" spans="1:16" x14ac:dyDescent="0.2">
      <c r="A170" s="8">
        <v>84</v>
      </c>
      <c r="B170" s="8">
        <v>168</v>
      </c>
      <c r="D170">
        <v>2746.4014447884001</v>
      </c>
      <c r="E170">
        <v>551.23219814241997</v>
      </c>
      <c r="F170">
        <v>117.59339525284</v>
      </c>
      <c r="G170">
        <v>106.80288957688001</v>
      </c>
      <c r="I170" s="9">
        <f t="shared" si="15"/>
        <v>444.42930856553994</v>
      </c>
      <c r="J170" s="9">
        <f t="shared" si="16"/>
        <v>2628.8080495355603</v>
      </c>
      <c r="K170" s="9">
        <f t="shared" si="17"/>
        <v>444.42930856553994</v>
      </c>
      <c r="L170" s="10">
        <f t="shared" si="14"/>
        <v>0.16906114869971531</v>
      </c>
      <c r="M170" s="10">
        <f t="shared" si="18"/>
        <v>0.19703123628550268</v>
      </c>
      <c r="P170" s="8">
        <f t="shared" si="19"/>
        <v>13.70661684712827</v>
      </c>
    </row>
    <row r="171" spans="1:16" x14ac:dyDescent="0.2">
      <c r="A171" s="8">
        <v>84.5</v>
      </c>
      <c r="B171" s="8">
        <v>169</v>
      </c>
      <c r="D171">
        <v>2653.0294117646999</v>
      </c>
      <c r="E171">
        <v>542.57739938080999</v>
      </c>
      <c r="F171">
        <v>117.43446852424999</v>
      </c>
      <c r="G171">
        <v>106.86326109391</v>
      </c>
      <c r="I171" s="9">
        <f t="shared" si="15"/>
        <v>435.71413828689998</v>
      </c>
      <c r="J171" s="9">
        <f t="shared" si="16"/>
        <v>2535.59494324045</v>
      </c>
      <c r="K171" s="9">
        <f t="shared" si="17"/>
        <v>435.71413828689998</v>
      </c>
      <c r="L171" s="10">
        <f t="shared" si="14"/>
        <v>0.17183901531609155</v>
      </c>
      <c r="M171" s="10">
        <f t="shared" si="18"/>
        <v>0.199975591518461</v>
      </c>
      <c r="P171" s="8">
        <f t="shared" si="19"/>
        <v>15.405802614052593</v>
      </c>
    </row>
    <row r="172" spans="1:16" x14ac:dyDescent="0.2">
      <c r="A172" s="8">
        <v>85</v>
      </c>
      <c r="B172" s="8">
        <v>170</v>
      </c>
      <c r="D172">
        <v>2645.7043343652999</v>
      </c>
      <c r="E172">
        <v>535.21568627450995</v>
      </c>
      <c r="F172">
        <v>117.76315789474</v>
      </c>
      <c r="G172">
        <v>106.80546955624</v>
      </c>
      <c r="I172" s="9">
        <f t="shared" si="15"/>
        <v>428.41021671826996</v>
      </c>
      <c r="J172" s="9">
        <f t="shared" si="16"/>
        <v>2527.9411764705601</v>
      </c>
      <c r="K172" s="9">
        <f t="shared" si="17"/>
        <v>428.41021671826996</v>
      </c>
      <c r="L172" s="10">
        <f t="shared" si="14"/>
        <v>0.16947001010379686</v>
      </c>
      <c r="M172" s="10">
        <f t="shared" si="18"/>
        <v>0.19777307492274837</v>
      </c>
      <c r="P172" s="8">
        <f t="shared" si="19"/>
        <v>14.134731511980009</v>
      </c>
    </row>
    <row r="173" spans="1:16" x14ac:dyDescent="0.2">
      <c r="A173" s="8">
        <v>85.5</v>
      </c>
      <c r="B173" s="8">
        <v>171</v>
      </c>
      <c r="D173">
        <v>2689.0841073270999</v>
      </c>
      <c r="E173">
        <v>538.47316821464995</v>
      </c>
      <c r="F173">
        <v>117.89318885449001</v>
      </c>
      <c r="G173">
        <v>106.67956656347</v>
      </c>
      <c r="I173" s="9">
        <f t="shared" si="15"/>
        <v>431.79360165117993</v>
      </c>
      <c r="J173" s="9">
        <f t="shared" si="16"/>
        <v>2571.1909184726101</v>
      </c>
      <c r="K173" s="9">
        <f t="shared" si="17"/>
        <v>431.79360165117993</v>
      </c>
      <c r="L173" s="10">
        <f t="shared" si="14"/>
        <v>0.16793525465144477</v>
      </c>
      <c r="M173" s="10">
        <f t="shared" si="18"/>
        <v>0.19640480808697836</v>
      </c>
      <c r="P173" s="8">
        <f t="shared" si="19"/>
        <v>13.345105482257019</v>
      </c>
    </row>
    <row r="174" spans="1:16" x14ac:dyDescent="0.2">
      <c r="A174" s="8">
        <v>86</v>
      </c>
      <c r="B174" s="8">
        <v>172</v>
      </c>
      <c r="D174">
        <v>2741.9784061697001</v>
      </c>
      <c r="E174">
        <v>548.01028277634998</v>
      </c>
      <c r="F174">
        <v>117.71207430341001</v>
      </c>
      <c r="G174">
        <v>106.68782249742</v>
      </c>
      <c r="I174" s="9">
        <f t="shared" si="15"/>
        <v>441.32246027892995</v>
      </c>
      <c r="J174" s="9">
        <f t="shared" si="16"/>
        <v>2624.2663318662899</v>
      </c>
      <c r="K174" s="9">
        <f t="shared" si="17"/>
        <v>441.32246027892995</v>
      </c>
      <c r="L174" s="10">
        <f t="shared" si="14"/>
        <v>0.16816984424179091</v>
      </c>
      <c r="M174" s="10">
        <f t="shared" si="18"/>
        <v>0.19680588629390655</v>
      </c>
      <c r="P174" s="8">
        <f t="shared" si="19"/>
        <v>13.576567492345786</v>
      </c>
    </row>
    <row r="175" spans="1:16" x14ac:dyDescent="0.2">
      <c r="A175" s="8">
        <v>86.5</v>
      </c>
      <c r="B175" s="8">
        <v>173</v>
      </c>
      <c r="D175">
        <v>2744.7649793388</v>
      </c>
      <c r="E175">
        <v>546.24741735536998</v>
      </c>
      <c r="F175">
        <v>117.71104231165999</v>
      </c>
      <c r="G175">
        <v>106.72291021672</v>
      </c>
      <c r="I175" s="9">
        <f t="shared" si="15"/>
        <v>439.52450713864999</v>
      </c>
      <c r="J175" s="9">
        <f t="shared" si="16"/>
        <v>2627.0539370271399</v>
      </c>
      <c r="K175" s="9">
        <f t="shared" si="17"/>
        <v>439.52450713864999</v>
      </c>
      <c r="L175" s="10">
        <f t="shared" si="14"/>
        <v>0.16730699775278701</v>
      </c>
      <c r="M175" s="10">
        <f t="shared" si="18"/>
        <v>0.19610952842148471</v>
      </c>
      <c r="P175" s="8">
        <f t="shared" si="19"/>
        <v>13.174699751571847</v>
      </c>
    </row>
    <row r="176" spans="1:16" x14ac:dyDescent="0.2">
      <c r="A176" s="8">
        <v>87</v>
      </c>
      <c r="B176" s="8">
        <v>174</v>
      </c>
      <c r="D176">
        <v>2633.3357475427001</v>
      </c>
      <c r="E176">
        <v>514.51629591308995</v>
      </c>
      <c r="F176">
        <v>117.52941176471001</v>
      </c>
      <c r="G176">
        <v>106.70588235293999</v>
      </c>
      <c r="I176" s="9">
        <f t="shared" si="15"/>
        <v>407.81041356014998</v>
      </c>
      <c r="J176" s="9">
        <f t="shared" si="16"/>
        <v>2515.8063357779902</v>
      </c>
      <c r="K176" s="9">
        <f t="shared" si="17"/>
        <v>407.81041356014998</v>
      </c>
      <c r="L176" s="10">
        <f t="shared" si="14"/>
        <v>0.162099287119427</v>
      </c>
      <c r="M176" s="10">
        <f t="shared" si="18"/>
        <v>0.19106830640470679</v>
      </c>
      <c r="P176" s="8">
        <f t="shared" si="19"/>
        <v>10.265413330242868</v>
      </c>
    </row>
    <row r="177" spans="1:16" x14ac:dyDescent="0.2">
      <c r="A177" s="8">
        <v>87.5</v>
      </c>
      <c r="B177" s="8">
        <v>175</v>
      </c>
      <c r="D177">
        <v>2582.8336776860001</v>
      </c>
      <c r="E177">
        <v>508.68336776860002</v>
      </c>
      <c r="F177">
        <v>117.86842105263</v>
      </c>
      <c r="G177">
        <v>106.47574819401</v>
      </c>
      <c r="I177" s="9">
        <f t="shared" si="15"/>
        <v>402.20761957459001</v>
      </c>
      <c r="J177" s="9">
        <f t="shared" si="16"/>
        <v>2464.9652566333702</v>
      </c>
      <c r="K177" s="9">
        <f t="shared" si="17"/>
        <v>402.20761957459001</v>
      </c>
      <c r="L177" s="10">
        <f t="shared" si="14"/>
        <v>0.16316969113143687</v>
      </c>
      <c r="M177" s="10">
        <f t="shared" si="18"/>
        <v>0.19230519903329871</v>
      </c>
      <c r="P177" s="8">
        <f t="shared" si="19"/>
        <v>10.979223378090023</v>
      </c>
    </row>
    <row r="178" spans="1:16" x14ac:dyDescent="0.2">
      <c r="A178" s="8">
        <v>88</v>
      </c>
      <c r="B178" s="8">
        <v>176</v>
      </c>
      <c r="D178">
        <v>2453.6110537190002</v>
      </c>
      <c r="E178">
        <v>493.43904958678002</v>
      </c>
      <c r="F178">
        <v>117.47832817338001</v>
      </c>
      <c r="G178">
        <v>106.72549019608</v>
      </c>
      <c r="I178" s="9">
        <f t="shared" si="15"/>
        <v>386.71355939070003</v>
      </c>
      <c r="J178" s="9">
        <f t="shared" si="16"/>
        <v>2336.1327255456204</v>
      </c>
      <c r="K178" s="9">
        <f t="shared" si="17"/>
        <v>386.71355939070003</v>
      </c>
      <c r="L178" s="10">
        <f t="shared" si="14"/>
        <v>0.16553578277551861</v>
      </c>
      <c r="M178" s="10">
        <f t="shared" si="18"/>
        <v>0.19483777929396254</v>
      </c>
      <c r="P178" s="8">
        <f t="shared" si="19"/>
        <v>12.440774037583555</v>
      </c>
    </row>
    <row r="179" spans="1:16" x14ac:dyDescent="0.2">
      <c r="A179" s="8">
        <v>88.5</v>
      </c>
      <c r="B179" s="8">
        <v>177</v>
      </c>
      <c r="D179">
        <v>2592.6167355371999</v>
      </c>
      <c r="E179">
        <v>517.19473140495995</v>
      </c>
      <c r="F179">
        <v>117.55469556244</v>
      </c>
      <c r="G179">
        <v>106.60371517028</v>
      </c>
      <c r="I179" s="9">
        <f t="shared" si="15"/>
        <v>410.59101623467996</v>
      </c>
      <c r="J179" s="9">
        <f t="shared" si="16"/>
        <v>2475.06203997476</v>
      </c>
      <c r="K179" s="9">
        <f t="shared" si="17"/>
        <v>410.59101623467996</v>
      </c>
      <c r="L179" s="10">
        <f t="shared" si="14"/>
        <v>0.16589120175705457</v>
      </c>
      <c r="M179" s="10">
        <f t="shared" si="18"/>
        <v>0.19535968689208055</v>
      </c>
      <c r="P179" s="8">
        <f t="shared" si="19"/>
        <v>12.741966622107659</v>
      </c>
    </row>
    <row r="180" spans="1:16" x14ac:dyDescent="0.2">
      <c r="A180" s="8">
        <v>89</v>
      </c>
      <c r="B180" s="8">
        <v>178</v>
      </c>
      <c r="D180">
        <v>2686.3735810113999</v>
      </c>
      <c r="E180">
        <v>555.79979360164998</v>
      </c>
      <c r="F180">
        <v>117.50619195046001</v>
      </c>
      <c r="G180">
        <v>106.54901960783999</v>
      </c>
      <c r="I180" s="9">
        <f t="shared" si="15"/>
        <v>449.25077399380996</v>
      </c>
      <c r="J180" s="9">
        <f t="shared" si="16"/>
        <v>2568.8673890609398</v>
      </c>
      <c r="K180" s="9">
        <f t="shared" si="17"/>
        <v>449.25077399380996</v>
      </c>
      <c r="L180" s="10">
        <f t="shared" si="14"/>
        <v>0.17488282030705971</v>
      </c>
      <c r="M180" s="10">
        <f t="shared" si="18"/>
        <v>0.20451779405866777</v>
      </c>
      <c r="P180" s="8">
        <f t="shared" si="19"/>
        <v>18.027105173068943</v>
      </c>
    </row>
    <row r="181" spans="1:16" x14ac:dyDescent="0.2">
      <c r="A181" s="8">
        <v>89.5</v>
      </c>
      <c r="B181" s="8">
        <v>179</v>
      </c>
      <c r="D181">
        <v>2662.3740340031</v>
      </c>
      <c r="E181">
        <v>569.22514167955001</v>
      </c>
      <c r="F181">
        <v>117.70949432405</v>
      </c>
      <c r="G181">
        <v>106.7786377709</v>
      </c>
      <c r="I181" s="9">
        <f t="shared" si="15"/>
        <v>462.44650390865002</v>
      </c>
      <c r="J181" s="9">
        <f t="shared" si="16"/>
        <v>2544.66453967905</v>
      </c>
      <c r="K181" s="9">
        <f t="shared" si="17"/>
        <v>462.44650390865002</v>
      </c>
      <c r="L181" s="10">
        <f t="shared" si="14"/>
        <v>0.18173181442885861</v>
      </c>
      <c r="M181" s="10">
        <f t="shared" si="18"/>
        <v>0.21153327679704872</v>
      </c>
      <c r="P181" s="8">
        <f t="shared" si="19"/>
        <v>22.075736358506113</v>
      </c>
    </row>
    <row r="182" spans="1:16" x14ac:dyDescent="0.2">
      <c r="A182" s="8">
        <v>90</v>
      </c>
      <c r="B182" s="8">
        <v>180</v>
      </c>
      <c r="D182">
        <v>2660.7813953487998</v>
      </c>
      <c r="E182">
        <v>573.41498708009999</v>
      </c>
      <c r="F182">
        <v>117.38132094943001</v>
      </c>
      <c r="G182">
        <v>106.79824561404</v>
      </c>
      <c r="I182" s="9">
        <f t="shared" si="15"/>
        <v>466.61674146605998</v>
      </c>
      <c r="J182" s="9">
        <f t="shared" si="16"/>
        <v>2543.4000743993697</v>
      </c>
      <c r="K182" s="9">
        <f t="shared" si="17"/>
        <v>466.61674146605998</v>
      </c>
      <c r="L182" s="10">
        <f t="shared" si="14"/>
        <v>0.18346179437627511</v>
      </c>
      <c r="M182" s="10">
        <f>L182+ABS($N$2)*A182</f>
        <v>0.21342974536104728</v>
      </c>
      <c r="P182" s="8">
        <f t="shared" si="19"/>
        <v>23.170187311738413</v>
      </c>
    </row>
    <row r="183" spans="1:16" x14ac:dyDescent="0.2">
      <c r="A183" s="8">
        <v>90.5</v>
      </c>
      <c r="B183" s="8">
        <v>181</v>
      </c>
      <c r="D183">
        <v>2570.8115942028999</v>
      </c>
      <c r="E183">
        <v>542.25879917184</v>
      </c>
      <c r="F183">
        <v>117.53508771929999</v>
      </c>
      <c r="G183">
        <v>106.68472652219</v>
      </c>
      <c r="I183" s="9">
        <f t="shared" si="15"/>
        <v>435.57407264965002</v>
      </c>
      <c r="J183" s="9">
        <f t="shared" si="16"/>
        <v>2453.2765064835999</v>
      </c>
      <c r="K183" s="9">
        <f t="shared" si="17"/>
        <v>435.57407264965002</v>
      </c>
      <c r="L183" s="10">
        <f t="shared" si="14"/>
        <v>0.17754789217542358</v>
      </c>
      <c r="M183" s="10">
        <f t="shared" ref="M183:M241" si="20">L183+ABS($N$2)*A183</f>
        <v>0.20768233177677783</v>
      </c>
      <c r="P183" s="8">
        <f t="shared" si="19"/>
        <v>19.853358129681499</v>
      </c>
    </row>
    <row r="184" spans="1:16" x14ac:dyDescent="0.2">
      <c r="A184" s="8">
        <v>91</v>
      </c>
      <c r="B184" s="8">
        <v>182</v>
      </c>
      <c r="D184">
        <v>2368.6547619048001</v>
      </c>
      <c r="E184">
        <v>495.21635610765998</v>
      </c>
      <c r="F184">
        <v>117.71207430341001</v>
      </c>
      <c r="G184">
        <v>106.59649122806999</v>
      </c>
      <c r="I184" s="9">
        <f t="shared" si="15"/>
        <v>388.61986487958995</v>
      </c>
      <c r="J184" s="9">
        <f t="shared" si="16"/>
        <v>2250.9426876013899</v>
      </c>
      <c r="K184" s="9">
        <f t="shared" si="17"/>
        <v>388.61986487958995</v>
      </c>
      <c r="L184" s="10">
        <f t="shared" si="14"/>
        <v>0.17264760538781387</v>
      </c>
      <c r="M184" s="10">
        <f t="shared" si="20"/>
        <v>0.20294853360575019</v>
      </c>
      <c r="P184" s="8">
        <f t="shared" si="19"/>
        <v>17.121485838707699</v>
      </c>
    </row>
    <row r="185" spans="1:16" x14ac:dyDescent="0.2">
      <c r="A185" s="8">
        <v>91.5</v>
      </c>
      <c r="B185" s="8">
        <v>183</v>
      </c>
      <c r="D185">
        <v>2575.0565552698999</v>
      </c>
      <c r="E185">
        <v>538.80051413881995</v>
      </c>
      <c r="F185">
        <v>117.6253869969</v>
      </c>
      <c r="G185">
        <v>106.67182662539</v>
      </c>
      <c r="I185" s="9">
        <f t="shared" si="15"/>
        <v>432.12868751342995</v>
      </c>
      <c r="J185" s="9">
        <f t="shared" si="16"/>
        <v>2457.4311682729999</v>
      </c>
      <c r="K185" s="9">
        <f t="shared" si="17"/>
        <v>432.12868751342995</v>
      </c>
      <c r="L185" s="10">
        <f t="shared" si="14"/>
        <v>0.17584569329651478</v>
      </c>
      <c r="M185" s="10">
        <f t="shared" si="20"/>
        <v>0.20631311013103318</v>
      </c>
      <c r="P185" s="8">
        <f t="shared" si="19"/>
        <v>19.063181079653329</v>
      </c>
    </row>
    <row r="186" spans="1:16" x14ac:dyDescent="0.2">
      <c r="A186" s="8">
        <v>92</v>
      </c>
      <c r="B186" s="8">
        <v>184</v>
      </c>
      <c r="D186">
        <v>2575.0497946611999</v>
      </c>
      <c r="E186">
        <v>528.30954825462004</v>
      </c>
      <c r="F186">
        <v>117.31527347781</v>
      </c>
      <c r="G186">
        <v>106.57327141383</v>
      </c>
      <c r="I186" s="9">
        <f t="shared" si="15"/>
        <v>421.73627684079003</v>
      </c>
      <c r="J186" s="9">
        <f t="shared" si="16"/>
        <v>2457.7345211833899</v>
      </c>
      <c r="K186" s="9">
        <f t="shared" si="17"/>
        <v>421.73627684079003</v>
      </c>
      <c r="L186" s="10">
        <f t="shared" si="14"/>
        <v>0.17159553776285227</v>
      </c>
      <c r="M186" s="10">
        <f t="shared" si="20"/>
        <v>0.20222944321395273</v>
      </c>
      <c r="P186" s="8">
        <f t="shared" si="19"/>
        <v>16.706499173648734</v>
      </c>
    </row>
    <row r="187" spans="1:16" x14ac:dyDescent="0.2">
      <c r="A187" s="8">
        <v>92.5</v>
      </c>
      <c r="B187" s="8">
        <v>185</v>
      </c>
      <c r="D187">
        <v>2475.0610882956998</v>
      </c>
      <c r="E187">
        <v>502.43891170430999</v>
      </c>
      <c r="F187">
        <v>117.46026831784999</v>
      </c>
      <c r="G187">
        <v>106.97626418989</v>
      </c>
      <c r="I187" s="9">
        <f t="shared" si="15"/>
        <v>395.46264751441998</v>
      </c>
      <c r="J187" s="9">
        <f t="shared" si="16"/>
        <v>2357.6008199778498</v>
      </c>
      <c r="K187" s="9">
        <f t="shared" si="17"/>
        <v>395.46264751441998</v>
      </c>
      <c r="L187" s="10">
        <f t="shared" si="14"/>
        <v>0.16773944264158147</v>
      </c>
      <c r="M187" s="10">
        <f t="shared" si="20"/>
        <v>0.19853983670926401</v>
      </c>
      <c r="P187" s="8">
        <f t="shared" si="19"/>
        <v>14.577229312410081</v>
      </c>
    </row>
    <row r="188" spans="1:16" x14ac:dyDescent="0.2">
      <c r="A188" s="8">
        <v>93</v>
      </c>
      <c r="B188" s="8">
        <v>186</v>
      </c>
      <c r="D188">
        <v>2309.295687885</v>
      </c>
      <c r="E188">
        <v>467.31724845996001</v>
      </c>
      <c r="F188">
        <v>117.70175438597001</v>
      </c>
      <c r="G188">
        <v>106.64602683179</v>
      </c>
      <c r="I188" s="9">
        <f t="shared" si="15"/>
        <v>360.67122162817003</v>
      </c>
      <c r="J188" s="9">
        <f t="shared" si="16"/>
        <v>2191.5939334990298</v>
      </c>
      <c r="K188" s="9">
        <f t="shared" si="17"/>
        <v>360.67122162817003</v>
      </c>
      <c r="L188" s="10">
        <f t="shared" si="14"/>
        <v>0.1645702774201121</v>
      </c>
      <c r="M188" s="10">
        <f t="shared" si="20"/>
        <v>0.19553716010437669</v>
      </c>
      <c r="P188" s="8">
        <f t="shared" si="19"/>
        <v>12.844386314191125</v>
      </c>
    </row>
    <row r="189" spans="1:16" x14ac:dyDescent="0.2">
      <c r="A189" s="8">
        <v>93.5</v>
      </c>
      <c r="B189" s="8">
        <v>187</v>
      </c>
      <c r="D189">
        <v>2564.7359752959001</v>
      </c>
      <c r="E189">
        <v>520.82861554297995</v>
      </c>
      <c r="F189">
        <v>117.5866873065</v>
      </c>
      <c r="G189">
        <v>106.69040247677999</v>
      </c>
      <c r="I189" s="9">
        <f t="shared" si="15"/>
        <v>414.13821306619997</v>
      </c>
      <c r="J189" s="9">
        <f t="shared" si="16"/>
        <v>2447.1492879893999</v>
      </c>
      <c r="K189" s="9">
        <f t="shared" si="17"/>
        <v>414.13821306619997</v>
      </c>
      <c r="L189" s="10">
        <f t="shared" si="14"/>
        <v>0.16923291729637782</v>
      </c>
      <c r="M189" s="10">
        <f t="shared" si="20"/>
        <v>0.2003662885972245</v>
      </c>
      <c r="P189" s="8">
        <f t="shared" si="19"/>
        <v>15.631273680852784</v>
      </c>
    </row>
    <row r="190" spans="1:16" x14ac:dyDescent="0.2">
      <c r="A190" s="8">
        <v>94</v>
      </c>
      <c r="B190" s="8">
        <v>188</v>
      </c>
      <c r="D190">
        <v>2678.0745501285001</v>
      </c>
      <c r="E190">
        <v>578.35886889460005</v>
      </c>
      <c r="F190">
        <v>117.31785345717</v>
      </c>
      <c r="G190">
        <v>106.58617131062999</v>
      </c>
      <c r="I190" s="9">
        <f t="shared" si="15"/>
        <v>471.77269758397006</v>
      </c>
      <c r="J190" s="9">
        <f t="shared" si="16"/>
        <v>2560.7566966713302</v>
      </c>
      <c r="K190" s="9">
        <f t="shared" si="17"/>
        <v>471.77269758397006</v>
      </c>
      <c r="L190" s="10">
        <f t="shared" si="14"/>
        <v>0.18423175391758878</v>
      </c>
      <c r="M190" s="10">
        <f t="shared" si="20"/>
        <v>0.21553161383501751</v>
      </c>
      <c r="P190" s="8">
        <f t="shared" si="19"/>
        <v>24.383174438746437</v>
      </c>
    </row>
    <row r="191" spans="1:16" x14ac:dyDescent="0.2">
      <c r="A191" s="8">
        <v>94.5</v>
      </c>
      <c r="B191" s="8">
        <v>189</v>
      </c>
      <c r="D191">
        <v>2842.3419023135998</v>
      </c>
      <c r="E191">
        <v>669.98200514139</v>
      </c>
      <c r="F191">
        <v>117.75025799794</v>
      </c>
      <c r="G191">
        <v>106.57791537668</v>
      </c>
      <c r="I191" s="9">
        <f t="shared" si="15"/>
        <v>563.40408976470997</v>
      </c>
      <c r="J191" s="9">
        <f t="shared" si="16"/>
        <v>2724.5916443156598</v>
      </c>
      <c r="K191" s="9">
        <f t="shared" si="17"/>
        <v>563.40408976470997</v>
      </c>
      <c r="L191" s="10">
        <f t="shared" si="14"/>
        <v>0.2067847822040213</v>
      </c>
      <c r="M191" s="10">
        <f t="shared" si="20"/>
        <v>0.23825113073803209</v>
      </c>
      <c r="P191" s="8">
        <f t="shared" si="19"/>
        <v>37.494595004060187</v>
      </c>
    </row>
    <row r="192" spans="1:16" x14ac:dyDescent="0.2">
      <c r="A192" s="8">
        <v>95</v>
      </c>
      <c r="B192" s="8">
        <v>190</v>
      </c>
      <c r="D192">
        <v>2612.0200205339002</v>
      </c>
      <c r="E192">
        <v>609.63141683777997</v>
      </c>
      <c r="F192">
        <v>117.42879256966</v>
      </c>
      <c r="G192">
        <v>106.8746130031</v>
      </c>
      <c r="I192" s="9">
        <f t="shared" si="15"/>
        <v>502.75680383468</v>
      </c>
      <c r="J192" s="9">
        <f t="shared" si="16"/>
        <v>2494.5912279642403</v>
      </c>
      <c r="K192" s="9">
        <f t="shared" si="17"/>
        <v>502.75680383468</v>
      </c>
      <c r="L192" s="10">
        <f t="shared" si="14"/>
        <v>0.20153875240111563</v>
      </c>
      <c r="M192" s="10">
        <f t="shared" si="20"/>
        <v>0.2331715895517085</v>
      </c>
      <c r="P192" s="8">
        <f t="shared" si="19"/>
        <v>34.56319461130429</v>
      </c>
    </row>
    <row r="193" spans="1:16" x14ac:dyDescent="0.2">
      <c r="A193" s="8">
        <v>95.5</v>
      </c>
      <c r="B193" s="8">
        <v>191</v>
      </c>
      <c r="D193">
        <v>2581.2595656670001</v>
      </c>
      <c r="E193">
        <v>593.93795243019997</v>
      </c>
      <c r="F193">
        <v>117.6124871001</v>
      </c>
      <c r="G193">
        <v>106.87822497419999</v>
      </c>
      <c r="I193" s="9">
        <f t="shared" si="15"/>
        <v>487.05972745599996</v>
      </c>
      <c r="J193" s="9">
        <f t="shared" si="16"/>
        <v>2463.6470785668998</v>
      </c>
      <c r="K193" s="9">
        <f t="shared" si="17"/>
        <v>487.05972745599996</v>
      </c>
      <c r="L193" s="10">
        <f t="shared" si="14"/>
        <v>0.19769866053189808</v>
      </c>
      <c r="M193" s="10">
        <f t="shared" si="20"/>
        <v>0.229497986299073</v>
      </c>
      <c r="P193" s="8">
        <f t="shared" si="19"/>
        <v>32.443160217922554</v>
      </c>
    </row>
    <row r="194" spans="1:16" x14ac:dyDescent="0.2">
      <c r="A194" s="8">
        <v>96</v>
      </c>
      <c r="B194" s="8">
        <v>192</v>
      </c>
      <c r="D194">
        <v>2512.0077479339002</v>
      </c>
      <c r="E194">
        <v>577.95247933884002</v>
      </c>
      <c r="F194">
        <v>117.45046439629</v>
      </c>
      <c r="G194">
        <v>106.62590299278</v>
      </c>
      <c r="I194" s="9">
        <f t="shared" si="15"/>
        <v>471.32657634606005</v>
      </c>
      <c r="J194" s="9">
        <f t="shared" si="16"/>
        <v>2394.5572835376101</v>
      </c>
      <c r="K194" s="9">
        <f t="shared" si="17"/>
        <v>471.32657634606005</v>
      </c>
      <c r="L194" s="10">
        <f t="shared" ref="L194:L257" si="21">K194/J194</f>
        <v>0.19683244981708836</v>
      </c>
      <c r="M194" s="10">
        <f t="shared" si="20"/>
        <v>0.22879826420084537</v>
      </c>
      <c r="P194" s="8">
        <f t="shared" si="19"/>
        <v>32.039350984307688</v>
      </c>
    </row>
    <row r="195" spans="1:16" x14ac:dyDescent="0.2">
      <c r="A195" s="8">
        <v>96.5</v>
      </c>
      <c r="B195" s="8">
        <v>193</v>
      </c>
      <c r="D195">
        <v>2522.7710472279</v>
      </c>
      <c r="E195">
        <v>585.76745379877002</v>
      </c>
      <c r="F195">
        <v>117.6253869969</v>
      </c>
      <c r="G195">
        <v>106.88493292054</v>
      </c>
      <c r="I195" s="9">
        <f t="shared" ref="I195:I241" si="22">E195-G195</f>
        <v>478.88252087823003</v>
      </c>
      <c r="J195" s="9">
        <f t="shared" ref="J195:J241" si="23">D195-F195</f>
        <v>2405.145660231</v>
      </c>
      <c r="K195" s="9">
        <f t="shared" ref="K195:K258" si="24">I195*1</f>
        <v>478.88252087823003</v>
      </c>
      <c r="L195" s="10">
        <f t="shared" si="21"/>
        <v>0.19910749223905058</v>
      </c>
      <c r="M195" s="10">
        <f t="shared" si="20"/>
        <v>0.23123979523938964</v>
      </c>
      <c r="P195" s="8">
        <f t="shared" ref="P195:P241" si="25">(M195-$O$2)/$O$2*100</f>
        <v>33.448357188368909</v>
      </c>
    </row>
    <row r="196" spans="1:16" x14ac:dyDescent="0.2">
      <c r="A196" s="8">
        <v>97</v>
      </c>
      <c r="B196" s="8">
        <v>194</v>
      </c>
      <c r="D196">
        <v>2604.1165297740999</v>
      </c>
      <c r="E196">
        <v>619.31519507186999</v>
      </c>
      <c r="F196">
        <v>117.68214654283</v>
      </c>
      <c r="G196">
        <v>106.92156862745</v>
      </c>
      <c r="I196" s="9">
        <f t="shared" si="22"/>
        <v>512.39362644441997</v>
      </c>
      <c r="J196" s="9">
        <f t="shared" si="23"/>
        <v>2486.4343832312697</v>
      </c>
      <c r="K196" s="9">
        <f t="shared" si="24"/>
        <v>512.39362644441997</v>
      </c>
      <c r="L196" s="10">
        <f t="shared" si="21"/>
        <v>0.20607566799270766</v>
      </c>
      <c r="M196" s="10">
        <f t="shared" si="20"/>
        <v>0.23837445960962877</v>
      </c>
      <c r="P196" s="8">
        <f t="shared" si="25"/>
        <v>37.565768027247806</v>
      </c>
    </row>
    <row r="197" spans="1:16" x14ac:dyDescent="0.2">
      <c r="A197" s="8">
        <v>97.5</v>
      </c>
      <c r="B197" s="8">
        <v>195</v>
      </c>
      <c r="D197">
        <v>2560.0624355005002</v>
      </c>
      <c r="E197">
        <v>591.73942208461995</v>
      </c>
      <c r="F197">
        <v>117.83694530443999</v>
      </c>
      <c r="G197">
        <v>106.85810113519</v>
      </c>
      <c r="I197" s="9">
        <f t="shared" si="22"/>
        <v>484.88132094942995</v>
      </c>
      <c r="J197" s="9">
        <f t="shared" si="23"/>
        <v>2442.22549019606</v>
      </c>
      <c r="K197" s="9">
        <f t="shared" si="24"/>
        <v>484.88132094942995</v>
      </c>
      <c r="L197" s="10">
        <f t="shared" si="21"/>
        <v>0.19854076656554101</v>
      </c>
      <c r="M197" s="10">
        <f t="shared" si="20"/>
        <v>0.23100604679904421</v>
      </c>
      <c r="P197" s="8">
        <f t="shared" si="25"/>
        <v>33.313461093485465</v>
      </c>
    </row>
    <row r="198" spans="1:16" x14ac:dyDescent="0.2">
      <c r="A198" s="8">
        <v>98</v>
      </c>
      <c r="B198" s="8">
        <v>196</v>
      </c>
      <c r="D198">
        <v>2560.3977389516999</v>
      </c>
      <c r="E198">
        <v>582.45220966084003</v>
      </c>
      <c r="F198">
        <v>117.96955624355</v>
      </c>
      <c r="G198">
        <v>106.81424148607</v>
      </c>
      <c r="I198" s="9">
        <f t="shared" si="22"/>
        <v>475.63796817477004</v>
      </c>
      <c r="J198" s="9">
        <f t="shared" si="23"/>
        <v>2442.42818270815</v>
      </c>
      <c r="K198" s="9">
        <f t="shared" si="24"/>
        <v>475.63796817477004</v>
      </c>
      <c r="L198" s="10">
        <f t="shared" si="21"/>
        <v>0.19473979687189225</v>
      </c>
      <c r="M198" s="10">
        <f t="shared" si="20"/>
        <v>0.2273715657219775</v>
      </c>
      <c r="P198" s="8">
        <f t="shared" si="25"/>
        <v>31.216004085859865</v>
      </c>
    </row>
    <row r="199" spans="1:16" x14ac:dyDescent="0.2">
      <c r="A199" s="8">
        <v>98.5</v>
      </c>
      <c r="B199" s="8">
        <v>197</v>
      </c>
      <c r="D199">
        <v>2599.7658260421999</v>
      </c>
      <c r="E199">
        <v>573.18064848173003</v>
      </c>
      <c r="F199">
        <v>117.63261093910999</v>
      </c>
      <c r="G199">
        <v>106.6568627451</v>
      </c>
      <c r="I199" s="9">
        <f t="shared" si="22"/>
        <v>466.52378573663003</v>
      </c>
      <c r="J199" s="9">
        <f t="shared" si="23"/>
        <v>2482.1332151030902</v>
      </c>
      <c r="K199" s="9">
        <f t="shared" si="24"/>
        <v>466.52378573663003</v>
      </c>
      <c r="L199" s="10">
        <f t="shared" si="21"/>
        <v>0.1879527589002728</v>
      </c>
      <c r="M199" s="10">
        <f t="shared" si="20"/>
        <v>0.22075101636694014</v>
      </c>
      <c r="P199" s="8">
        <f t="shared" si="25"/>
        <v>27.395288736239305</v>
      </c>
    </row>
    <row r="200" spans="1:16" x14ac:dyDescent="0.2">
      <c r="A200" s="8">
        <v>99</v>
      </c>
      <c r="B200" s="8">
        <v>198</v>
      </c>
      <c r="D200">
        <v>2356.8661863098</v>
      </c>
      <c r="E200">
        <v>516.43180648481996</v>
      </c>
      <c r="F200">
        <v>117.84158926729</v>
      </c>
      <c r="G200">
        <v>106.60165118678999</v>
      </c>
      <c r="I200" s="9">
        <f t="shared" si="22"/>
        <v>409.83015529802998</v>
      </c>
      <c r="J200" s="9">
        <f t="shared" si="23"/>
        <v>2239.0245970425099</v>
      </c>
      <c r="K200" s="9">
        <f t="shared" si="24"/>
        <v>409.83015529802998</v>
      </c>
      <c r="L200" s="10">
        <f t="shared" si="21"/>
        <v>0.18303959493762051</v>
      </c>
      <c r="M200" s="10">
        <f t="shared" si="20"/>
        <v>0.21600434102086991</v>
      </c>
      <c r="P200" s="8">
        <f t="shared" si="25"/>
        <v>24.655985034712305</v>
      </c>
    </row>
    <row r="201" spans="1:16" x14ac:dyDescent="0.2">
      <c r="A201" s="8">
        <v>99.5</v>
      </c>
      <c r="B201" s="8">
        <v>199</v>
      </c>
      <c r="D201">
        <v>2540.4889573702999</v>
      </c>
      <c r="E201">
        <v>550.31689779146996</v>
      </c>
      <c r="F201">
        <v>117.98297213622</v>
      </c>
      <c r="G201">
        <v>106.67801857585</v>
      </c>
      <c r="I201" s="9">
        <f t="shared" si="22"/>
        <v>443.63887921561997</v>
      </c>
      <c r="J201" s="9">
        <f t="shared" si="23"/>
        <v>2422.5059852340801</v>
      </c>
      <c r="K201" s="9">
        <f t="shared" si="24"/>
        <v>443.63887921561997</v>
      </c>
      <c r="L201" s="10">
        <f t="shared" si="21"/>
        <v>0.18313221181691006</v>
      </c>
      <c r="M201" s="10">
        <f t="shared" si="20"/>
        <v>0.21626344651674154</v>
      </c>
      <c r="P201" s="8">
        <f t="shared" si="25"/>
        <v>24.80551467223318</v>
      </c>
    </row>
    <row r="202" spans="1:16" x14ac:dyDescent="0.2">
      <c r="A202" s="8">
        <v>100</v>
      </c>
      <c r="B202" s="8">
        <v>200</v>
      </c>
      <c r="D202">
        <v>2560.6944157186999</v>
      </c>
      <c r="E202">
        <v>543.52792140640997</v>
      </c>
      <c r="F202">
        <v>117.51702786378</v>
      </c>
      <c r="G202">
        <v>106.69865841073</v>
      </c>
      <c r="I202" s="9">
        <f t="shared" si="22"/>
        <v>436.82926299567998</v>
      </c>
      <c r="J202" s="9">
        <f t="shared" si="23"/>
        <v>2443.1773878549197</v>
      </c>
      <c r="K202" s="9">
        <f t="shared" si="24"/>
        <v>436.82926299567998</v>
      </c>
      <c r="L202" s="10">
        <f t="shared" si="21"/>
        <v>0.17879555744382966</v>
      </c>
      <c r="M202" s="10">
        <f t="shared" si="20"/>
        <v>0.2120932807602432</v>
      </c>
      <c r="P202" s="8">
        <f t="shared" si="25"/>
        <v>22.398914334121912</v>
      </c>
    </row>
    <row r="203" spans="1:16" x14ac:dyDescent="0.2">
      <c r="A203" s="8">
        <v>100.5</v>
      </c>
      <c r="B203" s="8">
        <v>201</v>
      </c>
      <c r="D203">
        <v>2266.6633919338001</v>
      </c>
      <c r="E203">
        <v>488.46794208893999</v>
      </c>
      <c r="F203">
        <v>117.65428276574001</v>
      </c>
      <c r="G203">
        <v>106.80598555212001</v>
      </c>
      <c r="I203" s="9">
        <f t="shared" si="22"/>
        <v>381.66195653681996</v>
      </c>
      <c r="J203" s="9">
        <f t="shared" si="23"/>
        <v>2149.0091091680601</v>
      </c>
      <c r="K203" s="9">
        <f t="shared" si="24"/>
        <v>381.66195653681996</v>
      </c>
      <c r="L203" s="10">
        <f t="shared" si="21"/>
        <v>0.17759904083634698</v>
      </c>
      <c r="M203" s="10">
        <f t="shared" si="20"/>
        <v>0.21106325276934257</v>
      </c>
      <c r="P203" s="8">
        <f t="shared" si="25"/>
        <v>21.804485753602606</v>
      </c>
    </row>
    <row r="204" spans="1:16" x14ac:dyDescent="0.2">
      <c r="A204" s="8">
        <v>101</v>
      </c>
      <c r="B204" s="8">
        <v>202</v>
      </c>
      <c r="D204">
        <v>2689.6868583162</v>
      </c>
      <c r="E204">
        <v>602.37936344969</v>
      </c>
      <c r="F204">
        <v>117.70227038183999</v>
      </c>
      <c r="G204">
        <v>106.53869969039999</v>
      </c>
      <c r="I204" s="9">
        <f t="shared" si="22"/>
        <v>495.84066375929001</v>
      </c>
      <c r="J204" s="9">
        <f t="shared" si="23"/>
        <v>2571.9845879343598</v>
      </c>
      <c r="K204" s="9">
        <f t="shared" si="24"/>
        <v>495.84066375929001</v>
      </c>
      <c r="L204" s="10">
        <f t="shared" si="21"/>
        <v>0.19278523910499595</v>
      </c>
      <c r="M204" s="10">
        <f t="shared" si="20"/>
        <v>0.22641593965457363</v>
      </c>
      <c r="P204" s="8">
        <f t="shared" si="25"/>
        <v>30.66451281399895</v>
      </c>
    </row>
    <row r="205" spans="1:16" x14ac:dyDescent="0.2">
      <c r="A205" s="8">
        <v>101.5</v>
      </c>
      <c r="B205" s="8">
        <v>203</v>
      </c>
      <c r="D205">
        <v>2591.8942505134</v>
      </c>
      <c r="E205">
        <v>616.83110882956998</v>
      </c>
      <c r="F205">
        <v>117.55624355005</v>
      </c>
      <c r="G205">
        <v>106.87512899897</v>
      </c>
      <c r="I205" s="9">
        <f t="shared" si="22"/>
        <v>509.95597983059997</v>
      </c>
      <c r="J205" s="9">
        <f t="shared" si="23"/>
        <v>2474.3380069633499</v>
      </c>
      <c r="K205" s="9">
        <f t="shared" si="24"/>
        <v>509.95597983059997</v>
      </c>
      <c r="L205" s="10">
        <f t="shared" si="21"/>
        <v>0.20609794554966535</v>
      </c>
      <c r="M205" s="10">
        <f t="shared" si="20"/>
        <v>0.23989513471582508</v>
      </c>
      <c r="P205" s="8">
        <f t="shared" si="25"/>
        <v>38.443348785045409</v>
      </c>
    </row>
    <row r="206" spans="1:16" x14ac:dyDescent="0.2">
      <c r="A206" s="8">
        <v>102</v>
      </c>
      <c r="B206" s="8">
        <v>204</v>
      </c>
      <c r="D206">
        <v>2730.8100616016</v>
      </c>
      <c r="E206">
        <v>675.82751540040999</v>
      </c>
      <c r="F206">
        <v>117.62796697626</v>
      </c>
      <c r="G206">
        <v>106.86738906089001</v>
      </c>
      <c r="I206" s="9">
        <f t="shared" si="22"/>
        <v>568.96012633952</v>
      </c>
      <c r="J206" s="9">
        <f t="shared" si="23"/>
        <v>2613.1820946253401</v>
      </c>
      <c r="K206" s="9">
        <f t="shared" si="24"/>
        <v>568.96012633952</v>
      </c>
      <c r="L206" s="10">
        <f t="shared" si="21"/>
        <v>0.21772693434174686</v>
      </c>
      <c r="M206" s="10">
        <f t="shared" si="20"/>
        <v>0.25169061212448868</v>
      </c>
      <c r="P206" s="8">
        <f t="shared" si="25"/>
        <v>45.250512235476208</v>
      </c>
    </row>
    <row r="207" spans="1:16" x14ac:dyDescent="0.2">
      <c r="A207" s="8">
        <v>102.5</v>
      </c>
      <c r="B207" s="8">
        <v>205</v>
      </c>
      <c r="D207">
        <v>2828.3074948664998</v>
      </c>
      <c r="E207">
        <v>729.65246406570998</v>
      </c>
      <c r="F207">
        <v>117.66924664603</v>
      </c>
      <c r="G207">
        <v>106.69143446852</v>
      </c>
      <c r="I207" s="9">
        <f t="shared" si="22"/>
        <v>622.96102959718996</v>
      </c>
      <c r="J207" s="9">
        <f t="shared" si="23"/>
        <v>2710.6382482204699</v>
      </c>
      <c r="K207" s="9">
        <f t="shared" si="24"/>
        <v>622.96102959718996</v>
      </c>
      <c r="L207" s="10">
        <f t="shared" si="21"/>
        <v>0.22982079220868479</v>
      </c>
      <c r="M207" s="10">
        <f t="shared" si="20"/>
        <v>0.26395095860800866</v>
      </c>
      <c r="P207" s="8">
        <f t="shared" si="25"/>
        <v>52.325951370388736</v>
      </c>
    </row>
    <row r="208" spans="1:16" x14ac:dyDescent="0.2">
      <c r="A208" s="8">
        <v>103</v>
      </c>
      <c r="B208" s="8">
        <v>206</v>
      </c>
      <c r="D208">
        <v>2568.7314197846999</v>
      </c>
      <c r="E208">
        <v>638.53613531522001</v>
      </c>
      <c r="F208">
        <v>117.64912280702001</v>
      </c>
      <c r="G208">
        <v>106.52683178535</v>
      </c>
      <c r="I208" s="9">
        <f t="shared" si="22"/>
        <v>532.00930352987007</v>
      </c>
      <c r="J208" s="9">
        <f t="shared" si="23"/>
        <v>2451.08229697768</v>
      </c>
      <c r="K208" s="9">
        <f t="shared" si="24"/>
        <v>532.00930352987007</v>
      </c>
      <c r="L208" s="10">
        <f t="shared" si="21"/>
        <v>0.21705077148403665</v>
      </c>
      <c r="M208" s="10">
        <f t="shared" si="20"/>
        <v>0.25134742649994257</v>
      </c>
      <c r="P208" s="8">
        <f t="shared" si="25"/>
        <v>45.052460002473104</v>
      </c>
    </row>
    <row r="209" spans="1:16" x14ac:dyDescent="0.2">
      <c r="A209" s="8">
        <v>103.5</v>
      </c>
      <c r="B209" s="8">
        <v>207</v>
      </c>
      <c r="D209">
        <v>2501.9417825863002</v>
      </c>
      <c r="E209">
        <v>618.36424523441997</v>
      </c>
      <c r="F209">
        <v>117.58152734778</v>
      </c>
      <c r="G209">
        <v>106.8431372549</v>
      </c>
      <c r="I209" s="9">
        <f t="shared" si="22"/>
        <v>511.52110797951997</v>
      </c>
      <c r="J209" s="9">
        <f t="shared" si="23"/>
        <v>2384.36025523852</v>
      </c>
      <c r="K209" s="9">
        <f t="shared" si="24"/>
        <v>511.52110797951997</v>
      </c>
      <c r="L209" s="10">
        <f t="shared" si="21"/>
        <v>0.21453180443504324</v>
      </c>
      <c r="M209" s="10">
        <f t="shared" si="20"/>
        <v>0.24899494806753125</v>
      </c>
      <c r="P209" s="8">
        <f t="shared" si="25"/>
        <v>43.694846007869096</v>
      </c>
    </row>
    <row r="210" spans="1:16" x14ac:dyDescent="0.2">
      <c r="A210" s="8">
        <v>104</v>
      </c>
      <c r="B210" s="8">
        <v>208</v>
      </c>
      <c r="D210">
        <v>2344.5807613169</v>
      </c>
      <c r="E210">
        <v>562.85288065843997</v>
      </c>
      <c r="F210">
        <v>117.51547987616</v>
      </c>
      <c r="G210">
        <v>106.74406604747</v>
      </c>
      <c r="I210" s="9">
        <f t="shared" si="22"/>
        <v>456.10881461096994</v>
      </c>
      <c r="J210" s="9">
        <f t="shared" si="23"/>
        <v>2227.0652814407399</v>
      </c>
      <c r="K210" s="9">
        <f t="shared" si="24"/>
        <v>456.10881461096994</v>
      </c>
      <c r="L210" s="10">
        <f t="shared" si="21"/>
        <v>0.20480262451754563</v>
      </c>
      <c r="M210" s="10">
        <f t="shared" si="20"/>
        <v>0.23943225676661573</v>
      </c>
      <c r="P210" s="8">
        <f t="shared" si="25"/>
        <v>38.176222178066872</v>
      </c>
    </row>
    <row r="211" spans="1:16" x14ac:dyDescent="0.2">
      <c r="A211" s="8">
        <v>104.5</v>
      </c>
      <c r="B211" s="8">
        <v>209</v>
      </c>
      <c r="D211">
        <v>2353.5339855819002</v>
      </c>
      <c r="E211">
        <v>558.48609680742004</v>
      </c>
      <c r="F211">
        <v>117.90092879257</v>
      </c>
      <c r="G211">
        <v>106.70691434469001</v>
      </c>
      <c r="I211" s="9">
        <f t="shared" si="22"/>
        <v>451.77918246273003</v>
      </c>
      <c r="J211" s="9">
        <f t="shared" si="23"/>
        <v>2235.6330567893301</v>
      </c>
      <c r="K211" s="9">
        <f t="shared" si="24"/>
        <v>451.77918246273003</v>
      </c>
      <c r="L211" s="10">
        <f t="shared" si="21"/>
        <v>0.20208109783076197</v>
      </c>
      <c r="M211" s="10">
        <f t="shared" si="20"/>
        <v>0.23687721869641412</v>
      </c>
      <c r="P211" s="8">
        <f t="shared" si="25"/>
        <v>36.701711129182911</v>
      </c>
    </row>
    <row r="212" spans="1:16" x14ac:dyDescent="0.2">
      <c r="A212" s="8">
        <v>105</v>
      </c>
      <c r="B212" s="8">
        <v>210</v>
      </c>
      <c r="D212">
        <v>2245.1987641607002</v>
      </c>
      <c r="E212">
        <v>522.60247167867999</v>
      </c>
      <c r="F212">
        <v>117.77605779154</v>
      </c>
      <c r="G212">
        <v>106.62745098038999</v>
      </c>
      <c r="I212" s="9">
        <f t="shared" si="22"/>
        <v>415.97502069829</v>
      </c>
      <c r="J212" s="9">
        <f t="shared" si="23"/>
        <v>2127.4227063691601</v>
      </c>
      <c r="K212" s="9">
        <f t="shared" si="24"/>
        <v>415.97502069829</v>
      </c>
      <c r="L212" s="10">
        <f t="shared" si="21"/>
        <v>0.19553002769638961</v>
      </c>
      <c r="M212" s="10">
        <f t="shared" si="20"/>
        <v>0.23049263717862384</v>
      </c>
      <c r="P212" s="8">
        <f t="shared" si="25"/>
        <v>33.017172687163033</v>
      </c>
    </row>
    <row r="213" spans="1:16" x14ac:dyDescent="0.2">
      <c r="A213" s="8">
        <v>105.5</v>
      </c>
      <c r="B213" s="8">
        <v>211</v>
      </c>
      <c r="D213">
        <v>2391.833676622</v>
      </c>
      <c r="E213">
        <v>541.91555097836999</v>
      </c>
      <c r="F213">
        <v>117.99071207430001</v>
      </c>
      <c r="G213">
        <v>106.72239422085001</v>
      </c>
      <c r="I213" s="9">
        <f t="shared" si="22"/>
        <v>435.19315675752</v>
      </c>
      <c r="J213" s="9">
        <f t="shared" si="23"/>
        <v>2273.8429645476999</v>
      </c>
      <c r="K213" s="9">
        <f t="shared" si="24"/>
        <v>435.19315675752</v>
      </c>
      <c r="L213" s="10">
        <f t="shared" si="21"/>
        <v>0.19139103427227491</v>
      </c>
      <c r="M213" s="10">
        <f t="shared" si="20"/>
        <v>0.2265201323710912</v>
      </c>
      <c r="P213" s="8">
        <f t="shared" si="25"/>
        <v>30.724642372736316</v>
      </c>
    </row>
    <row r="214" spans="1:16" x14ac:dyDescent="0.2">
      <c r="A214" s="8">
        <v>106</v>
      </c>
      <c r="B214" s="8">
        <v>212</v>
      </c>
      <c r="D214">
        <v>2462.9964194373001</v>
      </c>
      <c r="E214">
        <v>554.01227621482997</v>
      </c>
      <c r="F214">
        <v>117.72497420021</v>
      </c>
      <c r="G214">
        <v>106.82146542828001</v>
      </c>
      <c r="I214" s="9">
        <f t="shared" si="22"/>
        <v>447.19081078654995</v>
      </c>
      <c r="J214" s="9">
        <f t="shared" si="23"/>
        <v>2345.2714452370901</v>
      </c>
      <c r="K214" s="9">
        <f t="shared" si="24"/>
        <v>447.19081078654995</v>
      </c>
      <c r="L214" s="10">
        <f t="shared" si="21"/>
        <v>0.19067763422214104</v>
      </c>
      <c r="M214" s="10">
        <f t="shared" si="20"/>
        <v>0.22597322093753938</v>
      </c>
      <c r="P214" s="8">
        <f t="shared" si="25"/>
        <v>30.409020088693602</v>
      </c>
    </row>
    <row r="215" spans="1:16" x14ac:dyDescent="0.2">
      <c r="A215" s="8">
        <v>106.5</v>
      </c>
      <c r="B215" s="8">
        <v>213</v>
      </c>
      <c r="D215">
        <v>2284.9237851662001</v>
      </c>
      <c r="E215">
        <v>508.92071611252999</v>
      </c>
      <c r="F215">
        <v>117.81888544892</v>
      </c>
      <c r="G215">
        <v>106.55366357069001</v>
      </c>
      <c r="I215" s="9">
        <f t="shared" si="22"/>
        <v>402.36705254184</v>
      </c>
      <c r="J215" s="9">
        <f t="shared" si="23"/>
        <v>2167.1048997172802</v>
      </c>
      <c r="K215" s="9">
        <f t="shared" si="24"/>
        <v>402.36705254184</v>
      </c>
      <c r="L215" s="10">
        <f t="shared" si="21"/>
        <v>0.18567031646429882</v>
      </c>
      <c r="M215" s="10">
        <f t="shared" si="20"/>
        <v>0.22113239179627925</v>
      </c>
      <c r="P215" s="8">
        <f t="shared" si="25"/>
        <v>27.615380284342539</v>
      </c>
    </row>
    <row r="216" spans="1:16" x14ac:dyDescent="0.2">
      <c r="A216" s="8">
        <v>107</v>
      </c>
      <c r="B216" s="8">
        <v>214</v>
      </c>
      <c r="D216">
        <v>2484.4485933504002</v>
      </c>
      <c r="E216">
        <v>551.21585677748999</v>
      </c>
      <c r="F216">
        <v>117.69401444787999</v>
      </c>
      <c r="G216">
        <v>106.60835913312999</v>
      </c>
      <c r="I216" s="9">
        <f t="shared" si="22"/>
        <v>444.60749764436002</v>
      </c>
      <c r="J216" s="9">
        <f t="shared" si="23"/>
        <v>2366.7545789025203</v>
      </c>
      <c r="K216" s="9">
        <f t="shared" si="24"/>
        <v>444.60749764436002</v>
      </c>
      <c r="L216" s="10">
        <f t="shared" si="21"/>
        <v>0.18785534487083466</v>
      </c>
      <c r="M216" s="10">
        <f t="shared" si="20"/>
        <v>0.22348390881939714</v>
      </c>
      <c r="P216" s="8">
        <f t="shared" si="25"/>
        <v>28.972439450178168</v>
      </c>
    </row>
    <row r="217" spans="1:16" x14ac:dyDescent="0.2">
      <c r="A217" s="8">
        <v>107.5</v>
      </c>
      <c r="B217" s="8">
        <v>215</v>
      </c>
      <c r="D217">
        <v>2480.8227717671002</v>
      </c>
      <c r="E217">
        <v>560.41473467285005</v>
      </c>
      <c r="F217">
        <v>117.31114551084001</v>
      </c>
      <c r="G217">
        <v>106.81630546956001</v>
      </c>
      <c r="I217" s="9">
        <f t="shared" si="22"/>
        <v>453.59842920329004</v>
      </c>
      <c r="J217" s="9">
        <f t="shared" si="23"/>
        <v>2363.5116262562601</v>
      </c>
      <c r="K217" s="9">
        <f t="shared" si="24"/>
        <v>453.59842920329004</v>
      </c>
      <c r="L217" s="10">
        <f t="shared" si="21"/>
        <v>0.19191715588121644</v>
      </c>
      <c r="M217" s="10">
        <f t="shared" si="20"/>
        <v>0.227712208446361</v>
      </c>
      <c r="P217" s="8">
        <f t="shared" si="25"/>
        <v>31.412588812593807</v>
      </c>
    </row>
    <row r="218" spans="1:16" x14ac:dyDescent="0.2">
      <c r="A218" s="8">
        <v>108</v>
      </c>
      <c r="B218" s="8">
        <v>216</v>
      </c>
      <c r="D218">
        <v>2612.4332818134999</v>
      </c>
      <c r="E218">
        <v>635.21329211747002</v>
      </c>
      <c r="F218">
        <v>117.75025799794</v>
      </c>
      <c r="G218">
        <v>106.71671826625</v>
      </c>
      <c r="I218" s="9">
        <f t="shared" si="22"/>
        <v>528.49657385121998</v>
      </c>
      <c r="J218" s="9">
        <f t="shared" si="23"/>
        <v>2494.6830238155599</v>
      </c>
      <c r="K218" s="9">
        <f t="shared" si="24"/>
        <v>528.49657385121998</v>
      </c>
      <c r="L218" s="10">
        <f t="shared" si="21"/>
        <v>0.2118491883762037</v>
      </c>
      <c r="M218" s="10">
        <f t="shared" si="20"/>
        <v>0.24781072955793032</v>
      </c>
      <c r="P218" s="8">
        <f t="shared" si="25"/>
        <v>43.011434164787758</v>
      </c>
    </row>
    <row r="219" spans="1:16" x14ac:dyDescent="0.2">
      <c r="A219" s="8">
        <v>108.5</v>
      </c>
      <c r="B219" s="8">
        <v>217</v>
      </c>
      <c r="D219">
        <v>2691.1334363730002</v>
      </c>
      <c r="E219">
        <v>652.29160226686997</v>
      </c>
      <c r="F219">
        <v>117.66873065016</v>
      </c>
      <c r="G219">
        <v>106.78947368420999</v>
      </c>
      <c r="I219" s="9">
        <f t="shared" si="22"/>
        <v>545.50212858266002</v>
      </c>
      <c r="J219" s="9">
        <f t="shared" si="23"/>
        <v>2573.4647057228403</v>
      </c>
      <c r="K219" s="9">
        <f t="shared" si="24"/>
        <v>545.50212858266002</v>
      </c>
      <c r="L219" s="10">
        <f t="shared" si="21"/>
        <v>0.21197187098372822</v>
      </c>
      <c r="M219" s="10">
        <f t="shared" si="20"/>
        <v>0.24809990078203692</v>
      </c>
      <c r="P219" s="8">
        <f t="shared" si="25"/>
        <v>43.178314717346744</v>
      </c>
    </row>
    <row r="220" spans="1:16" x14ac:dyDescent="0.2">
      <c r="A220" s="8">
        <v>109</v>
      </c>
      <c r="B220" s="8">
        <v>218</v>
      </c>
      <c r="D220">
        <v>2645.6284829720998</v>
      </c>
      <c r="E220">
        <v>640.91382868937001</v>
      </c>
      <c r="F220">
        <v>117.68163054695999</v>
      </c>
      <c r="G220">
        <v>106.93859649123</v>
      </c>
      <c r="I220" s="9">
        <f t="shared" si="22"/>
        <v>533.97523219814002</v>
      </c>
      <c r="J220" s="9">
        <f t="shared" si="23"/>
        <v>2527.9468524251397</v>
      </c>
      <c r="K220" s="9">
        <f t="shared" si="24"/>
        <v>533.97523219814002</v>
      </c>
      <c r="L220" s="10">
        <f t="shared" si="21"/>
        <v>0.21122882060826581</v>
      </c>
      <c r="M220" s="10">
        <f t="shared" si="20"/>
        <v>0.24752333902315657</v>
      </c>
      <c r="P220" s="8">
        <f t="shared" si="25"/>
        <v>42.845581247052124</v>
      </c>
    </row>
    <row r="221" spans="1:16" x14ac:dyDescent="0.2">
      <c r="A221" s="8">
        <v>109.5</v>
      </c>
      <c r="B221" s="8">
        <v>219</v>
      </c>
      <c r="D221">
        <v>2651.6976264189998</v>
      </c>
      <c r="E221">
        <v>634.09133126935001</v>
      </c>
      <c r="F221">
        <v>117.4004127967</v>
      </c>
      <c r="G221">
        <v>106.61300309598001</v>
      </c>
      <c r="I221" s="9">
        <f t="shared" si="22"/>
        <v>527.47832817336996</v>
      </c>
      <c r="J221" s="9">
        <f t="shared" si="23"/>
        <v>2534.2972136222998</v>
      </c>
      <c r="K221" s="9">
        <f t="shared" si="24"/>
        <v>527.47832817336996</v>
      </c>
      <c r="L221" s="10">
        <f t="shared" si="21"/>
        <v>0.20813593817571191</v>
      </c>
      <c r="M221" s="10">
        <f t="shared" si="20"/>
        <v>0.24459694520718472</v>
      </c>
      <c r="P221" s="8">
        <f t="shared" si="25"/>
        <v>41.15676100387833</v>
      </c>
    </row>
    <row r="222" spans="1:16" x14ac:dyDescent="0.2">
      <c r="A222" s="8">
        <v>110</v>
      </c>
      <c r="B222" s="8">
        <v>220</v>
      </c>
      <c r="D222">
        <v>2491.1181630546998</v>
      </c>
      <c r="E222">
        <v>591.76109391124999</v>
      </c>
      <c r="F222">
        <v>117.49535603715</v>
      </c>
      <c r="G222">
        <v>106.76212590298999</v>
      </c>
      <c r="I222" s="9">
        <f t="shared" si="22"/>
        <v>484.99896800826002</v>
      </c>
      <c r="J222" s="9">
        <f t="shared" si="23"/>
        <v>2373.6228070175498</v>
      </c>
      <c r="K222" s="9">
        <f t="shared" si="24"/>
        <v>484.99896800826002</v>
      </c>
      <c r="L222" s="10">
        <f t="shared" si="21"/>
        <v>0.20432857595333767</v>
      </c>
      <c r="M222" s="10">
        <f t="shared" si="20"/>
        <v>0.24095607160139257</v>
      </c>
      <c r="P222" s="8">
        <f t="shared" si="25"/>
        <v>39.055614871481595</v>
      </c>
    </row>
    <row r="223" spans="1:16" x14ac:dyDescent="0.2">
      <c r="A223" s="8">
        <v>110.5</v>
      </c>
      <c r="B223" s="8">
        <v>221</v>
      </c>
      <c r="D223">
        <v>2617.9369509044</v>
      </c>
      <c r="E223">
        <v>605.68475452196003</v>
      </c>
      <c r="F223">
        <v>118.09803921568999</v>
      </c>
      <c r="G223">
        <v>106.62280701754</v>
      </c>
      <c r="I223" s="9">
        <f t="shared" si="22"/>
        <v>499.06194750442</v>
      </c>
      <c r="J223" s="9">
        <f t="shared" si="23"/>
        <v>2499.8389116887101</v>
      </c>
      <c r="K223" s="9">
        <f t="shared" si="24"/>
        <v>499.06194750442</v>
      </c>
      <c r="L223" s="10">
        <f t="shared" si="21"/>
        <v>0.19963764271806214</v>
      </c>
      <c r="M223" s="10">
        <f t="shared" si="20"/>
        <v>0.23643162698269909</v>
      </c>
      <c r="P223" s="8">
        <f t="shared" si="25"/>
        <v>36.444560399091401</v>
      </c>
    </row>
    <row r="224" spans="1:16" x14ac:dyDescent="0.2">
      <c r="A224" s="8">
        <v>111</v>
      </c>
      <c r="B224" s="8">
        <v>222</v>
      </c>
      <c r="D224">
        <v>2308.3023255814001</v>
      </c>
      <c r="E224">
        <v>539.16692506460004</v>
      </c>
      <c r="F224">
        <v>117.55263157895</v>
      </c>
      <c r="G224">
        <v>106.78947368420999</v>
      </c>
      <c r="I224" s="9">
        <f t="shared" si="22"/>
        <v>432.37745138039003</v>
      </c>
      <c r="J224" s="9">
        <f t="shared" si="23"/>
        <v>2190.7496940024503</v>
      </c>
      <c r="K224" s="9">
        <f t="shared" si="24"/>
        <v>432.37745138039003</v>
      </c>
      <c r="L224" s="10">
        <f t="shared" si="21"/>
        <v>0.19736506300290571</v>
      </c>
      <c r="M224" s="10">
        <f t="shared" si="20"/>
        <v>0.23432553588412475</v>
      </c>
      <c r="P224" s="8">
        <f t="shared" si="25"/>
        <v>35.229136397773495</v>
      </c>
    </row>
    <row r="225" spans="1:16" x14ac:dyDescent="0.2">
      <c r="A225" s="8">
        <v>111.5</v>
      </c>
      <c r="B225" s="8">
        <v>223</v>
      </c>
      <c r="D225">
        <v>2548.589386914</v>
      </c>
      <c r="E225">
        <v>600.14374034003004</v>
      </c>
      <c r="F225">
        <v>117.8173374613</v>
      </c>
      <c r="G225">
        <v>106.43601651186999</v>
      </c>
      <c r="I225" s="9">
        <f t="shared" si="22"/>
        <v>493.70772382816006</v>
      </c>
      <c r="J225" s="9">
        <f t="shared" si="23"/>
        <v>2430.7720494526998</v>
      </c>
      <c r="K225" s="9">
        <f t="shared" si="24"/>
        <v>493.70772382816006</v>
      </c>
      <c r="L225" s="10">
        <f t="shared" si="21"/>
        <v>0.2031073723837333</v>
      </c>
      <c r="M225" s="10">
        <f t="shared" si="20"/>
        <v>0.2402343338815344</v>
      </c>
      <c r="P225" s="8">
        <f t="shared" si="25"/>
        <v>38.639100434871565</v>
      </c>
    </row>
    <row r="226" spans="1:16" x14ac:dyDescent="0.2">
      <c r="A226" s="8">
        <v>112</v>
      </c>
      <c r="B226" s="8">
        <v>224</v>
      </c>
      <c r="D226">
        <v>2541.5069551777001</v>
      </c>
      <c r="E226">
        <v>596.94229778465001</v>
      </c>
      <c r="F226">
        <v>117.90608875129</v>
      </c>
      <c r="G226">
        <v>106.68369453043999</v>
      </c>
      <c r="I226" s="9">
        <f t="shared" si="22"/>
        <v>490.25860325421002</v>
      </c>
      <c r="J226" s="9">
        <f t="shared" si="23"/>
        <v>2423.60086642641</v>
      </c>
      <c r="K226" s="9">
        <f t="shared" si="24"/>
        <v>490.25860325421002</v>
      </c>
      <c r="L226" s="10">
        <f t="shared" si="21"/>
        <v>0.20228520712533596</v>
      </c>
      <c r="M226" s="10">
        <f t="shared" si="20"/>
        <v>0.23957865723971911</v>
      </c>
      <c r="P226" s="8">
        <f t="shared" si="25"/>
        <v>38.260709809648716</v>
      </c>
    </row>
    <row r="227" spans="1:16" x14ac:dyDescent="0.2">
      <c r="A227" s="8">
        <v>112.5</v>
      </c>
      <c r="B227" s="8">
        <v>225</v>
      </c>
      <c r="D227">
        <v>2578.6155429748001</v>
      </c>
      <c r="E227">
        <v>628.63407102419001</v>
      </c>
      <c r="F227">
        <v>117.84107327141</v>
      </c>
      <c r="G227">
        <v>106.88441692467001</v>
      </c>
      <c r="I227" s="9">
        <f t="shared" si="22"/>
        <v>521.74965409952006</v>
      </c>
      <c r="J227" s="9">
        <f t="shared" si="23"/>
        <v>2460.77446970339</v>
      </c>
      <c r="K227" s="9">
        <f t="shared" si="24"/>
        <v>521.74965409952006</v>
      </c>
      <c r="L227" s="10">
        <f t="shared" si="21"/>
        <v>0.21202660403186371</v>
      </c>
      <c r="M227" s="10">
        <f t="shared" si="20"/>
        <v>0.24948654276282894</v>
      </c>
      <c r="P227" s="8">
        <f t="shared" si="25"/>
        <v>43.978545033039396</v>
      </c>
    </row>
    <row r="228" spans="1:16" x14ac:dyDescent="0.2">
      <c r="A228" s="8">
        <v>113</v>
      </c>
      <c r="B228" s="8">
        <v>226</v>
      </c>
      <c r="D228">
        <v>2598.5815748842001</v>
      </c>
      <c r="E228">
        <v>645.53010808029001</v>
      </c>
      <c r="F228">
        <v>117.43756449948</v>
      </c>
      <c r="G228">
        <v>106.96130030960001</v>
      </c>
      <c r="I228" s="9">
        <f t="shared" si="22"/>
        <v>538.56880777069</v>
      </c>
      <c r="J228" s="9">
        <f t="shared" si="23"/>
        <v>2481.1440103847199</v>
      </c>
      <c r="K228" s="9">
        <f t="shared" si="24"/>
        <v>538.56880777069</v>
      </c>
      <c r="L228" s="10">
        <f t="shared" si="21"/>
        <v>0.21706471108348963</v>
      </c>
      <c r="M228" s="10">
        <f t="shared" si="20"/>
        <v>0.25469113843103691</v>
      </c>
      <c r="P228" s="8">
        <f t="shared" si="25"/>
        <v>46.982114297719946</v>
      </c>
    </row>
    <row r="229" spans="1:16" x14ac:dyDescent="0.2">
      <c r="A229" s="8">
        <v>113.5</v>
      </c>
      <c r="B229" s="8">
        <v>227</v>
      </c>
      <c r="D229">
        <v>2389.7490965410002</v>
      </c>
      <c r="E229">
        <v>582.16623644812</v>
      </c>
      <c r="F229">
        <v>117.49071207430001</v>
      </c>
      <c r="G229">
        <v>106.88286893705001</v>
      </c>
      <c r="I229" s="9">
        <f t="shared" si="22"/>
        <v>475.28336751106997</v>
      </c>
      <c r="J229" s="9">
        <f t="shared" si="23"/>
        <v>2272.2583844667001</v>
      </c>
      <c r="K229" s="9">
        <f t="shared" si="24"/>
        <v>475.28336751106997</v>
      </c>
      <c r="L229" s="10">
        <f t="shared" si="21"/>
        <v>0.20916783529555294</v>
      </c>
      <c r="M229" s="10">
        <f t="shared" si="20"/>
        <v>0.24696075125968231</v>
      </c>
      <c r="P229" s="8">
        <f t="shared" si="25"/>
        <v>42.520912161732291</v>
      </c>
    </row>
    <row r="230" spans="1:16" x14ac:dyDescent="0.2">
      <c r="A230" s="8">
        <v>114</v>
      </c>
      <c r="B230" s="8">
        <v>228</v>
      </c>
      <c r="D230">
        <v>2492.6165297740999</v>
      </c>
      <c r="E230">
        <v>603.81006160163997</v>
      </c>
      <c r="F230">
        <v>117.77708978328</v>
      </c>
      <c r="G230">
        <v>106.56501547988</v>
      </c>
      <c r="I230" s="9">
        <f t="shared" si="22"/>
        <v>497.24504612175997</v>
      </c>
      <c r="J230" s="9">
        <f t="shared" si="23"/>
        <v>2374.8394399908198</v>
      </c>
      <c r="K230" s="9">
        <f t="shared" si="24"/>
        <v>497.24504612175997</v>
      </c>
      <c r="L230" s="10">
        <f t="shared" si="21"/>
        <v>0.20938049021271188</v>
      </c>
      <c r="M230" s="10">
        <f t="shared" si="20"/>
        <v>0.2473398947934233</v>
      </c>
      <c r="P230" s="8">
        <f t="shared" si="25"/>
        <v>42.739715684127511</v>
      </c>
    </row>
    <row r="231" spans="1:16" x14ac:dyDescent="0.2">
      <c r="A231" s="8">
        <v>114.5</v>
      </c>
      <c r="B231" s="8">
        <v>229</v>
      </c>
      <c r="D231">
        <v>2343.6232032854</v>
      </c>
      <c r="E231">
        <v>552.32289527721002</v>
      </c>
      <c r="F231">
        <v>117.56759545924</v>
      </c>
      <c r="G231">
        <v>106.90712074303001</v>
      </c>
      <c r="I231" s="9">
        <f t="shared" si="22"/>
        <v>445.41577453418</v>
      </c>
      <c r="J231" s="9">
        <f t="shared" si="23"/>
        <v>2226.0556078261602</v>
      </c>
      <c r="K231" s="9">
        <f t="shared" si="24"/>
        <v>445.41577453418</v>
      </c>
      <c r="L231" s="10">
        <f t="shared" si="21"/>
        <v>0.20009193524556551</v>
      </c>
      <c r="M231" s="10">
        <f t="shared" si="20"/>
        <v>0.23821782844285902</v>
      </c>
      <c r="P231" s="8">
        <f t="shared" si="25"/>
        <v>37.47537626804268</v>
      </c>
    </row>
    <row r="232" spans="1:16" x14ac:dyDescent="0.2">
      <c r="A232" s="8">
        <v>115</v>
      </c>
      <c r="B232" s="8">
        <v>230</v>
      </c>
      <c r="D232">
        <v>2588.5243714725998</v>
      </c>
      <c r="E232">
        <v>601.07285787582998</v>
      </c>
      <c r="F232">
        <v>117.81940144479</v>
      </c>
      <c r="G232">
        <v>106.55830753354</v>
      </c>
      <c r="I232" s="9">
        <f t="shared" si="22"/>
        <v>494.51455034228997</v>
      </c>
      <c r="J232" s="9">
        <f t="shared" si="23"/>
        <v>2470.7049700278098</v>
      </c>
      <c r="K232" s="9">
        <f t="shared" si="24"/>
        <v>494.51455034228997</v>
      </c>
      <c r="L232" s="10">
        <f t="shared" si="21"/>
        <v>0.20015119423049682</v>
      </c>
      <c r="M232" s="10">
        <f t="shared" si="20"/>
        <v>0.23844357604437239</v>
      </c>
      <c r="P232" s="8">
        <f t="shared" si="25"/>
        <v>37.605655083287203</v>
      </c>
    </row>
    <row r="233" spans="1:16" x14ac:dyDescent="0.2">
      <c r="A233" s="8">
        <v>115.5</v>
      </c>
      <c r="B233" s="8">
        <v>231</v>
      </c>
      <c r="D233">
        <v>2539.8419702412002</v>
      </c>
      <c r="E233">
        <v>577.58645459210004</v>
      </c>
      <c r="F233">
        <v>117.68679050567999</v>
      </c>
      <c r="G233">
        <v>106.92827657379</v>
      </c>
      <c r="I233" s="9">
        <f t="shared" si="22"/>
        <v>470.65817801831002</v>
      </c>
      <c r="J233" s="9">
        <f t="shared" si="23"/>
        <v>2422.1551797355201</v>
      </c>
      <c r="K233" s="9">
        <f t="shared" si="24"/>
        <v>470.65817801831002</v>
      </c>
      <c r="L233" s="10">
        <f t="shared" si="21"/>
        <v>0.19431380035266863</v>
      </c>
      <c r="M233" s="10">
        <f t="shared" si="20"/>
        <v>0.23277267078312625</v>
      </c>
      <c r="P233" s="8">
        <f t="shared" si="25"/>
        <v>34.332978811883613</v>
      </c>
    </row>
    <row r="234" spans="1:16" x14ac:dyDescent="0.2">
      <c r="A234" s="8">
        <v>116</v>
      </c>
      <c r="B234" s="8">
        <v>232</v>
      </c>
      <c r="D234">
        <v>2550.8229861466998</v>
      </c>
      <c r="E234">
        <v>574.76295536171995</v>
      </c>
      <c r="F234">
        <v>117.65118679051</v>
      </c>
      <c r="G234">
        <v>106.71929824561001</v>
      </c>
      <c r="I234" s="9">
        <f t="shared" si="22"/>
        <v>468.04365711610996</v>
      </c>
      <c r="J234" s="9">
        <f t="shared" si="23"/>
        <v>2433.1717993561897</v>
      </c>
      <c r="K234" s="9">
        <f t="shared" si="24"/>
        <v>468.04365711610996</v>
      </c>
      <c r="L234" s="10">
        <f t="shared" si="21"/>
        <v>0.19235947796203826</v>
      </c>
      <c r="M234" s="10">
        <f t="shared" si="20"/>
        <v>0.23098483700907796</v>
      </c>
      <c r="P234" s="8">
        <f t="shared" si="25"/>
        <v>33.301220935495458</v>
      </c>
    </row>
    <row r="235" spans="1:16" x14ac:dyDescent="0.2">
      <c r="A235" s="8">
        <v>116.5</v>
      </c>
      <c r="B235" s="8">
        <v>233</v>
      </c>
      <c r="D235">
        <v>2510.7558974358999</v>
      </c>
      <c r="E235">
        <v>557.16</v>
      </c>
      <c r="F235">
        <v>117.5</v>
      </c>
      <c r="G235">
        <v>106.46491228070001</v>
      </c>
      <c r="I235" s="9">
        <f t="shared" si="22"/>
        <v>450.69508771929998</v>
      </c>
      <c r="J235" s="9">
        <f t="shared" si="23"/>
        <v>2393.2558974358999</v>
      </c>
      <c r="K235" s="9">
        <f t="shared" si="24"/>
        <v>450.69508771929998</v>
      </c>
      <c r="L235" s="10">
        <f t="shared" si="21"/>
        <v>0.18831880376944574</v>
      </c>
      <c r="M235" s="10">
        <f t="shared" si="20"/>
        <v>0.22711065143306752</v>
      </c>
      <c r="P235" s="8">
        <f t="shared" si="25"/>
        <v>31.065430594882837</v>
      </c>
    </row>
    <row r="236" spans="1:16" x14ac:dyDescent="0.2">
      <c r="A236" s="8">
        <v>117</v>
      </c>
      <c r="B236" s="8">
        <v>234</v>
      </c>
      <c r="D236">
        <v>2439.5715017940001</v>
      </c>
      <c r="E236">
        <v>546.28088159918002</v>
      </c>
      <c r="F236">
        <v>117.4427244582</v>
      </c>
      <c r="G236">
        <v>106.62899896800999</v>
      </c>
      <c r="I236" s="9">
        <f t="shared" si="22"/>
        <v>439.65188263117</v>
      </c>
      <c r="J236" s="9">
        <f t="shared" si="23"/>
        <v>2322.1287773358004</v>
      </c>
      <c r="K236" s="9">
        <f t="shared" si="24"/>
        <v>439.65188263117</v>
      </c>
      <c r="L236" s="10">
        <f t="shared" si="21"/>
        <v>0.1893313957960534</v>
      </c>
      <c r="M236" s="10">
        <f t="shared" si="20"/>
        <v>0.22828973207625725</v>
      </c>
      <c r="P236" s="8">
        <f t="shared" si="25"/>
        <v>31.745877378116589</v>
      </c>
    </row>
    <row r="237" spans="1:16" x14ac:dyDescent="0.2">
      <c r="A237" s="8">
        <v>117.5</v>
      </c>
      <c r="B237" s="8">
        <v>235</v>
      </c>
      <c r="D237">
        <v>2556.6319835981999</v>
      </c>
      <c r="E237">
        <v>595.30445925166998</v>
      </c>
      <c r="F237">
        <v>117.69556243549999</v>
      </c>
      <c r="G237">
        <v>106.61403508772</v>
      </c>
      <c r="I237" s="9">
        <f t="shared" si="22"/>
        <v>488.69042416394996</v>
      </c>
      <c r="J237" s="9">
        <f t="shared" si="23"/>
        <v>2438.9364211626998</v>
      </c>
      <c r="K237" s="9">
        <f t="shared" si="24"/>
        <v>488.69042416394996</v>
      </c>
      <c r="L237" s="10">
        <f t="shared" si="21"/>
        <v>0.20037030072763415</v>
      </c>
      <c r="M237" s="10">
        <f t="shared" si="20"/>
        <v>0.23949512562442005</v>
      </c>
      <c r="P237" s="8">
        <f t="shared" si="25"/>
        <v>38.212503760930282</v>
      </c>
    </row>
    <row r="238" spans="1:16" x14ac:dyDescent="0.2">
      <c r="A238" s="8">
        <v>118</v>
      </c>
      <c r="B238" s="8">
        <v>236</v>
      </c>
      <c r="D238">
        <v>2536.960329727</v>
      </c>
      <c r="E238">
        <v>591.87480680062004</v>
      </c>
      <c r="F238">
        <v>117.94736842105</v>
      </c>
      <c r="G238">
        <v>106.74871001032</v>
      </c>
      <c r="I238" s="9">
        <f t="shared" si="22"/>
        <v>485.12609679030004</v>
      </c>
      <c r="J238" s="9">
        <f t="shared" si="23"/>
        <v>2419.0129613059498</v>
      </c>
      <c r="K238" s="9">
        <f t="shared" si="24"/>
        <v>485.12609679030004</v>
      </c>
      <c r="L238" s="10">
        <f t="shared" si="21"/>
        <v>0.20054712585268478</v>
      </c>
      <c r="M238" s="10">
        <f t="shared" si="20"/>
        <v>0.23983843936605276</v>
      </c>
      <c r="P238" s="8">
        <f t="shared" si="25"/>
        <v>38.410629930232794</v>
      </c>
    </row>
    <row r="239" spans="1:16" x14ac:dyDescent="0.2">
      <c r="A239" s="8">
        <v>118.5</v>
      </c>
      <c r="B239" s="8">
        <v>237</v>
      </c>
      <c r="D239">
        <v>2510.6311179804002</v>
      </c>
      <c r="E239">
        <v>572.60226687274996</v>
      </c>
      <c r="F239">
        <v>117.54127966976</v>
      </c>
      <c r="G239">
        <v>106.65583075335</v>
      </c>
      <c r="I239" s="9">
        <f t="shared" si="22"/>
        <v>465.94643611939995</v>
      </c>
      <c r="J239" s="9">
        <f t="shared" si="23"/>
        <v>2393.0898383106401</v>
      </c>
      <c r="K239" s="9">
        <f t="shared" si="24"/>
        <v>465.94643611939995</v>
      </c>
      <c r="L239" s="10">
        <f t="shared" si="21"/>
        <v>0.19470494950090411</v>
      </c>
      <c r="M239" s="10">
        <f t="shared" si="20"/>
        <v>0.23416275163085415</v>
      </c>
      <c r="P239" s="8">
        <f t="shared" si="25"/>
        <v>35.135193695771839</v>
      </c>
    </row>
    <row r="240" spans="1:16" x14ac:dyDescent="0.2">
      <c r="A240" s="8">
        <v>119</v>
      </c>
      <c r="B240" s="8">
        <v>238</v>
      </c>
      <c r="D240">
        <v>2563.9726944874001</v>
      </c>
      <c r="E240">
        <v>594.00875837196998</v>
      </c>
      <c r="F240">
        <v>117.80237358101</v>
      </c>
      <c r="G240">
        <v>106.53560371517</v>
      </c>
      <c r="I240" s="9">
        <f t="shared" si="22"/>
        <v>487.47315465679998</v>
      </c>
      <c r="J240" s="9">
        <f t="shared" si="23"/>
        <v>2446.1703209063899</v>
      </c>
      <c r="K240" s="9">
        <f t="shared" si="24"/>
        <v>487.47315465679998</v>
      </c>
      <c r="L240" s="10">
        <f t="shared" si="21"/>
        <v>0.19928013617472656</v>
      </c>
      <c r="M240" s="10">
        <f t="shared" si="20"/>
        <v>0.23890442692125868</v>
      </c>
      <c r="P240" s="8">
        <f t="shared" si="25"/>
        <v>37.871611867955814</v>
      </c>
    </row>
    <row r="241" spans="1:16" x14ac:dyDescent="0.2">
      <c r="A241" s="8">
        <v>119.5</v>
      </c>
      <c r="B241" s="8">
        <v>239</v>
      </c>
      <c r="D241">
        <v>2603.7794951055998</v>
      </c>
      <c r="E241">
        <v>605.20814013395</v>
      </c>
      <c r="F241">
        <v>117.67440660475</v>
      </c>
      <c r="G241">
        <v>106.564499484</v>
      </c>
      <c r="I241" s="9">
        <f t="shared" si="22"/>
        <v>498.64364064994999</v>
      </c>
      <c r="J241" s="9">
        <f t="shared" si="23"/>
        <v>2486.1050885008499</v>
      </c>
      <c r="K241" s="9">
        <f t="shared" si="24"/>
        <v>498.64364064994999</v>
      </c>
      <c r="L241" s="10">
        <f t="shared" si="21"/>
        <v>0.20057222961183746</v>
      </c>
      <c r="M241" s="10">
        <f t="shared" si="20"/>
        <v>0.24036300897495164</v>
      </c>
      <c r="P241" s="8">
        <f t="shared" si="25"/>
        <v>38.713358759697591</v>
      </c>
    </row>
    <row r="242" spans="1:16" x14ac:dyDescent="0.2">
      <c r="A242" s="8">
        <v>120</v>
      </c>
      <c r="B242" s="8">
        <v>240</v>
      </c>
      <c r="D242">
        <v>2587.8174807198002</v>
      </c>
      <c r="E242">
        <v>587.32030848328998</v>
      </c>
      <c r="F242">
        <v>117.38648090815001</v>
      </c>
      <c r="G242">
        <v>106.50773993807999</v>
      </c>
      <c r="I242" s="9">
        <f>E242-G242</f>
        <v>480.81256854520996</v>
      </c>
      <c r="J242" s="9">
        <f>D242-F242</f>
        <v>2470.4309998116501</v>
      </c>
      <c r="K242" s="9">
        <f t="shared" si="24"/>
        <v>480.81256854520996</v>
      </c>
      <c r="L242" s="10">
        <f t="shared" si="21"/>
        <v>0.1946269977108723</v>
      </c>
      <c r="M242" s="10">
        <f>L242+ABS($N$2)*A242</f>
        <v>0.23458426569056856</v>
      </c>
      <c r="O242" s="11"/>
      <c r="P242" s="8">
        <f>(M242-$O$2)/$O$2*100</f>
        <v>35.378449225134574</v>
      </c>
    </row>
    <row r="243" spans="1:16" x14ac:dyDescent="0.2">
      <c r="A243" s="8">
        <v>120.5</v>
      </c>
      <c r="B243" s="8">
        <v>241</v>
      </c>
      <c r="D243">
        <v>2607.1578406170001</v>
      </c>
      <c r="E243">
        <v>585.21388174806998</v>
      </c>
      <c r="F243">
        <v>117.70794633643</v>
      </c>
      <c r="G243">
        <v>106.52683178535</v>
      </c>
      <c r="I243" s="9">
        <f t="shared" ref="I243:I274" si="26">E243-G243</f>
        <v>478.68704996271998</v>
      </c>
      <c r="J243" s="9">
        <f t="shared" ref="J243:J274" si="27">D243-F243</f>
        <v>2489.4498942805703</v>
      </c>
      <c r="K243" s="9">
        <f t="shared" si="24"/>
        <v>478.68704996271998</v>
      </c>
      <c r="L243" s="10">
        <f t="shared" si="21"/>
        <v>0.19228627620201869</v>
      </c>
      <c r="M243" s="10">
        <f t="shared" ref="M243:M274" si="28">L243+ABS($N$2)*A243</f>
        <v>0.232410032798297</v>
      </c>
      <c r="P243" s="8">
        <f t="shared" ref="P243:P274" si="29">(M243-$O$2)/$O$2*100</f>
        <v>34.123700632582924</v>
      </c>
    </row>
    <row r="244" spans="1:16" x14ac:dyDescent="0.2">
      <c r="A244" s="8">
        <v>121</v>
      </c>
      <c r="B244" s="8">
        <v>242</v>
      </c>
      <c r="D244">
        <v>2621.8344473008001</v>
      </c>
      <c r="E244">
        <v>587.22005141388001</v>
      </c>
      <c r="F244">
        <v>117.85706914345</v>
      </c>
      <c r="G244">
        <v>106.77760577914999</v>
      </c>
      <c r="I244" s="9">
        <f t="shared" si="26"/>
        <v>480.44244563473001</v>
      </c>
      <c r="J244" s="9">
        <f t="shared" si="27"/>
        <v>2503.9773781573499</v>
      </c>
      <c r="K244" s="9">
        <f t="shared" si="24"/>
        <v>480.44244563473001</v>
      </c>
      <c r="L244" s="10">
        <f t="shared" si="21"/>
        <v>0.19187171969911423</v>
      </c>
      <c r="M244" s="10">
        <f t="shared" si="28"/>
        <v>0.23216196491197461</v>
      </c>
      <c r="N244" s="1"/>
      <c r="P244" s="8">
        <f t="shared" si="29"/>
        <v>33.980540793392429</v>
      </c>
    </row>
    <row r="245" spans="1:16" x14ac:dyDescent="0.2">
      <c r="A245" s="8">
        <v>121.5</v>
      </c>
      <c r="B245" s="8">
        <v>243</v>
      </c>
      <c r="D245">
        <v>2603.0580976863998</v>
      </c>
      <c r="E245">
        <v>579.73521850899999</v>
      </c>
      <c r="F245">
        <v>117.50309597523</v>
      </c>
      <c r="G245">
        <v>106.30650154799</v>
      </c>
      <c r="I245" s="9">
        <f t="shared" si="26"/>
        <v>473.42871696100997</v>
      </c>
      <c r="J245" s="9">
        <f t="shared" si="27"/>
        <v>2485.55500171117</v>
      </c>
      <c r="K245" s="9">
        <f t="shared" si="24"/>
        <v>473.42871696100997</v>
      </c>
      <c r="L245" s="10">
        <f t="shared" si="21"/>
        <v>0.19047203406687035</v>
      </c>
      <c r="M245" s="10">
        <f t="shared" si="28"/>
        <v>0.23092876789631281</v>
      </c>
      <c r="P245" s="8">
        <f t="shared" si="29"/>
        <v>33.268863481711286</v>
      </c>
    </row>
    <row r="246" spans="1:16" x14ac:dyDescent="0.2">
      <c r="A246" s="8">
        <v>122</v>
      </c>
      <c r="B246" s="8">
        <v>244</v>
      </c>
      <c r="D246">
        <v>2579.0258665287001</v>
      </c>
      <c r="E246">
        <v>564.33988618727005</v>
      </c>
      <c r="F246">
        <v>117.91176470588</v>
      </c>
      <c r="G246">
        <v>106.38132094943001</v>
      </c>
      <c r="I246" s="9">
        <f t="shared" si="26"/>
        <v>457.95856523784005</v>
      </c>
      <c r="J246" s="9">
        <f t="shared" si="27"/>
        <v>2461.11410182282</v>
      </c>
      <c r="K246" s="9">
        <f t="shared" si="24"/>
        <v>457.95856523784005</v>
      </c>
      <c r="L246" s="10">
        <f t="shared" si="21"/>
        <v>0.1860777462120321</v>
      </c>
      <c r="M246" s="10">
        <f t="shared" si="28"/>
        <v>0.22670096865805661</v>
      </c>
      <c r="P246" s="8">
        <f t="shared" si="29"/>
        <v>30.829002893340462</v>
      </c>
    </row>
    <row r="247" spans="1:16" x14ac:dyDescent="0.2">
      <c r="A247" s="8">
        <v>122.5</v>
      </c>
      <c r="B247" s="8">
        <v>245</v>
      </c>
      <c r="D247">
        <v>2528.8696326953</v>
      </c>
      <c r="E247">
        <v>547.75840662182998</v>
      </c>
      <c r="F247">
        <v>117.69711042311999</v>
      </c>
      <c r="G247">
        <v>106.74200206398</v>
      </c>
      <c r="I247" s="9">
        <f t="shared" si="26"/>
        <v>441.01640455784997</v>
      </c>
      <c r="J247" s="9">
        <f t="shared" si="27"/>
        <v>2411.1725222721798</v>
      </c>
      <c r="K247" s="9">
        <f t="shared" si="24"/>
        <v>441.01640455784997</v>
      </c>
      <c r="L247" s="10">
        <f t="shared" si="21"/>
        <v>0.18290537092810599</v>
      </c>
      <c r="M247" s="10">
        <f t="shared" si="28"/>
        <v>0.22369508199071259</v>
      </c>
      <c r="P247" s="8">
        <f t="shared" si="29"/>
        <v>29.094307369863571</v>
      </c>
    </row>
    <row r="248" spans="1:16" x14ac:dyDescent="0.2">
      <c r="A248" s="8">
        <v>123</v>
      </c>
      <c r="B248" s="8">
        <v>246</v>
      </c>
      <c r="D248">
        <v>2573.5866528711999</v>
      </c>
      <c r="E248">
        <v>577.52612519399997</v>
      </c>
      <c r="F248">
        <v>117.57481940145</v>
      </c>
      <c r="G248">
        <v>106.49174406605</v>
      </c>
      <c r="I248" s="9">
        <f t="shared" si="26"/>
        <v>471.03438112794998</v>
      </c>
      <c r="J248" s="9">
        <f t="shared" si="27"/>
        <v>2456.0118334697499</v>
      </c>
      <c r="K248" s="9">
        <f t="shared" si="24"/>
        <v>471.03438112794998</v>
      </c>
      <c r="L248" s="10">
        <f t="shared" si="21"/>
        <v>0.19178831905809365</v>
      </c>
      <c r="M248" s="10">
        <f t="shared" si="28"/>
        <v>0.2327445187372823</v>
      </c>
      <c r="P248" s="8">
        <f t="shared" si="29"/>
        <v>34.316732281888733</v>
      </c>
    </row>
    <row r="249" spans="1:16" x14ac:dyDescent="0.2">
      <c r="A249" s="8">
        <v>123.5</v>
      </c>
      <c r="B249" s="8">
        <v>247</v>
      </c>
      <c r="D249">
        <v>2577.1148473875</v>
      </c>
      <c r="E249">
        <v>570.76047594413001</v>
      </c>
      <c r="F249">
        <v>117.47987616099</v>
      </c>
      <c r="G249">
        <v>106.57636738906</v>
      </c>
      <c r="I249" s="9">
        <f t="shared" si="26"/>
        <v>464.18410855507</v>
      </c>
      <c r="J249" s="9">
        <f t="shared" si="27"/>
        <v>2459.6349712265101</v>
      </c>
      <c r="K249" s="9">
        <f t="shared" si="24"/>
        <v>464.18410855507</v>
      </c>
      <c r="L249" s="10">
        <f t="shared" si="21"/>
        <v>0.1887207305088861</v>
      </c>
      <c r="M249" s="10">
        <f t="shared" si="28"/>
        <v>0.22984341880465681</v>
      </c>
      <c r="P249" s="8">
        <f t="shared" si="29"/>
        <v>32.642509124722523</v>
      </c>
    </row>
    <row r="250" spans="1:16" x14ac:dyDescent="0.2">
      <c r="A250" s="8">
        <v>124</v>
      </c>
      <c r="B250" s="8">
        <v>248</v>
      </c>
      <c r="D250">
        <v>2632.4826694257999</v>
      </c>
      <c r="E250">
        <v>580.57061562338004</v>
      </c>
      <c r="F250">
        <v>117.76212590298999</v>
      </c>
      <c r="G250">
        <v>106.43034055728</v>
      </c>
      <c r="I250" s="9">
        <f t="shared" si="26"/>
        <v>474.1402750661</v>
      </c>
      <c r="J250" s="9">
        <f t="shared" si="27"/>
        <v>2514.7205435228097</v>
      </c>
      <c r="K250" s="9">
        <f t="shared" si="24"/>
        <v>474.1402750661</v>
      </c>
      <c r="L250" s="10">
        <f t="shared" si="21"/>
        <v>0.18854591071256316</v>
      </c>
      <c r="M250" s="10">
        <f t="shared" si="28"/>
        <v>0.22983508762491595</v>
      </c>
      <c r="P250" s="8">
        <f t="shared" si="29"/>
        <v>32.637701205528906</v>
      </c>
    </row>
    <row r="251" spans="1:16" x14ac:dyDescent="0.2">
      <c r="A251" s="8">
        <v>124.5</v>
      </c>
      <c r="B251" s="8">
        <v>249</v>
      </c>
      <c r="D251">
        <v>2599.4485256079001</v>
      </c>
      <c r="E251">
        <v>565.90532850492002</v>
      </c>
      <c r="F251">
        <v>117.52683178535</v>
      </c>
      <c r="G251">
        <v>106.44427244582</v>
      </c>
      <c r="I251" s="9">
        <f t="shared" si="26"/>
        <v>459.46105605910003</v>
      </c>
      <c r="J251" s="9">
        <f t="shared" si="27"/>
        <v>2481.92169382255</v>
      </c>
      <c r="K251" s="9">
        <f t="shared" si="24"/>
        <v>459.46105605910003</v>
      </c>
      <c r="L251" s="10">
        <f t="shared" si="21"/>
        <v>0.1851231073094243</v>
      </c>
      <c r="M251" s="10">
        <f t="shared" si="28"/>
        <v>0.22657877283835914</v>
      </c>
      <c r="P251" s="8">
        <f t="shared" si="29"/>
        <v>30.758483753773536</v>
      </c>
    </row>
    <row r="252" spans="1:16" x14ac:dyDescent="0.2">
      <c r="A252" s="8">
        <v>125</v>
      </c>
      <c r="B252" s="8">
        <v>250</v>
      </c>
      <c r="D252">
        <v>2573.8939472323</v>
      </c>
      <c r="E252">
        <v>558.76254526643004</v>
      </c>
      <c r="F252">
        <v>117.67337461299999</v>
      </c>
      <c r="G252">
        <v>106.6346749226</v>
      </c>
      <c r="I252" s="9">
        <f t="shared" si="26"/>
        <v>452.12787034383007</v>
      </c>
      <c r="J252" s="9">
        <f t="shared" si="27"/>
        <v>2456.2205726193001</v>
      </c>
      <c r="K252" s="9">
        <f t="shared" si="24"/>
        <v>452.12787034383007</v>
      </c>
      <c r="L252" s="10">
        <f t="shared" si="21"/>
        <v>0.18407462073395281</v>
      </c>
      <c r="M252" s="10">
        <f t="shared" si="28"/>
        <v>0.22569677487946974</v>
      </c>
      <c r="P252" s="8">
        <f t="shared" si="29"/>
        <v>30.249483222375229</v>
      </c>
    </row>
    <row r="253" spans="1:16" x14ac:dyDescent="0.2">
      <c r="A253" s="8">
        <v>125.5</v>
      </c>
      <c r="B253" s="8">
        <v>251</v>
      </c>
      <c r="D253">
        <v>2554.4438696327002</v>
      </c>
      <c r="E253">
        <v>572.06828763579995</v>
      </c>
      <c r="F253">
        <v>117.38596491228</v>
      </c>
      <c r="G253">
        <v>106.49793601651</v>
      </c>
      <c r="I253" s="9">
        <f t="shared" si="26"/>
        <v>465.57035161928997</v>
      </c>
      <c r="J253" s="9">
        <f t="shared" si="27"/>
        <v>2437.0579047204201</v>
      </c>
      <c r="K253" s="9">
        <f t="shared" si="24"/>
        <v>465.57035161928997</v>
      </c>
      <c r="L253" s="10">
        <f t="shared" si="21"/>
        <v>0.19103787017842744</v>
      </c>
      <c r="M253" s="10">
        <f t="shared" si="28"/>
        <v>0.23282651294052642</v>
      </c>
      <c r="P253" s="8">
        <f t="shared" si="29"/>
        <v>34.36405109096556</v>
      </c>
    </row>
    <row r="254" spans="1:16" x14ac:dyDescent="0.2">
      <c r="A254" s="8">
        <v>126</v>
      </c>
      <c r="B254" s="8">
        <v>252</v>
      </c>
      <c r="D254">
        <v>2570.2240041385999</v>
      </c>
      <c r="E254">
        <v>601.03879979306998</v>
      </c>
      <c r="F254">
        <v>117.6862745098</v>
      </c>
      <c r="G254">
        <v>106.81836945304001</v>
      </c>
      <c r="I254" s="9">
        <f t="shared" si="26"/>
        <v>494.22043034002996</v>
      </c>
      <c r="J254" s="9">
        <f t="shared" si="27"/>
        <v>2452.5377296287998</v>
      </c>
      <c r="K254" s="9">
        <f t="shared" si="24"/>
        <v>494.22043034002996</v>
      </c>
      <c r="L254" s="10">
        <f t="shared" si="21"/>
        <v>0.20151389492174376</v>
      </c>
      <c r="M254" s="10">
        <f t="shared" si="28"/>
        <v>0.24346902630042483</v>
      </c>
      <c r="P254" s="8">
        <f t="shared" si="29"/>
        <v>40.505839630275716</v>
      </c>
    </row>
    <row r="255" spans="1:16" x14ac:dyDescent="0.2">
      <c r="A255" s="8">
        <v>126.5</v>
      </c>
      <c r="B255" s="8">
        <v>253</v>
      </c>
      <c r="D255">
        <v>2541.5866528711999</v>
      </c>
      <c r="E255">
        <v>586.56699430935998</v>
      </c>
      <c r="F255">
        <v>117.51289989679999</v>
      </c>
      <c r="G255">
        <v>106.75541795666</v>
      </c>
      <c r="I255" s="9">
        <f t="shared" si="26"/>
        <v>479.8115763527</v>
      </c>
      <c r="J255" s="9">
        <f t="shared" si="27"/>
        <v>2424.0737529744001</v>
      </c>
      <c r="K255" s="9">
        <f t="shared" si="24"/>
        <v>479.8115763527</v>
      </c>
      <c r="L255" s="10">
        <f t="shared" si="21"/>
        <v>0.19793604702165477</v>
      </c>
      <c r="M255" s="10">
        <f t="shared" si="28"/>
        <v>0.24005766701691789</v>
      </c>
      <c r="P255" s="8">
        <f t="shared" si="29"/>
        <v>38.53714608558542</v>
      </c>
    </row>
    <row r="256" spans="1:16" x14ac:dyDescent="0.2">
      <c r="A256" s="8">
        <v>127</v>
      </c>
      <c r="B256" s="8">
        <v>254</v>
      </c>
      <c r="D256">
        <v>2559.7299534403001</v>
      </c>
      <c r="E256">
        <v>583.27987584066</v>
      </c>
      <c r="F256">
        <v>117.65376676987</v>
      </c>
      <c r="G256">
        <v>106.71568627451001</v>
      </c>
      <c r="I256" s="9">
        <f t="shared" si="26"/>
        <v>476.56418956614999</v>
      </c>
      <c r="J256" s="9">
        <f t="shared" si="27"/>
        <v>2442.0761866704302</v>
      </c>
      <c r="K256" s="9">
        <f t="shared" si="24"/>
        <v>476.56418956614999</v>
      </c>
      <c r="L256" s="10">
        <f t="shared" si="21"/>
        <v>0.19514714248776407</v>
      </c>
      <c r="M256" s="10">
        <f t="shared" si="28"/>
        <v>0.23743525109960928</v>
      </c>
      <c r="P256" s="8">
        <f t="shared" si="29"/>
        <v>37.023751318619937</v>
      </c>
    </row>
    <row r="257" spans="1:16" x14ac:dyDescent="0.2">
      <c r="A257" s="8">
        <v>127.5</v>
      </c>
      <c r="B257" s="8">
        <v>255</v>
      </c>
      <c r="D257">
        <v>2542.8380755303001</v>
      </c>
      <c r="E257">
        <v>577.86756337300005</v>
      </c>
      <c r="F257">
        <v>117.30237358101</v>
      </c>
      <c r="G257">
        <v>106.81424148607</v>
      </c>
      <c r="I257" s="9">
        <f t="shared" si="26"/>
        <v>471.05332188693006</v>
      </c>
      <c r="J257" s="9">
        <f t="shared" si="27"/>
        <v>2425.5357019492899</v>
      </c>
      <c r="K257" s="9">
        <f t="shared" si="24"/>
        <v>471.05332188693006</v>
      </c>
      <c r="L257" s="10">
        <f t="shared" si="21"/>
        <v>0.19420589089180032</v>
      </c>
      <c r="M257" s="10">
        <f t="shared" si="28"/>
        <v>0.23666048812022758</v>
      </c>
      <c r="P257" s="8">
        <f t="shared" si="29"/>
        <v>36.576636034238113</v>
      </c>
    </row>
    <row r="258" spans="1:16" x14ac:dyDescent="0.2">
      <c r="A258" s="8">
        <v>128</v>
      </c>
      <c r="B258" s="8">
        <v>256</v>
      </c>
      <c r="D258">
        <v>2538.9839627522001</v>
      </c>
      <c r="E258">
        <v>568.33367822037997</v>
      </c>
      <c r="F258">
        <v>117.62641898865</v>
      </c>
      <c r="G258">
        <v>106.46852425181</v>
      </c>
      <c r="I258" s="9">
        <f t="shared" si="26"/>
        <v>461.86515396856998</v>
      </c>
      <c r="J258" s="9">
        <f t="shared" si="27"/>
        <v>2421.35754376355</v>
      </c>
      <c r="K258" s="9">
        <f t="shared" si="24"/>
        <v>461.86515396856998</v>
      </c>
      <c r="L258" s="10">
        <f t="shared" ref="L258:L321" si="30">K258/J258</f>
        <v>0.19074636670579698</v>
      </c>
      <c r="M258" s="10">
        <f t="shared" si="28"/>
        <v>0.23336745255080632</v>
      </c>
      <c r="P258" s="8">
        <f t="shared" si="29"/>
        <v>34.67622703912032</v>
      </c>
    </row>
    <row r="259" spans="1:16" x14ac:dyDescent="0.2">
      <c r="A259" s="8">
        <v>128.5</v>
      </c>
      <c r="B259" s="8">
        <v>257</v>
      </c>
      <c r="D259">
        <v>2541.8334195551001</v>
      </c>
      <c r="E259">
        <v>578.71081220899998</v>
      </c>
      <c r="F259">
        <v>117.77296181631</v>
      </c>
      <c r="G259">
        <v>106.45252837977</v>
      </c>
      <c r="I259" s="9">
        <f t="shared" si="26"/>
        <v>472.25828382922998</v>
      </c>
      <c r="J259" s="9">
        <f t="shared" si="27"/>
        <v>2424.0604577387903</v>
      </c>
      <c r="K259" s="9">
        <f t="shared" ref="K259:K322" si="31">I259*1</f>
        <v>472.25828382922998</v>
      </c>
      <c r="L259" s="10">
        <f t="shared" si="30"/>
        <v>0.19482116558667084</v>
      </c>
      <c r="M259" s="10">
        <f t="shared" si="28"/>
        <v>0.23760874004826224</v>
      </c>
      <c r="P259" s="8">
        <f t="shared" si="29"/>
        <v>37.123871694371466</v>
      </c>
    </row>
    <row r="260" spans="1:16" x14ac:dyDescent="0.2">
      <c r="A260" s="8">
        <v>129</v>
      </c>
      <c r="B260" s="8">
        <v>258</v>
      </c>
      <c r="D260">
        <v>2571.8153129850002</v>
      </c>
      <c r="E260">
        <v>615.40506983962996</v>
      </c>
      <c r="F260">
        <v>117.59081527348</v>
      </c>
      <c r="G260">
        <v>106.49896800825999</v>
      </c>
      <c r="I260" s="9">
        <f t="shared" si="26"/>
        <v>508.90610183136994</v>
      </c>
      <c r="J260" s="9">
        <f t="shared" si="27"/>
        <v>2454.2244977115201</v>
      </c>
      <c r="K260" s="9">
        <f t="shared" si="31"/>
        <v>508.90610183136994</v>
      </c>
      <c r="L260" s="10">
        <f t="shared" si="30"/>
        <v>0.20735922989356001</v>
      </c>
      <c r="M260" s="10">
        <f t="shared" si="28"/>
        <v>0.25031329297173349</v>
      </c>
      <c r="P260" s="8">
        <f t="shared" si="29"/>
        <v>44.455662118657102</v>
      </c>
    </row>
    <row r="261" spans="1:16" x14ac:dyDescent="0.2">
      <c r="A261" s="8">
        <v>129.5</v>
      </c>
      <c r="B261" s="8">
        <v>259</v>
      </c>
      <c r="D261">
        <v>2597.9720641489998</v>
      </c>
      <c r="E261">
        <v>624.87532333161005</v>
      </c>
      <c r="F261">
        <v>117.57585139319001</v>
      </c>
      <c r="G261">
        <v>106.65995872033</v>
      </c>
      <c r="I261" s="9">
        <f t="shared" si="26"/>
        <v>518.21536461128005</v>
      </c>
      <c r="J261" s="9">
        <f t="shared" si="27"/>
        <v>2480.3962127558098</v>
      </c>
      <c r="K261" s="9">
        <f t="shared" si="31"/>
        <v>518.21536461128005</v>
      </c>
      <c r="L261" s="10">
        <f t="shared" si="30"/>
        <v>0.20892442987385634</v>
      </c>
      <c r="M261" s="10">
        <f t="shared" si="28"/>
        <v>0.25204498156861188</v>
      </c>
      <c r="P261" s="8">
        <f t="shared" si="29"/>
        <v>45.455018644535436</v>
      </c>
    </row>
    <row r="262" spans="1:16" x14ac:dyDescent="0.2">
      <c r="A262" s="8">
        <v>130</v>
      </c>
      <c r="B262" s="8">
        <v>260</v>
      </c>
      <c r="D262">
        <v>2593.9508535955001</v>
      </c>
      <c r="E262">
        <v>603.67459906881004</v>
      </c>
      <c r="F262">
        <v>117.74664602683001</v>
      </c>
      <c r="G262">
        <v>106.86326109391</v>
      </c>
      <c r="I262" s="9">
        <f t="shared" si="26"/>
        <v>496.81133797490003</v>
      </c>
      <c r="J262" s="9">
        <f t="shared" si="27"/>
        <v>2476.20420756867</v>
      </c>
      <c r="K262" s="9">
        <f t="shared" si="31"/>
        <v>496.81133797490003</v>
      </c>
      <c r="L262" s="10">
        <f t="shared" si="30"/>
        <v>0.20063423543840436</v>
      </c>
      <c r="M262" s="10">
        <f t="shared" si="28"/>
        <v>0.24392127574974196</v>
      </c>
      <c r="P262" s="8">
        <f t="shared" si="29"/>
        <v>40.766832535879345</v>
      </c>
    </row>
    <row r="263" spans="1:16" x14ac:dyDescent="0.2">
      <c r="A263" s="8">
        <v>130.5</v>
      </c>
      <c r="B263" s="8">
        <v>261</v>
      </c>
      <c r="D263">
        <v>2547.2452146922001</v>
      </c>
      <c r="E263">
        <v>599.81169167098005</v>
      </c>
      <c r="F263">
        <v>117.75902992776</v>
      </c>
      <c r="G263">
        <v>106.69504643963</v>
      </c>
      <c r="I263" s="9">
        <f t="shared" si="26"/>
        <v>493.11664523135005</v>
      </c>
      <c r="J263" s="9">
        <f t="shared" si="27"/>
        <v>2429.4861847644402</v>
      </c>
      <c r="K263" s="9">
        <f t="shared" si="31"/>
        <v>493.11664523135005</v>
      </c>
      <c r="L263" s="10">
        <f t="shared" si="30"/>
        <v>0.20297157823894438</v>
      </c>
      <c r="M263" s="10">
        <f t="shared" si="28"/>
        <v>0.24642510716686405</v>
      </c>
      <c r="P263" s="8">
        <f t="shared" si="29"/>
        <v>42.211792253758617</v>
      </c>
    </row>
    <row r="264" spans="1:16" x14ac:dyDescent="0.2">
      <c r="A264" s="8">
        <v>131</v>
      </c>
      <c r="B264" s="8">
        <v>262</v>
      </c>
      <c r="D264">
        <v>2547.0263838593</v>
      </c>
      <c r="E264">
        <v>594.20331091568005</v>
      </c>
      <c r="F264">
        <v>117.58410732714</v>
      </c>
      <c r="G264">
        <v>106.47574819401</v>
      </c>
      <c r="I264" s="9">
        <f t="shared" si="26"/>
        <v>487.72756272167004</v>
      </c>
      <c r="J264" s="9">
        <f t="shared" si="27"/>
        <v>2429.4422765321601</v>
      </c>
      <c r="K264" s="9">
        <f t="shared" si="31"/>
        <v>487.72756272167004</v>
      </c>
      <c r="L264" s="10">
        <f t="shared" si="30"/>
        <v>0.20075700807259483</v>
      </c>
      <c r="M264" s="10">
        <f t="shared" si="28"/>
        <v>0.24437702561709657</v>
      </c>
      <c r="P264" s="8">
        <f t="shared" si="29"/>
        <v>41.029845530785032</v>
      </c>
    </row>
    <row r="265" spans="1:16" x14ac:dyDescent="0.2">
      <c r="A265" s="8">
        <v>131.5</v>
      </c>
      <c r="B265" s="8">
        <v>263</v>
      </c>
      <c r="D265">
        <v>2593.5545783756002</v>
      </c>
      <c r="E265">
        <v>592.22245214691998</v>
      </c>
      <c r="F265">
        <v>117.43240454076</v>
      </c>
      <c r="G265">
        <v>106.55830753354</v>
      </c>
      <c r="I265" s="9">
        <f t="shared" si="26"/>
        <v>485.66414461337996</v>
      </c>
      <c r="J265" s="9">
        <f t="shared" si="27"/>
        <v>2476.1221738348399</v>
      </c>
      <c r="K265" s="9">
        <f t="shared" si="31"/>
        <v>485.66414461337996</v>
      </c>
      <c r="L265" s="10">
        <f t="shared" si="30"/>
        <v>0.19613900709156781</v>
      </c>
      <c r="M265" s="10">
        <f t="shared" si="28"/>
        <v>0.2399255132526516</v>
      </c>
      <c r="P265" s="8">
        <f t="shared" si="29"/>
        <v>38.460880221747679</v>
      </c>
    </row>
    <row r="266" spans="1:16" x14ac:dyDescent="0.2">
      <c r="A266" s="8">
        <v>132</v>
      </c>
      <c r="B266" s="8">
        <v>264</v>
      </c>
      <c r="D266">
        <v>2588.9632695291998</v>
      </c>
      <c r="E266">
        <v>582.58406621831</v>
      </c>
      <c r="F266">
        <v>117.64705882353</v>
      </c>
      <c r="G266">
        <v>106.68885448915999</v>
      </c>
      <c r="I266" s="9">
        <f t="shared" si="26"/>
        <v>475.89521172914999</v>
      </c>
      <c r="J266" s="9">
        <f t="shared" si="27"/>
        <v>2471.3162107056696</v>
      </c>
      <c r="K266" s="9">
        <f t="shared" si="31"/>
        <v>475.89521172914999</v>
      </c>
      <c r="L266" s="10">
        <f t="shared" si="30"/>
        <v>0.1925675110564912</v>
      </c>
      <c r="M266" s="10">
        <f t="shared" si="28"/>
        <v>0.23652050583415707</v>
      </c>
      <c r="P266" s="8">
        <f t="shared" si="29"/>
        <v>36.495852334822345</v>
      </c>
    </row>
    <row r="267" spans="1:16" x14ac:dyDescent="0.2">
      <c r="A267" s="8">
        <v>132.5</v>
      </c>
      <c r="B267" s="8">
        <v>265</v>
      </c>
      <c r="D267">
        <v>2592.0853595448002</v>
      </c>
      <c r="E267">
        <v>576.00879461976001</v>
      </c>
      <c r="F267">
        <v>117.64189886481</v>
      </c>
      <c r="G267">
        <v>106.55211558308</v>
      </c>
      <c r="I267" s="9">
        <f t="shared" si="26"/>
        <v>469.45667903668004</v>
      </c>
      <c r="J267" s="9">
        <f t="shared" si="27"/>
        <v>2474.44346067999</v>
      </c>
      <c r="K267" s="9">
        <f t="shared" si="31"/>
        <v>469.45667903668004</v>
      </c>
      <c r="L267" s="10">
        <f t="shared" si="30"/>
        <v>0.18972212802456634</v>
      </c>
      <c r="M267" s="10">
        <f t="shared" si="28"/>
        <v>0.23384161141881427</v>
      </c>
      <c r="P267" s="8">
        <f t="shared" si="29"/>
        <v>34.949863858061683</v>
      </c>
    </row>
    <row r="268" spans="1:16" x14ac:dyDescent="0.2">
      <c r="A268" s="8">
        <v>133</v>
      </c>
      <c r="B268" s="8">
        <v>266</v>
      </c>
      <c r="D268">
        <v>2562.4593895499002</v>
      </c>
      <c r="E268">
        <v>560.63372995344002</v>
      </c>
      <c r="F268">
        <v>117.44375644995</v>
      </c>
      <c r="G268">
        <v>106.53611971104</v>
      </c>
      <c r="I268" s="9">
        <f t="shared" si="26"/>
        <v>454.09761024240004</v>
      </c>
      <c r="J268" s="9">
        <f t="shared" si="27"/>
        <v>2445.0156330999503</v>
      </c>
      <c r="K268" s="9">
        <f t="shared" si="31"/>
        <v>454.09761024240004</v>
      </c>
      <c r="L268" s="10">
        <f t="shared" si="30"/>
        <v>0.18572380646362799</v>
      </c>
      <c r="M268" s="10">
        <f t="shared" si="28"/>
        <v>0.230009778474458</v>
      </c>
      <c r="P268" s="8">
        <f t="shared" si="29"/>
        <v>32.738515197614888</v>
      </c>
    </row>
    <row r="269" spans="1:16" x14ac:dyDescent="0.2">
      <c r="A269" s="8">
        <v>133.5</v>
      </c>
      <c r="B269" s="8">
        <v>267</v>
      </c>
      <c r="D269">
        <v>2591.7118468702001</v>
      </c>
      <c r="E269">
        <v>570.73667873771001</v>
      </c>
      <c r="F269">
        <v>117.52992776057999</v>
      </c>
      <c r="G269">
        <v>106.75799793602</v>
      </c>
      <c r="I269" s="9">
        <f t="shared" si="26"/>
        <v>463.97868080169002</v>
      </c>
      <c r="J269" s="9">
        <f t="shared" si="27"/>
        <v>2474.1819191096201</v>
      </c>
      <c r="K269" s="9">
        <f t="shared" si="31"/>
        <v>463.97868080169002</v>
      </c>
      <c r="L269" s="10">
        <f t="shared" si="30"/>
        <v>0.18752811877659395</v>
      </c>
      <c r="M269" s="10">
        <f t="shared" si="28"/>
        <v>0.23198057940400602</v>
      </c>
      <c r="P269" s="8">
        <f t="shared" si="29"/>
        <v>33.875863317652893</v>
      </c>
    </row>
    <row r="270" spans="1:16" x14ac:dyDescent="0.2">
      <c r="A270" s="8">
        <v>134</v>
      </c>
      <c r="B270" s="8">
        <v>268</v>
      </c>
      <c r="D270">
        <v>2601.5778582513999</v>
      </c>
      <c r="E270">
        <v>581.18158303155997</v>
      </c>
      <c r="F270">
        <v>117.82249742002</v>
      </c>
      <c r="G270">
        <v>106.69711042311999</v>
      </c>
      <c r="I270" s="9">
        <f t="shared" si="26"/>
        <v>474.48447260844</v>
      </c>
      <c r="J270" s="9">
        <f t="shared" si="27"/>
        <v>2483.7553608313801</v>
      </c>
      <c r="K270" s="9">
        <f t="shared" si="31"/>
        <v>474.48447260844</v>
      </c>
      <c r="L270" s="10">
        <f t="shared" si="30"/>
        <v>0.19103510759997602</v>
      </c>
      <c r="M270" s="10">
        <f t="shared" si="28"/>
        <v>0.23565405684397017</v>
      </c>
      <c r="P270" s="8">
        <f t="shared" si="29"/>
        <v>35.995825104611988</v>
      </c>
    </row>
    <row r="271" spans="1:16" x14ac:dyDescent="0.2">
      <c r="A271" s="8">
        <v>134.5</v>
      </c>
      <c r="B271" s="8">
        <v>269</v>
      </c>
      <c r="D271">
        <v>2580.8448008277001</v>
      </c>
      <c r="E271">
        <v>572.49353336781996</v>
      </c>
      <c r="F271">
        <v>117.53715170279</v>
      </c>
      <c r="G271">
        <v>106.51238390093</v>
      </c>
      <c r="I271" s="9">
        <f t="shared" si="26"/>
        <v>465.98114946688997</v>
      </c>
      <c r="J271" s="9">
        <f t="shared" si="27"/>
        <v>2463.3076491249099</v>
      </c>
      <c r="K271" s="9">
        <f t="shared" si="31"/>
        <v>465.98114946688997</v>
      </c>
      <c r="L271" s="10">
        <f t="shared" si="30"/>
        <v>0.18916888015690195</v>
      </c>
      <c r="M271" s="10">
        <f t="shared" si="28"/>
        <v>0.23395431801747815</v>
      </c>
      <c r="P271" s="8">
        <f t="shared" si="29"/>
        <v>35.014906773449205</v>
      </c>
    </row>
    <row r="272" spans="1:16" x14ac:dyDescent="0.2">
      <c r="A272" s="8">
        <v>135</v>
      </c>
      <c r="B272" s="8">
        <v>270</v>
      </c>
      <c r="D272">
        <v>2549.2219348163999</v>
      </c>
      <c r="E272">
        <v>560.69063631661004</v>
      </c>
      <c r="F272">
        <v>117.43137254902</v>
      </c>
      <c r="G272">
        <v>106.6253869969</v>
      </c>
      <c r="I272" s="9">
        <f t="shared" si="26"/>
        <v>454.06524931971001</v>
      </c>
      <c r="J272" s="9">
        <f t="shared" si="27"/>
        <v>2431.7905622673798</v>
      </c>
      <c r="K272" s="9">
        <f t="shared" si="31"/>
        <v>454.06524931971001</v>
      </c>
      <c r="L272" s="10">
        <f t="shared" si="30"/>
        <v>0.18672054097304483</v>
      </c>
      <c r="M272" s="10">
        <f t="shared" si="28"/>
        <v>0.23167246745020309</v>
      </c>
      <c r="P272" s="8">
        <f t="shared" si="29"/>
        <v>33.698052080523347</v>
      </c>
    </row>
    <row r="273" spans="1:16" x14ac:dyDescent="0.2">
      <c r="A273" s="8">
        <v>135.5</v>
      </c>
      <c r="B273" s="8">
        <v>271</v>
      </c>
      <c r="D273">
        <v>2571.236937403</v>
      </c>
      <c r="E273">
        <v>574.36627004655998</v>
      </c>
      <c r="F273">
        <v>117.66150670795</v>
      </c>
      <c r="G273">
        <v>106.65067079463</v>
      </c>
      <c r="I273" s="9">
        <f t="shared" si="26"/>
        <v>467.71559925192997</v>
      </c>
      <c r="J273" s="9">
        <f t="shared" si="27"/>
        <v>2453.5754306950498</v>
      </c>
      <c r="K273" s="9">
        <f t="shared" si="31"/>
        <v>467.71559925192997</v>
      </c>
      <c r="L273" s="10">
        <f t="shared" si="30"/>
        <v>0.19062613417164653</v>
      </c>
      <c r="M273" s="10">
        <f t="shared" si="28"/>
        <v>0.23574454926538688</v>
      </c>
      <c r="P273" s="8">
        <f t="shared" si="29"/>
        <v>36.048048230668449</v>
      </c>
    </row>
    <row r="274" spans="1:16" x14ac:dyDescent="0.2">
      <c r="A274" s="8">
        <v>136</v>
      </c>
      <c r="B274" s="8">
        <v>272</v>
      </c>
      <c r="D274">
        <v>2601.5012933264002</v>
      </c>
      <c r="E274">
        <v>615.44800827729</v>
      </c>
      <c r="F274">
        <v>117.06191950464</v>
      </c>
      <c r="G274">
        <v>106.48916408669</v>
      </c>
      <c r="I274" s="9">
        <f t="shared" si="26"/>
        <v>508.95884419060002</v>
      </c>
      <c r="J274" s="9">
        <f t="shared" si="27"/>
        <v>2484.43937382176</v>
      </c>
      <c r="K274" s="9">
        <f t="shared" si="31"/>
        <v>508.95884419060002</v>
      </c>
      <c r="L274" s="10">
        <f t="shared" si="30"/>
        <v>0.20485862909493319</v>
      </c>
      <c r="M274" s="10">
        <f t="shared" si="28"/>
        <v>0.25014353280525559</v>
      </c>
      <c r="P274" s="8">
        <f t="shared" si="29"/>
        <v>44.357693621024389</v>
      </c>
    </row>
    <row r="275" spans="1:16" x14ac:dyDescent="0.2">
      <c r="A275" s="8">
        <v>136.5</v>
      </c>
      <c r="B275" s="8">
        <v>273</v>
      </c>
      <c r="D275">
        <v>2584.2410760476</v>
      </c>
      <c r="E275">
        <v>598.78272115881998</v>
      </c>
      <c r="F275">
        <v>117.39215686275</v>
      </c>
      <c r="G275">
        <v>106.63519091847</v>
      </c>
      <c r="I275" s="9">
        <f>E275-G275</f>
        <v>492.14753024034997</v>
      </c>
      <c r="J275" s="9">
        <f>D275-F275</f>
        <v>2466.8489191848498</v>
      </c>
      <c r="K275" s="9">
        <f t="shared" si="31"/>
        <v>492.14753024034997</v>
      </c>
      <c r="L275" s="10">
        <f t="shared" si="30"/>
        <v>0.19950452839364646</v>
      </c>
      <c r="M275" s="10">
        <f>L275+ABS($N$2)*A275</f>
        <v>0.24495592072055095</v>
      </c>
      <c r="O275" s="11"/>
      <c r="P275" s="8">
        <f>(M275-$O$2)/$O$2*100</f>
        <v>41.36392557293523</v>
      </c>
    </row>
    <row r="276" spans="1:16" x14ac:dyDescent="0.2">
      <c r="A276" s="8">
        <v>137</v>
      </c>
      <c r="B276" s="8">
        <v>274</v>
      </c>
      <c r="D276">
        <v>2526.0905328505</v>
      </c>
      <c r="E276">
        <v>571.23900672529999</v>
      </c>
      <c r="F276">
        <v>117.45614035088001</v>
      </c>
      <c r="G276">
        <v>106.44375644995</v>
      </c>
      <c r="I276" s="9">
        <f t="shared" ref="I276:I291" si="32">E276-G276</f>
        <v>464.79525027534999</v>
      </c>
      <c r="J276" s="9">
        <f t="shared" ref="J276:J291" si="33">D276-F276</f>
        <v>2408.6343924996199</v>
      </c>
      <c r="K276" s="9">
        <f t="shared" si="31"/>
        <v>464.79525027534999</v>
      </c>
      <c r="L276" s="10">
        <f t="shared" si="30"/>
        <v>0.19297044488059362</v>
      </c>
      <c r="M276" s="10">
        <f t="shared" ref="M276:M291" si="34">L276+ABS($N$2)*A276</f>
        <v>0.23858832582408016</v>
      </c>
      <c r="P276" s="8">
        <f t="shared" ref="P276:P291" si="35">(M276-$O$2)/$O$2*100</f>
        <v>37.689190100628764</v>
      </c>
    </row>
    <row r="277" spans="1:16" x14ac:dyDescent="0.2">
      <c r="A277" s="8">
        <v>137.5</v>
      </c>
      <c r="B277" s="8">
        <v>275</v>
      </c>
      <c r="D277">
        <v>2516.9260217279002</v>
      </c>
      <c r="E277">
        <v>560.67925504396999</v>
      </c>
      <c r="F277">
        <v>117.62693498452001</v>
      </c>
      <c r="G277">
        <v>106.67956656347</v>
      </c>
      <c r="I277" s="9">
        <f t="shared" si="32"/>
        <v>453.99968848049997</v>
      </c>
      <c r="J277" s="9">
        <f t="shared" si="33"/>
        <v>2399.29908674338</v>
      </c>
      <c r="K277" s="9">
        <f t="shared" si="31"/>
        <v>453.99968848049997</v>
      </c>
      <c r="L277" s="10">
        <f t="shared" si="30"/>
        <v>0.1892217985614805</v>
      </c>
      <c r="M277" s="10">
        <f t="shared" si="34"/>
        <v>0.23500616812154912</v>
      </c>
      <c r="N277" s="1"/>
      <c r="P277" s="8">
        <f t="shared" si="35"/>
        <v>35.621928883338946</v>
      </c>
    </row>
    <row r="278" spans="1:16" x14ac:dyDescent="0.2">
      <c r="A278" s="8">
        <v>138</v>
      </c>
      <c r="B278" s="8">
        <v>276</v>
      </c>
      <c r="D278">
        <v>2556.3709260217001</v>
      </c>
      <c r="E278">
        <v>569.37609932747</v>
      </c>
      <c r="F278">
        <v>117.54076367389</v>
      </c>
      <c r="G278">
        <v>106.5737874097</v>
      </c>
      <c r="I278" s="9">
        <f t="shared" si="32"/>
        <v>462.80231191777</v>
      </c>
      <c r="J278" s="9">
        <f t="shared" si="33"/>
        <v>2438.8301623478101</v>
      </c>
      <c r="K278" s="9">
        <f t="shared" si="31"/>
        <v>462.80231191777</v>
      </c>
      <c r="L278" s="10">
        <f t="shared" si="30"/>
        <v>0.18976405945063432</v>
      </c>
      <c r="M278" s="10">
        <f t="shared" si="34"/>
        <v>0.235714917627285</v>
      </c>
      <c r="P278" s="8">
        <f t="shared" si="35"/>
        <v>36.030947828804649</v>
      </c>
    </row>
    <row r="279" spans="1:16" x14ac:dyDescent="0.2">
      <c r="A279" s="8">
        <v>138.5</v>
      </c>
      <c r="B279" s="8">
        <v>277</v>
      </c>
      <c r="D279">
        <v>2564.8039317123998</v>
      </c>
      <c r="E279">
        <v>580.66011381272995</v>
      </c>
      <c r="F279">
        <v>117.70639834881</v>
      </c>
      <c r="G279">
        <v>106.66873065016</v>
      </c>
      <c r="I279" s="9">
        <f t="shared" si="32"/>
        <v>473.99138316256995</v>
      </c>
      <c r="J279" s="9">
        <f t="shared" si="33"/>
        <v>2447.0975333635897</v>
      </c>
      <c r="K279" s="9">
        <f t="shared" si="31"/>
        <v>473.99138316256995</v>
      </c>
      <c r="L279" s="10">
        <f t="shared" si="30"/>
        <v>0.19369533772160619</v>
      </c>
      <c r="M279" s="10">
        <f t="shared" si="34"/>
        <v>0.23981268451483895</v>
      </c>
      <c r="P279" s="8">
        <f t="shared" si="35"/>
        <v>38.395766819925349</v>
      </c>
    </row>
    <row r="280" spans="1:16" x14ac:dyDescent="0.2">
      <c r="A280" s="8">
        <v>139</v>
      </c>
      <c r="B280" s="8">
        <v>278</v>
      </c>
      <c r="D280">
        <v>2563.3843766167001</v>
      </c>
      <c r="E280">
        <v>579.47697878944996</v>
      </c>
      <c r="F280">
        <v>117.58875128999</v>
      </c>
      <c r="G280">
        <v>106.25851393188999</v>
      </c>
      <c r="I280" s="9">
        <f t="shared" si="32"/>
        <v>473.21846485755998</v>
      </c>
      <c r="J280" s="9">
        <f t="shared" si="33"/>
        <v>2445.7956253267103</v>
      </c>
      <c r="K280" s="9">
        <f t="shared" si="31"/>
        <v>473.21846485755998</v>
      </c>
      <c r="L280" s="10">
        <f t="shared" si="30"/>
        <v>0.19348242345242861</v>
      </c>
      <c r="M280" s="10">
        <f t="shared" si="34"/>
        <v>0.23976625886224343</v>
      </c>
      <c r="P280" s="8">
        <f t="shared" si="35"/>
        <v>38.368974601640183</v>
      </c>
    </row>
    <row r="281" spans="1:16" x14ac:dyDescent="0.2">
      <c r="A281" s="8">
        <v>139.5</v>
      </c>
      <c r="B281" s="8">
        <v>279</v>
      </c>
      <c r="D281">
        <v>2576.1024314536999</v>
      </c>
      <c r="E281">
        <v>581.85411277806998</v>
      </c>
      <c r="F281">
        <v>117.52425180599</v>
      </c>
      <c r="G281">
        <v>106.84158926729</v>
      </c>
      <c r="I281" s="9">
        <f t="shared" si="32"/>
        <v>475.01252351077994</v>
      </c>
      <c r="J281" s="9">
        <f t="shared" si="33"/>
        <v>2458.5781796477099</v>
      </c>
      <c r="K281" s="9">
        <f t="shared" si="31"/>
        <v>475.01252351077994</v>
      </c>
      <c r="L281" s="10">
        <f t="shared" si="30"/>
        <v>0.19320619024563399</v>
      </c>
      <c r="M281" s="10">
        <f t="shared" si="34"/>
        <v>0.23965651427203088</v>
      </c>
      <c r="P281" s="8">
        <f t="shared" si="35"/>
        <v>38.305641059682095</v>
      </c>
    </row>
    <row r="282" spans="1:16" x14ac:dyDescent="0.2">
      <c r="A282" s="8">
        <v>140</v>
      </c>
      <c r="B282" s="8">
        <v>280</v>
      </c>
      <c r="D282">
        <v>2556.9958613553999</v>
      </c>
      <c r="E282">
        <v>580.46921883082996</v>
      </c>
      <c r="F282">
        <v>117.3173374613</v>
      </c>
      <c r="G282">
        <v>106.47832817338001</v>
      </c>
      <c r="I282" s="9">
        <f t="shared" si="32"/>
        <v>473.99089065744994</v>
      </c>
      <c r="J282" s="9">
        <f t="shared" si="33"/>
        <v>2439.6785238940997</v>
      </c>
      <c r="K282" s="9">
        <f t="shared" si="31"/>
        <v>473.99089065744994</v>
      </c>
      <c r="L282" s="10">
        <f t="shared" si="30"/>
        <v>0.19428415916900726</v>
      </c>
      <c r="M282" s="10">
        <f t="shared" si="34"/>
        <v>0.24090097181198622</v>
      </c>
      <c r="P282" s="8">
        <f t="shared" si="35"/>
        <v>39.023816813668532</v>
      </c>
    </row>
    <row r="283" spans="1:16" x14ac:dyDescent="0.2">
      <c r="A283" s="8">
        <v>140.5</v>
      </c>
      <c r="B283" s="8">
        <v>281</v>
      </c>
      <c r="D283">
        <v>2589.7102948784</v>
      </c>
      <c r="E283">
        <v>585.23435075013003</v>
      </c>
      <c r="F283">
        <v>117.71001031992</v>
      </c>
      <c r="G283">
        <v>106.41744066048</v>
      </c>
      <c r="I283" s="9">
        <f t="shared" si="32"/>
        <v>478.81691008965004</v>
      </c>
      <c r="J283" s="9">
        <f t="shared" si="33"/>
        <v>2472.00028455848</v>
      </c>
      <c r="K283" s="9">
        <f t="shared" si="31"/>
        <v>478.81691008965004</v>
      </c>
      <c r="L283" s="10">
        <f t="shared" si="30"/>
        <v>0.1936961387426259</v>
      </c>
      <c r="M283" s="10">
        <f t="shared" si="34"/>
        <v>0.24047944000218691</v>
      </c>
      <c r="P283" s="8">
        <f t="shared" si="35"/>
        <v>38.78055104074167</v>
      </c>
    </row>
    <row r="284" spans="1:16" x14ac:dyDescent="0.2">
      <c r="A284" s="8">
        <v>141</v>
      </c>
      <c r="B284" s="8">
        <v>282</v>
      </c>
      <c r="D284">
        <v>2597.3967925503998</v>
      </c>
      <c r="E284">
        <v>607.60734609414999</v>
      </c>
      <c r="F284">
        <v>117.63054695562001</v>
      </c>
      <c r="G284">
        <v>106.44685242518</v>
      </c>
      <c r="I284" s="9">
        <f t="shared" si="32"/>
        <v>501.16049366896999</v>
      </c>
      <c r="J284" s="9">
        <f t="shared" si="33"/>
        <v>2479.7662455947798</v>
      </c>
      <c r="K284" s="9">
        <f t="shared" si="31"/>
        <v>501.16049366896999</v>
      </c>
      <c r="L284" s="10">
        <f t="shared" si="30"/>
        <v>0.20209989331021203</v>
      </c>
      <c r="M284" s="10">
        <f t="shared" si="34"/>
        <v>0.24904968318635512</v>
      </c>
      <c r="P284" s="8">
        <f t="shared" si="35"/>
        <v>43.726433614491881</v>
      </c>
    </row>
    <row r="285" spans="1:16" x14ac:dyDescent="0.2">
      <c r="A285" s="8">
        <v>141.5</v>
      </c>
      <c r="B285" s="8">
        <v>283</v>
      </c>
      <c r="D285">
        <v>2578.8448008277001</v>
      </c>
      <c r="E285">
        <v>590.42421107087</v>
      </c>
      <c r="F285">
        <v>117.41950464396</v>
      </c>
      <c r="G285">
        <v>106.51444788441999</v>
      </c>
      <c r="I285" s="9">
        <f t="shared" si="32"/>
        <v>483.90976318644999</v>
      </c>
      <c r="J285" s="9">
        <f t="shared" si="33"/>
        <v>2461.4252961837401</v>
      </c>
      <c r="K285" s="9">
        <f t="shared" si="31"/>
        <v>483.90976318644999</v>
      </c>
      <c r="L285" s="10">
        <f t="shared" si="30"/>
        <v>0.19659737954944914</v>
      </c>
      <c r="M285" s="10">
        <f t="shared" si="34"/>
        <v>0.24371365804217429</v>
      </c>
      <c r="P285" s="8">
        <f t="shared" si="35"/>
        <v>40.647016472344788</v>
      </c>
    </row>
    <row r="286" spans="1:16" x14ac:dyDescent="0.2">
      <c r="A286" s="8">
        <v>142</v>
      </c>
      <c r="B286" s="8">
        <v>284</v>
      </c>
      <c r="D286">
        <v>2500.2555613036998</v>
      </c>
      <c r="E286">
        <v>562.11329539576002</v>
      </c>
      <c r="F286">
        <v>117.26212590298999</v>
      </c>
      <c r="G286">
        <v>106.49432404541</v>
      </c>
      <c r="I286" s="9">
        <f t="shared" si="32"/>
        <v>455.61897135035002</v>
      </c>
      <c r="J286" s="9">
        <f t="shared" si="33"/>
        <v>2382.9934354007096</v>
      </c>
      <c r="K286" s="9">
        <f t="shared" si="31"/>
        <v>455.61897135035002</v>
      </c>
      <c r="L286" s="10">
        <f t="shared" si="30"/>
        <v>0.19119606650269094</v>
      </c>
      <c r="M286" s="10">
        <f t="shared" si="34"/>
        <v>0.23847883361199818</v>
      </c>
      <c r="P286" s="8">
        <f t="shared" si="35"/>
        <v>37.626002205949412</v>
      </c>
    </row>
    <row r="287" spans="1:16" x14ac:dyDescent="0.2">
      <c r="A287" s="8">
        <v>142.5</v>
      </c>
      <c r="B287" s="8">
        <v>285</v>
      </c>
      <c r="D287">
        <v>2388.4133471288001</v>
      </c>
      <c r="E287">
        <v>530.73823072944003</v>
      </c>
      <c r="F287">
        <v>117.51960784313999</v>
      </c>
      <c r="G287">
        <v>106.62229102166999</v>
      </c>
      <c r="I287" s="9">
        <f t="shared" si="32"/>
        <v>424.11593970777005</v>
      </c>
      <c r="J287" s="9">
        <f t="shared" si="33"/>
        <v>2270.8937392856601</v>
      </c>
      <c r="K287" s="9">
        <f t="shared" si="31"/>
        <v>424.11593970777005</v>
      </c>
      <c r="L287" s="10">
        <f t="shared" si="30"/>
        <v>0.18676168434071308</v>
      </c>
      <c r="M287" s="10">
        <f t="shared" si="34"/>
        <v>0.23421094006660237</v>
      </c>
      <c r="P287" s="8">
        <f t="shared" si="35"/>
        <v>35.163003215233744</v>
      </c>
    </row>
    <row r="288" spans="1:16" x14ac:dyDescent="0.2">
      <c r="A288" s="8">
        <v>143</v>
      </c>
      <c r="B288" s="8">
        <v>286</v>
      </c>
      <c r="D288">
        <v>2074.6135540609998</v>
      </c>
      <c r="E288">
        <v>467.26539058458002</v>
      </c>
      <c r="F288">
        <v>117.44685242518</v>
      </c>
      <c r="G288">
        <v>106.71310629515</v>
      </c>
      <c r="I288" s="9">
        <f t="shared" si="32"/>
        <v>360.55228428943002</v>
      </c>
      <c r="J288" s="9">
        <f t="shared" si="33"/>
        <v>1957.1667016358199</v>
      </c>
      <c r="K288" s="9">
        <f t="shared" si="31"/>
        <v>360.55228428943002</v>
      </c>
      <c r="L288" s="10">
        <f t="shared" si="30"/>
        <v>0.18422155046275657</v>
      </c>
      <c r="M288" s="10">
        <f t="shared" si="34"/>
        <v>0.23183729480522791</v>
      </c>
      <c r="P288" s="8">
        <f t="shared" si="35"/>
        <v>33.793173855410728</v>
      </c>
    </row>
    <row r="289" spans="1:16" x14ac:dyDescent="0.2">
      <c r="A289" s="8">
        <v>143.5</v>
      </c>
      <c r="B289" s="8">
        <v>287</v>
      </c>
      <c r="D289">
        <v>2523.4252457319999</v>
      </c>
      <c r="E289">
        <v>555.02690118986004</v>
      </c>
      <c r="F289">
        <v>117.41795665635</v>
      </c>
      <c r="G289">
        <v>106.46852425181</v>
      </c>
      <c r="I289" s="9">
        <f t="shared" si="32"/>
        <v>448.55837693805006</v>
      </c>
      <c r="J289" s="9">
        <f t="shared" si="33"/>
        <v>2406.0072890756501</v>
      </c>
      <c r="K289" s="9">
        <f t="shared" si="31"/>
        <v>448.55837693805006</v>
      </c>
      <c r="L289" s="10">
        <f t="shared" si="30"/>
        <v>0.1864326758171955</v>
      </c>
      <c r="M289" s="10">
        <f t="shared" si="34"/>
        <v>0.23421490877624893</v>
      </c>
      <c r="P289" s="8">
        <f t="shared" si="35"/>
        <v>35.165293555362886</v>
      </c>
    </row>
    <row r="290" spans="1:16" x14ac:dyDescent="0.2">
      <c r="A290" s="8">
        <v>144</v>
      </c>
      <c r="B290" s="8">
        <v>288</v>
      </c>
      <c r="D290">
        <v>2533.2095188826002</v>
      </c>
      <c r="E290">
        <v>569.14640455251003</v>
      </c>
      <c r="F290">
        <v>117.435500516</v>
      </c>
      <c r="G290">
        <v>106.78844169247</v>
      </c>
      <c r="I290" s="9">
        <f t="shared" si="32"/>
        <v>462.35796286004006</v>
      </c>
      <c r="J290" s="9">
        <f t="shared" si="33"/>
        <v>2415.7740183666001</v>
      </c>
      <c r="K290" s="9">
        <f t="shared" si="31"/>
        <v>462.35796286004006</v>
      </c>
      <c r="L290" s="10">
        <f t="shared" si="30"/>
        <v>0.19139123086217247</v>
      </c>
      <c r="M290" s="10">
        <f t="shared" si="34"/>
        <v>0.23933995243780798</v>
      </c>
      <c r="P290" s="8">
        <f t="shared" si="35"/>
        <v>38.122953401263047</v>
      </c>
    </row>
    <row r="291" spans="1:16" x14ac:dyDescent="0.2">
      <c r="A291" s="8">
        <v>144.5</v>
      </c>
      <c r="B291" s="8">
        <v>289</v>
      </c>
      <c r="D291">
        <v>2298.6564924987001</v>
      </c>
      <c r="E291">
        <v>515.03103983444998</v>
      </c>
      <c r="F291">
        <v>117.49329205366</v>
      </c>
      <c r="G291">
        <v>106.63519091847</v>
      </c>
      <c r="I291" s="9">
        <f t="shared" si="32"/>
        <v>408.39584891597997</v>
      </c>
      <c r="J291" s="9">
        <f t="shared" si="33"/>
        <v>2181.1632004450403</v>
      </c>
      <c r="K291" s="9">
        <f t="shared" si="31"/>
        <v>408.39584891597997</v>
      </c>
      <c r="L291" s="10">
        <f t="shared" si="30"/>
        <v>0.18723763945432953</v>
      </c>
      <c r="M291" s="10">
        <f t="shared" si="34"/>
        <v>0.2353528496465471</v>
      </c>
      <c r="P291" s="8">
        <f t="shared" si="35"/>
        <v>35.821998598547971</v>
      </c>
    </row>
    <row r="292" spans="1:16" x14ac:dyDescent="0.2">
      <c r="A292" s="8">
        <v>145</v>
      </c>
      <c r="B292" s="8">
        <v>290</v>
      </c>
      <c r="D292">
        <v>2538.9477496119998</v>
      </c>
      <c r="E292">
        <v>572.81841696844003</v>
      </c>
      <c r="F292">
        <v>117.26831785346</v>
      </c>
      <c r="G292">
        <v>106.49380804953999</v>
      </c>
      <c r="I292" s="9">
        <f>E292-G292</f>
        <v>466.32460891890003</v>
      </c>
      <c r="J292" s="9">
        <f>D292-F292</f>
        <v>2421.67943175854</v>
      </c>
      <c r="K292" s="9">
        <f t="shared" si="31"/>
        <v>466.32460891890003</v>
      </c>
      <c r="L292" s="10">
        <f t="shared" si="30"/>
        <v>0.19256248486211539</v>
      </c>
      <c r="M292" s="10">
        <f>L292+ABS($N$2)*A292</f>
        <v>0.24084418367091501</v>
      </c>
      <c r="O292" s="11"/>
      <c r="P292" s="8">
        <f>(M292-$O$2)/$O$2*100</f>
        <v>38.991044409048953</v>
      </c>
    </row>
    <row r="293" spans="1:16" x14ac:dyDescent="0.2">
      <c r="A293" s="8">
        <v>145.5</v>
      </c>
      <c r="B293" s="8">
        <v>291</v>
      </c>
      <c r="D293">
        <v>2566.5478530781002</v>
      </c>
      <c r="E293">
        <v>582.86290739782999</v>
      </c>
      <c r="F293">
        <v>117.71310629515</v>
      </c>
      <c r="G293">
        <v>106.61506707946</v>
      </c>
      <c r="I293" s="9">
        <f t="shared" ref="I293:I301" si="36">E293-G293</f>
        <v>476.24784031836998</v>
      </c>
      <c r="J293" s="9">
        <f t="shared" ref="J293:J301" si="37">D293-F293</f>
        <v>2448.8347467829503</v>
      </c>
      <c r="K293" s="9">
        <f t="shared" si="31"/>
        <v>476.24784031836998</v>
      </c>
      <c r="L293" s="10">
        <f t="shared" si="30"/>
        <v>0.19447937062475112</v>
      </c>
      <c r="M293" s="10">
        <f t="shared" ref="M293:M301" si="38">L293+ABS($N$2)*A293</f>
        <v>0.24292755805013283</v>
      </c>
      <c r="P293" s="8">
        <f t="shared" ref="P293:P301" si="39">(M293-$O$2)/$O$2*100</f>
        <v>40.193358604264077</v>
      </c>
    </row>
    <row r="294" spans="1:16" x14ac:dyDescent="0.2">
      <c r="A294" s="8">
        <v>146</v>
      </c>
      <c r="B294" s="8">
        <v>292</v>
      </c>
      <c r="D294">
        <v>2564.6590791516001</v>
      </c>
      <c r="E294">
        <v>571.76720124158999</v>
      </c>
      <c r="F294">
        <v>117.49484004128</v>
      </c>
      <c r="G294">
        <v>106.39009287926</v>
      </c>
      <c r="I294" s="9">
        <f t="shared" si="36"/>
        <v>465.37710836232998</v>
      </c>
      <c r="J294" s="9">
        <f t="shared" si="37"/>
        <v>2447.1642391103201</v>
      </c>
      <c r="K294" s="9">
        <f t="shared" si="31"/>
        <v>465.37710836232998</v>
      </c>
      <c r="L294" s="10">
        <f t="shared" si="30"/>
        <v>0.19016995301121284</v>
      </c>
      <c r="M294" s="10">
        <f t="shared" si="38"/>
        <v>0.2387846290531766</v>
      </c>
      <c r="N294" s="1"/>
      <c r="P294" s="8">
        <f t="shared" si="39"/>
        <v>37.802476584932094</v>
      </c>
    </row>
    <row r="295" spans="1:16" x14ac:dyDescent="0.2">
      <c r="A295" s="8">
        <v>146.5</v>
      </c>
      <c r="B295" s="8">
        <v>293</v>
      </c>
      <c r="D295">
        <v>2502.1515778582998</v>
      </c>
      <c r="E295">
        <v>559.67563372995005</v>
      </c>
      <c r="F295">
        <v>117.83539731682001</v>
      </c>
      <c r="G295">
        <v>106.41382868937001</v>
      </c>
      <c r="I295" s="9">
        <f t="shared" si="36"/>
        <v>453.26180504058004</v>
      </c>
      <c r="J295" s="9">
        <f t="shared" si="37"/>
        <v>2384.3161805414798</v>
      </c>
      <c r="K295" s="9">
        <f t="shared" si="31"/>
        <v>453.26180504058004</v>
      </c>
      <c r="L295" s="10">
        <f t="shared" si="30"/>
        <v>0.19010138367539997</v>
      </c>
      <c r="M295" s="10">
        <f t="shared" si="38"/>
        <v>0.23888254833394579</v>
      </c>
      <c r="P295" s="8">
        <f t="shared" si="39"/>
        <v>37.858985747389127</v>
      </c>
    </row>
    <row r="296" spans="1:16" x14ac:dyDescent="0.2">
      <c r="A296" s="8">
        <v>147</v>
      </c>
      <c r="B296" s="8">
        <v>294</v>
      </c>
      <c r="D296">
        <v>2540.9286821705</v>
      </c>
      <c r="E296">
        <v>589.67131782946001</v>
      </c>
      <c r="F296">
        <v>117.28947368420999</v>
      </c>
      <c r="G296">
        <v>106.28792569658999</v>
      </c>
      <c r="I296" s="9">
        <f t="shared" si="36"/>
        <v>483.38339213287003</v>
      </c>
      <c r="J296" s="9">
        <f t="shared" si="37"/>
        <v>2423.63920848629</v>
      </c>
      <c r="K296" s="9">
        <f t="shared" si="31"/>
        <v>483.38339213287003</v>
      </c>
      <c r="L296" s="10">
        <f t="shared" si="30"/>
        <v>0.19944527652478949</v>
      </c>
      <c r="M296" s="10">
        <f t="shared" si="38"/>
        <v>0.24839292979991739</v>
      </c>
      <c r="P296" s="8">
        <f t="shared" si="39"/>
        <v>43.34742160054644</v>
      </c>
    </row>
    <row r="297" spans="1:16" x14ac:dyDescent="0.2">
      <c r="A297" s="8">
        <v>147.5</v>
      </c>
      <c r="B297" s="8">
        <v>295</v>
      </c>
      <c r="D297">
        <v>2485.1571059431999</v>
      </c>
      <c r="E297">
        <v>568.42532299742004</v>
      </c>
      <c r="F297">
        <v>117.47987616099</v>
      </c>
      <c r="G297">
        <v>106.37564499484</v>
      </c>
      <c r="I297" s="9">
        <f t="shared" si="36"/>
        <v>462.04967800258004</v>
      </c>
      <c r="J297" s="9">
        <f t="shared" si="37"/>
        <v>2367.6772297822099</v>
      </c>
      <c r="K297" s="9">
        <f t="shared" si="31"/>
        <v>462.04967800258004</v>
      </c>
      <c r="L297" s="10">
        <f t="shared" si="30"/>
        <v>0.19514893001065078</v>
      </c>
      <c r="M297" s="10">
        <f t="shared" si="38"/>
        <v>0.24426307190236074</v>
      </c>
      <c r="P297" s="8">
        <f t="shared" si="39"/>
        <v>40.964082905406194</v>
      </c>
    </row>
    <row r="298" spans="1:16" x14ac:dyDescent="0.2">
      <c r="A298" s="8">
        <v>148</v>
      </c>
      <c r="B298" s="8">
        <v>296</v>
      </c>
      <c r="D298">
        <v>2477.1942148759999</v>
      </c>
      <c r="E298">
        <v>571.11466942149002</v>
      </c>
      <c r="F298">
        <v>117.32352941177</v>
      </c>
      <c r="G298">
        <v>106.39009287926</v>
      </c>
      <c r="I298" s="9">
        <f t="shared" si="36"/>
        <v>464.72457654223001</v>
      </c>
      <c r="J298" s="9">
        <f t="shared" si="37"/>
        <v>2359.8706854642301</v>
      </c>
      <c r="K298" s="9">
        <f t="shared" si="31"/>
        <v>464.72457654223001</v>
      </c>
      <c r="L298" s="10">
        <f t="shared" si="30"/>
        <v>0.19692798398010955</v>
      </c>
      <c r="M298" s="10">
        <f t="shared" si="38"/>
        <v>0.24620861448840159</v>
      </c>
      <c r="P298" s="8">
        <f t="shared" si="39"/>
        <v>42.086854449458031</v>
      </c>
    </row>
    <row r="299" spans="1:16" x14ac:dyDescent="0.2">
      <c r="A299" s="8">
        <v>148.5</v>
      </c>
      <c r="B299" s="8">
        <v>297</v>
      </c>
      <c r="D299">
        <v>2532.0388601036002</v>
      </c>
      <c r="E299">
        <v>603.75803108807997</v>
      </c>
      <c r="F299">
        <v>117.32868937049</v>
      </c>
      <c r="G299">
        <v>106.24251805986</v>
      </c>
      <c r="I299" s="9">
        <f t="shared" si="36"/>
        <v>497.51551302821997</v>
      </c>
      <c r="J299" s="9">
        <f t="shared" si="37"/>
        <v>2414.7101707331103</v>
      </c>
      <c r="K299" s="9">
        <f t="shared" si="31"/>
        <v>497.51551302821997</v>
      </c>
      <c r="L299" s="10">
        <f t="shared" si="30"/>
        <v>0.20603529113275462</v>
      </c>
      <c r="M299" s="10">
        <f t="shared" si="38"/>
        <v>0.25548241025762874</v>
      </c>
      <c r="P299" s="8">
        <f t="shared" si="39"/>
        <v>47.438756828642461</v>
      </c>
    </row>
    <row r="300" spans="1:16" x14ac:dyDescent="0.2">
      <c r="A300" s="8">
        <v>149</v>
      </c>
      <c r="B300" s="8">
        <v>298</v>
      </c>
      <c r="D300">
        <v>2494.3813209494001</v>
      </c>
      <c r="E300">
        <v>596.96181630547005</v>
      </c>
      <c r="F300">
        <v>117.41847265222</v>
      </c>
      <c r="G300">
        <v>106.46181630546999</v>
      </c>
      <c r="I300" s="9">
        <f t="shared" si="36"/>
        <v>490.50000000000006</v>
      </c>
      <c r="J300" s="9">
        <f t="shared" si="37"/>
        <v>2376.9628482971802</v>
      </c>
      <c r="K300" s="9">
        <f t="shared" si="31"/>
        <v>490.50000000000006</v>
      </c>
      <c r="L300" s="10">
        <f t="shared" si="30"/>
        <v>0.20635577049569231</v>
      </c>
      <c r="M300" s="10">
        <f t="shared" si="38"/>
        <v>0.25596937823714849</v>
      </c>
      <c r="P300" s="8">
        <f t="shared" si="39"/>
        <v>47.719785778711262</v>
      </c>
    </row>
    <row r="301" spans="1:16" x14ac:dyDescent="0.2">
      <c r="A301" s="8">
        <v>149.5</v>
      </c>
      <c r="B301" s="8">
        <v>299</v>
      </c>
      <c r="D301">
        <v>2517.8426212590002</v>
      </c>
      <c r="E301">
        <v>611.73477812177998</v>
      </c>
      <c r="F301">
        <v>117.39680082559001</v>
      </c>
      <c r="G301">
        <v>106.34004127967</v>
      </c>
      <c r="I301" s="9">
        <f t="shared" si="36"/>
        <v>505.39473684210998</v>
      </c>
      <c r="J301" s="9">
        <f t="shared" si="37"/>
        <v>2400.4458204334101</v>
      </c>
      <c r="K301" s="9">
        <f t="shared" si="31"/>
        <v>505.39473684210998</v>
      </c>
      <c r="L301" s="10">
        <f t="shared" si="30"/>
        <v>0.21054203037619859</v>
      </c>
      <c r="M301" s="10">
        <f t="shared" si="38"/>
        <v>0.26032212673423683</v>
      </c>
      <c r="P301" s="8">
        <f t="shared" si="39"/>
        <v>50.231754514841832</v>
      </c>
    </row>
    <row r="302" spans="1:16" x14ac:dyDescent="0.2">
      <c r="A302" s="8">
        <v>150</v>
      </c>
      <c r="B302" s="8">
        <v>300</v>
      </c>
      <c r="D302">
        <v>2493.1914784393998</v>
      </c>
      <c r="E302">
        <v>609.94250513347004</v>
      </c>
      <c r="F302">
        <v>117.20020639835001</v>
      </c>
      <c r="G302">
        <v>106.28328173375</v>
      </c>
      <c r="I302" s="9">
        <f>E302-G302</f>
        <v>503.65922339972002</v>
      </c>
      <c r="J302" s="9">
        <f>D302-F302</f>
        <v>2375.9912720410498</v>
      </c>
      <c r="K302" s="9">
        <f t="shared" si="31"/>
        <v>503.65922339972002</v>
      </c>
      <c r="L302" s="10">
        <f t="shared" si="30"/>
        <v>0.21197856630469067</v>
      </c>
      <c r="M302" s="10">
        <f>L302+ABS($N$2)*A302</f>
        <v>0.26192515127931099</v>
      </c>
      <c r="O302" s="11"/>
      <c r="P302" s="8">
        <f>(M302-$O$2)/$O$2*100</f>
        <v>51.156859088002861</v>
      </c>
    </row>
    <row r="303" spans="1:16" x14ac:dyDescent="0.2">
      <c r="A303" s="8">
        <v>150.5</v>
      </c>
      <c r="B303" s="8">
        <v>301</v>
      </c>
      <c r="D303">
        <v>2443.3803901437</v>
      </c>
      <c r="E303">
        <v>599.47381930184997</v>
      </c>
      <c r="F303">
        <v>117.40815273478</v>
      </c>
      <c r="G303">
        <v>106.55263157895</v>
      </c>
      <c r="I303" s="9">
        <f t="shared" ref="I303:I309" si="40">E303-G303</f>
        <v>492.92118772289996</v>
      </c>
      <c r="J303" s="9">
        <f t="shared" ref="J303:J309" si="41">D303-F303</f>
        <v>2325.9722374089201</v>
      </c>
      <c r="K303" s="9">
        <f t="shared" si="31"/>
        <v>492.92118772289996</v>
      </c>
      <c r="L303" s="10">
        <f t="shared" si="30"/>
        <v>0.21192049492043932</v>
      </c>
      <c r="M303" s="10">
        <f t="shared" ref="M303:M309" si="42">L303+ABS($N$2)*A303</f>
        <v>0.26203356851164172</v>
      </c>
      <c r="P303" s="8">
        <f t="shared" ref="P303:P309" si="43">(M303-$O$2)/$O$2*100</f>
        <v>51.219426612465803</v>
      </c>
    </row>
    <row r="304" spans="1:16" x14ac:dyDescent="0.2">
      <c r="A304" s="8">
        <v>151</v>
      </c>
      <c r="B304" s="8">
        <v>302</v>
      </c>
      <c r="D304">
        <v>2569.7281653747</v>
      </c>
      <c r="E304">
        <v>624.48940568475996</v>
      </c>
      <c r="F304">
        <v>117.25386996904</v>
      </c>
      <c r="G304">
        <v>106.32043343653</v>
      </c>
      <c r="I304" s="9">
        <f t="shared" si="40"/>
        <v>518.16897224822992</v>
      </c>
      <c r="J304" s="9">
        <f t="shared" si="41"/>
        <v>2452.4742954056601</v>
      </c>
      <c r="K304" s="9">
        <f t="shared" si="31"/>
        <v>518.16897224822992</v>
      </c>
      <c r="L304" s="10">
        <f t="shared" si="30"/>
        <v>0.21128416033511183</v>
      </c>
      <c r="M304" s="10">
        <f t="shared" si="42"/>
        <v>0.26156372254289628</v>
      </c>
      <c r="N304" s="1"/>
      <c r="P304" s="8">
        <f t="shared" si="43"/>
        <v>50.948278765289466</v>
      </c>
    </row>
    <row r="305" spans="1:16" x14ac:dyDescent="0.2">
      <c r="A305" s="8">
        <v>151.5</v>
      </c>
      <c r="B305" s="8">
        <v>303</v>
      </c>
      <c r="D305">
        <v>2526.4816537468</v>
      </c>
      <c r="E305">
        <v>600.21395348836995</v>
      </c>
      <c r="F305">
        <v>117.3137254902</v>
      </c>
      <c r="G305">
        <v>106.70072239421999</v>
      </c>
      <c r="I305" s="9">
        <f t="shared" si="40"/>
        <v>493.51323109414994</v>
      </c>
      <c r="J305" s="9">
        <f t="shared" si="41"/>
        <v>2409.1679282566001</v>
      </c>
      <c r="K305" s="9">
        <f t="shared" si="31"/>
        <v>493.51323109414994</v>
      </c>
      <c r="L305" s="10">
        <f t="shared" si="30"/>
        <v>0.2048479997205018</v>
      </c>
      <c r="M305" s="10">
        <f t="shared" si="42"/>
        <v>0.25529405054486831</v>
      </c>
      <c r="P305" s="8">
        <f t="shared" si="43"/>
        <v>47.330054543197477</v>
      </c>
    </row>
    <row r="306" spans="1:16" x14ac:dyDescent="0.2">
      <c r="A306" s="8">
        <v>152</v>
      </c>
      <c r="B306" s="8">
        <v>304</v>
      </c>
      <c r="D306">
        <v>2538.0842377261001</v>
      </c>
      <c r="E306">
        <v>606.45219638242997</v>
      </c>
      <c r="F306">
        <v>117.45407636739</v>
      </c>
      <c r="G306">
        <v>106.35810113519</v>
      </c>
      <c r="I306" s="9">
        <f t="shared" si="40"/>
        <v>500.09409524723998</v>
      </c>
      <c r="J306" s="9">
        <f t="shared" si="41"/>
        <v>2420.6301613587102</v>
      </c>
      <c r="K306" s="9">
        <f t="shared" si="31"/>
        <v>500.09409524723998</v>
      </c>
      <c r="L306" s="10">
        <f t="shared" si="30"/>
        <v>0.20659665537941369</v>
      </c>
      <c r="M306" s="10">
        <f t="shared" si="42"/>
        <v>0.25720919482036225</v>
      </c>
      <c r="P306" s="8">
        <f t="shared" si="43"/>
        <v>48.43528323914402</v>
      </c>
    </row>
    <row r="307" spans="1:16" x14ac:dyDescent="0.2">
      <c r="A307" s="8">
        <v>152.5</v>
      </c>
      <c r="B307" s="8">
        <v>305</v>
      </c>
      <c r="D307">
        <v>2507.7648578810999</v>
      </c>
      <c r="E307">
        <v>602.75038759690005</v>
      </c>
      <c r="F307">
        <v>117.24561403509</v>
      </c>
      <c r="G307">
        <v>106.5221878225</v>
      </c>
      <c r="I307" s="9">
        <f t="shared" si="40"/>
        <v>496.22819977440008</v>
      </c>
      <c r="J307" s="9">
        <f t="shared" si="41"/>
        <v>2390.5192438460099</v>
      </c>
      <c r="K307" s="9">
        <f t="shared" si="31"/>
        <v>496.22819977440008</v>
      </c>
      <c r="L307" s="10">
        <f t="shared" si="30"/>
        <v>0.20758176327250083</v>
      </c>
      <c r="M307" s="10">
        <f t="shared" si="42"/>
        <v>0.25836079133003148</v>
      </c>
      <c r="P307" s="8">
        <f t="shared" si="43"/>
        <v>49.099868944213178</v>
      </c>
    </row>
    <row r="308" spans="1:16" x14ac:dyDescent="0.2">
      <c r="A308" s="8">
        <v>153</v>
      </c>
      <c r="B308" s="8">
        <v>306</v>
      </c>
      <c r="D308">
        <v>2506.3249486652999</v>
      </c>
      <c r="E308">
        <v>606.48151950719</v>
      </c>
      <c r="F308">
        <v>117.26264189887</v>
      </c>
      <c r="G308">
        <v>106.51238390093</v>
      </c>
      <c r="I308" s="9">
        <f t="shared" si="40"/>
        <v>499.96913560626001</v>
      </c>
      <c r="J308" s="9">
        <f t="shared" si="41"/>
        <v>2389.0623067664301</v>
      </c>
      <c r="K308" s="9">
        <f t="shared" si="31"/>
        <v>499.96913560626001</v>
      </c>
      <c r="L308" s="10">
        <f t="shared" si="30"/>
        <v>0.20927421364868579</v>
      </c>
      <c r="M308" s="10">
        <f t="shared" si="42"/>
        <v>0.26021973032279849</v>
      </c>
      <c r="P308" s="8">
        <f t="shared" si="43"/>
        <v>50.172661602766354</v>
      </c>
    </row>
    <row r="309" spans="1:16" x14ac:dyDescent="0.2">
      <c r="A309" s="8">
        <v>153.5</v>
      </c>
      <c r="B309" s="8">
        <v>307</v>
      </c>
      <c r="D309">
        <v>2446.3989637305999</v>
      </c>
      <c r="E309">
        <v>573.06373056995005</v>
      </c>
      <c r="F309">
        <v>117.33694530443999</v>
      </c>
      <c r="G309">
        <v>106.48142414861</v>
      </c>
      <c r="I309" s="9">
        <f t="shared" si="40"/>
        <v>466.58230642134004</v>
      </c>
      <c r="J309" s="9">
        <f t="shared" si="41"/>
        <v>2329.0620184261597</v>
      </c>
      <c r="K309" s="9">
        <f t="shared" si="31"/>
        <v>466.58230642134004</v>
      </c>
      <c r="L309" s="10">
        <f t="shared" si="30"/>
        <v>0.20033056343283995</v>
      </c>
      <c r="M309" s="10">
        <f t="shared" si="42"/>
        <v>0.25144256872353471</v>
      </c>
      <c r="P309" s="8">
        <f t="shared" si="43"/>
        <v>45.107366526778208</v>
      </c>
    </row>
    <row r="310" spans="1:16" x14ac:dyDescent="0.2">
      <c r="A310" s="8">
        <v>154</v>
      </c>
      <c r="B310" s="8">
        <v>308</v>
      </c>
      <c r="D310">
        <v>2374.0170984455999</v>
      </c>
      <c r="E310">
        <v>543.26321243523</v>
      </c>
      <c r="F310">
        <v>117.40970072239</v>
      </c>
      <c r="G310">
        <v>106.44014447884</v>
      </c>
      <c r="I310" s="9">
        <f>E310-G310</f>
        <v>436.82306795638999</v>
      </c>
      <c r="J310" s="9">
        <f>D310-F310</f>
        <v>2256.6073977232099</v>
      </c>
      <c r="K310" s="9">
        <f t="shared" si="31"/>
        <v>436.82306795638999</v>
      </c>
      <c r="L310" s="10">
        <f t="shared" si="30"/>
        <v>0.19357512892899312</v>
      </c>
      <c r="M310" s="10">
        <f>L310+ABS($N$2)*A310</f>
        <v>0.24485362283626996</v>
      </c>
      <c r="O310" s="11"/>
      <c r="P310" s="8">
        <f>(M310-$O$2)/$O$2*100</f>
        <v>41.304889520827452</v>
      </c>
    </row>
    <row r="311" spans="1:16" x14ac:dyDescent="0.2">
      <c r="A311" s="8">
        <v>154.5</v>
      </c>
      <c r="B311" s="8">
        <v>309</v>
      </c>
      <c r="D311">
        <v>2411.9404145078001</v>
      </c>
      <c r="E311">
        <v>564.31036269430001</v>
      </c>
      <c r="F311">
        <v>117.4298245614</v>
      </c>
      <c r="G311">
        <v>106.45820433437</v>
      </c>
      <c r="I311" s="9">
        <f t="shared" ref="I311:I319" si="44">E311-G311</f>
        <v>457.85215835993</v>
      </c>
      <c r="J311" s="9">
        <f t="shared" ref="J311:J319" si="45">D311-F311</f>
        <v>2294.5105899464002</v>
      </c>
      <c r="K311" s="9">
        <f t="shared" si="31"/>
        <v>457.85215835993</v>
      </c>
      <c r="L311" s="10">
        <f t="shared" si="30"/>
        <v>0.19954240366815018</v>
      </c>
      <c r="M311" s="10">
        <f t="shared" ref="M311:M319" si="46">L311+ABS($N$2)*A311</f>
        <v>0.25098738619200911</v>
      </c>
      <c r="P311" s="8">
        <f t="shared" ref="P311:P319" si="47">(M311-$O$2)/$O$2*100</f>
        <v>44.844680941063821</v>
      </c>
    </row>
    <row r="312" spans="1:16" x14ac:dyDescent="0.2">
      <c r="A312" s="8">
        <v>155</v>
      </c>
      <c r="B312" s="8">
        <v>310</v>
      </c>
      <c r="D312">
        <v>2240.4725388601</v>
      </c>
      <c r="E312">
        <v>511.64611398964001</v>
      </c>
      <c r="F312">
        <v>117.52631578947</v>
      </c>
      <c r="G312">
        <v>106.39886480908</v>
      </c>
      <c r="I312" s="9">
        <f t="shared" si="44"/>
        <v>405.24724918056</v>
      </c>
      <c r="J312" s="9">
        <f t="shared" si="45"/>
        <v>2122.9462230706299</v>
      </c>
      <c r="K312" s="9">
        <f t="shared" si="31"/>
        <v>405.24724918056</v>
      </c>
      <c r="L312" s="10">
        <f t="shared" si="30"/>
        <v>0.19088907894916446</v>
      </c>
      <c r="M312" s="10">
        <f t="shared" si="46"/>
        <v>0.24250055008960544</v>
      </c>
      <c r="N312" s="1"/>
      <c r="P312" s="8">
        <f t="shared" si="47"/>
        <v>39.946932547798561</v>
      </c>
    </row>
    <row r="313" spans="1:16" x14ac:dyDescent="0.2">
      <c r="A313" s="8">
        <v>155.5</v>
      </c>
      <c r="B313" s="8">
        <v>311</v>
      </c>
      <c r="D313">
        <v>2397.5398963731</v>
      </c>
      <c r="E313">
        <v>541.25803108807997</v>
      </c>
      <c r="F313">
        <v>117.51599587203</v>
      </c>
      <c r="G313">
        <v>106.2693498452</v>
      </c>
      <c r="I313" s="9">
        <f t="shared" si="44"/>
        <v>434.98868124287998</v>
      </c>
      <c r="J313" s="9">
        <f t="shared" si="45"/>
        <v>2280.0239005010699</v>
      </c>
      <c r="K313" s="9">
        <f t="shared" si="31"/>
        <v>434.98868124287998</v>
      </c>
      <c r="L313" s="10">
        <f t="shared" si="30"/>
        <v>0.19078250940583763</v>
      </c>
      <c r="M313" s="10">
        <f t="shared" si="46"/>
        <v>0.24256046916286067</v>
      </c>
      <c r="P313" s="8">
        <f t="shared" si="47"/>
        <v>39.981511811639727</v>
      </c>
    </row>
    <row r="314" spans="1:16" x14ac:dyDescent="0.2">
      <c r="A314" s="8">
        <v>156</v>
      </c>
      <c r="B314" s="8">
        <v>312</v>
      </c>
      <c r="D314">
        <v>2425.9124352332001</v>
      </c>
      <c r="E314">
        <v>563.91813471502996</v>
      </c>
      <c r="F314">
        <v>117.38596491228</v>
      </c>
      <c r="G314">
        <v>106.29721362229</v>
      </c>
      <c r="I314" s="9">
        <f t="shared" si="44"/>
        <v>457.62092109273999</v>
      </c>
      <c r="J314" s="9">
        <f t="shared" si="45"/>
        <v>2308.52647032092</v>
      </c>
      <c r="K314" s="9">
        <f t="shared" si="31"/>
        <v>457.62092109273999</v>
      </c>
      <c r="L314" s="10">
        <f t="shared" si="30"/>
        <v>0.19823074457930032</v>
      </c>
      <c r="M314" s="10">
        <f t="shared" si="46"/>
        <v>0.25017519295290547</v>
      </c>
      <c r="P314" s="8">
        <f t="shared" si="47"/>
        <v>44.375964674619823</v>
      </c>
    </row>
    <row r="315" spans="1:16" x14ac:dyDescent="0.2">
      <c r="A315" s="8">
        <v>156.5</v>
      </c>
      <c r="B315" s="8">
        <v>313</v>
      </c>
      <c r="D315">
        <v>2420.1544041451002</v>
      </c>
      <c r="E315">
        <v>546.53834196891</v>
      </c>
      <c r="F315">
        <v>117.65892672859</v>
      </c>
      <c r="G315">
        <v>106.34881320949</v>
      </c>
      <c r="I315" s="9">
        <f t="shared" si="44"/>
        <v>440.18952875942</v>
      </c>
      <c r="J315" s="9">
        <f t="shared" si="45"/>
        <v>2302.4954774165103</v>
      </c>
      <c r="K315" s="9">
        <f t="shared" si="31"/>
        <v>440.18952875942</v>
      </c>
      <c r="L315" s="10">
        <f t="shared" si="30"/>
        <v>0.19117932394522216</v>
      </c>
      <c r="M315" s="10">
        <f t="shared" si="46"/>
        <v>0.24329026093540934</v>
      </c>
      <c r="P315" s="8">
        <f t="shared" si="47"/>
        <v>40.402674237576775</v>
      </c>
    </row>
    <row r="316" spans="1:16" x14ac:dyDescent="0.2">
      <c r="A316" s="8">
        <v>157</v>
      </c>
      <c r="B316" s="8">
        <v>314</v>
      </c>
      <c r="D316">
        <v>2436.4025906736001</v>
      </c>
      <c r="E316">
        <v>540.25025906736005</v>
      </c>
      <c r="F316">
        <v>117.14705882353</v>
      </c>
      <c r="G316">
        <v>106.39318885449001</v>
      </c>
      <c r="I316" s="9">
        <f t="shared" si="44"/>
        <v>433.85707021287004</v>
      </c>
      <c r="J316" s="9">
        <f t="shared" si="45"/>
        <v>2319.2555318500699</v>
      </c>
      <c r="K316" s="9">
        <f t="shared" si="31"/>
        <v>433.85707021287004</v>
      </c>
      <c r="L316" s="10">
        <f t="shared" si="30"/>
        <v>0.18706738617403762</v>
      </c>
      <c r="M316" s="10">
        <f t="shared" si="46"/>
        <v>0.23934481178080688</v>
      </c>
      <c r="P316" s="8">
        <f t="shared" si="47"/>
        <v>38.125757725404348</v>
      </c>
    </row>
    <row r="317" spans="1:16" x14ac:dyDescent="0.2">
      <c r="A317" s="8">
        <v>157.5</v>
      </c>
      <c r="B317" s="8">
        <v>315</v>
      </c>
      <c r="D317">
        <v>2375.7316062176001</v>
      </c>
      <c r="E317">
        <v>536.06062176165995</v>
      </c>
      <c r="F317">
        <v>117.34210526315999</v>
      </c>
      <c r="G317">
        <v>106.37719298246</v>
      </c>
      <c r="I317" s="9">
        <f t="shared" si="44"/>
        <v>429.68342877919997</v>
      </c>
      <c r="J317" s="9">
        <f t="shared" si="45"/>
        <v>2258.3895009544399</v>
      </c>
      <c r="K317" s="9">
        <f t="shared" si="31"/>
        <v>429.68342877919997</v>
      </c>
      <c r="L317" s="10">
        <f t="shared" si="30"/>
        <v>0.19026099288789966</v>
      </c>
      <c r="M317" s="10">
        <f t="shared" si="46"/>
        <v>0.24270490711125098</v>
      </c>
      <c r="P317" s="8">
        <f t="shared" si="47"/>
        <v>40.064866871301454</v>
      </c>
    </row>
    <row r="318" spans="1:16" x14ac:dyDescent="0.2">
      <c r="A318" s="8">
        <v>158</v>
      </c>
      <c r="B318" s="8">
        <v>316</v>
      </c>
      <c r="D318">
        <v>2402.5269430051999</v>
      </c>
      <c r="E318">
        <v>547.38031088083005</v>
      </c>
      <c r="F318">
        <v>117.08926728586</v>
      </c>
      <c r="G318">
        <v>106.30495356037</v>
      </c>
      <c r="I318" s="9">
        <f t="shared" si="44"/>
        <v>441.07535732046006</v>
      </c>
      <c r="J318" s="9">
        <f t="shared" si="45"/>
        <v>2285.4376757193399</v>
      </c>
      <c r="K318" s="9">
        <f t="shared" si="31"/>
        <v>441.07535732046006</v>
      </c>
      <c r="L318" s="10">
        <f t="shared" si="30"/>
        <v>0.19299382433679005</v>
      </c>
      <c r="M318" s="10">
        <f t="shared" si="46"/>
        <v>0.24560422717672345</v>
      </c>
      <c r="P318" s="8">
        <f t="shared" si="47"/>
        <v>41.738062868123841</v>
      </c>
    </row>
    <row r="319" spans="1:16" x14ac:dyDescent="0.2">
      <c r="A319" s="8">
        <v>158.5</v>
      </c>
      <c r="B319" s="8">
        <v>317</v>
      </c>
      <c r="D319">
        <v>2551.8813471502999</v>
      </c>
      <c r="E319">
        <v>599.56735751295003</v>
      </c>
      <c r="F319">
        <v>117.19195046439999</v>
      </c>
      <c r="G319">
        <v>106.47265221878</v>
      </c>
      <c r="I319" s="9">
        <f t="shared" si="44"/>
        <v>493.09470529417001</v>
      </c>
      <c r="J319" s="9">
        <f t="shared" si="45"/>
        <v>2434.6893966858997</v>
      </c>
      <c r="K319" s="9">
        <f t="shared" si="31"/>
        <v>493.09470529417001</v>
      </c>
      <c r="L319" s="10">
        <f t="shared" si="30"/>
        <v>0.20252879318625641</v>
      </c>
      <c r="M319" s="10">
        <f t="shared" si="46"/>
        <v>0.25530568464277187</v>
      </c>
      <c r="P319" s="8">
        <f t="shared" si="47"/>
        <v>47.336768574625289</v>
      </c>
    </row>
    <row r="320" spans="1:16" x14ac:dyDescent="0.2">
      <c r="A320" s="8">
        <v>159</v>
      </c>
      <c r="B320" s="8">
        <v>318</v>
      </c>
      <c r="D320">
        <v>2553.0005122951002</v>
      </c>
      <c r="E320">
        <v>637.91034836066001</v>
      </c>
      <c r="F320">
        <v>117.04850361197001</v>
      </c>
      <c r="G320">
        <v>106.65737874097</v>
      </c>
      <c r="I320" s="9">
        <f>E320-G320</f>
        <v>531.25296961969002</v>
      </c>
      <c r="J320" s="9">
        <f>D320-F320</f>
        <v>2435.9520086831303</v>
      </c>
      <c r="K320" s="9">
        <f t="shared" si="31"/>
        <v>531.25296961969002</v>
      </c>
      <c r="L320" s="10">
        <f t="shared" si="30"/>
        <v>0.2180884384117584</v>
      </c>
      <c r="M320" s="10">
        <f>L320+ABS($N$2)*A320</f>
        <v>0.27103181848485591</v>
      </c>
      <c r="O320" s="11"/>
      <c r="P320" s="8">
        <f>(M320-$O$2)/$O$2*100</f>
        <v>56.412311666063928</v>
      </c>
    </row>
    <row r="321" spans="1:16" x14ac:dyDescent="0.2">
      <c r="A321" s="8">
        <v>159.5</v>
      </c>
      <c r="B321" s="8">
        <v>319</v>
      </c>
      <c r="D321">
        <v>2456.2671794871999</v>
      </c>
      <c r="E321">
        <v>620.75025641026002</v>
      </c>
      <c r="F321">
        <v>117.44478844168999</v>
      </c>
      <c r="G321">
        <v>106.38699690403</v>
      </c>
      <c r="I321" s="9">
        <f t="shared" ref="I321:I322" si="48">E321-G321</f>
        <v>514.36325950623007</v>
      </c>
      <c r="J321" s="9">
        <f t="shared" ref="J321:J322" si="49">D321-F321</f>
        <v>2338.8223910455099</v>
      </c>
      <c r="K321" s="9">
        <f t="shared" si="31"/>
        <v>514.36325950623007</v>
      </c>
      <c r="L321" s="10">
        <f t="shared" si="30"/>
        <v>0.2199240359060772</v>
      </c>
      <c r="M321" s="10">
        <f t="shared" ref="M321:M322" si="50">L321+ABS($N$2)*A321</f>
        <v>0.27303390459575683</v>
      </c>
      <c r="P321" s="8">
        <f t="shared" ref="P321:P322" si="51">(M321-$O$2)/$O$2*100</f>
        <v>57.567714446855987</v>
      </c>
    </row>
    <row r="322" spans="1:16" x14ac:dyDescent="0.2">
      <c r="A322" s="8">
        <v>160</v>
      </c>
      <c r="D322">
        <v>2522.4407388404002</v>
      </c>
      <c r="E322">
        <v>620.53258081066997</v>
      </c>
      <c r="F322">
        <v>117.67234262126</v>
      </c>
      <c r="G322">
        <v>106.37564499484</v>
      </c>
      <c r="I322" s="9">
        <f t="shared" si="48"/>
        <v>514.15693581582991</v>
      </c>
      <c r="J322" s="9">
        <f t="shared" si="49"/>
        <v>2404.76839621914</v>
      </c>
      <c r="K322" s="9">
        <f t="shared" si="31"/>
        <v>514.15693581582991</v>
      </c>
      <c r="L322" s="10">
        <f t="shared" ref="L322" si="52">K322/J322</f>
        <v>0.21380725754056201</v>
      </c>
      <c r="M322" s="10">
        <f t="shared" si="50"/>
        <v>0.26708361484682369</v>
      </c>
      <c r="P322" s="8">
        <f t="shared" si="51"/>
        <v>54.133805543036573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0C473-7ADE-354E-A5D0-B62511CF74B0}">
  <dimension ref="A1:Y798"/>
  <sheetViews>
    <sheetView topLeftCell="E1" zoomScale="70" zoomScaleNormal="70" workbookViewId="0">
      <selection activeCell="N2" sqref="N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2041.7580174927</v>
      </c>
      <c r="E2">
        <v>560.02332361516005</v>
      </c>
      <c r="F2">
        <v>151.43627093955001</v>
      </c>
      <c r="G2">
        <v>123.95338674436</v>
      </c>
      <c r="H2" s="4"/>
      <c r="I2" s="5">
        <f>E2-G2</f>
        <v>436.06993687080006</v>
      </c>
      <c r="J2" s="5">
        <f>D2-F2</f>
        <v>1890.32174655315</v>
      </c>
      <c r="K2" s="9">
        <f>I2*1</f>
        <v>436.06993687080006</v>
      </c>
      <c r="L2" s="6">
        <f t="shared" ref="L2:L65" si="0">K2/J2</f>
        <v>0.23068556327299233</v>
      </c>
      <c r="M2" s="6">
        <f>L2+ABS($N$2)*A2</f>
        <v>0.23068556327299233</v>
      </c>
      <c r="N2" s="4">
        <f>LINEST(V64:V103,U64:U103)</f>
        <v>6.4661141362490078E-4</v>
      </c>
      <c r="O2" s="7">
        <f>AVERAGE(M62:M81)</f>
        <v>0.24601086749264028</v>
      </c>
      <c r="P2" s="4">
        <f>(M2-$O$2)/$O$2*100</f>
        <v>-6.2295232628722896</v>
      </c>
    </row>
    <row r="3" spans="1:16" x14ac:dyDescent="0.2">
      <c r="A3" s="8">
        <v>0.5</v>
      </c>
      <c r="B3" s="8">
        <v>1</v>
      </c>
      <c r="D3">
        <v>2020.7266763847999</v>
      </c>
      <c r="E3">
        <v>550.84037900875001</v>
      </c>
      <c r="F3">
        <v>151.0823015295</v>
      </c>
      <c r="G3">
        <v>124.14930808449</v>
      </c>
      <c r="I3" s="9">
        <f t="shared" ref="I3:I66" si="1">E3-G3</f>
        <v>426.69107092425998</v>
      </c>
      <c r="J3" s="9">
        <f t="shared" ref="J3:J66" si="2">D3-F3</f>
        <v>1869.6443748552999</v>
      </c>
      <c r="K3" s="9">
        <f t="shared" ref="K3:K66" si="3">I3*1</f>
        <v>426.69107092425998</v>
      </c>
      <c r="L3" s="10">
        <f t="shared" si="0"/>
        <v>0.22822044484116585</v>
      </c>
      <c r="M3" s="10">
        <f t="shared" ref="M3:M66" si="4">L3+ABS($N$2)*A3</f>
        <v>0.22854375054797829</v>
      </c>
      <c r="P3" s="8">
        <f t="shared" ref="P3:P66" si="5">(M3-$O$2)/$O$2*100</f>
        <v>-7.1001403810685479</v>
      </c>
    </row>
    <row r="4" spans="1:16" ht="16" x14ac:dyDescent="0.2">
      <c r="A4" s="8">
        <v>1</v>
      </c>
      <c r="B4" s="8">
        <v>2</v>
      </c>
      <c r="D4">
        <v>2099.5390226111999</v>
      </c>
      <c r="E4">
        <v>566.97082421590005</v>
      </c>
      <c r="F4">
        <v>151.01456664239001</v>
      </c>
      <c r="G4">
        <v>124.27895120175</v>
      </c>
      <c r="I4" s="9">
        <f t="shared" si="1"/>
        <v>442.69187301415002</v>
      </c>
      <c r="J4" s="9">
        <f t="shared" si="2"/>
        <v>1948.5244559688099</v>
      </c>
      <c r="K4" s="9">
        <f t="shared" si="3"/>
        <v>442.69187301415002</v>
      </c>
      <c r="L4" s="10">
        <f t="shared" si="0"/>
        <v>0.22719338813432691</v>
      </c>
      <c r="M4" s="10">
        <f t="shared" si="4"/>
        <v>0.22783999954795181</v>
      </c>
      <c r="N4" s="1" t="s">
        <v>7</v>
      </c>
      <c r="P4" s="8">
        <f t="shared" si="5"/>
        <v>-7.3862053859194159</v>
      </c>
    </row>
    <row r="5" spans="1:16" x14ac:dyDescent="0.2">
      <c r="A5" s="8">
        <v>1.5</v>
      </c>
      <c r="B5" s="8">
        <v>3</v>
      </c>
      <c r="D5">
        <v>1960.4651669085999</v>
      </c>
      <c r="E5">
        <v>533.05950653120999</v>
      </c>
      <c r="F5">
        <v>151.60233066277999</v>
      </c>
      <c r="G5">
        <v>124.72614712309</v>
      </c>
      <c r="I5" s="9">
        <f t="shared" si="1"/>
        <v>408.33335940811997</v>
      </c>
      <c r="J5" s="9">
        <f t="shared" si="2"/>
        <v>1808.8628362458198</v>
      </c>
      <c r="K5" s="9">
        <f t="shared" si="3"/>
        <v>408.33335940811997</v>
      </c>
      <c r="L5" s="10">
        <f t="shared" si="0"/>
        <v>0.22574036639261713</v>
      </c>
      <c r="M5" s="10">
        <f t="shared" si="4"/>
        <v>0.22671028351305447</v>
      </c>
      <c r="N5" s="8">
        <f>RSQ(V64:V83,U64:U83)</f>
        <v>0.57228232834270754</v>
      </c>
      <c r="P5" s="8">
        <f t="shared" si="5"/>
        <v>-7.8454192598476205</v>
      </c>
    </row>
    <row r="6" spans="1:16" x14ac:dyDescent="0.2">
      <c r="A6" s="8">
        <v>2</v>
      </c>
      <c r="B6" s="8">
        <v>4</v>
      </c>
      <c r="D6">
        <v>1936.707815924</v>
      </c>
      <c r="E6">
        <v>528.17604090577004</v>
      </c>
      <c r="F6">
        <v>151.41005098324999</v>
      </c>
      <c r="G6">
        <v>124.22578295703001</v>
      </c>
      <c r="I6" s="9">
        <f t="shared" si="1"/>
        <v>403.95025794874005</v>
      </c>
      <c r="J6" s="9">
        <f t="shared" si="2"/>
        <v>1785.2977649407501</v>
      </c>
      <c r="K6" s="9">
        <f t="shared" si="3"/>
        <v>403.95025794874005</v>
      </c>
      <c r="L6" s="10">
        <f t="shared" si="0"/>
        <v>0.22626492111367552</v>
      </c>
      <c r="M6" s="10">
        <f t="shared" si="4"/>
        <v>0.22755814394092533</v>
      </c>
      <c r="P6" s="8">
        <f t="shared" si="5"/>
        <v>-7.5007757745771091</v>
      </c>
    </row>
    <row r="7" spans="1:16" x14ac:dyDescent="0.2">
      <c r="A7" s="8">
        <v>2.5</v>
      </c>
      <c r="B7" s="8">
        <v>5</v>
      </c>
      <c r="D7">
        <v>1925.2023374726</v>
      </c>
      <c r="E7">
        <v>524.25127830532995</v>
      </c>
      <c r="F7">
        <v>151.87399854334001</v>
      </c>
      <c r="G7">
        <v>124.24617625637001</v>
      </c>
      <c r="I7" s="9">
        <f t="shared" si="1"/>
        <v>400.00510204895994</v>
      </c>
      <c r="J7" s="9">
        <f t="shared" si="2"/>
        <v>1773.3283389292601</v>
      </c>
      <c r="K7" s="9">
        <f t="shared" si="3"/>
        <v>400.00510204895994</v>
      </c>
      <c r="L7" s="10">
        <f t="shared" si="0"/>
        <v>0.22556742215628492</v>
      </c>
      <c r="M7" s="10">
        <f t="shared" si="4"/>
        <v>0.22718395069034716</v>
      </c>
      <c r="P7" s="8">
        <f t="shared" si="5"/>
        <v>-7.6528801325642046</v>
      </c>
    </row>
    <row r="8" spans="1:16" x14ac:dyDescent="0.2">
      <c r="A8" s="8">
        <v>3</v>
      </c>
      <c r="B8" s="8">
        <v>6</v>
      </c>
      <c r="D8">
        <v>1847.6349670812001</v>
      </c>
      <c r="E8">
        <v>506.37161667885999</v>
      </c>
      <c r="F8">
        <v>151.61398397669001</v>
      </c>
      <c r="G8">
        <v>124.76256372906001</v>
      </c>
      <c r="I8" s="9">
        <f t="shared" si="1"/>
        <v>381.6090529498</v>
      </c>
      <c r="J8" s="9">
        <f t="shared" si="2"/>
        <v>1696.0209831045102</v>
      </c>
      <c r="K8" s="9">
        <f t="shared" si="3"/>
        <v>381.6090529498</v>
      </c>
      <c r="L8" s="10">
        <f t="shared" si="0"/>
        <v>0.22500255406703595</v>
      </c>
      <c r="M8" s="10">
        <f t="shared" si="4"/>
        <v>0.22694238830791066</v>
      </c>
      <c r="P8" s="8">
        <f t="shared" si="5"/>
        <v>-7.7510718851881935</v>
      </c>
    </row>
    <row r="9" spans="1:16" x14ac:dyDescent="0.2">
      <c r="A9" s="8">
        <v>3.5</v>
      </c>
      <c r="B9" s="8">
        <v>7</v>
      </c>
      <c r="D9">
        <v>1954.1337719298001</v>
      </c>
      <c r="E9">
        <v>526.07236842104999</v>
      </c>
      <c r="F9">
        <v>152.09686817189001</v>
      </c>
      <c r="G9">
        <v>124.74945375091001</v>
      </c>
      <c r="I9" s="9">
        <f t="shared" si="1"/>
        <v>401.32291467013999</v>
      </c>
      <c r="J9" s="9">
        <f t="shared" si="2"/>
        <v>1802.0369037579101</v>
      </c>
      <c r="K9" s="9">
        <f t="shared" si="3"/>
        <v>401.32291467013999</v>
      </c>
      <c r="L9" s="10">
        <f t="shared" si="0"/>
        <v>0.22270515871968771</v>
      </c>
      <c r="M9" s="10">
        <f t="shared" si="4"/>
        <v>0.22496829866737486</v>
      </c>
      <c r="P9" s="8">
        <f t="shared" si="5"/>
        <v>-8.5535118995891253</v>
      </c>
    </row>
    <row r="10" spans="1:16" x14ac:dyDescent="0.2">
      <c r="A10" s="8">
        <v>4</v>
      </c>
      <c r="B10" s="8">
        <v>8</v>
      </c>
      <c r="D10">
        <v>1975.283625731</v>
      </c>
      <c r="E10">
        <v>525.45321637427003</v>
      </c>
      <c r="F10">
        <v>152.25127458121</v>
      </c>
      <c r="G10">
        <v>124.50182083030001</v>
      </c>
      <c r="I10" s="9">
        <f t="shared" si="1"/>
        <v>400.95139554397002</v>
      </c>
      <c r="J10" s="9">
        <f t="shared" si="2"/>
        <v>1823.03235114979</v>
      </c>
      <c r="K10" s="9">
        <f t="shared" si="3"/>
        <v>400.95139554397002</v>
      </c>
      <c r="L10" s="10">
        <f t="shared" si="0"/>
        <v>0.21993652240515052</v>
      </c>
      <c r="M10" s="10">
        <f t="shared" si="4"/>
        <v>0.22252296805965013</v>
      </c>
      <c r="P10" s="8">
        <f t="shared" si="5"/>
        <v>-9.5475048205717261</v>
      </c>
    </row>
    <row r="11" spans="1:16" x14ac:dyDescent="0.2">
      <c r="A11" s="8">
        <v>4.5</v>
      </c>
      <c r="B11" s="8">
        <v>9</v>
      </c>
      <c r="D11">
        <v>2061.1182015954</v>
      </c>
      <c r="E11">
        <v>549.22189992747997</v>
      </c>
      <c r="F11">
        <v>152.13255644573999</v>
      </c>
      <c r="G11">
        <v>124.4683175528</v>
      </c>
      <c r="I11" s="9">
        <f t="shared" si="1"/>
        <v>424.75358237467998</v>
      </c>
      <c r="J11" s="9">
        <f t="shared" si="2"/>
        <v>1908.9856451496601</v>
      </c>
      <c r="K11" s="9">
        <f t="shared" si="3"/>
        <v>424.75358237467998</v>
      </c>
      <c r="L11" s="10">
        <f t="shared" si="0"/>
        <v>0.22250224010531011</v>
      </c>
      <c r="M11" s="10">
        <f t="shared" si="4"/>
        <v>0.22541199146662216</v>
      </c>
      <c r="P11" s="8">
        <f t="shared" si="5"/>
        <v>-8.3731569405706683</v>
      </c>
    </row>
    <row r="12" spans="1:16" x14ac:dyDescent="0.2">
      <c r="A12" s="8">
        <v>5</v>
      </c>
      <c r="B12" s="8">
        <v>10</v>
      </c>
      <c r="D12">
        <v>1934.1120879120999</v>
      </c>
      <c r="E12">
        <v>520.63956043956</v>
      </c>
      <c r="F12">
        <v>152.55790240350001</v>
      </c>
      <c r="G12">
        <v>125.08011653314</v>
      </c>
      <c r="I12" s="9">
        <f t="shared" si="1"/>
        <v>395.55944390642003</v>
      </c>
      <c r="J12" s="9">
        <f t="shared" si="2"/>
        <v>1781.5541855085999</v>
      </c>
      <c r="K12" s="9">
        <f t="shared" si="3"/>
        <v>395.55944390642003</v>
      </c>
      <c r="L12" s="10">
        <f t="shared" si="0"/>
        <v>0.22203054340078651</v>
      </c>
      <c r="M12" s="10">
        <f t="shared" si="4"/>
        <v>0.22526360046891103</v>
      </c>
      <c r="P12" s="8">
        <f t="shared" si="5"/>
        <v>-8.4334758196606643</v>
      </c>
    </row>
    <row r="13" spans="1:16" x14ac:dyDescent="0.2">
      <c r="A13" s="8">
        <v>5.5</v>
      </c>
      <c r="B13" s="8">
        <v>11</v>
      </c>
      <c r="D13">
        <v>1984.2</v>
      </c>
      <c r="E13">
        <v>533.63736263735996</v>
      </c>
      <c r="F13">
        <v>152.38892935178001</v>
      </c>
      <c r="G13">
        <v>124.95338674436</v>
      </c>
      <c r="I13" s="9">
        <f t="shared" si="1"/>
        <v>408.68397589299997</v>
      </c>
      <c r="J13" s="9">
        <f t="shared" si="2"/>
        <v>1831.81107064822</v>
      </c>
      <c r="K13" s="9">
        <f t="shared" si="3"/>
        <v>408.68397589299997</v>
      </c>
      <c r="L13" s="10">
        <f t="shared" si="0"/>
        <v>0.22310378097473754</v>
      </c>
      <c r="M13" s="10">
        <f t="shared" si="4"/>
        <v>0.2266601437496745</v>
      </c>
      <c r="P13" s="8">
        <f t="shared" si="5"/>
        <v>-7.8658003771092293</v>
      </c>
    </row>
    <row r="14" spans="1:16" x14ac:dyDescent="0.2">
      <c r="A14" s="8">
        <v>6</v>
      </c>
      <c r="B14" s="8">
        <v>12</v>
      </c>
      <c r="D14">
        <v>1905.2048280906999</v>
      </c>
      <c r="E14">
        <v>514.45574250182995</v>
      </c>
      <c r="F14">
        <v>152.97596504006</v>
      </c>
      <c r="G14">
        <v>124.82447195921</v>
      </c>
      <c r="I14" s="9">
        <f t="shared" si="1"/>
        <v>389.63127054261997</v>
      </c>
      <c r="J14" s="9">
        <f t="shared" si="2"/>
        <v>1752.22886305064</v>
      </c>
      <c r="K14" s="9">
        <f t="shared" si="3"/>
        <v>389.63127054261997</v>
      </c>
      <c r="L14" s="10">
        <f t="shared" si="0"/>
        <v>0.22236323048820791</v>
      </c>
      <c r="M14" s="10">
        <f t="shared" si="4"/>
        <v>0.22624289896995731</v>
      </c>
      <c r="P14" s="8">
        <f t="shared" si="5"/>
        <v>-8.0354045836102586</v>
      </c>
    </row>
    <row r="15" spans="1:16" x14ac:dyDescent="0.2">
      <c r="A15" s="8">
        <v>6.5</v>
      </c>
      <c r="B15" s="8">
        <v>13</v>
      </c>
      <c r="D15">
        <v>1886.4062727936</v>
      </c>
      <c r="E15">
        <v>505.30561633844002</v>
      </c>
      <c r="F15">
        <v>153.07210487982999</v>
      </c>
      <c r="G15">
        <v>124.94319009468001</v>
      </c>
      <c r="I15" s="9">
        <f t="shared" si="1"/>
        <v>380.36242624376001</v>
      </c>
      <c r="J15" s="9">
        <f t="shared" si="2"/>
        <v>1733.33416791377</v>
      </c>
      <c r="K15" s="9">
        <f t="shared" si="3"/>
        <v>380.36242624376001</v>
      </c>
      <c r="L15" s="10">
        <f t="shared" si="0"/>
        <v>0.21943975563671131</v>
      </c>
      <c r="M15" s="10">
        <f t="shared" si="4"/>
        <v>0.22364272982527317</v>
      </c>
      <c r="P15" s="8">
        <f t="shared" si="5"/>
        <v>-9.0923372188166791</v>
      </c>
    </row>
    <row r="16" spans="1:16" x14ac:dyDescent="0.2">
      <c r="A16" s="8">
        <v>7</v>
      </c>
      <c r="B16" s="8">
        <v>14</v>
      </c>
      <c r="D16">
        <v>1662.3479853480001</v>
      </c>
      <c r="E16">
        <v>456.63296703296999</v>
      </c>
      <c r="F16">
        <v>152.30371449380999</v>
      </c>
      <c r="G16">
        <v>124.98689002185</v>
      </c>
      <c r="I16" s="9">
        <f t="shared" si="1"/>
        <v>331.64607701111998</v>
      </c>
      <c r="J16" s="9">
        <f t="shared" si="2"/>
        <v>1510.04427085419</v>
      </c>
      <c r="K16" s="9">
        <f t="shared" si="3"/>
        <v>331.64607701111998</v>
      </c>
      <c r="L16" s="10">
        <f t="shared" si="0"/>
        <v>0.21962672446915549</v>
      </c>
      <c r="M16" s="10">
        <f t="shared" si="4"/>
        <v>0.22415300436452978</v>
      </c>
      <c r="P16" s="8">
        <f t="shared" si="5"/>
        <v>-8.8849177074522547</v>
      </c>
    </row>
    <row r="17" spans="1:16" x14ac:dyDescent="0.2">
      <c r="A17" s="8">
        <v>7.5</v>
      </c>
      <c r="B17" s="8">
        <v>15</v>
      </c>
      <c r="D17">
        <v>1669.2271062271</v>
      </c>
      <c r="E17">
        <v>461.39706959707001</v>
      </c>
      <c r="F17">
        <v>153.12527312455001</v>
      </c>
      <c r="G17">
        <v>125.11726147122999</v>
      </c>
      <c r="I17" s="9">
        <f t="shared" si="1"/>
        <v>336.27980812584002</v>
      </c>
      <c r="J17" s="9">
        <f t="shared" si="2"/>
        <v>1516.10183310255</v>
      </c>
      <c r="K17" s="9">
        <f t="shared" si="3"/>
        <v>336.27980812584002</v>
      </c>
      <c r="L17" s="10">
        <f t="shared" si="0"/>
        <v>0.22180555473485392</v>
      </c>
      <c r="M17" s="10">
        <f t="shared" si="4"/>
        <v>0.22665514033704068</v>
      </c>
      <c r="P17" s="8">
        <f t="shared" si="5"/>
        <v>-7.8678341948363952</v>
      </c>
    </row>
    <row r="18" spans="1:16" x14ac:dyDescent="0.2">
      <c r="A18" s="8">
        <v>8</v>
      </c>
      <c r="B18" s="8">
        <v>16</v>
      </c>
      <c r="D18">
        <v>1609.1567919075001</v>
      </c>
      <c r="E18">
        <v>447.22904624277999</v>
      </c>
      <c r="F18">
        <v>152.34304442825999</v>
      </c>
      <c r="G18">
        <v>125.42534595776</v>
      </c>
      <c r="I18" s="9">
        <f t="shared" si="1"/>
        <v>321.80370028502</v>
      </c>
      <c r="J18" s="9">
        <f t="shared" si="2"/>
        <v>1456.8137474792402</v>
      </c>
      <c r="K18" s="9">
        <f t="shared" si="3"/>
        <v>321.80370028502</v>
      </c>
      <c r="L18" s="10">
        <f t="shared" si="0"/>
        <v>0.22089556804488197</v>
      </c>
      <c r="M18" s="10">
        <f t="shared" si="4"/>
        <v>0.22606845935388117</v>
      </c>
      <c r="P18" s="8">
        <f t="shared" si="5"/>
        <v>-8.1063118641926302</v>
      </c>
    </row>
    <row r="19" spans="1:16" x14ac:dyDescent="0.2">
      <c r="A19" s="8">
        <v>8.5</v>
      </c>
      <c r="B19" s="8">
        <v>17</v>
      </c>
      <c r="D19">
        <v>1804.6953010279001</v>
      </c>
      <c r="E19">
        <v>487.07782672539997</v>
      </c>
      <c r="F19">
        <v>153.01675163875001</v>
      </c>
      <c r="G19">
        <v>125.63729060452</v>
      </c>
      <c r="I19" s="9">
        <f t="shared" si="1"/>
        <v>361.44053612087998</v>
      </c>
      <c r="J19" s="9">
        <f t="shared" si="2"/>
        <v>1651.67854938915</v>
      </c>
      <c r="K19" s="9">
        <f t="shared" si="3"/>
        <v>361.44053612087998</v>
      </c>
      <c r="L19" s="10">
        <f t="shared" si="0"/>
        <v>0.21883225174447757</v>
      </c>
      <c r="M19" s="10">
        <f t="shared" si="4"/>
        <v>0.22432844876028923</v>
      </c>
      <c r="P19" s="8">
        <f t="shared" si="5"/>
        <v>-8.8136019978872291</v>
      </c>
    </row>
    <row r="20" spans="1:16" x14ac:dyDescent="0.2">
      <c r="A20" s="8">
        <v>9</v>
      </c>
      <c r="B20" s="8">
        <v>18</v>
      </c>
      <c r="D20">
        <v>1812.4860499265999</v>
      </c>
      <c r="E20">
        <v>488.71732745961998</v>
      </c>
      <c r="F20">
        <v>153.86817188638</v>
      </c>
      <c r="G20">
        <v>125.22359796067001</v>
      </c>
      <c r="I20" s="9">
        <f t="shared" si="1"/>
        <v>363.49372949894996</v>
      </c>
      <c r="J20" s="9">
        <f t="shared" si="2"/>
        <v>1658.6178780402199</v>
      </c>
      <c r="K20" s="9">
        <f t="shared" si="3"/>
        <v>363.49372949894996</v>
      </c>
      <c r="L20" s="10">
        <f t="shared" si="0"/>
        <v>0.2191545951068879</v>
      </c>
      <c r="M20" s="10">
        <f t="shared" si="4"/>
        <v>0.224974097829512</v>
      </c>
      <c r="P20" s="8">
        <f t="shared" si="5"/>
        <v>-8.5511546207435849</v>
      </c>
    </row>
    <row r="21" spans="1:16" x14ac:dyDescent="0.2">
      <c r="A21" s="8">
        <v>9.5</v>
      </c>
      <c r="B21" s="8">
        <v>19</v>
      </c>
      <c r="D21">
        <v>1945.3164464024001</v>
      </c>
      <c r="E21">
        <v>509.84140969163002</v>
      </c>
      <c r="F21">
        <v>152.83321194465</v>
      </c>
      <c r="G21">
        <v>125.43699927167</v>
      </c>
      <c r="I21" s="9">
        <f t="shared" si="1"/>
        <v>384.40441041996002</v>
      </c>
      <c r="J21" s="9">
        <f t="shared" si="2"/>
        <v>1792.4832344577501</v>
      </c>
      <c r="K21" s="9">
        <f t="shared" si="3"/>
        <v>384.40441041996002</v>
      </c>
      <c r="L21" s="10">
        <f t="shared" si="0"/>
        <v>0.2144535597490525</v>
      </c>
      <c r="M21" s="10">
        <f t="shared" si="4"/>
        <v>0.22059636817848907</v>
      </c>
      <c r="P21" s="8">
        <f t="shared" si="5"/>
        <v>-10.330640907524753</v>
      </c>
    </row>
    <row r="22" spans="1:16" x14ac:dyDescent="0.2">
      <c r="A22" s="8">
        <v>10</v>
      </c>
      <c r="B22" s="8">
        <v>20</v>
      </c>
      <c r="D22">
        <v>1898.5203488371999</v>
      </c>
      <c r="E22">
        <v>504.24781976743998</v>
      </c>
      <c r="F22">
        <v>153.23160961398</v>
      </c>
      <c r="G22">
        <v>125.10706482156</v>
      </c>
      <c r="I22" s="9">
        <f t="shared" si="1"/>
        <v>379.14075494587996</v>
      </c>
      <c r="J22" s="9">
        <f t="shared" si="2"/>
        <v>1745.2887392232199</v>
      </c>
      <c r="K22" s="9">
        <f t="shared" si="3"/>
        <v>379.14075494587996</v>
      </c>
      <c r="L22" s="10">
        <f t="shared" si="0"/>
        <v>0.21723669351962077</v>
      </c>
      <c r="M22" s="10">
        <f t="shared" si="4"/>
        <v>0.22370280765586978</v>
      </c>
      <c r="P22" s="8">
        <f t="shared" si="5"/>
        <v>-9.0679164152932703</v>
      </c>
    </row>
    <row r="23" spans="1:16" x14ac:dyDescent="0.2">
      <c r="A23" s="8">
        <v>10.5</v>
      </c>
      <c r="B23" s="8">
        <v>21</v>
      </c>
      <c r="D23">
        <v>1812.5014534884001</v>
      </c>
      <c r="E23">
        <v>486.71802325581001</v>
      </c>
      <c r="F23">
        <v>153.16168973052001</v>
      </c>
      <c r="G23">
        <v>125.52731245448</v>
      </c>
      <c r="I23" s="9">
        <f t="shared" si="1"/>
        <v>361.19071080133</v>
      </c>
      <c r="J23" s="9">
        <f t="shared" si="2"/>
        <v>1659.3397637578801</v>
      </c>
      <c r="K23" s="9">
        <f t="shared" si="3"/>
        <v>361.19071080133</v>
      </c>
      <c r="L23" s="10">
        <f t="shared" si="0"/>
        <v>0.21767134054772919</v>
      </c>
      <c r="M23" s="10">
        <f t="shared" si="4"/>
        <v>0.22446076039079063</v>
      </c>
      <c r="P23" s="8">
        <f t="shared" si="5"/>
        <v>-8.7598191581899734</v>
      </c>
    </row>
    <row r="24" spans="1:16" x14ac:dyDescent="0.2">
      <c r="A24" s="8">
        <v>11</v>
      </c>
      <c r="B24" s="8">
        <v>22</v>
      </c>
      <c r="D24">
        <v>1821.2252906977001</v>
      </c>
      <c r="E24">
        <v>485.83284883721001</v>
      </c>
      <c r="F24">
        <v>153.27239621267</v>
      </c>
      <c r="G24">
        <v>125.63947560087</v>
      </c>
      <c r="I24" s="9">
        <f t="shared" si="1"/>
        <v>360.19337323633999</v>
      </c>
      <c r="J24" s="9">
        <f t="shared" si="2"/>
        <v>1667.9528944850301</v>
      </c>
      <c r="K24" s="9">
        <f t="shared" si="3"/>
        <v>360.19337323633999</v>
      </c>
      <c r="L24" s="10">
        <f t="shared" si="0"/>
        <v>0.2159493678912002</v>
      </c>
      <c r="M24" s="10">
        <f t="shared" si="4"/>
        <v>0.22306209344107411</v>
      </c>
      <c r="P24" s="8">
        <f t="shared" si="5"/>
        <v>-9.3283578426683587</v>
      </c>
    </row>
    <row r="25" spans="1:16" x14ac:dyDescent="0.2">
      <c r="A25" s="8">
        <v>11.5</v>
      </c>
      <c r="B25" s="8">
        <v>23</v>
      </c>
      <c r="D25">
        <v>1823.5559593022999</v>
      </c>
      <c r="E25">
        <v>486.77180232557998</v>
      </c>
      <c r="F25">
        <v>153.15877640203999</v>
      </c>
      <c r="G25">
        <v>125.17261471230999</v>
      </c>
      <c r="I25" s="9">
        <f t="shared" si="1"/>
        <v>361.59918761326998</v>
      </c>
      <c r="J25" s="9">
        <f t="shared" si="2"/>
        <v>1670.3971829002598</v>
      </c>
      <c r="K25" s="9">
        <f t="shared" si="3"/>
        <v>361.59918761326998</v>
      </c>
      <c r="L25" s="10">
        <f t="shared" si="0"/>
        <v>0.21647497452398495</v>
      </c>
      <c r="M25" s="10">
        <f t="shared" si="4"/>
        <v>0.2239110057806713</v>
      </c>
      <c r="P25" s="8">
        <f t="shared" si="5"/>
        <v>-8.9832867698944749</v>
      </c>
    </row>
    <row r="26" spans="1:16" x14ac:dyDescent="0.2">
      <c r="A26" s="8">
        <v>12</v>
      </c>
      <c r="B26" s="8">
        <v>24</v>
      </c>
      <c r="D26">
        <v>1951.9530791789</v>
      </c>
      <c r="E26">
        <v>513.29545454545996</v>
      </c>
      <c r="F26">
        <v>153.76474872541999</v>
      </c>
      <c r="G26">
        <v>125.43918426803</v>
      </c>
      <c r="I26" s="9">
        <f t="shared" si="1"/>
        <v>387.85627027742999</v>
      </c>
      <c r="J26" s="9">
        <f t="shared" si="2"/>
        <v>1798.1883304534799</v>
      </c>
      <c r="K26" s="9">
        <f t="shared" si="3"/>
        <v>387.85627027742999</v>
      </c>
      <c r="L26" s="10">
        <f t="shared" si="0"/>
        <v>0.21569279686050327</v>
      </c>
      <c r="M26" s="10">
        <f t="shared" si="4"/>
        <v>0.22345213382400209</v>
      </c>
      <c r="P26" s="8">
        <f t="shared" si="5"/>
        <v>-9.1698118455328288</v>
      </c>
    </row>
    <row r="27" spans="1:16" x14ac:dyDescent="0.2">
      <c r="A27" s="8">
        <v>12.5</v>
      </c>
      <c r="B27" s="8">
        <v>25</v>
      </c>
      <c r="D27">
        <v>1916.4765395894001</v>
      </c>
      <c r="E27">
        <v>505.51392961877002</v>
      </c>
      <c r="F27">
        <v>153.15731973780001</v>
      </c>
      <c r="G27">
        <v>125.48506919155</v>
      </c>
      <c r="I27" s="9">
        <f t="shared" si="1"/>
        <v>380.02886042722002</v>
      </c>
      <c r="J27" s="9">
        <f t="shared" si="2"/>
        <v>1763.3192198516001</v>
      </c>
      <c r="K27" s="9">
        <f t="shared" si="3"/>
        <v>380.02886042722002</v>
      </c>
      <c r="L27" s="10">
        <f t="shared" si="0"/>
        <v>0.21551903713679421</v>
      </c>
      <c r="M27" s="10">
        <f t="shared" si="4"/>
        <v>0.22360167980710546</v>
      </c>
      <c r="P27" s="8">
        <f t="shared" si="5"/>
        <v>-9.1090234809261919</v>
      </c>
    </row>
    <row r="28" spans="1:16" x14ac:dyDescent="0.2">
      <c r="A28" s="8">
        <v>13</v>
      </c>
      <c r="B28" s="8">
        <v>26</v>
      </c>
      <c r="D28">
        <v>1909.3159824047</v>
      </c>
      <c r="E28">
        <v>504.19134897360999</v>
      </c>
      <c r="F28">
        <v>153.6627822287</v>
      </c>
      <c r="G28">
        <v>125.83466860889</v>
      </c>
      <c r="I28" s="9">
        <f t="shared" si="1"/>
        <v>378.35668036471998</v>
      </c>
      <c r="J28" s="9">
        <f t="shared" si="2"/>
        <v>1755.6532001759999</v>
      </c>
      <c r="K28" s="9">
        <f t="shared" si="3"/>
        <v>378.35668036471998</v>
      </c>
      <c r="L28" s="10">
        <f t="shared" si="0"/>
        <v>0.2155076414446718</v>
      </c>
      <c r="M28" s="10">
        <f t="shared" si="4"/>
        <v>0.22391358982179552</v>
      </c>
      <c r="P28" s="8">
        <f t="shared" si="5"/>
        <v>-8.9822363930755351</v>
      </c>
    </row>
    <row r="29" spans="1:16" x14ac:dyDescent="0.2">
      <c r="A29" s="8">
        <v>13.5</v>
      </c>
      <c r="B29" s="8">
        <v>27</v>
      </c>
      <c r="D29">
        <v>1917.6664222874001</v>
      </c>
      <c r="E29">
        <v>505.37243401760003</v>
      </c>
      <c r="F29">
        <v>153.89366351056</v>
      </c>
      <c r="G29">
        <v>125.72833211945</v>
      </c>
      <c r="I29" s="9">
        <f t="shared" si="1"/>
        <v>379.64410189815004</v>
      </c>
      <c r="J29" s="9">
        <f t="shared" si="2"/>
        <v>1763.7727587768402</v>
      </c>
      <c r="K29" s="9">
        <f t="shared" si="3"/>
        <v>379.64410189815004</v>
      </c>
      <c r="L29" s="10">
        <f t="shared" si="0"/>
        <v>0.21524547309678921</v>
      </c>
      <c r="M29" s="10">
        <f t="shared" si="4"/>
        <v>0.22397472718072536</v>
      </c>
      <c r="P29" s="8">
        <f t="shared" si="5"/>
        <v>-8.9573849060038615</v>
      </c>
    </row>
    <row r="30" spans="1:16" x14ac:dyDescent="0.2">
      <c r="A30" s="8">
        <v>14</v>
      </c>
      <c r="B30" s="8">
        <v>28</v>
      </c>
      <c r="D30">
        <v>1926.4839416058001</v>
      </c>
      <c r="E30">
        <v>505.56277372263003</v>
      </c>
      <c r="F30">
        <v>154.00801165331001</v>
      </c>
      <c r="G30">
        <v>125.47268754552</v>
      </c>
      <c r="I30" s="9">
        <f t="shared" si="1"/>
        <v>380.09008617711004</v>
      </c>
      <c r="J30" s="9">
        <f t="shared" si="2"/>
        <v>1772.4759299524901</v>
      </c>
      <c r="K30" s="9">
        <f t="shared" si="3"/>
        <v>380.09008617711004</v>
      </c>
      <c r="L30" s="10">
        <f t="shared" si="0"/>
        <v>0.21444019619905252</v>
      </c>
      <c r="M30" s="10">
        <f t="shared" si="4"/>
        <v>0.22349275598980115</v>
      </c>
      <c r="P30" s="8">
        <f t="shared" si="5"/>
        <v>-9.1532994994673551</v>
      </c>
    </row>
    <row r="31" spans="1:16" x14ac:dyDescent="0.2">
      <c r="A31" s="8">
        <v>14.5</v>
      </c>
      <c r="B31" s="8">
        <v>29</v>
      </c>
      <c r="D31">
        <v>1926.6416058394</v>
      </c>
      <c r="E31">
        <v>506.08832116788</v>
      </c>
      <c r="F31">
        <v>154.08594319010001</v>
      </c>
      <c r="G31">
        <v>125.92935178441</v>
      </c>
      <c r="I31" s="9">
        <f t="shared" si="1"/>
        <v>380.15896938346998</v>
      </c>
      <c r="J31" s="9">
        <f t="shared" si="2"/>
        <v>1772.5556626492998</v>
      </c>
      <c r="K31" s="9">
        <f t="shared" si="3"/>
        <v>380.15896938346998</v>
      </c>
      <c r="L31" s="10">
        <f t="shared" si="0"/>
        <v>0.21446941125407379</v>
      </c>
      <c r="M31" s="10">
        <f t="shared" si="4"/>
        <v>0.22384527675163485</v>
      </c>
      <c r="P31" s="8">
        <f t="shared" si="5"/>
        <v>-9.0100047070760194</v>
      </c>
    </row>
    <row r="32" spans="1:16" x14ac:dyDescent="0.2">
      <c r="A32" s="8">
        <v>15</v>
      </c>
      <c r="B32" s="8">
        <v>30</v>
      </c>
      <c r="D32">
        <v>1935.7343065693001</v>
      </c>
      <c r="E32">
        <v>504.49927007298999</v>
      </c>
      <c r="F32">
        <v>154.4005826657</v>
      </c>
      <c r="G32">
        <v>125.75528040787</v>
      </c>
      <c r="I32" s="9">
        <f t="shared" si="1"/>
        <v>378.74398966512001</v>
      </c>
      <c r="J32" s="9">
        <f t="shared" si="2"/>
        <v>1781.3337239036</v>
      </c>
      <c r="K32" s="9">
        <f t="shared" si="3"/>
        <v>378.74398966512001</v>
      </c>
      <c r="L32" s="10">
        <f t="shared" si="0"/>
        <v>0.21261821105320095</v>
      </c>
      <c r="M32" s="10">
        <f t="shared" si="4"/>
        <v>0.22231738225757447</v>
      </c>
      <c r="P32" s="8">
        <f t="shared" si="5"/>
        <v>-9.6310725930734069</v>
      </c>
    </row>
    <row r="33" spans="1:16" x14ac:dyDescent="0.2">
      <c r="A33" s="8">
        <v>15.5</v>
      </c>
      <c r="B33" s="8">
        <v>31</v>
      </c>
      <c r="D33">
        <v>1889.0684133916</v>
      </c>
      <c r="E33">
        <v>495.99927219796001</v>
      </c>
      <c r="F33">
        <v>154.82884195193</v>
      </c>
      <c r="G33">
        <v>125.42534595776</v>
      </c>
      <c r="I33" s="9">
        <f t="shared" si="1"/>
        <v>370.57392624020002</v>
      </c>
      <c r="J33" s="9">
        <f t="shared" si="2"/>
        <v>1734.23957143967</v>
      </c>
      <c r="K33" s="9">
        <f t="shared" si="3"/>
        <v>370.57392624020002</v>
      </c>
      <c r="L33" s="10">
        <f t="shared" si="0"/>
        <v>0.21368093102187144</v>
      </c>
      <c r="M33" s="10">
        <f t="shared" si="4"/>
        <v>0.2237034079330574</v>
      </c>
      <c r="P33" s="8">
        <f t="shared" si="5"/>
        <v>-9.0676724109556801</v>
      </c>
    </row>
    <row r="34" spans="1:16" x14ac:dyDescent="0.2">
      <c r="A34" s="8">
        <v>16</v>
      </c>
      <c r="B34" s="8">
        <v>32</v>
      </c>
      <c r="D34">
        <v>1812.71875</v>
      </c>
      <c r="E34">
        <v>480.14316860464999</v>
      </c>
      <c r="F34">
        <v>154.31172614712</v>
      </c>
      <c r="G34">
        <v>125.90750182083001</v>
      </c>
      <c r="I34" s="9">
        <f t="shared" si="1"/>
        <v>354.23566678381997</v>
      </c>
      <c r="J34" s="9">
        <f t="shared" si="2"/>
        <v>1658.40702385288</v>
      </c>
      <c r="K34" s="9">
        <f t="shared" si="3"/>
        <v>354.23566678381997</v>
      </c>
      <c r="L34" s="10">
        <f t="shared" si="0"/>
        <v>0.21359995567363491</v>
      </c>
      <c r="M34" s="10">
        <f t="shared" si="4"/>
        <v>0.22394573829163331</v>
      </c>
      <c r="P34" s="8">
        <f t="shared" si="5"/>
        <v>-8.969168486699914</v>
      </c>
    </row>
    <row r="35" spans="1:16" x14ac:dyDescent="0.2">
      <c r="A35" s="8">
        <v>16.5</v>
      </c>
      <c r="B35" s="8">
        <v>33</v>
      </c>
      <c r="D35">
        <v>1701.7458363505</v>
      </c>
      <c r="E35">
        <v>459.00362056480998</v>
      </c>
      <c r="F35">
        <v>154.44501092498001</v>
      </c>
      <c r="G35">
        <v>126.03641660597</v>
      </c>
      <c r="I35" s="9">
        <f t="shared" si="1"/>
        <v>332.96720395883995</v>
      </c>
      <c r="J35" s="9">
        <f t="shared" si="2"/>
        <v>1547.3008254255201</v>
      </c>
      <c r="K35" s="9">
        <f t="shared" si="3"/>
        <v>332.96720395883995</v>
      </c>
      <c r="L35" s="10">
        <f t="shared" si="0"/>
        <v>0.21519228742560212</v>
      </c>
      <c r="M35" s="10">
        <f t="shared" si="4"/>
        <v>0.22586137575041298</v>
      </c>
      <c r="P35" s="8">
        <f t="shared" si="5"/>
        <v>-8.1904884721525946</v>
      </c>
    </row>
    <row r="36" spans="1:16" x14ac:dyDescent="0.2">
      <c r="A36" s="8">
        <v>17</v>
      </c>
      <c r="B36" s="8">
        <v>34</v>
      </c>
      <c r="D36">
        <v>1721.6401158581</v>
      </c>
      <c r="E36">
        <v>459.60101375814997</v>
      </c>
      <c r="F36">
        <v>154.13401310998</v>
      </c>
      <c r="G36">
        <v>126.1048798252</v>
      </c>
      <c r="I36" s="9">
        <f t="shared" si="1"/>
        <v>333.49613393294999</v>
      </c>
      <c r="J36" s="9">
        <f t="shared" si="2"/>
        <v>1567.5061027481199</v>
      </c>
      <c r="K36" s="9">
        <f t="shared" si="3"/>
        <v>333.49613393294999</v>
      </c>
      <c r="L36" s="10">
        <f t="shared" si="0"/>
        <v>0.21275587594094295</v>
      </c>
      <c r="M36" s="10">
        <f t="shared" si="4"/>
        <v>0.22374826997256625</v>
      </c>
      <c r="P36" s="8">
        <f t="shared" si="5"/>
        <v>-9.049436615128414</v>
      </c>
    </row>
    <row r="37" spans="1:16" x14ac:dyDescent="0.2">
      <c r="A37" s="8">
        <v>17.5</v>
      </c>
      <c r="B37" s="8">
        <v>35</v>
      </c>
      <c r="D37">
        <v>1832.5998531570999</v>
      </c>
      <c r="E37">
        <v>484.88472834068</v>
      </c>
      <c r="F37">
        <v>153.95775673707001</v>
      </c>
      <c r="G37">
        <v>126.28987618354</v>
      </c>
      <c r="I37" s="9">
        <f t="shared" si="1"/>
        <v>358.59485215714</v>
      </c>
      <c r="J37" s="9">
        <f t="shared" si="2"/>
        <v>1678.6420964200299</v>
      </c>
      <c r="K37" s="9">
        <f t="shared" si="3"/>
        <v>358.59485215714</v>
      </c>
      <c r="L37" s="10">
        <f t="shared" si="0"/>
        <v>0.21362198226882329</v>
      </c>
      <c r="M37" s="10">
        <f t="shared" si="4"/>
        <v>0.22493768200725905</v>
      </c>
      <c r="P37" s="8">
        <f t="shared" si="5"/>
        <v>-8.5659571465929893</v>
      </c>
    </row>
    <row r="38" spans="1:16" x14ac:dyDescent="0.2">
      <c r="A38" s="8">
        <v>18</v>
      </c>
      <c r="B38" s="8">
        <v>36</v>
      </c>
      <c r="D38">
        <v>1762.7105263158001</v>
      </c>
      <c r="E38">
        <v>471.52777777777999</v>
      </c>
      <c r="F38">
        <v>154.78514202476001</v>
      </c>
      <c r="G38">
        <v>125.83976693372</v>
      </c>
      <c r="I38" s="9">
        <f t="shared" si="1"/>
        <v>345.68801084405999</v>
      </c>
      <c r="J38" s="9">
        <f t="shared" si="2"/>
        <v>1607.92538429104</v>
      </c>
      <c r="K38" s="9">
        <f t="shared" si="3"/>
        <v>345.68801084405999</v>
      </c>
      <c r="L38" s="10">
        <f t="shared" si="0"/>
        <v>0.21499008238897813</v>
      </c>
      <c r="M38" s="10">
        <f t="shared" si="4"/>
        <v>0.22662908783422633</v>
      </c>
      <c r="P38" s="8">
        <f t="shared" si="5"/>
        <v>-7.8784241753034667</v>
      </c>
    </row>
    <row r="39" spans="1:16" x14ac:dyDescent="0.2">
      <c r="A39" s="8">
        <v>18.5</v>
      </c>
      <c r="B39" s="8">
        <v>37</v>
      </c>
      <c r="D39">
        <v>1784.3618421053</v>
      </c>
      <c r="E39">
        <v>476.38230994152002</v>
      </c>
      <c r="F39">
        <v>154.89803350328</v>
      </c>
      <c r="G39">
        <v>125.90823015295</v>
      </c>
      <c r="I39" s="9">
        <f t="shared" si="1"/>
        <v>350.47407978857001</v>
      </c>
      <c r="J39" s="9">
        <f t="shared" si="2"/>
        <v>1629.46380860202</v>
      </c>
      <c r="K39" s="9">
        <f t="shared" si="3"/>
        <v>350.47407978857001</v>
      </c>
      <c r="L39" s="10">
        <f t="shared" si="0"/>
        <v>0.21508552564248437</v>
      </c>
      <c r="M39" s="10">
        <f t="shared" si="4"/>
        <v>0.22704783679454504</v>
      </c>
      <c r="P39" s="8">
        <f t="shared" si="5"/>
        <v>-7.7082085402843195</v>
      </c>
    </row>
    <row r="40" spans="1:16" x14ac:dyDescent="0.2">
      <c r="A40" s="8">
        <v>19</v>
      </c>
      <c r="B40" s="8">
        <v>38</v>
      </c>
      <c r="D40">
        <v>1733.5445906432999</v>
      </c>
      <c r="E40">
        <v>461.42616959063997</v>
      </c>
      <c r="F40">
        <v>155.14129643116999</v>
      </c>
      <c r="G40">
        <v>126.44064093227</v>
      </c>
      <c r="I40" s="9">
        <f t="shared" si="1"/>
        <v>334.98552865836996</v>
      </c>
      <c r="J40" s="9">
        <f t="shared" si="2"/>
        <v>1578.4032942121298</v>
      </c>
      <c r="K40" s="9">
        <f t="shared" si="3"/>
        <v>334.98552865836996</v>
      </c>
      <c r="L40" s="10">
        <f t="shared" si="0"/>
        <v>0.21223063198533182</v>
      </c>
      <c r="M40" s="10">
        <f t="shared" si="4"/>
        <v>0.22451624884420493</v>
      </c>
      <c r="P40" s="8">
        <f t="shared" si="5"/>
        <v>-8.7372638727345624</v>
      </c>
    </row>
    <row r="41" spans="1:16" x14ac:dyDescent="0.2">
      <c r="A41" s="8">
        <v>19.5</v>
      </c>
      <c r="B41" s="8">
        <v>39</v>
      </c>
      <c r="D41">
        <v>1810.3496708120001</v>
      </c>
      <c r="E41">
        <v>475.79590343819001</v>
      </c>
      <c r="F41">
        <v>154.62563729061</v>
      </c>
      <c r="G41">
        <v>126.02913328478</v>
      </c>
      <c r="I41" s="9">
        <f t="shared" si="1"/>
        <v>349.76677015340999</v>
      </c>
      <c r="J41" s="9">
        <f t="shared" si="2"/>
        <v>1655.7240335213901</v>
      </c>
      <c r="K41" s="9">
        <f t="shared" si="3"/>
        <v>349.76677015340999</v>
      </c>
      <c r="L41" s="10">
        <f t="shared" si="0"/>
        <v>0.21124702128622655</v>
      </c>
      <c r="M41" s="10">
        <f t="shared" si="4"/>
        <v>0.22385594385191213</v>
      </c>
      <c r="P41" s="8">
        <f t="shared" si="5"/>
        <v>-9.0056686790029516</v>
      </c>
    </row>
    <row r="42" spans="1:16" x14ac:dyDescent="0.2">
      <c r="A42" s="8">
        <v>20</v>
      </c>
      <c r="B42" s="8">
        <v>40</v>
      </c>
      <c r="D42">
        <v>1926.3306686046999</v>
      </c>
      <c r="E42">
        <v>500.61119186047</v>
      </c>
      <c r="F42">
        <v>155.20538965768</v>
      </c>
      <c r="G42">
        <v>126.262199563</v>
      </c>
      <c r="I42" s="9">
        <f t="shared" si="1"/>
        <v>374.34899229746998</v>
      </c>
      <c r="J42" s="9">
        <f t="shared" si="2"/>
        <v>1771.12527894702</v>
      </c>
      <c r="K42" s="9">
        <f t="shared" si="3"/>
        <v>374.34899229746998</v>
      </c>
      <c r="L42" s="10">
        <f t="shared" si="0"/>
        <v>0.21136223210592431</v>
      </c>
      <c r="M42" s="10">
        <f t="shared" si="4"/>
        <v>0.22429446037842232</v>
      </c>
      <c r="P42" s="8">
        <f t="shared" si="5"/>
        <v>-8.8274178029422359</v>
      </c>
    </row>
    <row r="43" spans="1:16" x14ac:dyDescent="0.2">
      <c r="A43" s="8">
        <v>20.5</v>
      </c>
      <c r="B43" s="8">
        <v>41</v>
      </c>
      <c r="D43">
        <v>2042.5159883721001</v>
      </c>
      <c r="E43">
        <v>526.24563953487996</v>
      </c>
      <c r="F43">
        <v>155.08448652586</v>
      </c>
      <c r="G43">
        <v>126.53823743626999</v>
      </c>
      <c r="I43" s="9">
        <f t="shared" si="1"/>
        <v>399.70740209860998</v>
      </c>
      <c r="J43" s="9">
        <f t="shared" si="2"/>
        <v>1887.4315018462401</v>
      </c>
      <c r="K43" s="9">
        <f t="shared" si="3"/>
        <v>399.70740209860998</v>
      </c>
      <c r="L43" s="10">
        <f t="shared" si="0"/>
        <v>0.21177319638229297</v>
      </c>
      <c r="M43" s="10">
        <f t="shared" si="4"/>
        <v>0.22502873036160342</v>
      </c>
      <c r="P43" s="8">
        <f t="shared" si="5"/>
        <v>-8.5289472554152788</v>
      </c>
    </row>
    <row r="44" spans="1:16" x14ac:dyDescent="0.2">
      <c r="A44" s="8">
        <v>21</v>
      </c>
      <c r="B44" s="8">
        <v>42</v>
      </c>
      <c r="D44">
        <v>2106.2805232557998</v>
      </c>
      <c r="E44">
        <v>538.90116279070003</v>
      </c>
      <c r="F44">
        <v>155.31463947559999</v>
      </c>
      <c r="G44">
        <v>125.93372177713</v>
      </c>
      <c r="I44" s="9">
        <f t="shared" si="1"/>
        <v>412.96744101357001</v>
      </c>
      <c r="J44" s="9">
        <f t="shared" si="2"/>
        <v>1950.9658837801999</v>
      </c>
      <c r="K44" s="9">
        <f t="shared" si="3"/>
        <v>412.96744101357001</v>
      </c>
      <c r="L44" s="10">
        <f t="shared" si="0"/>
        <v>0.21167332778439085</v>
      </c>
      <c r="M44" s="10">
        <f t="shared" si="4"/>
        <v>0.22525216747051377</v>
      </c>
      <c r="P44" s="8">
        <f t="shared" si="5"/>
        <v>-8.4381231746794825</v>
      </c>
    </row>
    <row r="45" spans="1:16" x14ac:dyDescent="0.2">
      <c r="A45" s="8">
        <v>21.5</v>
      </c>
      <c r="B45" s="8">
        <v>43</v>
      </c>
      <c r="D45">
        <v>2062.2289244185999</v>
      </c>
      <c r="E45">
        <v>530.23982558140005</v>
      </c>
      <c r="F45">
        <v>155.10269482883999</v>
      </c>
      <c r="G45">
        <v>126.02403495994</v>
      </c>
      <c r="I45" s="9">
        <f t="shared" si="1"/>
        <v>404.21579062146009</v>
      </c>
      <c r="J45" s="9">
        <f t="shared" si="2"/>
        <v>1907.12622958976</v>
      </c>
      <c r="K45" s="9">
        <f t="shared" si="3"/>
        <v>404.21579062146009</v>
      </c>
      <c r="L45" s="10">
        <f t="shared" si="0"/>
        <v>0.2119502025350522</v>
      </c>
      <c r="M45" s="10">
        <f t="shared" si="4"/>
        <v>0.22585234792798756</v>
      </c>
      <c r="P45" s="8">
        <f t="shared" si="5"/>
        <v>-8.1941581565520849</v>
      </c>
    </row>
    <row r="46" spans="1:16" x14ac:dyDescent="0.2">
      <c r="A46" s="8">
        <v>22</v>
      </c>
      <c r="B46" s="8">
        <v>44</v>
      </c>
      <c r="D46">
        <v>1853.3119533527999</v>
      </c>
      <c r="E46">
        <v>482.06997084547999</v>
      </c>
      <c r="F46">
        <v>155.17188638018999</v>
      </c>
      <c r="G46">
        <v>126.39766933721999</v>
      </c>
      <c r="I46" s="9">
        <f t="shared" si="1"/>
        <v>355.67230150825998</v>
      </c>
      <c r="J46" s="9">
        <f t="shared" si="2"/>
        <v>1698.1400669726099</v>
      </c>
      <c r="K46" s="9">
        <f t="shared" si="3"/>
        <v>355.67230150825998</v>
      </c>
      <c r="L46" s="10">
        <f t="shared" si="0"/>
        <v>0.2094481535568154</v>
      </c>
      <c r="M46" s="10">
        <f t="shared" si="4"/>
        <v>0.22367360465656322</v>
      </c>
      <c r="P46" s="8">
        <f t="shared" si="5"/>
        <v>-9.079787028817055</v>
      </c>
    </row>
    <row r="47" spans="1:16" x14ac:dyDescent="0.2">
      <c r="A47" s="8">
        <v>22.5</v>
      </c>
      <c r="B47" s="8">
        <v>45</v>
      </c>
      <c r="D47">
        <v>1831.1268221574001</v>
      </c>
      <c r="E47">
        <v>476.07069970845998</v>
      </c>
      <c r="F47">
        <v>154.86307356154001</v>
      </c>
      <c r="G47">
        <v>126.2847778587</v>
      </c>
      <c r="I47" s="9">
        <f t="shared" si="1"/>
        <v>349.78592184975997</v>
      </c>
      <c r="J47" s="9">
        <f t="shared" si="2"/>
        <v>1676.2637485958601</v>
      </c>
      <c r="K47" s="9">
        <f t="shared" si="3"/>
        <v>349.78592184975997</v>
      </c>
      <c r="L47" s="10">
        <f t="shared" si="0"/>
        <v>0.20866997937691001</v>
      </c>
      <c r="M47" s="10">
        <f t="shared" si="4"/>
        <v>0.22321873618347027</v>
      </c>
      <c r="P47" s="8">
        <f t="shared" si="5"/>
        <v>-9.2646847439989095</v>
      </c>
    </row>
    <row r="48" spans="1:16" x14ac:dyDescent="0.2">
      <c r="A48" s="8">
        <v>23</v>
      </c>
      <c r="B48" s="8">
        <v>46</v>
      </c>
      <c r="D48">
        <v>1840.7106413993999</v>
      </c>
      <c r="E48">
        <v>483.46282798834</v>
      </c>
      <c r="F48">
        <v>154.82592862345001</v>
      </c>
      <c r="G48">
        <v>125.90386016023</v>
      </c>
      <c r="I48" s="9">
        <f t="shared" si="1"/>
        <v>357.55896782810999</v>
      </c>
      <c r="J48" s="9">
        <f t="shared" si="2"/>
        <v>1685.88471277595</v>
      </c>
      <c r="K48" s="9">
        <f t="shared" si="3"/>
        <v>357.55896782810999</v>
      </c>
      <c r="L48" s="10">
        <f t="shared" si="0"/>
        <v>0.21208980965214358</v>
      </c>
      <c r="M48" s="10">
        <f t="shared" si="4"/>
        <v>0.2269618721655163</v>
      </c>
      <c r="P48" s="8">
        <f t="shared" si="5"/>
        <v>-7.7431519677454306</v>
      </c>
    </row>
    <row r="49" spans="1:25" x14ac:dyDescent="0.2">
      <c r="A49" s="8">
        <v>23.5</v>
      </c>
      <c r="B49" s="8">
        <v>47</v>
      </c>
      <c r="D49">
        <v>1879.5364431487001</v>
      </c>
      <c r="E49">
        <v>498.93804664723001</v>
      </c>
      <c r="F49">
        <v>155.18718135469999</v>
      </c>
      <c r="G49">
        <v>126.52367079388</v>
      </c>
      <c r="I49" s="9">
        <f t="shared" si="1"/>
        <v>372.41437585335001</v>
      </c>
      <c r="J49" s="9">
        <f t="shared" si="2"/>
        <v>1724.3492617940001</v>
      </c>
      <c r="K49" s="9">
        <f t="shared" si="3"/>
        <v>372.41437585335001</v>
      </c>
      <c r="L49" s="10">
        <f t="shared" si="0"/>
        <v>0.2159738656807223</v>
      </c>
      <c r="M49" s="10">
        <f t="shared" si="4"/>
        <v>0.23116923390090746</v>
      </c>
      <c r="P49" s="8">
        <f t="shared" si="5"/>
        <v>-6.0329178718809358</v>
      </c>
    </row>
    <row r="50" spans="1:25" x14ac:dyDescent="0.2">
      <c r="A50" s="8">
        <v>24</v>
      </c>
      <c r="B50" s="8">
        <v>48</v>
      </c>
      <c r="D50">
        <v>1816.6450437317999</v>
      </c>
      <c r="E50">
        <v>485.83163265306001</v>
      </c>
      <c r="F50">
        <v>155.07720320466001</v>
      </c>
      <c r="G50">
        <v>126.62927895120001</v>
      </c>
      <c r="I50" s="9">
        <f t="shared" si="1"/>
        <v>359.20235370186003</v>
      </c>
      <c r="J50" s="9">
        <f t="shared" si="2"/>
        <v>1661.5678405271399</v>
      </c>
      <c r="K50" s="9">
        <f t="shared" si="3"/>
        <v>359.20235370186003</v>
      </c>
      <c r="L50" s="10">
        <f t="shared" si="0"/>
        <v>0.21618277926461399</v>
      </c>
      <c r="M50" s="10">
        <f t="shared" si="4"/>
        <v>0.23170145319161162</v>
      </c>
      <c r="P50" s="8">
        <f t="shared" si="5"/>
        <v>-5.8165781239142822</v>
      </c>
    </row>
    <row r="51" spans="1:25" x14ac:dyDescent="0.2">
      <c r="A51" s="8">
        <v>24.5</v>
      </c>
      <c r="B51" s="8">
        <v>49</v>
      </c>
      <c r="D51">
        <v>1813.5583090379</v>
      </c>
      <c r="E51">
        <v>486.09183673468999</v>
      </c>
      <c r="F51">
        <v>155.44209759649999</v>
      </c>
      <c r="G51">
        <v>126.16023306628</v>
      </c>
      <c r="I51" s="9">
        <f t="shared" si="1"/>
        <v>359.93160366840999</v>
      </c>
      <c r="J51" s="9">
        <f t="shared" si="2"/>
        <v>1658.1162114414001</v>
      </c>
      <c r="K51" s="9">
        <f t="shared" si="3"/>
        <v>359.93160366840999</v>
      </c>
      <c r="L51" s="10">
        <f t="shared" si="0"/>
        <v>0.21707260394946717</v>
      </c>
      <c r="M51" s="10">
        <f t="shared" si="4"/>
        <v>0.23291458358327724</v>
      </c>
      <c r="P51" s="8">
        <f t="shared" si="5"/>
        <v>-5.3234574727699107</v>
      </c>
    </row>
    <row r="52" spans="1:25" x14ac:dyDescent="0.2">
      <c r="A52" s="8">
        <v>25</v>
      </c>
      <c r="B52" s="8">
        <v>50</v>
      </c>
      <c r="D52">
        <v>1817.7631195335</v>
      </c>
      <c r="E52">
        <v>487.42711370261998</v>
      </c>
      <c r="F52">
        <v>154.40786598688999</v>
      </c>
      <c r="G52">
        <v>125.81646030589999</v>
      </c>
      <c r="I52" s="9">
        <f t="shared" si="1"/>
        <v>361.61065339671995</v>
      </c>
      <c r="J52" s="9">
        <f t="shared" si="2"/>
        <v>1663.3552535466101</v>
      </c>
      <c r="K52" s="9">
        <f t="shared" si="3"/>
        <v>361.61065339671995</v>
      </c>
      <c r="L52" s="10">
        <f t="shared" si="0"/>
        <v>0.21739832944627605</v>
      </c>
      <c r="M52" s="10">
        <f t="shared" si="4"/>
        <v>0.23356361478689858</v>
      </c>
      <c r="P52" s="8">
        <f t="shared" si="5"/>
        <v>-5.0596353049785829</v>
      </c>
    </row>
    <row r="53" spans="1:25" x14ac:dyDescent="0.2">
      <c r="A53" s="8">
        <v>25.5</v>
      </c>
      <c r="B53" s="8">
        <v>51</v>
      </c>
      <c r="D53">
        <v>1774.5437317783999</v>
      </c>
      <c r="E53">
        <v>476.79956268222003</v>
      </c>
      <c r="F53">
        <v>155.29861616897</v>
      </c>
      <c r="G53">
        <v>125.76547705754</v>
      </c>
      <c r="I53" s="9">
        <f t="shared" si="1"/>
        <v>351.03408562468002</v>
      </c>
      <c r="J53" s="9">
        <f t="shared" si="2"/>
        <v>1619.2451156094298</v>
      </c>
      <c r="K53" s="9">
        <f t="shared" si="3"/>
        <v>351.03408562468002</v>
      </c>
      <c r="L53" s="10">
        <f t="shared" si="0"/>
        <v>0.21678872595676318</v>
      </c>
      <c r="M53" s="10">
        <f t="shared" si="4"/>
        <v>0.23327731700419815</v>
      </c>
      <c r="P53" s="8">
        <f t="shared" si="5"/>
        <v>-5.176011376336076</v>
      </c>
      <c r="S53" s="11"/>
      <c r="U53" s="12"/>
    </row>
    <row r="54" spans="1:25" x14ac:dyDescent="0.2">
      <c r="A54" s="8">
        <v>26</v>
      </c>
      <c r="B54" s="8">
        <v>52</v>
      </c>
      <c r="D54">
        <v>1776.6107871720001</v>
      </c>
      <c r="E54">
        <v>477.14650145772998</v>
      </c>
      <c r="F54">
        <v>154.63729060451999</v>
      </c>
      <c r="G54">
        <v>126.21704297159999</v>
      </c>
      <c r="I54" s="9">
        <f t="shared" si="1"/>
        <v>350.92945848612999</v>
      </c>
      <c r="J54" s="9">
        <f t="shared" si="2"/>
        <v>1621.9734965674802</v>
      </c>
      <c r="K54" s="9">
        <f t="shared" si="3"/>
        <v>350.92945848612999</v>
      </c>
      <c r="L54" s="10">
        <f t="shared" si="0"/>
        <v>0.21635955163804368</v>
      </c>
      <c r="M54" s="10">
        <f t="shared" si="4"/>
        <v>0.23317144839229109</v>
      </c>
      <c r="P54" s="8">
        <f t="shared" si="5"/>
        <v>-5.2190454963268236</v>
      </c>
      <c r="S54" s="11"/>
    </row>
    <row r="55" spans="1:25" x14ac:dyDescent="0.2">
      <c r="A55" s="8">
        <v>26.5</v>
      </c>
      <c r="B55" s="8">
        <v>53</v>
      </c>
      <c r="D55">
        <v>1783.8338192419999</v>
      </c>
      <c r="E55">
        <v>478.54956268222003</v>
      </c>
      <c r="F55">
        <v>154.93590677348999</v>
      </c>
      <c r="G55">
        <v>126.17625637291</v>
      </c>
      <c r="I55" s="9">
        <f t="shared" si="1"/>
        <v>352.37330630931001</v>
      </c>
      <c r="J55" s="9">
        <f t="shared" si="2"/>
        <v>1628.89791246851</v>
      </c>
      <c r="K55" s="9">
        <f t="shared" si="3"/>
        <v>352.37330630931001</v>
      </c>
      <c r="L55" s="10">
        <f t="shared" si="0"/>
        <v>0.21632620657933474</v>
      </c>
      <c r="M55" s="10">
        <f t="shared" si="4"/>
        <v>0.23346140904039461</v>
      </c>
      <c r="P55" s="8">
        <f t="shared" si="5"/>
        <v>-5.101180521068283</v>
      </c>
      <c r="S55" s="11"/>
    </row>
    <row r="56" spans="1:25" x14ac:dyDescent="0.2">
      <c r="A56" s="8">
        <v>27</v>
      </c>
      <c r="B56" s="8">
        <v>54</v>
      </c>
      <c r="D56">
        <v>1836.4460641399</v>
      </c>
      <c r="E56">
        <v>487.79446064140001</v>
      </c>
      <c r="F56">
        <v>155.45593590677001</v>
      </c>
      <c r="G56">
        <v>126.05171158048</v>
      </c>
      <c r="I56" s="9">
        <f t="shared" si="1"/>
        <v>361.74274906092</v>
      </c>
      <c r="J56" s="9">
        <f t="shared" si="2"/>
        <v>1680.99012823313</v>
      </c>
      <c r="K56" s="9">
        <f t="shared" si="3"/>
        <v>361.74274906092</v>
      </c>
      <c r="L56" s="10">
        <f t="shared" si="0"/>
        <v>0.21519623642355579</v>
      </c>
      <c r="M56" s="10">
        <f t="shared" si="4"/>
        <v>0.2326547445914281</v>
      </c>
      <c r="P56" s="8">
        <f t="shared" si="5"/>
        <v>-5.4290784132175585</v>
      </c>
      <c r="S56" s="11"/>
    </row>
    <row r="57" spans="1:25" x14ac:dyDescent="0.2">
      <c r="A57" s="8">
        <v>27.5</v>
      </c>
      <c r="B57" s="8">
        <v>55</v>
      </c>
      <c r="D57">
        <v>1839.0648688046999</v>
      </c>
      <c r="E57">
        <v>489.80903790088001</v>
      </c>
      <c r="F57">
        <v>155.18790968682001</v>
      </c>
      <c r="G57">
        <v>126.31609613984</v>
      </c>
      <c r="I57" s="9">
        <f t="shared" si="1"/>
        <v>363.49294176104002</v>
      </c>
      <c r="J57" s="9">
        <f t="shared" si="2"/>
        <v>1683.87695911788</v>
      </c>
      <c r="K57" s="9">
        <f t="shared" si="3"/>
        <v>363.49294176104002</v>
      </c>
      <c r="L57" s="10">
        <f t="shared" si="0"/>
        <v>0.21586668776052398</v>
      </c>
      <c r="M57" s="10">
        <f t="shared" si="4"/>
        <v>0.23364850163520876</v>
      </c>
      <c r="P57" s="8">
        <f t="shared" si="5"/>
        <v>-5.0251299804068061</v>
      </c>
      <c r="S57" s="11"/>
    </row>
    <row r="58" spans="1:25" x14ac:dyDescent="0.2">
      <c r="A58" s="8">
        <v>28</v>
      </c>
      <c r="B58" s="8">
        <v>56</v>
      </c>
      <c r="D58">
        <v>1909.9555393585999</v>
      </c>
      <c r="E58">
        <v>506.12099125364</v>
      </c>
      <c r="F58">
        <v>155.12308812819001</v>
      </c>
      <c r="G58">
        <v>125.82738528769001</v>
      </c>
      <c r="I58" s="9">
        <f t="shared" si="1"/>
        <v>380.29360596595001</v>
      </c>
      <c r="J58" s="9">
        <f t="shared" si="2"/>
        <v>1754.83245123041</v>
      </c>
      <c r="K58" s="9">
        <f t="shared" si="3"/>
        <v>380.29360596595001</v>
      </c>
      <c r="L58" s="10">
        <f t="shared" si="0"/>
        <v>0.21671220275149639</v>
      </c>
      <c r="M58" s="10">
        <f t="shared" si="4"/>
        <v>0.2348173223329936</v>
      </c>
      <c r="P58" s="8">
        <f t="shared" si="5"/>
        <v>-4.5500206042651969</v>
      </c>
      <c r="S58" s="11"/>
    </row>
    <row r="59" spans="1:25" x14ac:dyDescent="0.2">
      <c r="A59" s="8">
        <v>28.5</v>
      </c>
      <c r="B59" s="8">
        <v>57</v>
      </c>
      <c r="D59">
        <v>1912.6268221574001</v>
      </c>
      <c r="E59">
        <v>507.43950437318</v>
      </c>
      <c r="F59">
        <v>155.68681718863999</v>
      </c>
      <c r="G59">
        <v>126.08084486526</v>
      </c>
      <c r="I59" s="9">
        <f t="shared" si="1"/>
        <v>381.35865950791998</v>
      </c>
      <c r="J59" s="9">
        <f t="shared" si="2"/>
        <v>1756.9400049687601</v>
      </c>
      <c r="K59" s="9">
        <f t="shared" si="3"/>
        <v>381.35865950791998</v>
      </c>
      <c r="L59" s="10">
        <f t="shared" si="0"/>
        <v>0.2170584416254446</v>
      </c>
      <c r="M59" s="10">
        <f t="shared" si="4"/>
        <v>0.23548686691375428</v>
      </c>
      <c r="P59" s="8">
        <f t="shared" si="5"/>
        <v>-4.2778600336429609</v>
      </c>
      <c r="R59" s="1"/>
      <c r="S59" s="11"/>
    </row>
    <row r="60" spans="1:25" x14ac:dyDescent="0.2">
      <c r="A60" s="8">
        <v>29</v>
      </c>
      <c r="B60" s="8">
        <v>58</v>
      </c>
      <c r="D60">
        <v>1919.9074344022999</v>
      </c>
      <c r="E60">
        <v>509.48542274053</v>
      </c>
      <c r="F60">
        <v>155.16897305171</v>
      </c>
      <c r="G60">
        <v>126.17407137655</v>
      </c>
      <c r="I60" s="9">
        <f t="shared" si="1"/>
        <v>383.31135136398001</v>
      </c>
      <c r="J60" s="9">
        <f t="shared" si="2"/>
        <v>1764.7384613505899</v>
      </c>
      <c r="K60" s="9">
        <f t="shared" si="3"/>
        <v>383.31135136398001</v>
      </c>
      <c r="L60" s="10">
        <f t="shared" si="0"/>
        <v>0.21720575584363028</v>
      </c>
      <c r="M60" s="10">
        <f t="shared" si="4"/>
        <v>0.23595748683875239</v>
      </c>
      <c r="P60" s="8">
        <f t="shared" si="5"/>
        <v>-4.0865595720842078</v>
      </c>
      <c r="S60" s="11"/>
    </row>
    <row r="61" spans="1:25" x14ac:dyDescent="0.2">
      <c r="A61" s="8">
        <v>29.5</v>
      </c>
      <c r="B61" s="8">
        <v>59</v>
      </c>
      <c r="C61" s="2"/>
      <c r="D61">
        <v>1912.0058309038</v>
      </c>
      <c r="E61">
        <v>511.02040816327002</v>
      </c>
      <c r="F61">
        <v>155.79752367079001</v>
      </c>
      <c r="G61">
        <v>126.55790240349999</v>
      </c>
      <c r="I61" s="9">
        <f t="shared" si="1"/>
        <v>384.46250575977001</v>
      </c>
      <c r="J61" s="9">
        <f t="shared" si="2"/>
        <v>1756.2083072330099</v>
      </c>
      <c r="K61" s="9">
        <f t="shared" si="3"/>
        <v>384.46250575977001</v>
      </c>
      <c r="L61" s="10">
        <f t="shared" si="0"/>
        <v>0.21891623230362067</v>
      </c>
      <c r="M61" s="10">
        <f t="shared" si="4"/>
        <v>0.23799126900555526</v>
      </c>
      <c r="P61" s="8">
        <f t="shared" si="5"/>
        <v>-3.2598553750170991</v>
      </c>
      <c r="S61" s="11"/>
    </row>
    <row r="62" spans="1:25" x14ac:dyDescent="0.2">
      <c r="A62" s="8">
        <v>30</v>
      </c>
      <c r="B62" s="8">
        <v>60</v>
      </c>
      <c r="D62">
        <v>1905.8586005831</v>
      </c>
      <c r="E62">
        <v>510.09256559766999</v>
      </c>
      <c r="F62">
        <v>154.69847050255001</v>
      </c>
      <c r="G62">
        <v>126.0262199563</v>
      </c>
      <c r="I62" s="9">
        <f t="shared" si="1"/>
        <v>384.06634564136999</v>
      </c>
      <c r="J62" s="9">
        <f t="shared" si="2"/>
        <v>1751.1601300805501</v>
      </c>
      <c r="K62" s="9">
        <f t="shared" si="3"/>
        <v>384.06634564136999</v>
      </c>
      <c r="L62" s="10">
        <f t="shared" si="0"/>
        <v>0.21932108837111525</v>
      </c>
      <c r="M62" s="10">
        <f t="shared" si="4"/>
        <v>0.23871943077986227</v>
      </c>
      <c r="P62" s="8">
        <f t="shared" si="5"/>
        <v>-2.9638677295409104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1903.9227405248</v>
      </c>
      <c r="E63">
        <v>510.25145772594999</v>
      </c>
      <c r="F63">
        <v>155.91332847779</v>
      </c>
      <c r="G63">
        <v>126.31609613984</v>
      </c>
      <c r="I63" s="9">
        <f t="shared" si="1"/>
        <v>383.93536158610999</v>
      </c>
      <c r="J63" s="9">
        <f t="shared" si="2"/>
        <v>1748.0094120470101</v>
      </c>
      <c r="K63" s="9">
        <f t="shared" si="3"/>
        <v>383.93536158610999</v>
      </c>
      <c r="L63" s="10">
        <f t="shared" si="0"/>
        <v>0.21964147271753057</v>
      </c>
      <c r="M63" s="10">
        <f t="shared" si="4"/>
        <v>0.23936312083309003</v>
      </c>
      <c r="P63" s="8">
        <f t="shared" si="5"/>
        <v>-2.7022166651841641</v>
      </c>
    </row>
    <row r="64" spans="1:25" x14ac:dyDescent="0.2">
      <c r="A64" s="8">
        <v>31</v>
      </c>
      <c r="B64" s="8">
        <v>62</v>
      </c>
      <c r="D64">
        <v>1898.6778425656</v>
      </c>
      <c r="E64">
        <v>508.08163265306001</v>
      </c>
      <c r="F64">
        <v>155.25273124545001</v>
      </c>
      <c r="G64">
        <v>125.9774217043</v>
      </c>
      <c r="I64" s="9">
        <f t="shared" si="1"/>
        <v>382.10421094876</v>
      </c>
      <c r="J64" s="9">
        <f t="shared" si="2"/>
        <v>1743.4251113201501</v>
      </c>
      <c r="K64" s="9">
        <f t="shared" si="3"/>
        <v>382.10421094876</v>
      </c>
      <c r="L64" s="10">
        <f t="shared" si="0"/>
        <v>0.21916869756420132</v>
      </c>
      <c r="M64" s="10">
        <f t="shared" si="4"/>
        <v>0.23921365138657325</v>
      </c>
      <c r="P64" s="8">
        <f t="shared" si="5"/>
        <v>-2.7629739187316127</v>
      </c>
      <c r="U64" s="8">
        <v>30.5</v>
      </c>
      <c r="V64" s="10">
        <f>L62</f>
        <v>0.21932108837111525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1890.8513119534</v>
      </c>
      <c r="E65">
        <v>509.13046647229999</v>
      </c>
      <c r="F65">
        <v>155.12454479242999</v>
      </c>
      <c r="G65">
        <v>125.82957028405001</v>
      </c>
      <c r="I65" s="9">
        <f t="shared" si="1"/>
        <v>383.30089618824996</v>
      </c>
      <c r="J65" s="9">
        <f t="shared" si="2"/>
        <v>1735.72676716097</v>
      </c>
      <c r="K65" s="9">
        <f t="shared" si="3"/>
        <v>383.30089618824996</v>
      </c>
      <c r="L65" s="10">
        <f t="shared" si="0"/>
        <v>0.22083020406212525</v>
      </c>
      <c r="M65" s="10">
        <f t="shared" si="4"/>
        <v>0.24119846359130961</v>
      </c>
      <c r="P65" s="8">
        <f t="shared" si="5"/>
        <v>-1.9561753309433123</v>
      </c>
      <c r="U65" s="8">
        <v>31</v>
      </c>
      <c r="V65" s="10">
        <f t="shared" ref="V65:V83" si="6">L63</f>
        <v>0.21964147271753057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1904.3790087463999</v>
      </c>
      <c r="E66">
        <v>516.42638483965004</v>
      </c>
      <c r="F66">
        <v>154.96649672250999</v>
      </c>
      <c r="G66">
        <v>126.08812818645001</v>
      </c>
      <c r="I66" s="9">
        <f t="shared" si="1"/>
        <v>390.33825665320001</v>
      </c>
      <c r="J66" s="9">
        <f t="shared" si="2"/>
        <v>1749.41251202389</v>
      </c>
      <c r="K66" s="9">
        <f t="shared" si="3"/>
        <v>390.33825665320001</v>
      </c>
      <c r="L66" s="10">
        <f t="shared" ref="L66:L129" si="7">K66/J66</f>
        <v>0.22312533720341285</v>
      </c>
      <c r="M66" s="10">
        <f t="shared" si="4"/>
        <v>0.24381690243940968</v>
      </c>
      <c r="P66" s="8">
        <f t="shared" si="5"/>
        <v>-0.8918163151049584</v>
      </c>
      <c r="U66" s="8">
        <v>31.5</v>
      </c>
      <c r="V66" s="10">
        <f t="shared" si="6"/>
        <v>0.21916869756420132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1907.3862973760999</v>
      </c>
      <c r="E67">
        <v>517.50801749271</v>
      </c>
      <c r="F67">
        <v>155.29715950472999</v>
      </c>
      <c r="G67">
        <v>125.96067006555</v>
      </c>
      <c r="I67" s="9">
        <f t="shared" ref="I67:I130" si="8">E67-G67</f>
        <v>391.54734742715999</v>
      </c>
      <c r="J67" s="9">
        <f t="shared" ref="J67:J130" si="9">D67-F67</f>
        <v>1752.08913787137</v>
      </c>
      <c r="K67" s="9">
        <f t="shared" ref="K67:K130" si="10">I67*1</f>
        <v>391.54734742715999</v>
      </c>
      <c r="L67" s="10">
        <f t="shared" si="7"/>
        <v>0.22347455900722873</v>
      </c>
      <c r="M67" s="10">
        <f t="shared" ref="M67:M130" si="11">L67+ABS($N$2)*A67</f>
        <v>0.244489429950038</v>
      </c>
      <c r="P67" s="8">
        <f t="shared" ref="P67:P130" si="12">(M67-$O$2)/$O$2*100</f>
        <v>-0.61844322493102821</v>
      </c>
      <c r="U67" s="8">
        <v>32</v>
      </c>
      <c r="V67" s="10">
        <f t="shared" si="6"/>
        <v>0.22083020406212525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1899.1399416910001</v>
      </c>
      <c r="E68">
        <v>514.30539358601004</v>
      </c>
      <c r="F68">
        <v>155.52148579752</v>
      </c>
      <c r="G68">
        <v>126.57174071377</v>
      </c>
      <c r="I68" s="9">
        <f t="shared" si="8"/>
        <v>387.73365287224004</v>
      </c>
      <c r="J68" s="9">
        <f t="shared" si="9"/>
        <v>1743.6184558934801</v>
      </c>
      <c r="K68" s="9">
        <f t="shared" si="10"/>
        <v>387.73365287224004</v>
      </c>
      <c r="L68" s="10">
        <f t="shared" si="7"/>
        <v>0.22237299195915783</v>
      </c>
      <c r="M68" s="10">
        <f t="shared" si="11"/>
        <v>0.24371116860877956</v>
      </c>
      <c r="P68" s="8">
        <f t="shared" si="12"/>
        <v>-0.93479564837903839</v>
      </c>
      <c r="U68" s="8">
        <v>32.5</v>
      </c>
      <c r="V68" s="10">
        <f t="shared" si="6"/>
        <v>0.22312533720341285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1902.9832361516001</v>
      </c>
      <c r="E69">
        <v>517.10349854227002</v>
      </c>
      <c r="F69">
        <v>155.15804806992</v>
      </c>
      <c r="G69">
        <v>125.92643845594</v>
      </c>
      <c r="I69" s="9">
        <f t="shared" si="8"/>
        <v>391.17706008633002</v>
      </c>
      <c r="J69" s="9">
        <f t="shared" si="9"/>
        <v>1747.8251880816802</v>
      </c>
      <c r="K69" s="9">
        <f t="shared" si="10"/>
        <v>391.17706008633002</v>
      </c>
      <c r="L69" s="10">
        <f t="shared" si="7"/>
        <v>0.22380788579644234</v>
      </c>
      <c r="M69" s="10">
        <f t="shared" si="11"/>
        <v>0.24546936815287651</v>
      </c>
      <c r="P69" s="8">
        <f t="shared" si="12"/>
        <v>-0.22011195898895528</v>
      </c>
      <c r="U69" s="8">
        <v>33</v>
      </c>
      <c r="V69" s="10">
        <f t="shared" si="6"/>
        <v>0.22347455900722873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1901.4190962099001</v>
      </c>
      <c r="E70">
        <v>514.16472303207001</v>
      </c>
      <c r="F70">
        <v>154.78441369263999</v>
      </c>
      <c r="G70">
        <v>126.42753095412</v>
      </c>
      <c r="I70" s="9">
        <f t="shared" si="8"/>
        <v>387.73719207795</v>
      </c>
      <c r="J70" s="9">
        <f t="shared" si="9"/>
        <v>1746.63468251726</v>
      </c>
      <c r="K70" s="9">
        <f t="shared" si="10"/>
        <v>387.73719207795</v>
      </c>
      <c r="L70" s="10">
        <f t="shared" si="7"/>
        <v>0.22199100702565971</v>
      </c>
      <c r="M70" s="10">
        <f t="shared" si="11"/>
        <v>0.24397579508890635</v>
      </c>
      <c r="P70" s="8">
        <f t="shared" si="12"/>
        <v>-0.82722866045534182</v>
      </c>
      <c r="U70" s="8">
        <v>33.5</v>
      </c>
      <c r="V70" s="10">
        <f t="shared" si="6"/>
        <v>0.22237299195915783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1899.7988338191999</v>
      </c>
      <c r="E71">
        <v>513.08454810496005</v>
      </c>
      <c r="F71">
        <v>155.03787327021001</v>
      </c>
      <c r="G71">
        <v>125.79461034232</v>
      </c>
      <c r="I71" s="9">
        <f t="shared" si="8"/>
        <v>387.28993776264008</v>
      </c>
      <c r="J71" s="9">
        <f t="shared" si="9"/>
        <v>1744.7609605489899</v>
      </c>
      <c r="K71" s="9">
        <f t="shared" si="10"/>
        <v>387.28993776264008</v>
      </c>
      <c r="L71" s="10">
        <f t="shared" si="7"/>
        <v>0.22197306480354712</v>
      </c>
      <c r="M71" s="10">
        <f t="shared" si="11"/>
        <v>0.24428115857360619</v>
      </c>
      <c r="P71" s="8">
        <f t="shared" si="12"/>
        <v>-0.70310264609990925</v>
      </c>
      <c r="U71" s="8">
        <v>34</v>
      </c>
      <c r="V71" s="10">
        <f t="shared" si="6"/>
        <v>0.22380788579644234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1905.1793002915999</v>
      </c>
      <c r="E72">
        <v>516.82871720116998</v>
      </c>
      <c r="F72">
        <v>154.93954843409</v>
      </c>
      <c r="G72">
        <v>126.36926438456</v>
      </c>
      <c r="I72" s="9">
        <f t="shared" si="8"/>
        <v>390.45945281661</v>
      </c>
      <c r="J72" s="9">
        <f t="shared" si="9"/>
        <v>1750.2397518575099</v>
      </c>
      <c r="K72" s="9">
        <f t="shared" si="10"/>
        <v>390.45945281661</v>
      </c>
      <c r="L72" s="10">
        <f t="shared" si="7"/>
        <v>0.22308912387701157</v>
      </c>
      <c r="M72" s="10">
        <f t="shared" si="11"/>
        <v>0.24572052335388311</v>
      </c>
      <c r="P72" s="8">
        <f t="shared" si="12"/>
        <v>-0.11802085888171437</v>
      </c>
      <c r="U72" s="8">
        <v>34.5</v>
      </c>
      <c r="V72" s="10">
        <f t="shared" si="6"/>
        <v>0.22199100702565971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1887.2427113703</v>
      </c>
      <c r="E73">
        <v>515.29008746355998</v>
      </c>
      <c r="F73">
        <v>155.33139111435</v>
      </c>
      <c r="G73">
        <v>125.79169701383999</v>
      </c>
      <c r="I73" s="9">
        <f t="shared" si="8"/>
        <v>389.49839044971998</v>
      </c>
      <c r="J73" s="9">
        <f t="shared" si="9"/>
        <v>1731.9113202559499</v>
      </c>
      <c r="K73" s="9">
        <f t="shared" si="10"/>
        <v>389.49839044971998</v>
      </c>
      <c r="L73" s="10">
        <f t="shared" si="7"/>
        <v>0.22489511206160259</v>
      </c>
      <c r="M73" s="10">
        <f t="shared" si="11"/>
        <v>0.24784981724528657</v>
      </c>
      <c r="P73" s="8">
        <f t="shared" si="12"/>
        <v>0.74750752736616377</v>
      </c>
      <c r="U73" s="8">
        <v>35</v>
      </c>
      <c r="V73" s="10">
        <f t="shared" si="6"/>
        <v>0.22197306480354712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1837.7128279883</v>
      </c>
      <c r="E74">
        <v>500.82580174927</v>
      </c>
      <c r="F74">
        <v>154.95775673707001</v>
      </c>
      <c r="G74">
        <v>126.08885651857</v>
      </c>
      <c r="I74" s="9">
        <f t="shared" si="8"/>
        <v>374.73694523070003</v>
      </c>
      <c r="J74" s="9">
        <f t="shared" si="9"/>
        <v>1682.75507125123</v>
      </c>
      <c r="K74" s="9">
        <f t="shared" si="10"/>
        <v>374.73694523070003</v>
      </c>
      <c r="L74" s="10">
        <f t="shared" si="7"/>
        <v>0.22269250684953246</v>
      </c>
      <c r="M74" s="10">
        <f t="shared" si="11"/>
        <v>0.24597051774002887</v>
      </c>
      <c r="P74" s="8">
        <f t="shared" si="12"/>
        <v>-1.6401613889118059E-2</v>
      </c>
      <c r="U74" s="8">
        <v>35.5</v>
      </c>
      <c r="V74" s="10">
        <f t="shared" si="6"/>
        <v>0.22308912387701157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1914.8267543859999</v>
      </c>
      <c r="E75">
        <v>516.79897660818995</v>
      </c>
      <c r="F75">
        <v>156.04369992717</v>
      </c>
      <c r="G75">
        <v>126.38018936635</v>
      </c>
      <c r="I75" s="9">
        <f t="shared" si="8"/>
        <v>390.41878724183994</v>
      </c>
      <c r="J75" s="9">
        <f t="shared" si="9"/>
        <v>1758.7830544588301</v>
      </c>
      <c r="K75" s="9">
        <f t="shared" si="10"/>
        <v>390.41878724183994</v>
      </c>
      <c r="L75" s="10">
        <f t="shared" si="7"/>
        <v>0.22198234526541427</v>
      </c>
      <c r="M75" s="10">
        <f t="shared" si="11"/>
        <v>0.24558366186272315</v>
      </c>
      <c r="P75" s="8">
        <f t="shared" si="12"/>
        <v>-0.17365315372903706</v>
      </c>
      <c r="U75" s="8">
        <v>36</v>
      </c>
      <c r="V75" s="10">
        <f t="shared" si="6"/>
        <v>0.22489511206160259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1959.5527272726999</v>
      </c>
      <c r="E76">
        <v>523.04727272726996</v>
      </c>
      <c r="F76">
        <v>155.67807720320999</v>
      </c>
      <c r="G76">
        <v>126.33867443554</v>
      </c>
      <c r="I76" s="9">
        <f t="shared" si="8"/>
        <v>396.70859829172997</v>
      </c>
      <c r="J76" s="9">
        <f t="shared" si="9"/>
        <v>1803.8746500694899</v>
      </c>
      <c r="K76" s="9">
        <f t="shared" si="10"/>
        <v>396.70859829172997</v>
      </c>
      <c r="L76" s="10">
        <f t="shared" si="7"/>
        <v>0.21992026900341868</v>
      </c>
      <c r="M76" s="10">
        <f t="shared" si="11"/>
        <v>0.24384489130754</v>
      </c>
      <c r="P76" s="8">
        <f t="shared" si="12"/>
        <v>-0.88043922903734329</v>
      </c>
      <c r="U76" s="8">
        <v>36.5</v>
      </c>
      <c r="V76" s="10">
        <f t="shared" si="6"/>
        <v>0.22269250684953246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1935.5941818182</v>
      </c>
      <c r="E77">
        <v>523.26181818181999</v>
      </c>
      <c r="F77">
        <v>155.1908230153</v>
      </c>
      <c r="G77">
        <v>126.12235979607</v>
      </c>
      <c r="I77" s="9">
        <f t="shared" si="8"/>
        <v>397.13945838575</v>
      </c>
      <c r="J77" s="9">
        <f t="shared" si="9"/>
        <v>1780.4033588029001</v>
      </c>
      <c r="K77" s="9">
        <f t="shared" si="10"/>
        <v>397.13945838575</v>
      </c>
      <c r="L77" s="10">
        <f t="shared" si="7"/>
        <v>0.22306150818136902</v>
      </c>
      <c r="M77" s="10">
        <f t="shared" si="11"/>
        <v>0.24730943619230281</v>
      </c>
      <c r="P77" s="8">
        <f t="shared" si="12"/>
        <v>0.52785013641780298</v>
      </c>
      <c r="U77" s="8">
        <v>37</v>
      </c>
      <c r="V77" s="10">
        <f t="shared" si="6"/>
        <v>0.22198234526541427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1895.0203784570999</v>
      </c>
      <c r="E78">
        <v>519.52692867539997</v>
      </c>
      <c r="F78">
        <v>154.70721048798001</v>
      </c>
      <c r="G78">
        <v>126.11798980335</v>
      </c>
      <c r="I78" s="9">
        <f t="shared" si="8"/>
        <v>393.40893887204999</v>
      </c>
      <c r="J78" s="9">
        <f t="shared" si="9"/>
        <v>1740.3131679691198</v>
      </c>
      <c r="K78" s="9">
        <f t="shared" si="10"/>
        <v>393.40893887204999</v>
      </c>
      <c r="L78" s="10">
        <f t="shared" si="7"/>
        <v>0.22605640531419036</v>
      </c>
      <c r="M78" s="10">
        <f t="shared" si="11"/>
        <v>0.25062763903193658</v>
      </c>
      <c r="P78" s="8">
        <f t="shared" si="12"/>
        <v>1.876653493543089</v>
      </c>
      <c r="U78" s="8">
        <v>37.5</v>
      </c>
      <c r="V78" s="10">
        <f t="shared" si="6"/>
        <v>0.21992026900341868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1868.3668122270999</v>
      </c>
      <c r="E79">
        <v>521.49781659388998</v>
      </c>
      <c r="F79">
        <v>155.08958485068999</v>
      </c>
      <c r="G79">
        <v>126.00072833212</v>
      </c>
      <c r="I79" s="9">
        <f t="shared" si="8"/>
        <v>395.49708826176999</v>
      </c>
      <c r="J79" s="9">
        <f t="shared" si="9"/>
        <v>1713.2772273764099</v>
      </c>
      <c r="K79" s="9">
        <f t="shared" si="10"/>
        <v>395.49708826176999</v>
      </c>
      <c r="L79" s="10">
        <f t="shared" si="7"/>
        <v>0.2308424357378554</v>
      </c>
      <c r="M79" s="10">
        <f t="shared" si="11"/>
        <v>0.25573697516241406</v>
      </c>
      <c r="P79" s="8">
        <f t="shared" si="12"/>
        <v>3.9535276505883399</v>
      </c>
      <c r="U79" s="8">
        <v>38</v>
      </c>
      <c r="V79" s="10">
        <f t="shared" si="6"/>
        <v>0.22306150818136902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1878.6855895197</v>
      </c>
      <c r="E80">
        <v>526.51018922852995</v>
      </c>
      <c r="F80">
        <v>155.47487254187999</v>
      </c>
      <c r="G80">
        <v>126.57902403496</v>
      </c>
      <c r="I80" s="9">
        <f t="shared" si="8"/>
        <v>399.93116519356994</v>
      </c>
      <c r="J80" s="9">
        <f t="shared" si="9"/>
        <v>1723.2107169778201</v>
      </c>
      <c r="K80" s="9">
        <f t="shared" si="10"/>
        <v>399.93116519356994</v>
      </c>
      <c r="L80" s="10">
        <f t="shared" si="7"/>
        <v>0.2320848873868265</v>
      </c>
      <c r="M80" s="10">
        <f t="shared" si="11"/>
        <v>0.25730273251819763</v>
      </c>
      <c r="P80" s="8">
        <f t="shared" si="12"/>
        <v>4.5899862638772069</v>
      </c>
      <c r="U80" s="8">
        <v>38.5</v>
      </c>
      <c r="V80" s="10">
        <f t="shared" si="6"/>
        <v>0.22605640531419036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1881.7962154294</v>
      </c>
      <c r="E81">
        <v>524.26419213973998</v>
      </c>
      <c r="F81">
        <v>155.11871813547</v>
      </c>
      <c r="G81">
        <v>126.27967953387</v>
      </c>
      <c r="I81" s="9">
        <f t="shared" si="8"/>
        <v>397.98451260587001</v>
      </c>
      <c r="J81" s="9">
        <f t="shared" si="9"/>
        <v>1726.6774972939299</v>
      </c>
      <c r="K81" s="9">
        <f t="shared" si="10"/>
        <v>397.98451260587001</v>
      </c>
      <c r="L81" s="10">
        <f t="shared" si="7"/>
        <v>0.23049151519585806</v>
      </c>
      <c r="M81" s="10">
        <f t="shared" si="11"/>
        <v>0.25603266603404162</v>
      </c>
      <c r="P81" s="8">
        <f t="shared" si="12"/>
        <v>4.073721882103909</v>
      </c>
      <c r="U81" s="8">
        <v>39</v>
      </c>
      <c r="V81" s="10">
        <f t="shared" si="6"/>
        <v>0.2308424357378554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1922.9257641920999</v>
      </c>
      <c r="E82">
        <v>539.79330422124997</v>
      </c>
      <c r="F82">
        <v>154.77348871084999</v>
      </c>
      <c r="G82">
        <v>126.06045156591</v>
      </c>
      <c r="H82" s="13"/>
      <c r="I82" s="14">
        <f t="shared" si="8"/>
        <v>413.73285265533997</v>
      </c>
      <c r="J82" s="14">
        <f t="shared" si="9"/>
        <v>1768.1522754812499</v>
      </c>
      <c r="K82" s="9">
        <f t="shared" si="10"/>
        <v>413.73285265533997</v>
      </c>
      <c r="L82" s="15">
        <f t="shared" si="7"/>
        <v>0.23399164110044285</v>
      </c>
      <c r="M82" s="15">
        <f t="shared" si="11"/>
        <v>0.25985609764543888</v>
      </c>
      <c r="N82" s="13"/>
      <c r="O82" s="13"/>
      <c r="P82" s="13">
        <f t="shared" si="12"/>
        <v>5.6278937162045457</v>
      </c>
      <c r="U82" s="8">
        <v>39.5</v>
      </c>
      <c r="V82" s="10">
        <f t="shared" si="6"/>
        <v>0.2320848873868265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1816.7663755459</v>
      </c>
      <c r="E83">
        <v>509.33551673944999</v>
      </c>
      <c r="F83">
        <v>155.43554260742999</v>
      </c>
      <c r="G83">
        <v>126.16314639476001</v>
      </c>
      <c r="I83" s="9">
        <f t="shared" si="8"/>
        <v>383.17237034468997</v>
      </c>
      <c r="J83" s="9">
        <f t="shared" si="9"/>
        <v>1661.3308329384699</v>
      </c>
      <c r="K83" s="9">
        <f t="shared" si="10"/>
        <v>383.17237034468997</v>
      </c>
      <c r="L83" s="10">
        <f t="shared" si="7"/>
        <v>0.23064182205476552</v>
      </c>
      <c r="M83" s="10">
        <f t="shared" si="11"/>
        <v>0.25682958430657399</v>
      </c>
      <c r="P83" s="8">
        <f t="shared" si="12"/>
        <v>4.3976580889286767</v>
      </c>
      <c r="U83" s="8">
        <v>40</v>
      </c>
      <c r="V83" s="10">
        <f t="shared" si="6"/>
        <v>0.23049151519585806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1937.1705539359</v>
      </c>
      <c r="E84">
        <v>542.34183673468999</v>
      </c>
      <c r="F84">
        <v>154.79461034232</v>
      </c>
      <c r="G84">
        <v>125.87108521486</v>
      </c>
      <c r="I84" s="9">
        <f t="shared" si="8"/>
        <v>416.47075151983</v>
      </c>
      <c r="J84" s="9">
        <f t="shared" si="9"/>
        <v>1782.3759435935799</v>
      </c>
      <c r="K84" s="9">
        <f t="shared" si="10"/>
        <v>416.47075151983</v>
      </c>
      <c r="L84" s="10">
        <f t="shared" si="7"/>
        <v>0.23366044240933398</v>
      </c>
      <c r="M84" s="10">
        <f t="shared" si="11"/>
        <v>0.26017151036795494</v>
      </c>
      <c r="P84" s="8">
        <f t="shared" si="12"/>
        <v>5.7561046061261045</v>
      </c>
      <c r="U84" s="8">
        <v>150.5</v>
      </c>
      <c r="V84" s="10">
        <f>L302</f>
        <v>0.30759774319639333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1974.6749271137001</v>
      </c>
      <c r="E85">
        <v>552.30393586006005</v>
      </c>
      <c r="F85">
        <v>155.62199563000999</v>
      </c>
      <c r="G85">
        <v>126</v>
      </c>
      <c r="I85" s="9">
        <f t="shared" si="8"/>
        <v>426.30393586006005</v>
      </c>
      <c r="J85" s="9">
        <f t="shared" si="9"/>
        <v>1819.0529314836901</v>
      </c>
      <c r="K85" s="9">
        <f t="shared" si="10"/>
        <v>426.30393586006005</v>
      </c>
      <c r="L85" s="10">
        <f t="shared" si="7"/>
        <v>0.23435488241254751</v>
      </c>
      <c r="M85" s="10">
        <f t="shared" si="11"/>
        <v>0.26118925607798088</v>
      </c>
      <c r="P85" s="8">
        <f t="shared" si="12"/>
        <v>6.1698040985098661</v>
      </c>
      <c r="U85" s="8">
        <v>151</v>
      </c>
      <c r="V85" s="10">
        <f t="shared" ref="V85:V103" si="13">L303</f>
        <v>0.30061192457310321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1973.9591836735001</v>
      </c>
      <c r="E86">
        <v>559.61297376093</v>
      </c>
      <c r="F86">
        <v>154.98543335760999</v>
      </c>
      <c r="G86">
        <v>125.73197378003999</v>
      </c>
      <c r="I86" s="9">
        <f t="shared" si="8"/>
        <v>433.88099998089001</v>
      </c>
      <c r="J86" s="9">
        <f t="shared" si="9"/>
        <v>1818.9737503158901</v>
      </c>
      <c r="K86" s="9">
        <f t="shared" si="10"/>
        <v>433.88099998089001</v>
      </c>
      <c r="L86" s="10">
        <f t="shared" si="7"/>
        <v>0.23853065493965514</v>
      </c>
      <c r="M86" s="10">
        <f t="shared" si="11"/>
        <v>0.26568833431190098</v>
      </c>
      <c r="P86" s="8">
        <f t="shared" si="12"/>
        <v>7.9986168984381827</v>
      </c>
      <c r="U86" s="8">
        <v>151.5</v>
      </c>
      <c r="V86" s="10">
        <f t="shared" si="13"/>
        <v>0.30450710825375543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1976.5211370262</v>
      </c>
      <c r="E87">
        <v>579.34548104956002</v>
      </c>
      <c r="F87">
        <v>155.82155863073999</v>
      </c>
      <c r="G87">
        <v>126.24690458849</v>
      </c>
      <c r="I87" s="9">
        <f t="shared" si="8"/>
        <v>453.09857646107002</v>
      </c>
      <c r="J87" s="9">
        <f t="shared" si="9"/>
        <v>1820.6995783954601</v>
      </c>
      <c r="K87" s="9">
        <f t="shared" si="10"/>
        <v>453.09857646107002</v>
      </c>
      <c r="L87" s="10">
        <f t="shared" si="7"/>
        <v>0.24885960420794692</v>
      </c>
      <c r="M87" s="10">
        <f t="shared" si="11"/>
        <v>0.27634058928700522</v>
      </c>
      <c r="P87" s="8">
        <f t="shared" si="12"/>
        <v>12.328610562406269</v>
      </c>
      <c r="U87" s="8">
        <v>152</v>
      </c>
      <c r="V87" s="10">
        <f t="shared" si="13"/>
        <v>0.30512331829196004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1980.4227405248</v>
      </c>
      <c r="E88">
        <v>591.15962099124999</v>
      </c>
      <c r="F88">
        <v>155.72104879825</v>
      </c>
      <c r="G88">
        <v>126.00145666424</v>
      </c>
      <c r="I88" s="9">
        <f t="shared" si="8"/>
        <v>465.15816432701001</v>
      </c>
      <c r="J88" s="9">
        <f t="shared" si="9"/>
        <v>1824.7016917265501</v>
      </c>
      <c r="K88" s="9">
        <f t="shared" si="10"/>
        <v>465.15816432701001</v>
      </c>
      <c r="L88" s="10">
        <f t="shared" si="7"/>
        <v>0.25492285475269821</v>
      </c>
      <c r="M88" s="10">
        <f t="shared" si="11"/>
        <v>0.28272714553856892</v>
      </c>
      <c r="P88" s="8">
        <f t="shared" si="12"/>
        <v>14.92465695525709</v>
      </c>
      <c r="U88" s="8">
        <v>152.5</v>
      </c>
      <c r="V88" s="10">
        <f t="shared" si="13"/>
        <v>0.29991817968442325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1966.0510204082</v>
      </c>
      <c r="E89">
        <v>588.52040816326996</v>
      </c>
      <c r="F89">
        <v>155.71595047342001</v>
      </c>
      <c r="G89">
        <v>125.93372177713</v>
      </c>
      <c r="I89" s="9">
        <f t="shared" si="8"/>
        <v>462.58668638613995</v>
      </c>
      <c r="J89" s="9">
        <f t="shared" si="9"/>
        <v>1810.33506993478</v>
      </c>
      <c r="K89" s="9">
        <f t="shared" si="10"/>
        <v>462.58668638613995</v>
      </c>
      <c r="L89" s="10">
        <f t="shared" si="7"/>
        <v>0.2555254516517792</v>
      </c>
      <c r="M89" s="10">
        <f t="shared" si="11"/>
        <v>0.28365304814446241</v>
      </c>
      <c r="P89" s="8">
        <f t="shared" si="12"/>
        <v>15.301023501715116</v>
      </c>
      <c r="U89" s="8">
        <v>153</v>
      </c>
      <c r="V89" s="10">
        <f t="shared" si="13"/>
        <v>0.30426076911862815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1971.5626822157001</v>
      </c>
      <c r="E90">
        <v>581.67784256560003</v>
      </c>
      <c r="F90">
        <v>155.57975236708</v>
      </c>
      <c r="G90">
        <v>126.34814275310001</v>
      </c>
      <c r="I90" s="9">
        <f t="shared" si="8"/>
        <v>455.32969981250005</v>
      </c>
      <c r="J90" s="9">
        <f t="shared" si="9"/>
        <v>1815.9829298486202</v>
      </c>
      <c r="K90" s="9">
        <f t="shared" si="10"/>
        <v>455.32969981250005</v>
      </c>
      <c r="L90" s="10">
        <f t="shared" si="7"/>
        <v>0.25073457042377384</v>
      </c>
      <c r="M90" s="10">
        <f t="shared" si="11"/>
        <v>0.27918547262326948</v>
      </c>
      <c r="P90" s="8">
        <f t="shared" si="12"/>
        <v>13.485016116867948</v>
      </c>
      <c r="U90" s="8">
        <v>153.5</v>
      </c>
      <c r="V90" s="10">
        <f t="shared" si="13"/>
        <v>0.29579146499472747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1948.1100583089999</v>
      </c>
      <c r="E91">
        <v>568.59620991253996</v>
      </c>
      <c r="F91">
        <v>154.63510560815999</v>
      </c>
      <c r="G91">
        <v>126.03932993445</v>
      </c>
      <c r="I91" s="9">
        <f t="shared" si="8"/>
        <v>442.55687997808997</v>
      </c>
      <c r="J91" s="9">
        <f t="shared" si="9"/>
        <v>1793.4749527008398</v>
      </c>
      <c r="K91" s="9">
        <f t="shared" si="10"/>
        <v>442.55687997808997</v>
      </c>
      <c r="L91" s="10">
        <f t="shared" si="7"/>
        <v>0.24675944278543296</v>
      </c>
      <c r="M91" s="10">
        <f t="shared" si="11"/>
        <v>0.27553365069174107</v>
      </c>
      <c r="P91" s="8">
        <f t="shared" si="12"/>
        <v>12.000601233595503</v>
      </c>
      <c r="U91" s="8">
        <v>154</v>
      </c>
      <c r="V91" s="10">
        <f t="shared" si="13"/>
        <v>0.30576669872627671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1941.1137026239001</v>
      </c>
      <c r="E92">
        <v>556.00437317783997</v>
      </c>
      <c r="F92">
        <v>154.96431172614999</v>
      </c>
      <c r="G92">
        <v>126.38601602331001</v>
      </c>
      <c r="I92" s="9">
        <f t="shared" si="8"/>
        <v>429.61835715452997</v>
      </c>
      <c r="J92" s="9">
        <f t="shared" si="9"/>
        <v>1786.14939089775</v>
      </c>
      <c r="K92" s="9">
        <f t="shared" si="10"/>
        <v>429.61835715452997</v>
      </c>
      <c r="L92" s="10">
        <f t="shared" si="7"/>
        <v>0.24052767329758248</v>
      </c>
      <c r="M92" s="10">
        <f t="shared" si="11"/>
        <v>0.26962518691070303</v>
      </c>
      <c r="P92" s="8">
        <f t="shared" si="12"/>
        <v>9.5988927882501773</v>
      </c>
      <c r="U92" s="8">
        <v>154.5</v>
      </c>
      <c r="V92" s="10">
        <f t="shared" si="13"/>
        <v>0.30109619587724662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1900.2492711370001</v>
      </c>
      <c r="E93">
        <v>545.70481049563</v>
      </c>
      <c r="F93">
        <v>155.37363437728001</v>
      </c>
      <c r="G93">
        <v>125.56227239621001</v>
      </c>
      <c r="I93" s="9">
        <f t="shared" si="8"/>
        <v>420.14253809941999</v>
      </c>
      <c r="J93" s="9">
        <f t="shared" si="9"/>
        <v>1744.87563675972</v>
      </c>
      <c r="K93" s="9">
        <f t="shared" si="10"/>
        <v>420.14253809941999</v>
      </c>
      <c r="L93" s="10">
        <f t="shared" si="7"/>
        <v>0.24078652326170119</v>
      </c>
      <c r="M93" s="10">
        <f t="shared" si="11"/>
        <v>0.27020734258163415</v>
      </c>
      <c r="P93" s="8">
        <f t="shared" si="12"/>
        <v>9.8355309810521803</v>
      </c>
      <c r="U93" s="8">
        <v>155</v>
      </c>
      <c r="V93" s="10">
        <f t="shared" si="13"/>
        <v>0.31230849322320803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1905.1333819242</v>
      </c>
      <c r="E94">
        <v>542.4387755102</v>
      </c>
      <c r="F94">
        <v>155.04005826656999</v>
      </c>
      <c r="G94">
        <v>125.8725418791</v>
      </c>
      <c r="I94" s="9">
        <f t="shared" si="8"/>
        <v>416.56623363109998</v>
      </c>
      <c r="J94" s="9">
        <f t="shared" si="9"/>
        <v>1750.09332365763</v>
      </c>
      <c r="K94" s="9">
        <f t="shared" si="10"/>
        <v>416.56623363109998</v>
      </c>
      <c r="L94" s="10">
        <f t="shared" si="7"/>
        <v>0.23802515443033176</v>
      </c>
      <c r="M94" s="10">
        <f t="shared" si="11"/>
        <v>0.26776927945707718</v>
      </c>
      <c r="P94" s="8">
        <f t="shared" si="12"/>
        <v>8.8444921910158403</v>
      </c>
      <c r="U94" s="8">
        <v>155.5</v>
      </c>
      <c r="V94" s="10">
        <f t="shared" si="13"/>
        <v>0.31185157600167285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1927.7776967929999</v>
      </c>
      <c r="E95">
        <v>545.46574344022997</v>
      </c>
      <c r="F95">
        <v>155.52075746540001</v>
      </c>
      <c r="G95">
        <v>125.96358339403</v>
      </c>
      <c r="I95" s="9">
        <f t="shared" si="8"/>
        <v>419.50216004619995</v>
      </c>
      <c r="J95" s="9">
        <f t="shared" si="9"/>
        <v>1772.2569393275999</v>
      </c>
      <c r="K95" s="9">
        <f t="shared" si="10"/>
        <v>419.50216004619995</v>
      </c>
      <c r="L95" s="10">
        <f t="shared" si="7"/>
        <v>0.23670504583007046</v>
      </c>
      <c r="M95" s="10">
        <f t="shared" si="11"/>
        <v>0.26677247656362835</v>
      </c>
      <c r="P95" s="8">
        <f t="shared" si="12"/>
        <v>8.4393056626285716</v>
      </c>
      <c r="U95" s="8">
        <v>156</v>
      </c>
      <c r="V95" s="10">
        <f t="shared" si="13"/>
        <v>0.30365173412830282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1914.7616618075999</v>
      </c>
      <c r="E96">
        <v>542.25437317783997</v>
      </c>
      <c r="F96">
        <v>155.64166059722999</v>
      </c>
      <c r="G96">
        <v>125.89949016752</v>
      </c>
      <c r="I96" s="9">
        <f t="shared" si="8"/>
        <v>416.35488301031995</v>
      </c>
      <c r="J96" s="9">
        <f t="shared" si="9"/>
        <v>1759.12000121037</v>
      </c>
      <c r="K96" s="9">
        <f t="shared" si="10"/>
        <v>416.35488301031995</v>
      </c>
      <c r="L96" s="10">
        <f t="shared" si="7"/>
        <v>0.23668361608295352</v>
      </c>
      <c r="M96" s="10">
        <f t="shared" si="11"/>
        <v>0.26707435252332384</v>
      </c>
      <c r="P96" s="8">
        <f t="shared" si="12"/>
        <v>8.5620140465191845</v>
      </c>
      <c r="U96" s="8">
        <v>156.5</v>
      </c>
      <c r="V96" s="10">
        <f t="shared" si="13"/>
        <v>0.3017905095491113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1892.4715743439999</v>
      </c>
      <c r="E97">
        <v>539.68731778426002</v>
      </c>
      <c r="F97">
        <v>155.67079388201</v>
      </c>
      <c r="G97">
        <v>125.73343044428</v>
      </c>
      <c r="I97" s="9">
        <f t="shared" si="8"/>
        <v>413.95388733998004</v>
      </c>
      <c r="J97" s="9">
        <f t="shared" si="9"/>
        <v>1736.8007804619899</v>
      </c>
      <c r="K97" s="9">
        <f t="shared" si="10"/>
        <v>413.95388733998004</v>
      </c>
      <c r="L97" s="10">
        <f t="shared" si="7"/>
        <v>0.23834275755557185</v>
      </c>
      <c r="M97" s="10">
        <f t="shared" si="11"/>
        <v>0.26905679970275465</v>
      </c>
      <c r="P97" s="8">
        <f t="shared" si="12"/>
        <v>9.3678512843762114</v>
      </c>
      <c r="U97" s="8">
        <v>157</v>
      </c>
      <c r="V97" s="10">
        <f t="shared" si="13"/>
        <v>0.29915442357084088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1882.4912536443001</v>
      </c>
      <c r="E98">
        <v>535.81195335277005</v>
      </c>
      <c r="F98">
        <v>155.09759650401</v>
      </c>
      <c r="G98">
        <v>125.67006554989</v>
      </c>
      <c r="I98" s="9">
        <f t="shared" si="8"/>
        <v>410.14188780288003</v>
      </c>
      <c r="J98" s="9">
        <f t="shared" si="9"/>
        <v>1727.3936571402901</v>
      </c>
      <c r="K98" s="9">
        <f t="shared" si="10"/>
        <v>410.14188780288003</v>
      </c>
      <c r="L98" s="10">
        <f t="shared" si="7"/>
        <v>0.23743394339068735</v>
      </c>
      <c r="M98" s="10">
        <f t="shared" si="11"/>
        <v>0.26847129124468261</v>
      </c>
      <c r="P98" s="8">
        <f t="shared" si="12"/>
        <v>9.1298502301790609</v>
      </c>
      <c r="U98" s="8">
        <v>157.5</v>
      </c>
      <c r="V98" s="10">
        <f t="shared" si="13"/>
        <v>0.29301554556120163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1979.638483965</v>
      </c>
      <c r="E99">
        <v>560.37244897958999</v>
      </c>
      <c r="F99">
        <v>155.14493809177</v>
      </c>
      <c r="G99">
        <v>126.04661325565</v>
      </c>
      <c r="I99" s="9">
        <f t="shared" si="8"/>
        <v>434.32583572393997</v>
      </c>
      <c r="J99" s="9">
        <f t="shared" si="9"/>
        <v>1824.49354587323</v>
      </c>
      <c r="K99" s="9">
        <f t="shared" si="10"/>
        <v>434.32583572393997</v>
      </c>
      <c r="L99" s="10">
        <f t="shared" si="7"/>
        <v>0.23805282112744613</v>
      </c>
      <c r="M99" s="10">
        <f t="shared" si="11"/>
        <v>0.26941347468825383</v>
      </c>
      <c r="P99" s="8">
        <f t="shared" si="12"/>
        <v>9.5128347109761986</v>
      </c>
      <c r="U99" s="8">
        <v>158</v>
      </c>
      <c r="V99" s="10">
        <f t="shared" si="13"/>
        <v>0.2966468862813435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1940.8607871720001</v>
      </c>
      <c r="E100">
        <v>578.56268221573998</v>
      </c>
      <c r="F100">
        <v>154.40131099781999</v>
      </c>
      <c r="G100">
        <v>125.91260014567</v>
      </c>
      <c r="I100" s="9">
        <f t="shared" si="8"/>
        <v>452.65008207006997</v>
      </c>
      <c r="J100" s="9">
        <f t="shared" si="9"/>
        <v>1786.4594761741801</v>
      </c>
      <c r="K100" s="9">
        <f t="shared" si="10"/>
        <v>452.65008207006997</v>
      </c>
      <c r="L100" s="10">
        <f t="shared" si="7"/>
        <v>0.2533783095038068</v>
      </c>
      <c r="M100" s="10">
        <f t="shared" si="11"/>
        <v>0.28506226877142693</v>
      </c>
      <c r="P100" s="8">
        <f t="shared" si="12"/>
        <v>15.873852109380865</v>
      </c>
      <c r="U100" s="8">
        <v>158.5</v>
      </c>
      <c r="V100" s="10">
        <f t="shared" si="13"/>
        <v>0.29294025233745374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1890.3075801749001</v>
      </c>
      <c r="E101">
        <v>588.20699708455004</v>
      </c>
      <c r="F101">
        <v>154.67152221412999</v>
      </c>
      <c r="G101">
        <v>125.67516387473</v>
      </c>
      <c r="I101" s="9">
        <f t="shared" si="8"/>
        <v>462.53183320982004</v>
      </c>
      <c r="J101" s="9">
        <f t="shared" si="9"/>
        <v>1735.6360579607701</v>
      </c>
      <c r="K101" s="9">
        <f t="shared" si="10"/>
        <v>462.53183320982004</v>
      </c>
      <c r="L101" s="10">
        <f t="shared" si="7"/>
        <v>0.2664912560950462</v>
      </c>
      <c r="M101" s="10">
        <f t="shared" si="11"/>
        <v>0.29849852106947877</v>
      </c>
      <c r="P101" s="8">
        <f t="shared" si="12"/>
        <v>21.335502009238972</v>
      </c>
      <c r="U101" s="8">
        <v>159</v>
      </c>
      <c r="V101" s="10">
        <f t="shared" si="13"/>
        <v>0.2930628770139137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1880.3226744185999</v>
      </c>
      <c r="E102">
        <v>568.97747093022997</v>
      </c>
      <c r="F102">
        <v>154.60160233066</v>
      </c>
      <c r="G102">
        <v>125.97815003642</v>
      </c>
      <c r="I102" s="9">
        <f t="shared" si="8"/>
        <v>442.99932089380997</v>
      </c>
      <c r="J102" s="9">
        <f t="shared" si="9"/>
        <v>1725.72107208794</v>
      </c>
      <c r="K102" s="9">
        <f t="shared" si="10"/>
        <v>442.99932089380997</v>
      </c>
      <c r="L102" s="10">
        <f t="shared" si="7"/>
        <v>0.25670389500304797</v>
      </c>
      <c r="M102" s="10">
        <f t="shared" si="11"/>
        <v>0.28903446568429303</v>
      </c>
      <c r="P102" s="8">
        <f t="shared" si="12"/>
        <v>17.4884949718491</v>
      </c>
      <c r="U102" s="8">
        <v>159.5</v>
      </c>
      <c r="V102" s="10">
        <f t="shared" si="13"/>
        <v>0.30513265417570196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1837.4069767441999</v>
      </c>
      <c r="E103">
        <v>556.59302325580995</v>
      </c>
      <c r="F103">
        <v>154.86962855062001</v>
      </c>
      <c r="G103">
        <v>125.86671522214</v>
      </c>
      <c r="I103" s="9">
        <f t="shared" si="8"/>
        <v>430.72630803366997</v>
      </c>
      <c r="J103" s="9">
        <f t="shared" si="9"/>
        <v>1682.5373481935799</v>
      </c>
      <c r="K103" s="9">
        <f t="shared" si="10"/>
        <v>430.72630803366997</v>
      </c>
      <c r="L103" s="10">
        <f t="shared" si="7"/>
        <v>0.25599806654878121</v>
      </c>
      <c r="M103" s="10">
        <f t="shared" si="11"/>
        <v>0.28865194293683871</v>
      </c>
      <c r="P103" s="8">
        <f t="shared" si="12"/>
        <v>17.333004789097007</v>
      </c>
      <c r="U103" s="8">
        <v>160</v>
      </c>
      <c r="V103" s="10">
        <f t="shared" si="13"/>
        <v>0.29219676932780853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1799.3488372093</v>
      </c>
      <c r="E104">
        <v>550.41424418605004</v>
      </c>
      <c r="F104">
        <v>155.05098324836001</v>
      </c>
      <c r="G104">
        <v>125.48798252003</v>
      </c>
      <c r="I104" s="9">
        <f t="shared" si="8"/>
        <v>424.92626166602003</v>
      </c>
      <c r="J104" s="9">
        <f t="shared" si="9"/>
        <v>1644.2978539609398</v>
      </c>
      <c r="K104" s="9">
        <f t="shared" si="10"/>
        <v>424.92626166602003</v>
      </c>
      <c r="L104" s="10">
        <f t="shared" si="7"/>
        <v>0.25842414173467265</v>
      </c>
      <c r="M104" s="10">
        <f t="shared" si="11"/>
        <v>0.29140132382954259</v>
      </c>
      <c r="P104" s="8">
        <f t="shared" si="12"/>
        <v>18.450589926991832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1871.5761107065</v>
      </c>
      <c r="E105">
        <v>563.13401310997995</v>
      </c>
      <c r="F105">
        <v>154.46249089585001</v>
      </c>
      <c r="G105">
        <v>125.54770575382</v>
      </c>
      <c r="I105" s="9">
        <f t="shared" si="8"/>
        <v>437.58630735615998</v>
      </c>
      <c r="J105" s="9">
        <f t="shared" si="9"/>
        <v>1717.1136198106501</v>
      </c>
      <c r="K105" s="9">
        <f t="shared" si="10"/>
        <v>437.58630735615998</v>
      </c>
      <c r="L105" s="10">
        <f t="shared" si="7"/>
        <v>0.25483829509453987</v>
      </c>
      <c r="M105" s="10">
        <f t="shared" si="11"/>
        <v>0.28813878289622225</v>
      </c>
      <c r="P105" s="8">
        <f t="shared" si="12"/>
        <v>17.124412361515805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1844.1296431173</v>
      </c>
      <c r="E106">
        <v>545.70575382374</v>
      </c>
      <c r="F106">
        <v>154.42388929352001</v>
      </c>
      <c r="G106">
        <v>125.43554260742999</v>
      </c>
      <c r="I106" s="9">
        <f t="shared" si="8"/>
        <v>420.27021121631003</v>
      </c>
      <c r="J106" s="9">
        <f t="shared" si="9"/>
        <v>1689.70575382378</v>
      </c>
      <c r="K106" s="9">
        <f t="shared" si="10"/>
        <v>420.27021121631003</v>
      </c>
      <c r="L106" s="10">
        <f t="shared" si="7"/>
        <v>0.24872390371237391</v>
      </c>
      <c r="M106" s="10">
        <f t="shared" si="11"/>
        <v>0.28234769722086872</v>
      </c>
      <c r="P106" s="8">
        <f t="shared" si="12"/>
        <v>14.770416485489404</v>
      </c>
      <c r="X106" s="8">
        <v>-13</v>
      </c>
    </row>
    <row r="107" spans="1:25" x14ac:dyDescent="0.2">
      <c r="A107" s="8">
        <v>52.5</v>
      </c>
      <c r="B107" s="8">
        <v>105</v>
      </c>
      <c r="D107">
        <v>1746.6839038602</v>
      </c>
      <c r="E107">
        <v>513.07210487983002</v>
      </c>
      <c r="F107">
        <v>154.69264384559</v>
      </c>
      <c r="G107">
        <v>125.95921340131</v>
      </c>
      <c r="I107" s="9">
        <f t="shared" si="8"/>
        <v>387.11289147852005</v>
      </c>
      <c r="J107" s="9">
        <f t="shared" si="9"/>
        <v>1591.9912600146099</v>
      </c>
      <c r="K107" s="9">
        <f t="shared" si="10"/>
        <v>387.11289147852005</v>
      </c>
      <c r="L107" s="10">
        <f t="shared" si="7"/>
        <v>0.2431626989428117</v>
      </c>
      <c r="M107" s="10">
        <f t="shared" si="11"/>
        <v>0.27710979815811898</v>
      </c>
      <c r="P107" s="8">
        <f t="shared" si="12"/>
        <v>12.641283282499321</v>
      </c>
      <c r="X107" s="8">
        <v>-13</v>
      </c>
    </row>
    <row r="108" spans="1:25" x14ac:dyDescent="0.2">
      <c r="A108" s="8">
        <v>53</v>
      </c>
      <c r="B108" s="8">
        <v>106</v>
      </c>
      <c r="D108">
        <v>1768.9181884586999</v>
      </c>
      <c r="E108">
        <v>526.54200146092001</v>
      </c>
      <c r="F108">
        <v>154.38455935907001</v>
      </c>
      <c r="G108">
        <v>125.33576110707</v>
      </c>
      <c r="I108" s="9">
        <f t="shared" si="8"/>
        <v>401.20624035385003</v>
      </c>
      <c r="J108" s="9">
        <f t="shared" si="9"/>
        <v>1614.5336290996299</v>
      </c>
      <c r="K108" s="9">
        <f t="shared" si="10"/>
        <v>401.20624035385003</v>
      </c>
      <c r="L108" s="10">
        <f t="shared" si="7"/>
        <v>0.24849667614392709</v>
      </c>
      <c r="M108" s="10">
        <f t="shared" si="11"/>
        <v>0.28276708106604681</v>
      </c>
      <c r="P108" s="8">
        <f t="shared" si="12"/>
        <v>14.940890192383932</v>
      </c>
      <c r="X108" s="8">
        <v>-13</v>
      </c>
    </row>
    <row r="109" spans="1:25" x14ac:dyDescent="0.2">
      <c r="A109" s="8">
        <v>53.5</v>
      </c>
      <c r="B109" s="8">
        <v>107</v>
      </c>
      <c r="D109">
        <v>1764.4607558140001</v>
      </c>
      <c r="E109">
        <v>547.55450581394996</v>
      </c>
      <c r="F109">
        <v>153.97450837581999</v>
      </c>
      <c r="G109">
        <v>125.60742898762</v>
      </c>
      <c r="I109" s="9">
        <f t="shared" si="8"/>
        <v>421.94707682632998</v>
      </c>
      <c r="J109" s="9">
        <f t="shared" si="9"/>
        <v>1610.48624743818</v>
      </c>
      <c r="K109" s="9">
        <f t="shared" si="10"/>
        <v>421.94707682632998</v>
      </c>
      <c r="L109" s="10">
        <f t="shared" si="7"/>
        <v>0.26199980130071043</v>
      </c>
      <c r="M109" s="10">
        <f t="shared" si="11"/>
        <v>0.29659351192964262</v>
      </c>
      <c r="P109" s="8">
        <f t="shared" si="12"/>
        <v>20.561142258691305</v>
      </c>
      <c r="X109" s="8">
        <v>-13</v>
      </c>
    </row>
    <row r="110" spans="1:25" x14ac:dyDescent="0.2">
      <c r="A110" s="8">
        <v>54</v>
      </c>
      <c r="B110" s="8">
        <v>108</v>
      </c>
      <c r="D110">
        <v>1705.6526162790999</v>
      </c>
      <c r="E110">
        <v>526.71293604650998</v>
      </c>
      <c r="F110">
        <v>154.24981791696999</v>
      </c>
      <c r="G110">
        <v>124.84486525856001</v>
      </c>
      <c r="I110" s="9">
        <f t="shared" si="8"/>
        <v>401.86807078794999</v>
      </c>
      <c r="J110" s="9">
        <f t="shared" si="9"/>
        <v>1551.4027983621299</v>
      </c>
      <c r="K110" s="9">
        <f t="shared" si="10"/>
        <v>401.86807078794999</v>
      </c>
      <c r="L110" s="10">
        <f t="shared" si="7"/>
        <v>0.25903528807103876</v>
      </c>
      <c r="M110" s="10">
        <f t="shared" si="11"/>
        <v>0.29395230440678338</v>
      </c>
      <c r="P110" s="8">
        <f t="shared" si="12"/>
        <v>19.487528092870662</v>
      </c>
      <c r="X110" s="8">
        <v>-13</v>
      </c>
    </row>
    <row r="111" spans="1:25" x14ac:dyDescent="0.2">
      <c r="A111" s="8">
        <v>54.5</v>
      </c>
      <c r="B111" s="8">
        <v>109</v>
      </c>
      <c r="D111">
        <v>1772.0620891161</v>
      </c>
      <c r="E111">
        <v>541.66106647187996</v>
      </c>
      <c r="F111">
        <v>154.20757465404</v>
      </c>
      <c r="G111">
        <v>125.91697013837999</v>
      </c>
      <c r="I111" s="9">
        <f t="shared" si="8"/>
        <v>415.74409633349995</v>
      </c>
      <c r="J111" s="9">
        <f t="shared" si="9"/>
        <v>1617.85451446206</v>
      </c>
      <c r="K111" s="9">
        <f t="shared" si="10"/>
        <v>415.74409633349995</v>
      </c>
      <c r="L111" s="10">
        <f t="shared" si="7"/>
        <v>0.25697248585527838</v>
      </c>
      <c r="M111" s="10">
        <f t="shared" si="11"/>
        <v>0.29221280789783549</v>
      </c>
      <c r="P111" s="8">
        <f t="shared" si="12"/>
        <v>18.780446927442096</v>
      </c>
      <c r="X111" s="8">
        <v>-13</v>
      </c>
    </row>
    <row r="112" spans="1:25" x14ac:dyDescent="0.2">
      <c r="A112" s="8">
        <v>55</v>
      </c>
      <c r="B112" s="8">
        <v>110</v>
      </c>
      <c r="D112">
        <v>1709.2739225712</v>
      </c>
      <c r="E112">
        <v>518.58655953251002</v>
      </c>
      <c r="F112">
        <v>154.24908958485</v>
      </c>
      <c r="G112">
        <v>125.12454479243</v>
      </c>
      <c r="I112" s="9">
        <f t="shared" si="8"/>
        <v>393.46201474008001</v>
      </c>
      <c r="J112" s="9">
        <f t="shared" si="9"/>
        <v>1555.02483298635</v>
      </c>
      <c r="K112" s="9">
        <f t="shared" si="10"/>
        <v>393.46201474008001</v>
      </c>
      <c r="L112" s="10">
        <f t="shared" si="7"/>
        <v>0.25302619379039448</v>
      </c>
      <c r="M112" s="10">
        <f t="shared" si="11"/>
        <v>0.28858982153976404</v>
      </c>
      <c r="P112" s="8">
        <f t="shared" si="12"/>
        <v>17.307753304189927</v>
      </c>
      <c r="X112" s="8">
        <v>-13</v>
      </c>
    </row>
    <row r="113" spans="1:24" x14ac:dyDescent="0.2">
      <c r="A113" s="8">
        <v>55.5</v>
      </c>
      <c r="B113" s="8">
        <v>111</v>
      </c>
      <c r="D113">
        <v>1760.2645772594999</v>
      </c>
      <c r="E113">
        <v>531.04154518949997</v>
      </c>
      <c r="F113">
        <v>155.39694100509999</v>
      </c>
      <c r="G113">
        <v>125.15731973779999</v>
      </c>
      <c r="I113" s="9">
        <f t="shared" si="8"/>
        <v>405.88422545169999</v>
      </c>
      <c r="J113" s="9">
        <f t="shared" si="9"/>
        <v>1604.8676362543999</v>
      </c>
      <c r="K113" s="9">
        <f t="shared" si="10"/>
        <v>405.88422545169999</v>
      </c>
      <c r="L113" s="10">
        <f t="shared" si="7"/>
        <v>0.25290822512876704</v>
      </c>
      <c r="M113" s="10">
        <f t="shared" si="11"/>
        <v>0.28879515858494903</v>
      </c>
      <c r="P113" s="8">
        <f t="shared" si="12"/>
        <v>17.391219960471336</v>
      </c>
      <c r="X113" s="8">
        <v>-13</v>
      </c>
    </row>
    <row r="114" spans="1:24" x14ac:dyDescent="0.2">
      <c r="A114" s="8">
        <v>56</v>
      </c>
      <c r="B114" s="8">
        <v>112</v>
      </c>
      <c r="D114">
        <v>1758.1027696793001</v>
      </c>
      <c r="E114">
        <v>522.05466472302999</v>
      </c>
      <c r="F114">
        <v>153.97305171158001</v>
      </c>
      <c r="G114">
        <v>125.22723962127</v>
      </c>
      <c r="I114" s="9">
        <f t="shared" si="8"/>
        <v>396.82742510176001</v>
      </c>
      <c r="J114" s="9">
        <f t="shared" si="9"/>
        <v>1604.1297179677201</v>
      </c>
      <c r="K114" s="9">
        <f t="shared" si="10"/>
        <v>396.82742510176001</v>
      </c>
      <c r="L114" s="10">
        <f t="shared" si="7"/>
        <v>0.2473786381842627</v>
      </c>
      <c r="M114" s="10">
        <f t="shared" si="11"/>
        <v>0.28358887734725713</v>
      </c>
      <c r="P114" s="8">
        <f t="shared" si="12"/>
        <v>15.274938964125656</v>
      </c>
      <c r="X114" s="8">
        <v>-13</v>
      </c>
    </row>
    <row r="115" spans="1:24" x14ac:dyDescent="0.2">
      <c r="A115" s="8">
        <v>56.5</v>
      </c>
      <c r="B115" s="8">
        <v>113</v>
      </c>
      <c r="D115">
        <v>1738.1618075802</v>
      </c>
      <c r="E115">
        <v>507.73396501458001</v>
      </c>
      <c r="F115">
        <v>154.25345957757</v>
      </c>
      <c r="G115">
        <v>124.93445010924999</v>
      </c>
      <c r="I115" s="9">
        <f t="shared" si="8"/>
        <v>382.79951490533</v>
      </c>
      <c r="J115" s="9">
        <f t="shared" si="9"/>
        <v>1583.90834800263</v>
      </c>
      <c r="K115" s="9">
        <f t="shared" si="10"/>
        <v>382.79951490533</v>
      </c>
      <c r="L115" s="10">
        <f t="shared" si="7"/>
        <v>0.24168034431288596</v>
      </c>
      <c r="M115" s="10">
        <f t="shared" si="11"/>
        <v>0.27821388918269285</v>
      </c>
      <c r="P115" s="8">
        <f t="shared" si="12"/>
        <v>13.090080945719182</v>
      </c>
      <c r="X115" s="8">
        <v>-13</v>
      </c>
    </row>
    <row r="116" spans="1:24" x14ac:dyDescent="0.2">
      <c r="A116" s="8">
        <v>57</v>
      </c>
      <c r="B116" s="8">
        <v>114</v>
      </c>
      <c r="D116">
        <v>1745.7412536443001</v>
      </c>
      <c r="E116">
        <v>509.90306122448999</v>
      </c>
      <c r="F116">
        <v>154.83175528040999</v>
      </c>
      <c r="G116">
        <v>124.84705025492001</v>
      </c>
      <c r="I116" s="9">
        <f t="shared" si="8"/>
        <v>385.05601096956997</v>
      </c>
      <c r="J116" s="9">
        <f t="shared" si="9"/>
        <v>1590.9094983638902</v>
      </c>
      <c r="K116" s="9">
        <f t="shared" si="10"/>
        <v>385.05601096956997</v>
      </c>
      <c r="L116" s="10">
        <f t="shared" si="7"/>
        <v>0.24203514490646139</v>
      </c>
      <c r="M116" s="10">
        <f t="shared" si="11"/>
        <v>0.27889199548308075</v>
      </c>
      <c r="P116" s="8">
        <f t="shared" si="12"/>
        <v>13.365721736428632</v>
      </c>
      <c r="X116" s="8">
        <v>-13</v>
      </c>
    </row>
    <row r="117" spans="1:24" x14ac:dyDescent="0.2">
      <c r="A117" s="8">
        <v>57.5</v>
      </c>
      <c r="B117" s="8">
        <v>115</v>
      </c>
      <c r="D117">
        <v>1720.0014577259999</v>
      </c>
      <c r="E117">
        <v>508.26822157433998</v>
      </c>
      <c r="F117">
        <v>153.73634377275999</v>
      </c>
      <c r="G117">
        <v>125.13546977422</v>
      </c>
      <c r="I117" s="9">
        <f t="shared" si="8"/>
        <v>383.13275180011999</v>
      </c>
      <c r="J117" s="9">
        <f t="shared" si="9"/>
        <v>1566.26511395324</v>
      </c>
      <c r="K117" s="9">
        <f t="shared" si="10"/>
        <v>383.13275180011999</v>
      </c>
      <c r="L117" s="10">
        <f t="shared" si="7"/>
        <v>0.24461551776065302</v>
      </c>
      <c r="M117" s="10">
        <f t="shared" si="11"/>
        <v>0.28179567404408479</v>
      </c>
      <c r="P117" s="8">
        <f t="shared" si="12"/>
        <v>14.546026732951155</v>
      </c>
      <c r="X117" s="8">
        <v>-13</v>
      </c>
    </row>
    <row r="118" spans="1:24" x14ac:dyDescent="0.2">
      <c r="A118" s="8">
        <v>58</v>
      </c>
      <c r="B118" s="8">
        <v>116</v>
      </c>
      <c r="D118">
        <v>1683.0115606935999</v>
      </c>
      <c r="E118">
        <v>498.68424855491003</v>
      </c>
      <c r="F118">
        <v>153.59431900947001</v>
      </c>
      <c r="G118">
        <v>124.78077203205</v>
      </c>
      <c r="I118" s="9">
        <f t="shared" si="8"/>
        <v>373.90347652286005</v>
      </c>
      <c r="J118" s="9">
        <f t="shared" si="9"/>
        <v>1529.41724168413</v>
      </c>
      <c r="K118" s="9">
        <f t="shared" si="10"/>
        <v>373.90347652286005</v>
      </c>
      <c r="L118" s="10">
        <f t="shared" si="7"/>
        <v>0.24447447454635288</v>
      </c>
      <c r="M118" s="10">
        <f t="shared" si="11"/>
        <v>0.28197793653659714</v>
      </c>
      <c r="P118" s="8">
        <f t="shared" si="12"/>
        <v>14.620113904127773</v>
      </c>
      <c r="X118" s="8">
        <v>-13</v>
      </c>
    </row>
    <row r="119" spans="1:24" x14ac:dyDescent="0.2">
      <c r="A119" s="8">
        <v>58.5</v>
      </c>
      <c r="B119" s="8">
        <v>117</v>
      </c>
      <c r="D119">
        <v>1774.7216569766999</v>
      </c>
      <c r="E119">
        <v>533.36264534884003</v>
      </c>
      <c r="F119">
        <v>154.36125273125</v>
      </c>
      <c r="G119">
        <v>125.00436999272</v>
      </c>
      <c r="I119" s="9">
        <f t="shared" si="8"/>
        <v>408.35827535612003</v>
      </c>
      <c r="J119" s="9">
        <f t="shared" si="9"/>
        <v>1620.3604042454499</v>
      </c>
      <c r="K119" s="9">
        <f t="shared" si="10"/>
        <v>408.35827535612003</v>
      </c>
      <c r="L119" s="10">
        <f t="shared" si="7"/>
        <v>0.25201694282716036</v>
      </c>
      <c r="M119" s="10">
        <f t="shared" si="11"/>
        <v>0.28984371052421704</v>
      </c>
      <c r="P119" s="8">
        <f t="shared" si="12"/>
        <v>17.817441757075251</v>
      </c>
      <c r="X119" s="8">
        <v>-13</v>
      </c>
    </row>
    <row r="120" spans="1:24" x14ac:dyDescent="0.2">
      <c r="A120" s="8">
        <v>59</v>
      </c>
      <c r="B120" s="8">
        <v>118</v>
      </c>
      <c r="D120">
        <v>1752.6242732558001</v>
      </c>
      <c r="E120">
        <v>516.16715116278999</v>
      </c>
      <c r="F120">
        <v>153.90823015295001</v>
      </c>
      <c r="G120">
        <v>125.37946103423</v>
      </c>
      <c r="I120" s="9">
        <f t="shared" si="8"/>
        <v>390.78769012855997</v>
      </c>
      <c r="J120" s="9">
        <f t="shared" si="9"/>
        <v>1598.7160431028501</v>
      </c>
      <c r="K120" s="9">
        <f t="shared" si="10"/>
        <v>390.78769012855997</v>
      </c>
      <c r="L120" s="10">
        <f t="shared" si="7"/>
        <v>0.24443846161079616</v>
      </c>
      <c r="M120" s="10">
        <f t="shared" si="11"/>
        <v>0.2825885350146653</v>
      </c>
      <c r="P120" s="8">
        <f t="shared" si="12"/>
        <v>14.868313702897407</v>
      </c>
      <c r="X120" s="8">
        <v>-13</v>
      </c>
    </row>
    <row r="121" spans="1:24" x14ac:dyDescent="0.2">
      <c r="A121" s="8">
        <v>59.5</v>
      </c>
      <c r="B121" s="8">
        <v>119</v>
      </c>
      <c r="D121">
        <v>1725.8255813953999</v>
      </c>
      <c r="E121">
        <v>502.98401162790998</v>
      </c>
      <c r="F121">
        <v>154.08958485068999</v>
      </c>
      <c r="G121">
        <v>125.65841223597999</v>
      </c>
      <c r="I121" s="9">
        <f t="shared" si="8"/>
        <v>377.32559939192998</v>
      </c>
      <c r="J121" s="9">
        <f t="shared" si="9"/>
        <v>1571.7359965447099</v>
      </c>
      <c r="K121" s="9">
        <f t="shared" si="10"/>
        <v>377.32559939192998</v>
      </c>
      <c r="L121" s="10">
        <f t="shared" si="7"/>
        <v>0.24006932476029</v>
      </c>
      <c r="M121" s="10">
        <f t="shared" si="11"/>
        <v>0.27854270387097158</v>
      </c>
      <c r="P121" s="8">
        <f t="shared" si="12"/>
        <v>13.223739548540278</v>
      </c>
      <c r="X121" s="8">
        <v>-13</v>
      </c>
    </row>
    <row r="122" spans="1:24" x14ac:dyDescent="0.2">
      <c r="A122" s="8">
        <v>60</v>
      </c>
      <c r="B122" s="8">
        <v>120</v>
      </c>
      <c r="D122">
        <v>1745.4299270073</v>
      </c>
      <c r="E122">
        <v>502.47007299270001</v>
      </c>
      <c r="F122">
        <v>154.13037144937999</v>
      </c>
      <c r="G122">
        <v>125.11726147122999</v>
      </c>
      <c r="I122" s="9">
        <f t="shared" si="8"/>
        <v>377.35281152147002</v>
      </c>
      <c r="J122" s="9">
        <f t="shared" si="9"/>
        <v>1591.29955555792</v>
      </c>
      <c r="K122" s="9">
        <f t="shared" si="10"/>
        <v>377.35281152147002</v>
      </c>
      <c r="L122" s="10">
        <f t="shared" si="7"/>
        <v>0.23713499460456247</v>
      </c>
      <c r="M122" s="10">
        <f t="shared" si="11"/>
        <v>0.27593167942205654</v>
      </c>
      <c r="P122" s="8">
        <f t="shared" si="12"/>
        <v>12.162394382968214</v>
      </c>
      <c r="X122" s="8">
        <v>-13</v>
      </c>
    </row>
    <row r="123" spans="1:24" x14ac:dyDescent="0.2">
      <c r="A123" s="8">
        <v>60.5</v>
      </c>
      <c r="B123" s="8">
        <v>121</v>
      </c>
      <c r="D123">
        <v>1694.2452554745</v>
      </c>
      <c r="E123">
        <v>495.77445255474998</v>
      </c>
      <c r="F123">
        <v>153.54479242535001</v>
      </c>
      <c r="G123">
        <v>125.18208302986</v>
      </c>
      <c r="I123" s="9">
        <f t="shared" si="8"/>
        <v>370.59236952488999</v>
      </c>
      <c r="J123" s="9">
        <f t="shared" si="9"/>
        <v>1540.7004630491501</v>
      </c>
      <c r="K123" s="9">
        <f t="shared" si="10"/>
        <v>370.59236952488999</v>
      </c>
      <c r="L123" s="10">
        <f t="shared" si="7"/>
        <v>0.24053498938493384</v>
      </c>
      <c r="M123" s="10">
        <f t="shared" si="11"/>
        <v>0.27965497990924032</v>
      </c>
      <c r="P123" s="8">
        <f t="shared" si="12"/>
        <v>13.675864306119134</v>
      </c>
      <c r="X123" s="8">
        <v>-13</v>
      </c>
    </row>
    <row r="124" spans="1:24" x14ac:dyDescent="0.2">
      <c r="A124" s="8">
        <v>61</v>
      </c>
      <c r="B124" s="8">
        <v>122</v>
      </c>
      <c r="D124">
        <v>1712.8</v>
      </c>
      <c r="E124">
        <v>498.72627737225997</v>
      </c>
      <c r="F124">
        <v>154.10633648944</v>
      </c>
      <c r="G124">
        <v>124.69555717407</v>
      </c>
      <c r="I124" s="9">
        <f t="shared" si="8"/>
        <v>374.03072019818995</v>
      </c>
      <c r="J124" s="9">
        <f t="shared" si="9"/>
        <v>1558.6936635105599</v>
      </c>
      <c r="K124" s="9">
        <f t="shared" si="10"/>
        <v>374.03072019818995</v>
      </c>
      <c r="L124" s="10">
        <f t="shared" si="7"/>
        <v>0.23996422706677409</v>
      </c>
      <c r="M124" s="10">
        <f t="shared" si="11"/>
        <v>0.27940752329789303</v>
      </c>
      <c r="P124" s="8">
        <f t="shared" si="12"/>
        <v>13.575276631326808</v>
      </c>
      <c r="X124" s="8">
        <v>-13</v>
      </c>
    </row>
    <row r="125" spans="1:24" x14ac:dyDescent="0.2">
      <c r="A125" s="8">
        <v>61.5</v>
      </c>
      <c r="B125" s="8">
        <v>123</v>
      </c>
      <c r="D125">
        <v>1713.6299270073</v>
      </c>
      <c r="E125">
        <v>500.36277372262998</v>
      </c>
      <c r="F125">
        <v>153.77567370720999</v>
      </c>
      <c r="G125">
        <v>124.79388201019999</v>
      </c>
      <c r="I125" s="9">
        <f t="shared" si="8"/>
        <v>375.56889171243</v>
      </c>
      <c r="J125" s="9">
        <f t="shared" si="9"/>
        <v>1559.85425330009</v>
      </c>
      <c r="K125" s="9">
        <f t="shared" si="10"/>
        <v>375.56889171243</v>
      </c>
      <c r="L125" s="10">
        <f t="shared" si="7"/>
        <v>0.24077178423423948</v>
      </c>
      <c r="M125" s="10">
        <f t="shared" si="11"/>
        <v>0.28053838617217086</v>
      </c>
      <c r="P125" s="8">
        <f t="shared" si="12"/>
        <v>14.034956679531041</v>
      </c>
      <c r="X125" s="8">
        <v>-13</v>
      </c>
    </row>
    <row r="126" spans="1:24" x14ac:dyDescent="0.2">
      <c r="A126" s="8">
        <v>62</v>
      </c>
      <c r="B126" s="8">
        <v>124</v>
      </c>
      <c r="D126">
        <v>1710.0525547445</v>
      </c>
      <c r="E126">
        <v>491.42262773723002</v>
      </c>
      <c r="F126">
        <v>153.83394027676999</v>
      </c>
      <c r="G126">
        <v>125.32265112892</v>
      </c>
      <c r="I126" s="9">
        <f t="shared" si="8"/>
        <v>366.09997660831004</v>
      </c>
      <c r="J126" s="9">
        <f t="shared" si="9"/>
        <v>1556.21861446773</v>
      </c>
      <c r="K126" s="9">
        <f t="shared" si="10"/>
        <v>366.09997660831004</v>
      </c>
      <c r="L126" s="10">
        <f t="shared" si="7"/>
        <v>0.23524970926628222</v>
      </c>
      <c r="M126" s="10">
        <f t="shared" si="11"/>
        <v>0.27533961691102604</v>
      </c>
      <c r="P126" s="8">
        <f t="shared" si="12"/>
        <v>11.921729197293759</v>
      </c>
      <c r="X126" s="8">
        <v>-13</v>
      </c>
    </row>
    <row r="127" spans="1:24" x14ac:dyDescent="0.2">
      <c r="A127" s="8">
        <v>62.5</v>
      </c>
      <c r="B127" s="8">
        <v>125</v>
      </c>
      <c r="D127">
        <v>1691.9781021898</v>
      </c>
      <c r="E127">
        <v>490.06350364963998</v>
      </c>
      <c r="F127">
        <v>153.51347414420999</v>
      </c>
      <c r="G127">
        <v>124.67589220684999</v>
      </c>
      <c r="I127" s="9">
        <f t="shared" si="8"/>
        <v>365.38761144278999</v>
      </c>
      <c r="J127" s="9">
        <f t="shared" si="9"/>
        <v>1538.46462804559</v>
      </c>
      <c r="K127" s="9">
        <f t="shared" si="10"/>
        <v>365.38761144278999</v>
      </c>
      <c r="L127" s="10">
        <f t="shared" si="7"/>
        <v>0.23750147048032247</v>
      </c>
      <c r="M127" s="10">
        <f t="shared" si="11"/>
        <v>0.27791468383187878</v>
      </c>
      <c r="P127" s="8">
        <f t="shared" si="12"/>
        <v>12.968458127238197</v>
      </c>
      <c r="X127" s="8">
        <v>-13</v>
      </c>
    </row>
    <row r="128" spans="1:24" x14ac:dyDescent="0.2">
      <c r="A128" s="8">
        <v>63</v>
      </c>
      <c r="B128" s="8">
        <v>126</v>
      </c>
      <c r="D128">
        <v>1702.7204379561999</v>
      </c>
      <c r="E128">
        <v>489.45620437956001</v>
      </c>
      <c r="F128">
        <v>154.25491624181001</v>
      </c>
      <c r="G128">
        <v>125.06045156591</v>
      </c>
      <c r="I128" s="9">
        <f t="shared" si="8"/>
        <v>364.39575281365001</v>
      </c>
      <c r="J128" s="9">
        <f t="shared" si="9"/>
        <v>1548.46552171439</v>
      </c>
      <c r="K128" s="9">
        <f t="shared" si="10"/>
        <v>364.39575281365001</v>
      </c>
      <c r="L128" s="10">
        <f t="shared" si="7"/>
        <v>0.2353270045110257</v>
      </c>
      <c r="M128" s="10">
        <f t="shared" si="11"/>
        <v>0.27606352356939445</v>
      </c>
      <c r="P128" s="8">
        <f t="shared" si="12"/>
        <v>12.21598719725389</v>
      </c>
      <c r="X128" s="8">
        <v>-13</v>
      </c>
    </row>
    <row r="129" spans="1:24" x14ac:dyDescent="0.2">
      <c r="A129" s="8">
        <v>63.5</v>
      </c>
      <c r="B129" s="8">
        <v>127</v>
      </c>
      <c r="D129">
        <v>1660.1459854015</v>
      </c>
      <c r="E129">
        <v>474.26058394160998</v>
      </c>
      <c r="F129">
        <v>153.39184268026</v>
      </c>
      <c r="G129">
        <v>124.21412964312</v>
      </c>
      <c r="I129" s="9">
        <f t="shared" si="8"/>
        <v>350.04645429848995</v>
      </c>
      <c r="J129" s="9">
        <f t="shared" si="9"/>
        <v>1506.75414272124</v>
      </c>
      <c r="K129" s="9">
        <f t="shared" si="10"/>
        <v>350.04645429848995</v>
      </c>
      <c r="L129" s="10">
        <f t="shared" si="7"/>
        <v>0.23231822921442</v>
      </c>
      <c r="M129" s="10">
        <f t="shared" si="11"/>
        <v>0.27337805397960119</v>
      </c>
      <c r="P129" s="8">
        <f t="shared" si="12"/>
        <v>11.124381116122697</v>
      </c>
      <c r="X129" s="8">
        <v>-13</v>
      </c>
    </row>
    <row r="130" spans="1:24" x14ac:dyDescent="0.2">
      <c r="A130" s="8">
        <v>64</v>
      </c>
      <c r="B130" s="8">
        <v>128</v>
      </c>
      <c r="D130">
        <v>1679.0667634253</v>
      </c>
      <c r="E130">
        <v>480.51669085630999</v>
      </c>
      <c r="F130">
        <v>153.83685360524001</v>
      </c>
      <c r="G130">
        <v>124.88492352513001</v>
      </c>
      <c r="I130" s="9">
        <f t="shared" si="8"/>
        <v>355.63176733117996</v>
      </c>
      <c r="J130" s="9">
        <f t="shared" si="9"/>
        <v>1525.2299098200599</v>
      </c>
      <c r="K130" s="9">
        <f t="shared" si="10"/>
        <v>355.63176733117996</v>
      </c>
      <c r="L130" s="10">
        <f t="shared" ref="L130:L193" si="14">K130/J130</f>
        <v>0.23316600667314208</v>
      </c>
      <c r="M130" s="10">
        <f t="shared" si="11"/>
        <v>0.27454913714513574</v>
      </c>
      <c r="P130" s="8">
        <f t="shared" si="12"/>
        <v>11.600410153973872</v>
      </c>
      <c r="X130" s="8">
        <v>-13</v>
      </c>
    </row>
    <row r="131" spans="1:24" x14ac:dyDescent="0.2">
      <c r="A131" s="8">
        <v>64.5</v>
      </c>
      <c r="B131" s="8">
        <v>129</v>
      </c>
      <c r="D131">
        <v>1692.6611030479</v>
      </c>
      <c r="E131">
        <v>482.36865021771001</v>
      </c>
      <c r="F131">
        <v>153.80772032047</v>
      </c>
      <c r="G131">
        <v>124.93590677349</v>
      </c>
      <c r="I131" s="9">
        <f t="shared" ref="I131:I194" si="15">E131-G131</f>
        <v>357.43274344422002</v>
      </c>
      <c r="J131" s="9">
        <f t="shared" ref="J131:J194" si="16">D131-F131</f>
        <v>1538.85338272743</v>
      </c>
      <c r="K131" s="9">
        <f t="shared" ref="K131:K194" si="17">I131*1</f>
        <v>357.43274344422002</v>
      </c>
      <c r="L131" s="10">
        <f t="shared" si="14"/>
        <v>0.23227212381384513</v>
      </c>
      <c r="M131" s="10">
        <f t="shared" ref="M131:M181" si="18">L131+ABS($N$2)*A131</f>
        <v>0.27397855999265125</v>
      </c>
      <c r="P131" s="8">
        <f t="shared" ref="P131:P194" si="19">(M131-$O$2)/$O$2*100</f>
        <v>11.368478468069162</v>
      </c>
      <c r="X131" s="8">
        <v>-13</v>
      </c>
    </row>
    <row r="132" spans="1:24" x14ac:dyDescent="0.2">
      <c r="A132" s="8">
        <v>65</v>
      </c>
      <c r="B132" s="8">
        <v>130</v>
      </c>
      <c r="D132">
        <v>1682.7031930334001</v>
      </c>
      <c r="E132">
        <v>476.1175616836</v>
      </c>
      <c r="F132">
        <v>153.15294974508001</v>
      </c>
      <c r="G132">
        <v>124.84268026220001</v>
      </c>
      <c r="I132" s="9">
        <f t="shared" si="15"/>
        <v>351.27488142139998</v>
      </c>
      <c r="J132" s="9">
        <f t="shared" si="16"/>
        <v>1529.5502432883202</v>
      </c>
      <c r="K132" s="9">
        <f t="shared" si="17"/>
        <v>351.27488142139998</v>
      </c>
      <c r="L132" s="10">
        <f t="shared" si="14"/>
        <v>0.22965893599298043</v>
      </c>
      <c r="M132" s="10">
        <f t="shared" si="18"/>
        <v>0.27168867787859896</v>
      </c>
      <c r="P132" s="8">
        <f t="shared" si="19"/>
        <v>10.437673200240578</v>
      </c>
      <c r="X132" s="8">
        <v>-13</v>
      </c>
    </row>
    <row r="133" spans="1:24" x14ac:dyDescent="0.2">
      <c r="A133" s="8">
        <v>65.5</v>
      </c>
      <c r="B133" s="8">
        <v>131</v>
      </c>
      <c r="D133">
        <v>1708.5399129172999</v>
      </c>
      <c r="E133">
        <v>477.26052249637002</v>
      </c>
      <c r="F133">
        <v>153.58412235980001</v>
      </c>
      <c r="G133">
        <v>124.48215586307001</v>
      </c>
      <c r="I133" s="9">
        <f t="shared" si="15"/>
        <v>352.77836663330004</v>
      </c>
      <c r="J133" s="9">
        <f t="shared" si="16"/>
        <v>1554.9557905575</v>
      </c>
      <c r="K133" s="9">
        <f t="shared" si="17"/>
        <v>352.77836663330004</v>
      </c>
      <c r="L133" s="10">
        <f t="shared" si="14"/>
        <v>0.22687356693711402</v>
      </c>
      <c r="M133" s="10">
        <f t="shared" si="18"/>
        <v>0.26922661452954499</v>
      </c>
      <c r="P133" s="8">
        <f t="shared" si="19"/>
        <v>9.436878652362477</v>
      </c>
      <c r="X133" s="8">
        <v>-13</v>
      </c>
    </row>
    <row r="134" spans="1:24" x14ac:dyDescent="0.2">
      <c r="A134" s="8">
        <v>66</v>
      </c>
      <c r="B134" s="8">
        <v>132</v>
      </c>
      <c r="D134">
        <v>1677.8737300435</v>
      </c>
      <c r="E134">
        <v>466.59288824382998</v>
      </c>
      <c r="F134">
        <v>153.21849963583</v>
      </c>
      <c r="G134">
        <v>124.70575382374</v>
      </c>
      <c r="I134" s="9">
        <f t="shared" si="15"/>
        <v>341.88713442008998</v>
      </c>
      <c r="J134" s="9">
        <f t="shared" si="16"/>
        <v>1524.6552304076699</v>
      </c>
      <c r="K134" s="9">
        <f t="shared" si="17"/>
        <v>341.88713442008998</v>
      </c>
      <c r="L134" s="10">
        <f t="shared" si="14"/>
        <v>0.22423898046030674</v>
      </c>
      <c r="M134" s="10">
        <f t="shared" si="18"/>
        <v>0.26691533375955018</v>
      </c>
      <c r="P134" s="8">
        <f t="shared" si="19"/>
        <v>8.4973751281679757</v>
      </c>
      <c r="X134" s="8">
        <v>-13</v>
      </c>
    </row>
    <row r="135" spans="1:24" x14ac:dyDescent="0.2">
      <c r="A135" s="8">
        <v>66.5</v>
      </c>
      <c r="B135" s="8">
        <v>133</v>
      </c>
      <c r="D135">
        <v>1828.7579941860999</v>
      </c>
      <c r="E135">
        <v>502.46438953488001</v>
      </c>
      <c r="F135">
        <v>153.50546249089999</v>
      </c>
      <c r="G135">
        <v>124.68244719592001</v>
      </c>
      <c r="I135" s="9">
        <f t="shared" si="15"/>
        <v>377.78194233895999</v>
      </c>
      <c r="J135" s="9">
        <f t="shared" si="16"/>
        <v>1675.2525316951999</v>
      </c>
      <c r="K135" s="9">
        <f t="shared" si="17"/>
        <v>377.78194233895999</v>
      </c>
      <c r="L135" s="10">
        <f t="shared" si="14"/>
        <v>0.22550745943758091</v>
      </c>
      <c r="M135" s="10">
        <f t="shared" si="18"/>
        <v>0.26850711844363684</v>
      </c>
      <c r="P135" s="8">
        <f t="shared" si="19"/>
        <v>9.1444134888348216</v>
      </c>
      <c r="X135" s="8">
        <v>-13</v>
      </c>
    </row>
    <row r="136" spans="1:24" x14ac:dyDescent="0.2">
      <c r="A136" s="8">
        <v>67</v>
      </c>
      <c r="B136" s="8">
        <v>134</v>
      </c>
      <c r="D136">
        <v>1812.5668604651</v>
      </c>
      <c r="E136">
        <v>495.24055232557998</v>
      </c>
      <c r="F136">
        <v>153.60014566641999</v>
      </c>
      <c r="G136">
        <v>125.03787327021</v>
      </c>
      <c r="I136" s="9">
        <f t="shared" si="15"/>
        <v>370.20267905536997</v>
      </c>
      <c r="J136" s="9">
        <f t="shared" si="16"/>
        <v>1658.96671479868</v>
      </c>
      <c r="K136" s="9">
        <f t="shared" si="17"/>
        <v>370.20267905536997</v>
      </c>
      <c r="L136" s="10">
        <f t="shared" si="14"/>
        <v>0.22315256584294704</v>
      </c>
      <c r="M136" s="10">
        <f t="shared" si="18"/>
        <v>0.26647553055581541</v>
      </c>
      <c r="P136" s="8">
        <f t="shared" si="19"/>
        <v>8.3186012356902683</v>
      </c>
      <c r="X136" s="8">
        <v>-13</v>
      </c>
    </row>
    <row r="137" spans="1:24" x14ac:dyDescent="0.2">
      <c r="A137" s="8">
        <v>67.5</v>
      </c>
      <c r="B137" s="8">
        <v>135</v>
      </c>
      <c r="D137">
        <v>1736.3425858291</v>
      </c>
      <c r="E137">
        <v>480.95032870709002</v>
      </c>
      <c r="F137">
        <v>152.86671522213999</v>
      </c>
      <c r="G137">
        <v>124.43408594319</v>
      </c>
      <c r="I137" s="9">
        <f t="shared" si="15"/>
        <v>356.51624276390004</v>
      </c>
      <c r="J137" s="9">
        <f t="shared" si="16"/>
        <v>1583.4758706069601</v>
      </c>
      <c r="K137" s="9">
        <f t="shared" si="17"/>
        <v>356.51624276390004</v>
      </c>
      <c r="L137" s="10">
        <f t="shared" si="14"/>
        <v>0.22514788471468419</v>
      </c>
      <c r="M137" s="10">
        <f t="shared" si="18"/>
        <v>0.268794155134365</v>
      </c>
      <c r="P137" s="8">
        <f t="shared" si="19"/>
        <v>9.26108991604052</v>
      </c>
      <c r="X137" s="8">
        <v>-13</v>
      </c>
    </row>
    <row r="138" spans="1:24" x14ac:dyDescent="0.2">
      <c r="A138" s="8">
        <v>68</v>
      </c>
      <c r="B138" s="8">
        <v>136</v>
      </c>
      <c r="D138">
        <v>1709.1285609934</v>
      </c>
      <c r="E138">
        <v>477.49817384953002</v>
      </c>
      <c r="F138">
        <v>153.00436999272</v>
      </c>
      <c r="G138">
        <v>124.94756008740001</v>
      </c>
      <c r="I138" s="9">
        <f t="shared" si="15"/>
        <v>352.55061376213001</v>
      </c>
      <c r="J138" s="9">
        <f t="shared" si="16"/>
        <v>1556.12419100068</v>
      </c>
      <c r="K138" s="9">
        <f t="shared" si="17"/>
        <v>352.55061376213001</v>
      </c>
      <c r="L138" s="10">
        <f t="shared" si="14"/>
        <v>0.22655686210714268</v>
      </c>
      <c r="M138" s="10">
        <f t="shared" si="18"/>
        <v>0.27052643823363592</v>
      </c>
      <c r="P138" s="8">
        <f t="shared" si="19"/>
        <v>9.9652389306456364</v>
      </c>
      <c r="X138" s="8">
        <v>-13</v>
      </c>
    </row>
    <row r="139" spans="1:24" x14ac:dyDescent="0.2">
      <c r="A139" s="8">
        <v>68.5</v>
      </c>
      <c r="B139" s="8">
        <v>137</v>
      </c>
      <c r="D139">
        <v>1712.9412617839</v>
      </c>
      <c r="E139">
        <v>475.60333575054</v>
      </c>
      <c r="F139">
        <v>153.37072104879999</v>
      </c>
      <c r="G139">
        <v>124.09759650401</v>
      </c>
      <c r="I139" s="9">
        <f t="shared" si="15"/>
        <v>351.50573924652997</v>
      </c>
      <c r="J139" s="9">
        <f t="shared" si="16"/>
        <v>1559.5705407350999</v>
      </c>
      <c r="K139" s="9">
        <f t="shared" si="17"/>
        <v>351.50573924652997</v>
      </c>
      <c r="L139" s="10">
        <f t="shared" si="14"/>
        <v>0.22538623939437108</v>
      </c>
      <c r="M139" s="10">
        <f t="shared" si="18"/>
        <v>0.26967912122767679</v>
      </c>
      <c r="P139" s="8">
        <f t="shared" si="19"/>
        <v>9.6208163388329044</v>
      </c>
      <c r="X139" s="8">
        <v>-13</v>
      </c>
    </row>
    <row r="140" spans="1:24" x14ac:dyDescent="0.2">
      <c r="A140" s="8">
        <v>69</v>
      </c>
      <c r="B140" s="8">
        <v>138</v>
      </c>
      <c r="D140">
        <v>1733.3335750543999</v>
      </c>
      <c r="E140">
        <v>474.85641769398001</v>
      </c>
      <c r="F140">
        <v>153.27239621267</v>
      </c>
      <c r="G140">
        <v>124.30881281865</v>
      </c>
      <c r="I140" s="9">
        <f t="shared" si="15"/>
        <v>350.54760487533002</v>
      </c>
      <c r="J140" s="9">
        <f t="shared" si="16"/>
        <v>1580.06117884173</v>
      </c>
      <c r="K140" s="9">
        <f t="shared" si="17"/>
        <v>350.54760487533002</v>
      </c>
      <c r="L140" s="10">
        <f t="shared" si="14"/>
        <v>0.22185698222919464</v>
      </c>
      <c r="M140" s="10">
        <f t="shared" si="18"/>
        <v>0.26647316976931279</v>
      </c>
      <c r="P140" s="8">
        <f t="shared" si="19"/>
        <v>8.3176416087735063</v>
      </c>
      <c r="X140" s="8">
        <v>-13</v>
      </c>
    </row>
    <row r="141" spans="1:24" x14ac:dyDescent="0.2">
      <c r="A141" s="8">
        <v>69.5</v>
      </c>
      <c r="B141" s="8">
        <v>139</v>
      </c>
      <c r="D141">
        <v>1699.1682378534999</v>
      </c>
      <c r="E141">
        <v>462.50181290789999</v>
      </c>
      <c r="F141">
        <v>153.56882738529001</v>
      </c>
      <c r="G141">
        <v>124.83539694101</v>
      </c>
      <c r="I141" s="9">
        <f t="shared" si="15"/>
        <v>337.66641596688999</v>
      </c>
      <c r="J141" s="9">
        <f t="shared" si="16"/>
        <v>1545.59941046821</v>
      </c>
      <c r="K141" s="9">
        <f t="shared" si="17"/>
        <v>337.66641596688999</v>
      </c>
      <c r="L141" s="10">
        <f t="shared" si="14"/>
        <v>0.21846955535820264</v>
      </c>
      <c r="M141" s="10">
        <f t="shared" si="18"/>
        <v>0.26340904860513326</v>
      </c>
      <c r="P141" s="8">
        <f t="shared" si="19"/>
        <v>7.072118922963214</v>
      </c>
      <c r="X141" s="8">
        <v>-13</v>
      </c>
    </row>
    <row r="142" spans="1:24" x14ac:dyDescent="0.2">
      <c r="A142" s="8">
        <v>70</v>
      </c>
      <c r="B142" s="8">
        <v>140</v>
      </c>
      <c r="D142">
        <v>1756.9644670051</v>
      </c>
      <c r="E142">
        <v>481.45612762872003</v>
      </c>
      <c r="F142">
        <v>153.37072104879999</v>
      </c>
      <c r="G142">
        <v>124.18062636562</v>
      </c>
      <c r="I142" s="9">
        <f t="shared" si="15"/>
        <v>357.27550126310001</v>
      </c>
      <c r="J142" s="9">
        <f t="shared" si="16"/>
        <v>1603.5937459562999</v>
      </c>
      <c r="K142" s="9">
        <f t="shared" si="17"/>
        <v>357.27550126310001</v>
      </c>
      <c r="L142" s="10">
        <f t="shared" si="14"/>
        <v>0.2227967664279206</v>
      </c>
      <c r="M142" s="10">
        <f t="shared" si="18"/>
        <v>0.26805956538166364</v>
      </c>
      <c r="P142" s="8">
        <f t="shared" si="19"/>
        <v>8.9624893866458866</v>
      </c>
      <c r="X142" s="8">
        <v>-13</v>
      </c>
    </row>
    <row r="143" spans="1:24" x14ac:dyDescent="0.2">
      <c r="A143" s="8">
        <v>70.5</v>
      </c>
      <c r="B143" s="8">
        <v>141</v>
      </c>
      <c r="D143">
        <v>1756.8912255257001</v>
      </c>
      <c r="E143">
        <v>480.08049311094999</v>
      </c>
      <c r="F143">
        <v>152.89876183539999</v>
      </c>
      <c r="G143">
        <v>124.34522942462</v>
      </c>
      <c r="I143" s="9">
        <f t="shared" si="15"/>
        <v>355.73526368632997</v>
      </c>
      <c r="J143" s="9">
        <f t="shared" si="16"/>
        <v>1603.9924636903002</v>
      </c>
      <c r="K143" s="9">
        <f t="shared" si="17"/>
        <v>355.73526368632997</v>
      </c>
      <c r="L143" s="10">
        <f t="shared" si="14"/>
        <v>0.22178113160699708</v>
      </c>
      <c r="M143" s="10">
        <f t="shared" si="18"/>
        <v>0.2673672362675526</v>
      </c>
      <c r="P143" s="8">
        <f t="shared" si="19"/>
        <v>8.681067219744353</v>
      </c>
      <c r="X143" s="8">
        <v>-13</v>
      </c>
    </row>
    <row r="144" spans="1:24" x14ac:dyDescent="0.2">
      <c r="A144" s="8">
        <v>71</v>
      </c>
      <c r="B144" s="8">
        <v>142</v>
      </c>
      <c r="D144">
        <v>1722.7534445250001</v>
      </c>
      <c r="E144">
        <v>472.32269760695999</v>
      </c>
      <c r="F144">
        <v>152.92352512746001</v>
      </c>
      <c r="G144">
        <v>124.52367079388</v>
      </c>
      <c r="I144" s="9">
        <f t="shared" si="15"/>
        <v>347.79902681307999</v>
      </c>
      <c r="J144" s="9">
        <f t="shared" si="16"/>
        <v>1569.8299193975402</v>
      </c>
      <c r="K144" s="9">
        <f t="shared" si="17"/>
        <v>347.79902681307999</v>
      </c>
      <c r="L144" s="10">
        <f t="shared" si="14"/>
        <v>0.22155204364212666</v>
      </c>
      <c r="M144" s="10">
        <f t="shared" si="18"/>
        <v>0.26746145400949461</v>
      </c>
      <c r="P144" s="8">
        <f t="shared" si="19"/>
        <v>8.7193654229506965</v>
      </c>
    </row>
    <row r="145" spans="1:16" x14ac:dyDescent="0.2">
      <c r="A145" s="8">
        <v>71.5</v>
      </c>
      <c r="B145" s="8">
        <v>143</v>
      </c>
      <c r="D145">
        <v>1737.8912255257001</v>
      </c>
      <c r="E145">
        <v>472.47715736040999</v>
      </c>
      <c r="F145">
        <v>153.18353969410001</v>
      </c>
      <c r="G145">
        <v>124.40349599417</v>
      </c>
      <c r="I145" s="9">
        <f t="shared" si="15"/>
        <v>348.07366136624</v>
      </c>
      <c r="J145" s="9">
        <f t="shared" si="16"/>
        <v>1584.7076858316</v>
      </c>
      <c r="K145" s="9">
        <f t="shared" si="17"/>
        <v>348.07366136624</v>
      </c>
      <c r="L145" s="10">
        <f t="shared" si="14"/>
        <v>0.21964534183702336</v>
      </c>
      <c r="M145" s="10">
        <f t="shared" si="18"/>
        <v>0.26587805791120378</v>
      </c>
      <c r="P145" s="8">
        <f t="shared" si="19"/>
        <v>8.0757369058738213</v>
      </c>
    </row>
    <row r="146" spans="1:16" x14ac:dyDescent="0.2">
      <c r="A146" s="8">
        <v>72</v>
      </c>
      <c r="B146" s="8">
        <v>144</v>
      </c>
      <c r="D146">
        <v>1754.4793328498999</v>
      </c>
      <c r="E146">
        <v>479.52356780276</v>
      </c>
      <c r="F146">
        <v>152.83831026947999</v>
      </c>
      <c r="G146">
        <v>124.19009468318001</v>
      </c>
      <c r="I146" s="9">
        <f t="shared" si="15"/>
        <v>355.33347311957999</v>
      </c>
      <c r="J146" s="9">
        <f t="shared" si="16"/>
        <v>1601.64102258042</v>
      </c>
      <c r="K146" s="9">
        <f t="shared" si="17"/>
        <v>355.33347311957999</v>
      </c>
      <c r="L146" s="10">
        <f t="shared" si="14"/>
        <v>0.22185587663526415</v>
      </c>
      <c r="M146" s="10">
        <f t="shared" si="18"/>
        <v>0.26841189841625701</v>
      </c>
      <c r="P146" s="8">
        <f t="shared" si="19"/>
        <v>9.1057078705219734</v>
      </c>
    </row>
    <row r="147" spans="1:16" x14ac:dyDescent="0.2">
      <c r="A147" s="8">
        <v>72.5</v>
      </c>
      <c r="B147" s="8">
        <v>145</v>
      </c>
      <c r="D147">
        <v>1758.6062364032</v>
      </c>
      <c r="E147">
        <v>476.36910804931</v>
      </c>
      <c r="F147">
        <v>152.94828841952</v>
      </c>
      <c r="G147">
        <v>123.94464675892</v>
      </c>
      <c r="I147" s="9">
        <f t="shared" si="15"/>
        <v>352.42446129039001</v>
      </c>
      <c r="J147" s="9">
        <f t="shared" si="16"/>
        <v>1605.6579479836801</v>
      </c>
      <c r="K147" s="9">
        <f t="shared" si="17"/>
        <v>352.42446129039001</v>
      </c>
      <c r="L147" s="10">
        <f t="shared" si="14"/>
        <v>0.2194891270167163</v>
      </c>
      <c r="M147" s="10">
        <f t="shared" si="18"/>
        <v>0.26636845450452162</v>
      </c>
      <c r="P147" s="8">
        <f t="shared" si="19"/>
        <v>8.2750763083628254</v>
      </c>
    </row>
    <row r="148" spans="1:16" x14ac:dyDescent="0.2">
      <c r="A148" s="8">
        <v>73</v>
      </c>
      <c r="B148" s="8">
        <v>146</v>
      </c>
      <c r="D148">
        <v>1608.0377084843999</v>
      </c>
      <c r="E148">
        <v>435.17911530094</v>
      </c>
      <c r="F148">
        <v>153.17552804079</v>
      </c>
      <c r="G148">
        <v>124.63729060452</v>
      </c>
      <c r="I148" s="9">
        <f t="shared" si="15"/>
        <v>310.54182469642001</v>
      </c>
      <c r="J148" s="9">
        <f t="shared" si="16"/>
        <v>1454.86218044361</v>
      </c>
      <c r="K148" s="9">
        <f t="shared" si="17"/>
        <v>310.54182469642001</v>
      </c>
      <c r="L148" s="10">
        <f t="shared" si="14"/>
        <v>0.21345102571965338</v>
      </c>
      <c r="M148" s="10">
        <f t="shared" si="18"/>
        <v>0.26065365891427111</v>
      </c>
      <c r="P148" s="8">
        <f t="shared" si="19"/>
        <v>5.9520912920925682</v>
      </c>
    </row>
    <row r="149" spans="1:16" x14ac:dyDescent="0.2">
      <c r="A149" s="8">
        <v>73.5</v>
      </c>
      <c r="B149" s="8">
        <v>147</v>
      </c>
      <c r="D149">
        <v>1643.4590282813999</v>
      </c>
      <c r="E149">
        <v>443.17476432196997</v>
      </c>
      <c r="F149">
        <v>153.10779315368001</v>
      </c>
      <c r="G149">
        <v>124.52876911872001</v>
      </c>
      <c r="I149" s="9">
        <f t="shared" si="15"/>
        <v>318.64599520324998</v>
      </c>
      <c r="J149" s="9">
        <f t="shared" si="16"/>
        <v>1490.35123512772</v>
      </c>
      <c r="K149" s="9">
        <f t="shared" si="17"/>
        <v>318.64599520324998</v>
      </c>
      <c r="L149" s="10">
        <f t="shared" si="14"/>
        <v>0.21380597250683842</v>
      </c>
      <c r="M149" s="10">
        <f t="shared" si="18"/>
        <v>0.26133191140826861</v>
      </c>
      <c r="P149" s="8">
        <f t="shared" si="19"/>
        <v>6.2277915084733717</v>
      </c>
    </row>
    <row r="150" spans="1:16" x14ac:dyDescent="0.2">
      <c r="A150" s="8">
        <v>74</v>
      </c>
      <c r="B150" s="8">
        <v>148</v>
      </c>
      <c r="D150">
        <v>1707.4418434528</v>
      </c>
      <c r="E150">
        <v>453.00731528895</v>
      </c>
      <c r="F150">
        <v>153.20611798979999</v>
      </c>
      <c r="G150">
        <v>124.14639475601</v>
      </c>
      <c r="I150" s="9">
        <f t="shared" si="15"/>
        <v>328.86092053293999</v>
      </c>
      <c r="J150" s="9">
        <f t="shared" si="16"/>
        <v>1554.2357254629999</v>
      </c>
      <c r="K150" s="9">
        <f t="shared" si="17"/>
        <v>328.86092053293999</v>
      </c>
      <c r="L150" s="10">
        <f t="shared" si="14"/>
        <v>0.21159011798868141</v>
      </c>
      <c r="M150" s="10">
        <f t="shared" si="18"/>
        <v>0.25943936259692407</v>
      </c>
      <c r="P150" s="8">
        <f t="shared" si="19"/>
        <v>5.458496708355991</v>
      </c>
    </row>
    <row r="151" spans="1:16" x14ac:dyDescent="0.2">
      <c r="A151" s="8">
        <v>74.5</v>
      </c>
      <c r="B151" s="8">
        <v>149</v>
      </c>
      <c r="D151">
        <v>1768.0248538011999</v>
      </c>
      <c r="E151">
        <v>475.98245614035</v>
      </c>
      <c r="F151">
        <v>153.26656955572</v>
      </c>
      <c r="G151">
        <v>124.48069919884</v>
      </c>
      <c r="I151" s="9">
        <f t="shared" si="15"/>
        <v>351.50175694151</v>
      </c>
      <c r="J151" s="9">
        <f t="shared" si="16"/>
        <v>1614.7582842454799</v>
      </c>
      <c r="K151" s="9">
        <f t="shared" si="17"/>
        <v>351.50175694151</v>
      </c>
      <c r="L151" s="10">
        <f t="shared" si="14"/>
        <v>0.21768072681277773</v>
      </c>
      <c r="M151" s="10">
        <f t="shared" si="18"/>
        <v>0.26585327712783285</v>
      </c>
      <c r="P151" s="8">
        <f t="shared" si="19"/>
        <v>8.0656638616935012</v>
      </c>
    </row>
    <row r="152" spans="1:16" x14ac:dyDescent="0.2">
      <c r="A152" s="8">
        <v>75</v>
      </c>
      <c r="B152" s="8">
        <v>150</v>
      </c>
      <c r="D152">
        <v>1832.7134502924</v>
      </c>
      <c r="E152">
        <v>488.40643274854</v>
      </c>
      <c r="F152">
        <v>152.82447195921</v>
      </c>
      <c r="G152">
        <v>124.00582665696</v>
      </c>
      <c r="I152" s="9">
        <f t="shared" si="15"/>
        <v>364.40060609158002</v>
      </c>
      <c r="J152" s="9">
        <f t="shared" si="16"/>
        <v>1679.8889783331899</v>
      </c>
      <c r="K152" s="9">
        <f t="shared" si="17"/>
        <v>364.40060609158002</v>
      </c>
      <c r="L152" s="10">
        <f t="shared" si="14"/>
        <v>0.21691945764960227</v>
      </c>
      <c r="M152" s="10">
        <f t="shared" si="18"/>
        <v>0.26541531367146981</v>
      </c>
      <c r="P152" s="8">
        <f t="shared" si="19"/>
        <v>7.8876378009642343</v>
      </c>
    </row>
    <row r="153" spans="1:16" x14ac:dyDescent="0.2">
      <c r="A153" s="8">
        <v>75.5</v>
      </c>
      <c r="B153" s="8">
        <v>151</v>
      </c>
      <c r="D153">
        <v>1709.2797662527</v>
      </c>
      <c r="E153">
        <v>461.57195032870999</v>
      </c>
      <c r="F153">
        <v>152.48506919155</v>
      </c>
      <c r="G153">
        <v>124.45447924254</v>
      </c>
      <c r="I153" s="9">
        <f t="shared" si="15"/>
        <v>337.11747108616999</v>
      </c>
      <c r="J153" s="9">
        <f t="shared" si="16"/>
        <v>1556.7946970611501</v>
      </c>
      <c r="K153" s="9">
        <f t="shared" si="17"/>
        <v>337.11747108616999</v>
      </c>
      <c r="L153" s="10">
        <f t="shared" si="14"/>
        <v>0.21654587578090148</v>
      </c>
      <c r="M153" s="10">
        <f t="shared" si="18"/>
        <v>0.26536503750958151</v>
      </c>
      <c r="P153" s="8">
        <f t="shared" si="19"/>
        <v>7.8672012396038697</v>
      </c>
    </row>
    <row r="154" spans="1:16" x14ac:dyDescent="0.2">
      <c r="A154" s="8">
        <v>76</v>
      </c>
      <c r="B154" s="8">
        <v>152</v>
      </c>
      <c r="D154">
        <v>1622.5080409356999</v>
      </c>
      <c r="E154">
        <v>462.03362573099002</v>
      </c>
      <c r="F154">
        <v>152.78295702841001</v>
      </c>
      <c r="G154">
        <v>123.98106336489001</v>
      </c>
      <c r="I154" s="9">
        <f t="shared" si="15"/>
        <v>338.05256236610001</v>
      </c>
      <c r="J154" s="9">
        <f t="shared" si="16"/>
        <v>1469.7250839072899</v>
      </c>
      <c r="K154" s="9">
        <f t="shared" si="17"/>
        <v>338.05256236610001</v>
      </c>
      <c r="L154" s="10">
        <f t="shared" si="14"/>
        <v>0.23001074559289778</v>
      </c>
      <c r="M154" s="10">
        <f t="shared" si="18"/>
        <v>0.27915321302839025</v>
      </c>
      <c r="P154" s="8">
        <f t="shared" si="19"/>
        <v>13.471903039706753</v>
      </c>
    </row>
    <row r="155" spans="1:16" x14ac:dyDescent="0.2">
      <c r="A155" s="8">
        <v>76.5</v>
      </c>
      <c r="B155" s="8">
        <v>153</v>
      </c>
      <c r="D155">
        <v>1625.8684210526001</v>
      </c>
      <c r="E155">
        <v>452.77266081870999</v>
      </c>
      <c r="F155">
        <v>152.19227967953</v>
      </c>
      <c r="G155">
        <v>123.92935178441</v>
      </c>
      <c r="I155" s="9">
        <f t="shared" si="15"/>
        <v>328.84330903429998</v>
      </c>
      <c r="J155" s="9">
        <f t="shared" si="16"/>
        <v>1473.6761413730701</v>
      </c>
      <c r="K155" s="9">
        <f t="shared" si="17"/>
        <v>328.84330903429998</v>
      </c>
      <c r="L155" s="10">
        <f t="shared" si="14"/>
        <v>0.22314489581673377</v>
      </c>
      <c r="M155" s="10">
        <f t="shared" si="18"/>
        <v>0.27261066895903868</v>
      </c>
      <c r="P155" s="8">
        <f t="shared" si="19"/>
        <v>10.812449765941402</v>
      </c>
    </row>
    <row r="156" spans="1:16" x14ac:dyDescent="0.2">
      <c r="A156" s="8">
        <v>77</v>
      </c>
      <c r="B156" s="8">
        <v>154</v>
      </c>
      <c r="D156">
        <v>1616.7678958785</v>
      </c>
      <c r="E156">
        <v>448.81272595806001</v>
      </c>
      <c r="F156">
        <v>152.76183539694</v>
      </c>
      <c r="G156">
        <v>123.90458849235</v>
      </c>
      <c r="I156" s="9">
        <f t="shared" si="15"/>
        <v>324.90813746571001</v>
      </c>
      <c r="J156" s="9">
        <f t="shared" si="16"/>
        <v>1464.0060604815599</v>
      </c>
      <c r="K156" s="9">
        <f t="shared" si="17"/>
        <v>324.90813746571001</v>
      </c>
      <c r="L156" s="10">
        <f t="shared" si="14"/>
        <v>0.22193086916514335</v>
      </c>
      <c r="M156" s="10">
        <f t="shared" si="18"/>
        <v>0.27171994801426069</v>
      </c>
      <c r="P156" s="8">
        <f t="shared" si="19"/>
        <v>10.450384075975638</v>
      </c>
    </row>
    <row r="157" spans="1:16" x14ac:dyDescent="0.2">
      <c r="A157" s="8">
        <v>77.5</v>
      </c>
      <c r="B157" s="8">
        <v>155</v>
      </c>
      <c r="D157">
        <v>1643.8734634852001</v>
      </c>
      <c r="E157">
        <v>442.68402024583997</v>
      </c>
      <c r="F157">
        <v>152.52075746540001</v>
      </c>
      <c r="G157">
        <v>124.60815731974</v>
      </c>
      <c r="I157" s="9">
        <f t="shared" si="15"/>
        <v>318.07586292609994</v>
      </c>
      <c r="J157" s="9">
        <f t="shared" si="16"/>
        <v>1491.3527060198001</v>
      </c>
      <c r="K157" s="9">
        <f t="shared" si="17"/>
        <v>318.07586292609994</v>
      </c>
      <c r="L157" s="10">
        <f t="shared" si="14"/>
        <v>0.21328010580072465</v>
      </c>
      <c r="M157" s="10">
        <f t="shared" si="18"/>
        <v>0.26339249035665446</v>
      </c>
      <c r="P157" s="8">
        <f t="shared" si="19"/>
        <v>7.0653882249873261</v>
      </c>
    </row>
    <row r="158" spans="1:16" x14ac:dyDescent="0.2">
      <c r="A158" s="8">
        <v>78</v>
      </c>
      <c r="B158" s="8">
        <v>156</v>
      </c>
      <c r="D158">
        <v>1728.3553597651</v>
      </c>
      <c r="E158">
        <v>463.08957415564998</v>
      </c>
      <c r="F158">
        <v>152.49599417333999</v>
      </c>
      <c r="G158">
        <v>123.91624180626</v>
      </c>
      <c r="I158" s="9">
        <f t="shared" si="15"/>
        <v>339.17333234938997</v>
      </c>
      <c r="J158" s="9">
        <f t="shared" si="16"/>
        <v>1575.85936559176</v>
      </c>
      <c r="K158" s="9">
        <f t="shared" si="17"/>
        <v>339.17333234938997</v>
      </c>
      <c r="L158" s="10">
        <f t="shared" si="14"/>
        <v>0.2152307114169576</v>
      </c>
      <c r="M158" s="10">
        <f t="shared" si="18"/>
        <v>0.26566640167969985</v>
      </c>
      <c r="P158" s="8">
        <f t="shared" si="19"/>
        <v>7.9897015881412567</v>
      </c>
    </row>
    <row r="159" spans="1:16" x14ac:dyDescent="0.2">
      <c r="A159" s="8">
        <v>78.5</v>
      </c>
      <c r="B159" s="8">
        <v>157</v>
      </c>
      <c r="D159">
        <v>1653.5719530102999</v>
      </c>
      <c r="E159">
        <v>437.60792951541998</v>
      </c>
      <c r="F159">
        <v>152.18353969410001</v>
      </c>
      <c r="G159">
        <v>124.24253459578</v>
      </c>
      <c r="I159" s="9">
        <f t="shared" si="15"/>
        <v>313.36539491963998</v>
      </c>
      <c r="J159" s="9">
        <f t="shared" si="16"/>
        <v>1501.3884133161998</v>
      </c>
      <c r="K159" s="9">
        <f t="shared" si="17"/>
        <v>313.36539491963998</v>
      </c>
      <c r="L159" s="10">
        <f t="shared" si="14"/>
        <v>0.20871707290420102</v>
      </c>
      <c r="M159" s="10">
        <f t="shared" si="18"/>
        <v>0.25947606887375574</v>
      </c>
      <c r="P159" s="8">
        <f t="shared" si="19"/>
        <v>5.4734172999565889</v>
      </c>
    </row>
    <row r="160" spans="1:16" x14ac:dyDescent="0.2">
      <c r="A160" s="8">
        <v>79</v>
      </c>
      <c r="B160" s="8">
        <v>158</v>
      </c>
      <c r="D160">
        <v>1725.7800289436</v>
      </c>
      <c r="E160">
        <v>458.65629522430999</v>
      </c>
      <c r="F160">
        <v>152.64967225055</v>
      </c>
      <c r="G160">
        <v>123.89439184267999</v>
      </c>
      <c r="I160" s="9">
        <f t="shared" si="15"/>
        <v>334.76190338162996</v>
      </c>
      <c r="J160" s="9">
        <f t="shared" si="16"/>
        <v>1573.1303566930501</v>
      </c>
      <c r="K160" s="9">
        <f t="shared" si="17"/>
        <v>334.76190338162996</v>
      </c>
      <c r="L160" s="10">
        <f t="shared" si="14"/>
        <v>0.21279984964840956</v>
      </c>
      <c r="M160" s="10">
        <f t="shared" si="18"/>
        <v>0.26388215132477671</v>
      </c>
      <c r="P160" s="8">
        <f t="shared" si="19"/>
        <v>7.2644286060537837</v>
      </c>
    </row>
    <row r="161" spans="1:16" x14ac:dyDescent="0.2">
      <c r="A161" s="8">
        <v>79.5</v>
      </c>
      <c r="B161" s="8">
        <v>159</v>
      </c>
      <c r="D161">
        <v>1700.7778581765999</v>
      </c>
      <c r="E161">
        <v>451.83429811867001</v>
      </c>
      <c r="F161">
        <v>152.17625637290999</v>
      </c>
      <c r="G161">
        <v>123.63510560816</v>
      </c>
      <c r="I161" s="9">
        <f t="shared" si="15"/>
        <v>328.19919251050999</v>
      </c>
      <c r="J161" s="9">
        <f t="shared" si="16"/>
        <v>1548.6016018036898</v>
      </c>
      <c r="K161" s="9">
        <f t="shared" si="17"/>
        <v>328.19919251050999</v>
      </c>
      <c r="L161" s="10">
        <f t="shared" si="14"/>
        <v>0.21193261851740905</v>
      </c>
      <c r="M161" s="10">
        <f t="shared" si="18"/>
        <v>0.26333822590058864</v>
      </c>
      <c r="P161" s="8">
        <f t="shared" si="19"/>
        <v>7.0433304774500352</v>
      </c>
    </row>
    <row r="162" spans="1:16" x14ac:dyDescent="0.2">
      <c r="A162" s="8">
        <v>80</v>
      </c>
      <c r="B162" s="4">
        <v>160</v>
      </c>
      <c r="C162" s="4" t="s">
        <v>6</v>
      </c>
      <c r="D162">
        <v>1748.5678832117001</v>
      </c>
      <c r="E162">
        <v>463.10218978102</v>
      </c>
      <c r="F162">
        <v>152.36125273125</v>
      </c>
      <c r="G162">
        <v>123.83248361253</v>
      </c>
      <c r="H162" s="4"/>
      <c r="I162" s="5">
        <f t="shared" si="15"/>
        <v>339.26970616849002</v>
      </c>
      <c r="J162" s="5">
        <f t="shared" si="16"/>
        <v>1596.20663048045</v>
      </c>
      <c r="K162" s="9">
        <f t="shared" si="17"/>
        <v>339.26970616849002</v>
      </c>
      <c r="L162" s="6">
        <f t="shared" si="14"/>
        <v>0.21254748582667618</v>
      </c>
      <c r="M162" s="6">
        <f t="shared" si="18"/>
        <v>0.26427639891666826</v>
      </c>
      <c r="N162" s="4"/>
      <c r="O162" s="4"/>
      <c r="P162" s="4">
        <f t="shared" si="19"/>
        <v>7.4246847751855585</v>
      </c>
    </row>
    <row r="163" spans="1:16" x14ac:dyDescent="0.2">
      <c r="A163" s="8">
        <v>80.5</v>
      </c>
      <c r="B163" s="8">
        <v>161</v>
      </c>
      <c r="D163">
        <v>1798.5967859752</v>
      </c>
      <c r="E163">
        <v>477.10664718773</v>
      </c>
      <c r="F163">
        <v>152.10196649672</v>
      </c>
      <c r="G163">
        <v>123.62563729061</v>
      </c>
      <c r="I163" s="9">
        <f t="shared" si="15"/>
        <v>353.48100989711997</v>
      </c>
      <c r="J163" s="9">
        <f t="shared" si="16"/>
        <v>1646.4948194784799</v>
      </c>
      <c r="K163" s="9">
        <f t="shared" si="17"/>
        <v>353.48100989711997</v>
      </c>
      <c r="L163" s="10">
        <f t="shared" si="14"/>
        <v>0.21468698578054654</v>
      </c>
      <c r="M163" s="10">
        <f t="shared" si="18"/>
        <v>0.26673920457735106</v>
      </c>
      <c r="P163" s="8">
        <f t="shared" si="19"/>
        <v>8.4257810624284275</v>
      </c>
    </row>
    <row r="164" spans="1:16" x14ac:dyDescent="0.2">
      <c r="A164" s="8">
        <v>81</v>
      </c>
      <c r="B164" s="8">
        <v>162</v>
      </c>
      <c r="D164">
        <v>1729.2089116143</v>
      </c>
      <c r="E164">
        <v>483.32724616508</v>
      </c>
      <c r="F164">
        <v>151.97669337217999</v>
      </c>
      <c r="G164">
        <v>123.71303714494</v>
      </c>
      <c r="I164" s="9">
        <f t="shared" si="15"/>
        <v>359.61420902013998</v>
      </c>
      <c r="J164" s="9">
        <f t="shared" si="16"/>
        <v>1577.2322182421199</v>
      </c>
      <c r="K164" s="9">
        <f t="shared" si="17"/>
        <v>359.61420902013998</v>
      </c>
      <c r="L164" s="10">
        <f t="shared" si="14"/>
        <v>0.22800333702347428</v>
      </c>
      <c r="M164" s="10">
        <f t="shared" si="18"/>
        <v>0.28037886152709124</v>
      </c>
      <c r="P164" s="8">
        <f t="shared" si="19"/>
        <v>13.970112127456774</v>
      </c>
    </row>
    <row r="165" spans="1:16" x14ac:dyDescent="0.2">
      <c r="A165" s="8">
        <v>81.5</v>
      </c>
      <c r="B165" s="8">
        <v>163</v>
      </c>
      <c r="D165">
        <v>1780.8228862973999</v>
      </c>
      <c r="E165">
        <v>491.36953352770001</v>
      </c>
      <c r="F165">
        <v>151.81864530225999</v>
      </c>
      <c r="G165">
        <v>123.99927166788</v>
      </c>
      <c r="I165" s="9">
        <f t="shared" si="15"/>
        <v>367.37026185982</v>
      </c>
      <c r="J165" s="9">
        <f t="shared" si="16"/>
        <v>1629.00424099514</v>
      </c>
      <c r="K165" s="9">
        <f t="shared" si="17"/>
        <v>367.37026185982</v>
      </c>
      <c r="L165" s="10">
        <f t="shared" si="14"/>
        <v>0.22551829676968657</v>
      </c>
      <c r="M165" s="10">
        <f t="shared" si="18"/>
        <v>0.27821712698011597</v>
      </c>
      <c r="P165" s="8">
        <f t="shared" si="19"/>
        <v>13.091397065391503</v>
      </c>
    </row>
    <row r="166" spans="1:16" x14ac:dyDescent="0.2">
      <c r="A166" s="8">
        <v>82</v>
      </c>
      <c r="B166" s="8">
        <v>164</v>
      </c>
      <c r="D166">
        <v>1835.5398100804</v>
      </c>
      <c r="E166">
        <v>514.76771365960997</v>
      </c>
      <c r="F166">
        <v>152.52221412963999</v>
      </c>
      <c r="G166">
        <v>124.1274581209</v>
      </c>
      <c r="I166" s="9">
        <f t="shared" si="15"/>
        <v>390.64025553870999</v>
      </c>
      <c r="J166" s="9">
        <f t="shared" si="16"/>
        <v>1683.0175959507601</v>
      </c>
      <c r="K166" s="9">
        <f t="shared" si="17"/>
        <v>390.64025553870999</v>
      </c>
      <c r="L166" s="10">
        <f t="shared" si="14"/>
        <v>0.23210705371029225</v>
      </c>
      <c r="M166" s="10">
        <f t="shared" si="18"/>
        <v>0.28512918962753409</v>
      </c>
      <c r="P166" s="8">
        <f t="shared" si="19"/>
        <v>15.901054507709533</v>
      </c>
    </row>
    <row r="167" spans="1:16" x14ac:dyDescent="0.2">
      <c r="A167" s="8">
        <v>82.5</v>
      </c>
      <c r="B167" s="8">
        <v>165</v>
      </c>
      <c r="D167">
        <v>1786.4886778671</v>
      </c>
      <c r="E167">
        <v>494.62016070124002</v>
      </c>
      <c r="F167">
        <v>152.30444282593001</v>
      </c>
      <c r="G167">
        <v>123.82083029862</v>
      </c>
      <c r="I167" s="9">
        <f t="shared" si="15"/>
        <v>370.79933040262006</v>
      </c>
      <c r="J167" s="9">
        <f t="shared" si="16"/>
        <v>1634.18423504117</v>
      </c>
      <c r="K167" s="9">
        <f t="shared" si="17"/>
        <v>370.79933040262006</v>
      </c>
      <c r="L167" s="10">
        <f t="shared" si="14"/>
        <v>0.22690179139641406</v>
      </c>
      <c r="M167" s="10">
        <f t="shared" si="18"/>
        <v>0.28024723302046839</v>
      </c>
      <c r="P167" s="8">
        <f t="shared" si="19"/>
        <v>13.916606968126043</v>
      </c>
    </row>
    <row r="168" spans="1:16" x14ac:dyDescent="0.2">
      <c r="A168" s="8">
        <v>83</v>
      </c>
      <c r="B168" s="8">
        <v>166</v>
      </c>
      <c r="D168">
        <v>1881.7831501832</v>
      </c>
      <c r="E168">
        <v>523.17655677656001</v>
      </c>
      <c r="F168">
        <v>153.02986161690001</v>
      </c>
      <c r="G168">
        <v>123.99126001457</v>
      </c>
      <c r="I168" s="9">
        <f t="shared" si="15"/>
        <v>399.18529676199</v>
      </c>
      <c r="J168" s="9">
        <f t="shared" si="16"/>
        <v>1728.7532885662999</v>
      </c>
      <c r="K168" s="9">
        <f t="shared" si="17"/>
        <v>399.18529676199</v>
      </c>
      <c r="L168" s="10">
        <f t="shared" si="14"/>
        <v>0.2309093491836795</v>
      </c>
      <c r="M168" s="10">
        <f t="shared" si="18"/>
        <v>0.28457809651454624</v>
      </c>
      <c r="P168" s="8">
        <f t="shared" si="19"/>
        <v>15.677042813183748</v>
      </c>
    </row>
    <row r="169" spans="1:16" x14ac:dyDescent="0.2">
      <c r="A169" s="8">
        <v>83.5</v>
      </c>
      <c r="B169" s="8">
        <v>167</v>
      </c>
      <c r="D169">
        <v>1991.147985348</v>
      </c>
      <c r="E169">
        <v>571.85128205128001</v>
      </c>
      <c r="F169">
        <v>152.98324836124999</v>
      </c>
      <c r="G169">
        <v>124.69847050254999</v>
      </c>
      <c r="I169" s="9">
        <f t="shared" si="15"/>
        <v>447.15281154873003</v>
      </c>
      <c r="J169" s="9">
        <f t="shared" si="16"/>
        <v>1838.1647369867501</v>
      </c>
      <c r="K169" s="9">
        <f t="shared" si="17"/>
        <v>447.15281154873003</v>
      </c>
      <c r="L169" s="10">
        <f t="shared" si="14"/>
        <v>0.24326046656826558</v>
      </c>
      <c r="M169" s="10">
        <f t="shared" si="18"/>
        <v>0.29725251960594479</v>
      </c>
      <c r="P169" s="8">
        <f t="shared" si="19"/>
        <v>20.829019724032094</v>
      </c>
    </row>
    <row r="170" spans="1:16" x14ac:dyDescent="0.2">
      <c r="A170" s="8">
        <v>84</v>
      </c>
      <c r="B170" s="8">
        <v>168</v>
      </c>
      <c r="D170">
        <v>1997.0835164835</v>
      </c>
      <c r="E170">
        <v>590.86300366299997</v>
      </c>
      <c r="F170">
        <v>153.02476329205999</v>
      </c>
      <c r="G170">
        <v>124.22942461763</v>
      </c>
      <c r="I170" s="9">
        <f t="shared" si="15"/>
        <v>466.63357904536997</v>
      </c>
      <c r="J170" s="9">
        <f t="shared" si="16"/>
        <v>1844.05875319144</v>
      </c>
      <c r="K170" s="9">
        <f t="shared" si="17"/>
        <v>466.63357904536997</v>
      </c>
      <c r="L170" s="10">
        <f t="shared" si="14"/>
        <v>0.25304702371211629</v>
      </c>
      <c r="M170" s="10">
        <f t="shared" si="18"/>
        <v>0.30736238245660796</v>
      </c>
      <c r="P170" s="8">
        <f t="shared" si="19"/>
        <v>24.938538524442659</v>
      </c>
    </row>
    <row r="171" spans="1:16" x14ac:dyDescent="0.2">
      <c r="A171" s="8">
        <v>84.5</v>
      </c>
      <c r="B171" s="8">
        <v>169</v>
      </c>
      <c r="D171">
        <v>2004.6622710623001</v>
      </c>
      <c r="E171">
        <v>600.46520146520004</v>
      </c>
      <c r="F171">
        <v>152.63000728332</v>
      </c>
      <c r="G171">
        <v>124.2097596504</v>
      </c>
      <c r="I171" s="9">
        <f t="shared" si="15"/>
        <v>476.25544181480007</v>
      </c>
      <c r="J171" s="9">
        <f t="shared" si="16"/>
        <v>1852.03226377898</v>
      </c>
      <c r="K171" s="9">
        <f t="shared" si="17"/>
        <v>476.25544181480007</v>
      </c>
      <c r="L171" s="10">
        <f t="shared" si="14"/>
        <v>0.25715288611820641</v>
      </c>
      <c r="M171" s="10">
        <f t="shared" si="18"/>
        <v>0.31179155056951052</v>
      </c>
      <c r="P171" s="8">
        <f t="shared" si="19"/>
        <v>26.738933831383747</v>
      </c>
    </row>
    <row r="172" spans="1:16" x14ac:dyDescent="0.2">
      <c r="A172" s="8">
        <v>85</v>
      </c>
      <c r="B172" s="8">
        <v>170</v>
      </c>
      <c r="D172">
        <v>1996.6205128204999</v>
      </c>
      <c r="E172">
        <v>603.94139194138995</v>
      </c>
      <c r="F172">
        <v>152.74799708667001</v>
      </c>
      <c r="G172">
        <v>124.34595775674001</v>
      </c>
      <c r="I172" s="9">
        <f t="shared" si="15"/>
        <v>479.59543418464995</v>
      </c>
      <c r="J172" s="9">
        <f t="shared" si="16"/>
        <v>1843.8725157338299</v>
      </c>
      <c r="K172" s="9">
        <f t="shared" si="17"/>
        <v>479.59543418464995</v>
      </c>
      <c r="L172" s="10">
        <f t="shared" si="14"/>
        <v>0.26010227393284785</v>
      </c>
      <c r="M172" s="10">
        <f t="shared" si="18"/>
        <v>0.3150642440909644</v>
      </c>
      <c r="P172" s="8">
        <f t="shared" si="19"/>
        <v>28.069238282894123</v>
      </c>
    </row>
    <row r="173" spans="1:16" x14ac:dyDescent="0.2">
      <c r="A173" s="8">
        <v>85.5</v>
      </c>
      <c r="B173" s="8">
        <v>171</v>
      </c>
      <c r="D173">
        <v>1998.4732600733</v>
      </c>
      <c r="E173">
        <v>612.11208791209003</v>
      </c>
      <c r="F173">
        <v>152.75600873998999</v>
      </c>
      <c r="G173">
        <v>124.23015294975001</v>
      </c>
      <c r="I173" s="9">
        <f t="shared" si="15"/>
        <v>487.88193496234004</v>
      </c>
      <c r="J173" s="9">
        <f t="shared" si="16"/>
        <v>1845.7172513333101</v>
      </c>
      <c r="K173" s="9">
        <f t="shared" si="17"/>
        <v>487.88193496234004</v>
      </c>
      <c r="L173" s="10">
        <f t="shared" si="14"/>
        <v>0.26433189298626519</v>
      </c>
      <c r="M173" s="10">
        <f t="shared" si="18"/>
        <v>0.31961716885119423</v>
      </c>
      <c r="P173" s="8">
        <f t="shared" si="19"/>
        <v>29.919938947719849</v>
      </c>
    </row>
    <row r="174" spans="1:16" x14ac:dyDescent="0.2">
      <c r="A174" s="8">
        <v>86</v>
      </c>
      <c r="B174" s="8">
        <v>172</v>
      </c>
      <c r="D174">
        <v>1963.9853479854</v>
      </c>
      <c r="E174">
        <v>611.78974358974006</v>
      </c>
      <c r="F174">
        <v>153.07938820102001</v>
      </c>
      <c r="G174">
        <v>124.10706482156</v>
      </c>
      <c r="I174" s="9">
        <f t="shared" si="15"/>
        <v>487.68267876818004</v>
      </c>
      <c r="J174" s="9">
        <f t="shared" si="16"/>
        <v>1810.90595978438</v>
      </c>
      <c r="K174" s="9">
        <f t="shared" si="17"/>
        <v>487.68267876818004</v>
      </c>
      <c r="L174" s="10">
        <f t="shared" si="14"/>
        <v>0.26930314969323266</v>
      </c>
      <c r="M174" s="10">
        <f t="shared" si="18"/>
        <v>0.32491173126497414</v>
      </c>
      <c r="P174" s="8">
        <f t="shared" si="19"/>
        <v>32.072105015724262</v>
      </c>
    </row>
    <row r="175" spans="1:16" x14ac:dyDescent="0.2">
      <c r="A175" s="8">
        <v>86.5</v>
      </c>
      <c r="B175" s="8">
        <v>173</v>
      </c>
      <c r="D175">
        <v>1935.7677655678001</v>
      </c>
      <c r="E175">
        <v>607.96336996337004</v>
      </c>
      <c r="F175">
        <v>152.84268026219999</v>
      </c>
      <c r="G175">
        <v>124.47123088127999</v>
      </c>
      <c r="I175" s="9">
        <f t="shared" si="15"/>
        <v>483.49213908209003</v>
      </c>
      <c r="J175" s="9">
        <f t="shared" si="16"/>
        <v>1782.9250853056001</v>
      </c>
      <c r="K175" s="9">
        <f t="shared" si="17"/>
        <v>483.49213908209003</v>
      </c>
      <c r="L175" s="10">
        <f t="shared" si="14"/>
        <v>0.27117916678995946</v>
      </c>
      <c r="M175" s="10">
        <f t="shared" si="18"/>
        <v>0.32711105406851337</v>
      </c>
      <c r="P175" s="8">
        <f t="shared" si="19"/>
        <v>32.966099181898663</v>
      </c>
    </row>
    <row r="176" spans="1:16" x14ac:dyDescent="0.2">
      <c r="A176" s="8">
        <v>87</v>
      </c>
      <c r="B176" s="8">
        <v>174</v>
      </c>
      <c r="D176">
        <v>1935.7194139194</v>
      </c>
      <c r="E176">
        <v>609.99340659340999</v>
      </c>
      <c r="F176">
        <v>152.75819373633999</v>
      </c>
      <c r="G176">
        <v>124.71012381646</v>
      </c>
      <c r="I176" s="9">
        <f t="shared" si="15"/>
        <v>485.28328277694999</v>
      </c>
      <c r="J176" s="9">
        <f t="shared" si="16"/>
        <v>1782.96122018306</v>
      </c>
      <c r="K176" s="9">
        <f t="shared" si="17"/>
        <v>485.28328277694999</v>
      </c>
      <c r="L176" s="10">
        <f t="shared" si="14"/>
        <v>0.27217826012341706</v>
      </c>
      <c r="M176" s="10">
        <f t="shared" si="18"/>
        <v>0.32843345310878341</v>
      </c>
      <c r="P176" s="8">
        <f t="shared" si="19"/>
        <v>33.503636020717217</v>
      </c>
    </row>
    <row r="177" spans="1:16" x14ac:dyDescent="0.2">
      <c r="A177" s="8">
        <v>87.5</v>
      </c>
      <c r="B177" s="8">
        <v>175</v>
      </c>
      <c r="D177">
        <v>1798.5437317783999</v>
      </c>
      <c r="E177">
        <v>565.08454810496005</v>
      </c>
      <c r="F177">
        <v>153.51638747269001</v>
      </c>
      <c r="G177">
        <v>124.1908230153</v>
      </c>
      <c r="I177" s="9">
        <f t="shared" si="15"/>
        <v>440.89372508966005</v>
      </c>
      <c r="J177" s="9">
        <f t="shared" si="16"/>
        <v>1645.0273443057099</v>
      </c>
      <c r="K177" s="9">
        <f t="shared" si="17"/>
        <v>440.89372508966005</v>
      </c>
      <c r="L177" s="10">
        <f t="shared" si="14"/>
        <v>0.26801604642975763</v>
      </c>
      <c r="M177" s="10">
        <f t="shared" si="18"/>
        <v>0.32459454512193642</v>
      </c>
      <c r="P177" s="8">
        <f t="shared" si="19"/>
        <v>31.943173254997387</v>
      </c>
    </row>
    <row r="178" spans="1:16" x14ac:dyDescent="0.2">
      <c r="A178" s="8">
        <v>88</v>
      </c>
      <c r="B178" s="8">
        <v>176</v>
      </c>
      <c r="D178">
        <v>1789.8432944606</v>
      </c>
      <c r="E178">
        <v>562.14868804665002</v>
      </c>
      <c r="F178">
        <v>152.96795338673999</v>
      </c>
      <c r="G178">
        <v>124.52949745084</v>
      </c>
      <c r="I178" s="9">
        <f t="shared" si="15"/>
        <v>437.61919059581004</v>
      </c>
      <c r="J178" s="9">
        <f t="shared" si="16"/>
        <v>1636.87534107386</v>
      </c>
      <c r="K178" s="9">
        <f t="shared" si="17"/>
        <v>437.61919059581004</v>
      </c>
      <c r="L178" s="10">
        <f t="shared" si="14"/>
        <v>0.26735034710017269</v>
      </c>
      <c r="M178" s="10">
        <f t="shared" si="18"/>
        <v>0.32425215149916398</v>
      </c>
      <c r="P178" s="8">
        <f t="shared" si="19"/>
        <v>31.803995003946067</v>
      </c>
    </row>
    <row r="179" spans="1:16" x14ac:dyDescent="0.2">
      <c r="A179" s="8">
        <v>88.5</v>
      </c>
      <c r="B179" s="8">
        <v>177</v>
      </c>
      <c r="D179">
        <v>1854.7172011662001</v>
      </c>
      <c r="E179">
        <v>570.16034985423005</v>
      </c>
      <c r="F179">
        <v>153.24690458849</v>
      </c>
      <c r="G179">
        <v>124.24836125273001</v>
      </c>
      <c r="I179" s="9">
        <f t="shared" si="15"/>
        <v>445.91198860150007</v>
      </c>
      <c r="J179" s="9">
        <f t="shared" si="16"/>
        <v>1701.4702965777101</v>
      </c>
      <c r="K179" s="9">
        <f t="shared" si="17"/>
        <v>445.91198860150007</v>
      </c>
      <c r="L179" s="10">
        <f t="shared" si="14"/>
        <v>0.26207450667719268</v>
      </c>
      <c r="M179" s="10">
        <f t="shared" si="18"/>
        <v>0.3192996167829964</v>
      </c>
      <c r="P179" s="8">
        <f t="shared" si="19"/>
        <v>29.790858443498898</v>
      </c>
    </row>
    <row r="180" spans="1:16" x14ac:dyDescent="0.2">
      <c r="A180" s="8">
        <v>89</v>
      </c>
      <c r="B180" s="8">
        <v>178</v>
      </c>
      <c r="D180">
        <v>1851.2784256560001</v>
      </c>
      <c r="E180">
        <v>568.40014577260001</v>
      </c>
      <c r="F180">
        <v>152.63947560087001</v>
      </c>
      <c r="G180">
        <v>123.84122359796</v>
      </c>
      <c r="I180" s="9">
        <f t="shared" si="15"/>
        <v>444.55892217464003</v>
      </c>
      <c r="J180" s="9">
        <f t="shared" si="16"/>
        <v>1698.63895005513</v>
      </c>
      <c r="K180" s="9">
        <f t="shared" si="17"/>
        <v>444.55892217464003</v>
      </c>
      <c r="L180" s="10">
        <f t="shared" si="14"/>
        <v>0.26171478180234342</v>
      </c>
      <c r="M180" s="10">
        <f t="shared" si="18"/>
        <v>0.31926319761495958</v>
      </c>
      <c r="P180" s="8">
        <f t="shared" si="19"/>
        <v>29.776054557634829</v>
      </c>
    </row>
    <row r="181" spans="1:16" x14ac:dyDescent="0.2">
      <c r="A181" s="8">
        <v>89.5</v>
      </c>
      <c r="B181" s="8">
        <v>179</v>
      </c>
      <c r="D181">
        <v>1903.5794460641</v>
      </c>
      <c r="E181">
        <v>588.94970845480998</v>
      </c>
      <c r="F181">
        <v>153.51201747997001</v>
      </c>
      <c r="G181">
        <v>124.50400582666001</v>
      </c>
      <c r="I181" s="9">
        <f t="shared" si="15"/>
        <v>464.44570262815</v>
      </c>
      <c r="J181" s="9">
        <f t="shared" si="16"/>
        <v>1750.0674285841301</v>
      </c>
      <c r="K181" s="9">
        <f t="shared" si="17"/>
        <v>464.44570262815</v>
      </c>
      <c r="L181" s="10">
        <f t="shared" si="14"/>
        <v>0.26538731882114047</v>
      </c>
      <c r="M181" s="10">
        <f t="shared" si="18"/>
        <v>0.32325904034056907</v>
      </c>
      <c r="P181" s="8">
        <f t="shared" si="19"/>
        <v>31.400309114490543</v>
      </c>
    </row>
    <row r="182" spans="1:16" x14ac:dyDescent="0.2">
      <c r="A182" s="8">
        <v>90</v>
      </c>
      <c r="B182" s="8">
        <v>180</v>
      </c>
      <c r="D182">
        <v>1924.137755102</v>
      </c>
      <c r="E182">
        <v>598.74125364431995</v>
      </c>
      <c r="F182">
        <v>152.99126001457</v>
      </c>
      <c r="G182">
        <v>124.16241806264</v>
      </c>
      <c r="I182" s="9">
        <f t="shared" si="15"/>
        <v>474.57883558167998</v>
      </c>
      <c r="J182" s="9">
        <f t="shared" si="16"/>
        <v>1771.1464950874301</v>
      </c>
      <c r="K182" s="9">
        <f t="shared" si="17"/>
        <v>474.57883558167998</v>
      </c>
      <c r="L182" s="10">
        <f t="shared" si="14"/>
        <v>0.26795007465390552</v>
      </c>
      <c r="M182" s="10">
        <f>L182+ABS($N$2)*A182</f>
        <v>0.32614510188014662</v>
      </c>
      <c r="P182" s="8">
        <f t="shared" si="19"/>
        <v>32.573453036542645</v>
      </c>
    </row>
    <row r="183" spans="1:16" x14ac:dyDescent="0.2">
      <c r="A183" s="8">
        <v>90.5</v>
      </c>
      <c r="B183" s="8">
        <v>181</v>
      </c>
      <c r="D183">
        <v>1910.6771137026001</v>
      </c>
      <c r="E183">
        <v>598.09037900875001</v>
      </c>
      <c r="F183">
        <v>153.21558630736001</v>
      </c>
      <c r="G183">
        <v>124.53095411507999</v>
      </c>
      <c r="I183" s="9">
        <f t="shared" si="15"/>
        <v>473.55942489366998</v>
      </c>
      <c r="J183" s="9">
        <f t="shared" si="16"/>
        <v>1757.46152739524</v>
      </c>
      <c r="K183" s="9">
        <f t="shared" si="17"/>
        <v>473.55942489366998</v>
      </c>
      <c r="L183" s="10">
        <f t="shared" si="14"/>
        <v>0.26945649592428889</v>
      </c>
      <c r="M183" s="10">
        <f t="shared" ref="M183:M241" si="20">L183+ABS($N$2)*A183</f>
        <v>0.32797482885734242</v>
      </c>
      <c r="P183" s="8">
        <f t="shared" si="19"/>
        <v>33.31721163381296</v>
      </c>
    </row>
    <row r="184" spans="1:16" x14ac:dyDescent="0.2">
      <c r="A184" s="8">
        <v>91</v>
      </c>
      <c r="B184" s="8">
        <v>182</v>
      </c>
      <c r="D184">
        <v>1915.7208454811</v>
      </c>
      <c r="E184">
        <v>596.97521865888996</v>
      </c>
      <c r="F184">
        <v>152.69992716678999</v>
      </c>
      <c r="G184">
        <v>124.04952658412</v>
      </c>
      <c r="I184" s="9">
        <f t="shared" si="15"/>
        <v>472.92569207476993</v>
      </c>
      <c r="J184" s="9">
        <f t="shared" si="16"/>
        <v>1763.0209183143099</v>
      </c>
      <c r="K184" s="9">
        <f t="shared" si="17"/>
        <v>472.92569207476993</v>
      </c>
      <c r="L184" s="10">
        <f t="shared" si="14"/>
        <v>0.26824735155550611</v>
      </c>
      <c r="M184" s="10">
        <f t="shared" si="20"/>
        <v>0.32708899019537208</v>
      </c>
      <c r="P184" s="8">
        <f t="shared" si="19"/>
        <v>32.957130523982784</v>
      </c>
    </row>
    <row r="185" spans="1:16" x14ac:dyDescent="0.2">
      <c r="A185" s="8">
        <v>91.5</v>
      </c>
      <c r="B185" s="8">
        <v>183</v>
      </c>
      <c r="D185">
        <v>1951.8651603499</v>
      </c>
      <c r="E185">
        <v>610.75364431487003</v>
      </c>
      <c r="F185">
        <v>153.14566642388999</v>
      </c>
      <c r="G185">
        <v>124.39839766934</v>
      </c>
      <c r="I185" s="9">
        <f t="shared" si="15"/>
        <v>486.35524664553003</v>
      </c>
      <c r="J185" s="9">
        <f t="shared" si="16"/>
        <v>1798.71949392601</v>
      </c>
      <c r="K185" s="9">
        <f t="shared" si="17"/>
        <v>486.35524664553003</v>
      </c>
      <c r="L185" s="10">
        <f t="shared" si="14"/>
        <v>0.27038971239699933</v>
      </c>
      <c r="M185" s="10">
        <f t="shared" si="20"/>
        <v>0.32955465674367773</v>
      </c>
      <c r="P185" s="8">
        <f t="shared" si="19"/>
        <v>33.95938972230028</v>
      </c>
    </row>
    <row r="186" spans="1:16" x14ac:dyDescent="0.2">
      <c r="A186" s="8">
        <v>92</v>
      </c>
      <c r="B186" s="8">
        <v>184</v>
      </c>
      <c r="D186">
        <v>1946.1268221574001</v>
      </c>
      <c r="E186">
        <v>612.52405247812999</v>
      </c>
      <c r="F186">
        <v>152.99781500364</v>
      </c>
      <c r="G186">
        <v>124.96941005098</v>
      </c>
      <c r="I186" s="9">
        <f t="shared" si="15"/>
        <v>487.55464242714999</v>
      </c>
      <c r="J186" s="9">
        <f t="shared" si="16"/>
        <v>1793.1290071537601</v>
      </c>
      <c r="K186" s="9">
        <f t="shared" si="17"/>
        <v>487.55464242714999</v>
      </c>
      <c r="L186" s="10">
        <f t="shared" si="14"/>
        <v>0.27190159797874619</v>
      </c>
      <c r="M186" s="10">
        <f t="shared" si="20"/>
        <v>0.33138984803223703</v>
      </c>
      <c r="P186" s="8">
        <f t="shared" si="19"/>
        <v>34.705369486228477</v>
      </c>
    </row>
    <row r="187" spans="1:16" x14ac:dyDescent="0.2">
      <c r="A187" s="8">
        <v>92.5</v>
      </c>
      <c r="B187" s="8">
        <v>185</v>
      </c>
      <c r="D187">
        <v>1932.9263848396999</v>
      </c>
      <c r="E187">
        <v>616.21137026239001</v>
      </c>
      <c r="F187">
        <v>153.12454479242999</v>
      </c>
      <c r="G187">
        <v>124.37581937362999</v>
      </c>
      <c r="I187" s="9">
        <f t="shared" si="15"/>
        <v>491.83555088876</v>
      </c>
      <c r="J187" s="9">
        <f t="shared" si="16"/>
        <v>1779.8018400472699</v>
      </c>
      <c r="K187" s="9">
        <f t="shared" si="17"/>
        <v>491.83555088876</v>
      </c>
      <c r="L187" s="10">
        <f t="shared" si="14"/>
        <v>0.27634287133656255</v>
      </c>
      <c r="M187" s="10">
        <f t="shared" si="20"/>
        <v>0.33615442709686588</v>
      </c>
      <c r="P187" s="8">
        <f t="shared" si="19"/>
        <v>36.642104685445389</v>
      </c>
    </row>
    <row r="188" spans="1:16" x14ac:dyDescent="0.2">
      <c r="A188" s="8">
        <v>93</v>
      </c>
      <c r="B188" s="8">
        <v>186</v>
      </c>
      <c r="D188">
        <v>1915.5838192419999</v>
      </c>
      <c r="E188">
        <v>615.84475218658997</v>
      </c>
      <c r="F188">
        <v>153.00801165331001</v>
      </c>
      <c r="G188">
        <v>124.46467589221</v>
      </c>
      <c r="I188" s="9">
        <f t="shared" si="15"/>
        <v>491.38007629437999</v>
      </c>
      <c r="J188" s="9">
        <f t="shared" si="16"/>
        <v>1762.5758075886899</v>
      </c>
      <c r="K188" s="9">
        <f t="shared" si="17"/>
        <v>491.38007629437999</v>
      </c>
      <c r="L188" s="10">
        <f t="shared" si="14"/>
        <v>0.27878521546634499</v>
      </c>
      <c r="M188" s="10">
        <f t="shared" si="20"/>
        <v>0.33892007693346077</v>
      </c>
      <c r="P188" s="8">
        <f t="shared" si="19"/>
        <v>37.766302923020248</v>
      </c>
    </row>
    <row r="189" spans="1:16" x14ac:dyDescent="0.2">
      <c r="A189" s="8">
        <v>93.5</v>
      </c>
      <c r="B189" s="8">
        <v>187</v>
      </c>
      <c r="D189">
        <v>1916.4139941691001</v>
      </c>
      <c r="E189">
        <v>626.36297376093</v>
      </c>
      <c r="F189">
        <v>153.08084486525999</v>
      </c>
      <c r="G189">
        <v>124.03932993445</v>
      </c>
      <c r="I189" s="9">
        <f t="shared" si="15"/>
        <v>502.32364382648001</v>
      </c>
      <c r="J189" s="9">
        <f t="shared" si="16"/>
        <v>1763.3331493038402</v>
      </c>
      <c r="K189" s="9">
        <f t="shared" si="17"/>
        <v>502.32364382648001</v>
      </c>
      <c r="L189" s="10">
        <f t="shared" si="14"/>
        <v>0.28487166139013276</v>
      </c>
      <c r="M189" s="10">
        <f t="shared" si="20"/>
        <v>0.34532982856406097</v>
      </c>
      <c r="P189" s="8">
        <f t="shared" si="19"/>
        <v>40.371777915214231</v>
      </c>
    </row>
    <row r="190" spans="1:16" x14ac:dyDescent="0.2">
      <c r="A190" s="8">
        <v>94</v>
      </c>
      <c r="B190" s="8">
        <v>188</v>
      </c>
      <c r="D190">
        <v>1910.1086005831</v>
      </c>
      <c r="E190">
        <v>618.0306122449</v>
      </c>
      <c r="F190">
        <v>153.4195193008</v>
      </c>
      <c r="G190">
        <v>124.29497450837999</v>
      </c>
      <c r="I190" s="9">
        <f t="shared" si="15"/>
        <v>493.73563773652</v>
      </c>
      <c r="J190" s="9">
        <f t="shared" si="16"/>
        <v>1756.6890812823001</v>
      </c>
      <c r="K190" s="9">
        <f t="shared" si="17"/>
        <v>493.73563773652</v>
      </c>
      <c r="L190" s="10">
        <f t="shared" si="14"/>
        <v>0.28106034414246844</v>
      </c>
      <c r="M190" s="10">
        <f t="shared" si="20"/>
        <v>0.34184181702320909</v>
      </c>
      <c r="P190" s="8">
        <f t="shared" si="19"/>
        <v>38.953949680062692</v>
      </c>
    </row>
    <row r="191" spans="1:16" x14ac:dyDescent="0.2">
      <c r="A191" s="8">
        <v>94.5</v>
      </c>
      <c r="B191" s="8">
        <v>189</v>
      </c>
      <c r="D191">
        <v>1901.6960641399</v>
      </c>
      <c r="E191">
        <v>624.97011661808006</v>
      </c>
      <c r="F191">
        <v>153.13546977422001</v>
      </c>
      <c r="G191">
        <v>124.45666423889</v>
      </c>
      <c r="I191" s="9">
        <f t="shared" si="15"/>
        <v>500.51345237919008</v>
      </c>
      <c r="J191" s="9">
        <f t="shared" si="16"/>
        <v>1748.5605943656801</v>
      </c>
      <c r="K191" s="9">
        <f t="shared" si="17"/>
        <v>500.51345237919008</v>
      </c>
      <c r="L191" s="10">
        <f t="shared" si="14"/>
        <v>0.28624312705660609</v>
      </c>
      <c r="M191" s="10">
        <f t="shared" si="20"/>
        <v>0.34734790564415924</v>
      </c>
      <c r="P191" s="8">
        <f t="shared" si="19"/>
        <v>41.192098212714349</v>
      </c>
    </row>
    <row r="192" spans="1:16" x14ac:dyDescent="0.2">
      <c r="A192" s="8">
        <v>95</v>
      </c>
      <c r="B192" s="8">
        <v>190</v>
      </c>
      <c r="D192">
        <v>1922.7623906706001</v>
      </c>
      <c r="E192">
        <v>644.41982507289003</v>
      </c>
      <c r="F192">
        <v>153.53459577567</v>
      </c>
      <c r="G192">
        <v>124.48871085215001</v>
      </c>
      <c r="I192" s="9">
        <f t="shared" si="15"/>
        <v>519.93111422074003</v>
      </c>
      <c r="J192" s="9">
        <f t="shared" si="16"/>
        <v>1769.2277948949302</v>
      </c>
      <c r="K192" s="9">
        <f t="shared" si="17"/>
        <v>519.93111422074003</v>
      </c>
      <c r="L192" s="10">
        <f t="shared" si="14"/>
        <v>0.29387460208402244</v>
      </c>
      <c r="M192" s="10">
        <f t="shared" si="20"/>
        <v>0.35530268637838802</v>
      </c>
      <c r="P192" s="8">
        <f t="shared" si="19"/>
        <v>44.425606071657519</v>
      </c>
    </row>
    <row r="193" spans="1:16" x14ac:dyDescent="0.2">
      <c r="A193" s="8">
        <v>95.5</v>
      </c>
      <c r="B193" s="8">
        <v>191</v>
      </c>
      <c r="D193">
        <v>1885.4752186589001</v>
      </c>
      <c r="E193">
        <v>620.37755102041001</v>
      </c>
      <c r="F193">
        <v>152.84559359068001</v>
      </c>
      <c r="G193">
        <v>124.49235251275</v>
      </c>
      <c r="I193" s="9">
        <f t="shared" si="15"/>
        <v>495.88519850765999</v>
      </c>
      <c r="J193" s="9">
        <f t="shared" si="16"/>
        <v>1732.6296250682201</v>
      </c>
      <c r="K193" s="9">
        <f t="shared" si="17"/>
        <v>495.88519850765999</v>
      </c>
      <c r="L193" s="10">
        <f t="shared" si="14"/>
        <v>0.28620380913095328</v>
      </c>
      <c r="M193" s="10">
        <f t="shared" si="20"/>
        <v>0.3479551991321313</v>
      </c>
      <c r="P193" s="8">
        <f t="shared" si="19"/>
        <v>41.438954578923557</v>
      </c>
    </row>
    <row r="194" spans="1:16" x14ac:dyDescent="0.2">
      <c r="A194" s="8">
        <v>96</v>
      </c>
      <c r="B194" s="8">
        <v>192</v>
      </c>
      <c r="D194">
        <v>1896.4504373177999</v>
      </c>
      <c r="E194">
        <v>622.20481049563</v>
      </c>
      <c r="F194">
        <v>153.13401310998</v>
      </c>
      <c r="G194">
        <v>124.57101238164999</v>
      </c>
      <c r="I194" s="9">
        <f t="shared" si="15"/>
        <v>497.63379811397999</v>
      </c>
      <c r="J194" s="9">
        <f t="shared" si="16"/>
        <v>1743.3164242078199</v>
      </c>
      <c r="K194" s="9">
        <f t="shared" si="17"/>
        <v>497.63379811397999</v>
      </c>
      <c r="L194" s="10">
        <f t="shared" ref="L194:L257" si="21">K194/J194</f>
        <v>0.2854523660786995</v>
      </c>
      <c r="M194" s="10">
        <f t="shared" si="20"/>
        <v>0.34752706178668996</v>
      </c>
      <c r="P194" s="8">
        <f t="shared" si="19"/>
        <v>41.264922695777514</v>
      </c>
    </row>
    <row r="195" spans="1:16" x14ac:dyDescent="0.2">
      <c r="A195" s="8">
        <v>96.5</v>
      </c>
      <c r="B195" s="8">
        <v>193</v>
      </c>
      <c r="D195">
        <v>1921.7959183674</v>
      </c>
      <c r="E195">
        <v>632.51384839649995</v>
      </c>
      <c r="F195">
        <v>153.49380917699</v>
      </c>
      <c r="G195">
        <v>124.44646758922001</v>
      </c>
      <c r="I195" s="9">
        <f t="shared" ref="I195:I241" si="22">E195-G195</f>
        <v>508.06738080727996</v>
      </c>
      <c r="J195" s="9">
        <f t="shared" ref="J195:J241" si="23">D195-F195</f>
        <v>1768.30210919041</v>
      </c>
      <c r="K195" s="9">
        <f t="shared" ref="K195:K258" si="24">I195*1</f>
        <v>508.06738080727996</v>
      </c>
      <c r="L195" s="10">
        <f t="shared" si="21"/>
        <v>0.28731933201159321</v>
      </c>
      <c r="M195" s="10">
        <f t="shared" si="20"/>
        <v>0.3497173334263961</v>
      </c>
      <c r="P195" s="8">
        <f t="shared" ref="P195:P241" si="25">(M195-$O$2)/$O$2*100</f>
        <v>42.155237689594479</v>
      </c>
    </row>
    <row r="196" spans="1:16" x14ac:dyDescent="0.2">
      <c r="A196" s="8">
        <v>97</v>
      </c>
      <c r="B196" s="8">
        <v>194</v>
      </c>
      <c r="D196">
        <v>1941.8134110787</v>
      </c>
      <c r="E196">
        <v>637.20481049563</v>
      </c>
      <c r="F196">
        <v>153.21412964312</v>
      </c>
      <c r="G196">
        <v>124.23379461034</v>
      </c>
      <c r="I196" s="9">
        <f t="shared" si="22"/>
        <v>512.97101588528994</v>
      </c>
      <c r="J196" s="9">
        <f t="shared" si="23"/>
        <v>1788.59928143558</v>
      </c>
      <c r="K196" s="9">
        <f t="shared" si="24"/>
        <v>512.97101588528994</v>
      </c>
      <c r="L196" s="10">
        <f t="shared" si="21"/>
        <v>0.28680041483275392</v>
      </c>
      <c r="M196" s="10">
        <f t="shared" si="20"/>
        <v>0.34952172195436931</v>
      </c>
      <c r="P196" s="8">
        <f t="shared" si="25"/>
        <v>42.07572434369213</v>
      </c>
    </row>
    <row r="197" spans="1:16" x14ac:dyDescent="0.2">
      <c r="A197" s="8">
        <v>97.5</v>
      </c>
      <c r="B197" s="8">
        <v>195</v>
      </c>
      <c r="D197">
        <v>1925.2062682216001</v>
      </c>
      <c r="E197">
        <v>646.31559766763996</v>
      </c>
      <c r="F197">
        <v>152.89293517844001</v>
      </c>
      <c r="G197">
        <v>124.48069919884</v>
      </c>
      <c r="I197" s="9">
        <f t="shared" si="22"/>
        <v>521.83489846880002</v>
      </c>
      <c r="J197" s="9">
        <f t="shared" si="23"/>
        <v>1772.3133330431601</v>
      </c>
      <c r="K197" s="9">
        <f t="shared" si="24"/>
        <v>521.83489846880002</v>
      </c>
      <c r="L197" s="10">
        <f t="shared" si="21"/>
        <v>0.29443715664700248</v>
      </c>
      <c r="M197" s="10">
        <f t="shared" si="20"/>
        <v>0.35748176947543031</v>
      </c>
      <c r="P197" s="8">
        <f t="shared" si="25"/>
        <v>45.311373078315256</v>
      </c>
    </row>
    <row r="198" spans="1:16" x14ac:dyDescent="0.2">
      <c r="A198" s="8">
        <v>98</v>
      </c>
      <c r="B198" s="8">
        <v>196</v>
      </c>
      <c r="D198">
        <v>1889.4569970846001</v>
      </c>
      <c r="E198">
        <v>645.59620991253996</v>
      </c>
      <c r="F198">
        <v>153.3634377276</v>
      </c>
      <c r="G198">
        <v>123.91332847779</v>
      </c>
      <c r="I198" s="9">
        <f t="shared" si="22"/>
        <v>521.68288143475002</v>
      </c>
      <c r="J198" s="9">
        <f t="shared" si="23"/>
        <v>1736.093559357</v>
      </c>
      <c r="K198" s="9">
        <f t="shared" si="24"/>
        <v>521.68288143475002</v>
      </c>
      <c r="L198" s="10">
        <f t="shared" si="21"/>
        <v>0.30049237762737085</v>
      </c>
      <c r="M198" s="10">
        <f t="shared" si="20"/>
        <v>0.36386029616261112</v>
      </c>
      <c r="P198" s="8">
        <f t="shared" si="25"/>
        <v>47.904155564792859</v>
      </c>
    </row>
    <row r="199" spans="1:16" x14ac:dyDescent="0.2">
      <c r="A199" s="8">
        <v>98.5</v>
      </c>
      <c r="B199" s="8">
        <v>197</v>
      </c>
      <c r="D199">
        <v>1906.7820699709</v>
      </c>
      <c r="E199">
        <v>655.01895043731997</v>
      </c>
      <c r="F199">
        <v>153.33648943918001</v>
      </c>
      <c r="G199">
        <v>124.38383102695001</v>
      </c>
      <c r="I199" s="9">
        <f t="shared" si="22"/>
        <v>530.63511941036995</v>
      </c>
      <c r="J199" s="9">
        <f t="shared" si="23"/>
        <v>1753.44558053172</v>
      </c>
      <c r="K199" s="9">
        <f t="shared" si="24"/>
        <v>530.63511941036995</v>
      </c>
      <c r="L199" s="10">
        <f t="shared" si="21"/>
        <v>0.30262423043061226</v>
      </c>
      <c r="M199" s="10">
        <f t="shared" si="20"/>
        <v>0.36631545467266502</v>
      </c>
      <c r="P199" s="8">
        <f t="shared" si="25"/>
        <v>48.902143391540939</v>
      </c>
    </row>
    <row r="200" spans="1:16" x14ac:dyDescent="0.2">
      <c r="A200" s="8">
        <v>99</v>
      </c>
      <c r="B200" s="8">
        <v>198</v>
      </c>
      <c r="D200">
        <v>1897.4941690962</v>
      </c>
      <c r="E200">
        <v>639.02186588920995</v>
      </c>
      <c r="F200">
        <v>152.93517844137</v>
      </c>
      <c r="G200">
        <v>123.93226511288999</v>
      </c>
      <c r="I200" s="9">
        <f t="shared" si="22"/>
        <v>515.08960077631991</v>
      </c>
      <c r="J200" s="9">
        <f t="shared" si="23"/>
        <v>1744.55899065483</v>
      </c>
      <c r="K200" s="9">
        <f t="shared" si="24"/>
        <v>515.08960077631991</v>
      </c>
      <c r="L200" s="10">
        <f t="shared" si="21"/>
        <v>0.29525490598800452</v>
      </c>
      <c r="M200" s="10">
        <f t="shared" si="20"/>
        <v>0.35926943593686972</v>
      </c>
      <c r="P200" s="8">
        <f t="shared" si="25"/>
        <v>46.038034660244307</v>
      </c>
    </row>
    <row r="201" spans="1:16" x14ac:dyDescent="0.2">
      <c r="A201" s="8">
        <v>99.5</v>
      </c>
      <c r="B201" s="8">
        <v>199</v>
      </c>
      <c r="D201">
        <v>1938.0809037900999</v>
      </c>
      <c r="E201">
        <v>649.69679300292</v>
      </c>
      <c r="F201">
        <v>152.81063364894001</v>
      </c>
      <c r="G201">
        <v>124.18645302258</v>
      </c>
      <c r="I201" s="9">
        <f t="shared" si="22"/>
        <v>525.51033998033995</v>
      </c>
      <c r="J201" s="9">
        <f t="shared" si="23"/>
        <v>1785.2702701411599</v>
      </c>
      <c r="K201" s="9">
        <f t="shared" si="24"/>
        <v>525.51033998033995</v>
      </c>
      <c r="L201" s="10">
        <f t="shared" si="21"/>
        <v>0.29435898237345781</v>
      </c>
      <c r="M201" s="10">
        <f t="shared" si="20"/>
        <v>0.35869681802913544</v>
      </c>
      <c r="P201" s="8">
        <f t="shared" si="25"/>
        <v>45.805273435681173</v>
      </c>
    </row>
    <row r="202" spans="1:16" x14ac:dyDescent="0.2">
      <c r="A202" s="8">
        <v>100</v>
      </c>
      <c r="B202" s="8">
        <v>200</v>
      </c>
      <c r="D202">
        <v>1942.0459183674</v>
      </c>
      <c r="E202">
        <v>656.69752186589005</v>
      </c>
      <c r="F202">
        <v>153.24107793153999</v>
      </c>
      <c r="G202">
        <v>124.24836125273001</v>
      </c>
      <c r="I202" s="9">
        <f t="shared" si="22"/>
        <v>532.44916061316007</v>
      </c>
      <c r="J202" s="9">
        <f t="shared" si="23"/>
        <v>1788.8048404358599</v>
      </c>
      <c r="K202" s="9">
        <f t="shared" si="24"/>
        <v>532.44916061316007</v>
      </c>
      <c r="L202" s="10">
        <f t="shared" si="21"/>
        <v>0.29765637289052932</v>
      </c>
      <c r="M202" s="10">
        <f t="shared" si="20"/>
        <v>0.36231751425301939</v>
      </c>
      <c r="P202" s="8">
        <f t="shared" si="25"/>
        <v>47.277036151201152</v>
      </c>
    </row>
    <row r="203" spans="1:16" x14ac:dyDescent="0.2">
      <c r="A203" s="8">
        <v>100.5</v>
      </c>
      <c r="B203" s="8">
        <v>201</v>
      </c>
      <c r="D203">
        <v>1900.2988338191999</v>
      </c>
      <c r="E203">
        <v>636.34766763847995</v>
      </c>
      <c r="F203">
        <v>152.4457392571</v>
      </c>
      <c r="G203">
        <v>124.54552075747</v>
      </c>
      <c r="I203" s="9">
        <f t="shared" si="22"/>
        <v>511.80214688100995</v>
      </c>
      <c r="J203" s="9">
        <f t="shared" si="23"/>
        <v>1747.8530945620998</v>
      </c>
      <c r="K203" s="9">
        <f t="shared" si="24"/>
        <v>511.80214688100995</v>
      </c>
      <c r="L203" s="10">
        <f t="shared" si="21"/>
        <v>0.29281759918686689</v>
      </c>
      <c r="M203" s="10">
        <f t="shared" si="20"/>
        <v>0.3578020462561694</v>
      </c>
      <c r="P203" s="8">
        <f t="shared" si="25"/>
        <v>45.441561140331935</v>
      </c>
    </row>
    <row r="204" spans="1:16" x14ac:dyDescent="0.2">
      <c r="A204" s="8">
        <v>101</v>
      </c>
      <c r="B204" s="8">
        <v>202</v>
      </c>
      <c r="D204">
        <v>1935.3950256035</v>
      </c>
      <c r="E204">
        <v>656.39356254571999</v>
      </c>
      <c r="F204">
        <v>152.66132556445999</v>
      </c>
      <c r="G204">
        <v>124.12600145666001</v>
      </c>
      <c r="I204" s="9">
        <f t="shared" si="22"/>
        <v>532.26756108906</v>
      </c>
      <c r="J204" s="9">
        <f t="shared" si="23"/>
        <v>1782.7337000390401</v>
      </c>
      <c r="K204" s="9">
        <f t="shared" si="24"/>
        <v>532.26756108906</v>
      </c>
      <c r="L204" s="10">
        <f t="shared" si="21"/>
        <v>0.29856818271702829</v>
      </c>
      <c r="M204" s="10">
        <f t="shared" si="20"/>
        <v>0.36387593549314323</v>
      </c>
      <c r="P204" s="8">
        <f t="shared" si="25"/>
        <v>47.910512735389233</v>
      </c>
    </row>
    <row r="205" spans="1:16" x14ac:dyDescent="0.2">
      <c r="A205" s="8">
        <v>101.5</v>
      </c>
      <c r="B205" s="8">
        <v>203</v>
      </c>
      <c r="D205">
        <v>1936.0555961960999</v>
      </c>
      <c r="E205">
        <v>673.84272128749001</v>
      </c>
      <c r="F205">
        <v>152.74726875454999</v>
      </c>
      <c r="G205">
        <v>123.87982520029</v>
      </c>
      <c r="I205" s="9">
        <f t="shared" si="22"/>
        <v>549.96289608719997</v>
      </c>
      <c r="J205" s="9">
        <f t="shared" si="23"/>
        <v>1783.3083274415499</v>
      </c>
      <c r="K205" s="9">
        <f t="shared" si="24"/>
        <v>549.96289608719997</v>
      </c>
      <c r="L205" s="10">
        <f t="shared" si="21"/>
        <v>0.30839473333038964</v>
      </c>
      <c r="M205" s="10">
        <f t="shared" si="20"/>
        <v>0.37402579181331708</v>
      </c>
      <c r="P205" s="8">
        <f t="shared" si="25"/>
        <v>52.036288325558019</v>
      </c>
    </row>
    <row r="206" spans="1:16" x14ac:dyDescent="0.2">
      <c r="A206" s="8">
        <v>102</v>
      </c>
      <c r="B206" s="8">
        <v>204</v>
      </c>
      <c r="D206">
        <v>1938.3430870519001</v>
      </c>
      <c r="E206">
        <v>688.46964155084004</v>
      </c>
      <c r="F206">
        <v>153.45302257829999</v>
      </c>
      <c r="G206">
        <v>124.03131828114</v>
      </c>
      <c r="I206" s="9">
        <f t="shared" si="22"/>
        <v>564.43832326970005</v>
      </c>
      <c r="J206" s="9">
        <f t="shared" si="23"/>
        <v>1784.8900644736</v>
      </c>
      <c r="K206" s="9">
        <f t="shared" si="24"/>
        <v>564.43832326970005</v>
      </c>
      <c r="L206" s="10">
        <f t="shared" si="21"/>
        <v>0.31623142203784088</v>
      </c>
      <c r="M206" s="10">
        <f t="shared" si="20"/>
        <v>0.38218578622758076</v>
      </c>
      <c r="P206" s="8">
        <f t="shared" si="25"/>
        <v>55.353212694562906</v>
      </c>
    </row>
    <row r="207" spans="1:16" x14ac:dyDescent="0.2">
      <c r="A207" s="8">
        <v>102.5</v>
      </c>
      <c r="B207" s="8">
        <v>205</v>
      </c>
      <c r="D207">
        <v>1949.111923921</v>
      </c>
      <c r="E207">
        <v>698.68251645939995</v>
      </c>
      <c r="F207">
        <v>153.21048798251999</v>
      </c>
      <c r="G207">
        <v>124.45739257101</v>
      </c>
      <c r="I207" s="9">
        <f t="shared" si="22"/>
        <v>574.22512388838993</v>
      </c>
      <c r="J207" s="9">
        <f t="shared" si="23"/>
        <v>1795.9014359384801</v>
      </c>
      <c r="K207" s="9">
        <f t="shared" si="24"/>
        <v>574.22512388838993</v>
      </c>
      <c r="L207" s="10">
        <f t="shared" si="21"/>
        <v>0.31974200387468282</v>
      </c>
      <c r="M207" s="10">
        <f t="shared" si="20"/>
        <v>0.38601967377123514</v>
      </c>
      <c r="P207" s="8">
        <f t="shared" si="25"/>
        <v>56.911634719870008</v>
      </c>
    </row>
    <row r="208" spans="1:16" x14ac:dyDescent="0.2">
      <c r="A208" s="8">
        <v>103</v>
      </c>
      <c r="B208" s="8">
        <v>206</v>
      </c>
      <c r="D208">
        <v>1938.8522311631</v>
      </c>
      <c r="E208">
        <v>699.17922457937004</v>
      </c>
      <c r="F208">
        <v>152.07793153678</v>
      </c>
      <c r="G208">
        <v>124.048798252</v>
      </c>
      <c r="I208" s="9">
        <f t="shared" si="22"/>
        <v>575.13042632737006</v>
      </c>
      <c r="J208" s="9">
        <f t="shared" si="23"/>
        <v>1786.77429962632</v>
      </c>
      <c r="K208" s="9">
        <f t="shared" si="24"/>
        <v>575.13042632737006</v>
      </c>
      <c r="L208" s="10">
        <f t="shared" si="21"/>
        <v>0.32188196709995825</v>
      </c>
      <c r="M208" s="10">
        <f t="shared" si="20"/>
        <v>0.38848294270332306</v>
      </c>
      <c r="P208" s="8">
        <f t="shared" si="25"/>
        <v>57.912919320503185</v>
      </c>
    </row>
    <row r="209" spans="1:16" x14ac:dyDescent="0.2">
      <c r="A209" s="8">
        <v>103.5</v>
      </c>
      <c r="B209" s="8">
        <v>207</v>
      </c>
      <c r="D209">
        <v>1835.0658376005999</v>
      </c>
      <c r="E209">
        <v>646.17410387710004</v>
      </c>
      <c r="F209">
        <v>153.56008739985</v>
      </c>
      <c r="G209">
        <v>124.52949745084</v>
      </c>
      <c r="I209" s="9">
        <f t="shared" si="22"/>
        <v>521.64460642626</v>
      </c>
      <c r="J209" s="9">
        <f t="shared" si="23"/>
        <v>1681.5057502007498</v>
      </c>
      <c r="K209" s="9">
        <f t="shared" si="24"/>
        <v>521.64460642626</v>
      </c>
      <c r="L209" s="10">
        <f t="shared" si="21"/>
        <v>0.31022469376865491</v>
      </c>
      <c r="M209" s="10">
        <f t="shared" si="20"/>
        <v>0.37714897507883216</v>
      </c>
      <c r="P209" s="8">
        <f t="shared" si="25"/>
        <v>53.305818935057836</v>
      </c>
    </row>
    <row r="210" spans="1:16" x14ac:dyDescent="0.2">
      <c r="A210" s="8">
        <v>104</v>
      </c>
      <c r="B210" s="8">
        <v>208</v>
      </c>
      <c r="D210">
        <v>1920.6239941478</v>
      </c>
      <c r="E210">
        <v>700.13021214338005</v>
      </c>
      <c r="F210">
        <v>152.87035688274</v>
      </c>
      <c r="G210">
        <v>124.22214129643</v>
      </c>
      <c r="I210" s="9">
        <f t="shared" si="22"/>
        <v>575.90807084695007</v>
      </c>
      <c r="J210" s="9">
        <f t="shared" si="23"/>
        <v>1767.75363726506</v>
      </c>
      <c r="K210" s="9">
        <f t="shared" si="24"/>
        <v>575.90807084695007</v>
      </c>
      <c r="L210" s="10">
        <f t="shared" si="21"/>
        <v>0.32578525576559025</v>
      </c>
      <c r="M210" s="10">
        <f t="shared" si="20"/>
        <v>0.39303284278257994</v>
      </c>
      <c r="P210" s="8">
        <f t="shared" si="25"/>
        <v>59.762390494532923</v>
      </c>
    </row>
    <row r="211" spans="1:16" x14ac:dyDescent="0.2">
      <c r="A211" s="8">
        <v>104.5</v>
      </c>
      <c r="B211" s="8">
        <v>209</v>
      </c>
      <c r="D211">
        <v>1888.594732992</v>
      </c>
      <c r="E211">
        <v>693.64959765910999</v>
      </c>
      <c r="F211">
        <v>152.48943918427</v>
      </c>
      <c r="G211">
        <v>123.82228696286001</v>
      </c>
      <c r="I211" s="9">
        <f t="shared" si="22"/>
        <v>569.82731069624992</v>
      </c>
      <c r="J211" s="9">
        <f t="shared" si="23"/>
        <v>1736.10529380773</v>
      </c>
      <c r="K211" s="9">
        <f t="shared" si="24"/>
        <v>569.82731069624992</v>
      </c>
      <c r="L211" s="10">
        <f t="shared" si="21"/>
        <v>0.32822163075516608</v>
      </c>
      <c r="M211" s="10">
        <f t="shared" si="20"/>
        <v>0.39579252347896821</v>
      </c>
      <c r="P211" s="8">
        <f t="shared" si="25"/>
        <v>60.884162359538372</v>
      </c>
    </row>
    <row r="212" spans="1:16" x14ac:dyDescent="0.2">
      <c r="A212" s="8">
        <v>105</v>
      </c>
      <c r="B212" s="8">
        <v>210</v>
      </c>
      <c r="D212">
        <v>1951.6481346012999</v>
      </c>
      <c r="E212">
        <v>722.54791514265003</v>
      </c>
      <c r="F212">
        <v>152.41660597232001</v>
      </c>
      <c r="G212">
        <v>124.44136926439</v>
      </c>
      <c r="I212" s="9">
        <f t="shared" si="22"/>
        <v>598.10654587826002</v>
      </c>
      <c r="J212" s="9">
        <f t="shared" si="23"/>
        <v>1799.23152862898</v>
      </c>
      <c r="K212" s="9">
        <f t="shared" si="24"/>
        <v>598.10654587826002</v>
      </c>
      <c r="L212" s="10">
        <f t="shared" si="21"/>
        <v>0.33242333538586838</v>
      </c>
      <c r="M212" s="10">
        <f t="shared" si="20"/>
        <v>0.40031753381648294</v>
      </c>
      <c r="P212" s="8">
        <f t="shared" si="25"/>
        <v>62.723516199323562</v>
      </c>
    </row>
    <row r="213" spans="1:16" x14ac:dyDescent="0.2">
      <c r="A213" s="8">
        <v>105.5</v>
      </c>
      <c r="B213" s="8">
        <v>211</v>
      </c>
      <c r="D213">
        <v>1957.0043891734001</v>
      </c>
      <c r="E213">
        <v>724.15435259693004</v>
      </c>
      <c r="F213">
        <v>153.20174799709</v>
      </c>
      <c r="G213">
        <v>124.12454479243</v>
      </c>
      <c r="I213" s="9">
        <f t="shared" si="22"/>
        <v>600.02980780450002</v>
      </c>
      <c r="J213" s="9">
        <f t="shared" si="23"/>
        <v>1803.8026411763101</v>
      </c>
      <c r="K213" s="9">
        <f t="shared" si="24"/>
        <v>600.02980780450002</v>
      </c>
      <c r="L213" s="10">
        <f t="shared" si="21"/>
        <v>0.33264715003034023</v>
      </c>
      <c r="M213" s="10">
        <f t="shared" si="20"/>
        <v>0.40086465416776729</v>
      </c>
      <c r="P213" s="8">
        <f t="shared" si="25"/>
        <v>62.945913021407328</v>
      </c>
    </row>
    <row r="214" spans="1:16" x14ac:dyDescent="0.2">
      <c r="A214" s="8">
        <v>106</v>
      </c>
      <c r="B214" s="8">
        <v>212</v>
      </c>
      <c r="D214">
        <v>1994.5442574982001</v>
      </c>
      <c r="E214">
        <v>742.60131675201001</v>
      </c>
      <c r="F214">
        <v>152.64967225055</v>
      </c>
      <c r="G214">
        <v>123.88201019665</v>
      </c>
      <c r="I214" s="9">
        <f t="shared" si="22"/>
        <v>618.71930655536005</v>
      </c>
      <c r="J214" s="9">
        <f t="shared" si="23"/>
        <v>1841.89458524765</v>
      </c>
      <c r="K214" s="9">
        <f t="shared" si="24"/>
        <v>618.71930655536005</v>
      </c>
      <c r="L214" s="10">
        <f t="shared" si="21"/>
        <v>0.33591461287246838</v>
      </c>
      <c r="M214" s="10">
        <f t="shared" si="20"/>
        <v>0.40445542271670787</v>
      </c>
      <c r="P214" s="8">
        <f t="shared" si="25"/>
        <v>64.405510552824524</v>
      </c>
    </row>
    <row r="215" spans="1:16" x14ac:dyDescent="0.2">
      <c r="A215" s="8">
        <v>106.5</v>
      </c>
      <c r="B215" s="8">
        <v>213</v>
      </c>
      <c r="D215">
        <v>2030.790051207</v>
      </c>
      <c r="E215">
        <v>772.12874908559002</v>
      </c>
      <c r="F215">
        <v>153.66788055353001</v>
      </c>
      <c r="G215">
        <v>124.0335032775</v>
      </c>
      <c r="I215" s="9">
        <f t="shared" si="22"/>
        <v>648.09524580809</v>
      </c>
      <c r="J215" s="9">
        <f t="shared" si="23"/>
        <v>1877.12217065347</v>
      </c>
      <c r="K215" s="9">
        <f t="shared" si="24"/>
        <v>648.09524580809</v>
      </c>
      <c r="L215" s="10">
        <f t="shared" si="21"/>
        <v>0.34526002406251105</v>
      </c>
      <c r="M215" s="10">
        <f t="shared" si="20"/>
        <v>0.41412413961356298</v>
      </c>
      <c r="P215" s="8">
        <f t="shared" si="25"/>
        <v>68.335709651506363</v>
      </c>
    </row>
    <row r="216" spans="1:16" x14ac:dyDescent="0.2">
      <c r="A216" s="8">
        <v>107</v>
      </c>
      <c r="B216" s="8">
        <v>214</v>
      </c>
      <c r="D216">
        <v>2110.1697147036998</v>
      </c>
      <c r="E216">
        <v>789.34893928309998</v>
      </c>
      <c r="F216">
        <v>152.65914056810001</v>
      </c>
      <c r="G216">
        <v>124.57756737072</v>
      </c>
      <c r="I216" s="9">
        <f t="shared" si="22"/>
        <v>664.77137191238</v>
      </c>
      <c r="J216" s="9">
        <f t="shared" si="23"/>
        <v>1957.5105741355999</v>
      </c>
      <c r="K216" s="9">
        <f t="shared" si="24"/>
        <v>664.77137191238</v>
      </c>
      <c r="L216" s="10">
        <f t="shared" si="21"/>
        <v>0.33960039894340321</v>
      </c>
      <c r="M216" s="10">
        <f t="shared" si="20"/>
        <v>0.40878782020126758</v>
      </c>
      <c r="P216" s="8">
        <f t="shared" si="25"/>
        <v>66.166569943702584</v>
      </c>
    </row>
    <row r="217" spans="1:16" x14ac:dyDescent="0.2">
      <c r="A217" s="8">
        <v>107.5</v>
      </c>
      <c r="B217" s="8">
        <v>215</v>
      </c>
      <c r="D217">
        <v>2078.6569129480999</v>
      </c>
      <c r="E217">
        <v>780.99341623993996</v>
      </c>
      <c r="F217">
        <v>152.80990531681999</v>
      </c>
      <c r="G217">
        <v>124.00728332119</v>
      </c>
      <c r="I217" s="9">
        <f t="shared" si="22"/>
        <v>656.98613291874995</v>
      </c>
      <c r="J217" s="9">
        <f t="shared" si="23"/>
        <v>1925.8470076312799</v>
      </c>
      <c r="K217" s="9">
        <f t="shared" si="24"/>
        <v>656.98613291874995</v>
      </c>
      <c r="L217" s="10">
        <f t="shared" si="21"/>
        <v>0.34114139405435867</v>
      </c>
      <c r="M217" s="10">
        <f t="shared" si="20"/>
        <v>0.41065212101903548</v>
      </c>
      <c r="P217" s="8">
        <f t="shared" si="25"/>
        <v>66.924382326858236</v>
      </c>
    </row>
    <row r="218" spans="1:16" x14ac:dyDescent="0.2">
      <c r="A218" s="8">
        <v>108</v>
      </c>
      <c r="B218" s="8">
        <v>216</v>
      </c>
      <c r="D218">
        <v>2049.5457205560001</v>
      </c>
      <c r="E218">
        <v>763.04681784930995</v>
      </c>
      <c r="F218">
        <v>152.68681718863999</v>
      </c>
      <c r="G218">
        <v>124.18135469774001</v>
      </c>
      <c r="I218" s="9">
        <f t="shared" si="22"/>
        <v>638.86546315156988</v>
      </c>
      <c r="J218" s="9">
        <f t="shared" si="23"/>
        <v>1896.8589033673602</v>
      </c>
      <c r="K218" s="9">
        <f t="shared" si="24"/>
        <v>638.86546315156988</v>
      </c>
      <c r="L218" s="10">
        <f t="shared" si="21"/>
        <v>0.33680178426420487</v>
      </c>
      <c r="M218" s="10">
        <f t="shared" si="20"/>
        <v>0.40663581693569417</v>
      </c>
      <c r="P218" s="8">
        <f t="shared" si="25"/>
        <v>65.291810512338117</v>
      </c>
    </row>
    <row r="219" spans="1:16" x14ac:dyDescent="0.2">
      <c r="A219" s="8">
        <v>108.5</v>
      </c>
      <c r="B219" s="8">
        <v>217</v>
      </c>
      <c r="D219">
        <v>2065.2282370153998</v>
      </c>
      <c r="E219">
        <v>765.99268471104995</v>
      </c>
      <c r="F219">
        <v>153.03277494538</v>
      </c>
      <c r="G219">
        <v>123.86962855062001</v>
      </c>
      <c r="I219" s="9">
        <f t="shared" si="22"/>
        <v>642.12305616043</v>
      </c>
      <c r="J219" s="9">
        <f t="shared" si="23"/>
        <v>1912.1954620700199</v>
      </c>
      <c r="K219" s="9">
        <f t="shared" si="24"/>
        <v>642.12305616043</v>
      </c>
      <c r="L219" s="10">
        <f t="shared" si="21"/>
        <v>0.33580408953868601</v>
      </c>
      <c r="M219" s="10">
        <f t="shared" si="20"/>
        <v>0.40596142791698775</v>
      </c>
      <c r="P219" s="8">
        <f t="shared" si="25"/>
        <v>65.017680744990898</v>
      </c>
    </row>
    <row r="220" spans="1:16" x14ac:dyDescent="0.2">
      <c r="A220" s="8">
        <v>109</v>
      </c>
      <c r="B220" s="8">
        <v>218</v>
      </c>
      <c r="D220">
        <v>2068.5771762985</v>
      </c>
      <c r="E220">
        <v>773.15874177030003</v>
      </c>
      <c r="F220">
        <v>152.56518572469</v>
      </c>
      <c r="G220">
        <v>124.16241806264</v>
      </c>
      <c r="I220" s="9">
        <f t="shared" si="22"/>
        <v>648.99632370766005</v>
      </c>
      <c r="J220" s="9">
        <f t="shared" si="23"/>
        <v>1916.01199057381</v>
      </c>
      <c r="K220" s="9">
        <f t="shared" si="24"/>
        <v>648.99632370766005</v>
      </c>
      <c r="L220" s="10">
        <f t="shared" si="21"/>
        <v>0.33872247506827852</v>
      </c>
      <c r="M220" s="10">
        <f t="shared" si="20"/>
        <v>0.40920311915339269</v>
      </c>
      <c r="P220" s="8">
        <f t="shared" si="25"/>
        <v>66.335383198319278</v>
      </c>
    </row>
    <row r="221" spans="1:16" x14ac:dyDescent="0.2">
      <c r="A221" s="8">
        <v>109.5</v>
      </c>
      <c r="B221" s="8">
        <v>219</v>
      </c>
      <c r="D221">
        <v>2083.4316020483002</v>
      </c>
      <c r="E221">
        <v>776.44989027067004</v>
      </c>
      <c r="F221">
        <v>152.96649672250999</v>
      </c>
      <c r="G221">
        <v>124.12672978878</v>
      </c>
      <c r="I221" s="9">
        <f t="shared" si="22"/>
        <v>652.32316048189</v>
      </c>
      <c r="J221" s="9">
        <f t="shared" si="23"/>
        <v>1930.4651053257903</v>
      </c>
      <c r="K221" s="9">
        <f t="shared" si="24"/>
        <v>652.32316048189</v>
      </c>
      <c r="L221" s="10">
        <f t="shared" si="21"/>
        <v>0.33790984290897208</v>
      </c>
      <c r="M221" s="10">
        <f t="shared" si="20"/>
        <v>0.40871379270089869</v>
      </c>
      <c r="P221" s="8">
        <f t="shared" si="25"/>
        <v>66.136478793208539</v>
      </c>
    </row>
    <row r="222" spans="1:16" x14ac:dyDescent="0.2">
      <c r="A222" s="8">
        <v>110</v>
      </c>
      <c r="B222" s="8">
        <v>220</v>
      </c>
      <c r="D222">
        <v>2045.8697878565999</v>
      </c>
      <c r="E222">
        <v>758.70007315289001</v>
      </c>
      <c r="F222">
        <v>153.16678805535</v>
      </c>
      <c r="G222">
        <v>124.0859431901</v>
      </c>
      <c r="I222" s="9">
        <f t="shared" si="22"/>
        <v>634.61412996279</v>
      </c>
      <c r="J222" s="9">
        <f t="shared" si="23"/>
        <v>1892.7029998012499</v>
      </c>
      <c r="K222" s="9">
        <f t="shared" si="24"/>
        <v>634.61412996279</v>
      </c>
      <c r="L222" s="10">
        <f t="shared" si="21"/>
        <v>0.33529514669202193</v>
      </c>
      <c r="M222" s="10">
        <f t="shared" si="20"/>
        <v>0.40642240219076103</v>
      </c>
      <c r="P222" s="8">
        <f t="shared" si="25"/>
        <v>65.205060383326213</v>
      </c>
    </row>
    <row r="223" spans="1:16" x14ac:dyDescent="0.2">
      <c r="A223" s="8">
        <v>110.5</v>
      </c>
      <c r="B223" s="8">
        <v>221</v>
      </c>
      <c r="D223">
        <v>2056.5954645208999</v>
      </c>
      <c r="E223">
        <v>763.36576444770003</v>
      </c>
      <c r="F223">
        <v>153.36999271668</v>
      </c>
      <c r="G223">
        <v>124.1383831027</v>
      </c>
      <c r="I223" s="9">
        <f t="shared" si="22"/>
        <v>639.22738134500003</v>
      </c>
      <c r="J223" s="9">
        <f t="shared" si="23"/>
        <v>1903.22547180422</v>
      </c>
      <c r="K223" s="9">
        <f t="shared" si="24"/>
        <v>639.22738134500003</v>
      </c>
      <c r="L223" s="10">
        <f t="shared" si="21"/>
        <v>0.33586529332177606</v>
      </c>
      <c r="M223" s="10">
        <f t="shared" si="20"/>
        <v>0.4073158545273276</v>
      </c>
      <c r="P223" s="8">
        <f t="shared" si="25"/>
        <v>65.568236346108961</v>
      </c>
    </row>
    <row r="224" spans="1:16" x14ac:dyDescent="0.2">
      <c r="A224" s="8">
        <v>111</v>
      </c>
      <c r="B224" s="8">
        <v>222</v>
      </c>
      <c r="D224">
        <v>2076.8405267008002</v>
      </c>
      <c r="E224">
        <v>774.05705925383995</v>
      </c>
      <c r="F224">
        <v>152.83175528040999</v>
      </c>
      <c r="G224">
        <v>124.27385287691</v>
      </c>
      <c r="I224" s="9">
        <f t="shared" si="22"/>
        <v>649.78320637692991</v>
      </c>
      <c r="J224" s="9">
        <f t="shared" si="23"/>
        <v>1924.0087714203901</v>
      </c>
      <c r="K224" s="9">
        <f t="shared" si="24"/>
        <v>649.78320637692991</v>
      </c>
      <c r="L224" s="10">
        <f t="shared" si="21"/>
        <v>0.33772361957436953</v>
      </c>
      <c r="M224" s="10">
        <f t="shared" si="20"/>
        <v>0.40949748648673351</v>
      </c>
      <c r="P224" s="8">
        <f t="shared" si="25"/>
        <v>66.455039429908155</v>
      </c>
    </row>
    <row r="225" spans="1:16" x14ac:dyDescent="0.2">
      <c r="A225" s="8">
        <v>111.5</v>
      </c>
      <c r="B225" s="8">
        <v>223</v>
      </c>
      <c r="D225">
        <v>2065.4206291148998</v>
      </c>
      <c r="E225">
        <v>759.80907095830003</v>
      </c>
      <c r="F225">
        <v>152.27385287691001</v>
      </c>
      <c r="G225">
        <v>123.99490167515999</v>
      </c>
      <c r="I225" s="9">
        <f t="shared" si="22"/>
        <v>635.81416928314002</v>
      </c>
      <c r="J225" s="9">
        <f t="shared" si="23"/>
        <v>1913.1467762379898</v>
      </c>
      <c r="K225" s="9">
        <f t="shared" si="24"/>
        <v>635.81416928314002</v>
      </c>
      <c r="L225" s="10">
        <f t="shared" si="21"/>
        <v>0.33233946144655169</v>
      </c>
      <c r="M225" s="10">
        <f t="shared" si="20"/>
        <v>0.40443663406572811</v>
      </c>
      <c r="P225" s="8">
        <f t="shared" si="25"/>
        <v>64.397873227217218</v>
      </c>
    </row>
    <row r="226" spans="1:16" x14ac:dyDescent="0.2">
      <c r="A226" s="8">
        <v>112</v>
      </c>
      <c r="B226" s="8">
        <v>224</v>
      </c>
      <c r="D226">
        <v>2032.5530358449</v>
      </c>
      <c r="E226">
        <v>753.48573518653996</v>
      </c>
      <c r="F226">
        <v>153.39111434814001</v>
      </c>
      <c r="G226">
        <v>123.86234522943001</v>
      </c>
      <c r="I226" s="9">
        <f t="shared" si="22"/>
        <v>629.62338995710991</v>
      </c>
      <c r="J226" s="9">
        <f t="shared" si="23"/>
        <v>1879.16192149676</v>
      </c>
      <c r="K226" s="9">
        <f t="shared" si="24"/>
        <v>629.62338995710991</v>
      </c>
      <c r="L226" s="10">
        <f t="shared" si="21"/>
        <v>0.33505542165073904</v>
      </c>
      <c r="M226" s="10">
        <f t="shared" si="20"/>
        <v>0.40747589997672795</v>
      </c>
      <c r="P226" s="8">
        <f t="shared" si="25"/>
        <v>65.633292597904486</v>
      </c>
    </row>
    <row r="227" spans="1:16" x14ac:dyDescent="0.2">
      <c r="A227" s="8">
        <v>112.5</v>
      </c>
      <c r="B227" s="8">
        <v>225</v>
      </c>
      <c r="D227">
        <v>2013.7673738113001</v>
      </c>
      <c r="E227">
        <v>749.04828090709998</v>
      </c>
      <c r="F227">
        <v>152.82884195193</v>
      </c>
      <c r="G227">
        <v>124.42753095412</v>
      </c>
      <c r="I227" s="9">
        <f t="shared" si="22"/>
        <v>624.62074995297996</v>
      </c>
      <c r="J227" s="9">
        <f t="shared" si="23"/>
        <v>1860.9385318593702</v>
      </c>
      <c r="K227" s="9">
        <f t="shared" si="24"/>
        <v>624.62074995297996</v>
      </c>
      <c r="L227" s="10">
        <f t="shared" si="21"/>
        <v>0.33564824375412639</v>
      </c>
      <c r="M227" s="10">
        <f t="shared" si="20"/>
        <v>0.40839202778692774</v>
      </c>
      <c r="P227" s="8">
        <f t="shared" si="25"/>
        <v>66.005685825706578</v>
      </c>
    </row>
    <row r="228" spans="1:16" x14ac:dyDescent="0.2">
      <c r="A228" s="8">
        <v>113</v>
      </c>
      <c r="B228" s="8">
        <v>226</v>
      </c>
      <c r="D228">
        <v>1984.8661302121</v>
      </c>
      <c r="E228">
        <v>732.76956839795002</v>
      </c>
      <c r="F228">
        <v>152.40203932993001</v>
      </c>
      <c r="G228">
        <v>123.94756008740001</v>
      </c>
      <c r="I228" s="9">
        <f t="shared" si="22"/>
        <v>608.82200831055002</v>
      </c>
      <c r="J228" s="9">
        <f t="shared" si="23"/>
        <v>1832.46409088217</v>
      </c>
      <c r="K228" s="9">
        <f t="shared" si="24"/>
        <v>608.82200831055002</v>
      </c>
      <c r="L228" s="10">
        <f t="shared" si="21"/>
        <v>0.33224225857405798</v>
      </c>
      <c r="M228" s="10">
        <f t="shared" si="20"/>
        <v>0.40530934831367177</v>
      </c>
      <c r="P228" s="8">
        <f t="shared" si="25"/>
        <v>64.752619445072725</v>
      </c>
    </row>
    <row r="229" spans="1:16" x14ac:dyDescent="0.2">
      <c r="A229" s="8">
        <v>113.5</v>
      </c>
      <c r="B229" s="8">
        <v>227</v>
      </c>
      <c r="D229">
        <v>2047.9621267298</v>
      </c>
      <c r="E229">
        <v>751.39402767662</v>
      </c>
      <c r="F229">
        <v>153.13182811362</v>
      </c>
      <c r="G229">
        <v>123.92352512746</v>
      </c>
      <c r="I229" s="9">
        <f t="shared" si="22"/>
        <v>627.47050254915996</v>
      </c>
      <c r="J229" s="9">
        <f t="shared" si="23"/>
        <v>1894.83029861618</v>
      </c>
      <c r="K229" s="9">
        <f t="shared" si="24"/>
        <v>627.47050254915996</v>
      </c>
      <c r="L229" s="10">
        <f t="shared" si="21"/>
        <v>0.33114865379100711</v>
      </c>
      <c r="M229" s="10">
        <f t="shared" si="20"/>
        <v>0.40453904923743333</v>
      </c>
      <c r="P229" s="8">
        <f t="shared" si="25"/>
        <v>64.439503571741852</v>
      </c>
    </row>
    <row r="230" spans="1:16" x14ac:dyDescent="0.2">
      <c r="A230" s="8">
        <v>114</v>
      </c>
      <c r="B230" s="8">
        <v>228</v>
      </c>
      <c r="D230">
        <v>1989.9788783685001</v>
      </c>
      <c r="E230">
        <v>725.66642388928994</v>
      </c>
      <c r="F230">
        <v>152.50910415148999</v>
      </c>
      <c r="G230">
        <v>123.72906045157001</v>
      </c>
      <c r="I230" s="9">
        <f t="shared" si="22"/>
        <v>601.93736343771991</v>
      </c>
      <c r="J230" s="9">
        <f t="shared" si="23"/>
        <v>1837.4697742170101</v>
      </c>
      <c r="K230" s="9">
        <f t="shared" si="24"/>
        <v>601.93736343771991</v>
      </c>
      <c r="L230" s="10">
        <f t="shared" si="21"/>
        <v>0.32759034836054368</v>
      </c>
      <c r="M230" s="10">
        <f t="shared" si="20"/>
        <v>0.4013040495137824</v>
      </c>
      <c r="P230" s="8">
        <f t="shared" si="25"/>
        <v>63.124521125388043</v>
      </c>
    </row>
    <row r="231" spans="1:16" x14ac:dyDescent="0.2">
      <c r="A231" s="8">
        <v>114.5</v>
      </c>
      <c r="B231" s="8">
        <v>229</v>
      </c>
      <c r="D231">
        <v>1991.2170429716</v>
      </c>
      <c r="E231">
        <v>722.17844136925999</v>
      </c>
      <c r="F231">
        <v>152.58776402039001</v>
      </c>
      <c r="G231">
        <v>123.71667880554</v>
      </c>
      <c r="I231" s="9">
        <f t="shared" si="22"/>
        <v>598.46176256371996</v>
      </c>
      <c r="J231" s="9">
        <f t="shared" si="23"/>
        <v>1838.6292789512099</v>
      </c>
      <c r="K231" s="9">
        <f t="shared" si="24"/>
        <v>598.46176256371996</v>
      </c>
      <c r="L231" s="10">
        <f t="shared" si="21"/>
        <v>0.32549343655894258</v>
      </c>
      <c r="M231" s="10">
        <f t="shared" si="20"/>
        <v>0.39953044341899374</v>
      </c>
      <c r="P231" s="8">
        <f t="shared" si="25"/>
        <v>62.403574887172894</v>
      </c>
    </row>
    <row r="232" spans="1:16" x14ac:dyDescent="0.2">
      <c r="A232" s="8">
        <v>115</v>
      </c>
      <c r="B232" s="8">
        <v>230</v>
      </c>
      <c r="D232">
        <v>2044.8689002184999</v>
      </c>
      <c r="E232">
        <v>735.30371449381005</v>
      </c>
      <c r="F232">
        <v>152.75309541151</v>
      </c>
      <c r="G232">
        <v>124.06117989803001</v>
      </c>
      <c r="I232" s="9">
        <f t="shared" si="22"/>
        <v>611.24253459578006</v>
      </c>
      <c r="J232" s="9">
        <f t="shared" si="23"/>
        <v>1892.1158048069899</v>
      </c>
      <c r="K232" s="9">
        <f t="shared" si="24"/>
        <v>611.24253459578006</v>
      </c>
      <c r="L232" s="10">
        <f t="shared" si="21"/>
        <v>0.32304710580763391</v>
      </c>
      <c r="M232" s="10">
        <f t="shared" si="20"/>
        <v>0.3974074183744975</v>
      </c>
      <c r="P232" s="8">
        <f t="shared" si="25"/>
        <v>61.540594700104634</v>
      </c>
    </row>
    <row r="233" spans="1:16" x14ac:dyDescent="0.2">
      <c r="A233" s="8">
        <v>115.5</v>
      </c>
      <c r="B233" s="8">
        <v>231</v>
      </c>
      <c r="D233">
        <v>2032.3809176985001</v>
      </c>
      <c r="E233">
        <v>742.21995630006995</v>
      </c>
      <c r="F233">
        <v>152.29060451565999</v>
      </c>
      <c r="G233">
        <v>123.88055353241</v>
      </c>
      <c r="I233" s="9">
        <f t="shared" si="22"/>
        <v>618.33940276765998</v>
      </c>
      <c r="J233" s="9">
        <f t="shared" si="23"/>
        <v>1880.09031318284</v>
      </c>
      <c r="K233" s="9">
        <f t="shared" si="24"/>
        <v>618.33940276765998</v>
      </c>
      <c r="L233" s="10">
        <f t="shared" si="21"/>
        <v>0.32888813820909574</v>
      </c>
      <c r="M233" s="10">
        <f t="shared" si="20"/>
        <v>0.40357175648277177</v>
      </c>
      <c r="P233" s="8">
        <f t="shared" si="25"/>
        <v>64.04631250481043</v>
      </c>
    </row>
    <row r="234" spans="1:16" x14ac:dyDescent="0.2">
      <c r="A234" s="8">
        <v>116</v>
      </c>
      <c r="B234" s="8">
        <v>232</v>
      </c>
      <c r="D234">
        <v>2083.1150764749</v>
      </c>
      <c r="E234">
        <v>769.94246176256001</v>
      </c>
      <c r="F234">
        <v>152.65477057538001</v>
      </c>
      <c r="G234">
        <v>123.87691187180999</v>
      </c>
      <c r="I234" s="9">
        <f t="shared" si="22"/>
        <v>646.06554989075005</v>
      </c>
      <c r="J234" s="9">
        <f t="shared" si="23"/>
        <v>1930.4603058995199</v>
      </c>
      <c r="K234" s="9">
        <f t="shared" si="24"/>
        <v>646.06554989075005</v>
      </c>
      <c r="L234" s="10">
        <f t="shared" si="21"/>
        <v>0.33466917082747705</v>
      </c>
      <c r="M234" s="10">
        <f t="shared" si="20"/>
        <v>0.40967609480796552</v>
      </c>
      <c r="P234" s="8">
        <f t="shared" si="25"/>
        <v>66.527641231223853</v>
      </c>
    </row>
    <row r="235" spans="1:16" x14ac:dyDescent="0.2">
      <c r="A235" s="8">
        <v>116.5</v>
      </c>
      <c r="B235" s="8">
        <v>233</v>
      </c>
      <c r="D235">
        <v>2064.6744355425999</v>
      </c>
      <c r="E235">
        <v>758.16751638746996</v>
      </c>
      <c r="F235">
        <v>152.45010924982</v>
      </c>
      <c r="G235">
        <v>123.75600873998999</v>
      </c>
      <c r="I235" s="9">
        <f t="shared" si="22"/>
        <v>634.41150764747999</v>
      </c>
      <c r="J235" s="9">
        <f t="shared" si="23"/>
        <v>1912.22432629278</v>
      </c>
      <c r="K235" s="9">
        <f t="shared" si="24"/>
        <v>634.41150764747999</v>
      </c>
      <c r="L235" s="10">
        <f t="shared" si="21"/>
        <v>0.33176625719295733</v>
      </c>
      <c r="M235" s="10">
        <f t="shared" si="20"/>
        <v>0.40709648688025823</v>
      </c>
      <c r="P235" s="8">
        <f t="shared" si="25"/>
        <v>65.479066445077677</v>
      </c>
    </row>
    <row r="236" spans="1:16" x14ac:dyDescent="0.2">
      <c r="A236" s="8">
        <v>117</v>
      </c>
      <c r="B236" s="8">
        <v>234</v>
      </c>
      <c r="D236">
        <v>2063.3721777129999</v>
      </c>
      <c r="E236">
        <v>762.05025491623996</v>
      </c>
      <c r="F236">
        <v>152.19664967225</v>
      </c>
      <c r="G236">
        <v>123.51638747269</v>
      </c>
      <c r="I236" s="9">
        <f t="shared" si="22"/>
        <v>638.53386744354998</v>
      </c>
      <c r="J236" s="9">
        <f t="shared" si="23"/>
        <v>1911.1755280407499</v>
      </c>
      <c r="K236" s="9">
        <f t="shared" si="24"/>
        <v>638.53386744354998</v>
      </c>
      <c r="L236" s="10">
        <f t="shared" si="21"/>
        <v>0.33410529701484082</v>
      </c>
      <c r="M236" s="10">
        <f t="shared" si="20"/>
        <v>0.40975883240895422</v>
      </c>
      <c r="P236" s="8">
        <f t="shared" si="25"/>
        <v>66.561272916617256</v>
      </c>
    </row>
    <row r="237" spans="1:16" x14ac:dyDescent="0.2">
      <c r="A237" s="8">
        <v>117.5</v>
      </c>
      <c r="B237" s="8">
        <v>235</v>
      </c>
      <c r="D237">
        <v>2074.0881281864999</v>
      </c>
      <c r="E237">
        <v>774.03058994902005</v>
      </c>
      <c r="F237">
        <v>152.29424617626</v>
      </c>
      <c r="G237">
        <v>123.78077203205</v>
      </c>
      <c r="I237" s="9">
        <f t="shared" si="22"/>
        <v>650.24981791697007</v>
      </c>
      <c r="J237" s="9">
        <f t="shared" si="23"/>
        <v>1921.7938820102399</v>
      </c>
      <c r="K237" s="9">
        <f t="shared" si="24"/>
        <v>650.24981791697007</v>
      </c>
      <c r="L237" s="10">
        <f t="shared" si="21"/>
        <v>0.33835564989768518</v>
      </c>
      <c r="M237" s="10">
        <f t="shared" si="20"/>
        <v>0.41433249099861102</v>
      </c>
      <c r="P237" s="8">
        <f t="shared" si="25"/>
        <v>68.420401595066238</v>
      </c>
    </row>
    <row r="238" spans="1:16" x14ac:dyDescent="0.2">
      <c r="A238" s="8">
        <v>118</v>
      </c>
      <c r="B238" s="8">
        <v>236</v>
      </c>
      <c r="D238">
        <v>2087.6926438455998</v>
      </c>
      <c r="E238">
        <v>785.79315367807999</v>
      </c>
      <c r="F238">
        <v>151.89803350328</v>
      </c>
      <c r="G238">
        <v>123.89949016752</v>
      </c>
      <c r="I238" s="9">
        <f t="shared" si="22"/>
        <v>661.89366351056003</v>
      </c>
      <c r="J238" s="9">
        <f t="shared" si="23"/>
        <v>1935.7946103423199</v>
      </c>
      <c r="K238" s="9">
        <f t="shared" si="24"/>
        <v>661.89366351056003</v>
      </c>
      <c r="L238" s="10">
        <f t="shared" si="21"/>
        <v>0.34192349744868483</v>
      </c>
      <c r="M238" s="10">
        <f t="shared" si="20"/>
        <v>0.41822364425642311</v>
      </c>
      <c r="P238" s="8">
        <f t="shared" si="25"/>
        <v>70.002101337630862</v>
      </c>
    </row>
    <row r="239" spans="1:16" x14ac:dyDescent="0.2">
      <c r="A239" s="8">
        <v>118.5</v>
      </c>
      <c r="B239" s="8">
        <v>237</v>
      </c>
      <c r="D239">
        <v>2100.2330662782001</v>
      </c>
      <c r="E239">
        <v>776.57756737071998</v>
      </c>
      <c r="F239">
        <v>152.30080116533</v>
      </c>
      <c r="G239">
        <v>124.1908230153</v>
      </c>
      <c r="I239" s="9">
        <f t="shared" si="22"/>
        <v>652.38674435541998</v>
      </c>
      <c r="J239" s="9">
        <f t="shared" si="23"/>
        <v>1947.93226511287</v>
      </c>
      <c r="K239" s="9">
        <f t="shared" si="24"/>
        <v>652.38674435541998</v>
      </c>
      <c r="L239" s="10">
        <f t="shared" si="21"/>
        <v>0.33491243819898348</v>
      </c>
      <c r="M239" s="10">
        <f t="shared" si="20"/>
        <v>0.41153589071353425</v>
      </c>
      <c r="P239" s="8">
        <f t="shared" si="25"/>
        <v>67.283622430153756</v>
      </c>
    </row>
    <row r="240" spans="1:16" x14ac:dyDescent="0.2">
      <c r="A240" s="8">
        <v>119</v>
      </c>
      <c r="B240" s="8">
        <v>238</v>
      </c>
      <c r="D240">
        <v>2199.1750181553998</v>
      </c>
      <c r="E240">
        <v>821.37400145242998</v>
      </c>
      <c r="F240">
        <v>152.81864530225999</v>
      </c>
      <c r="G240">
        <v>124.02694828842</v>
      </c>
      <c r="I240" s="9">
        <f t="shared" si="22"/>
        <v>697.34705316400994</v>
      </c>
      <c r="J240" s="9">
        <f t="shared" si="23"/>
        <v>2046.3563728531399</v>
      </c>
      <c r="K240" s="9">
        <f t="shared" si="24"/>
        <v>697.34705316400994</v>
      </c>
      <c r="L240" s="10">
        <f t="shared" si="21"/>
        <v>0.34077498055323141</v>
      </c>
      <c r="M240" s="10">
        <f t="shared" si="20"/>
        <v>0.41772173877459462</v>
      </c>
      <c r="P240" s="8">
        <f t="shared" si="25"/>
        <v>69.798083731846233</v>
      </c>
    </row>
    <row r="241" spans="1:16" x14ac:dyDescent="0.2">
      <c r="A241" s="8">
        <v>119.5</v>
      </c>
      <c r="B241" s="8">
        <v>239</v>
      </c>
      <c r="D241">
        <v>2252.3110465116001</v>
      </c>
      <c r="E241">
        <v>826.75872093022997</v>
      </c>
      <c r="F241">
        <v>152.62490895849001</v>
      </c>
      <c r="G241">
        <v>123.86671522214</v>
      </c>
      <c r="I241" s="9">
        <f t="shared" si="22"/>
        <v>702.89200570808998</v>
      </c>
      <c r="J241" s="9">
        <f t="shared" si="23"/>
        <v>2099.6861375531103</v>
      </c>
      <c r="K241" s="9">
        <f t="shared" si="24"/>
        <v>702.89200570808998</v>
      </c>
      <c r="L241" s="10">
        <f t="shared" si="21"/>
        <v>0.33476051164828474</v>
      </c>
      <c r="M241" s="10">
        <f t="shared" si="20"/>
        <v>0.41203057557646039</v>
      </c>
      <c r="P241" s="8">
        <f t="shared" si="25"/>
        <v>67.484704954664977</v>
      </c>
    </row>
    <row r="242" spans="1:16" x14ac:dyDescent="0.2">
      <c r="A242" s="8">
        <v>120</v>
      </c>
      <c r="B242" s="8">
        <v>240</v>
      </c>
      <c r="D242">
        <v>2201.4614825581002</v>
      </c>
      <c r="E242">
        <v>823.15915697673995</v>
      </c>
      <c r="F242">
        <v>152.50691915514</v>
      </c>
      <c r="G242">
        <v>124.02694828842</v>
      </c>
      <c r="I242" s="9">
        <f>E242-G242</f>
        <v>699.13220868831991</v>
      </c>
      <c r="J242" s="9">
        <f>D242-F242</f>
        <v>2048.95456340296</v>
      </c>
      <c r="K242" s="9">
        <f t="shared" si="24"/>
        <v>699.13220868831991</v>
      </c>
      <c r="L242" s="10">
        <f t="shared" si="21"/>
        <v>0.34121411044234279</v>
      </c>
      <c r="M242" s="10">
        <f>L242+ABS($N$2)*A242</f>
        <v>0.41880748007733087</v>
      </c>
      <c r="O242" s="11"/>
      <c r="P242" s="8">
        <f>(M242-$O$2)/$O$2*100</f>
        <v>70.239422488057372</v>
      </c>
    </row>
    <row r="243" spans="1:16" x14ac:dyDescent="0.2">
      <c r="A243" s="8">
        <v>120.5</v>
      </c>
      <c r="B243" s="8">
        <v>241</v>
      </c>
      <c r="D243">
        <v>2171.4585755814001</v>
      </c>
      <c r="E243">
        <v>812.33720930233005</v>
      </c>
      <c r="F243">
        <v>152.80480699199001</v>
      </c>
      <c r="G243">
        <v>123.72177713037</v>
      </c>
      <c r="I243" s="9">
        <f t="shared" ref="I243:I274" si="26">E243-G243</f>
        <v>688.61543217196004</v>
      </c>
      <c r="J243" s="9">
        <f t="shared" ref="J243:J274" si="27">D243-F243</f>
        <v>2018.65376858941</v>
      </c>
      <c r="K243" s="9">
        <f t="shared" si="24"/>
        <v>688.61543217196004</v>
      </c>
      <c r="L243" s="10">
        <f t="shared" si="21"/>
        <v>0.34112607267622175</v>
      </c>
      <c r="M243" s="10">
        <f t="shared" ref="M243:M274" si="28">L243+ABS($N$2)*A243</f>
        <v>0.41904274801802227</v>
      </c>
      <c r="P243" s="8">
        <f t="shared" ref="P243:P274" si="29">(M243-$O$2)/$O$2*100</f>
        <v>70.335055637555712</v>
      </c>
    </row>
    <row r="244" spans="1:16" x14ac:dyDescent="0.2">
      <c r="A244" s="8">
        <v>121</v>
      </c>
      <c r="B244" s="8">
        <v>242</v>
      </c>
      <c r="D244">
        <v>2150.1228197674</v>
      </c>
      <c r="E244">
        <v>821.03270348836998</v>
      </c>
      <c r="F244">
        <v>152.17479970867001</v>
      </c>
      <c r="G244">
        <v>124.05535324108</v>
      </c>
      <c r="I244" s="9">
        <f t="shared" si="26"/>
        <v>696.97735024729002</v>
      </c>
      <c r="J244" s="9">
        <f t="shared" si="27"/>
        <v>1997.94802005873</v>
      </c>
      <c r="K244" s="9">
        <f t="shared" si="24"/>
        <v>696.97735024729002</v>
      </c>
      <c r="L244" s="10">
        <f t="shared" si="21"/>
        <v>0.34884658822445352</v>
      </c>
      <c r="M244" s="10">
        <f t="shared" si="28"/>
        <v>0.42708656927306654</v>
      </c>
      <c r="N244" s="1"/>
      <c r="P244" s="8">
        <f t="shared" si="29"/>
        <v>73.604757231240342</v>
      </c>
    </row>
    <row r="245" spans="1:16" x14ac:dyDescent="0.2">
      <c r="A245" s="8">
        <v>121.5</v>
      </c>
      <c r="B245" s="8">
        <v>243</v>
      </c>
      <c r="D245">
        <v>2147.2231104651</v>
      </c>
      <c r="E245">
        <v>819.99636627907</v>
      </c>
      <c r="F245">
        <v>152.17334304443</v>
      </c>
      <c r="G245">
        <v>124.33066278222999</v>
      </c>
      <c r="I245" s="9">
        <f t="shared" si="26"/>
        <v>695.66570349684002</v>
      </c>
      <c r="J245" s="9">
        <f t="shared" si="27"/>
        <v>1995.0497674206699</v>
      </c>
      <c r="K245" s="9">
        <f t="shared" si="24"/>
        <v>695.66570349684002</v>
      </c>
      <c r="L245" s="10">
        <f t="shared" si="21"/>
        <v>0.34869591468700145</v>
      </c>
      <c r="M245" s="10">
        <f t="shared" si="28"/>
        <v>0.42725920144242691</v>
      </c>
      <c r="P245" s="8">
        <f t="shared" si="29"/>
        <v>73.674929809842197</v>
      </c>
    </row>
    <row r="246" spans="1:16" x14ac:dyDescent="0.2">
      <c r="A246" s="8">
        <v>122</v>
      </c>
      <c r="B246" s="8">
        <v>244</v>
      </c>
      <c r="D246">
        <v>2110.2609011628001</v>
      </c>
      <c r="E246">
        <v>807.28488372093</v>
      </c>
      <c r="F246">
        <v>152.76693372177999</v>
      </c>
      <c r="G246">
        <v>124.07428987618</v>
      </c>
      <c r="I246" s="9">
        <f t="shared" si="26"/>
        <v>683.21059384474995</v>
      </c>
      <c r="J246" s="9">
        <f t="shared" si="27"/>
        <v>1957.4939674410202</v>
      </c>
      <c r="K246" s="9">
        <f t="shared" si="24"/>
        <v>683.21059384474995</v>
      </c>
      <c r="L246" s="10">
        <f t="shared" si="21"/>
        <v>0.34902309034336026</v>
      </c>
      <c r="M246" s="10">
        <f t="shared" si="28"/>
        <v>0.42790968280559816</v>
      </c>
      <c r="P246" s="8">
        <f t="shared" si="29"/>
        <v>73.939341447344646</v>
      </c>
    </row>
    <row r="247" spans="1:16" x14ac:dyDescent="0.2">
      <c r="A247" s="8">
        <v>122.5</v>
      </c>
      <c r="B247" s="8">
        <v>245</v>
      </c>
      <c r="D247">
        <v>2068.3277616279001</v>
      </c>
      <c r="E247">
        <v>793.13953488371999</v>
      </c>
      <c r="F247">
        <v>153.12818645301999</v>
      </c>
      <c r="G247">
        <v>123.74362709396</v>
      </c>
      <c r="I247" s="9">
        <f t="shared" si="26"/>
        <v>669.39590778976003</v>
      </c>
      <c r="J247" s="9">
        <f t="shared" si="27"/>
        <v>1915.1995751748802</v>
      </c>
      <c r="K247" s="9">
        <f t="shared" si="24"/>
        <v>669.39590778976003</v>
      </c>
      <c r="L247" s="10">
        <f t="shared" si="21"/>
        <v>0.34951757324227495</v>
      </c>
      <c r="M247" s="10">
        <f t="shared" si="28"/>
        <v>0.42872747141132528</v>
      </c>
      <c r="P247" s="8">
        <f t="shared" si="29"/>
        <v>74.271761154677932</v>
      </c>
    </row>
    <row r="248" spans="1:16" x14ac:dyDescent="0.2">
      <c r="A248" s="8">
        <v>123</v>
      </c>
      <c r="B248" s="8">
        <v>246</v>
      </c>
      <c r="D248">
        <v>2086.5036337208999</v>
      </c>
      <c r="E248">
        <v>796.14244186046994</v>
      </c>
      <c r="F248">
        <v>152.31026948287999</v>
      </c>
      <c r="G248">
        <v>124.03423160961</v>
      </c>
      <c r="I248" s="9">
        <f t="shared" si="26"/>
        <v>672.10821025085988</v>
      </c>
      <c r="J248" s="9">
        <f t="shared" si="27"/>
        <v>1934.19336423802</v>
      </c>
      <c r="K248" s="9">
        <f t="shared" si="24"/>
        <v>672.10821025085988</v>
      </c>
      <c r="L248" s="10">
        <f t="shared" si="21"/>
        <v>0.34748760009092394</v>
      </c>
      <c r="M248" s="10">
        <f t="shared" si="28"/>
        <v>0.42702080396678677</v>
      </c>
      <c r="P248" s="8">
        <f t="shared" si="29"/>
        <v>73.578024547863365</v>
      </c>
    </row>
    <row r="249" spans="1:16" x14ac:dyDescent="0.2">
      <c r="A249" s="8">
        <v>123.5</v>
      </c>
      <c r="B249" s="8">
        <v>247</v>
      </c>
      <c r="D249">
        <v>2031.5232558140001</v>
      </c>
      <c r="E249">
        <v>777.375</v>
      </c>
      <c r="F249">
        <v>152.71303714493999</v>
      </c>
      <c r="G249">
        <v>123.37363437728</v>
      </c>
      <c r="I249" s="9">
        <f t="shared" si="26"/>
        <v>654.00136562271996</v>
      </c>
      <c r="J249" s="9">
        <f t="shared" si="27"/>
        <v>1878.8102186690601</v>
      </c>
      <c r="K249" s="9">
        <f t="shared" si="24"/>
        <v>654.00136562271996</v>
      </c>
      <c r="L249" s="10">
        <f t="shared" si="21"/>
        <v>0.34809336202461755</v>
      </c>
      <c r="M249" s="10">
        <f t="shared" si="28"/>
        <v>0.42794987160729281</v>
      </c>
      <c r="P249" s="8">
        <f t="shared" si="29"/>
        <v>73.955677636922061</v>
      </c>
    </row>
    <row r="250" spans="1:16" x14ac:dyDescent="0.2">
      <c r="A250" s="8">
        <v>124</v>
      </c>
      <c r="B250" s="8">
        <v>248</v>
      </c>
      <c r="D250">
        <v>2062.4694767442002</v>
      </c>
      <c r="E250">
        <v>786.33284883721001</v>
      </c>
      <c r="F250">
        <v>152.10123816460001</v>
      </c>
      <c r="G250">
        <v>123.61471230881</v>
      </c>
      <c r="I250" s="9">
        <f t="shared" si="26"/>
        <v>662.71813652840001</v>
      </c>
      <c r="J250" s="9">
        <f t="shared" si="27"/>
        <v>1910.3682385796001</v>
      </c>
      <c r="K250" s="9">
        <f t="shared" si="24"/>
        <v>662.71813652840001</v>
      </c>
      <c r="L250" s="10">
        <f t="shared" si="21"/>
        <v>0.34690596459096557</v>
      </c>
      <c r="M250" s="10">
        <f t="shared" si="28"/>
        <v>0.42708577988045326</v>
      </c>
      <c r="P250" s="8">
        <f t="shared" si="29"/>
        <v>73.604436354109453</v>
      </c>
    </row>
    <row r="251" spans="1:16" x14ac:dyDescent="0.2">
      <c r="A251" s="8">
        <v>124.5</v>
      </c>
      <c r="B251" s="8">
        <v>249</v>
      </c>
      <c r="D251">
        <v>2084.4527616279001</v>
      </c>
      <c r="E251">
        <v>790.91933139535001</v>
      </c>
      <c r="F251">
        <v>152.66496722506</v>
      </c>
      <c r="G251">
        <v>123.60160233066</v>
      </c>
      <c r="I251" s="9">
        <f t="shared" si="26"/>
        <v>667.31772906468996</v>
      </c>
      <c r="J251" s="9">
        <f t="shared" si="27"/>
        <v>1931.7877944028401</v>
      </c>
      <c r="K251" s="9">
        <f t="shared" si="24"/>
        <v>667.31772906468996</v>
      </c>
      <c r="L251" s="10">
        <f t="shared" si="21"/>
        <v>0.34544049351495837</v>
      </c>
      <c r="M251" s="10">
        <f t="shared" si="28"/>
        <v>0.42594361451125851</v>
      </c>
      <c r="P251" s="8">
        <f t="shared" si="29"/>
        <v>73.140161998738179</v>
      </c>
    </row>
    <row r="252" spans="1:16" x14ac:dyDescent="0.2">
      <c r="A252" s="8">
        <v>125</v>
      </c>
      <c r="B252" s="8">
        <v>250</v>
      </c>
      <c r="D252">
        <v>1971.2563729061001</v>
      </c>
      <c r="E252">
        <v>742.25855790239996</v>
      </c>
      <c r="F252">
        <v>152.48871085215001</v>
      </c>
      <c r="G252">
        <v>123.50473415878</v>
      </c>
      <c r="I252" s="9">
        <f t="shared" si="26"/>
        <v>618.75382374361993</v>
      </c>
      <c r="J252" s="9">
        <f t="shared" si="27"/>
        <v>1818.7676620539501</v>
      </c>
      <c r="K252" s="9">
        <f t="shared" si="24"/>
        <v>618.75382374361993</v>
      </c>
      <c r="L252" s="10">
        <f t="shared" si="21"/>
        <v>0.34020498420609474</v>
      </c>
      <c r="M252" s="10">
        <f t="shared" si="28"/>
        <v>0.42103141090920737</v>
      </c>
      <c r="P252" s="8">
        <f t="shared" si="29"/>
        <v>71.143419475890852</v>
      </c>
    </row>
    <row r="253" spans="1:16" x14ac:dyDescent="0.2">
      <c r="A253" s="8">
        <v>125.5</v>
      </c>
      <c r="B253" s="8">
        <v>251</v>
      </c>
      <c r="D253">
        <v>2009.4756008740001</v>
      </c>
      <c r="E253">
        <v>738.66496722505997</v>
      </c>
      <c r="F253">
        <v>151.80262199563001</v>
      </c>
      <c r="G253">
        <v>123.81209031317999</v>
      </c>
      <c r="I253" s="9">
        <f t="shared" si="26"/>
        <v>614.85287691188</v>
      </c>
      <c r="J253" s="9">
        <f t="shared" si="27"/>
        <v>1857.67297887837</v>
      </c>
      <c r="K253" s="9">
        <f t="shared" si="24"/>
        <v>614.85287691188</v>
      </c>
      <c r="L253" s="10">
        <f t="shared" si="21"/>
        <v>0.33098014769161216</v>
      </c>
      <c r="M253" s="10">
        <f t="shared" si="28"/>
        <v>0.41212988010153717</v>
      </c>
      <c r="P253" s="8">
        <f t="shared" si="29"/>
        <v>67.525070864548923</v>
      </c>
    </row>
    <row r="254" spans="1:16" x14ac:dyDescent="0.2">
      <c r="A254" s="8">
        <v>126</v>
      </c>
      <c r="B254" s="8">
        <v>252</v>
      </c>
      <c r="D254">
        <v>1969.8295702841001</v>
      </c>
      <c r="E254">
        <v>732.94756008740001</v>
      </c>
      <c r="F254">
        <v>152.64748725419</v>
      </c>
      <c r="G254">
        <v>123.69992716679</v>
      </c>
      <c r="I254" s="9">
        <f t="shared" si="26"/>
        <v>609.24763292061004</v>
      </c>
      <c r="J254" s="9">
        <f t="shared" si="27"/>
        <v>1817.18208302991</v>
      </c>
      <c r="K254" s="9">
        <f t="shared" si="24"/>
        <v>609.24763292061004</v>
      </c>
      <c r="L254" s="10">
        <f t="shared" si="21"/>
        <v>0.33527054807010337</v>
      </c>
      <c r="M254" s="10">
        <f t="shared" si="28"/>
        <v>0.41674358618684088</v>
      </c>
      <c r="P254" s="8">
        <f t="shared" si="29"/>
        <v>69.400478293629959</v>
      </c>
    </row>
    <row r="255" spans="1:16" x14ac:dyDescent="0.2">
      <c r="A255" s="8">
        <v>126.5</v>
      </c>
      <c r="B255" s="8">
        <v>253</v>
      </c>
      <c r="D255">
        <v>2002.1427530953999</v>
      </c>
      <c r="E255">
        <v>745.42971595047004</v>
      </c>
      <c r="F255">
        <v>152.73415877639999</v>
      </c>
      <c r="G255">
        <v>123.55935906774</v>
      </c>
      <c r="I255" s="9">
        <f t="shared" si="26"/>
        <v>621.87035688272999</v>
      </c>
      <c r="J255" s="9">
        <f t="shared" si="27"/>
        <v>1849.408594319</v>
      </c>
      <c r="K255" s="9">
        <f t="shared" si="24"/>
        <v>621.87035688272999</v>
      </c>
      <c r="L255" s="10">
        <f t="shared" si="21"/>
        <v>0.33625363199510744</v>
      </c>
      <c r="M255" s="10">
        <f t="shared" si="28"/>
        <v>0.41804997581865738</v>
      </c>
      <c r="P255" s="8">
        <f t="shared" si="29"/>
        <v>69.931507530318299</v>
      </c>
    </row>
    <row r="256" spans="1:16" x14ac:dyDescent="0.2">
      <c r="A256" s="8">
        <v>127</v>
      </c>
      <c r="B256" s="8">
        <v>254</v>
      </c>
      <c r="D256">
        <v>1961.6576839039001</v>
      </c>
      <c r="E256">
        <v>719.06045156590994</v>
      </c>
      <c r="F256">
        <v>151.64457392571001</v>
      </c>
      <c r="G256">
        <v>123.94246176256</v>
      </c>
      <c r="I256" s="9">
        <f t="shared" si="26"/>
        <v>595.11798980334993</v>
      </c>
      <c r="J256" s="9">
        <f t="shared" si="27"/>
        <v>1810.0131099781902</v>
      </c>
      <c r="K256" s="9">
        <f t="shared" si="24"/>
        <v>595.11798980334993</v>
      </c>
      <c r="L256" s="10">
        <f t="shared" si="21"/>
        <v>0.32879208803660037</v>
      </c>
      <c r="M256" s="10">
        <f t="shared" si="28"/>
        <v>0.41091173756696275</v>
      </c>
      <c r="P256" s="8">
        <f t="shared" si="29"/>
        <v>67.029912846941883</v>
      </c>
    </row>
    <row r="257" spans="1:16" x14ac:dyDescent="0.2">
      <c r="A257" s="8">
        <v>127.5</v>
      </c>
      <c r="B257" s="8">
        <v>255</v>
      </c>
      <c r="D257">
        <v>1896.2159999999999</v>
      </c>
      <c r="E257">
        <v>692.62981818182004</v>
      </c>
      <c r="F257">
        <v>153.14275309541</v>
      </c>
      <c r="G257">
        <v>123.64457392571001</v>
      </c>
      <c r="I257" s="9">
        <f t="shared" si="26"/>
        <v>568.98524425611004</v>
      </c>
      <c r="J257" s="9">
        <f t="shared" si="27"/>
        <v>1743.07324690459</v>
      </c>
      <c r="K257" s="9">
        <f t="shared" si="24"/>
        <v>568.98524425611004</v>
      </c>
      <c r="L257" s="10">
        <f t="shared" si="21"/>
        <v>0.32642646846111245</v>
      </c>
      <c r="M257" s="10">
        <f t="shared" si="28"/>
        <v>0.40886942369828727</v>
      </c>
      <c r="P257" s="8">
        <f t="shared" si="29"/>
        <v>66.199740631587787</v>
      </c>
    </row>
    <row r="258" spans="1:16" x14ac:dyDescent="0.2">
      <c r="A258" s="8">
        <v>128</v>
      </c>
      <c r="B258" s="8">
        <v>256</v>
      </c>
      <c r="D258">
        <v>1889.2378181818001</v>
      </c>
      <c r="E258">
        <v>698.84872727273</v>
      </c>
      <c r="F258">
        <v>152.70575382374</v>
      </c>
      <c r="G258">
        <v>123.52439912600001</v>
      </c>
      <c r="I258" s="9">
        <f t="shared" si="26"/>
        <v>575.32432814672995</v>
      </c>
      <c r="J258" s="9">
        <f t="shared" si="27"/>
        <v>1736.5320643580601</v>
      </c>
      <c r="K258" s="9">
        <f t="shared" si="24"/>
        <v>575.32432814672995</v>
      </c>
      <c r="L258" s="10">
        <f t="shared" ref="L258:L321" si="30">K258/J258</f>
        <v>0.33130648143799685</v>
      </c>
      <c r="M258" s="10">
        <f t="shared" si="28"/>
        <v>0.41407274238198416</v>
      </c>
      <c r="P258" s="8">
        <f t="shared" si="29"/>
        <v>68.314817390890937</v>
      </c>
    </row>
    <row r="259" spans="1:16" x14ac:dyDescent="0.2">
      <c r="A259" s="8">
        <v>128.5</v>
      </c>
      <c r="B259" s="8">
        <v>257</v>
      </c>
      <c r="D259">
        <v>1923.2058181817999</v>
      </c>
      <c r="E259">
        <v>696.00218181818002</v>
      </c>
      <c r="F259">
        <v>151.92425345958</v>
      </c>
      <c r="G259">
        <v>123.72978878369</v>
      </c>
      <c r="I259" s="9">
        <f t="shared" si="26"/>
        <v>572.27239303449005</v>
      </c>
      <c r="J259" s="9">
        <f t="shared" si="27"/>
        <v>1771.2815647222199</v>
      </c>
      <c r="K259" s="9">
        <f t="shared" ref="K259:K322" si="31">I259*1</f>
        <v>572.27239303449005</v>
      </c>
      <c r="L259" s="10">
        <f t="shared" si="30"/>
        <v>0.32308380803603987</v>
      </c>
      <c r="M259" s="10">
        <f t="shared" si="28"/>
        <v>0.40617337468683962</v>
      </c>
      <c r="P259" s="8">
        <f t="shared" si="29"/>
        <v>65.103834162525686</v>
      </c>
    </row>
    <row r="260" spans="1:16" x14ac:dyDescent="0.2">
      <c r="A260" s="8">
        <v>129</v>
      </c>
      <c r="B260" s="8">
        <v>258</v>
      </c>
      <c r="D260">
        <v>1926.048</v>
      </c>
      <c r="E260">
        <v>687.84945454546005</v>
      </c>
      <c r="F260">
        <v>152.53459577567</v>
      </c>
      <c r="G260">
        <v>123.36489439184</v>
      </c>
      <c r="I260" s="9">
        <f t="shared" si="26"/>
        <v>564.48456015362001</v>
      </c>
      <c r="J260" s="9">
        <f t="shared" si="27"/>
        <v>1773.5134042243301</v>
      </c>
      <c r="K260" s="9">
        <f t="shared" si="31"/>
        <v>564.48456015362001</v>
      </c>
      <c r="L260" s="10">
        <f t="shared" si="30"/>
        <v>0.31828604103531144</v>
      </c>
      <c r="M260" s="10">
        <f t="shared" si="28"/>
        <v>0.40169891339292363</v>
      </c>
      <c r="P260" s="8">
        <f t="shared" si="29"/>
        <v>63.285027806725225</v>
      </c>
    </row>
    <row r="261" spans="1:16" x14ac:dyDescent="0.2">
      <c r="A261" s="8">
        <v>129.5</v>
      </c>
      <c r="B261" s="8">
        <v>259</v>
      </c>
      <c r="D261">
        <v>1910.2428884026001</v>
      </c>
      <c r="E261">
        <v>683.85193289569997</v>
      </c>
      <c r="F261">
        <v>152.20903131828001</v>
      </c>
      <c r="G261">
        <v>123.67006554989</v>
      </c>
      <c r="I261" s="9">
        <f t="shared" si="26"/>
        <v>560.18186734581002</v>
      </c>
      <c r="J261" s="9">
        <f t="shared" si="27"/>
        <v>1758.0338570843201</v>
      </c>
      <c r="K261" s="9">
        <f t="shared" si="31"/>
        <v>560.18186734581002</v>
      </c>
      <c r="L261" s="10">
        <f t="shared" si="30"/>
        <v>0.31864111438380688</v>
      </c>
      <c r="M261" s="10">
        <f t="shared" si="28"/>
        <v>0.4023772924482315</v>
      </c>
      <c r="P261" s="8">
        <f t="shared" si="29"/>
        <v>63.560779468520479</v>
      </c>
    </row>
    <row r="262" spans="1:16" x14ac:dyDescent="0.2">
      <c r="A262" s="8">
        <v>130</v>
      </c>
      <c r="B262" s="8">
        <v>260</v>
      </c>
      <c r="D262">
        <v>1983.716374269</v>
      </c>
      <c r="E262">
        <v>708.43274853800995</v>
      </c>
      <c r="F262">
        <v>152.60014566641999</v>
      </c>
      <c r="G262">
        <v>123.38383102695001</v>
      </c>
      <c r="I262" s="9">
        <f t="shared" si="26"/>
        <v>585.04891751105993</v>
      </c>
      <c r="J262" s="9">
        <f t="shared" si="27"/>
        <v>1831.1162286025799</v>
      </c>
      <c r="K262" s="9">
        <f t="shared" si="31"/>
        <v>585.04891751105993</v>
      </c>
      <c r="L262" s="10">
        <f t="shared" si="30"/>
        <v>0.31950397706733297</v>
      </c>
      <c r="M262" s="10">
        <f t="shared" si="28"/>
        <v>0.40356346083857009</v>
      </c>
      <c r="P262" s="8">
        <f t="shared" si="29"/>
        <v>64.042940440687318</v>
      </c>
    </row>
    <row r="263" spans="1:16" x14ac:dyDescent="0.2">
      <c r="A263" s="8">
        <v>130.5</v>
      </c>
      <c r="B263" s="8">
        <v>261</v>
      </c>
      <c r="D263">
        <v>1892.9364035087999</v>
      </c>
      <c r="E263">
        <v>701.35964912280997</v>
      </c>
      <c r="F263">
        <v>152.62563729061</v>
      </c>
      <c r="G263">
        <v>123.34741442098</v>
      </c>
      <c r="I263" s="9">
        <f t="shared" si="26"/>
        <v>578.01223470182993</v>
      </c>
      <c r="J263" s="9">
        <f t="shared" si="27"/>
        <v>1740.3107662181899</v>
      </c>
      <c r="K263" s="9">
        <f t="shared" si="31"/>
        <v>578.01223470182993</v>
      </c>
      <c r="L263" s="10">
        <f t="shared" si="30"/>
        <v>0.33213162035300664</v>
      </c>
      <c r="M263" s="10">
        <f t="shared" si="28"/>
        <v>0.4165144098310562</v>
      </c>
      <c r="P263" s="8">
        <f t="shared" si="29"/>
        <v>69.307321288770595</v>
      </c>
    </row>
    <row r="264" spans="1:16" x14ac:dyDescent="0.2">
      <c r="A264" s="8">
        <v>131</v>
      </c>
      <c r="B264" s="8">
        <v>262</v>
      </c>
      <c r="D264">
        <v>1934.8742690059</v>
      </c>
      <c r="E264">
        <v>723.30994152047003</v>
      </c>
      <c r="F264">
        <v>152.42024763292</v>
      </c>
      <c r="G264">
        <v>123.8463219228</v>
      </c>
      <c r="I264" s="9">
        <f t="shared" si="26"/>
        <v>599.46361959767</v>
      </c>
      <c r="J264" s="9">
        <f t="shared" si="27"/>
        <v>1782.4540213729802</v>
      </c>
      <c r="K264" s="9">
        <f t="shared" si="31"/>
        <v>599.46361959767</v>
      </c>
      <c r="L264" s="10">
        <f t="shared" si="30"/>
        <v>0.33631365096077936</v>
      </c>
      <c r="M264" s="10">
        <f t="shared" si="28"/>
        <v>0.42101974614564136</v>
      </c>
      <c r="P264" s="8">
        <f t="shared" si="29"/>
        <v>71.138677911550658</v>
      </c>
    </row>
    <row r="265" spans="1:16" x14ac:dyDescent="0.2">
      <c r="A265" s="8">
        <v>131.5</v>
      </c>
      <c r="B265" s="8">
        <v>263</v>
      </c>
      <c r="D265">
        <v>1908.5489766082001</v>
      </c>
      <c r="E265">
        <v>704.82675438597005</v>
      </c>
      <c r="F265">
        <v>152.33940276766</v>
      </c>
      <c r="G265">
        <v>123.38747268755</v>
      </c>
      <c r="I265" s="9">
        <f t="shared" si="26"/>
        <v>581.43928169842002</v>
      </c>
      <c r="J265" s="9">
        <f t="shared" si="27"/>
        <v>1756.2095738405401</v>
      </c>
      <c r="K265" s="9">
        <f t="shared" si="31"/>
        <v>581.43928169842002</v>
      </c>
      <c r="L265" s="10">
        <f t="shared" si="30"/>
        <v>0.33107625101194976</v>
      </c>
      <c r="M265" s="10">
        <f t="shared" si="28"/>
        <v>0.4161056519036242</v>
      </c>
      <c r="P265" s="8">
        <f t="shared" si="29"/>
        <v>69.141166869822328</v>
      </c>
    </row>
    <row r="266" spans="1:16" x14ac:dyDescent="0.2">
      <c r="A266" s="8">
        <v>132</v>
      </c>
      <c r="B266" s="8">
        <v>264</v>
      </c>
      <c r="D266">
        <v>1936.7309941521</v>
      </c>
      <c r="E266">
        <v>709.19809941520998</v>
      </c>
      <c r="F266">
        <v>152.36999271668</v>
      </c>
      <c r="G266">
        <v>123.79388201019999</v>
      </c>
      <c r="I266" s="9">
        <f t="shared" si="26"/>
        <v>585.40421740500994</v>
      </c>
      <c r="J266" s="9">
        <f t="shared" si="27"/>
        <v>1784.3610014354201</v>
      </c>
      <c r="K266" s="9">
        <f t="shared" si="31"/>
        <v>585.40421740500994</v>
      </c>
      <c r="L266" s="10">
        <f t="shared" si="30"/>
        <v>0.32807498983338268</v>
      </c>
      <c r="M266" s="10">
        <f t="shared" si="28"/>
        <v>0.41342769643186961</v>
      </c>
      <c r="P266" s="8">
        <f t="shared" si="29"/>
        <v>68.052615173286114</v>
      </c>
    </row>
    <row r="267" spans="1:16" x14ac:dyDescent="0.2">
      <c r="A267" s="8">
        <v>132.5</v>
      </c>
      <c r="B267" s="8">
        <v>265</v>
      </c>
      <c r="D267">
        <v>1944.8428362573</v>
      </c>
      <c r="E267">
        <v>709.16228070174998</v>
      </c>
      <c r="F267">
        <v>152.43190094683001</v>
      </c>
      <c r="G267">
        <v>123.99126001457</v>
      </c>
      <c r="I267" s="9">
        <f t="shared" si="26"/>
        <v>585.17102068717998</v>
      </c>
      <c r="J267" s="9">
        <f t="shared" si="27"/>
        <v>1792.41093531047</v>
      </c>
      <c r="K267" s="9">
        <f t="shared" si="31"/>
        <v>585.17102068717998</v>
      </c>
      <c r="L267" s="10">
        <f t="shared" si="30"/>
        <v>0.32647146318922698</v>
      </c>
      <c r="M267" s="10">
        <f t="shared" si="28"/>
        <v>0.41214747549452635</v>
      </c>
      <c r="P267" s="8">
        <f t="shared" si="29"/>
        <v>67.532223147360043</v>
      </c>
    </row>
    <row r="268" spans="1:16" x14ac:dyDescent="0.2">
      <c r="A268" s="8">
        <v>133</v>
      </c>
      <c r="B268" s="8">
        <v>266</v>
      </c>
      <c r="D268">
        <v>1915.2799707602001</v>
      </c>
      <c r="E268">
        <v>686.26900584794998</v>
      </c>
      <c r="F268">
        <v>152.28332119447001</v>
      </c>
      <c r="G268">
        <v>123.4231609614</v>
      </c>
      <c r="I268" s="9">
        <f t="shared" si="26"/>
        <v>562.84584488655003</v>
      </c>
      <c r="J268" s="9">
        <f t="shared" si="27"/>
        <v>1762.99664956573</v>
      </c>
      <c r="K268" s="9">
        <f t="shared" si="31"/>
        <v>562.84584488655003</v>
      </c>
      <c r="L268" s="10">
        <f t="shared" si="30"/>
        <v>0.31925519825871079</v>
      </c>
      <c r="M268" s="10">
        <f t="shared" si="28"/>
        <v>0.4052545162708226</v>
      </c>
      <c r="P268" s="8">
        <f t="shared" si="29"/>
        <v>64.730330981393038</v>
      </c>
    </row>
    <row r="269" spans="1:16" x14ac:dyDescent="0.2">
      <c r="A269" s="8">
        <v>133.5</v>
      </c>
      <c r="B269" s="8">
        <v>267</v>
      </c>
      <c r="D269">
        <v>1934.2602339181001</v>
      </c>
      <c r="E269">
        <v>675.39985380117002</v>
      </c>
      <c r="F269">
        <v>152.32046613256</v>
      </c>
      <c r="G269">
        <v>123.63437727604</v>
      </c>
      <c r="I269" s="9">
        <f t="shared" si="26"/>
        <v>551.76547652513</v>
      </c>
      <c r="J269" s="9">
        <f t="shared" si="27"/>
        <v>1781.93976778554</v>
      </c>
      <c r="K269" s="9">
        <f t="shared" si="31"/>
        <v>551.76547652513</v>
      </c>
      <c r="L269" s="10">
        <f t="shared" si="30"/>
        <v>0.30964316892193411</v>
      </c>
      <c r="M269" s="10">
        <f t="shared" si="28"/>
        <v>0.39596579264085835</v>
      </c>
      <c r="P269" s="8">
        <f t="shared" si="29"/>
        <v>60.954593866754351</v>
      </c>
    </row>
    <row r="270" spans="1:16" x14ac:dyDescent="0.2">
      <c r="A270" s="8">
        <v>134</v>
      </c>
      <c r="B270" s="8">
        <v>268</v>
      </c>
      <c r="D270">
        <v>1991.4217836257001</v>
      </c>
      <c r="E270">
        <v>708.64108187135002</v>
      </c>
      <c r="F270">
        <v>152.31973780044001</v>
      </c>
      <c r="G270">
        <v>123.6030589949</v>
      </c>
      <c r="I270" s="9">
        <f t="shared" si="26"/>
        <v>585.03802287644999</v>
      </c>
      <c r="J270" s="9">
        <f t="shared" si="27"/>
        <v>1839.1020458252601</v>
      </c>
      <c r="K270" s="9">
        <f t="shared" si="31"/>
        <v>585.03802287644999</v>
      </c>
      <c r="L270" s="10">
        <f t="shared" si="30"/>
        <v>0.31811069114108126</v>
      </c>
      <c r="M270" s="10">
        <f t="shared" si="28"/>
        <v>0.40475662056681794</v>
      </c>
      <c r="P270" s="8">
        <f t="shared" si="29"/>
        <v>64.527943294589093</v>
      </c>
    </row>
    <row r="271" spans="1:16" x14ac:dyDescent="0.2">
      <c r="A271" s="8">
        <v>134.5</v>
      </c>
      <c r="B271" s="8">
        <v>269</v>
      </c>
      <c r="D271">
        <v>1996.4736842105001</v>
      </c>
      <c r="E271">
        <v>715.56359649122999</v>
      </c>
      <c r="F271">
        <v>152.61179898034001</v>
      </c>
      <c r="G271">
        <v>123.56737072105</v>
      </c>
      <c r="I271" s="9">
        <f t="shared" si="26"/>
        <v>591.99622577017999</v>
      </c>
      <c r="J271" s="9">
        <f t="shared" si="27"/>
        <v>1843.8618852301602</v>
      </c>
      <c r="K271" s="9">
        <f t="shared" si="31"/>
        <v>591.99622577017999</v>
      </c>
      <c r="L271" s="10">
        <f t="shared" si="30"/>
        <v>0.32106321547846522</v>
      </c>
      <c r="M271" s="10">
        <f t="shared" si="28"/>
        <v>0.4080324506110144</v>
      </c>
      <c r="P271" s="8">
        <f t="shared" si="29"/>
        <v>65.859522699021085</v>
      </c>
    </row>
    <row r="272" spans="1:16" x14ac:dyDescent="0.2">
      <c r="A272" s="8">
        <v>135</v>
      </c>
      <c r="B272" s="8">
        <v>270</v>
      </c>
      <c r="D272">
        <v>1993.6042274053</v>
      </c>
      <c r="E272">
        <v>720.43586005831003</v>
      </c>
      <c r="F272">
        <v>151.63292061179999</v>
      </c>
      <c r="G272">
        <v>123.48652585579001</v>
      </c>
      <c r="I272" s="9">
        <f t="shared" si="26"/>
        <v>596.94933420252005</v>
      </c>
      <c r="J272" s="9">
        <f t="shared" si="27"/>
        <v>1841.9713067934999</v>
      </c>
      <c r="K272" s="9">
        <f t="shared" si="31"/>
        <v>596.94933420252005</v>
      </c>
      <c r="L272" s="10">
        <f t="shared" si="30"/>
        <v>0.32408177695324053</v>
      </c>
      <c r="M272" s="10">
        <f t="shared" si="28"/>
        <v>0.41137431779260214</v>
      </c>
      <c r="P272" s="8">
        <f t="shared" si="29"/>
        <v>67.217945282400549</v>
      </c>
    </row>
    <row r="273" spans="1:16" x14ac:dyDescent="0.2">
      <c r="A273" s="8">
        <v>135.5</v>
      </c>
      <c r="B273" s="8">
        <v>271</v>
      </c>
      <c r="D273">
        <v>1987.7587463556999</v>
      </c>
      <c r="E273">
        <v>710.99854227405001</v>
      </c>
      <c r="F273">
        <v>152.12891478514001</v>
      </c>
      <c r="G273">
        <v>123.26074289876</v>
      </c>
      <c r="I273" s="9">
        <f t="shared" si="26"/>
        <v>587.73779937529002</v>
      </c>
      <c r="J273" s="9">
        <f t="shared" si="27"/>
        <v>1835.6298315705599</v>
      </c>
      <c r="K273" s="9">
        <f t="shared" si="31"/>
        <v>587.73779937529002</v>
      </c>
      <c r="L273" s="10">
        <f t="shared" si="30"/>
        <v>0.32018318141649682</v>
      </c>
      <c r="M273" s="10">
        <f t="shared" si="28"/>
        <v>0.40779902796267087</v>
      </c>
      <c r="P273" s="8">
        <f t="shared" si="29"/>
        <v>65.764639635226956</v>
      </c>
    </row>
    <row r="274" spans="1:16" x14ac:dyDescent="0.2">
      <c r="A274" s="8">
        <v>136</v>
      </c>
      <c r="B274" s="8">
        <v>272</v>
      </c>
      <c r="D274">
        <v>1913.0938864628999</v>
      </c>
      <c r="E274">
        <v>678.13027656477004</v>
      </c>
      <c r="F274">
        <v>152.29715950472999</v>
      </c>
      <c r="G274">
        <v>123.40786598689</v>
      </c>
      <c r="I274" s="9">
        <f t="shared" si="26"/>
        <v>554.72241057788005</v>
      </c>
      <c r="J274" s="9">
        <f t="shared" si="27"/>
        <v>1760.79672695817</v>
      </c>
      <c r="K274" s="9">
        <f t="shared" si="31"/>
        <v>554.72241057788005</v>
      </c>
      <c r="L274" s="10">
        <f t="shared" si="30"/>
        <v>0.31504057344323894</v>
      </c>
      <c r="M274" s="10">
        <f t="shared" si="28"/>
        <v>0.40297972569622542</v>
      </c>
      <c r="P274" s="8">
        <f t="shared" si="29"/>
        <v>63.805660214698058</v>
      </c>
    </row>
    <row r="275" spans="1:16" x14ac:dyDescent="0.2">
      <c r="A275" s="8">
        <v>136.5</v>
      </c>
      <c r="B275" s="8">
        <v>273</v>
      </c>
      <c r="D275">
        <v>1910.6637554585</v>
      </c>
      <c r="E275">
        <v>667.75327510916998</v>
      </c>
      <c r="F275">
        <v>152.31245447923999</v>
      </c>
      <c r="G275">
        <v>123.25491624180999</v>
      </c>
      <c r="I275" s="9">
        <f>E275-G275</f>
        <v>544.49835886736003</v>
      </c>
      <c r="J275" s="9">
        <f>D275-F275</f>
        <v>1758.35130097926</v>
      </c>
      <c r="K275" s="9">
        <f t="shared" si="31"/>
        <v>544.49835886736003</v>
      </c>
      <c r="L275" s="10">
        <f t="shared" si="30"/>
        <v>0.30966414877625326</v>
      </c>
      <c r="M275" s="10">
        <f>L275+ABS($N$2)*A275</f>
        <v>0.39792660673605218</v>
      </c>
      <c r="O275" s="11"/>
      <c r="P275" s="8">
        <f>(M275-$O$2)/$O$2*100</f>
        <v>61.751637556400482</v>
      </c>
    </row>
    <row r="276" spans="1:16" x14ac:dyDescent="0.2">
      <c r="A276" s="8">
        <v>137</v>
      </c>
      <c r="B276" s="8">
        <v>274</v>
      </c>
      <c r="D276">
        <v>1930.1208151383</v>
      </c>
      <c r="E276">
        <v>674.94395924309003</v>
      </c>
      <c r="F276">
        <v>152.17407137654999</v>
      </c>
      <c r="G276">
        <v>123.70502549162001</v>
      </c>
      <c r="I276" s="9">
        <f t="shared" ref="I276:I291" si="32">E276-G276</f>
        <v>551.23893375147009</v>
      </c>
      <c r="J276" s="9">
        <f t="shared" ref="J276:J291" si="33">D276-F276</f>
        <v>1777.94674376175</v>
      </c>
      <c r="K276" s="9">
        <f t="shared" si="31"/>
        <v>551.23893375147009</v>
      </c>
      <c r="L276" s="10">
        <f t="shared" si="30"/>
        <v>0.31004243275879456</v>
      </c>
      <c r="M276" s="10">
        <f t="shared" ref="M276:M291" si="34">L276+ABS($N$2)*A276</f>
        <v>0.39862819642540598</v>
      </c>
      <c r="P276" s="8">
        <f t="shared" ref="P276:P291" si="35">(M276-$O$2)/$O$2*100</f>
        <v>62.036824018488304</v>
      </c>
    </row>
    <row r="277" spans="1:16" x14ac:dyDescent="0.2">
      <c r="A277" s="8">
        <v>137.5</v>
      </c>
      <c r="B277" s="8">
        <v>275</v>
      </c>
      <c r="D277">
        <v>1916.0545851528</v>
      </c>
      <c r="E277">
        <v>666.81732168849999</v>
      </c>
      <c r="F277">
        <v>151.75819373633999</v>
      </c>
      <c r="G277">
        <v>123.68244719592001</v>
      </c>
      <c r="I277" s="9">
        <f t="shared" si="32"/>
        <v>543.13487449258002</v>
      </c>
      <c r="J277" s="9">
        <f t="shared" si="33"/>
        <v>1764.29639141646</v>
      </c>
      <c r="K277" s="9">
        <f t="shared" si="31"/>
        <v>543.13487449258002</v>
      </c>
      <c r="L277" s="10">
        <f t="shared" si="30"/>
        <v>0.30784786339472464</v>
      </c>
      <c r="M277" s="10">
        <f t="shared" si="34"/>
        <v>0.3967569327681485</v>
      </c>
      <c r="N277" s="1"/>
      <c r="P277" s="8">
        <f t="shared" si="35"/>
        <v>61.276181337809376</v>
      </c>
    </row>
    <row r="278" spans="1:16" x14ac:dyDescent="0.2">
      <c r="A278" s="8">
        <v>138</v>
      </c>
      <c r="B278" s="8">
        <v>276</v>
      </c>
      <c r="D278">
        <v>1903.0792151163</v>
      </c>
      <c r="E278">
        <v>671.62136627907</v>
      </c>
      <c r="F278">
        <v>152.05972323380001</v>
      </c>
      <c r="G278">
        <v>123.37727603787</v>
      </c>
      <c r="I278" s="9">
        <f t="shared" si="32"/>
        <v>548.24409024119996</v>
      </c>
      <c r="J278" s="9">
        <f t="shared" si="33"/>
        <v>1751.0194918825</v>
      </c>
      <c r="K278" s="9">
        <f t="shared" si="31"/>
        <v>548.24409024119996</v>
      </c>
      <c r="L278" s="10">
        <f t="shared" si="30"/>
        <v>0.31309993565622124</v>
      </c>
      <c r="M278" s="10">
        <f t="shared" si="34"/>
        <v>0.40233231073645753</v>
      </c>
      <c r="P278" s="8">
        <f t="shared" si="35"/>
        <v>63.542495027579946</v>
      </c>
    </row>
    <row r="279" spans="1:16" x14ac:dyDescent="0.2">
      <c r="A279" s="8">
        <v>138.5</v>
      </c>
      <c r="B279" s="8">
        <v>277</v>
      </c>
      <c r="D279">
        <v>1929.6242732558001</v>
      </c>
      <c r="E279">
        <v>702.14389534884003</v>
      </c>
      <c r="F279">
        <v>151.12308812819001</v>
      </c>
      <c r="G279">
        <v>123.1908230153</v>
      </c>
      <c r="I279" s="9">
        <f t="shared" si="32"/>
        <v>578.95307233354004</v>
      </c>
      <c r="J279" s="9">
        <f t="shared" si="33"/>
        <v>1778.5011851276101</v>
      </c>
      <c r="K279" s="9">
        <f t="shared" si="31"/>
        <v>578.95307233354004</v>
      </c>
      <c r="L279" s="10">
        <f t="shared" si="30"/>
        <v>0.32552864016899674</v>
      </c>
      <c r="M279" s="10">
        <f t="shared" si="34"/>
        <v>0.41508432095604553</v>
      </c>
      <c r="P279" s="8">
        <f t="shared" si="35"/>
        <v>68.726010028180269</v>
      </c>
    </row>
    <row r="280" spans="1:16" x14ac:dyDescent="0.2">
      <c r="A280" s="8">
        <v>139</v>
      </c>
      <c r="B280" s="8">
        <v>278</v>
      </c>
      <c r="D280">
        <v>1915.7449127907</v>
      </c>
      <c r="E280">
        <v>686.09156976743998</v>
      </c>
      <c r="F280">
        <v>151.66205389658001</v>
      </c>
      <c r="G280">
        <v>123.26802621996001</v>
      </c>
      <c r="I280" s="9">
        <f t="shared" si="32"/>
        <v>562.82354354747997</v>
      </c>
      <c r="J280" s="9">
        <f t="shared" si="33"/>
        <v>1764.0828588941199</v>
      </c>
      <c r="K280" s="9">
        <f t="shared" si="31"/>
        <v>562.82354354747997</v>
      </c>
      <c r="L280" s="10">
        <f t="shared" si="30"/>
        <v>0.31904597945036811</v>
      </c>
      <c r="M280" s="10">
        <f t="shared" si="34"/>
        <v>0.40892496594422933</v>
      </c>
      <c r="P280" s="8">
        <f t="shared" si="35"/>
        <v>66.222317782958442</v>
      </c>
    </row>
    <row r="281" spans="1:16" x14ac:dyDescent="0.2">
      <c r="A281" s="8">
        <v>139.5</v>
      </c>
      <c r="B281" s="8">
        <v>279</v>
      </c>
      <c r="D281">
        <v>1899.0043604651</v>
      </c>
      <c r="E281">
        <v>676.54869186046994</v>
      </c>
      <c r="F281">
        <v>152.23525127458001</v>
      </c>
      <c r="G281">
        <v>123.19592134013</v>
      </c>
      <c r="I281" s="9">
        <f t="shared" si="32"/>
        <v>553.35277052033996</v>
      </c>
      <c r="J281" s="9">
        <f t="shared" si="33"/>
        <v>1746.7691091905201</v>
      </c>
      <c r="K281" s="9">
        <f t="shared" si="31"/>
        <v>553.35277052033996</v>
      </c>
      <c r="L281" s="10">
        <f t="shared" si="30"/>
        <v>0.31678644167045766</v>
      </c>
      <c r="M281" s="10">
        <f t="shared" si="34"/>
        <v>0.40698873387113133</v>
      </c>
      <c r="P281" s="8">
        <f t="shared" si="35"/>
        <v>65.435266343795519</v>
      </c>
    </row>
    <row r="282" spans="1:16" x14ac:dyDescent="0.2">
      <c r="A282" s="8">
        <v>140</v>
      </c>
      <c r="B282" s="8">
        <v>280</v>
      </c>
      <c r="D282">
        <v>1907.9331395349</v>
      </c>
      <c r="E282">
        <v>675.18386627907</v>
      </c>
      <c r="F282">
        <v>152.23088128187001</v>
      </c>
      <c r="G282">
        <v>123.00509832484001</v>
      </c>
      <c r="I282" s="9">
        <f t="shared" si="32"/>
        <v>552.17876795423001</v>
      </c>
      <c r="J282" s="9">
        <f t="shared" si="33"/>
        <v>1755.7022582530299</v>
      </c>
      <c r="K282" s="9">
        <f t="shared" si="31"/>
        <v>552.17876795423001</v>
      </c>
      <c r="L282" s="10">
        <f t="shared" si="30"/>
        <v>0.3145059279605088</v>
      </c>
      <c r="M282" s="10">
        <f t="shared" si="34"/>
        <v>0.4050315258679949</v>
      </c>
      <c r="P282" s="8">
        <f t="shared" si="35"/>
        <v>64.639688480474106</v>
      </c>
    </row>
    <row r="283" spans="1:16" x14ac:dyDescent="0.2">
      <c r="A283" s="8">
        <v>140.5</v>
      </c>
      <c r="B283" s="8">
        <v>281</v>
      </c>
      <c r="D283">
        <v>1916.8873546512</v>
      </c>
      <c r="E283">
        <v>667.93531976743998</v>
      </c>
      <c r="F283">
        <v>152.23160961398</v>
      </c>
      <c r="G283">
        <v>123.14785142025001</v>
      </c>
      <c r="I283" s="9">
        <f t="shared" si="32"/>
        <v>544.78746834718993</v>
      </c>
      <c r="J283" s="9">
        <f t="shared" si="33"/>
        <v>1764.65574503722</v>
      </c>
      <c r="K283" s="9">
        <f t="shared" si="31"/>
        <v>544.78746834718993</v>
      </c>
      <c r="L283" s="10">
        <f t="shared" si="30"/>
        <v>0.30872166986637911</v>
      </c>
      <c r="M283" s="10">
        <f t="shared" si="34"/>
        <v>0.3995705734806777</v>
      </c>
      <c r="P283" s="8">
        <f t="shared" si="35"/>
        <v>62.419887199751997</v>
      </c>
    </row>
    <row r="284" spans="1:16" x14ac:dyDescent="0.2">
      <c r="A284" s="8">
        <v>141</v>
      </c>
      <c r="B284" s="8">
        <v>282</v>
      </c>
      <c r="D284">
        <v>1912.2710755814001</v>
      </c>
      <c r="E284">
        <v>671.04796511628001</v>
      </c>
      <c r="F284">
        <v>151.65258557902001</v>
      </c>
      <c r="G284">
        <v>123.20611798980001</v>
      </c>
      <c r="I284" s="9">
        <f t="shared" si="32"/>
        <v>547.84184712648005</v>
      </c>
      <c r="J284" s="9">
        <f t="shared" si="33"/>
        <v>1760.61849000238</v>
      </c>
      <c r="K284" s="9">
        <f t="shared" si="31"/>
        <v>547.84184712648005</v>
      </c>
      <c r="L284" s="10">
        <f t="shared" si="30"/>
        <v>0.31116442899889091</v>
      </c>
      <c r="M284" s="10">
        <f t="shared" si="34"/>
        <v>0.40233663832000188</v>
      </c>
      <c r="P284" s="8">
        <f t="shared" si="35"/>
        <v>63.544254130171005</v>
      </c>
    </row>
    <row r="285" spans="1:16" x14ac:dyDescent="0.2">
      <c r="A285" s="8">
        <v>141.5</v>
      </c>
      <c r="B285" s="8">
        <v>283</v>
      </c>
      <c r="D285">
        <v>1940.2550872093</v>
      </c>
      <c r="E285">
        <v>689.20857558140005</v>
      </c>
      <c r="F285">
        <v>151.69410050983001</v>
      </c>
      <c r="G285">
        <v>123.15513474143999</v>
      </c>
      <c r="I285" s="9">
        <f t="shared" si="32"/>
        <v>566.0534408399601</v>
      </c>
      <c r="J285" s="9">
        <f t="shared" si="33"/>
        <v>1788.56098669947</v>
      </c>
      <c r="K285" s="9">
        <f t="shared" si="31"/>
        <v>566.0534408399601</v>
      </c>
      <c r="L285" s="10">
        <f t="shared" si="30"/>
        <v>0.31648540086101823</v>
      </c>
      <c r="M285" s="10">
        <f t="shared" si="34"/>
        <v>0.4079809158889417</v>
      </c>
      <c r="P285" s="8">
        <f t="shared" si="35"/>
        <v>65.838574550429954</v>
      </c>
    </row>
    <row r="286" spans="1:16" x14ac:dyDescent="0.2">
      <c r="A286" s="8">
        <v>142</v>
      </c>
      <c r="B286" s="8">
        <v>284</v>
      </c>
      <c r="D286">
        <v>1852.6686046512</v>
      </c>
      <c r="E286">
        <v>662.53706395349002</v>
      </c>
      <c r="F286">
        <v>151.43190094683001</v>
      </c>
      <c r="G286">
        <v>122.84777858704</v>
      </c>
      <c r="I286" s="9">
        <f t="shared" si="32"/>
        <v>539.68928536645001</v>
      </c>
      <c r="J286" s="9">
        <f t="shared" si="33"/>
        <v>1701.23670370437</v>
      </c>
      <c r="K286" s="9">
        <f t="shared" si="31"/>
        <v>539.68928536645001</v>
      </c>
      <c r="L286" s="10">
        <f t="shared" si="30"/>
        <v>0.31723350677263179</v>
      </c>
      <c r="M286" s="10">
        <f t="shared" si="34"/>
        <v>0.4090523275073677</v>
      </c>
      <c r="P286" s="8">
        <f t="shared" si="35"/>
        <v>66.274088489040011</v>
      </c>
    </row>
    <row r="287" spans="1:16" x14ac:dyDescent="0.2">
      <c r="A287" s="8">
        <v>142.5</v>
      </c>
      <c r="B287" s="8">
        <v>285</v>
      </c>
      <c r="D287">
        <v>1850.6896802326</v>
      </c>
      <c r="E287">
        <v>652.48909883721001</v>
      </c>
      <c r="F287">
        <v>151.77494537509</v>
      </c>
      <c r="G287">
        <v>122.97669337217999</v>
      </c>
      <c r="I287" s="9">
        <f t="shared" si="32"/>
        <v>529.51240546503004</v>
      </c>
      <c r="J287" s="9">
        <f t="shared" si="33"/>
        <v>1698.91473485751</v>
      </c>
      <c r="K287" s="9">
        <f t="shared" si="31"/>
        <v>529.51240546503004</v>
      </c>
      <c r="L287" s="10">
        <f t="shared" si="30"/>
        <v>0.31167685734943074</v>
      </c>
      <c r="M287" s="10">
        <f t="shared" si="34"/>
        <v>0.40381898379097908</v>
      </c>
      <c r="P287" s="8">
        <f t="shared" si="35"/>
        <v>64.146806971061892</v>
      </c>
    </row>
    <row r="288" spans="1:16" x14ac:dyDescent="0.2">
      <c r="A288" s="8">
        <v>143</v>
      </c>
      <c r="B288" s="8">
        <v>286</v>
      </c>
      <c r="D288">
        <v>1854.4120639534999</v>
      </c>
      <c r="E288">
        <v>656.74709302326005</v>
      </c>
      <c r="F288">
        <v>151.54989075018</v>
      </c>
      <c r="G288">
        <v>123.5054624909</v>
      </c>
      <c r="I288" s="9">
        <f t="shared" si="32"/>
        <v>533.24163053236009</v>
      </c>
      <c r="J288" s="9">
        <f t="shared" si="33"/>
        <v>1702.8621732033198</v>
      </c>
      <c r="K288" s="9">
        <f t="shared" si="31"/>
        <v>533.24163053236009</v>
      </c>
      <c r="L288" s="10">
        <f t="shared" si="30"/>
        <v>0.31314432778153656</v>
      </c>
      <c r="M288" s="10">
        <f t="shared" si="34"/>
        <v>0.40560975992989734</v>
      </c>
      <c r="P288" s="8">
        <f t="shared" si="35"/>
        <v>64.874732593685792</v>
      </c>
    </row>
    <row r="289" spans="1:16" x14ac:dyDescent="0.2">
      <c r="A289" s="8">
        <v>143.5</v>
      </c>
      <c r="B289" s="8">
        <v>287</v>
      </c>
      <c r="D289">
        <v>1907.3066860465001</v>
      </c>
      <c r="E289">
        <v>677.94331395349002</v>
      </c>
      <c r="F289">
        <v>151.60305899490001</v>
      </c>
      <c r="G289">
        <v>123.21704297159999</v>
      </c>
      <c r="I289" s="9">
        <f t="shared" si="32"/>
        <v>554.72627098189002</v>
      </c>
      <c r="J289" s="9">
        <f t="shared" si="33"/>
        <v>1755.7036270516001</v>
      </c>
      <c r="K289" s="9">
        <f t="shared" si="31"/>
        <v>554.72627098189002</v>
      </c>
      <c r="L289" s="10">
        <f t="shared" si="30"/>
        <v>0.3159566696991204</v>
      </c>
      <c r="M289" s="10">
        <f t="shared" si="34"/>
        <v>0.40874540755429367</v>
      </c>
      <c r="P289" s="8">
        <f t="shared" si="35"/>
        <v>66.149329791913274</v>
      </c>
    </row>
    <row r="290" spans="1:16" x14ac:dyDescent="0.2">
      <c r="A290" s="8">
        <v>144</v>
      </c>
      <c r="B290" s="8">
        <v>288</v>
      </c>
      <c r="D290">
        <v>1917.8212209302001</v>
      </c>
      <c r="E290">
        <v>689.02252906977003</v>
      </c>
      <c r="F290">
        <v>151.42388929352001</v>
      </c>
      <c r="G290">
        <v>123.4945375091</v>
      </c>
      <c r="I290" s="9">
        <f t="shared" si="32"/>
        <v>565.52799156066999</v>
      </c>
      <c r="J290" s="9">
        <f t="shared" si="33"/>
        <v>1766.3973316366801</v>
      </c>
      <c r="K290" s="9">
        <f t="shared" si="31"/>
        <v>565.52799156066999</v>
      </c>
      <c r="L290" s="10">
        <f t="shared" si="30"/>
        <v>0.3201589933543843</v>
      </c>
      <c r="M290" s="10">
        <f t="shared" si="34"/>
        <v>0.41327103691637002</v>
      </c>
      <c r="P290" s="8">
        <f t="shared" si="35"/>
        <v>67.988935256583133</v>
      </c>
    </row>
    <row r="291" spans="1:16" x14ac:dyDescent="0.2">
      <c r="A291" s="8">
        <v>144.5</v>
      </c>
      <c r="B291" s="8">
        <v>289</v>
      </c>
      <c r="D291">
        <v>1859.2870639534999</v>
      </c>
      <c r="E291">
        <v>645.97093023256002</v>
      </c>
      <c r="F291">
        <v>151.53678077203</v>
      </c>
      <c r="G291">
        <v>123.38383102695001</v>
      </c>
      <c r="I291" s="9">
        <f t="shared" si="32"/>
        <v>522.58709920561</v>
      </c>
      <c r="J291" s="9">
        <f t="shared" si="33"/>
        <v>1707.75028318147</v>
      </c>
      <c r="K291" s="9">
        <f t="shared" si="31"/>
        <v>522.58709920561</v>
      </c>
      <c r="L291" s="10">
        <f t="shared" si="30"/>
        <v>0.30600908361850848</v>
      </c>
      <c r="M291" s="10">
        <f t="shared" si="34"/>
        <v>0.39944443288730663</v>
      </c>
      <c r="P291" s="8">
        <f t="shared" si="35"/>
        <v>62.368612800918847</v>
      </c>
    </row>
    <row r="292" spans="1:16" x14ac:dyDescent="0.2">
      <c r="A292" s="8">
        <v>145</v>
      </c>
      <c r="B292" s="8">
        <v>290</v>
      </c>
      <c r="D292">
        <v>1787.9302325581</v>
      </c>
      <c r="E292">
        <v>631.17732558140005</v>
      </c>
      <c r="F292">
        <v>151.74362709395999</v>
      </c>
      <c r="G292">
        <v>123.42388929352001</v>
      </c>
      <c r="I292" s="9">
        <f>E292-G292</f>
        <v>507.75343628788005</v>
      </c>
      <c r="J292" s="9">
        <f>D292-F292</f>
        <v>1636.18660546414</v>
      </c>
      <c r="K292" s="9">
        <f t="shared" si="31"/>
        <v>507.75343628788005</v>
      </c>
      <c r="L292" s="10">
        <f t="shared" si="30"/>
        <v>0.31032733955418534</v>
      </c>
      <c r="M292" s="10">
        <f>L292+ABS($N$2)*A292</f>
        <v>0.40408599452979599</v>
      </c>
      <c r="O292" s="11"/>
      <c r="P292" s="8">
        <f>(M292-$O$2)/$O$2*100</f>
        <v>64.255343127020481</v>
      </c>
    </row>
    <row r="293" spans="1:16" x14ac:dyDescent="0.2">
      <c r="A293" s="8">
        <v>145.5</v>
      </c>
      <c r="B293" s="8">
        <v>291</v>
      </c>
      <c r="D293">
        <v>1919.9548104956</v>
      </c>
      <c r="E293">
        <v>681.43513119533998</v>
      </c>
      <c r="F293">
        <v>152.01019664967001</v>
      </c>
      <c r="G293">
        <v>122.74654042243</v>
      </c>
      <c r="I293" s="9">
        <f t="shared" ref="I293:I301" si="36">E293-G293</f>
        <v>558.68859077290995</v>
      </c>
      <c r="J293" s="9">
        <f t="shared" ref="J293:J301" si="37">D293-F293</f>
        <v>1767.94461384593</v>
      </c>
      <c r="K293" s="9">
        <f t="shared" si="31"/>
        <v>558.68859077290995</v>
      </c>
      <c r="L293" s="10">
        <f t="shared" si="30"/>
        <v>0.31601023380339766</v>
      </c>
      <c r="M293" s="10">
        <f t="shared" ref="M293:M301" si="38">L293+ABS($N$2)*A293</f>
        <v>0.41009219448582074</v>
      </c>
      <c r="P293" s="8">
        <f t="shared" ref="P293:P301" si="39">(M293-$O$2)/$O$2*100</f>
        <v>66.696779969725995</v>
      </c>
    </row>
    <row r="294" spans="1:16" x14ac:dyDescent="0.2">
      <c r="A294" s="8">
        <v>146</v>
      </c>
      <c r="B294" s="8">
        <v>292</v>
      </c>
      <c r="D294">
        <v>1856.6166180758</v>
      </c>
      <c r="E294">
        <v>657.03134110787005</v>
      </c>
      <c r="F294">
        <v>151.86234522942999</v>
      </c>
      <c r="G294">
        <v>122.93153678077</v>
      </c>
      <c r="I294" s="9">
        <f t="shared" si="36"/>
        <v>534.09980432710006</v>
      </c>
      <c r="J294" s="9">
        <f t="shared" si="37"/>
        <v>1704.75427284637</v>
      </c>
      <c r="K294" s="9">
        <f t="shared" si="31"/>
        <v>534.09980432710006</v>
      </c>
      <c r="L294" s="10">
        <f t="shared" si="30"/>
        <v>0.31330017049045539</v>
      </c>
      <c r="M294" s="10">
        <f t="shared" si="38"/>
        <v>0.40770543687969091</v>
      </c>
      <c r="N294" s="1"/>
      <c r="P294" s="8">
        <f t="shared" si="39"/>
        <v>65.726596160183021</v>
      </c>
    </row>
    <row r="295" spans="1:16" x14ac:dyDescent="0.2">
      <c r="A295" s="8">
        <v>146.5</v>
      </c>
      <c r="B295" s="8">
        <v>293</v>
      </c>
      <c r="D295">
        <v>1864.6887755102</v>
      </c>
      <c r="E295">
        <v>653.25145772594999</v>
      </c>
      <c r="F295">
        <v>151.99126001457</v>
      </c>
      <c r="G295">
        <v>123.45666423889</v>
      </c>
      <c r="I295" s="9">
        <f t="shared" si="36"/>
        <v>529.79479348706002</v>
      </c>
      <c r="J295" s="9">
        <f t="shared" si="37"/>
        <v>1712.6975154956299</v>
      </c>
      <c r="K295" s="9">
        <f t="shared" si="31"/>
        <v>529.79479348706002</v>
      </c>
      <c r="L295" s="10">
        <f t="shared" si="30"/>
        <v>0.30933354471162705</v>
      </c>
      <c r="M295" s="10">
        <f t="shared" si="38"/>
        <v>0.40406211680767501</v>
      </c>
      <c r="P295" s="8">
        <f t="shared" si="39"/>
        <v>64.245637164692752</v>
      </c>
    </row>
    <row r="296" spans="1:16" x14ac:dyDescent="0.2">
      <c r="A296" s="8">
        <v>147</v>
      </c>
      <c r="B296" s="8">
        <v>294</v>
      </c>
      <c r="D296">
        <v>1844.5524781341001</v>
      </c>
      <c r="E296">
        <v>647.87026239066995</v>
      </c>
      <c r="F296">
        <v>151.2097596504</v>
      </c>
      <c r="G296">
        <v>123.36270939548</v>
      </c>
      <c r="I296" s="9">
        <f t="shared" si="36"/>
        <v>524.50755299518994</v>
      </c>
      <c r="J296" s="9">
        <f t="shared" si="37"/>
        <v>1693.3427184837001</v>
      </c>
      <c r="K296" s="9">
        <f t="shared" si="31"/>
        <v>524.50755299518994</v>
      </c>
      <c r="L296" s="10">
        <f t="shared" si="30"/>
        <v>0.30974683817393978</v>
      </c>
      <c r="M296" s="10">
        <f t="shared" si="38"/>
        <v>0.40479871597680017</v>
      </c>
      <c r="P296" s="8">
        <f t="shared" si="39"/>
        <v>64.545054493948413</v>
      </c>
    </row>
    <row r="297" spans="1:16" x14ac:dyDescent="0.2">
      <c r="A297" s="8">
        <v>147.5</v>
      </c>
      <c r="B297" s="8">
        <v>295</v>
      </c>
      <c r="D297">
        <v>1801.8330903789999</v>
      </c>
      <c r="E297">
        <v>639.23906705539002</v>
      </c>
      <c r="F297">
        <v>151.70502549162001</v>
      </c>
      <c r="G297">
        <v>123.14420975965</v>
      </c>
      <c r="I297" s="9">
        <f t="shared" si="36"/>
        <v>516.09485729573998</v>
      </c>
      <c r="J297" s="9">
        <f t="shared" si="37"/>
        <v>1650.1280648873799</v>
      </c>
      <c r="K297" s="9">
        <f t="shared" si="31"/>
        <v>516.09485729573998</v>
      </c>
      <c r="L297" s="10">
        <f t="shared" si="30"/>
        <v>0.31276048706617393</v>
      </c>
      <c r="M297" s="10">
        <f t="shared" si="38"/>
        <v>0.40813567057584677</v>
      </c>
      <c r="P297" s="8">
        <f t="shared" si="39"/>
        <v>65.901480180771543</v>
      </c>
    </row>
    <row r="298" spans="1:16" x14ac:dyDescent="0.2">
      <c r="A298" s="8">
        <v>148</v>
      </c>
      <c r="B298" s="8">
        <v>296</v>
      </c>
      <c r="D298">
        <v>1809.9059766764001</v>
      </c>
      <c r="E298">
        <v>640.58527696792999</v>
      </c>
      <c r="F298">
        <v>151.5804806992</v>
      </c>
      <c r="G298">
        <v>122.95338674436</v>
      </c>
      <c r="I298" s="9">
        <f t="shared" si="36"/>
        <v>517.63189022356994</v>
      </c>
      <c r="J298" s="9">
        <f t="shared" si="37"/>
        <v>1658.3254959772</v>
      </c>
      <c r="K298" s="9">
        <f t="shared" si="31"/>
        <v>517.63189022356994</v>
      </c>
      <c r="L298" s="10">
        <f t="shared" si="30"/>
        <v>0.31214130849417199</v>
      </c>
      <c r="M298" s="10">
        <f t="shared" si="38"/>
        <v>0.40783979771065731</v>
      </c>
      <c r="P298" s="8">
        <f t="shared" si="39"/>
        <v>65.781211971401362</v>
      </c>
    </row>
    <row r="299" spans="1:16" x14ac:dyDescent="0.2">
      <c r="A299" s="8">
        <v>148.5</v>
      </c>
      <c r="B299" s="8">
        <v>297</v>
      </c>
      <c r="D299">
        <v>1773.8330903789999</v>
      </c>
      <c r="E299">
        <v>627.08527696792999</v>
      </c>
      <c r="F299">
        <v>151.57392571011999</v>
      </c>
      <c r="G299">
        <v>123.08667152221</v>
      </c>
      <c r="I299" s="9">
        <f t="shared" si="36"/>
        <v>503.99860544571999</v>
      </c>
      <c r="J299" s="9">
        <f t="shared" si="37"/>
        <v>1622.25916466888</v>
      </c>
      <c r="K299" s="9">
        <f t="shared" si="31"/>
        <v>503.99860544571999</v>
      </c>
      <c r="L299" s="10">
        <f t="shared" si="30"/>
        <v>0.31067699688328859</v>
      </c>
      <c r="M299" s="10">
        <f t="shared" si="38"/>
        <v>0.40669879180658636</v>
      </c>
      <c r="P299" s="8">
        <f t="shared" si="39"/>
        <v>65.317408922495375</v>
      </c>
    </row>
    <row r="300" spans="1:16" x14ac:dyDescent="0.2">
      <c r="A300" s="8">
        <v>149</v>
      </c>
      <c r="B300" s="8">
        <v>298</v>
      </c>
      <c r="D300">
        <v>1837.5386297376001</v>
      </c>
      <c r="E300">
        <v>644.37900874636</v>
      </c>
      <c r="F300">
        <v>151.92571012382001</v>
      </c>
      <c r="G300">
        <v>122.75965040058</v>
      </c>
      <c r="I300" s="9">
        <f t="shared" si="36"/>
        <v>521.61935834578003</v>
      </c>
      <c r="J300" s="9">
        <f t="shared" si="37"/>
        <v>1685.6129196137802</v>
      </c>
      <c r="K300" s="9">
        <f t="shared" si="31"/>
        <v>521.61935834578003</v>
      </c>
      <c r="L300" s="10">
        <f t="shared" si="30"/>
        <v>0.30945382078899658</v>
      </c>
      <c r="M300" s="10">
        <f t="shared" si="38"/>
        <v>0.40579892141910678</v>
      </c>
      <c r="P300" s="8">
        <f t="shared" si="39"/>
        <v>64.951624111177438</v>
      </c>
    </row>
    <row r="301" spans="1:16" x14ac:dyDescent="0.2">
      <c r="A301" s="8">
        <v>149.5</v>
      </c>
      <c r="B301" s="8">
        <v>299</v>
      </c>
      <c r="D301">
        <v>1893.7441690962</v>
      </c>
      <c r="E301">
        <v>657.77696793002997</v>
      </c>
      <c r="F301">
        <v>151.48361252730999</v>
      </c>
      <c r="G301">
        <v>123.08885651857</v>
      </c>
      <c r="I301" s="9">
        <f t="shared" si="36"/>
        <v>534.68811141146</v>
      </c>
      <c r="J301" s="9">
        <f t="shared" si="37"/>
        <v>1742.26055656889</v>
      </c>
      <c r="K301" s="9">
        <f t="shared" si="31"/>
        <v>534.68811141146</v>
      </c>
      <c r="L301" s="10">
        <f t="shared" si="30"/>
        <v>0.30689331133366454</v>
      </c>
      <c r="M301" s="10">
        <f t="shared" si="38"/>
        <v>0.40356171767058724</v>
      </c>
      <c r="P301" s="8">
        <f t="shared" si="39"/>
        <v>64.042231867118744</v>
      </c>
    </row>
    <row r="302" spans="1:16" x14ac:dyDescent="0.2">
      <c r="A302" s="8">
        <v>150</v>
      </c>
      <c r="B302" s="8">
        <v>300</v>
      </c>
      <c r="D302">
        <v>1874.0714285714</v>
      </c>
      <c r="E302">
        <v>652.68586005831003</v>
      </c>
      <c r="F302">
        <v>151.57538237436</v>
      </c>
      <c r="G302">
        <v>122.84996358338999</v>
      </c>
      <c r="I302" s="9">
        <f>E302-G302</f>
        <v>529.83589647491999</v>
      </c>
      <c r="J302" s="9">
        <f>D302-F302</f>
        <v>1722.49604619704</v>
      </c>
      <c r="K302" s="9">
        <f t="shared" si="31"/>
        <v>529.83589647491999</v>
      </c>
      <c r="L302" s="10">
        <f t="shared" si="30"/>
        <v>0.30759774319639333</v>
      </c>
      <c r="M302" s="10">
        <f>L302+ABS($N$2)*A302</f>
        <v>0.40458945524012846</v>
      </c>
      <c r="O302" s="11"/>
      <c r="P302" s="8">
        <f>(M302-$O$2)/$O$2*100</f>
        <v>64.459992911586411</v>
      </c>
    </row>
    <row r="303" spans="1:16" x14ac:dyDescent="0.2">
      <c r="A303" s="8">
        <v>150.5</v>
      </c>
      <c r="B303" s="8">
        <v>301</v>
      </c>
      <c r="D303">
        <v>1929.4045189504</v>
      </c>
      <c r="E303">
        <v>657.20481049563</v>
      </c>
      <c r="F303">
        <v>152.05098324836001</v>
      </c>
      <c r="G303">
        <v>122.91114348143</v>
      </c>
      <c r="I303" s="9">
        <f t="shared" ref="I303:I309" si="40">E303-G303</f>
        <v>534.29366701419997</v>
      </c>
      <c r="J303" s="9">
        <f t="shared" ref="J303:J309" si="41">D303-F303</f>
        <v>1777.3535357020401</v>
      </c>
      <c r="K303" s="9">
        <f t="shared" si="31"/>
        <v>534.29366701419997</v>
      </c>
      <c r="L303" s="10">
        <f t="shared" si="30"/>
        <v>0.30061192457310321</v>
      </c>
      <c r="M303" s="10">
        <f t="shared" ref="M303:M309" si="42">L303+ABS($N$2)*A303</f>
        <v>0.39792694232365078</v>
      </c>
      <c r="P303" s="8">
        <f t="shared" ref="P303:P309" si="43">(M303-$O$2)/$O$2*100</f>
        <v>61.751773968097268</v>
      </c>
    </row>
    <row r="304" spans="1:16" x14ac:dyDescent="0.2">
      <c r="A304" s="8">
        <v>151</v>
      </c>
      <c r="B304" s="8">
        <v>302</v>
      </c>
      <c r="D304">
        <v>1764.5586307356</v>
      </c>
      <c r="E304">
        <v>613.67006554988996</v>
      </c>
      <c r="F304">
        <v>151.22942461763</v>
      </c>
      <c r="G304">
        <v>122.39985433358</v>
      </c>
      <c r="I304" s="9">
        <f t="shared" si="40"/>
        <v>491.27021121630997</v>
      </c>
      <c r="J304" s="9">
        <f t="shared" si="41"/>
        <v>1613.32920611797</v>
      </c>
      <c r="K304" s="9">
        <f t="shared" si="31"/>
        <v>491.27021121630997</v>
      </c>
      <c r="L304" s="10">
        <f t="shared" si="30"/>
        <v>0.30450710825375543</v>
      </c>
      <c r="M304" s="10">
        <f t="shared" si="42"/>
        <v>0.40214543171111544</v>
      </c>
      <c r="N304" s="1"/>
      <c r="P304" s="8">
        <f t="shared" si="43"/>
        <v>63.466531299941906</v>
      </c>
    </row>
    <row r="305" spans="1:16" x14ac:dyDescent="0.2">
      <c r="A305" s="8">
        <v>151.5</v>
      </c>
      <c r="B305" s="8">
        <v>303</v>
      </c>
      <c r="D305">
        <v>1807.2388929352001</v>
      </c>
      <c r="E305">
        <v>628.59359067734999</v>
      </c>
      <c r="F305">
        <v>151.37072104879999</v>
      </c>
      <c r="G305">
        <v>123.34959941733</v>
      </c>
      <c r="I305" s="9">
        <f t="shared" si="40"/>
        <v>505.24399126001998</v>
      </c>
      <c r="J305" s="9">
        <f t="shared" si="41"/>
        <v>1655.8681718864</v>
      </c>
      <c r="K305" s="9">
        <f t="shared" si="31"/>
        <v>505.24399126001998</v>
      </c>
      <c r="L305" s="10">
        <f t="shared" si="30"/>
        <v>0.30512331829196004</v>
      </c>
      <c r="M305" s="10">
        <f t="shared" si="42"/>
        <v>0.40308494745613249</v>
      </c>
      <c r="P305" s="8">
        <f t="shared" si="43"/>
        <v>63.848431398337013</v>
      </c>
    </row>
    <row r="306" spans="1:16" x14ac:dyDescent="0.2">
      <c r="A306" s="8">
        <v>152</v>
      </c>
      <c r="B306" s="8">
        <v>304</v>
      </c>
      <c r="D306">
        <v>1811.9380917699</v>
      </c>
      <c r="E306">
        <v>621.15586307356</v>
      </c>
      <c r="F306">
        <v>151.78878368535999</v>
      </c>
      <c r="G306">
        <v>123.24690458849</v>
      </c>
      <c r="I306" s="9">
        <f t="shared" si="40"/>
        <v>497.90895848507</v>
      </c>
      <c r="J306" s="9">
        <f t="shared" si="41"/>
        <v>1660.1493080845401</v>
      </c>
      <c r="K306" s="9">
        <f t="shared" si="31"/>
        <v>497.90895848507</v>
      </c>
      <c r="L306" s="10">
        <f t="shared" si="30"/>
        <v>0.29991817968442325</v>
      </c>
      <c r="M306" s="10">
        <f t="shared" si="42"/>
        <v>0.39820311455540813</v>
      </c>
      <c r="P306" s="8">
        <f t="shared" si="43"/>
        <v>61.864034143662728</v>
      </c>
    </row>
    <row r="307" spans="1:16" x14ac:dyDescent="0.2">
      <c r="A307" s="8">
        <v>152.5</v>
      </c>
      <c r="B307" s="8">
        <v>305</v>
      </c>
      <c r="D307">
        <v>1916.9780861943</v>
      </c>
      <c r="E307">
        <v>660.14974433892996</v>
      </c>
      <c r="F307">
        <v>151.49745083758</v>
      </c>
      <c r="G307">
        <v>122.98324836125001</v>
      </c>
      <c r="I307" s="9">
        <f t="shared" si="40"/>
        <v>537.16649597767992</v>
      </c>
      <c r="J307" s="9">
        <f t="shared" si="41"/>
        <v>1765.4806353567201</v>
      </c>
      <c r="K307" s="9">
        <f t="shared" si="31"/>
        <v>537.16649597767992</v>
      </c>
      <c r="L307" s="10">
        <f t="shared" si="30"/>
        <v>0.30426076911862815</v>
      </c>
      <c r="M307" s="10">
        <f t="shared" si="42"/>
        <v>0.40286900969642553</v>
      </c>
      <c r="P307" s="8">
        <f t="shared" si="43"/>
        <v>63.760655698869826</v>
      </c>
    </row>
    <row r="308" spans="1:16" x14ac:dyDescent="0.2">
      <c r="A308" s="8">
        <v>153</v>
      </c>
      <c r="B308" s="8">
        <v>306</v>
      </c>
      <c r="D308">
        <v>1879.1358655952999</v>
      </c>
      <c r="E308">
        <v>634.13221329437999</v>
      </c>
      <c r="F308">
        <v>150.96285506191001</v>
      </c>
      <c r="G308">
        <v>122.95338674436</v>
      </c>
      <c r="I308" s="9">
        <f t="shared" si="40"/>
        <v>511.17882655002001</v>
      </c>
      <c r="J308" s="9">
        <f t="shared" si="41"/>
        <v>1728.17301053339</v>
      </c>
      <c r="K308" s="9">
        <f t="shared" si="31"/>
        <v>511.17882655002001</v>
      </c>
      <c r="L308" s="10">
        <f t="shared" si="30"/>
        <v>0.29579146499472747</v>
      </c>
      <c r="M308" s="10">
        <f t="shared" si="42"/>
        <v>0.39472301127933729</v>
      </c>
      <c r="P308" s="8">
        <f t="shared" si="43"/>
        <v>60.449420508281371</v>
      </c>
    </row>
    <row r="309" spans="1:16" x14ac:dyDescent="0.2">
      <c r="A309" s="8">
        <v>153.5</v>
      </c>
      <c r="B309" s="8">
        <v>307</v>
      </c>
      <c r="D309">
        <v>1955.2969432314001</v>
      </c>
      <c r="E309">
        <v>674.23871906840998</v>
      </c>
      <c r="F309">
        <v>152.02184996358</v>
      </c>
      <c r="G309">
        <v>122.85724690459</v>
      </c>
      <c r="I309" s="9">
        <f t="shared" si="40"/>
        <v>551.38147216382004</v>
      </c>
      <c r="J309" s="9">
        <f t="shared" si="41"/>
        <v>1803.27509326782</v>
      </c>
      <c r="K309" s="9">
        <f t="shared" si="31"/>
        <v>551.38147216382004</v>
      </c>
      <c r="L309" s="10">
        <f t="shared" si="30"/>
        <v>0.30576669872627671</v>
      </c>
      <c r="M309" s="10">
        <f t="shared" si="42"/>
        <v>0.40502155071769896</v>
      </c>
      <c r="P309" s="8">
        <f t="shared" si="43"/>
        <v>64.635633720455729</v>
      </c>
    </row>
    <row r="310" spans="1:16" x14ac:dyDescent="0.2">
      <c r="A310" s="8">
        <v>154</v>
      </c>
      <c r="B310" s="8">
        <v>308</v>
      </c>
      <c r="D310">
        <v>1976.9432314410999</v>
      </c>
      <c r="E310">
        <v>672.44395924309003</v>
      </c>
      <c r="F310">
        <v>151.03058994902</v>
      </c>
      <c r="G310">
        <v>122.66860888565</v>
      </c>
      <c r="I310" s="9">
        <f>E310-G310</f>
        <v>549.77535035744006</v>
      </c>
      <c r="J310" s="9">
        <f>D310-F310</f>
        <v>1825.91264149208</v>
      </c>
      <c r="K310" s="9">
        <f t="shared" si="31"/>
        <v>549.77535035744006</v>
      </c>
      <c r="L310" s="10">
        <f t="shared" si="30"/>
        <v>0.30109619587724662</v>
      </c>
      <c r="M310" s="10">
        <f>L310+ABS($N$2)*A310</f>
        <v>0.40067435357548131</v>
      </c>
      <c r="O310" s="11"/>
      <c r="P310" s="8">
        <f>(M310-$O$2)/$O$2*100</f>
        <v>62.868558474339743</v>
      </c>
    </row>
    <row r="311" spans="1:16" x14ac:dyDescent="0.2">
      <c r="A311" s="8">
        <v>154.5</v>
      </c>
      <c r="B311" s="8">
        <v>309</v>
      </c>
      <c r="D311">
        <v>1944.9213973799001</v>
      </c>
      <c r="E311">
        <v>682.98326055312998</v>
      </c>
      <c r="F311">
        <v>151.46103423161</v>
      </c>
      <c r="G311">
        <v>122.87035688274</v>
      </c>
      <c r="I311" s="9">
        <f t="shared" ref="I311:I319" si="44">E311-G311</f>
        <v>560.11290367038998</v>
      </c>
      <c r="J311" s="9">
        <f t="shared" ref="J311:J319" si="45">D311-F311</f>
        <v>1793.4603631482901</v>
      </c>
      <c r="K311" s="9">
        <f t="shared" si="31"/>
        <v>560.11290367038998</v>
      </c>
      <c r="L311" s="10">
        <f t="shared" si="30"/>
        <v>0.31230849322320803</v>
      </c>
      <c r="M311" s="10">
        <f t="shared" ref="M311:M319" si="46">L311+ABS($N$2)*A311</f>
        <v>0.41220995662825521</v>
      </c>
      <c r="P311" s="8">
        <f t="shared" ref="P311:P319" si="47">(M311-$O$2)/$O$2*100</f>
        <v>67.557620860219515</v>
      </c>
    </row>
    <row r="312" spans="1:16" x14ac:dyDescent="0.2">
      <c r="A312" s="8">
        <v>155</v>
      </c>
      <c r="B312" s="8">
        <v>310</v>
      </c>
      <c r="D312">
        <v>1874.8922852984001</v>
      </c>
      <c r="E312">
        <v>660.28820960698999</v>
      </c>
      <c r="F312">
        <v>150.99781500364</v>
      </c>
      <c r="G312">
        <v>122.68900218500001</v>
      </c>
      <c r="I312" s="9">
        <f t="shared" si="44"/>
        <v>537.59920742198995</v>
      </c>
      <c r="J312" s="9">
        <f t="shared" si="45"/>
        <v>1723.8944702947601</v>
      </c>
      <c r="K312" s="9">
        <f t="shared" si="31"/>
        <v>537.59920742198995</v>
      </c>
      <c r="L312" s="10">
        <f t="shared" si="30"/>
        <v>0.31185157600167285</v>
      </c>
      <c r="M312" s="10">
        <f t="shared" si="46"/>
        <v>0.41207634511353247</v>
      </c>
      <c r="N312" s="1"/>
      <c r="P312" s="8">
        <f t="shared" si="47"/>
        <v>67.503309635644541</v>
      </c>
    </row>
    <row r="313" spans="1:16" x14ac:dyDescent="0.2">
      <c r="A313" s="8">
        <v>155.5</v>
      </c>
      <c r="B313" s="8">
        <v>311</v>
      </c>
      <c r="D313">
        <v>1875.8420669577999</v>
      </c>
      <c r="E313">
        <v>646.57205240175006</v>
      </c>
      <c r="F313">
        <v>151.45593590677001</v>
      </c>
      <c r="G313">
        <v>122.95921340131</v>
      </c>
      <c r="I313" s="9">
        <f t="shared" si="44"/>
        <v>523.61283900044009</v>
      </c>
      <c r="J313" s="9">
        <f t="shared" si="45"/>
        <v>1724.3861310510299</v>
      </c>
      <c r="K313" s="9">
        <f t="shared" si="31"/>
        <v>523.61283900044009</v>
      </c>
      <c r="L313" s="10">
        <f t="shared" si="30"/>
        <v>0.30365173412830282</v>
      </c>
      <c r="M313" s="10">
        <f t="shared" si="46"/>
        <v>0.40419980894697488</v>
      </c>
      <c r="P313" s="8">
        <f t="shared" si="47"/>
        <v>64.30160710646939</v>
      </c>
    </row>
    <row r="314" spans="1:16" x14ac:dyDescent="0.2">
      <c r="A314" s="8">
        <v>156</v>
      </c>
      <c r="B314" s="8">
        <v>312</v>
      </c>
      <c r="D314">
        <v>1876.2816593887001</v>
      </c>
      <c r="E314">
        <v>643.35516739446996</v>
      </c>
      <c r="F314">
        <v>151.10196649672</v>
      </c>
      <c r="G314">
        <v>122.71230881282</v>
      </c>
      <c r="I314" s="9">
        <f t="shared" si="44"/>
        <v>520.64285858164999</v>
      </c>
      <c r="J314" s="9">
        <f t="shared" si="45"/>
        <v>1725.17969289198</v>
      </c>
      <c r="K314" s="9">
        <f t="shared" si="31"/>
        <v>520.64285858164999</v>
      </c>
      <c r="L314" s="10">
        <f t="shared" si="30"/>
        <v>0.3017905095491113</v>
      </c>
      <c r="M314" s="10">
        <f t="shared" si="46"/>
        <v>0.40266189007459585</v>
      </c>
      <c r="P314" s="8">
        <f t="shared" si="47"/>
        <v>63.676464449946288</v>
      </c>
    </row>
    <row r="315" spans="1:16" x14ac:dyDescent="0.2">
      <c r="A315" s="8">
        <v>156.5</v>
      </c>
      <c r="B315" s="8">
        <v>313</v>
      </c>
      <c r="D315">
        <v>1870.8551673945001</v>
      </c>
      <c r="E315">
        <v>637.31295487627006</v>
      </c>
      <c r="F315">
        <v>151.39184268026</v>
      </c>
      <c r="G315">
        <v>122.92789512018</v>
      </c>
      <c r="I315" s="9">
        <f t="shared" si="44"/>
        <v>514.38505975609007</v>
      </c>
      <c r="J315" s="9">
        <f t="shared" si="45"/>
        <v>1719.4633247142401</v>
      </c>
      <c r="K315" s="9">
        <f t="shared" si="31"/>
        <v>514.38505975609007</v>
      </c>
      <c r="L315" s="10">
        <f t="shared" si="30"/>
        <v>0.29915442357084088</v>
      </c>
      <c r="M315" s="10">
        <f t="shared" si="46"/>
        <v>0.40034910980313787</v>
      </c>
      <c r="P315" s="8">
        <f t="shared" si="47"/>
        <v>62.736351399238409</v>
      </c>
    </row>
    <row r="316" spans="1:16" x14ac:dyDescent="0.2">
      <c r="A316" s="8">
        <v>157</v>
      </c>
      <c r="B316" s="8">
        <v>314</v>
      </c>
      <c r="D316">
        <v>1870.7234352256</v>
      </c>
      <c r="E316">
        <v>626.64847161572004</v>
      </c>
      <c r="F316">
        <v>150.68973051712001</v>
      </c>
      <c r="G316">
        <v>122.65185724691</v>
      </c>
      <c r="I316" s="9">
        <f t="shared" si="44"/>
        <v>503.99661436881001</v>
      </c>
      <c r="J316" s="9">
        <f t="shared" si="45"/>
        <v>1720.0337047084799</v>
      </c>
      <c r="K316" s="9">
        <f t="shared" si="31"/>
        <v>503.99661436881001</v>
      </c>
      <c r="L316" s="10">
        <f t="shared" si="30"/>
        <v>0.29301554556120163</v>
      </c>
      <c r="M316" s="10">
        <f t="shared" si="46"/>
        <v>0.39453353750031106</v>
      </c>
      <c r="P316" s="8">
        <f t="shared" si="47"/>
        <v>60.372402049317607</v>
      </c>
    </row>
    <row r="317" spans="1:16" x14ac:dyDescent="0.2">
      <c r="A317" s="8">
        <v>157.5</v>
      </c>
      <c r="B317" s="8">
        <v>315</v>
      </c>
      <c r="D317">
        <v>1846.481077147</v>
      </c>
      <c r="E317">
        <v>625.34643377001998</v>
      </c>
      <c r="F317">
        <v>151.47705753823999</v>
      </c>
      <c r="G317">
        <v>122.52876911872001</v>
      </c>
      <c r="I317" s="9">
        <f t="shared" si="44"/>
        <v>502.81766465129999</v>
      </c>
      <c r="J317" s="9">
        <f t="shared" si="45"/>
        <v>1695.00401960876</v>
      </c>
      <c r="K317" s="9">
        <f t="shared" si="31"/>
        <v>502.81766465129999</v>
      </c>
      <c r="L317" s="10">
        <f t="shared" si="30"/>
        <v>0.2966468862813435</v>
      </c>
      <c r="M317" s="10">
        <f t="shared" si="46"/>
        <v>0.39848818392726537</v>
      </c>
      <c r="P317" s="8">
        <f t="shared" si="47"/>
        <v>61.979910883077814</v>
      </c>
    </row>
    <row r="318" spans="1:16" x14ac:dyDescent="0.2">
      <c r="A318" s="8">
        <v>158</v>
      </c>
      <c r="B318" s="8">
        <v>316</v>
      </c>
      <c r="D318">
        <v>1830.4468704512001</v>
      </c>
      <c r="E318">
        <v>614.99854439592002</v>
      </c>
      <c r="F318">
        <v>150.82155863073999</v>
      </c>
      <c r="G318">
        <v>122.96868171886</v>
      </c>
      <c r="I318" s="9">
        <f t="shared" si="44"/>
        <v>492.02986267706001</v>
      </c>
      <c r="J318" s="9">
        <f t="shared" si="45"/>
        <v>1679.6253118204602</v>
      </c>
      <c r="K318" s="9">
        <f t="shared" si="31"/>
        <v>492.02986267706001</v>
      </c>
      <c r="L318" s="10">
        <f t="shared" si="30"/>
        <v>0.29294025233745374</v>
      </c>
      <c r="M318" s="10">
        <f t="shared" si="46"/>
        <v>0.39510485569018805</v>
      </c>
      <c r="P318" s="8">
        <f t="shared" si="47"/>
        <v>60.604634956627713</v>
      </c>
    </row>
    <row r="319" spans="1:16" x14ac:dyDescent="0.2">
      <c r="A319" s="8">
        <v>158.5</v>
      </c>
      <c r="B319" s="8">
        <v>317</v>
      </c>
      <c r="D319">
        <v>1835.8421818182001</v>
      </c>
      <c r="E319">
        <v>616.26690909090996</v>
      </c>
      <c r="F319">
        <v>151.04588492353</v>
      </c>
      <c r="G319">
        <v>122.51565914056999</v>
      </c>
      <c r="I319" s="9">
        <f t="shared" si="44"/>
        <v>493.75124995033997</v>
      </c>
      <c r="J319" s="9">
        <f t="shared" si="45"/>
        <v>1684.7962968946701</v>
      </c>
      <c r="K319" s="9">
        <f t="shared" si="31"/>
        <v>493.75124995033997</v>
      </c>
      <c r="L319" s="10">
        <f t="shared" si="30"/>
        <v>0.2930628770139137</v>
      </c>
      <c r="M319" s="10">
        <f t="shared" si="46"/>
        <v>0.3955507860734605</v>
      </c>
      <c r="P319" s="8">
        <f t="shared" si="47"/>
        <v>60.785899462467398</v>
      </c>
    </row>
    <row r="320" spans="1:16" x14ac:dyDescent="0.2">
      <c r="A320" s="8">
        <v>159</v>
      </c>
      <c r="B320" s="8">
        <v>318</v>
      </c>
      <c r="D320">
        <v>1884.5905454546</v>
      </c>
      <c r="E320">
        <v>651.33890909090997</v>
      </c>
      <c r="F320">
        <v>150.91041514931001</v>
      </c>
      <c r="G320">
        <v>122.33648943918</v>
      </c>
      <c r="I320" s="9">
        <f>E320-G320</f>
        <v>529.00241965172995</v>
      </c>
      <c r="J320" s="9">
        <f>D320-F320</f>
        <v>1733.68013030529</v>
      </c>
      <c r="K320" s="9">
        <f t="shared" si="31"/>
        <v>529.00241965172995</v>
      </c>
      <c r="L320" s="10">
        <f t="shared" si="30"/>
        <v>0.30513265417570196</v>
      </c>
      <c r="M320" s="10">
        <f>L320+ABS($N$2)*A320</f>
        <v>0.40794386894206119</v>
      </c>
      <c r="O320" s="11"/>
      <c r="P320" s="8">
        <f>(M320-$O$2)/$O$2*100</f>
        <v>65.823515481187158</v>
      </c>
    </row>
    <row r="321" spans="1:16" x14ac:dyDescent="0.2">
      <c r="A321" s="8">
        <v>159.5</v>
      </c>
      <c r="B321" s="8">
        <v>319</v>
      </c>
      <c r="D321">
        <v>1801.0349854226999</v>
      </c>
      <c r="E321">
        <v>604.79664723031999</v>
      </c>
      <c r="F321">
        <v>150.93372177712999</v>
      </c>
      <c r="G321">
        <v>122.64238892935001</v>
      </c>
      <c r="I321" s="9">
        <f t="shared" ref="I321:I322" si="48">E321-G321</f>
        <v>482.15425830097001</v>
      </c>
      <c r="J321" s="9">
        <f t="shared" ref="J321:J322" si="49">D321-F321</f>
        <v>1650.10126364557</v>
      </c>
      <c r="K321" s="9">
        <f t="shared" si="31"/>
        <v>482.15425830097001</v>
      </c>
      <c r="L321" s="10">
        <f t="shared" si="30"/>
        <v>0.29219676932780853</v>
      </c>
      <c r="M321" s="10">
        <f t="shared" ref="M321:M322" si="50">L321+ABS($N$2)*A321</f>
        <v>0.3953312898009802</v>
      </c>
      <c r="P321" s="8">
        <f t="shared" ref="P321:P322" si="51">(M321-$O$2)/$O$2*100</f>
        <v>60.696677276993469</v>
      </c>
    </row>
    <row r="322" spans="1:16" x14ac:dyDescent="0.2">
      <c r="A322" s="8">
        <v>160</v>
      </c>
      <c r="D322">
        <v>1709.3217642806001</v>
      </c>
      <c r="E322">
        <v>571.18221258134997</v>
      </c>
      <c r="F322">
        <v>150.82374362709001</v>
      </c>
      <c r="G322">
        <v>122.60378732702</v>
      </c>
      <c r="I322" s="9">
        <f t="shared" si="48"/>
        <v>448.57842525433</v>
      </c>
      <c r="J322" s="9">
        <f t="shared" si="49"/>
        <v>1558.4980206535101</v>
      </c>
      <c r="K322" s="9">
        <f t="shared" si="31"/>
        <v>448.57842525433</v>
      </c>
      <c r="L322" s="10">
        <f t="shared" ref="L322" si="52">K322/J322</f>
        <v>0.28782739490822828</v>
      </c>
      <c r="M322" s="10">
        <f t="shared" si="50"/>
        <v>0.3912852210882124</v>
      </c>
      <c r="P322" s="8">
        <f t="shared" si="51"/>
        <v>59.052006554108097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F672A-27DE-F64B-B8CD-F3F6444488DE}">
  <dimension ref="A1:Y798"/>
  <sheetViews>
    <sheetView tabSelected="1" topLeftCell="F1" zoomScale="75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997.53182917002005</v>
      </c>
      <c r="E2">
        <v>299.75261885575998</v>
      </c>
      <c r="F2">
        <v>142.23935742972</v>
      </c>
      <c r="G2">
        <v>112.93092369478001</v>
      </c>
      <c r="H2" s="4"/>
      <c r="I2" s="5">
        <f>E2-G2</f>
        <v>186.82169516097997</v>
      </c>
      <c r="J2" s="5">
        <f>D2-F2</f>
        <v>855.29247174030002</v>
      </c>
      <c r="K2" s="9">
        <f>I2*1</f>
        <v>186.82169516097997</v>
      </c>
      <c r="L2" s="6">
        <f t="shared" ref="L2:L65" si="0">K2/J2</f>
        <v>0.21843018772379219</v>
      </c>
      <c r="M2" s="6">
        <f>L2+ABS($N$2)*A2</f>
        <v>0.21843018772379219</v>
      </c>
      <c r="N2" s="4">
        <f>LINEST(V64:V103,U64:U103)</f>
        <v>8.7256513246444063E-5</v>
      </c>
      <c r="O2" s="7">
        <f>AVERAGE(M62:M81)</f>
        <v>0.25877249324202606</v>
      </c>
      <c r="P2" s="4">
        <f>(M2-$O$2)/$O$2*100</f>
        <v>-15.589873951750471</v>
      </c>
    </row>
    <row r="3" spans="1:16" x14ac:dyDescent="0.2">
      <c r="A3" s="8">
        <v>0.5</v>
      </c>
      <c r="B3" s="8">
        <v>1</v>
      </c>
      <c r="D3">
        <v>1039.6857373086</v>
      </c>
      <c r="E3">
        <v>308.06204673650001</v>
      </c>
      <c r="F3">
        <v>142.37991967872</v>
      </c>
      <c r="G3">
        <v>112.4859437751</v>
      </c>
      <c r="I3" s="9">
        <f t="shared" ref="I3:I66" si="1">E3-G3</f>
        <v>195.57610296140001</v>
      </c>
      <c r="J3" s="9">
        <f t="shared" ref="J3:J66" si="2">D3-F3</f>
        <v>897.30581762988004</v>
      </c>
      <c r="K3" s="9">
        <f t="shared" ref="K3:K66" si="3">I3*1</f>
        <v>195.57610296140001</v>
      </c>
      <c r="L3" s="10">
        <f t="shared" si="0"/>
        <v>0.21795924992216095</v>
      </c>
      <c r="M3" s="10">
        <f t="shared" ref="M3:M66" si="4">L3+ABS($N$2)*A3</f>
        <v>0.21800287817878417</v>
      </c>
      <c r="P3" s="8">
        <f t="shared" ref="P3:P66" si="5">(M3-$O$2)/$O$2*100</f>
        <v>-15.755003382492697</v>
      </c>
    </row>
    <row r="4" spans="1:16" ht="16" x14ac:dyDescent="0.2">
      <c r="A4" s="8">
        <v>1</v>
      </c>
      <c r="B4" s="8">
        <v>2</v>
      </c>
      <c r="D4">
        <v>1060.0652699436</v>
      </c>
      <c r="E4">
        <v>308.13859790492</v>
      </c>
      <c r="F4">
        <v>142.26345381525999</v>
      </c>
      <c r="G4">
        <v>112.83855421686999</v>
      </c>
      <c r="I4" s="9">
        <f t="shared" si="1"/>
        <v>195.30004368805001</v>
      </c>
      <c r="J4" s="9">
        <f t="shared" si="2"/>
        <v>917.80181612834008</v>
      </c>
      <c r="K4" s="9">
        <f t="shared" si="3"/>
        <v>195.30004368805001</v>
      </c>
      <c r="L4" s="10">
        <f t="shared" si="0"/>
        <v>0.21279108436710739</v>
      </c>
      <c r="M4" s="10">
        <f t="shared" si="4"/>
        <v>0.21287834088035384</v>
      </c>
      <c r="N4" s="1" t="s">
        <v>7</v>
      </c>
      <c r="P4" s="8">
        <f t="shared" si="5"/>
        <v>-17.73532873864924</v>
      </c>
    </row>
    <row r="5" spans="1:16" x14ac:dyDescent="0.2">
      <c r="A5" s="8">
        <v>1.5</v>
      </c>
      <c r="B5" s="8">
        <v>3</v>
      </c>
      <c r="D5">
        <v>1087.2247011951999</v>
      </c>
      <c r="E5">
        <v>313.25737051792998</v>
      </c>
      <c r="F5">
        <v>142.23052208835</v>
      </c>
      <c r="G5">
        <v>112.52610441767</v>
      </c>
      <c r="I5" s="9">
        <f t="shared" si="1"/>
        <v>200.73126610025997</v>
      </c>
      <c r="J5" s="9">
        <f t="shared" si="2"/>
        <v>944.99417910684997</v>
      </c>
      <c r="K5" s="9">
        <f t="shared" si="3"/>
        <v>200.73126610025997</v>
      </c>
      <c r="L5" s="10">
        <f t="shared" si="0"/>
        <v>0.21241534661089526</v>
      </c>
      <c r="M5" s="10">
        <f t="shared" si="4"/>
        <v>0.21254623138076492</v>
      </c>
      <c r="N5" s="8">
        <f>RSQ(V64:V83,U64:U83)</f>
        <v>6.4318566322711157E-2</v>
      </c>
      <c r="P5" s="8">
        <f t="shared" si="5"/>
        <v>-17.863669079397244</v>
      </c>
    </row>
    <row r="6" spans="1:16" x14ac:dyDescent="0.2">
      <c r="A6" s="8">
        <v>2</v>
      </c>
      <c r="B6" s="8">
        <v>4</v>
      </c>
      <c r="D6">
        <v>1081.3410358566</v>
      </c>
      <c r="E6">
        <v>315.59203187251001</v>
      </c>
      <c r="F6">
        <v>142.67871485943999</v>
      </c>
      <c r="G6">
        <v>112.81606425703001</v>
      </c>
      <c r="I6" s="9">
        <f t="shared" si="1"/>
        <v>202.77596761548</v>
      </c>
      <c r="J6" s="9">
        <f t="shared" si="2"/>
        <v>938.66232099716001</v>
      </c>
      <c r="K6" s="9">
        <f t="shared" si="3"/>
        <v>202.77596761548</v>
      </c>
      <c r="L6" s="10">
        <f t="shared" si="0"/>
        <v>0.21602653380191822</v>
      </c>
      <c r="M6" s="10">
        <f t="shared" si="4"/>
        <v>0.2162010468284111</v>
      </c>
      <c r="P6" s="8">
        <f t="shared" si="5"/>
        <v>-16.451302795076646</v>
      </c>
    </row>
    <row r="7" spans="1:16" x14ac:dyDescent="0.2">
      <c r="A7" s="8">
        <v>2.5</v>
      </c>
      <c r="B7" s="8">
        <v>5</v>
      </c>
      <c r="D7">
        <v>1082.8739967897</v>
      </c>
      <c r="E7">
        <v>315.53049759229998</v>
      </c>
      <c r="F7">
        <v>141.77269076305001</v>
      </c>
      <c r="G7">
        <v>112.69397590361</v>
      </c>
      <c r="I7" s="9">
        <f t="shared" si="1"/>
        <v>202.83652168868997</v>
      </c>
      <c r="J7" s="9">
        <f t="shared" si="2"/>
        <v>941.10130602664992</v>
      </c>
      <c r="K7" s="9">
        <f t="shared" si="3"/>
        <v>202.83652168868997</v>
      </c>
      <c r="L7" s="10">
        <f t="shared" si="0"/>
        <v>0.21553101710704256</v>
      </c>
      <c r="M7" s="10">
        <f t="shared" si="4"/>
        <v>0.21574915839015868</v>
      </c>
      <c r="P7" s="8">
        <f t="shared" si="5"/>
        <v>-16.625930489307571</v>
      </c>
    </row>
    <row r="8" spans="1:16" x14ac:dyDescent="0.2">
      <c r="A8" s="8">
        <v>3</v>
      </c>
      <c r="B8" s="8">
        <v>6</v>
      </c>
      <c r="D8">
        <v>1040.2825040128</v>
      </c>
      <c r="E8">
        <v>314.77688603530999</v>
      </c>
      <c r="F8">
        <v>142.51887550200999</v>
      </c>
      <c r="G8">
        <v>112.87791164658999</v>
      </c>
      <c r="I8" s="9">
        <f t="shared" si="1"/>
        <v>201.89897438871998</v>
      </c>
      <c r="J8" s="9">
        <f t="shared" si="2"/>
        <v>897.76362851079</v>
      </c>
      <c r="K8" s="9">
        <f t="shared" si="3"/>
        <v>201.89897438871998</v>
      </c>
      <c r="L8" s="10">
        <f t="shared" si="0"/>
        <v>0.22489101582743992</v>
      </c>
      <c r="M8" s="10">
        <f t="shared" si="4"/>
        <v>0.22515278536717925</v>
      </c>
      <c r="P8" s="8">
        <f t="shared" si="5"/>
        <v>-12.991994417042923</v>
      </c>
    </row>
    <row r="9" spans="1:16" x14ac:dyDescent="0.2">
      <c r="A9" s="8">
        <v>3.5</v>
      </c>
      <c r="B9" s="8">
        <v>7</v>
      </c>
      <c r="D9">
        <v>1063.8532695375</v>
      </c>
      <c r="E9">
        <v>313.34130781498999</v>
      </c>
      <c r="F9">
        <v>142.65622489960001</v>
      </c>
      <c r="G9">
        <v>112.9734939759</v>
      </c>
      <c r="I9" s="9">
        <f t="shared" si="1"/>
        <v>200.36781383908999</v>
      </c>
      <c r="J9" s="9">
        <f t="shared" si="2"/>
        <v>921.19704463789992</v>
      </c>
      <c r="K9" s="9">
        <f t="shared" si="3"/>
        <v>200.36781383908999</v>
      </c>
      <c r="L9" s="10">
        <f t="shared" si="0"/>
        <v>0.21750809450094327</v>
      </c>
      <c r="M9" s="10">
        <f t="shared" si="4"/>
        <v>0.21781349229730582</v>
      </c>
      <c r="P9" s="8">
        <f t="shared" si="5"/>
        <v>-15.828189631581862</v>
      </c>
    </row>
    <row r="10" spans="1:16" x14ac:dyDescent="0.2">
      <c r="A10" s="8">
        <v>4</v>
      </c>
      <c r="B10" s="8">
        <v>8</v>
      </c>
      <c r="D10">
        <v>1054.4529505582</v>
      </c>
      <c r="E10">
        <v>315.44736842104999</v>
      </c>
      <c r="F10">
        <v>142.47710843374</v>
      </c>
      <c r="G10">
        <v>112.85140562249001</v>
      </c>
      <c r="I10" s="9">
        <f t="shared" si="1"/>
        <v>202.59596279855998</v>
      </c>
      <c r="J10" s="9">
        <f t="shared" si="2"/>
        <v>911.97584212445997</v>
      </c>
      <c r="K10" s="9">
        <f t="shared" si="3"/>
        <v>202.59596279855998</v>
      </c>
      <c r="L10" s="10">
        <f t="shared" si="0"/>
        <v>0.22215058057525949</v>
      </c>
      <c r="M10" s="10">
        <f t="shared" si="4"/>
        <v>0.22249960662824528</v>
      </c>
      <c r="P10" s="8">
        <f t="shared" si="5"/>
        <v>-14.017288375335662</v>
      </c>
    </row>
    <row r="11" spans="1:16" x14ac:dyDescent="0.2">
      <c r="A11" s="8">
        <v>4.5</v>
      </c>
      <c r="B11" s="8">
        <v>9</v>
      </c>
      <c r="D11">
        <v>1072.0570281124999</v>
      </c>
      <c r="E11">
        <v>313.25060240964001</v>
      </c>
      <c r="F11">
        <v>142.4875502008</v>
      </c>
      <c r="G11">
        <v>112.97108433735001</v>
      </c>
      <c r="I11" s="9">
        <f t="shared" si="1"/>
        <v>200.27951807228999</v>
      </c>
      <c r="J11" s="9">
        <f t="shared" si="2"/>
        <v>929.56947791169989</v>
      </c>
      <c r="K11" s="9">
        <f t="shared" si="3"/>
        <v>200.27951807228999</v>
      </c>
      <c r="L11" s="10">
        <f t="shared" si="0"/>
        <v>0.21545406000444714</v>
      </c>
      <c r="M11" s="10">
        <f t="shared" si="4"/>
        <v>0.21584671431405614</v>
      </c>
      <c r="P11" s="8">
        <f t="shared" si="5"/>
        <v>-16.588230994019167</v>
      </c>
    </row>
    <row r="12" spans="1:16" x14ac:dyDescent="0.2">
      <c r="A12" s="8">
        <v>5</v>
      </c>
      <c r="B12" s="8">
        <v>10</v>
      </c>
      <c r="D12">
        <v>1073.5534136546</v>
      </c>
      <c r="E12">
        <v>313.37510040160998</v>
      </c>
      <c r="F12">
        <v>142.50441767068</v>
      </c>
      <c r="G12">
        <v>112.83614457831</v>
      </c>
      <c r="I12" s="9">
        <f t="shared" si="1"/>
        <v>200.5389558233</v>
      </c>
      <c r="J12" s="9">
        <f t="shared" si="2"/>
        <v>931.04899598392001</v>
      </c>
      <c r="K12" s="9">
        <f t="shared" si="3"/>
        <v>200.5389558233</v>
      </c>
      <c r="L12" s="10">
        <f t="shared" si="0"/>
        <v>0.21539033572703994</v>
      </c>
      <c r="M12" s="10">
        <f t="shared" si="4"/>
        <v>0.21582661829327215</v>
      </c>
      <c r="P12" s="8">
        <f t="shared" si="5"/>
        <v>-16.595996897006849</v>
      </c>
    </row>
    <row r="13" spans="1:16" x14ac:dyDescent="0.2">
      <c r="A13" s="8">
        <v>5.5</v>
      </c>
      <c r="B13" s="8">
        <v>11</v>
      </c>
      <c r="D13">
        <v>1019.8425702811001</v>
      </c>
      <c r="E13">
        <v>304.83855421687002</v>
      </c>
      <c r="F13">
        <v>142.78393574296999</v>
      </c>
      <c r="G13">
        <v>112.73012048193</v>
      </c>
      <c r="I13" s="9">
        <f t="shared" si="1"/>
        <v>192.10843373494004</v>
      </c>
      <c r="J13" s="9">
        <f t="shared" si="2"/>
        <v>877.05863453813004</v>
      </c>
      <c r="K13" s="9">
        <f t="shared" si="3"/>
        <v>192.10843373494004</v>
      </c>
      <c r="L13" s="10">
        <f t="shared" si="0"/>
        <v>0.21903716145056451</v>
      </c>
      <c r="M13" s="10">
        <f t="shared" si="4"/>
        <v>0.21951707227341996</v>
      </c>
      <c r="P13" s="8">
        <f t="shared" si="5"/>
        <v>-15.16985846401035</v>
      </c>
    </row>
    <row r="14" spans="1:16" x14ac:dyDescent="0.2">
      <c r="A14" s="8">
        <v>6</v>
      </c>
      <c r="B14" s="8">
        <v>12</v>
      </c>
      <c r="D14">
        <v>1079.8601119105001</v>
      </c>
      <c r="E14">
        <v>311.63788968825003</v>
      </c>
      <c r="F14">
        <v>141.84979919679</v>
      </c>
      <c r="G14">
        <v>112.6843373494</v>
      </c>
      <c r="I14" s="9">
        <f t="shared" si="1"/>
        <v>198.95355233885005</v>
      </c>
      <c r="J14" s="9">
        <f t="shared" si="2"/>
        <v>938.01031271371016</v>
      </c>
      <c r="K14" s="9">
        <f t="shared" si="3"/>
        <v>198.95355233885005</v>
      </c>
      <c r="L14" s="10">
        <f t="shared" si="0"/>
        <v>0.21210166843823666</v>
      </c>
      <c r="M14" s="10">
        <f t="shared" si="4"/>
        <v>0.21262520751771533</v>
      </c>
      <c r="P14" s="8">
        <f t="shared" si="5"/>
        <v>-17.833149553940366</v>
      </c>
    </row>
    <row r="15" spans="1:16" x14ac:dyDescent="0.2">
      <c r="A15" s="8">
        <v>6.5</v>
      </c>
      <c r="B15" s="8">
        <v>13</v>
      </c>
      <c r="D15">
        <v>1082.0671462830001</v>
      </c>
      <c r="E15">
        <v>312.00719424459999</v>
      </c>
      <c r="F15">
        <v>142.06104417671</v>
      </c>
      <c r="G15">
        <v>113.1718875502</v>
      </c>
      <c r="I15" s="9">
        <f t="shared" si="1"/>
        <v>198.8353066944</v>
      </c>
      <c r="J15" s="9">
        <f t="shared" si="2"/>
        <v>940.00610210629009</v>
      </c>
      <c r="K15" s="9">
        <f t="shared" si="3"/>
        <v>198.8353066944</v>
      </c>
      <c r="L15" s="10">
        <f t="shared" si="0"/>
        <v>0.21152554887555075</v>
      </c>
      <c r="M15" s="10">
        <f t="shared" si="4"/>
        <v>0.21209271621165263</v>
      </c>
      <c r="P15" s="8">
        <f t="shared" si="5"/>
        <v>-18.038925407235819</v>
      </c>
    </row>
    <row r="16" spans="1:16" x14ac:dyDescent="0.2">
      <c r="A16" s="8">
        <v>7</v>
      </c>
      <c r="B16" s="8">
        <v>14</v>
      </c>
      <c r="D16">
        <v>1068.5563549161</v>
      </c>
      <c r="E16">
        <v>310.63788968825003</v>
      </c>
      <c r="F16">
        <v>142.43212851406</v>
      </c>
      <c r="G16">
        <v>112.76064257028</v>
      </c>
      <c r="I16" s="9">
        <f t="shared" si="1"/>
        <v>197.87724711797003</v>
      </c>
      <c r="J16" s="9">
        <f t="shared" si="2"/>
        <v>926.12422640203999</v>
      </c>
      <c r="K16" s="9">
        <f t="shared" si="3"/>
        <v>197.87724711797003</v>
      </c>
      <c r="L16" s="10">
        <f t="shared" si="0"/>
        <v>0.21366166814004658</v>
      </c>
      <c r="M16" s="10">
        <f t="shared" si="4"/>
        <v>0.2142724637327717</v>
      </c>
      <c r="P16" s="8">
        <f t="shared" si="5"/>
        <v>-17.19658413138762</v>
      </c>
    </row>
    <row r="17" spans="1:16" x14ac:dyDescent="0.2">
      <c r="A17" s="8">
        <v>7.5</v>
      </c>
      <c r="B17" s="8">
        <v>15</v>
      </c>
      <c r="D17">
        <v>1068.3239549839</v>
      </c>
      <c r="E17">
        <v>310.94453376206002</v>
      </c>
      <c r="F17">
        <v>142.11726907631001</v>
      </c>
      <c r="G17">
        <v>112.71646586345</v>
      </c>
      <c r="I17" s="9">
        <f t="shared" si="1"/>
        <v>198.22806789861002</v>
      </c>
      <c r="J17" s="9">
        <f t="shared" si="2"/>
        <v>926.20668590758999</v>
      </c>
      <c r="K17" s="9">
        <f t="shared" si="3"/>
        <v>198.22806789861002</v>
      </c>
      <c r="L17" s="10">
        <f t="shared" si="0"/>
        <v>0.21402141758927851</v>
      </c>
      <c r="M17" s="10">
        <f t="shared" si="4"/>
        <v>0.21467584143862684</v>
      </c>
      <c r="P17" s="8">
        <f t="shared" si="5"/>
        <v>-17.040702916656709</v>
      </c>
    </row>
    <row r="18" spans="1:16" x14ac:dyDescent="0.2">
      <c r="A18" s="8">
        <v>8</v>
      </c>
      <c r="B18" s="8">
        <v>16</v>
      </c>
      <c r="D18">
        <v>1069.1117363343999</v>
      </c>
      <c r="E18">
        <v>312.84967845659003</v>
      </c>
      <c r="F18">
        <v>142.34618473896001</v>
      </c>
      <c r="G18">
        <v>112.79036144577999</v>
      </c>
      <c r="I18" s="9">
        <f t="shared" si="1"/>
        <v>200.05931701081005</v>
      </c>
      <c r="J18" s="9">
        <f t="shared" si="2"/>
        <v>926.76555159543989</v>
      </c>
      <c r="K18" s="9">
        <f t="shared" si="3"/>
        <v>200.05931701081005</v>
      </c>
      <c r="L18" s="10">
        <f t="shared" si="0"/>
        <v>0.21586831390787575</v>
      </c>
      <c r="M18" s="10">
        <f t="shared" si="4"/>
        <v>0.21656636601384729</v>
      </c>
      <c r="P18" s="8">
        <f t="shared" si="5"/>
        <v>-16.31012890875693</v>
      </c>
    </row>
    <row r="19" spans="1:16" x14ac:dyDescent="0.2">
      <c r="A19" s="8">
        <v>8.5</v>
      </c>
      <c r="B19" s="8">
        <v>17</v>
      </c>
      <c r="D19">
        <v>1069.3621665318999</v>
      </c>
      <c r="E19">
        <v>312.54729183508999</v>
      </c>
      <c r="F19">
        <v>142.45702811244999</v>
      </c>
      <c r="G19">
        <v>112.58875502008</v>
      </c>
      <c r="I19" s="9">
        <f t="shared" si="1"/>
        <v>199.95853681501001</v>
      </c>
      <c r="J19" s="9">
        <f t="shared" si="2"/>
        <v>926.90513841944994</v>
      </c>
      <c r="K19" s="9">
        <f t="shared" si="3"/>
        <v>199.95853681501001</v>
      </c>
      <c r="L19" s="10">
        <f t="shared" si="0"/>
        <v>0.21572707769856303</v>
      </c>
      <c r="M19" s="10">
        <f t="shared" si="4"/>
        <v>0.21646875806115781</v>
      </c>
      <c r="P19" s="8">
        <f t="shared" si="5"/>
        <v>-16.347848510043221</v>
      </c>
    </row>
    <row r="20" spans="1:16" x14ac:dyDescent="0.2">
      <c r="A20" s="8">
        <v>9</v>
      </c>
      <c r="B20" s="8">
        <v>18</v>
      </c>
      <c r="D20">
        <v>1071.3912691997</v>
      </c>
      <c r="E20">
        <v>317.26515763945002</v>
      </c>
      <c r="F20">
        <v>142.50200803212999</v>
      </c>
      <c r="G20">
        <v>112.84016064257</v>
      </c>
      <c r="I20" s="9">
        <f t="shared" si="1"/>
        <v>204.42499699688003</v>
      </c>
      <c r="J20" s="9">
        <f t="shared" si="2"/>
        <v>928.88926116757</v>
      </c>
      <c r="K20" s="9">
        <f t="shared" si="3"/>
        <v>204.42499699688003</v>
      </c>
      <c r="L20" s="10">
        <f t="shared" si="0"/>
        <v>0.22007466933133391</v>
      </c>
      <c r="M20" s="10">
        <f t="shared" si="4"/>
        <v>0.2208599779505519</v>
      </c>
      <c r="P20" s="8">
        <f t="shared" si="5"/>
        <v>-14.650906213596338</v>
      </c>
    </row>
    <row r="21" spans="1:16" x14ac:dyDescent="0.2">
      <c r="A21" s="8">
        <v>9.5</v>
      </c>
      <c r="B21" s="8">
        <v>19</v>
      </c>
      <c r="D21">
        <v>1067.0606305578001</v>
      </c>
      <c r="E21">
        <v>315.66046887631001</v>
      </c>
      <c r="F21">
        <v>142.49477911647</v>
      </c>
      <c r="G21">
        <v>112.79116465864</v>
      </c>
      <c r="I21" s="9">
        <f t="shared" si="1"/>
        <v>202.86930421766999</v>
      </c>
      <c r="J21" s="9">
        <f t="shared" si="2"/>
        <v>924.5658514413301</v>
      </c>
      <c r="K21" s="9">
        <f t="shared" si="3"/>
        <v>202.86930421766999</v>
      </c>
      <c r="L21" s="10">
        <f t="shared" si="0"/>
        <v>0.21942115199410803</v>
      </c>
      <c r="M21" s="10">
        <f t="shared" si="4"/>
        <v>0.22025008886994923</v>
      </c>
      <c r="P21" s="8">
        <f t="shared" si="5"/>
        <v>-14.886591650236717</v>
      </c>
    </row>
    <row r="22" spans="1:16" x14ac:dyDescent="0.2">
      <c r="A22" s="8">
        <v>10</v>
      </c>
      <c r="B22" s="8">
        <v>20</v>
      </c>
      <c r="D22">
        <v>1068.0485044462</v>
      </c>
      <c r="E22">
        <v>316.20048504445998</v>
      </c>
      <c r="F22">
        <v>142.71646586345</v>
      </c>
      <c r="G22">
        <v>112.79518072289</v>
      </c>
      <c r="I22" s="9">
        <f t="shared" si="1"/>
        <v>203.40530432156999</v>
      </c>
      <c r="J22" s="9">
        <f t="shared" si="2"/>
        <v>925.33203858274999</v>
      </c>
      <c r="K22" s="9">
        <f t="shared" si="3"/>
        <v>203.40530432156999</v>
      </c>
      <c r="L22" s="10">
        <f t="shared" si="0"/>
        <v>0.21981872002736236</v>
      </c>
      <c r="M22" s="10">
        <f t="shared" si="4"/>
        <v>0.22069128515982681</v>
      </c>
      <c r="P22" s="8">
        <f t="shared" si="5"/>
        <v>-14.716095828076467</v>
      </c>
    </row>
    <row r="23" spans="1:16" x14ac:dyDescent="0.2">
      <c r="A23" s="8">
        <v>10.5</v>
      </c>
      <c r="B23" s="8">
        <v>21</v>
      </c>
      <c r="D23">
        <v>1067.6410670978</v>
      </c>
      <c r="E23">
        <v>316.23282134196</v>
      </c>
      <c r="F23">
        <v>142.56305220883999</v>
      </c>
      <c r="G23">
        <v>113.00562248996</v>
      </c>
      <c r="I23" s="9">
        <f t="shared" si="1"/>
        <v>203.22719885200001</v>
      </c>
      <c r="J23" s="9">
        <f t="shared" si="2"/>
        <v>925.07801488896007</v>
      </c>
      <c r="K23" s="9">
        <f t="shared" si="3"/>
        <v>203.22719885200001</v>
      </c>
      <c r="L23" s="10">
        <f t="shared" si="0"/>
        <v>0.21968655138387869</v>
      </c>
      <c r="M23" s="10">
        <f t="shared" si="4"/>
        <v>0.22060274477296635</v>
      </c>
      <c r="P23" s="8">
        <f t="shared" si="5"/>
        <v>-14.750311360705604</v>
      </c>
    </row>
    <row r="24" spans="1:16" x14ac:dyDescent="0.2">
      <c r="A24" s="8">
        <v>11</v>
      </c>
      <c r="B24" s="8">
        <v>22</v>
      </c>
      <c r="D24">
        <v>1070.0873080032</v>
      </c>
      <c r="E24">
        <v>315.10751818916998</v>
      </c>
      <c r="F24">
        <v>142.44819277107999</v>
      </c>
      <c r="G24">
        <v>113.06506024095999</v>
      </c>
      <c r="I24" s="9">
        <f t="shared" si="1"/>
        <v>202.04245794820997</v>
      </c>
      <c r="J24" s="9">
        <f t="shared" si="2"/>
        <v>927.63911523211993</v>
      </c>
      <c r="K24" s="9">
        <f t="shared" si="3"/>
        <v>202.04245794820997</v>
      </c>
      <c r="L24" s="10">
        <f t="shared" si="0"/>
        <v>0.21780286603983229</v>
      </c>
      <c r="M24" s="10">
        <f t="shared" si="4"/>
        <v>0.21876268768554316</v>
      </c>
      <c r="P24" s="8">
        <f t="shared" si="5"/>
        <v>-15.461382720868375</v>
      </c>
    </row>
    <row r="25" spans="1:16" x14ac:dyDescent="0.2">
      <c r="A25" s="8">
        <v>11.5</v>
      </c>
      <c r="B25" s="8">
        <v>23</v>
      </c>
      <c r="D25">
        <v>1065.6620856912</v>
      </c>
      <c r="E25">
        <v>314.80679062246998</v>
      </c>
      <c r="F25">
        <v>142.47309236948001</v>
      </c>
      <c r="G25">
        <v>112.90281124498</v>
      </c>
      <c r="I25" s="9">
        <f t="shared" si="1"/>
        <v>201.90397937748997</v>
      </c>
      <c r="J25" s="9">
        <f t="shared" si="2"/>
        <v>923.18899332171998</v>
      </c>
      <c r="K25" s="9">
        <f t="shared" si="3"/>
        <v>201.90397937748997</v>
      </c>
      <c r="L25" s="10">
        <f t="shared" si="0"/>
        <v>0.21870275841463474</v>
      </c>
      <c r="M25" s="10">
        <f t="shared" si="4"/>
        <v>0.21970620831696885</v>
      </c>
      <c r="P25" s="8">
        <f t="shared" si="5"/>
        <v>-15.096768762249816</v>
      </c>
    </row>
    <row r="26" spans="1:16" x14ac:dyDescent="0.2">
      <c r="A26" s="8">
        <v>12</v>
      </c>
      <c r="B26" s="8">
        <v>24</v>
      </c>
      <c r="D26">
        <v>1061.8165728076999</v>
      </c>
      <c r="E26">
        <v>316.90426387771998</v>
      </c>
      <c r="F26">
        <v>142.4859437751</v>
      </c>
      <c r="G26">
        <v>113.08032128514</v>
      </c>
      <c r="I26" s="9">
        <f t="shared" si="1"/>
        <v>203.82394259257998</v>
      </c>
      <c r="J26" s="9">
        <f t="shared" si="2"/>
        <v>919.33062903259997</v>
      </c>
      <c r="K26" s="9">
        <f t="shared" si="3"/>
        <v>203.82394259257998</v>
      </c>
      <c r="L26" s="10">
        <f t="shared" si="0"/>
        <v>0.22170907414132535</v>
      </c>
      <c r="M26" s="10">
        <f t="shared" si="4"/>
        <v>0.22275615230028267</v>
      </c>
      <c r="P26" s="8">
        <f t="shared" si="5"/>
        <v>-13.918148907758074</v>
      </c>
    </row>
    <row r="27" spans="1:16" x14ac:dyDescent="0.2">
      <c r="A27" s="8">
        <v>12.5</v>
      </c>
      <c r="B27" s="8">
        <v>25</v>
      </c>
      <c r="D27">
        <v>1063.0136765888999</v>
      </c>
      <c r="E27">
        <v>314.74416733709</v>
      </c>
      <c r="F27">
        <v>142.47148594378001</v>
      </c>
      <c r="G27">
        <v>113.03132530121</v>
      </c>
      <c r="I27" s="9">
        <f t="shared" si="1"/>
        <v>201.71284203587999</v>
      </c>
      <c r="J27" s="9">
        <f t="shared" si="2"/>
        <v>920.54219064511994</v>
      </c>
      <c r="K27" s="9">
        <f t="shared" si="3"/>
        <v>201.71284203587999</v>
      </c>
      <c r="L27" s="10">
        <f t="shared" si="0"/>
        <v>0.21912395117329578</v>
      </c>
      <c r="M27" s="10">
        <f t="shared" si="4"/>
        <v>0.22021465758887632</v>
      </c>
      <c r="P27" s="8">
        <f t="shared" si="5"/>
        <v>-14.900283708704375</v>
      </c>
    </row>
    <row r="28" spans="1:16" x14ac:dyDescent="0.2">
      <c r="A28" s="8">
        <v>13</v>
      </c>
      <c r="B28" s="8">
        <v>26</v>
      </c>
      <c r="D28">
        <v>1060.5430410298</v>
      </c>
      <c r="E28">
        <v>315.06275140788</v>
      </c>
      <c r="F28">
        <v>142.31405622490001</v>
      </c>
      <c r="G28">
        <v>113.01927710843</v>
      </c>
      <c r="I28" s="9">
        <f t="shared" si="1"/>
        <v>202.04347429945</v>
      </c>
      <c r="J28" s="9">
        <f t="shared" si="2"/>
        <v>918.22898480489994</v>
      </c>
      <c r="K28" s="9">
        <f t="shared" si="3"/>
        <v>202.04347429945</v>
      </c>
      <c r="L28" s="10">
        <f t="shared" si="0"/>
        <v>0.22003604508561558</v>
      </c>
      <c r="M28" s="10">
        <f t="shared" si="4"/>
        <v>0.22117037975781936</v>
      </c>
      <c r="P28" s="8">
        <f t="shared" si="5"/>
        <v>-14.53095458992158</v>
      </c>
    </row>
    <row r="29" spans="1:16" x14ac:dyDescent="0.2">
      <c r="A29" s="8">
        <v>13.5</v>
      </c>
      <c r="B29" s="8">
        <v>27</v>
      </c>
      <c r="D29">
        <v>1055.0008045052</v>
      </c>
      <c r="E29">
        <v>313.12469831054</v>
      </c>
      <c r="F29">
        <v>142.53975903615</v>
      </c>
      <c r="G29">
        <v>113.13734939759</v>
      </c>
      <c r="I29" s="9">
        <f t="shared" si="1"/>
        <v>199.98734891294998</v>
      </c>
      <c r="J29" s="9">
        <f t="shared" si="2"/>
        <v>912.46104546904996</v>
      </c>
      <c r="K29" s="9">
        <f t="shared" si="3"/>
        <v>199.98734891294998</v>
      </c>
      <c r="L29" s="10">
        <f t="shared" si="0"/>
        <v>0.21917357448409935</v>
      </c>
      <c r="M29" s="10">
        <f t="shared" si="4"/>
        <v>0.22035153741292635</v>
      </c>
      <c r="P29" s="8">
        <f t="shared" si="5"/>
        <v>-14.847387891867303</v>
      </c>
    </row>
    <row r="30" spans="1:16" x14ac:dyDescent="0.2">
      <c r="A30" s="8">
        <v>14</v>
      </c>
      <c r="B30" s="8">
        <v>28</v>
      </c>
      <c r="D30">
        <v>1061.0201126306999</v>
      </c>
      <c r="E30">
        <v>312.47546259051001</v>
      </c>
      <c r="F30">
        <v>142.58795180723001</v>
      </c>
      <c r="G30">
        <v>113.26907630522</v>
      </c>
      <c r="I30" s="9">
        <f t="shared" si="1"/>
        <v>199.20638628529002</v>
      </c>
      <c r="J30" s="9">
        <f t="shared" si="2"/>
        <v>918.43216082346999</v>
      </c>
      <c r="K30" s="9">
        <f t="shared" si="3"/>
        <v>199.20638628529002</v>
      </c>
      <c r="L30" s="10">
        <f t="shared" si="0"/>
        <v>0.21689831299753351</v>
      </c>
      <c r="M30" s="10">
        <f t="shared" si="4"/>
        <v>0.21811990418298371</v>
      </c>
      <c r="P30" s="8">
        <f t="shared" si="5"/>
        <v>-15.709779872554144</v>
      </c>
    </row>
    <row r="31" spans="1:16" x14ac:dyDescent="0.2">
      <c r="A31" s="8">
        <v>14.5</v>
      </c>
      <c r="B31" s="8">
        <v>29</v>
      </c>
      <c r="D31">
        <v>1053.8101367659001</v>
      </c>
      <c r="E31">
        <v>313.63555913112998</v>
      </c>
      <c r="F31">
        <v>142.32449799196999</v>
      </c>
      <c r="G31">
        <v>112.86907630522001</v>
      </c>
      <c r="I31" s="9">
        <f t="shared" si="1"/>
        <v>200.76648282590997</v>
      </c>
      <c r="J31" s="9">
        <f t="shared" si="2"/>
        <v>911.48563877393008</v>
      </c>
      <c r="K31" s="9">
        <f t="shared" si="3"/>
        <v>200.76648282590997</v>
      </c>
      <c r="L31" s="10">
        <f t="shared" si="0"/>
        <v>0.22026291395656844</v>
      </c>
      <c r="M31" s="10">
        <f t="shared" si="4"/>
        <v>0.22152813339864189</v>
      </c>
      <c r="P31" s="8">
        <f t="shared" si="5"/>
        <v>-14.392704331426012</v>
      </c>
    </row>
    <row r="32" spans="1:16" x14ac:dyDescent="0.2">
      <c r="A32" s="8">
        <v>15</v>
      </c>
      <c r="B32" s="8">
        <v>30</v>
      </c>
      <c r="D32">
        <v>1047.7135961383999</v>
      </c>
      <c r="E32">
        <v>312.38535800482998</v>
      </c>
      <c r="F32">
        <v>143.14698795180999</v>
      </c>
      <c r="G32">
        <v>113.42489959839</v>
      </c>
      <c r="I32" s="9">
        <f t="shared" si="1"/>
        <v>198.96045840643998</v>
      </c>
      <c r="J32" s="9">
        <f t="shared" si="2"/>
        <v>904.56660818658997</v>
      </c>
      <c r="K32" s="9">
        <f t="shared" si="3"/>
        <v>198.96045840643998</v>
      </c>
      <c r="L32" s="10">
        <f t="shared" si="0"/>
        <v>0.21995114191237017</v>
      </c>
      <c r="M32" s="10">
        <f t="shared" si="4"/>
        <v>0.22125998961106683</v>
      </c>
      <c r="P32" s="8">
        <f t="shared" si="5"/>
        <v>-14.49632577287662</v>
      </c>
    </row>
    <row r="33" spans="1:16" x14ac:dyDescent="0.2">
      <c r="A33" s="8">
        <v>15.5</v>
      </c>
      <c r="B33" s="8">
        <v>31</v>
      </c>
      <c r="D33">
        <v>1054.8857602574001</v>
      </c>
      <c r="E33">
        <v>312.15285599356002</v>
      </c>
      <c r="F33">
        <v>142.92771084336999</v>
      </c>
      <c r="G33">
        <v>113.34457831325</v>
      </c>
      <c r="I33" s="9">
        <f t="shared" si="1"/>
        <v>198.80827768031003</v>
      </c>
      <c r="J33" s="9">
        <f t="shared" si="2"/>
        <v>911.95804941403003</v>
      </c>
      <c r="K33" s="9">
        <f t="shared" si="3"/>
        <v>198.80827768031003</v>
      </c>
      <c r="L33" s="10">
        <f t="shared" si="0"/>
        <v>0.21800156027796716</v>
      </c>
      <c r="M33" s="10">
        <f t="shared" si="4"/>
        <v>0.21935403623328703</v>
      </c>
      <c r="P33" s="8">
        <f t="shared" si="5"/>
        <v>-15.232862084716064</v>
      </c>
    </row>
    <row r="34" spans="1:16" x14ac:dyDescent="0.2">
      <c r="A34" s="8">
        <v>16</v>
      </c>
      <c r="B34" s="8">
        <v>32</v>
      </c>
      <c r="D34">
        <v>1052.8431214802999</v>
      </c>
      <c r="E34">
        <v>312.87449718422999</v>
      </c>
      <c r="F34">
        <v>142.69959839357</v>
      </c>
      <c r="G34">
        <v>113.17028112449999</v>
      </c>
      <c r="I34" s="9">
        <f t="shared" si="1"/>
        <v>199.70421605973002</v>
      </c>
      <c r="J34" s="9">
        <f t="shared" si="2"/>
        <v>910.14352308672994</v>
      </c>
      <c r="K34" s="9">
        <f t="shared" si="3"/>
        <v>199.70421605973002</v>
      </c>
      <c r="L34" s="10">
        <f t="shared" si="0"/>
        <v>0.21942057597953118</v>
      </c>
      <c r="M34" s="10">
        <f t="shared" si="4"/>
        <v>0.2208166801914743</v>
      </c>
      <c r="P34" s="8">
        <f t="shared" si="5"/>
        <v>-14.667638192538593</v>
      </c>
    </row>
    <row r="35" spans="1:16" x14ac:dyDescent="0.2">
      <c r="A35" s="8">
        <v>16.5</v>
      </c>
      <c r="B35" s="8">
        <v>33</v>
      </c>
      <c r="D35">
        <v>1044.8165728076999</v>
      </c>
      <c r="E35">
        <v>321.96781979082999</v>
      </c>
      <c r="F35">
        <v>142.77831325301</v>
      </c>
      <c r="G35">
        <v>113.39518072289</v>
      </c>
      <c r="I35" s="9">
        <f t="shared" si="1"/>
        <v>208.57263906793997</v>
      </c>
      <c r="J35" s="9">
        <f t="shared" si="2"/>
        <v>902.03825955468994</v>
      </c>
      <c r="K35" s="9">
        <f t="shared" si="3"/>
        <v>208.57263906793997</v>
      </c>
      <c r="L35" s="10">
        <f t="shared" si="0"/>
        <v>0.23122371679767356</v>
      </c>
      <c r="M35" s="10">
        <f t="shared" si="4"/>
        <v>0.23266344926623989</v>
      </c>
      <c r="P35" s="8">
        <f t="shared" si="5"/>
        <v>-10.089574687278208</v>
      </c>
    </row>
    <row r="36" spans="1:16" x14ac:dyDescent="0.2">
      <c r="A36" s="8">
        <v>17</v>
      </c>
      <c r="B36" s="8">
        <v>34</v>
      </c>
      <c r="D36">
        <v>1043.9139179404999</v>
      </c>
      <c r="E36">
        <v>325.74658085278003</v>
      </c>
      <c r="F36">
        <v>142.38634538152999</v>
      </c>
      <c r="G36">
        <v>113.28915662651001</v>
      </c>
      <c r="I36" s="9">
        <f t="shared" si="1"/>
        <v>212.45742422627001</v>
      </c>
      <c r="J36" s="9">
        <f t="shared" si="2"/>
        <v>901.52757255896995</v>
      </c>
      <c r="K36" s="9">
        <f t="shared" si="3"/>
        <v>212.45742422627001</v>
      </c>
      <c r="L36" s="10">
        <f t="shared" si="0"/>
        <v>0.23566381183796009</v>
      </c>
      <c r="M36" s="10">
        <f t="shared" si="4"/>
        <v>0.23714717256314963</v>
      </c>
      <c r="P36" s="8">
        <f t="shared" si="5"/>
        <v>-8.3568853891478287</v>
      </c>
    </row>
    <row r="37" spans="1:16" x14ac:dyDescent="0.2">
      <c r="A37" s="8">
        <v>17.5</v>
      </c>
      <c r="B37" s="8">
        <v>35</v>
      </c>
      <c r="D37">
        <v>1044.3668543845999</v>
      </c>
      <c r="E37">
        <v>318.22847948511998</v>
      </c>
      <c r="F37">
        <v>143.10361445782999</v>
      </c>
      <c r="G37">
        <v>112.94939759035999</v>
      </c>
      <c r="I37" s="9">
        <f t="shared" si="1"/>
        <v>205.27908189476</v>
      </c>
      <c r="J37" s="9">
        <f t="shared" si="2"/>
        <v>901.26323992676998</v>
      </c>
      <c r="K37" s="9">
        <f t="shared" si="3"/>
        <v>205.27908189476</v>
      </c>
      <c r="L37" s="10">
        <f t="shared" si="0"/>
        <v>0.22776817338232885</v>
      </c>
      <c r="M37" s="10">
        <f t="shared" si="4"/>
        <v>0.22929516236414163</v>
      </c>
      <c r="P37" s="8">
        <f t="shared" si="5"/>
        <v>-11.391214927281593</v>
      </c>
    </row>
    <row r="38" spans="1:16" x14ac:dyDescent="0.2">
      <c r="A38" s="8">
        <v>18</v>
      </c>
      <c r="B38" s="8">
        <v>36</v>
      </c>
      <c r="D38">
        <v>1048.3491552695</v>
      </c>
      <c r="E38">
        <v>317.68463395011997</v>
      </c>
      <c r="F38">
        <v>142.74939759035999</v>
      </c>
      <c r="G38">
        <v>113.33012048193</v>
      </c>
      <c r="I38" s="9">
        <f t="shared" si="1"/>
        <v>204.35451346818996</v>
      </c>
      <c r="J38" s="9">
        <f t="shared" si="2"/>
        <v>905.59975767914</v>
      </c>
      <c r="K38" s="9">
        <f t="shared" si="3"/>
        <v>204.35451346818996</v>
      </c>
      <c r="L38" s="10">
        <f t="shared" si="0"/>
        <v>0.22565654610145569</v>
      </c>
      <c r="M38" s="10">
        <f t="shared" si="4"/>
        <v>0.22722716333989168</v>
      </c>
      <c r="P38" s="8">
        <f t="shared" si="5"/>
        <v>-12.190372132261562</v>
      </c>
    </row>
    <row r="39" spans="1:16" x14ac:dyDescent="0.2">
      <c r="A39" s="8">
        <v>18.5</v>
      </c>
      <c r="B39" s="8">
        <v>37</v>
      </c>
      <c r="D39">
        <v>1036.9396621077999</v>
      </c>
      <c r="E39">
        <v>315.59613837490002</v>
      </c>
      <c r="F39">
        <v>143.09799196787</v>
      </c>
      <c r="G39">
        <v>113.10763052209001</v>
      </c>
      <c r="I39" s="9">
        <f t="shared" si="1"/>
        <v>202.48850785281002</v>
      </c>
      <c r="J39" s="9">
        <f t="shared" si="2"/>
        <v>893.84167013992987</v>
      </c>
      <c r="K39" s="9">
        <f t="shared" si="3"/>
        <v>202.48850785281002</v>
      </c>
      <c r="L39" s="10">
        <f t="shared" si="0"/>
        <v>0.22653733274832744</v>
      </c>
      <c r="M39" s="10">
        <f t="shared" si="4"/>
        <v>0.22815157824338664</v>
      </c>
      <c r="P39" s="8">
        <f t="shared" si="5"/>
        <v>-11.833141388022311</v>
      </c>
    </row>
    <row r="40" spans="1:16" x14ac:dyDescent="0.2">
      <c r="A40" s="8">
        <v>19</v>
      </c>
      <c r="B40" s="8">
        <v>38</v>
      </c>
      <c r="D40">
        <v>1046.9887910328</v>
      </c>
      <c r="E40">
        <v>314.51641313049998</v>
      </c>
      <c r="F40">
        <v>142.60240963855</v>
      </c>
      <c r="G40">
        <v>113.58554216868001</v>
      </c>
      <c r="I40" s="9">
        <f t="shared" si="1"/>
        <v>200.93087096181998</v>
      </c>
      <c r="J40" s="9">
        <f t="shared" si="2"/>
        <v>904.38638139425007</v>
      </c>
      <c r="K40" s="9">
        <f t="shared" si="3"/>
        <v>200.93087096181998</v>
      </c>
      <c r="L40" s="10">
        <f t="shared" si="0"/>
        <v>0.22217370262923938</v>
      </c>
      <c r="M40" s="10">
        <f t="shared" si="4"/>
        <v>0.22383157638092183</v>
      </c>
      <c r="P40" s="8">
        <f t="shared" si="5"/>
        <v>-13.502562201781048</v>
      </c>
    </row>
    <row r="41" spans="1:16" x14ac:dyDescent="0.2">
      <c r="A41" s="8">
        <v>19.5</v>
      </c>
      <c r="B41" s="8">
        <v>39</v>
      </c>
      <c r="D41">
        <v>1041.9623698959001</v>
      </c>
      <c r="E41">
        <v>311.88230584467999</v>
      </c>
      <c r="F41">
        <v>142.94136546185001</v>
      </c>
      <c r="G41">
        <v>113.28915662651001</v>
      </c>
      <c r="I41" s="9">
        <f t="shared" si="1"/>
        <v>198.59314921816997</v>
      </c>
      <c r="J41" s="9">
        <f t="shared" si="2"/>
        <v>899.02100443405016</v>
      </c>
      <c r="K41" s="9">
        <f t="shared" si="3"/>
        <v>198.59314921816997</v>
      </c>
      <c r="L41" s="10">
        <f t="shared" si="0"/>
        <v>0.22089934299498143</v>
      </c>
      <c r="M41" s="10">
        <f t="shared" si="4"/>
        <v>0.22260084500328708</v>
      </c>
      <c r="P41" s="8">
        <f t="shared" si="5"/>
        <v>-13.978165834228824</v>
      </c>
    </row>
    <row r="42" spans="1:16" x14ac:dyDescent="0.2">
      <c r="A42" s="8">
        <v>20</v>
      </c>
      <c r="B42" s="8">
        <v>40</v>
      </c>
      <c r="D42">
        <v>1041.8975180144</v>
      </c>
      <c r="E42">
        <v>312.77101681344999</v>
      </c>
      <c r="F42">
        <v>142.83132530121</v>
      </c>
      <c r="G42">
        <v>113.11646586345</v>
      </c>
      <c r="I42" s="9">
        <f t="shared" si="1"/>
        <v>199.65455094999999</v>
      </c>
      <c r="J42" s="9">
        <f t="shared" si="2"/>
        <v>899.06619271319005</v>
      </c>
      <c r="K42" s="9">
        <f t="shared" si="3"/>
        <v>199.65455094999999</v>
      </c>
      <c r="L42" s="10">
        <f t="shared" si="0"/>
        <v>0.22206880046004748</v>
      </c>
      <c r="M42" s="10">
        <f t="shared" si="4"/>
        <v>0.22381393072497635</v>
      </c>
      <c r="P42" s="8">
        <f t="shared" si="5"/>
        <v>-13.509381186180978</v>
      </c>
    </row>
    <row r="43" spans="1:16" x14ac:dyDescent="0.2">
      <c r="A43" s="8">
        <v>20.5</v>
      </c>
      <c r="B43" s="8">
        <v>41</v>
      </c>
      <c r="D43">
        <v>1034.6477181744999</v>
      </c>
      <c r="E43">
        <v>315.38831064852002</v>
      </c>
      <c r="F43">
        <v>142.58795180723001</v>
      </c>
      <c r="G43">
        <v>113.34939759036</v>
      </c>
      <c r="I43" s="9">
        <f t="shared" si="1"/>
        <v>202.03891305816001</v>
      </c>
      <c r="J43" s="9">
        <f t="shared" si="2"/>
        <v>892.05976636726996</v>
      </c>
      <c r="K43" s="9">
        <f t="shared" si="3"/>
        <v>202.03891305816001</v>
      </c>
      <c r="L43" s="10">
        <f t="shared" si="0"/>
        <v>0.22648584845488767</v>
      </c>
      <c r="M43" s="10">
        <f t="shared" si="4"/>
        <v>0.22827460697643978</v>
      </c>
      <c r="P43" s="8">
        <f t="shared" si="5"/>
        <v>-11.785598184526537</v>
      </c>
    </row>
    <row r="44" spans="1:16" x14ac:dyDescent="0.2">
      <c r="A44" s="8">
        <v>21</v>
      </c>
      <c r="B44" s="8">
        <v>42</v>
      </c>
      <c r="D44">
        <v>1033.1801441153</v>
      </c>
      <c r="E44">
        <v>314.94235388311</v>
      </c>
      <c r="F44">
        <v>142.82329317269</v>
      </c>
      <c r="G44">
        <v>113.43935742972</v>
      </c>
      <c r="I44" s="9">
        <f t="shared" si="1"/>
        <v>201.50299645338998</v>
      </c>
      <c r="J44" s="9">
        <f t="shared" si="2"/>
        <v>890.35685094260998</v>
      </c>
      <c r="K44" s="9">
        <f t="shared" si="3"/>
        <v>201.50299645338998</v>
      </c>
      <c r="L44" s="10">
        <f t="shared" si="0"/>
        <v>0.22631711795114645</v>
      </c>
      <c r="M44" s="10">
        <f t="shared" si="4"/>
        <v>0.22814950472932177</v>
      </c>
      <c r="P44" s="8">
        <f t="shared" si="5"/>
        <v>-11.833942676458683</v>
      </c>
    </row>
    <row r="45" spans="1:16" x14ac:dyDescent="0.2">
      <c r="A45" s="8">
        <v>21.5</v>
      </c>
      <c r="B45" s="8">
        <v>43</v>
      </c>
      <c r="D45">
        <v>1031.0592473979</v>
      </c>
      <c r="E45">
        <v>327.28262610088001</v>
      </c>
      <c r="F45">
        <v>142.44738955822999</v>
      </c>
      <c r="G45">
        <v>113.50763052209</v>
      </c>
      <c r="I45" s="9">
        <f t="shared" si="1"/>
        <v>213.77499557879003</v>
      </c>
      <c r="J45" s="9">
        <f t="shared" si="2"/>
        <v>888.61185783966994</v>
      </c>
      <c r="K45" s="9">
        <f t="shared" si="3"/>
        <v>213.77499557879003</v>
      </c>
      <c r="L45" s="10">
        <f t="shared" si="0"/>
        <v>0.24057184663110914</v>
      </c>
      <c r="M45" s="10">
        <f t="shared" si="4"/>
        <v>0.24244786166590768</v>
      </c>
      <c r="P45" s="8">
        <f t="shared" si="5"/>
        <v>-6.3084879585135019</v>
      </c>
    </row>
    <row r="46" spans="1:16" x14ac:dyDescent="0.2">
      <c r="A46" s="8">
        <v>22</v>
      </c>
      <c r="B46" s="8">
        <v>44</v>
      </c>
      <c r="D46">
        <v>1047.9207365893001</v>
      </c>
      <c r="E46">
        <v>323.89831865491999</v>
      </c>
      <c r="F46">
        <v>143.45863453814999</v>
      </c>
      <c r="G46">
        <v>113.43052208835</v>
      </c>
      <c r="I46" s="9">
        <f t="shared" si="1"/>
        <v>210.46779656656997</v>
      </c>
      <c r="J46" s="9">
        <f t="shared" si="2"/>
        <v>904.46210205115005</v>
      </c>
      <c r="K46" s="9">
        <f t="shared" si="3"/>
        <v>210.46779656656997</v>
      </c>
      <c r="L46" s="10">
        <f t="shared" si="0"/>
        <v>0.23269940895176103</v>
      </c>
      <c r="M46" s="10">
        <f t="shared" si="4"/>
        <v>0.2346190522431828</v>
      </c>
      <c r="P46" s="8">
        <f t="shared" si="5"/>
        <v>-9.333851792451874</v>
      </c>
    </row>
    <row r="47" spans="1:16" x14ac:dyDescent="0.2">
      <c r="A47" s="8">
        <v>22.5</v>
      </c>
      <c r="B47" s="8">
        <v>45</v>
      </c>
      <c r="D47">
        <v>1052.1961569255</v>
      </c>
      <c r="E47">
        <v>320.90552441953997</v>
      </c>
      <c r="F47">
        <v>142.68755020079999</v>
      </c>
      <c r="G47">
        <v>113.63694779117</v>
      </c>
      <c r="I47" s="9">
        <f t="shared" si="1"/>
        <v>207.26857662836997</v>
      </c>
      <c r="J47" s="9">
        <f t="shared" si="2"/>
        <v>909.50860672470003</v>
      </c>
      <c r="K47" s="9">
        <f t="shared" si="3"/>
        <v>207.26857662836997</v>
      </c>
      <c r="L47" s="10">
        <f t="shared" si="0"/>
        <v>0.22789072593252357</v>
      </c>
      <c r="M47" s="10">
        <f t="shared" si="4"/>
        <v>0.22985399748056856</v>
      </c>
      <c r="P47" s="8">
        <f t="shared" si="5"/>
        <v>-11.175258776214077</v>
      </c>
    </row>
    <row r="48" spans="1:16" x14ac:dyDescent="0.2">
      <c r="A48" s="8">
        <v>23</v>
      </c>
      <c r="B48" s="8">
        <v>46</v>
      </c>
      <c r="D48">
        <v>1041.0152121696999</v>
      </c>
      <c r="E48">
        <v>319.78542834267</v>
      </c>
      <c r="F48">
        <v>142.81767068273001</v>
      </c>
      <c r="G48">
        <v>113.69638554217001</v>
      </c>
      <c r="I48" s="9">
        <f t="shared" si="1"/>
        <v>206.08904280050001</v>
      </c>
      <c r="J48" s="9">
        <f t="shared" si="2"/>
        <v>898.19754148696984</v>
      </c>
      <c r="K48" s="9">
        <f t="shared" si="3"/>
        <v>206.08904280050001</v>
      </c>
      <c r="L48" s="10">
        <f t="shared" si="0"/>
        <v>0.22944734680448883</v>
      </c>
      <c r="M48" s="10">
        <f t="shared" si="4"/>
        <v>0.23145424660915703</v>
      </c>
      <c r="P48" s="8">
        <f t="shared" si="5"/>
        <v>-10.55685876447412</v>
      </c>
    </row>
    <row r="49" spans="1:25" x14ac:dyDescent="0.2">
      <c r="A49" s="8">
        <v>23.5</v>
      </c>
      <c r="B49" s="8">
        <v>47</v>
      </c>
      <c r="D49">
        <v>1043.1713370697</v>
      </c>
      <c r="E49">
        <v>318.72137710167999</v>
      </c>
      <c r="F49">
        <v>142.98955823292999</v>
      </c>
      <c r="G49">
        <v>113.70120481927999</v>
      </c>
      <c r="I49" s="9">
        <f t="shared" si="1"/>
        <v>205.02017228239998</v>
      </c>
      <c r="J49" s="9">
        <f t="shared" si="2"/>
        <v>900.18177883677004</v>
      </c>
      <c r="K49" s="9">
        <f t="shared" si="3"/>
        <v>205.02017228239998</v>
      </c>
      <c r="L49" s="10">
        <f t="shared" si="0"/>
        <v>0.22775419043399264</v>
      </c>
      <c r="M49" s="10">
        <f t="shared" si="4"/>
        <v>0.22980471849528408</v>
      </c>
      <c r="P49" s="8">
        <f t="shared" si="5"/>
        <v>-11.194302139234269</v>
      </c>
    </row>
    <row r="50" spans="1:25" x14ac:dyDescent="0.2">
      <c r="A50" s="8">
        <v>24</v>
      </c>
      <c r="B50" s="8">
        <v>48</v>
      </c>
      <c r="D50">
        <v>1047.8454763811001</v>
      </c>
      <c r="E50">
        <v>320.20336269015002</v>
      </c>
      <c r="F50">
        <v>143.07309236948001</v>
      </c>
      <c r="G50">
        <v>113.91325301205001</v>
      </c>
      <c r="I50" s="9">
        <f t="shared" si="1"/>
        <v>206.29010967810001</v>
      </c>
      <c r="J50" s="9">
        <f t="shared" si="2"/>
        <v>904.77238401162003</v>
      </c>
      <c r="K50" s="9">
        <f t="shared" si="3"/>
        <v>206.29010967810001</v>
      </c>
      <c r="L50" s="10">
        <f t="shared" si="0"/>
        <v>0.22800221726865905</v>
      </c>
      <c r="M50" s="10">
        <f t="shared" si="4"/>
        <v>0.2300963735865737</v>
      </c>
      <c r="P50" s="8">
        <f t="shared" si="5"/>
        <v>-11.081594993418413</v>
      </c>
    </row>
    <row r="51" spans="1:25" x14ac:dyDescent="0.2">
      <c r="A51" s="8">
        <v>24.5</v>
      </c>
      <c r="B51" s="8">
        <v>49</v>
      </c>
      <c r="D51">
        <v>1045.3434747798001</v>
      </c>
      <c r="E51">
        <v>319.20416333066999</v>
      </c>
      <c r="F51">
        <v>143.23694779117</v>
      </c>
      <c r="G51">
        <v>113.98152610442</v>
      </c>
      <c r="I51" s="9">
        <f t="shared" si="1"/>
        <v>205.22263722624999</v>
      </c>
      <c r="J51" s="9">
        <f t="shared" si="2"/>
        <v>902.10652698863009</v>
      </c>
      <c r="K51" s="9">
        <f t="shared" si="3"/>
        <v>205.22263722624999</v>
      </c>
      <c r="L51" s="10">
        <f t="shared" si="0"/>
        <v>0.22749268638074777</v>
      </c>
      <c r="M51" s="10">
        <f t="shared" si="4"/>
        <v>0.22963047095528566</v>
      </c>
      <c r="P51" s="8">
        <f t="shared" si="5"/>
        <v>-11.261638330115828</v>
      </c>
    </row>
    <row r="52" spans="1:25" x14ac:dyDescent="0.2">
      <c r="A52" s="8">
        <v>25</v>
      </c>
      <c r="B52" s="8">
        <v>50</v>
      </c>
      <c r="D52">
        <v>1048.6076861489</v>
      </c>
      <c r="E52">
        <v>318.35868694956002</v>
      </c>
      <c r="F52">
        <v>142.70763052209</v>
      </c>
      <c r="G52">
        <v>113.39759036145</v>
      </c>
      <c r="I52" s="9">
        <f t="shared" si="1"/>
        <v>204.96109658811002</v>
      </c>
      <c r="J52" s="9">
        <f t="shared" si="2"/>
        <v>905.90005562681006</v>
      </c>
      <c r="K52" s="9">
        <f t="shared" si="3"/>
        <v>204.96109658811002</v>
      </c>
      <c r="L52" s="10">
        <f t="shared" si="0"/>
        <v>0.2262513345871178</v>
      </c>
      <c r="M52" s="10">
        <f t="shared" si="4"/>
        <v>0.2284327474182789</v>
      </c>
      <c r="P52" s="8">
        <f t="shared" si="5"/>
        <v>-11.724486418025444</v>
      </c>
    </row>
    <row r="53" spans="1:25" x14ac:dyDescent="0.2">
      <c r="A53" s="8">
        <v>25.5</v>
      </c>
      <c r="B53" s="8">
        <v>51</v>
      </c>
      <c r="D53">
        <v>1048.4187349880001</v>
      </c>
      <c r="E53">
        <v>317.20096076862001</v>
      </c>
      <c r="F53">
        <v>143.59357429719</v>
      </c>
      <c r="G53">
        <v>113.39598393574001</v>
      </c>
      <c r="I53" s="9">
        <f t="shared" si="1"/>
        <v>203.80497683288002</v>
      </c>
      <c r="J53" s="9">
        <f t="shared" si="2"/>
        <v>904.82516069081009</v>
      </c>
      <c r="K53" s="9">
        <f t="shared" si="3"/>
        <v>203.80497683288002</v>
      </c>
      <c r="L53" s="10">
        <f t="shared" si="0"/>
        <v>0.22524238459204682</v>
      </c>
      <c r="M53" s="10">
        <f t="shared" si="4"/>
        <v>0.22746742567983114</v>
      </c>
      <c r="P53" s="8">
        <f t="shared" si="5"/>
        <v>-12.097525192878889</v>
      </c>
      <c r="S53" s="11"/>
      <c r="U53" s="12"/>
    </row>
    <row r="54" spans="1:25" x14ac:dyDescent="0.2">
      <c r="A54" s="8">
        <v>26</v>
      </c>
      <c r="B54" s="8">
        <v>52</v>
      </c>
      <c r="D54">
        <v>1042.771817454</v>
      </c>
      <c r="E54">
        <v>316.66853482786001</v>
      </c>
      <c r="F54">
        <v>143.6281124498</v>
      </c>
      <c r="G54">
        <v>113.80321285141</v>
      </c>
      <c r="I54" s="9">
        <f t="shared" si="1"/>
        <v>202.86532197645002</v>
      </c>
      <c r="J54" s="9">
        <f t="shared" si="2"/>
        <v>899.1437050042</v>
      </c>
      <c r="K54" s="9">
        <f t="shared" si="3"/>
        <v>202.86532197645002</v>
      </c>
      <c r="L54" s="10">
        <f t="shared" si="0"/>
        <v>0.22562057749767866</v>
      </c>
      <c r="M54" s="10">
        <f t="shared" si="4"/>
        <v>0.22788924684208622</v>
      </c>
      <c r="P54" s="8">
        <f t="shared" si="5"/>
        <v>-11.934516691870799</v>
      </c>
      <c r="S54" s="11"/>
    </row>
    <row r="55" spans="1:25" x14ac:dyDescent="0.2">
      <c r="A55" s="8">
        <v>26.5</v>
      </c>
      <c r="B55" s="8">
        <v>53</v>
      </c>
      <c r="D55">
        <v>1047.6885508406999</v>
      </c>
      <c r="E55">
        <v>320.3418734988</v>
      </c>
      <c r="F55">
        <v>143.58152610441999</v>
      </c>
      <c r="G55">
        <v>114.02570281125</v>
      </c>
      <c r="I55" s="9">
        <f t="shared" si="1"/>
        <v>206.31617068755</v>
      </c>
      <c r="J55" s="9">
        <f t="shared" si="2"/>
        <v>904.10702473627998</v>
      </c>
      <c r="K55" s="9">
        <f t="shared" si="3"/>
        <v>206.31617068755</v>
      </c>
      <c r="L55" s="10">
        <f t="shared" si="0"/>
        <v>0.22819883602577981</v>
      </c>
      <c r="M55" s="10">
        <f t="shared" si="4"/>
        <v>0.23051113362681058</v>
      </c>
      <c r="P55" s="8">
        <f t="shared" si="5"/>
        <v>-10.921315191249112</v>
      </c>
      <c r="S55" s="11"/>
    </row>
    <row r="56" spans="1:25" x14ac:dyDescent="0.2">
      <c r="A56" s="8">
        <v>27</v>
      </c>
      <c r="B56" s="8">
        <v>54</v>
      </c>
      <c r="D56">
        <v>1038.8486789432</v>
      </c>
      <c r="E56">
        <v>315.60688550841002</v>
      </c>
      <c r="F56">
        <v>143.18072289157001</v>
      </c>
      <c r="G56">
        <v>113.94779116466</v>
      </c>
      <c r="I56" s="9">
        <f t="shared" si="1"/>
        <v>201.65909434375001</v>
      </c>
      <c r="J56" s="9">
        <f t="shared" si="2"/>
        <v>895.66795605162997</v>
      </c>
      <c r="K56" s="9">
        <f t="shared" si="3"/>
        <v>201.65909434375001</v>
      </c>
      <c r="L56" s="10">
        <f t="shared" si="0"/>
        <v>0.22514939044232768</v>
      </c>
      <c r="M56" s="10">
        <f t="shared" si="4"/>
        <v>0.22750531629998166</v>
      </c>
      <c r="P56" s="8">
        <f t="shared" si="5"/>
        <v>-12.082882747819982</v>
      </c>
      <c r="S56" s="11"/>
    </row>
    <row r="57" spans="1:25" x14ac:dyDescent="0.2">
      <c r="A57" s="8">
        <v>27.5</v>
      </c>
      <c r="B57" s="8">
        <v>55</v>
      </c>
      <c r="D57">
        <v>1034.771817454</v>
      </c>
      <c r="E57">
        <v>319.05124099278999</v>
      </c>
      <c r="F57">
        <v>143.62730923695</v>
      </c>
      <c r="G57">
        <v>113.55662650602</v>
      </c>
      <c r="I57" s="9">
        <f t="shared" si="1"/>
        <v>205.49461448676999</v>
      </c>
      <c r="J57" s="9">
        <f t="shared" si="2"/>
        <v>891.14450821705009</v>
      </c>
      <c r="K57" s="9">
        <f t="shared" si="3"/>
        <v>205.49461448676999</v>
      </c>
      <c r="L57" s="10">
        <f t="shared" si="0"/>
        <v>0.2305962866762335</v>
      </c>
      <c r="M57" s="10">
        <f t="shared" si="4"/>
        <v>0.23299584079051072</v>
      </c>
      <c r="P57" s="8">
        <f t="shared" si="5"/>
        <v>-9.9611253609582135</v>
      </c>
      <c r="S57" s="11"/>
    </row>
    <row r="58" spans="1:25" x14ac:dyDescent="0.2">
      <c r="A58" s="8">
        <v>28</v>
      </c>
      <c r="B58" s="8">
        <v>56</v>
      </c>
      <c r="D58">
        <v>1044.7229783826999</v>
      </c>
      <c r="E58">
        <v>322.86789431544997</v>
      </c>
      <c r="F58">
        <v>143.31887550201</v>
      </c>
      <c r="G58">
        <v>113.78795180723</v>
      </c>
      <c r="I58" s="9">
        <f t="shared" si="1"/>
        <v>209.07994250821997</v>
      </c>
      <c r="J58" s="9">
        <f t="shared" si="2"/>
        <v>901.40410288068995</v>
      </c>
      <c r="K58" s="9">
        <f t="shared" si="3"/>
        <v>209.07994250821997</v>
      </c>
      <c r="L58" s="10">
        <f t="shared" si="0"/>
        <v>0.23194917999601544</v>
      </c>
      <c r="M58" s="10">
        <f t="shared" si="4"/>
        <v>0.23439236236691588</v>
      </c>
      <c r="P58" s="8">
        <f t="shared" si="5"/>
        <v>-9.4214537911909382</v>
      </c>
      <c r="S58" s="11"/>
    </row>
    <row r="59" spans="1:25" x14ac:dyDescent="0.2">
      <c r="A59" s="8">
        <v>28.5</v>
      </c>
      <c r="B59" s="8">
        <v>57</v>
      </c>
      <c r="D59">
        <v>1039.0088070456</v>
      </c>
      <c r="E59">
        <v>318.99439551641001</v>
      </c>
      <c r="F59">
        <v>143.37831325300999</v>
      </c>
      <c r="G59">
        <v>114.08674698794999</v>
      </c>
      <c r="I59" s="9">
        <f t="shared" si="1"/>
        <v>204.90764852846002</v>
      </c>
      <c r="J59" s="9">
        <f t="shared" si="2"/>
        <v>895.63049379258996</v>
      </c>
      <c r="K59" s="9">
        <f t="shared" si="3"/>
        <v>204.90764852846002</v>
      </c>
      <c r="L59" s="10">
        <f t="shared" si="0"/>
        <v>0.22878592226216954</v>
      </c>
      <c r="M59" s="10">
        <f t="shared" si="4"/>
        <v>0.23127273288969319</v>
      </c>
      <c r="P59" s="8">
        <f t="shared" si="5"/>
        <v>-10.627002896560862</v>
      </c>
      <c r="R59" s="1"/>
      <c r="S59" s="11"/>
    </row>
    <row r="60" spans="1:25" x14ac:dyDescent="0.2">
      <c r="A60" s="8">
        <v>29</v>
      </c>
      <c r="B60" s="8">
        <v>58</v>
      </c>
      <c r="D60">
        <v>1034.0440352282001</v>
      </c>
      <c r="E60">
        <v>317.51401120896998</v>
      </c>
      <c r="F60">
        <v>143.42409638554</v>
      </c>
      <c r="G60">
        <v>114.03212851406001</v>
      </c>
      <c r="I60" s="9">
        <f t="shared" si="1"/>
        <v>203.48188269490998</v>
      </c>
      <c r="J60" s="9">
        <f t="shared" si="2"/>
        <v>890.61993884266008</v>
      </c>
      <c r="K60" s="9">
        <f t="shared" si="3"/>
        <v>203.48188269490998</v>
      </c>
      <c r="L60" s="10">
        <f t="shared" si="0"/>
        <v>0.2284721841724428</v>
      </c>
      <c r="M60" s="10">
        <f t="shared" si="4"/>
        <v>0.2310026230565897</v>
      </c>
      <c r="P60" s="8">
        <f t="shared" si="5"/>
        <v>-10.731384096324186</v>
      </c>
      <c r="S60" s="11"/>
    </row>
    <row r="61" spans="1:25" x14ac:dyDescent="0.2">
      <c r="A61" s="8">
        <v>29.5</v>
      </c>
      <c r="B61" s="8">
        <v>59</v>
      </c>
      <c r="C61" s="2"/>
      <c r="D61">
        <v>1028.9927942354</v>
      </c>
      <c r="E61">
        <v>316.17694155324</v>
      </c>
      <c r="F61">
        <v>143.75261044177</v>
      </c>
      <c r="G61">
        <v>114.12208835341001</v>
      </c>
      <c r="I61" s="9">
        <f t="shared" si="1"/>
        <v>202.05485319983001</v>
      </c>
      <c r="J61" s="9">
        <f t="shared" si="2"/>
        <v>885.24018379362997</v>
      </c>
      <c r="K61" s="9">
        <f t="shared" si="3"/>
        <v>202.05485319983001</v>
      </c>
      <c r="L61" s="10">
        <f t="shared" si="0"/>
        <v>0.22824862325379219</v>
      </c>
      <c r="M61" s="10">
        <f t="shared" si="4"/>
        <v>0.2308226903945623</v>
      </c>
      <c r="P61" s="8">
        <f t="shared" si="5"/>
        <v>-10.800917244833565</v>
      </c>
      <c r="S61" s="11"/>
    </row>
    <row r="62" spans="1:25" x14ac:dyDescent="0.2">
      <c r="A62" s="8">
        <v>30</v>
      </c>
      <c r="B62" s="8">
        <v>60</v>
      </c>
      <c r="D62">
        <v>1025.3546837470001</v>
      </c>
      <c r="E62">
        <v>324.28022417934</v>
      </c>
      <c r="F62">
        <v>144.35983935742999</v>
      </c>
      <c r="G62">
        <v>114.1156626506</v>
      </c>
      <c r="I62" s="9">
        <f t="shared" si="1"/>
        <v>210.16456152873999</v>
      </c>
      <c r="J62" s="9">
        <f t="shared" si="2"/>
        <v>880.99484438957006</v>
      </c>
      <c r="K62" s="9">
        <f t="shared" si="3"/>
        <v>210.16456152873999</v>
      </c>
      <c r="L62" s="10">
        <f t="shared" si="0"/>
        <v>0.2385536792492359</v>
      </c>
      <c r="M62" s="10">
        <f t="shared" si="4"/>
        <v>0.24117137464662922</v>
      </c>
      <c r="P62" s="8">
        <f t="shared" si="5"/>
        <v>-6.8017733936407128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1030.9639711769</v>
      </c>
      <c r="E63">
        <v>336.19535628503002</v>
      </c>
      <c r="F63">
        <v>144.25060240964001</v>
      </c>
      <c r="G63">
        <v>114.22248995984</v>
      </c>
      <c r="I63" s="9">
        <f t="shared" si="1"/>
        <v>221.97286632519001</v>
      </c>
      <c r="J63" s="9">
        <f t="shared" si="2"/>
        <v>886.71336876726002</v>
      </c>
      <c r="K63" s="9">
        <f t="shared" si="3"/>
        <v>221.97286632519001</v>
      </c>
      <c r="L63" s="10">
        <f t="shared" si="0"/>
        <v>0.25033215258024638</v>
      </c>
      <c r="M63" s="10">
        <f t="shared" si="4"/>
        <v>0.25299347623426294</v>
      </c>
      <c r="P63" s="8">
        <f t="shared" si="5"/>
        <v>-2.2332423880764223</v>
      </c>
    </row>
    <row r="64" spans="1:25" x14ac:dyDescent="0.2">
      <c r="A64" s="8">
        <v>31</v>
      </c>
      <c r="B64" s="8">
        <v>62</v>
      </c>
      <c r="D64">
        <v>1029.7213771017</v>
      </c>
      <c r="E64">
        <v>338.34347477981999</v>
      </c>
      <c r="F64">
        <v>143.89558232932001</v>
      </c>
      <c r="G64">
        <v>114.12530120482</v>
      </c>
      <c r="I64" s="9">
        <f t="shared" si="1"/>
        <v>224.21817357499998</v>
      </c>
      <c r="J64" s="9">
        <f t="shared" si="2"/>
        <v>885.82579477238005</v>
      </c>
      <c r="K64" s="9">
        <f t="shared" si="3"/>
        <v>224.21817357499998</v>
      </c>
      <c r="L64" s="10">
        <f t="shared" si="0"/>
        <v>0.25311768397150214</v>
      </c>
      <c r="M64" s="10">
        <f t="shared" si="4"/>
        <v>0.25582263588214188</v>
      </c>
      <c r="P64" s="8">
        <f t="shared" si="5"/>
        <v>-1.1399423960896882</v>
      </c>
      <c r="U64" s="8">
        <v>30.5</v>
      </c>
      <c r="V64" s="10">
        <f>L62</f>
        <v>0.2385536792492359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1034.3138510808999</v>
      </c>
      <c r="E65">
        <v>334.71497197757998</v>
      </c>
      <c r="F65">
        <v>143.61526104417999</v>
      </c>
      <c r="G65">
        <v>114.23935742972</v>
      </c>
      <c r="I65" s="9">
        <f t="shared" si="1"/>
        <v>220.47561454785998</v>
      </c>
      <c r="J65" s="9">
        <f t="shared" si="2"/>
        <v>890.69859003671991</v>
      </c>
      <c r="K65" s="9">
        <f t="shared" si="3"/>
        <v>220.47561454785998</v>
      </c>
      <c r="L65" s="10">
        <f t="shared" si="0"/>
        <v>0.24753111435684508</v>
      </c>
      <c r="M65" s="10">
        <f t="shared" si="4"/>
        <v>0.25027969452410809</v>
      </c>
      <c r="P65" s="8">
        <f t="shared" si="5"/>
        <v>-3.2819557486640525</v>
      </c>
      <c r="U65" s="8">
        <v>31</v>
      </c>
      <c r="V65" s="10">
        <f t="shared" ref="V65:V83" si="6">L63</f>
        <v>0.25033215258024638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1031.9983987190001</v>
      </c>
      <c r="E66">
        <v>331.93034427542</v>
      </c>
      <c r="F66">
        <v>143.94136546185001</v>
      </c>
      <c r="G66">
        <v>113.94779116466</v>
      </c>
      <c r="I66" s="9">
        <f t="shared" si="1"/>
        <v>217.98255311075999</v>
      </c>
      <c r="J66" s="9">
        <f t="shared" si="2"/>
        <v>888.05703325715012</v>
      </c>
      <c r="K66" s="9">
        <f t="shared" si="3"/>
        <v>217.98255311075999</v>
      </c>
      <c r="L66" s="10">
        <f t="shared" ref="L66:L129" si="7">K66/J66</f>
        <v>0.24546008302108666</v>
      </c>
      <c r="M66" s="10">
        <f t="shared" si="4"/>
        <v>0.24825229144497288</v>
      </c>
      <c r="P66" s="8">
        <f t="shared" si="5"/>
        <v>-4.0654250632480444</v>
      </c>
      <c r="U66" s="8">
        <v>31.5</v>
      </c>
      <c r="V66" s="10">
        <f t="shared" si="6"/>
        <v>0.25311768397150214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1008.7293835068</v>
      </c>
      <c r="E67">
        <v>329.74219375500002</v>
      </c>
      <c r="F67">
        <v>143.92369477912001</v>
      </c>
      <c r="G67">
        <v>114.08835341366</v>
      </c>
      <c r="I67" s="9">
        <f t="shared" ref="I67:I130" si="8">E67-G67</f>
        <v>215.65384034134001</v>
      </c>
      <c r="J67" s="9">
        <f t="shared" ref="J67:J130" si="9">D67-F67</f>
        <v>864.80568872768004</v>
      </c>
      <c r="K67" s="9">
        <f t="shared" ref="K67:K130" si="10">I67*1</f>
        <v>215.65384034134001</v>
      </c>
      <c r="L67" s="10">
        <f t="shared" si="7"/>
        <v>0.24936681517279841</v>
      </c>
      <c r="M67" s="10">
        <f t="shared" ref="M67:M130" si="11">L67+ABS($N$2)*A67</f>
        <v>0.25220265185330781</v>
      </c>
      <c r="P67" s="8">
        <f t="shared" ref="P67:P130" si="12">(M67-$O$2)/$O$2*100</f>
        <v>-2.5388484326166654</v>
      </c>
      <c r="U67" s="8">
        <v>32</v>
      </c>
      <c r="V67" s="10">
        <f t="shared" si="6"/>
        <v>0.24753111435684508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1012.3690952762</v>
      </c>
      <c r="E68">
        <v>353.51801441152998</v>
      </c>
      <c r="F68">
        <v>144.45542168674999</v>
      </c>
      <c r="G68">
        <v>114.34698795180999</v>
      </c>
      <c r="I68" s="9">
        <f t="shared" si="8"/>
        <v>239.17102645972</v>
      </c>
      <c r="J68" s="9">
        <f t="shared" si="9"/>
        <v>867.91367358945001</v>
      </c>
      <c r="K68" s="9">
        <f t="shared" si="10"/>
        <v>239.17102645972</v>
      </c>
      <c r="L68" s="10">
        <f t="shared" si="7"/>
        <v>0.27557006386427241</v>
      </c>
      <c r="M68" s="10">
        <f t="shared" si="11"/>
        <v>0.27844952880140506</v>
      </c>
      <c r="P68" s="8">
        <f t="shared" si="12"/>
        <v>7.6039904059568491</v>
      </c>
      <c r="U68" s="8">
        <v>32.5</v>
      </c>
      <c r="V68" s="10">
        <f t="shared" si="6"/>
        <v>0.24546008302108666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1034.5492393914999</v>
      </c>
      <c r="E69">
        <v>349.21777421937998</v>
      </c>
      <c r="F69">
        <v>144.46024096386</v>
      </c>
      <c r="G69">
        <v>114.44899598393999</v>
      </c>
      <c r="I69" s="9">
        <f t="shared" si="8"/>
        <v>234.76877823543998</v>
      </c>
      <c r="J69" s="9">
        <f t="shared" si="9"/>
        <v>890.08899842763992</v>
      </c>
      <c r="K69" s="9">
        <f t="shared" si="10"/>
        <v>234.76877823543998</v>
      </c>
      <c r="L69" s="10">
        <f t="shared" si="7"/>
        <v>0.26375876867387837</v>
      </c>
      <c r="M69" s="10">
        <f t="shared" si="11"/>
        <v>0.26668186186763426</v>
      </c>
      <c r="P69" s="8">
        <f t="shared" si="12"/>
        <v>3.0564951191356684</v>
      </c>
      <c r="U69" s="8">
        <v>33</v>
      </c>
      <c r="V69" s="10">
        <f t="shared" si="6"/>
        <v>0.24936681517279841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1052.6277021617</v>
      </c>
      <c r="E70">
        <v>362.62850280224001</v>
      </c>
      <c r="F70">
        <v>144.08433734939999</v>
      </c>
      <c r="G70">
        <v>114.35421686747</v>
      </c>
      <c r="I70" s="9">
        <f t="shared" si="8"/>
        <v>248.27428593477001</v>
      </c>
      <c r="J70" s="9">
        <f t="shared" si="9"/>
        <v>908.54336481229996</v>
      </c>
      <c r="K70" s="9">
        <f t="shared" si="10"/>
        <v>248.27428593477001</v>
      </c>
      <c r="L70" s="10">
        <f t="shared" si="7"/>
        <v>0.27326630246874578</v>
      </c>
      <c r="M70" s="10">
        <f t="shared" si="11"/>
        <v>0.27623302391912485</v>
      </c>
      <c r="P70" s="8">
        <f t="shared" si="12"/>
        <v>6.7474446214684107</v>
      </c>
      <c r="U70" s="8">
        <v>33.5</v>
      </c>
      <c r="V70" s="10">
        <f t="shared" si="6"/>
        <v>0.27557006386427241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1042.8471999999999</v>
      </c>
      <c r="E71">
        <v>350.57600000000002</v>
      </c>
      <c r="F71">
        <v>144.60562248996001</v>
      </c>
      <c r="G71">
        <v>114.39678714858999</v>
      </c>
      <c r="I71" s="9">
        <f t="shared" si="8"/>
        <v>236.17921285141003</v>
      </c>
      <c r="J71" s="9">
        <f t="shared" si="9"/>
        <v>898.24157751003986</v>
      </c>
      <c r="K71" s="9">
        <f t="shared" si="10"/>
        <v>236.17921285141003</v>
      </c>
      <c r="L71" s="10">
        <f t="shared" si="7"/>
        <v>0.26293507088160833</v>
      </c>
      <c r="M71" s="10">
        <f t="shared" si="11"/>
        <v>0.26594542058861065</v>
      </c>
      <c r="P71" s="8">
        <f t="shared" si="12"/>
        <v>2.7719048716185837</v>
      </c>
      <c r="U71" s="8">
        <v>34</v>
      </c>
      <c r="V71" s="10">
        <f t="shared" si="6"/>
        <v>0.26375876867387837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1047.9567999999999</v>
      </c>
      <c r="E72">
        <v>348.74639999999999</v>
      </c>
      <c r="F72">
        <v>144.68433734940001</v>
      </c>
      <c r="G72">
        <v>114.33493975904</v>
      </c>
      <c r="I72" s="9">
        <f t="shared" si="8"/>
        <v>234.41146024096</v>
      </c>
      <c r="J72" s="9">
        <f t="shared" si="9"/>
        <v>903.27246265059989</v>
      </c>
      <c r="K72" s="9">
        <f t="shared" si="10"/>
        <v>234.41146024096</v>
      </c>
      <c r="L72" s="10">
        <f t="shared" si="7"/>
        <v>0.25951356864471808</v>
      </c>
      <c r="M72" s="10">
        <f t="shared" si="11"/>
        <v>0.26256754660834364</v>
      </c>
      <c r="P72" s="8">
        <f t="shared" si="12"/>
        <v>1.466559802694378</v>
      </c>
      <c r="U72" s="8">
        <v>34.5</v>
      </c>
      <c r="V72" s="10">
        <f t="shared" si="6"/>
        <v>0.27326630246874578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1052.9096</v>
      </c>
      <c r="E73">
        <v>348.23759999999999</v>
      </c>
      <c r="F73">
        <v>144.10923694779001</v>
      </c>
      <c r="G73">
        <v>114.59116465864</v>
      </c>
      <c r="I73" s="9">
        <f t="shared" si="8"/>
        <v>233.64643534135999</v>
      </c>
      <c r="J73" s="9">
        <f t="shared" si="9"/>
        <v>908.80036305220995</v>
      </c>
      <c r="K73" s="9">
        <f t="shared" si="10"/>
        <v>233.64643534135999</v>
      </c>
      <c r="L73" s="10">
        <f t="shared" si="7"/>
        <v>0.25709324604213124</v>
      </c>
      <c r="M73" s="10">
        <f t="shared" si="11"/>
        <v>0.26019085226237998</v>
      </c>
      <c r="P73" s="8">
        <f t="shared" si="12"/>
        <v>0.54811042803817289</v>
      </c>
      <c r="U73" s="8">
        <v>35</v>
      </c>
      <c r="V73" s="10">
        <f t="shared" si="6"/>
        <v>0.26293507088160833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1049.6759999999999</v>
      </c>
      <c r="E74">
        <v>345.05119999999999</v>
      </c>
      <c r="F74">
        <v>144.79036144578001</v>
      </c>
      <c r="G74">
        <v>114.26265060241001</v>
      </c>
      <c r="I74" s="9">
        <f t="shared" si="8"/>
        <v>230.78854939758997</v>
      </c>
      <c r="J74" s="9">
        <f t="shared" si="9"/>
        <v>904.8856385542199</v>
      </c>
      <c r="K74" s="9">
        <f t="shared" si="10"/>
        <v>230.78854939758997</v>
      </c>
      <c r="L74" s="10">
        <f t="shared" si="7"/>
        <v>0.25504720106546519</v>
      </c>
      <c r="M74" s="10">
        <f t="shared" si="11"/>
        <v>0.25818843554233717</v>
      </c>
      <c r="P74" s="8">
        <f t="shared" si="12"/>
        <v>-0.22570316202140875</v>
      </c>
      <c r="U74" s="8">
        <v>35.5</v>
      </c>
      <c r="V74" s="10">
        <f t="shared" si="6"/>
        <v>0.25951356864471808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1039.4703999999999</v>
      </c>
      <c r="E75">
        <v>338.65519999999998</v>
      </c>
      <c r="F75">
        <v>144.69799196787</v>
      </c>
      <c r="G75">
        <v>114.62489959839</v>
      </c>
      <c r="I75" s="9">
        <f t="shared" si="8"/>
        <v>224.03030040160996</v>
      </c>
      <c r="J75" s="9">
        <f t="shared" si="9"/>
        <v>894.77240803212999</v>
      </c>
      <c r="K75" s="9">
        <f t="shared" si="10"/>
        <v>224.03030040160996</v>
      </c>
      <c r="L75" s="10">
        <f t="shared" si="7"/>
        <v>0.25037685381282493</v>
      </c>
      <c r="M75" s="10">
        <f t="shared" si="11"/>
        <v>0.25356171654632015</v>
      </c>
      <c r="P75" s="8">
        <f t="shared" si="12"/>
        <v>-2.0136516947465308</v>
      </c>
      <c r="U75" s="8">
        <v>36</v>
      </c>
      <c r="V75" s="10">
        <f t="shared" si="6"/>
        <v>0.25709324604213124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1041.1952000000001</v>
      </c>
      <c r="E76">
        <v>336.51679999999999</v>
      </c>
      <c r="F76">
        <v>145.13012048192999</v>
      </c>
      <c r="G76">
        <v>114.69638554217001</v>
      </c>
      <c r="I76" s="9">
        <f t="shared" si="8"/>
        <v>221.82041445783</v>
      </c>
      <c r="J76" s="9">
        <f t="shared" si="9"/>
        <v>896.06507951807009</v>
      </c>
      <c r="K76" s="9">
        <f t="shared" si="10"/>
        <v>221.82041445783</v>
      </c>
      <c r="L76" s="10">
        <f t="shared" si="7"/>
        <v>0.2475494464945911</v>
      </c>
      <c r="M76" s="10">
        <f t="shared" si="11"/>
        <v>0.2507779374847095</v>
      </c>
      <c r="P76" s="8">
        <f t="shared" si="12"/>
        <v>-3.0894148203918137</v>
      </c>
      <c r="U76" s="8">
        <v>36.5</v>
      </c>
      <c r="V76" s="10">
        <f t="shared" si="6"/>
        <v>0.25504720106546519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1037.7224000000001</v>
      </c>
      <c r="E77">
        <v>333.17599999999999</v>
      </c>
      <c r="F77">
        <v>145.30763052208999</v>
      </c>
      <c r="G77">
        <v>114.65863453815</v>
      </c>
      <c r="I77" s="9">
        <f t="shared" si="8"/>
        <v>218.51736546184998</v>
      </c>
      <c r="J77" s="9">
        <f t="shared" si="9"/>
        <v>892.41476947791011</v>
      </c>
      <c r="K77" s="9">
        <f t="shared" si="10"/>
        <v>218.51736546184998</v>
      </c>
      <c r="L77" s="10">
        <f t="shared" si="7"/>
        <v>0.24486076758869568</v>
      </c>
      <c r="M77" s="10">
        <f t="shared" si="11"/>
        <v>0.24813288683543733</v>
      </c>
      <c r="P77" s="8">
        <f t="shared" si="12"/>
        <v>-4.1115677610439318</v>
      </c>
      <c r="U77" s="8">
        <v>37</v>
      </c>
      <c r="V77" s="10">
        <f t="shared" si="6"/>
        <v>0.25037685381282493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1036.7336</v>
      </c>
      <c r="E78">
        <v>332.44080000000002</v>
      </c>
      <c r="F78">
        <v>145.27630522088</v>
      </c>
      <c r="G78">
        <v>114.93012048193</v>
      </c>
      <c r="I78" s="9">
        <f t="shared" si="8"/>
        <v>217.51067951807002</v>
      </c>
      <c r="J78" s="9">
        <f t="shared" si="9"/>
        <v>891.45729477912005</v>
      </c>
      <c r="K78" s="9">
        <f t="shared" si="10"/>
        <v>217.51067951807002</v>
      </c>
      <c r="L78" s="10">
        <f t="shared" si="7"/>
        <v>0.24399450292452149</v>
      </c>
      <c r="M78" s="10">
        <f t="shared" si="11"/>
        <v>0.24731025042788637</v>
      </c>
      <c r="P78" s="8">
        <f t="shared" si="12"/>
        <v>-4.4294672399431647</v>
      </c>
      <c r="U78" s="8">
        <v>37.5</v>
      </c>
      <c r="V78" s="10">
        <f t="shared" si="6"/>
        <v>0.2475494464945911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1027.2664</v>
      </c>
      <c r="E79">
        <v>329.8304</v>
      </c>
      <c r="F79">
        <v>145.51164658635</v>
      </c>
      <c r="G79">
        <v>114.86425702811</v>
      </c>
      <c r="I79" s="9">
        <f t="shared" si="8"/>
        <v>214.96614297189001</v>
      </c>
      <c r="J79" s="9">
        <f t="shared" si="9"/>
        <v>881.75475341364995</v>
      </c>
      <c r="K79" s="9">
        <f t="shared" si="10"/>
        <v>214.96614297189001</v>
      </c>
      <c r="L79" s="10">
        <f t="shared" si="7"/>
        <v>0.24379357427863482</v>
      </c>
      <c r="M79" s="10">
        <f t="shared" si="11"/>
        <v>0.24715295003862292</v>
      </c>
      <c r="P79" s="8">
        <f t="shared" si="12"/>
        <v>-4.4902543766641969</v>
      </c>
      <c r="U79" s="8">
        <v>38</v>
      </c>
      <c r="V79" s="10">
        <f t="shared" si="6"/>
        <v>0.24486076758869568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1012.8128</v>
      </c>
      <c r="E80">
        <v>349.23439999999999</v>
      </c>
      <c r="F80">
        <v>145.00401606425999</v>
      </c>
      <c r="G80">
        <v>114.75502008031999</v>
      </c>
      <c r="I80" s="9">
        <f t="shared" si="8"/>
        <v>234.47937991968001</v>
      </c>
      <c r="J80" s="9">
        <f t="shared" si="9"/>
        <v>867.80878393574005</v>
      </c>
      <c r="K80" s="9">
        <f t="shared" si="10"/>
        <v>234.47937991968001</v>
      </c>
      <c r="L80" s="10">
        <f t="shared" si="7"/>
        <v>0.27019705753179246</v>
      </c>
      <c r="M80" s="10">
        <f t="shared" si="11"/>
        <v>0.27360006154840377</v>
      </c>
      <c r="P80" s="8">
        <f t="shared" si="12"/>
        <v>5.7299630732041171</v>
      </c>
      <c r="U80" s="8">
        <v>38.5</v>
      </c>
      <c r="V80" s="10">
        <f t="shared" si="6"/>
        <v>0.24399450292452149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1027.6559999999999</v>
      </c>
      <c r="E81">
        <v>364.00479999999999</v>
      </c>
      <c r="F81">
        <v>145.07871485944</v>
      </c>
      <c r="G81">
        <v>114.68674698795</v>
      </c>
      <c r="I81" s="9">
        <f t="shared" si="8"/>
        <v>249.31805301204997</v>
      </c>
      <c r="J81" s="9">
        <f t="shared" si="9"/>
        <v>882.57728514055998</v>
      </c>
      <c r="K81" s="9">
        <f t="shared" si="10"/>
        <v>249.31805301204997</v>
      </c>
      <c r="L81" s="10">
        <f t="shared" si="7"/>
        <v>0.28248863551064923</v>
      </c>
      <c r="M81" s="10">
        <f t="shared" si="11"/>
        <v>0.28593526778388378</v>
      </c>
      <c r="P81" s="8">
        <f t="shared" si="12"/>
        <v>10.496778155030869</v>
      </c>
      <c r="U81" s="8">
        <v>39</v>
      </c>
      <c r="V81" s="10">
        <f t="shared" si="6"/>
        <v>0.24379357427863482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1045.0337620579</v>
      </c>
      <c r="E82">
        <v>367.84646302251002</v>
      </c>
      <c r="F82">
        <v>144.86184738956001</v>
      </c>
      <c r="G82">
        <v>114.48353413655001</v>
      </c>
      <c r="H82" s="13"/>
      <c r="I82" s="14">
        <f t="shared" si="8"/>
        <v>253.36292888596</v>
      </c>
      <c r="J82" s="14">
        <f t="shared" si="9"/>
        <v>900.17191466834004</v>
      </c>
      <c r="K82" s="9">
        <f t="shared" si="10"/>
        <v>253.36292888596</v>
      </c>
      <c r="L82" s="15">
        <f t="shared" si="7"/>
        <v>0.28146060186659927</v>
      </c>
      <c r="M82" s="15">
        <f t="shared" si="11"/>
        <v>0.28495086239645701</v>
      </c>
      <c r="N82" s="13"/>
      <c r="O82" s="13"/>
      <c r="P82" s="13">
        <f t="shared" si="12"/>
        <v>10.116364697984615</v>
      </c>
      <c r="U82" s="8">
        <v>39.5</v>
      </c>
      <c r="V82" s="10">
        <f t="shared" si="6"/>
        <v>0.27019705753179246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1036.1306089744</v>
      </c>
      <c r="E83">
        <v>382.97435897435997</v>
      </c>
      <c r="F83">
        <v>145.22409638554001</v>
      </c>
      <c r="G83">
        <v>114.89799196787</v>
      </c>
      <c r="I83" s="9">
        <f t="shared" si="8"/>
        <v>268.07636700648999</v>
      </c>
      <c r="J83" s="9">
        <f t="shared" si="9"/>
        <v>890.9065125888601</v>
      </c>
      <c r="K83" s="9">
        <f t="shared" si="10"/>
        <v>268.07636700648999</v>
      </c>
      <c r="L83" s="10">
        <f t="shared" si="7"/>
        <v>0.30090291542206199</v>
      </c>
      <c r="M83" s="10">
        <f t="shared" si="11"/>
        <v>0.30443680420854297</v>
      </c>
      <c r="P83" s="8">
        <f t="shared" si="12"/>
        <v>17.646508867465972</v>
      </c>
      <c r="U83" s="8">
        <v>40</v>
      </c>
      <c r="V83" s="10">
        <f t="shared" si="6"/>
        <v>0.28248863551064923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1058.2443910256</v>
      </c>
      <c r="E84">
        <v>387.09695512821003</v>
      </c>
      <c r="F84">
        <v>144.80722891566</v>
      </c>
      <c r="G84">
        <v>114.41686746988</v>
      </c>
      <c r="I84" s="9">
        <f t="shared" si="8"/>
        <v>272.68008765833002</v>
      </c>
      <c r="J84" s="9">
        <f t="shared" si="9"/>
        <v>913.43716210993989</v>
      </c>
      <c r="K84" s="9">
        <f t="shared" si="10"/>
        <v>272.68008765833002</v>
      </c>
      <c r="L84" s="10">
        <f t="shared" si="7"/>
        <v>0.2985209043044284</v>
      </c>
      <c r="M84" s="10">
        <f t="shared" si="11"/>
        <v>0.30209842134753262</v>
      </c>
      <c r="P84" s="8">
        <f t="shared" si="12"/>
        <v>16.742864576794283</v>
      </c>
      <c r="U84" s="8">
        <v>150.5</v>
      </c>
      <c r="V84" s="10">
        <f>L302</f>
        <v>0.26270290998737439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1045.6634615385001</v>
      </c>
      <c r="E85">
        <v>380.56009615385</v>
      </c>
      <c r="F85">
        <v>145.13012048192999</v>
      </c>
      <c r="G85">
        <v>115.01526104417999</v>
      </c>
      <c r="I85" s="9">
        <f t="shared" si="8"/>
        <v>265.54483510966998</v>
      </c>
      <c r="J85" s="9">
        <f t="shared" si="9"/>
        <v>900.53334105657007</v>
      </c>
      <c r="K85" s="9">
        <f t="shared" si="10"/>
        <v>265.54483510966998</v>
      </c>
      <c r="L85" s="10">
        <f t="shared" si="7"/>
        <v>0.29487507347380809</v>
      </c>
      <c r="M85" s="10">
        <f t="shared" si="11"/>
        <v>0.29849621877353549</v>
      </c>
      <c r="P85" s="8">
        <f t="shared" si="12"/>
        <v>15.350830002768658</v>
      </c>
      <c r="U85" s="8">
        <v>151</v>
      </c>
      <c r="V85" s="10">
        <f t="shared" ref="V85:V103" si="13">L303</f>
        <v>0.26577807660791386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1039.2860576922999</v>
      </c>
      <c r="E86">
        <v>379.04967948718001</v>
      </c>
      <c r="F86">
        <v>145.07791164659</v>
      </c>
      <c r="G86">
        <v>114.57349397590001</v>
      </c>
      <c r="I86" s="9">
        <f t="shared" si="8"/>
        <v>264.47618551127999</v>
      </c>
      <c r="J86" s="9">
        <f t="shared" si="9"/>
        <v>894.2081460457099</v>
      </c>
      <c r="K86" s="9">
        <f t="shared" si="10"/>
        <v>264.47618551127999</v>
      </c>
      <c r="L86" s="10">
        <f t="shared" si="7"/>
        <v>0.29576579757277294</v>
      </c>
      <c r="M86" s="10">
        <f t="shared" si="11"/>
        <v>0.29943057112912358</v>
      </c>
      <c r="P86" s="8">
        <f t="shared" si="12"/>
        <v>15.711900974370806</v>
      </c>
      <c r="U86" s="8">
        <v>151.5</v>
      </c>
      <c r="V86" s="10">
        <f t="shared" si="13"/>
        <v>0.26037874773497083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1035.9423076922999</v>
      </c>
      <c r="E87">
        <v>393.42548076922998</v>
      </c>
      <c r="F87">
        <v>145.50361445783</v>
      </c>
      <c r="G87">
        <v>114.72610441767</v>
      </c>
      <c r="I87" s="9">
        <f t="shared" si="8"/>
        <v>278.69937635155998</v>
      </c>
      <c r="J87" s="9">
        <f t="shared" si="9"/>
        <v>890.43869323446984</v>
      </c>
      <c r="K87" s="9">
        <f t="shared" si="10"/>
        <v>278.69937635155998</v>
      </c>
      <c r="L87" s="10">
        <f t="shared" si="7"/>
        <v>0.31299108907677825</v>
      </c>
      <c r="M87" s="10">
        <f t="shared" si="11"/>
        <v>0.31669949088975213</v>
      </c>
      <c r="P87" s="8">
        <f t="shared" si="12"/>
        <v>22.385299504591398</v>
      </c>
      <c r="U87" s="8">
        <v>152</v>
      </c>
      <c r="V87" s="10">
        <f t="shared" si="13"/>
        <v>0.259646453129733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1047.5474276527</v>
      </c>
      <c r="E88">
        <v>403.71543408359997</v>
      </c>
      <c r="F88">
        <v>145.11967871485999</v>
      </c>
      <c r="G88">
        <v>114.69156626506</v>
      </c>
      <c r="I88" s="9">
        <f t="shared" si="8"/>
        <v>289.02386781854</v>
      </c>
      <c r="J88" s="9">
        <f t="shared" si="9"/>
        <v>902.42774893783997</v>
      </c>
      <c r="K88" s="9">
        <f t="shared" si="10"/>
        <v>289.02386781854</v>
      </c>
      <c r="L88" s="10">
        <f t="shared" si="7"/>
        <v>0.32027369300059966</v>
      </c>
      <c r="M88" s="10">
        <f t="shared" si="11"/>
        <v>0.32402572307019673</v>
      </c>
      <c r="P88" s="8">
        <f t="shared" si="12"/>
        <v>25.216447471153856</v>
      </c>
      <c r="U88" s="8">
        <v>152.5</v>
      </c>
      <c r="V88" s="10">
        <f t="shared" si="13"/>
        <v>0.29051648145164533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1053.7114147909999</v>
      </c>
      <c r="E89">
        <v>440.59003215434001</v>
      </c>
      <c r="F89">
        <v>145.69156626506</v>
      </c>
      <c r="G89">
        <v>115.14457831324999</v>
      </c>
      <c r="I89" s="9">
        <f t="shared" si="8"/>
        <v>325.44545384109</v>
      </c>
      <c r="J89" s="9">
        <f t="shared" si="9"/>
        <v>908.01984852593989</v>
      </c>
      <c r="K89" s="9">
        <f t="shared" si="10"/>
        <v>325.44545384109</v>
      </c>
      <c r="L89" s="10">
        <f t="shared" si="7"/>
        <v>0.35841226859678366</v>
      </c>
      <c r="M89" s="10">
        <f t="shared" si="11"/>
        <v>0.36220792692300396</v>
      </c>
      <c r="P89" s="8">
        <f t="shared" si="12"/>
        <v>39.971572088319405</v>
      </c>
      <c r="U89" s="8">
        <v>153</v>
      </c>
      <c r="V89" s="10">
        <f t="shared" si="13"/>
        <v>0.27923011859141172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1044.8625401929</v>
      </c>
      <c r="E90">
        <v>447.73553054662</v>
      </c>
      <c r="F90">
        <v>145.51887550200999</v>
      </c>
      <c r="G90">
        <v>114.92690763052001</v>
      </c>
      <c r="I90" s="9">
        <f t="shared" si="8"/>
        <v>332.80862291609998</v>
      </c>
      <c r="J90" s="9">
        <f t="shared" si="9"/>
        <v>899.34366469089002</v>
      </c>
      <c r="K90" s="9">
        <f t="shared" si="10"/>
        <v>332.80862291609998</v>
      </c>
      <c r="L90" s="10">
        <f t="shared" si="7"/>
        <v>0.37005722726749662</v>
      </c>
      <c r="M90" s="10">
        <f t="shared" si="11"/>
        <v>0.37389651385034017</v>
      </c>
      <c r="P90" s="8">
        <f t="shared" si="12"/>
        <v>44.488507710377213</v>
      </c>
      <c r="U90" s="8">
        <v>153.5</v>
      </c>
      <c r="V90" s="10">
        <f t="shared" si="13"/>
        <v>0.28451272178408432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1073.5924437299</v>
      </c>
      <c r="E91">
        <v>461.42363344051</v>
      </c>
      <c r="F91">
        <v>145.94538152609999</v>
      </c>
      <c r="G91">
        <v>115.15341365462</v>
      </c>
      <c r="I91" s="9">
        <f t="shared" si="8"/>
        <v>346.27021978588999</v>
      </c>
      <c r="J91" s="9">
        <f t="shared" si="9"/>
        <v>927.64706220380003</v>
      </c>
      <c r="K91" s="9">
        <f t="shared" si="10"/>
        <v>346.27021978588999</v>
      </c>
      <c r="L91" s="10">
        <f t="shared" si="7"/>
        <v>0.37327797811730246</v>
      </c>
      <c r="M91" s="10">
        <f t="shared" si="11"/>
        <v>0.37716089295676919</v>
      </c>
      <c r="P91" s="8">
        <f t="shared" si="12"/>
        <v>45.74999383880273</v>
      </c>
      <c r="U91" s="8">
        <v>154</v>
      </c>
      <c r="V91" s="10">
        <f t="shared" si="13"/>
        <v>0.27034593793911676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1072.0627009646</v>
      </c>
      <c r="E92">
        <v>433.29742765272999</v>
      </c>
      <c r="F92">
        <v>145.39598393573999</v>
      </c>
      <c r="G92">
        <v>115.26827309236999</v>
      </c>
      <c r="I92" s="9">
        <f t="shared" si="8"/>
        <v>318.02915456035998</v>
      </c>
      <c r="J92" s="9">
        <f t="shared" si="9"/>
        <v>926.66671702886003</v>
      </c>
      <c r="K92" s="9">
        <f t="shared" si="10"/>
        <v>318.02915456035998</v>
      </c>
      <c r="L92" s="10">
        <f t="shared" si="7"/>
        <v>0.34319691072972391</v>
      </c>
      <c r="M92" s="10">
        <f t="shared" si="11"/>
        <v>0.34712345382581389</v>
      </c>
      <c r="P92" s="8">
        <f t="shared" si="12"/>
        <v>34.142330769736986</v>
      </c>
      <c r="U92" s="8">
        <v>154.5</v>
      </c>
      <c r="V92" s="10">
        <f t="shared" si="13"/>
        <v>0.27222344153094058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1064.7853697748999</v>
      </c>
      <c r="E93">
        <v>420.69051446945002</v>
      </c>
      <c r="F93">
        <v>145.35823293172999</v>
      </c>
      <c r="G93">
        <v>115.20240963854999</v>
      </c>
      <c r="I93" s="9">
        <f t="shared" si="8"/>
        <v>305.48810483090006</v>
      </c>
      <c r="J93" s="9">
        <f t="shared" si="9"/>
        <v>919.42713684316993</v>
      </c>
      <c r="K93" s="9">
        <f t="shared" si="10"/>
        <v>305.48810483090006</v>
      </c>
      <c r="L93" s="10">
        <f t="shared" si="7"/>
        <v>0.33225917812235323</v>
      </c>
      <c r="M93" s="10">
        <f t="shared" si="11"/>
        <v>0.33622934947506644</v>
      </c>
      <c r="P93" s="8">
        <f t="shared" si="12"/>
        <v>29.932414864742267</v>
      </c>
      <c r="U93" s="8">
        <v>155</v>
      </c>
      <c r="V93" s="10">
        <f t="shared" si="13"/>
        <v>0.27390734611698009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1070.2234726688</v>
      </c>
      <c r="E94">
        <v>412.00643086817001</v>
      </c>
      <c r="F94">
        <v>145.90522088353001</v>
      </c>
      <c r="G94">
        <v>115.24337349398</v>
      </c>
      <c r="I94" s="9">
        <f t="shared" si="8"/>
        <v>296.76305737419</v>
      </c>
      <c r="J94" s="9">
        <f t="shared" si="9"/>
        <v>924.31825178527004</v>
      </c>
      <c r="K94" s="9">
        <f t="shared" si="10"/>
        <v>296.76305737419</v>
      </c>
      <c r="L94" s="10">
        <f t="shared" si="7"/>
        <v>0.32106155731644204</v>
      </c>
      <c r="M94" s="10">
        <f t="shared" si="11"/>
        <v>0.32507535692577849</v>
      </c>
      <c r="P94" s="8">
        <f t="shared" si="12"/>
        <v>25.622067806774329</v>
      </c>
      <c r="U94" s="8">
        <v>155.5</v>
      </c>
      <c r="V94" s="10">
        <f t="shared" si="13"/>
        <v>0.26304543816671022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1034.3232242618001</v>
      </c>
      <c r="E95">
        <v>394.73184357541999</v>
      </c>
      <c r="F95">
        <v>145.64257028112999</v>
      </c>
      <c r="G95">
        <v>114.98152610442</v>
      </c>
      <c r="I95" s="9">
        <f t="shared" si="8"/>
        <v>279.75031747100002</v>
      </c>
      <c r="J95" s="9">
        <f t="shared" si="9"/>
        <v>888.68065398067006</v>
      </c>
      <c r="K95" s="9">
        <f t="shared" si="10"/>
        <v>279.75031747100002</v>
      </c>
      <c r="L95" s="10">
        <f t="shared" si="7"/>
        <v>0.31479285187306999</v>
      </c>
      <c r="M95" s="10">
        <f t="shared" si="11"/>
        <v>0.31885027973902963</v>
      </c>
      <c r="P95" s="8">
        <f t="shared" si="12"/>
        <v>23.216449996025549</v>
      </c>
      <c r="U95" s="8">
        <v>156</v>
      </c>
      <c r="V95" s="10">
        <f t="shared" si="13"/>
        <v>0.26692265150583239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998.21246006390004</v>
      </c>
      <c r="E96">
        <v>403.35942492012998</v>
      </c>
      <c r="F96">
        <v>145.51485943775</v>
      </c>
      <c r="G96">
        <v>114.94136546185</v>
      </c>
      <c r="I96" s="9">
        <f t="shared" si="8"/>
        <v>288.41805945827997</v>
      </c>
      <c r="J96" s="9">
        <f t="shared" si="9"/>
        <v>852.69760062615001</v>
      </c>
      <c r="K96" s="9">
        <f t="shared" si="10"/>
        <v>288.41805945827997</v>
      </c>
      <c r="L96" s="10">
        <f t="shared" si="7"/>
        <v>0.33824190339751137</v>
      </c>
      <c r="M96" s="10">
        <f t="shared" si="11"/>
        <v>0.34234295952009425</v>
      </c>
      <c r="P96" s="8">
        <f t="shared" si="12"/>
        <v>32.294957331460253</v>
      </c>
      <c r="U96" s="8">
        <v>156.5</v>
      </c>
      <c r="V96" s="10">
        <f t="shared" si="13"/>
        <v>0.27078821209795056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996.35063897763996</v>
      </c>
      <c r="E97">
        <v>383.77715654951999</v>
      </c>
      <c r="F97">
        <v>145.76787148593999</v>
      </c>
      <c r="G97">
        <v>115.05140562248999</v>
      </c>
      <c r="I97" s="9">
        <f t="shared" si="8"/>
        <v>268.72575092702999</v>
      </c>
      <c r="J97" s="9">
        <f t="shared" si="9"/>
        <v>850.5827674917</v>
      </c>
      <c r="K97" s="9">
        <f t="shared" si="10"/>
        <v>268.72575092702999</v>
      </c>
      <c r="L97" s="10">
        <f t="shared" si="7"/>
        <v>0.3159313369579313</v>
      </c>
      <c r="M97" s="10">
        <f t="shared" si="11"/>
        <v>0.32007602133713742</v>
      </c>
      <c r="P97" s="8">
        <f t="shared" si="12"/>
        <v>23.690125378888354</v>
      </c>
      <c r="U97" s="8">
        <v>157</v>
      </c>
      <c r="V97" s="10">
        <f t="shared" si="13"/>
        <v>0.25929737209506959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1027.1142172524001</v>
      </c>
      <c r="E98">
        <v>390.27715654951999</v>
      </c>
      <c r="F98">
        <v>146.27710843374001</v>
      </c>
      <c r="G98">
        <v>115.15823293173</v>
      </c>
      <c r="I98" s="9">
        <f t="shared" si="8"/>
        <v>275.11892361778996</v>
      </c>
      <c r="J98" s="9">
        <f t="shared" si="9"/>
        <v>880.83710881866</v>
      </c>
      <c r="K98" s="9">
        <f t="shared" si="10"/>
        <v>275.11892361778996</v>
      </c>
      <c r="L98" s="10">
        <f t="shared" si="7"/>
        <v>0.31233802579771802</v>
      </c>
      <c r="M98" s="10">
        <f t="shared" si="11"/>
        <v>0.31652633843354733</v>
      </c>
      <c r="P98" s="8">
        <f t="shared" si="12"/>
        <v>22.31838649771209</v>
      </c>
      <c r="U98" s="8">
        <v>157.5</v>
      </c>
      <c r="V98" s="10">
        <f t="shared" si="13"/>
        <v>0.24756508294048893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1055.2468051118001</v>
      </c>
      <c r="E99">
        <v>437.15575079872002</v>
      </c>
      <c r="F99">
        <v>146.20963855421999</v>
      </c>
      <c r="G99">
        <v>115.26666666667001</v>
      </c>
      <c r="I99" s="9">
        <f t="shared" si="8"/>
        <v>321.88908413205002</v>
      </c>
      <c r="J99" s="9">
        <f t="shared" si="9"/>
        <v>909.03716655758012</v>
      </c>
      <c r="K99" s="9">
        <f t="shared" si="10"/>
        <v>321.88908413205002</v>
      </c>
      <c r="L99" s="10">
        <f t="shared" si="7"/>
        <v>0.35409892573590496</v>
      </c>
      <c r="M99" s="10">
        <f t="shared" si="11"/>
        <v>0.3583308666283575</v>
      </c>
      <c r="P99" s="8">
        <f t="shared" si="12"/>
        <v>38.473321541643138</v>
      </c>
      <c r="U99" s="8">
        <v>158</v>
      </c>
      <c r="V99" s="10">
        <f t="shared" si="13"/>
        <v>0.24058270316462013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1040.3877388535</v>
      </c>
      <c r="E100">
        <v>441.91799363056998</v>
      </c>
      <c r="F100">
        <v>145.87710843374001</v>
      </c>
      <c r="G100">
        <v>115.48915662651</v>
      </c>
      <c r="I100" s="9">
        <f t="shared" si="8"/>
        <v>326.42883700405997</v>
      </c>
      <c r="J100" s="9">
        <f t="shared" si="9"/>
        <v>894.51063041975999</v>
      </c>
      <c r="K100" s="9">
        <f t="shared" si="10"/>
        <v>326.42883700405997</v>
      </c>
      <c r="L100" s="10">
        <f t="shared" si="7"/>
        <v>0.36492449156348122</v>
      </c>
      <c r="M100" s="10">
        <f t="shared" si="11"/>
        <v>0.36920006071255701</v>
      </c>
      <c r="P100" s="8">
        <f t="shared" si="12"/>
        <v>42.673611127303893</v>
      </c>
      <c r="U100" s="8">
        <v>158.5</v>
      </c>
      <c r="V100" s="10">
        <f t="shared" si="13"/>
        <v>0.23721389942772664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1028.6234076433</v>
      </c>
      <c r="E101">
        <v>420.23487261147</v>
      </c>
      <c r="F101">
        <v>145.84337349398001</v>
      </c>
      <c r="G101">
        <v>115.51325301205</v>
      </c>
      <c r="I101" s="9">
        <f t="shared" si="8"/>
        <v>304.72161959942002</v>
      </c>
      <c r="J101" s="9">
        <f t="shared" si="9"/>
        <v>882.78003414931993</v>
      </c>
      <c r="K101" s="9">
        <f t="shared" si="10"/>
        <v>304.72161959942002</v>
      </c>
      <c r="L101" s="10">
        <f t="shared" si="7"/>
        <v>0.34518408642200571</v>
      </c>
      <c r="M101" s="10">
        <f t="shared" si="11"/>
        <v>0.34950328382770468</v>
      </c>
      <c r="P101" s="8">
        <f t="shared" si="12"/>
        <v>35.061991886757248</v>
      </c>
      <c r="U101" s="8">
        <v>159</v>
      </c>
      <c r="V101" s="10">
        <f t="shared" si="13"/>
        <v>0.25825974696035048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1020.3910614525</v>
      </c>
      <c r="E102">
        <v>405.59058260175999</v>
      </c>
      <c r="F102">
        <v>145.35502008032</v>
      </c>
      <c r="G102">
        <v>115.30843373494</v>
      </c>
      <c r="I102" s="9">
        <f t="shared" si="8"/>
        <v>290.28214886681997</v>
      </c>
      <c r="J102" s="9">
        <f t="shared" si="9"/>
        <v>875.03604137218008</v>
      </c>
      <c r="K102" s="9">
        <f t="shared" si="10"/>
        <v>290.28214886681997</v>
      </c>
      <c r="L102" s="10">
        <f t="shared" si="7"/>
        <v>0.33173736296806305</v>
      </c>
      <c r="M102" s="10">
        <f t="shared" si="11"/>
        <v>0.33610018863038527</v>
      </c>
      <c r="P102" s="8">
        <f t="shared" si="12"/>
        <v>29.882501969031061</v>
      </c>
      <c r="U102" s="8">
        <v>159.5</v>
      </c>
      <c r="V102" s="10">
        <f t="shared" si="13"/>
        <v>0.27510162084765827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1012.538707103</v>
      </c>
      <c r="E103">
        <v>390.24900239425</v>
      </c>
      <c r="F103">
        <v>146.06666666666999</v>
      </c>
      <c r="G103">
        <v>115.49317269076001</v>
      </c>
      <c r="I103" s="9">
        <f t="shared" si="8"/>
        <v>274.75582970349001</v>
      </c>
      <c r="J103" s="9">
        <f t="shared" si="9"/>
        <v>866.47204043632996</v>
      </c>
      <c r="K103" s="9">
        <f t="shared" si="10"/>
        <v>274.75582970349001</v>
      </c>
      <c r="L103" s="10">
        <f t="shared" si="7"/>
        <v>0.31709716745751082</v>
      </c>
      <c r="M103" s="10">
        <f t="shared" si="11"/>
        <v>0.32150362137645627</v>
      </c>
      <c r="P103" s="8">
        <f t="shared" si="12"/>
        <v>24.241806904785172</v>
      </c>
      <c r="U103" s="8">
        <v>160</v>
      </c>
      <c r="V103" s="10">
        <f t="shared" si="13"/>
        <v>0.28689028316061166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1013.7117834395</v>
      </c>
      <c r="E104">
        <v>418.37420382165999</v>
      </c>
      <c r="F104">
        <v>145.93253012048001</v>
      </c>
      <c r="G104">
        <v>114.94297188755</v>
      </c>
      <c r="I104" s="9">
        <f t="shared" si="8"/>
        <v>303.43123193410997</v>
      </c>
      <c r="J104" s="9">
        <f t="shared" si="9"/>
        <v>867.77925331901997</v>
      </c>
      <c r="K104" s="9">
        <f t="shared" si="10"/>
        <v>303.43123193410997</v>
      </c>
      <c r="L104" s="10">
        <f t="shared" si="7"/>
        <v>0.34966407732561927</v>
      </c>
      <c r="M104" s="10">
        <f t="shared" si="11"/>
        <v>0.35411415950118791</v>
      </c>
      <c r="P104" s="8">
        <f t="shared" si="12"/>
        <v>36.84381792851152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1023.2101910828</v>
      </c>
      <c r="E105">
        <v>421.88136942674998</v>
      </c>
      <c r="F105">
        <v>146.08353413655001</v>
      </c>
      <c r="G105">
        <v>115.2875502008</v>
      </c>
      <c r="I105" s="9">
        <f t="shared" si="8"/>
        <v>306.59381922594997</v>
      </c>
      <c r="J105" s="9">
        <f t="shared" si="9"/>
        <v>877.12665694624991</v>
      </c>
      <c r="K105" s="9">
        <f t="shared" si="10"/>
        <v>306.59381922594997</v>
      </c>
      <c r="L105" s="10">
        <f t="shared" si="7"/>
        <v>0.34954338327074463</v>
      </c>
      <c r="M105" s="10">
        <f t="shared" si="11"/>
        <v>0.35403709370293651</v>
      </c>
      <c r="P105" s="8">
        <f t="shared" si="12"/>
        <v>36.814036634029293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1025.4835605453</v>
      </c>
      <c r="E106">
        <v>428.01202886929002</v>
      </c>
      <c r="F106">
        <v>145.76064257028</v>
      </c>
      <c r="G106">
        <v>115.62248995984</v>
      </c>
      <c r="I106" s="9">
        <f t="shared" si="8"/>
        <v>312.38953890945004</v>
      </c>
      <c r="J106" s="9">
        <f t="shared" si="9"/>
        <v>879.72291797501998</v>
      </c>
      <c r="K106" s="9">
        <f t="shared" si="10"/>
        <v>312.38953890945004</v>
      </c>
      <c r="L106" s="10">
        <f t="shared" si="7"/>
        <v>0.35509992126671008</v>
      </c>
      <c r="M106" s="10">
        <f t="shared" si="11"/>
        <v>0.3596372599555252</v>
      </c>
      <c r="P106" s="8">
        <f t="shared" si="12"/>
        <v>38.978163965503789</v>
      </c>
      <c r="X106" s="8">
        <v>-13</v>
      </c>
    </row>
    <row r="107" spans="1:25" x14ac:dyDescent="0.2">
      <c r="A107" s="8">
        <v>52.5</v>
      </c>
      <c r="B107" s="8">
        <v>105</v>
      </c>
      <c r="D107">
        <v>1030.2838813152</v>
      </c>
      <c r="E107">
        <v>422.97433841218998</v>
      </c>
      <c r="F107">
        <v>145.29558232932001</v>
      </c>
      <c r="G107">
        <v>115.20080321285</v>
      </c>
      <c r="I107" s="9">
        <f t="shared" si="8"/>
        <v>307.77353519933996</v>
      </c>
      <c r="J107" s="9">
        <f t="shared" si="9"/>
        <v>884.98829898587996</v>
      </c>
      <c r="K107" s="9">
        <f t="shared" si="10"/>
        <v>307.77353519933996</v>
      </c>
      <c r="L107" s="10">
        <f t="shared" si="7"/>
        <v>0.34777130449297672</v>
      </c>
      <c r="M107" s="10">
        <f t="shared" si="11"/>
        <v>0.35235227143841502</v>
      </c>
      <c r="P107" s="8">
        <f t="shared" si="12"/>
        <v>36.162954193460273</v>
      </c>
      <c r="X107" s="8">
        <v>-13</v>
      </c>
    </row>
    <row r="108" spans="1:25" x14ac:dyDescent="0.2">
      <c r="A108" s="8">
        <v>53</v>
      </c>
      <c r="B108" s="8">
        <v>106</v>
      </c>
      <c r="D108">
        <v>1019.370489174</v>
      </c>
      <c r="E108">
        <v>399.11387329591003</v>
      </c>
      <c r="F108">
        <v>145.60481927711001</v>
      </c>
      <c r="G108">
        <v>115.10602409639</v>
      </c>
      <c r="I108" s="9">
        <f t="shared" si="8"/>
        <v>284.00784919952002</v>
      </c>
      <c r="J108" s="9">
        <f t="shared" si="9"/>
        <v>873.76566989689002</v>
      </c>
      <c r="K108" s="9">
        <f t="shared" si="10"/>
        <v>284.00784919952002</v>
      </c>
      <c r="L108" s="10">
        <f t="shared" si="7"/>
        <v>0.32503891945426833</v>
      </c>
      <c r="M108" s="10">
        <f t="shared" si="11"/>
        <v>0.32966351465632987</v>
      </c>
      <c r="P108" s="8">
        <f t="shared" si="12"/>
        <v>27.395114730374566</v>
      </c>
      <c r="X108" s="8">
        <v>-13</v>
      </c>
    </row>
    <row r="109" spans="1:25" x14ac:dyDescent="0.2">
      <c r="A109" s="8">
        <v>53.5</v>
      </c>
      <c r="B109" s="8">
        <v>107</v>
      </c>
      <c r="D109">
        <v>1005.3777064956</v>
      </c>
      <c r="E109">
        <v>383.10906174820002</v>
      </c>
      <c r="F109">
        <v>145.84658634537999</v>
      </c>
      <c r="G109">
        <v>115.49718875502001</v>
      </c>
      <c r="I109" s="9">
        <f t="shared" si="8"/>
        <v>267.61187299317999</v>
      </c>
      <c r="J109" s="9">
        <f t="shared" si="9"/>
        <v>859.53112015021998</v>
      </c>
      <c r="K109" s="9">
        <f t="shared" si="10"/>
        <v>267.61187299317999</v>
      </c>
      <c r="L109" s="10">
        <f t="shared" si="7"/>
        <v>0.31134634537305589</v>
      </c>
      <c r="M109" s="10">
        <f t="shared" si="11"/>
        <v>0.31601456883174067</v>
      </c>
      <c r="P109" s="8">
        <f t="shared" si="12"/>
        <v>22.120618336423011</v>
      </c>
      <c r="X109" s="8">
        <v>-13</v>
      </c>
    </row>
    <row r="110" spans="1:25" x14ac:dyDescent="0.2">
      <c r="A110" s="8">
        <v>54</v>
      </c>
      <c r="B110" s="8">
        <v>108</v>
      </c>
      <c r="D110">
        <v>1006.7858861267</v>
      </c>
      <c r="E110">
        <v>378.21331194867997</v>
      </c>
      <c r="F110">
        <v>145.55903614458001</v>
      </c>
      <c r="G110">
        <v>115.36706827309</v>
      </c>
      <c r="I110" s="9">
        <f t="shared" si="8"/>
        <v>262.84624367558996</v>
      </c>
      <c r="J110" s="9">
        <f t="shared" si="9"/>
        <v>861.22684998212003</v>
      </c>
      <c r="K110" s="9">
        <f t="shared" si="10"/>
        <v>262.84624367558996</v>
      </c>
      <c r="L110" s="10">
        <f t="shared" si="7"/>
        <v>0.30519977829424028</v>
      </c>
      <c r="M110" s="10">
        <f t="shared" si="11"/>
        <v>0.30991163000954824</v>
      </c>
      <c r="P110" s="8">
        <f t="shared" si="12"/>
        <v>19.762199655313641</v>
      </c>
      <c r="X110" s="8">
        <v>-13</v>
      </c>
    </row>
    <row r="111" spans="1:25" x14ac:dyDescent="0.2">
      <c r="A111" s="8">
        <v>54.5</v>
      </c>
      <c r="B111" s="8">
        <v>109</v>
      </c>
      <c r="D111">
        <v>1033.4093097913001</v>
      </c>
      <c r="E111">
        <v>393.07463884430001</v>
      </c>
      <c r="F111">
        <v>145.67228915663</v>
      </c>
      <c r="G111">
        <v>115.33413654619</v>
      </c>
      <c r="I111" s="9">
        <f t="shared" si="8"/>
        <v>277.74050229811002</v>
      </c>
      <c r="J111" s="9">
        <f t="shared" si="9"/>
        <v>887.7370206346701</v>
      </c>
      <c r="K111" s="9">
        <f t="shared" si="10"/>
        <v>277.74050229811002</v>
      </c>
      <c r="L111" s="10">
        <f t="shared" si="7"/>
        <v>0.3128634897974007</v>
      </c>
      <c r="M111" s="10">
        <f t="shared" si="11"/>
        <v>0.3176189697693319</v>
      </c>
      <c r="P111" s="8">
        <f t="shared" si="12"/>
        <v>22.740622772555511</v>
      </c>
      <c r="X111" s="8">
        <v>-13</v>
      </c>
    </row>
    <row r="112" spans="1:25" x14ac:dyDescent="0.2">
      <c r="A112" s="8">
        <v>55</v>
      </c>
      <c r="B112" s="8">
        <v>110</v>
      </c>
      <c r="D112">
        <v>1038.6203852327001</v>
      </c>
      <c r="E112">
        <v>408.50802568218</v>
      </c>
      <c r="F112">
        <v>145.34939759036001</v>
      </c>
      <c r="G112">
        <v>114.95983935743</v>
      </c>
      <c r="I112" s="9">
        <f t="shared" si="8"/>
        <v>293.54818632475002</v>
      </c>
      <c r="J112" s="9">
        <f t="shared" si="9"/>
        <v>893.27098764234006</v>
      </c>
      <c r="K112" s="9">
        <f t="shared" si="10"/>
        <v>293.54818632475002</v>
      </c>
      <c r="L112" s="10">
        <f t="shared" si="7"/>
        <v>0.32862165052458281</v>
      </c>
      <c r="M112" s="10">
        <f t="shared" si="11"/>
        <v>0.33342075875313726</v>
      </c>
      <c r="P112" s="8">
        <f t="shared" si="12"/>
        <v>28.847063525138196</v>
      </c>
      <c r="X112" s="8">
        <v>-13</v>
      </c>
    </row>
    <row r="113" spans="1:24" x14ac:dyDescent="0.2">
      <c r="A113" s="8">
        <v>55.5</v>
      </c>
      <c r="B113" s="8">
        <v>111</v>
      </c>
      <c r="D113">
        <v>1037.6781701445</v>
      </c>
      <c r="E113">
        <v>406.64365971107998</v>
      </c>
      <c r="F113">
        <v>145.26746987952001</v>
      </c>
      <c r="G113">
        <v>115.39437751004</v>
      </c>
      <c r="I113" s="9">
        <f t="shared" si="8"/>
        <v>291.24928220103999</v>
      </c>
      <c r="J113" s="9">
        <f t="shared" si="9"/>
        <v>892.41070026497994</v>
      </c>
      <c r="K113" s="9">
        <f t="shared" si="10"/>
        <v>291.24928220103999</v>
      </c>
      <c r="L113" s="10">
        <f t="shared" si="7"/>
        <v>0.32636238238129656</v>
      </c>
      <c r="M113" s="10">
        <f t="shared" si="11"/>
        <v>0.33120511886647419</v>
      </c>
      <c r="P113" s="8">
        <f t="shared" si="12"/>
        <v>27.990852009414684</v>
      </c>
      <c r="X113" s="8">
        <v>-13</v>
      </c>
    </row>
    <row r="114" spans="1:24" x14ac:dyDescent="0.2">
      <c r="A114" s="8">
        <v>56</v>
      </c>
      <c r="B114" s="8">
        <v>112</v>
      </c>
      <c r="D114">
        <v>1033.9036918137999</v>
      </c>
      <c r="E114">
        <v>412.89727126806002</v>
      </c>
      <c r="F114">
        <v>145.61445783132999</v>
      </c>
      <c r="G114">
        <v>115.18554216868</v>
      </c>
      <c r="I114" s="9">
        <f t="shared" si="8"/>
        <v>297.71172909938002</v>
      </c>
      <c r="J114" s="9">
        <f t="shared" si="9"/>
        <v>888.28923398246991</v>
      </c>
      <c r="K114" s="9">
        <f t="shared" si="10"/>
        <v>297.71172909938002</v>
      </c>
      <c r="L114" s="10">
        <f t="shared" si="7"/>
        <v>0.3351517925807207</v>
      </c>
      <c r="M114" s="10">
        <f t="shared" si="11"/>
        <v>0.34003815732252157</v>
      </c>
      <c r="P114" s="8">
        <f t="shared" si="12"/>
        <v>31.404289946879686</v>
      </c>
      <c r="X114" s="8">
        <v>-13</v>
      </c>
    </row>
    <row r="115" spans="1:24" x14ac:dyDescent="0.2">
      <c r="A115" s="8">
        <v>56.5</v>
      </c>
      <c r="B115" s="8">
        <v>113</v>
      </c>
      <c r="D115">
        <v>1025.3290529695</v>
      </c>
      <c r="E115">
        <v>404.47512038523001</v>
      </c>
      <c r="F115">
        <v>146.09879518072</v>
      </c>
      <c r="G115">
        <v>115.04257028112001</v>
      </c>
      <c r="I115" s="9">
        <f t="shared" si="8"/>
        <v>289.43255010411002</v>
      </c>
      <c r="J115" s="9">
        <f t="shared" si="9"/>
        <v>879.23025778878002</v>
      </c>
      <c r="K115" s="9">
        <f t="shared" si="10"/>
        <v>289.43255010411002</v>
      </c>
      <c r="L115" s="10">
        <f t="shared" si="7"/>
        <v>0.32918856868281393</v>
      </c>
      <c r="M115" s="10">
        <f t="shared" si="11"/>
        <v>0.33411856168123805</v>
      </c>
      <c r="P115" s="8">
        <f t="shared" si="12"/>
        <v>29.116722374638922</v>
      </c>
      <c r="X115" s="8">
        <v>-13</v>
      </c>
    </row>
    <row r="116" spans="1:24" x14ac:dyDescent="0.2">
      <c r="A116" s="8">
        <v>57</v>
      </c>
      <c r="B116" s="8">
        <v>114</v>
      </c>
      <c r="D116">
        <v>1036.8025682182999</v>
      </c>
      <c r="E116">
        <v>413.29373996790002</v>
      </c>
      <c r="F116">
        <v>145.10522088353</v>
      </c>
      <c r="G116">
        <v>115.15020080321</v>
      </c>
      <c r="I116" s="9">
        <f t="shared" si="8"/>
        <v>298.14353916469003</v>
      </c>
      <c r="J116" s="9">
        <f t="shared" si="9"/>
        <v>891.69734733476992</v>
      </c>
      <c r="K116" s="9">
        <f t="shared" si="10"/>
        <v>298.14353916469003</v>
      </c>
      <c r="L116" s="10">
        <f t="shared" si="7"/>
        <v>0.33435508141391612</v>
      </c>
      <c r="M116" s="10">
        <f t="shared" si="11"/>
        <v>0.33932870266896342</v>
      </c>
      <c r="P116" s="8">
        <f t="shared" si="12"/>
        <v>31.130128406497342</v>
      </c>
      <c r="X116" s="8">
        <v>-13</v>
      </c>
    </row>
    <row r="117" spans="1:24" x14ac:dyDescent="0.2">
      <c r="A117" s="8">
        <v>57.5</v>
      </c>
      <c r="B117" s="8">
        <v>115</v>
      </c>
      <c r="D117">
        <v>1031.7600321027001</v>
      </c>
      <c r="E117">
        <v>398.21428571428999</v>
      </c>
      <c r="F117">
        <v>145.90120481928</v>
      </c>
      <c r="G117">
        <v>115.30923694779</v>
      </c>
      <c r="I117" s="9">
        <f t="shared" si="8"/>
        <v>282.90504876649999</v>
      </c>
      <c r="J117" s="9">
        <f t="shared" si="9"/>
        <v>885.85882728342006</v>
      </c>
      <c r="K117" s="9">
        <f t="shared" si="10"/>
        <v>282.90504876649999</v>
      </c>
      <c r="L117" s="10">
        <f t="shared" si="7"/>
        <v>0.31935680952015605</v>
      </c>
      <c r="M117" s="10">
        <f t="shared" si="11"/>
        <v>0.32437405903182659</v>
      </c>
      <c r="P117" s="8">
        <f t="shared" si="12"/>
        <v>25.351058363241247</v>
      </c>
      <c r="X117" s="8">
        <v>-13</v>
      </c>
    </row>
    <row r="118" spans="1:24" x14ac:dyDescent="0.2">
      <c r="A118" s="8">
        <v>58</v>
      </c>
      <c r="B118" s="8">
        <v>116</v>
      </c>
      <c r="D118">
        <v>1008.1669341894</v>
      </c>
      <c r="E118">
        <v>398.43418940610002</v>
      </c>
      <c r="F118">
        <v>145.48674698795</v>
      </c>
      <c r="G118">
        <v>114.89638554216999</v>
      </c>
      <c r="I118" s="9">
        <f t="shared" si="8"/>
        <v>283.53780386393004</v>
      </c>
      <c r="J118" s="9">
        <f t="shared" si="9"/>
        <v>862.68018720144994</v>
      </c>
      <c r="K118" s="9">
        <f t="shared" si="10"/>
        <v>283.53780386393004</v>
      </c>
      <c r="L118" s="10">
        <f t="shared" si="7"/>
        <v>0.32867081923340769</v>
      </c>
      <c r="M118" s="10">
        <f t="shared" si="11"/>
        <v>0.33373169700170147</v>
      </c>
      <c r="P118" s="8">
        <f t="shared" si="12"/>
        <v>28.9672224511</v>
      </c>
      <c r="X118" s="8">
        <v>-13</v>
      </c>
    </row>
    <row r="119" spans="1:24" x14ac:dyDescent="0.2">
      <c r="A119" s="8">
        <v>58.5</v>
      </c>
      <c r="B119" s="8">
        <v>117</v>
      </c>
      <c r="D119">
        <v>1001.140562249</v>
      </c>
      <c r="E119">
        <v>404.27871485944002</v>
      </c>
      <c r="F119">
        <v>144.66666666667001</v>
      </c>
      <c r="G119">
        <v>114.80080321285</v>
      </c>
      <c r="I119" s="9">
        <f t="shared" si="8"/>
        <v>289.47791164659003</v>
      </c>
      <c r="J119" s="9">
        <f t="shared" si="9"/>
        <v>856.47389558232999</v>
      </c>
      <c r="K119" s="9">
        <f t="shared" si="10"/>
        <v>289.47791164659003</v>
      </c>
      <c r="L119" s="10">
        <f t="shared" si="7"/>
        <v>0.33798801474243356</v>
      </c>
      <c r="M119" s="10">
        <f t="shared" si="11"/>
        <v>0.34309252076735053</v>
      </c>
      <c r="P119" s="8">
        <f t="shared" si="12"/>
        <v>32.584617657357114</v>
      </c>
      <c r="X119" s="8">
        <v>-13</v>
      </c>
    </row>
    <row r="120" spans="1:24" x14ac:dyDescent="0.2">
      <c r="A120" s="8">
        <v>59</v>
      </c>
      <c r="B120" s="8">
        <v>118</v>
      </c>
      <c r="D120">
        <v>1000.5702811245</v>
      </c>
      <c r="E120">
        <v>411.82008032128999</v>
      </c>
      <c r="F120">
        <v>145.40562248996</v>
      </c>
      <c r="G120">
        <v>114.89799196787</v>
      </c>
      <c r="I120" s="9">
        <f t="shared" si="8"/>
        <v>296.92208835342001</v>
      </c>
      <c r="J120" s="9">
        <f t="shared" si="9"/>
        <v>855.16465863453993</v>
      </c>
      <c r="K120" s="9">
        <f t="shared" si="10"/>
        <v>296.92208835342001</v>
      </c>
      <c r="L120" s="10">
        <f t="shared" si="7"/>
        <v>0.3472104294248104</v>
      </c>
      <c r="M120" s="10">
        <f t="shared" si="11"/>
        <v>0.3523585637063506</v>
      </c>
      <c r="P120" s="8">
        <f t="shared" si="12"/>
        <v>36.165385776453022</v>
      </c>
      <c r="X120" s="8">
        <v>-13</v>
      </c>
    </row>
    <row r="121" spans="1:24" x14ac:dyDescent="0.2">
      <c r="A121" s="8">
        <v>59.5</v>
      </c>
      <c r="B121" s="8">
        <v>119</v>
      </c>
      <c r="D121">
        <v>1001.6522088353</v>
      </c>
      <c r="E121">
        <v>405.32690763052</v>
      </c>
      <c r="F121">
        <v>145.64257028112999</v>
      </c>
      <c r="G121">
        <v>115.11967871486</v>
      </c>
      <c r="I121" s="9">
        <f t="shared" si="8"/>
        <v>290.20722891565998</v>
      </c>
      <c r="J121" s="9">
        <f t="shared" si="9"/>
        <v>856.00963855417001</v>
      </c>
      <c r="K121" s="9">
        <f t="shared" si="10"/>
        <v>290.20722891565998</v>
      </c>
      <c r="L121" s="10">
        <f t="shared" si="7"/>
        <v>0.33902331918344991</v>
      </c>
      <c r="M121" s="10">
        <f t="shared" si="11"/>
        <v>0.34421508172161336</v>
      </c>
      <c r="P121" s="8">
        <f t="shared" si="12"/>
        <v>33.018419929074192</v>
      </c>
      <c r="X121" s="8">
        <v>-13</v>
      </c>
    </row>
    <row r="122" spans="1:24" x14ac:dyDescent="0.2">
      <c r="A122" s="8">
        <v>60</v>
      </c>
      <c r="B122" s="8">
        <v>120</v>
      </c>
      <c r="D122">
        <v>997.41606425703003</v>
      </c>
      <c r="E122">
        <v>404.85542168674999</v>
      </c>
      <c r="F122">
        <v>145.74297188755</v>
      </c>
      <c r="G122">
        <v>114.82008032129001</v>
      </c>
      <c r="I122" s="9">
        <f t="shared" si="8"/>
        <v>290.03534136546</v>
      </c>
      <c r="J122" s="9">
        <f t="shared" si="9"/>
        <v>851.67309236948006</v>
      </c>
      <c r="K122" s="9">
        <f t="shared" si="10"/>
        <v>290.03534136546</v>
      </c>
      <c r="L122" s="10">
        <f t="shared" si="7"/>
        <v>0.34054773358935048</v>
      </c>
      <c r="M122" s="10">
        <f t="shared" si="11"/>
        <v>0.34578312438413711</v>
      </c>
      <c r="P122" s="8">
        <f t="shared" si="12"/>
        <v>33.624374079331261</v>
      </c>
      <c r="X122" s="8">
        <v>-13</v>
      </c>
    </row>
    <row r="123" spans="1:24" x14ac:dyDescent="0.2">
      <c r="A123" s="8">
        <v>60.5</v>
      </c>
      <c r="B123" s="8">
        <v>121</v>
      </c>
      <c r="D123">
        <v>1018.1670682731</v>
      </c>
      <c r="E123">
        <v>417.90361445782997</v>
      </c>
      <c r="F123">
        <v>145.44979919679</v>
      </c>
      <c r="G123">
        <v>115.2562248996</v>
      </c>
      <c r="I123" s="9">
        <f t="shared" si="8"/>
        <v>302.64738955822997</v>
      </c>
      <c r="J123" s="9">
        <f t="shared" si="9"/>
        <v>872.71726907631</v>
      </c>
      <c r="K123" s="9">
        <f t="shared" si="10"/>
        <v>302.64738955822997</v>
      </c>
      <c r="L123" s="10">
        <f t="shared" si="7"/>
        <v>0.34678744225899649</v>
      </c>
      <c r="M123" s="10">
        <f t="shared" si="11"/>
        <v>0.35206646131040636</v>
      </c>
      <c r="P123" s="8">
        <f t="shared" si="12"/>
        <v>36.052505774299533</v>
      </c>
      <c r="X123" s="8">
        <v>-13</v>
      </c>
    </row>
    <row r="124" spans="1:24" x14ac:dyDescent="0.2">
      <c r="A124" s="8">
        <v>61</v>
      </c>
      <c r="B124" s="8">
        <v>122</v>
      </c>
      <c r="D124">
        <v>1014.4361445782999</v>
      </c>
      <c r="E124">
        <v>402.06907630521999</v>
      </c>
      <c r="F124">
        <v>145.23373493976001</v>
      </c>
      <c r="G124">
        <v>114.79678714859</v>
      </c>
      <c r="I124" s="9">
        <f t="shared" si="8"/>
        <v>287.27228915662999</v>
      </c>
      <c r="J124" s="9">
        <f t="shared" si="9"/>
        <v>869.20240963853996</v>
      </c>
      <c r="K124" s="9">
        <f t="shared" si="10"/>
        <v>287.27228915662999</v>
      </c>
      <c r="L124" s="10">
        <f t="shared" si="7"/>
        <v>0.33050102711529861</v>
      </c>
      <c r="M124" s="10">
        <f t="shared" si="11"/>
        <v>0.33582367442333172</v>
      </c>
      <c r="P124" s="8">
        <f t="shared" si="12"/>
        <v>29.775645864045082</v>
      </c>
      <c r="X124" s="8">
        <v>-13</v>
      </c>
    </row>
    <row r="125" spans="1:24" x14ac:dyDescent="0.2">
      <c r="A125" s="8">
        <v>61.5</v>
      </c>
      <c r="B125" s="8">
        <v>123</v>
      </c>
      <c r="D125">
        <v>1004.8361445783</v>
      </c>
      <c r="E125">
        <v>400.58072289157002</v>
      </c>
      <c r="F125">
        <v>145.27951807228999</v>
      </c>
      <c r="G125">
        <v>114.93815261044</v>
      </c>
      <c r="I125" s="9">
        <f t="shared" si="8"/>
        <v>285.64257028113002</v>
      </c>
      <c r="J125" s="9">
        <f t="shared" si="9"/>
        <v>859.55662650601005</v>
      </c>
      <c r="K125" s="9">
        <f t="shared" si="10"/>
        <v>285.64257028113002</v>
      </c>
      <c r="L125" s="10">
        <f t="shared" si="7"/>
        <v>0.3323138481780209</v>
      </c>
      <c r="M125" s="10">
        <f t="shared" si="11"/>
        <v>0.3376801237426772</v>
      </c>
      <c r="P125" s="8">
        <f t="shared" si="12"/>
        <v>30.493051835633089</v>
      </c>
      <c r="X125" s="8">
        <v>-13</v>
      </c>
    </row>
    <row r="126" spans="1:24" x14ac:dyDescent="0.2">
      <c r="A126" s="8">
        <v>62</v>
      </c>
      <c r="B126" s="8">
        <v>124</v>
      </c>
      <c r="D126">
        <v>1002.237751004</v>
      </c>
      <c r="E126">
        <v>396.35180722891999</v>
      </c>
      <c r="F126">
        <v>145.31325301205001</v>
      </c>
      <c r="G126">
        <v>114.95662650602</v>
      </c>
      <c r="I126" s="9">
        <f t="shared" si="8"/>
        <v>281.39518072290002</v>
      </c>
      <c r="J126" s="9">
        <f t="shared" si="9"/>
        <v>856.92449799194992</v>
      </c>
      <c r="K126" s="9">
        <f t="shared" si="10"/>
        <v>281.39518072290002</v>
      </c>
      <c r="L126" s="10">
        <f t="shared" si="7"/>
        <v>0.32837803258315001</v>
      </c>
      <c r="M126" s="10">
        <f t="shared" si="11"/>
        <v>0.33378793640442955</v>
      </c>
      <c r="P126" s="8">
        <f t="shared" si="12"/>
        <v>28.988955596699633</v>
      </c>
      <c r="X126" s="8">
        <v>-13</v>
      </c>
    </row>
    <row r="127" spans="1:24" x14ac:dyDescent="0.2">
      <c r="A127" s="8">
        <v>62.5</v>
      </c>
      <c r="B127" s="8">
        <v>125</v>
      </c>
      <c r="D127">
        <v>1001.2248995984</v>
      </c>
      <c r="E127">
        <v>392.65783132529998</v>
      </c>
      <c r="F127">
        <v>145.2578313253</v>
      </c>
      <c r="G127">
        <v>114.82730923695</v>
      </c>
      <c r="I127" s="9">
        <f t="shared" si="8"/>
        <v>277.83052208834999</v>
      </c>
      <c r="J127" s="9">
        <f t="shared" si="9"/>
        <v>855.96706827310004</v>
      </c>
      <c r="K127" s="9">
        <f t="shared" si="10"/>
        <v>277.83052208834999</v>
      </c>
      <c r="L127" s="10">
        <f t="shared" si="7"/>
        <v>0.32458085408457205</v>
      </c>
      <c r="M127" s="10">
        <f t="shared" si="11"/>
        <v>0.33003438616247482</v>
      </c>
      <c r="P127" s="8">
        <f t="shared" si="12"/>
        <v>27.538434254601619</v>
      </c>
      <c r="X127" s="8">
        <v>-13</v>
      </c>
    </row>
    <row r="128" spans="1:24" x14ac:dyDescent="0.2">
      <c r="A128" s="8">
        <v>63</v>
      </c>
      <c r="B128" s="8">
        <v>126</v>
      </c>
      <c r="D128">
        <v>990.84497991967999</v>
      </c>
      <c r="E128">
        <v>399.48674698795003</v>
      </c>
      <c r="F128">
        <v>145.48273092369999</v>
      </c>
      <c r="G128">
        <v>115.24738955823</v>
      </c>
      <c r="I128" s="9">
        <f t="shared" si="8"/>
        <v>284.23935742972003</v>
      </c>
      <c r="J128" s="9">
        <f t="shared" si="9"/>
        <v>845.36224899598005</v>
      </c>
      <c r="K128" s="9">
        <f t="shared" si="10"/>
        <v>284.23935742972003</v>
      </c>
      <c r="L128" s="10">
        <f t="shared" si="7"/>
        <v>0.3362337953549564</v>
      </c>
      <c r="M128" s="10">
        <f t="shared" si="11"/>
        <v>0.34173095568948236</v>
      </c>
      <c r="P128" s="8">
        <f t="shared" si="12"/>
        <v>32.058454671171901</v>
      </c>
      <c r="X128" s="8">
        <v>-13</v>
      </c>
    </row>
    <row r="129" spans="1:24" x14ac:dyDescent="0.2">
      <c r="A129" s="8">
        <v>63.5</v>
      </c>
      <c r="B129" s="8">
        <v>127</v>
      </c>
      <c r="D129">
        <v>993.77108433734998</v>
      </c>
      <c r="E129">
        <v>407.64899598393998</v>
      </c>
      <c r="F129">
        <v>145.16224899598001</v>
      </c>
      <c r="G129">
        <v>114.79678714859</v>
      </c>
      <c r="I129" s="9">
        <f t="shared" si="8"/>
        <v>292.85220883534998</v>
      </c>
      <c r="J129" s="9">
        <f t="shared" si="9"/>
        <v>848.60883534136997</v>
      </c>
      <c r="K129" s="9">
        <f t="shared" si="10"/>
        <v>292.85220883534998</v>
      </c>
      <c r="L129" s="10">
        <f t="shared" si="7"/>
        <v>0.34509681803812975</v>
      </c>
      <c r="M129" s="10">
        <f t="shared" si="11"/>
        <v>0.35063760662927895</v>
      </c>
      <c r="P129" s="8">
        <f t="shared" si="12"/>
        <v>35.500339404827244</v>
      </c>
      <c r="X129" s="8">
        <v>-13</v>
      </c>
    </row>
    <row r="130" spans="1:24" x14ac:dyDescent="0.2">
      <c r="A130" s="8">
        <v>64</v>
      </c>
      <c r="B130" s="8">
        <v>128</v>
      </c>
      <c r="D130">
        <v>992.25220883533996</v>
      </c>
      <c r="E130">
        <v>394.36465863453998</v>
      </c>
      <c r="F130">
        <v>145.01285140562001</v>
      </c>
      <c r="G130">
        <v>114.88995983936</v>
      </c>
      <c r="I130" s="9">
        <f t="shared" si="8"/>
        <v>279.47469879517996</v>
      </c>
      <c r="J130" s="9">
        <f t="shared" si="9"/>
        <v>847.23935742971992</v>
      </c>
      <c r="K130" s="9">
        <f t="shared" si="10"/>
        <v>279.47469879517996</v>
      </c>
      <c r="L130" s="10">
        <f t="shared" ref="L130:L193" si="14">K130/J130</f>
        <v>0.32986510405161734</v>
      </c>
      <c r="M130" s="10">
        <f t="shared" si="11"/>
        <v>0.33544952089938979</v>
      </c>
      <c r="P130" s="8">
        <f t="shared" si="12"/>
        <v>29.631058037396908</v>
      </c>
      <c r="X130" s="8">
        <v>-13</v>
      </c>
    </row>
    <row r="131" spans="1:24" x14ac:dyDescent="0.2">
      <c r="A131" s="8">
        <v>64.5</v>
      </c>
      <c r="B131" s="8">
        <v>129</v>
      </c>
      <c r="D131">
        <v>1001.3164658635</v>
      </c>
      <c r="E131">
        <v>392.59678714859001</v>
      </c>
      <c r="F131">
        <v>145.35662650602001</v>
      </c>
      <c r="G131">
        <v>115.0875502008</v>
      </c>
      <c r="I131" s="9">
        <f t="shared" ref="I131:I194" si="15">E131-G131</f>
        <v>277.50923694778999</v>
      </c>
      <c r="J131" s="9">
        <f t="shared" ref="J131:J194" si="16">D131-F131</f>
        <v>855.95983935747995</v>
      </c>
      <c r="K131" s="9">
        <f t="shared" ref="K131:K194" si="17">I131*1</f>
        <v>277.50923694778999</v>
      </c>
      <c r="L131" s="10">
        <f t="shared" si="14"/>
        <v>0.32420824457850766</v>
      </c>
      <c r="M131" s="10">
        <f t="shared" ref="M131:M181" si="18">L131+ABS($N$2)*A131</f>
        <v>0.32983628968290329</v>
      </c>
      <c r="P131" s="8">
        <f t="shared" ref="P131:P194" si="19">(M131-$O$2)/$O$2*100</f>
        <v>27.461881883408807</v>
      </c>
      <c r="X131" s="8">
        <v>-13</v>
      </c>
    </row>
    <row r="132" spans="1:24" x14ac:dyDescent="0.2">
      <c r="A132" s="8">
        <v>65</v>
      </c>
      <c r="B132" s="8">
        <v>130</v>
      </c>
      <c r="D132">
        <v>950.64908073541005</v>
      </c>
      <c r="E132">
        <v>385.22462030375999</v>
      </c>
      <c r="F132">
        <v>145.22008032129</v>
      </c>
      <c r="G132">
        <v>115.07148594378</v>
      </c>
      <c r="I132" s="9">
        <f t="shared" si="15"/>
        <v>270.15313435997996</v>
      </c>
      <c r="J132" s="9">
        <f t="shared" si="16"/>
        <v>805.42900041412008</v>
      </c>
      <c r="K132" s="9">
        <f t="shared" si="17"/>
        <v>270.15313435997996</v>
      </c>
      <c r="L132" s="10">
        <f t="shared" si="14"/>
        <v>0.33541520633237415</v>
      </c>
      <c r="M132" s="10">
        <f t="shared" si="18"/>
        <v>0.34108687969339302</v>
      </c>
      <c r="P132" s="8">
        <f t="shared" si="19"/>
        <v>31.80955804849766</v>
      </c>
      <c r="X132" s="8">
        <v>-13</v>
      </c>
    </row>
    <row r="133" spans="1:24" x14ac:dyDescent="0.2">
      <c r="A133" s="8">
        <v>65.5</v>
      </c>
      <c r="B133" s="8">
        <v>131</v>
      </c>
      <c r="D133">
        <v>919.91207034372997</v>
      </c>
      <c r="E133">
        <v>356.22062350120001</v>
      </c>
      <c r="F133">
        <v>144.86987951807001</v>
      </c>
      <c r="G133">
        <v>114.69397590361</v>
      </c>
      <c r="I133" s="9">
        <f t="shared" si="15"/>
        <v>241.52664759759</v>
      </c>
      <c r="J133" s="9">
        <f t="shared" si="16"/>
        <v>775.04219082565999</v>
      </c>
      <c r="K133" s="9">
        <f t="shared" si="17"/>
        <v>241.52664759759</v>
      </c>
      <c r="L133" s="10">
        <f t="shared" si="14"/>
        <v>0.31163032213806235</v>
      </c>
      <c r="M133" s="10">
        <f t="shared" si="18"/>
        <v>0.31734562375570446</v>
      </c>
      <c r="P133" s="8">
        <f t="shared" si="19"/>
        <v>22.634990983719366</v>
      </c>
      <c r="X133" s="8">
        <v>-13</v>
      </c>
    </row>
    <row r="134" spans="1:24" x14ac:dyDescent="0.2">
      <c r="A134" s="8">
        <v>66</v>
      </c>
      <c r="B134" s="8">
        <v>132</v>
      </c>
      <c r="D134">
        <v>990.91993594875998</v>
      </c>
      <c r="E134">
        <v>362.84387510008003</v>
      </c>
      <c r="F134">
        <v>145.18152610441999</v>
      </c>
      <c r="G134">
        <v>114.86666666667</v>
      </c>
      <c r="I134" s="9">
        <f t="shared" si="15"/>
        <v>247.97720843341003</v>
      </c>
      <c r="J134" s="9">
        <f t="shared" si="16"/>
        <v>845.73840984434003</v>
      </c>
      <c r="K134" s="9">
        <f t="shared" si="17"/>
        <v>247.97720843341003</v>
      </c>
      <c r="L134" s="10">
        <f t="shared" si="14"/>
        <v>0.29320792995442974</v>
      </c>
      <c r="M134" s="10">
        <f t="shared" si="18"/>
        <v>0.29896685982869503</v>
      </c>
      <c r="P134" s="8">
        <f t="shared" si="19"/>
        <v>15.532704455212626</v>
      </c>
      <c r="X134" s="8">
        <v>-13</v>
      </c>
    </row>
    <row r="135" spans="1:24" x14ac:dyDescent="0.2">
      <c r="A135" s="8">
        <v>66.5</v>
      </c>
      <c r="B135" s="8">
        <v>133</v>
      </c>
      <c r="D135">
        <v>962.98158526821999</v>
      </c>
      <c r="E135">
        <v>348.11609287430002</v>
      </c>
      <c r="F135">
        <v>145.69799196787</v>
      </c>
      <c r="G135">
        <v>114.52449799196999</v>
      </c>
      <c r="I135" s="9">
        <f t="shared" si="15"/>
        <v>233.59159488233001</v>
      </c>
      <c r="J135" s="9">
        <f t="shared" si="16"/>
        <v>817.28359330035005</v>
      </c>
      <c r="K135" s="9">
        <f t="shared" si="17"/>
        <v>233.59159488233001</v>
      </c>
      <c r="L135" s="10">
        <f t="shared" si="14"/>
        <v>0.28581461416476223</v>
      </c>
      <c r="M135" s="10">
        <f t="shared" si="18"/>
        <v>0.29161717229565076</v>
      </c>
      <c r="P135" s="8">
        <f t="shared" si="19"/>
        <v>12.692492406024611</v>
      </c>
      <c r="X135" s="8">
        <v>-13</v>
      </c>
    </row>
    <row r="136" spans="1:24" x14ac:dyDescent="0.2">
      <c r="A136" s="8">
        <v>67</v>
      </c>
      <c r="B136" s="8">
        <v>134</v>
      </c>
      <c r="D136">
        <v>967.49319455565001</v>
      </c>
      <c r="E136">
        <v>355.90152121697002</v>
      </c>
      <c r="F136">
        <v>145.09638554217</v>
      </c>
      <c r="G136">
        <v>115.00481927711</v>
      </c>
      <c r="I136" s="9">
        <f t="shared" si="15"/>
        <v>240.89670193986001</v>
      </c>
      <c r="J136" s="9">
        <f t="shared" si="16"/>
        <v>822.39680901348004</v>
      </c>
      <c r="K136" s="9">
        <f t="shared" si="17"/>
        <v>240.89670193986001</v>
      </c>
      <c r="L136" s="10">
        <f t="shared" si="14"/>
        <v>0.29292027802105863</v>
      </c>
      <c r="M136" s="10">
        <f t="shared" si="18"/>
        <v>0.29876646440857041</v>
      </c>
      <c r="P136" s="8">
        <f t="shared" si="19"/>
        <v>15.455263681808168</v>
      </c>
      <c r="X136" s="8">
        <v>-13</v>
      </c>
    </row>
    <row r="137" spans="1:24" x14ac:dyDescent="0.2">
      <c r="A137" s="8">
        <v>67.5</v>
      </c>
      <c r="B137" s="8">
        <v>135</v>
      </c>
      <c r="D137">
        <v>971.63170536429004</v>
      </c>
      <c r="E137">
        <v>361.60528422738003</v>
      </c>
      <c r="F137">
        <v>144.40080321285001</v>
      </c>
      <c r="G137">
        <v>114.80080321285</v>
      </c>
      <c r="I137" s="9">
        <f t="shared" si="15"/>
        <v>246.80448101453004</v>
      </c>
      <c r="J137" s="9">
        <f t="shared" si="16"/>
        <v>827.23090215143998</v>
      </c>
      <c r="K137" s="9">
        <f t="shared" si="17"/>
        <v>246.80448101453004</v>
      </c>
      <c r="L137" s="10">
        <f t="shared" si="14"/>
        <v>0.29835017088052146</v>
      </c>
      <c r="M137" s="10">
        <f t="shared" si="18"/>
        <v>0.30423998552465642</v>
      </c>
      <c r="P137" s="8">
        <f t="shared" si="19"/>
        <v>17.570450287428844</v>
      </c>
      <c r="X137" s="8">
        <v>-13</v>
      </c>
    </row>
    <row r="138" spans="1:24" x14ac:dyDescent="0.2">
      <c r="A138" s="8">
        <v>68</v>
      </c>
      <c r="B138" s="8">
        <v>136</v>
      </c>
      <c r="D138">
        <v>975.02401921537</v>
      </c>
      <c r="E138">
        <v>351.60528422738003</v>
      </c>
      <c r="F138">
        <v>145.20722891566001</v>
      </c>
      <c r="G138">
        <v>115.16706827309</v>
      </c>
      <c r="I138" s="9">
        <f t="shared" si="15"/>
        <v>236.43821595429003</v>
      </c>
      <c r="J138" s="9">
        <f t="shared" si="16"/>
        <v>829.81679029970996</v>
      </c>
      <c r="K138" s="9">
        <f t="shared" si="17"/>
        <v>236.43821595429003</v>
      </c>
      <c r="L138" s="10">
        <f t="shared" si="14"/>
        <v>0.28492821393610773</v>
      </c>
      <c r="M138" s="10">
        <f t="shared" si="18"/>
        <v>0.29086165683686593</v>
      </c>
      <c r="P138" s="8">
        <f t="shared" si="19"/>
        <v>12.400531135597692</v>
      </c>
      <c r="X138" s="8">
        <v>-13</v>
      </c>
    </row>
    <row r="139" spans="1:24" x14ac:dyDescent="0.2">
      <c r="A139" s="8">
        <v>68.5</v>
      </c>
      <c r="B139" s="8">
        <v>137</v>
      </c>
      <c r="D139">
        <v>955.46036829464003</v>
      </c>
      <c r="E139">
        <v>338.68534827861998</v>
      </c>
      <c r="F139">
        <v>145.00722891565999</v>
      </c>
      <c r="G139">
        <v>115.15261044176999</v>
      </c>
      <c r="I139" s="9">
        <f t="shared" si="15"/>
        <v>223.53273783685</v>
      </c>
      <c r="J139" s="9">
        <f t="shared" si="16"/>
        <v>810.45313937898004</v>
      </c>
      <c r="K139" s="9">
        <f t="shared" si="17"/>
        <v>223.53273783685</v>
      </c>
      <c r="L139" s="10">
        <f t="shared" si="14"/>
        <v>0.27581204510865959</v>
      </c>
      <c r="M139" s="10">
        <f t="shared" si="18"/>
        <v>0.28178911626604103</v>
      </c>
      <c r="P139" s="8">
        <f t="shared" si="19"/>
        <v>8.8945400400373558</v>
      </c>
      <c r="X139" s="8">
        <v>-13</v>
      </c>
    </row>
    <row r="140" spans="1:24" x14ac:dyDescent="0.2">
      <c r="A140" s="8">
        <v>69</v>
      </c>
      <c r="B140" s="8">
        <v>138</v>
      </c>
      <c r="D140">
        <v>972.25982357657995</v>
      </c>
      <c r="E140">
        <v>347.99679230151997</v>
      </c>
      <c r="F140">
        <v>144.97269076305</v>
      </c>
      <c r="G140">
        <v>114.36626506024</v>
      </c>
      <c r="I140" s="9">
        <f t="shared" si="15"/>
        <v>233.63052724127999</v>
      </c>
      <c r="J140" s="9">
        <f t="shared" si="16"/>
        <v>827.28713281352998</v>
      </c>
      <c r="K140" s="9">
        <f t="shared" si="17"/>
        <v>233.63052724127999</v>
      </c>
      <c r="L140" s="10">
        <f t="shared" si="14"/>
        <v>0.28240560982342772</v>
      </c>
      <c r="M140" s="10">
        <f t="shared" si="18"/>
        <v>0.28842630923743234</v>
      </c>
      <c r="P140" s="8">
        <f t="shared" si="19"/>
        <v>11.459415807255647</v>
      </c>
      <c r="X140" s="8">
        <v>-13</v>
      </c>
    </row>
    <row r="141" spans="1:24" x14ac:dyDescent="0.2">
      <c r="A141" s="8">
        <v>69.5</v>
      </c>
      <c r="B141" s="8">
        <v>139</v>
      </c>
      <c r="D141">
        <v>963.32638331996998</v>
      </c>
      <c r="E141">
        <v>366.47634322374</v>
      </c>
      <c r="F141">
        <v>144.89477911647</v>
      </c>
      <c r="G141">
        <v>114.67791164659</v>
      </c>
      <c r="I141" s="9">
        <f t="shared" si="15"/>
        <v>251.79843157714998</v>
      </c>
      <c r="J141" s="9">
        <f t="shared" si="16"/>
        <v>818.4316042035</v>
      </c>
      <c r="K141" s="9">
        <f t="shared" si="17"/>
        <v>251.79843157714998</v>
      </c>
      <c r="L141" s="10">
        <f t="shared" si="14"/>
        <v>0.30765971192204994</v>
      </c>
      <c r="M141" s="10">
        <f t="shared" si="18"/>
        <v>0.31372403959267781</v>
      </c>
      <c r="P141" s="8">
        <f t="shared" si="19"/>
        <v>21.235466591596499</v>
      </c>
      <c r="X141" s="8">
        <v>-13</v>
      </c>
    </row>
    <row r="142" spans="1:24" x14ac:dyDescent="0.2">
      <c r="A142" s="8">
        <v>70</v>
      </c>
      <c r="B142" s="8">
        <v>140</v>
      </c>
      <c r="D142">
        <v>966.48676824379004</v>
      </c>
      <c r="E142">
        <v>376.85966319165999</v>
      </c>
      <c r="F142">
        <v>144.95180722891999</v>
      </c>
      <c r="G142">
        <v>114.78072289156999</v>
      </c>
      <c r="I142" s="9">
        <f t="shared" si="15"/>
        <v>262.07894030008998</v>
      </c>
      <c r="J142" s="9">
        <f t="shared" si="16"/>
        <v>821.53496101487008</v>
      </c>
      <c r="K142" s="9">
        <f t="shared" si="17"/>
        <v>262.07894030008998</v>
      </c>
      <c r="L142" s="10">
        <f t="shared" si="14"/>
        <v>0.31901130534522226</v>
      </c>
      <c r="M142" s="10">
        <f t="shared" si="18"/>
        <v>0.32511926127247337</v>
      </c>
      <c r="P142" s="8">
        <f t="shared" si="19"/>
        <v>25.639034195336276</v>
      </c>
      <c r="X142" s="8">
        <v>-13</v>
      </c>
    </row>
    <row r="143" spans="1:24" x14ac:dyDescent="0.2">
      <c r="A143" s="8">
        <v>70.5</v>
      </c>
      <c r="B143" s="8">
        <v>141</v>
      </c>
      <c r="D143">
        <v>977.19952114924001</v>
      </c>
      <c r="E143">
        <v>380.61053471667998</v>
      </c>
      <c r="F143">
        <v>144.45863453814999</v>
      </c>
      <c r="G143">
        <v>114.61044176707</v>
      </c>
      <c r="I143" s="9">
        <f t="shared" si="15"/>
        <v>266.00009294961001</v>
      </c>
      <c r="J143" s="9">
        <f t="shared" si="16"/>
        <v>832.74088661108999</v>
      </c>
      <c r="K143" s="9">
        <f t="shared" si="17"/>
        <v>266.00009294961001</v>
      </c>
      <c r="L143" s="10">
        <f t="shared" si="14"/>
        <v>0.31942720385943829</v>
      </c>
      <c r="M143" s="10">
        <f t="shared" si="18"/>
        <v>0.32557878804331258</v>
      </c>
      <c r="P143" s="8">
        <f t="shared" si="19"/>
        <v>25.816613645563784</v>
      </c>
      <c r="X143" s="8">
        <v>-13</v>
      </c>
    </row>
    <row r="144" spans="1:24" x14ac:dyDescent="0.2">
      <c r="A144" s="8">
        <v>71</v>
      </c>
      <c r="B144" s="8">
        <v>142</v>
      </c>
      <c r="D144">
        <v>965.17637669593</v>
      </c>
      <c r="E144">
        <v>369.58978451716001</v>
      </c>
      <c r="F144">
        <v>144.32851405623001</v>
      </c>
      <c r="G144">
        <v>114.65140562249</v>
      </c>
      <c r="I144" s="9">
        <f t="shared" si="15"/>
        <v>254.93837889467</v>
      </c>
      <c r="J144" s="9">
        <f t="shared" si="16"/>
        <v>820.8478626397</v>
      </c>
      <c r="K144" s="9">
        <f t="shared" si="17"/>
        <v>254.93837889467</v>
      </c>
      <c r="L144" s="10">
        <f t="shared" si="14"/>
        <v>0.31057932961515394</v>
      </c>
      <c r="M144" s="10">
        <f t="shared" si="18"/>
        <v>0.31677454205565148</v>
      </c>
      <c r="P144" s="8">
        <f t="shared" si="19"/>
        <v>22.414302264876724</v>
      </c>
    </row>
    <row r="145" spans="1:16" x14ac:dyDescent="0.2">
      <c r="A145" s="8">
        <v>71.5</v>
      </c>
      <c r="B145" s="8">
        <v>143</v>
      </c>
      <c r="D145">
        <v>985.04654895665999</v>
      </c>
      <c r="E145">
        <v>381.61797752809002</v>
      </c>
      <c r="F145">
        <v>144.42891566265001</v>
      </c>
      <c r="G145">
        <v>114.13574297189</v>
      </c>
      <c r="I145" s="9">
        <f t="shared" si="15"/>
        <v>267.48223455620001</v>
      </c>
      <c r="J145" s="9">
        <f t="shared" si="16"/>
        <v>840.61763329400992</v>
      </c>
      <c r="K145" s="9">
        <f t="shared" si="17"/>
        <v>267.48223455620001</v>
      </c>
      <c r="L145" s="10">
        <f t="shared" si="14"/>
        <v>0.31819726824912659</v>
      </c>
      <c r="M145" s="10">
        <f t="shared" si="18"/>
        <v>0.32443610894624736</v>
      </c>
      <c r="P145" s="8">
        <f t="shared" si="19"/>
        <v>25.37503692202985</v>
      </c>
    </row>
    <row r="146" spans="1:16" x14ac:dyDescent="0.2">
      <c r="A146" s="8">
        <v>72</v>
      </c>
      <c r="B146" s="8">
        <v>144</v>
      </c>
      <c r="D146">
        <v>953.58667736758002</v>
      </c>
      <c r="E146">
        <v>362.66131621187998</v>
      </c>
      <c r="F146">
        <v>144.98313253012</v>
      </c>
      <c r="G146">
        <v>115.01204819277</v>
      </c>
      <c r="I146" s="9">
        <f t="shared" si="15"/>
        <v>247.64926801910997</v>
      </c>
      <c r="J146" s="9">
        <f t="shared" si="16"/>
        <v>808.60354483746005</v>
      </c>
      <c r="K146" s="9">
        <f t="shared" si="17"/>
        <v>247.64926801910997</v>
      </c>
      <c r="L146" s="10">
        <f t="shared" si="14"/>
        <v>0.30626784856463957</v>
      </c>
      <c r="M146" s="10">
        <f t="shared" si="18"/>
        <v>0.31255031751838352</v>
      </c>
      <c r="P146" s="8">
        <f t="shared" si="19"/>
        <v>20.781893625015186</v>
      </c>
    </row>
    <row r="147" spans="1:16" x14ac:dyDescent="0.2">
      <c r="A147" s="8">
        <v>72.5</v>
      </c>
      <c r="B147" s="8">
        <v>145</v>
      </c>
      <c r="D147">
        <v>983.43499197432004</v>
      </c>
      <c r="E147">
        <v>380.22712680578002</v>
      </c>
      <c r="F147">
        <v>145.00080321285</v>
      </c>
      <c r="G147">
        <v>114.53493975904</v>
      </c>
      <c r="I147" s="9">
        <f t="shared" si="15"/>
        <v>265.69218704674</v>
      </c>
      <c r="J147" s="9">
        <f t="shared" si="16"/>
        <v>838.43418876147007</v>
      </c>
      <c r="K147" s="9">
        <f t="shared" si="17"/>
        <v>265.69218704674</v>
      </c>
      <c r="L147" s="10">
        <f t="shared" si="14"/>
        <v>0.31689092669183599</v>
      </c>
      <c r="M147" s="10">
        <f t="shared" si="18"/>
        <v>0.32321702390220319</v>
      </c>
      <c r="P147" s="8">
        <f t="shared" si="19"/>
        <v>24.903933896831578</v>
      </c>
    </row>
    <row r="148" spans="1:16" x14ac:dyDescent="0.2">
      <c r="A148" s="8">
        <v>73</v>
      </c>
      <c r="B148" s="8">
        <v>146</v>
      </c>
      <c r="D148">
        <v>973.77207062599996</v>
      </c>
      <c r="E148">
        <v>374.13723916533002</v>
      </c>
      <c r="F148">
        <v>144.93413654618999</v>
      </c>
      <c r="G148">
        <v>114.42650602409999</v>
      </c>
      <c r="I148" s="9">
        <f t="shared" si="15"/>
        <v>259.71073314123004</v>
      </c>
      <c r="J148" s="9">
        <f t="shared" si="16"/>
        <v>828.83793407981</v>
      </c>
      <c r="K148" s="9">
        <f t="shared" si="17"/>
        <v>259.71073314123004</v>
      </c>
      <c r="L148" s="10">
        <f t="shared" si="14"/>
        <v>0.31334320313121927</v>
      </c>
      <c r="M148" s="10">
        <f t="shared" si="18"/>
        <v>0.31971292859820971</v>
      </c>
      <c r="P148" s="8">
        <f t="shared" si="19"/>
        <v>23.549811880193531</v>
      </c>
    </row>
    <row r="149" spans="1:16" x14ac:dyDescent="0.2">
      <c r="A149" s="8">
        <v>73.5</v>
      </c>
      <c r="B149" s="8">
        <v>147</v>
      </c>
      <c r="D149">
        <v>973.00159489632995</v>
      </c>
      <c r="E149">
        <v>358.66507177033998</v>
      </c>
      <c r="F149">
        <v>144.51485943775</v>
      </c>
      <c r="G149">
        <v>114.91967871486</v>
      </c>
      <c r="I149" s="9">
        <f t="shared" si="15"/>
        <v>243.74539305547998</v>
      </c>
      <c r="J149" s="9">
        <f t="shared" si="16"/>
        <v>828.48673545857991</v>
      </c>
      <c r="K149" s="9">
        <f t="shared" si="17"/>
        <v>243.74539305547998</v>
      </c>
      <c r="L149" s="10">
        <f t="shared" si="14"/>
        <v>0.29420554684024391</v>
      </c>
      <c r="M149" s="10">
        <f t="shared" si="18"/>
        <v>0.30061890056385754</v>
      </c>
      <c r="P149" s="8">
        <f t="shared" si="19"/>
        <v>16.171118806933301</v>
      </c>
    </row>
    <row r="150" spans="1:16" x14ac:dyDescent="0.2">
      <c r="A150" s="8">
        <v>74</v>
      </c>
      <c r="B150" s="8">
        <v>148</v>
      </c>
      <c r="D150">
        <v>998.36363636364001</v>
      </c>
      <c r="E150">
        <v>360.09808612440003</v>
      </c>
      <c r="F150">
        <v>144.36546184739001</v>
      </c>
      <c r="G150">
        <v>114.57991967872</v>
      </c>
      <c r="I150" s="9">
        <f t="shared" si="15"/>
        <v>245.51816644568004</v>
      </c>
      <c r="J150" s="9">
        <f t="shared" si="16"/>
        <v>853.99817451624995</v>
      </c>
      <c r="K150" s="9">
        <f t="shared" si="17"/>
        <v>245.51816644568004</v>
      </c>
      <c r="L150" s="10">
        <f t="shared" si="14"/>
        <v>0.28749261271519067</v>
      </c>
      <c r="M150" s="10">
        <f t="shared" si="18"/>
        <v>0.29394959469542753</v>
      </c>
      <c r="P150" s="8">
        <f t="shared" si="19"/>
        <v>13.593833337031247</v>
      </c>
    </row>
    <row r="151" spans="1:16" x14ac:dyDescent="0.2">
      <c r="A151" s="8">
        <v>74.5</v>
      </c>
      <c r="B151" s="8">
        <v>149</v>
      </c>
      <c r="D151">
        <v>971.69377990430996</v>
      </c>
      <c r="E151">
        <v>366.57496012758997</v>
      </c>
      <c r="F151">
        <v>144.28192771083999</v>
      </c>
      <c r="G151">
        <v>114.30120481928</v>
      </c>
      <c r="I151" s="9">
        <f t="shared" si="15"/>
        <v>252.27375530830997</v>
      </c>
      <c r="J151" s="9">
        <f t="shared" si="16"/>
        <v>827.41185219346994</v>
      </c>
      <c r="K151" s="9">
        <f t="shared" si="17"/>
        <v>252.27375530830997</v>
      </c>
      <c r="L151" s="10">
        <f t="shared" si="14"/>
        <v>0.30489502252056444</v>
      </c>
      <c r="M151" s="10">
        <f t="shared" si="18"/>
        <v>0.31139563275742455</v>
      </c>
      <c r="P151" s="8">
        <f t="shared" si="19"/>
        <v>20.335677434688101</v>
      </c>
    </row>
    <row r="152" spans="1:16" x14ac:dyDescent="0.2">
      <c r="A152" s="8">
        <v>75</v>
      </c>
      <c r="B152" s="8">
        <v>150</v>
      </c>
      <c r="D152">
        <v>978.96012759171003</v>
      </c>
      <c r="E152">
        <v>370.11004784688998</v>
      </c>
      <c r="F152">
        <v>144.73413654619</v>
      </c>
      <c r="G152">
        <v>114.44979919679</v>
      </c>
      <c r="I152" s="9">
        <f t="shared" si="15"/>
        <v>255.66024865009999</v>
      </c>
      <c r="J152" s="9">
        <f t="shared" si="16"/>
        <v>834.22599104552</v>
      </c>
      <c r="K152" s="9">
        <f t="shared" si="17"/>
        <v>255.66024865009999</v>
      </c>
      <c r="L152" s="10">
        <f t="shared" si="14"/>
        <v>0.30646401741773321</v>
      </c>
      <c r="M152" s="10">
        <f t="shared" si="18"/>
        <v>0.3130082559112165</v>
      </c>
      <c r="P152" s="8">
        <f t="shared" si="19"/>
        <v>20.958859262705541</v>
      </c>
    </row>
    <row r="153" spans="1:16" x14ac:dyDescent="0.2">
      <c r="A153" s="8">
        <v>75.5</v>
      </c>
      <c r="B153" s="8">
        <v>151</v>
      </c>
      <c r="D153">
        <v>986.80940988836005</v>
      </c>
      <c r="E153">
        <v>387.82615629984002</v>
      </c>
      <c r="F153">
        <v>144.18634538153</v>
      </c>
      <c r="G153">
        <v>114.61044176707</v>
      </c>
      <c r="I153" s="9">
        <f t="shared" si="15"/>
        <v>273.21571453276999</v>
      </c>
      <c r="J153" s="9">
        <f t="shared" si="16"/>
        <v>842.62306450683002</v>
      </c>
      <c r="K153" s="9">
        <f t="shared" si="17"/>
        <v>273.21571453276999</v>
      </c>
      <c r="L153" s="10">
        <f t="shared" si="14"/>
        <v>0.32424428672941386</v>
      </c>
      <c r="M153" s="10">
        <f t="shared" si="18"/>
        <v>0.33083215347952039</v>
      </c>
      <c r="P153" s="8">
        <f t="shared" si="19"/>
        <v>27.846723326230045</v>
      </c>
    </row>
    <row r="154" spans="1:16" x14ac:dyDescent="0.2">
      <c r="A154" s="8">
        <v>76</v>
      </c>
      <c r="B154" s="8">
        <v>152</v>
      </c>
      <c r="D154">
        <v>1000.3803827751</v>
      </c>
      <c r="E154">
        <v>371.51116427431998</v>
      </c>
      <c r="F154">
        <v>144.03373493976</v>
      </c>
      <c r="G154">
        <v>114.59277108434</v>
      </c>
      <c r="I154" s="9">
        <f t="shared" si="15"/>
        <v>256.91839318997995</v>
      </c>
      <c r="J154" s="9">
        <f t="shared" si="16"/>
        <v>856.34664783534004</v>
      </c>
      <c r="K154" s="9">
        <f t="shared" si="17"/>
        <v>256.91839318997995</v>
      </c>
      <c r="L154" s="10">
        <f t="shared" si="14"/>
        <v>0.30001681426489418</v>
      </c>
      <c r="M154" s="10">
        <f t="shared" si="18"/>
        <v>0.30664830927162395</v>
      </c>
      <c r="P154" s="8">
        <f t="shared" si="19"/>
        <v>18.501122522640131</v>
      </c>
    </row>
    <row r="155" spans="1:16" x14ac:dyDescent="0.2">
      <c r="A155" s="8">
        <v>76.5</v>
      </c>
      <c r="B155" s="8">
        <v>153</v>
      </c>
      <c r="D155">
        <v>1007.1275917065</v>
      </c>
      <c r="E155">
        <v>364.7033492823</v>
      </c>
      <c r="F155">
        <v>144.35582329317</v>
      </c>
      <c r="G155">
        <v>114.540562249</v>
      </c>
      <c r="I155" s="9">
        <f t="shared" si="15"/>
        <v>250.16278703329999</v>
      </c>
      <c r="J155" s="9">
        <f t="shared" si="16"/>
        <v>862.77176841332994</v>
      </c>
      <c r="K155" s="9">
        <f t="shared" si="17"/>
        <v>250.16278703329999</v>
      </c>
      <c r="L155" s="10">
        <f t="shared" si="14"/>
        <v>0.28995244883053933</v>
      </c>
      <c r="M155" s="10">
        <f t="shared" si="18"/>
        <v>0.29662757209389229</v>
      </c>
      <c r="P155" s="8">
        <f t="shared" si="19"/>
        <v>14.628710485260479</v>
      </c>
    </row>
    <row r="156" spans="1:16" x14ac:dyDescent="0.2">
      <c r="A156" s="8">
        <v>77</v>
      </c>
      <c r="B156" s="8">
        <v>154</v>
      </c>
      <c r="D156">
        <v>987.23354735152998</v>
      </c>
      <c r="E156">
        <v>360.07303370787002</v>
      </c>
      <c r="F156">
        <v>143.46265060241001</v>
      </c>
      <c r="G156">
        <v>114.49156626506</v>
      </c>
      <c r="I156" s="9">
        <f t="shared" si="15"/>
        <v>245.58146744281004</v>
      </c>
      <c r="J156" s="9">
        <f t="shared" si="16"/>
        <v>843.77089674911997</v>
      </c>
      <c r="K156" s="9">
        <f t="shared" si="17"/>
        <v>245.58146744281004</v>
      </c>
      <c r="L156" s="10">
        <f t="shared" si="14"/>
        <v>0.29105230861716869</v>
      </c>
      <c r="M156" s="10">
        <f t="shared" si="18"/>
        <v>0.29777106013714488</v>
      </c>
      <c r="P156" s="8">
        <f t="shared" si="19"/>
        <v>15.070599817826869</v>
      </c>
    </row>
    <row r="157" spans="1:16" x14ac:dyDescent="0.2">
      <c r="A157" s="8">
        <v>77.5</v>
      </c>
      <c r="B157" s="8">
        <v>155</v>
      </c>
      <c r="D157">
        <v>1002.0955056179999</v>
      </c>
      <c r="E157">
        <v>354.03451043338998</v>
      </c>
      <c r="F157">
        <v>144.39678714858999</v>
      </c>
      <c r="G157">
        <v>114.49879518071999</v>
      </c>
      <c r="I157" s="9">
        <f t="shared" si="15"/>
        <v>239.53571525267</v>
      </c>
      <c r="J157" s="9">
        <f t="shared" si="16"/>
        <v>857.69871846940998</v>
      </c>
      <c r="K157" s="9">
        <f t="shared" si="17"/>
        <v>239.53571525267</v>
      </c>
      <c r="L157" s="10">
        <f t="shared" si="14"/>
        <v>0.27927722181995202</v>
      </c>
      <c r="M157" s="10">
        <f t="shared" si="18"/>
        <v>0.28603960159655145</v>
      </c>
      <c r="P157" s="8">
        <f t="shared" si="19"/>
        <v>10.537096896547993</v>
      </c>
    </row>
    <row r="158" spans="1:16" x14ac:dyDescent="0.2">
      <c r="A158" s="8">
        <v>78</v>
      </c>
      <c r="B158" s="8">
        <v>156</v>
      </c>
      <c r="D158">
        <v>985.93579454253995</v>
      </c>
      <c r="E158">
        <v>346.64285714286001</v>
      </c>
      <c r="F158">
        <v>143.89799196787001</v>
      </c>
      <c r="G158">
        <v>114.459437751</v>
      </c>
      <c r="I158" s="9">
        <f t="shared" si="15"/>
        <v>232.18341939186001</v>
      </c>
      <c r="J158" s="9">
        <f t="shared" si="16"/>
        <v>842.03780257466997</v>
      </c>
      <c r="K158" s="9">
        <f t="shared" si="17"/>
        <v>232.18341939186001</v>
      </c>
      <c r="L158" s="10">
        <f t="shared" si="14"/>
        <v>0.27573989989751146</v>
      </c>
      <c r="M158" s="10">
        <f t="shared" si="18"/>
        <v>0.28254590793073409</v>
      </c>
      <c r="P158" s="8">
        <f t="shared" si="19"/>
        <v>9.1869944872668938</v>
      </c>
    </row>
    <row r="159" spans="1:16" x14ac:dyDescent="0.2">
      <c r="A159" s="8">
        <v>78.5</v>
      </c>
      <c r="B159" s="8">
        <v>157</v>
      </c>
      <c r="D159">
        <v>943.64908073541005</v>
      </c>
      <c r="E159">
        <v>339.01119104716003</v>
      </c>
      <c r="F159">
        <v>143.56546184739</v>
      </c>
      <c r="G159">
        <v>114.32931726907999</v>
      </c>
      <c r="I159" s="9">
        <f t="shared" si="15"/>
        <v>224.68187377808005</v>
      </c>
      <c r="J159" s="9">
        <f t="shared" si="16"/>
        <v>800.08361888802006</v>
      </c>
      <c r="K159" s="9">
        <f t="shared" si="17"/>
        <v>224.68187377808005</v>
      </c>
      <c r="L159" s="10">
        <f t="shared" si="14"/>
        <v>0.28082298958995006</v>
      </c>
      <c r="M159" s="10">
        <f t="shared" si="18"/>
        <v>0.28767262587979592</v>
      </c>
      <c r="P159" s="8">
        <f t="shared" si="19"/>
        <v>11.168162533697117</v>
      </c>
    </row>
    <row r="160" spans="1:16" x14ac:dyDescent="0.2">
      <c r="A160" s="8">
        <v>79</v>
      </c>
      <c r="B160" s="8">
        <v>158</v>
      </c>
      <c r="D160">
        <v>951.51878497201994</v>
      </c>
      <c r="E160">
        <v>346.54676258992998</v>
      </c>
      <c r="F160">
        <v>143.99518072289001</v>
      </c>
      <c r="G160">
        <v>114.22489959839</v>
      </c>
      <c r="I160" s="9">
        <f t="shared" si="15"/>
        <v>232.32186299154</v>
      </c>
      <c r="J160" s="9">
        <f t="shared" si="16"/>
        <v>807.5236042491299</v>
      </c>
      <c r="K160" s="9">
        <f t="shared" si="17"/>
        <v>232.32186299154</v>
      </c>
      <c r="L160" s="10">
        <f t="shared" si="14"/>
        <v>0.28769668374903151</v>
      </c>
      <c r="M160" s="10">
        <f t="shared" si="18"/>
        <v>0.29458994829550061</v>
      </c>
      <c r="P160" s="8">
        <f t="shared" si="19"/>
        <v>13.841291477597281</v>
      </c>
    </row>
    <row r="161" spans="1:16" x14ac:dyDescent="0.2">
      <c r="A161" s="8">
        <v>79.5</v>
      </c>
      <c r="B161" s="8">
        <v>159</v>
      </c>
      <c r="D161">
        <v>970.88710968775001</v>
      </c>
      <c r="E161">
        <v>343.83907125701</v>
      </c>
      <c r="F161">
        <v>144.04497991968</v>
      </c>
      <c r="G161">
        <v>114.31325301205</v>
      </c>
      <c r="I161" s="9">
        <f t="shared" si="15"/>
        <v>229.52581824496002</v>
      </c>
      <c r="J161" s="9">
        <f t="shared" si="16"/>
        <v>826.84212976806998</v>
      </c>
      <c r="K161" s="9">
        <f t="shared" si="17"/>
        <v>229.52581824496002</v>
      </c>
      <c r="L161" s="10">
        <f t="shared" si="14"/>
        <v>0.27759327927489885</v>
      </c>
      <c r="M161" s="10">
        <f t="shared" si="18"/>
        <v>0.28453017207799114</v>
      </c>
      <c r="P161" s="8">
        <f t="shared" si="19"/>
        <v>9.9537932000656308</v>
      </c>
    </row>
    <row r="162" spans="1:16" x14ac:dyDescent="0.2">
      <c r="A162" s="8">
        <v>80</v>
      </c>
      <c r="B162" s="4">
        <v>160</v>
      </c>
      <c r="C162" s="4" t="s">
        <v>6</v>
      </c>
      <c r="D162">
        <v>984.68573730861999</v>
      </c>
      <c r="E162">
        <v>335.62288477035003</v>
      </c>
      <c r="F162">
        <v>143.540562249</v>
      </c>
      <c r="G162">
        <v>114.17751004016</v>
      </c>
      <c r="H162" s="4"/>
      <c r="I162" s="5">
        <f t="shared" si="15"/>
        <v>221.44537473019003</v>
      </c>
      <c r="J162" s="5">
        <f t="shared" si="16"/>
        <v>841.14517505961999</v>
      </c>
      <c r="K162" s="9">
        <f t="shared" si="17"/>
        <v>221.44537473019003</v>
      </c>
      <c r="L162" s="6">
        <f t="shared" si="14"/>
        <v>0.26326653388280336</v>
      </c>
      <c r="M162" s="6">
        <f t="shared" si="18"/>
        <v>0.27024705494251888</v>
      </c>
      <c r="N162" s="4"/>
      <c r="O162" s="4"/>
      <c r="P162" s="4">
        <f t="shared" si="19"/>
        <v>4.4342277483723267</v>
      </c>
    </row>
    <row r="163" spans="1:16" x14ac:dyDescent="0.2">
      <c r="A163" s="8">
        <v>80.5</v>
      </c>
      <c r="B163" s="8">
        <v>161</v>
      </c>
      <c r="D163">
        <v>959.96568236232997</v>
      </c>
      <c r="E163">
        <v>327.16679968077</v>
      </c>
      <c r="F163">
        <v>143.93654618474</v>
      </c>
      <c r="G163">
        <v>114.50200803212999</v>
      </c>
      <c r="I163" s="9">
        <f t="shared" si="15"/>
        <v>212.66479164864</v>
      </c>
      <c r="J163" s="9">
        <f t="shared" si="16"/>
        <v>816.02913617758998</v>
      </c>
      <c r="K163" s="9">
        <f t="shared" si="17"/>
        <v>212.66479164864</v>
      </c>
      <c r="L163" s="10">
        <f t="shared" si="14"/>
        <v>0.26060931187432307</v>
      </c>
      <c r="M163" s="10">
        <f t="shared" si="18"/>
        <v>0.26763346119066184</v>
      </c>
      <c r="P163" s="8">
        <f t="shared" si="19"/>
        <v>3.4242310060166434</v>
      </c>
    </row>
    <row r="164" spans="1:16" x14ac:dyDescent="0.2">
      <c r="A164" s="8">
        <v>81</v>
      </c>
      <c r="B164" s="8">
        <v>162</v>
      </c>
      <c r="D164">
        <v>951.00798084597</v>
      </c>
      <c r="E164">
        <v>351.32003192337999</v>
      </c>
      <c r="F164">
        <v>144.10763052209001</v>
      </c>
      <c r="G164">
        <v>114.41847389557999</v>
      </c>
      <c r="I164" s="9">
        <f t="shared" si="15"/>
        <v>236.90155802779998</v>
      </c>
      <c r="J164" s="9">
        <f t="shared" si="16"/>
        <v>806.90035032388005</v>
      </c>
      <c r="K164" s="9">
        <f t="shared" si="17"/>
        <v>236.90155802779998</v>
      </c>
      <c r="L164" s="10">
        <f t="shared" si="14"/>
        <v>0.29359456583791366</v>
      </c>
      <c r="M164" s="10">
        <f t="shared" si="18"/>
        <v>0.30066234341087561</v>
      </c>
      <c r="P164" s="8">
        <f t="shared" si="19"/>
        <v>16.18790685363556</v>
      </c>
    </row>
    <row r="165" spans="1:16" x14ac:dyDescent="0.2">
      <c r="A165" s="8">
        <v>81.5</v>
      </c>
      <c r="B165" s="8">
        <v>163</v>
      </c>
      <c r="D165">
        <v>939.08699122106998</v>
      </c>
      <c r="E165">
        <v>349.54668794892001</v>
      </c>
      <c r="F165">
        <v>143.97991967871999</v>
      </c>
      <c r="G165">
        <v>114.43855421687</v>
      </c>
      <c r="I165" s="9">
        <f t="shared" si="15"/>
        <v>235.10813373205002</v>
      </c>
      <c r="J165" s="9">
        <f t="shared" si="16"/>
        <v>795.10707154235001</v>
      </c>
      <c r="K165" s="9">
        <f t="shared" si="17"/>
        <v>235.10813373205002</v>
      </c>
      <c r="L165" s="10">
        <f t="shared" si="14"/>
        <v>0.29569367717480727</v>
      </c>
      <c r="M165" s="10">
        <f t="shared" si="18"/>
        <v>0.30280508300439246</v>
      </c>
      <c r="P165" s="8">
        <f t="shared" si="19"/>
        <v>17.015946791988966</v>
      </c>
    </row>
    <row r="166" spans="1:16" x14ac:dyDescent="0.2">
      <c r="A166" s="8">
        <v>82</v>
      </c>
      <c r="B166" s="8">
        <v>164</v>
      </c>
      <c r="D166">
        <v>944.90662410215998</v>
      </c>
      <c r="E166">
        <v>361.97366320830002</v>
      </c>
      <c r="F166">
        <v>143.52128514056</v>
      </c>
      <c r="G166">
        <v>114.33413654619</v>
      </c>
      <c r="I166" s="9">
        <f t="shared" si="15"/>
        <v>247.63952666211003</v>
      </c>
      <c r="J166" s="9">
        <f t="shared" si="16"/>
        <v>801.38533896159993</v>
      </c>
      <c r="K166" s="9">
        <f t="shared" si="17"/>
        <v>247.63952666211003</v>
      </c>
      <c r="L166" s="10">
        <f t="shared" si="14"/>
        <v>0.30901429639702482</v>
      </c>
      <c r="M166" s="10">
        <f t="shared" si="18"/>
        <v>0.31616933048323326</v>
      </c>
      <c r="P166" s="8">
        <f t="shared" si="19"/>
        <v>22.180424403734747</v>
      </c>
    </row>
    <row r="167" spans="1:16" x14ac:dyDescent="0.2">
      <c r="A167" s="8">
        <v>82.5</v>
      </c>
      <c r="B167" s="8">
        <v>165</v>
      </c>
      <c r="D167">
        <v>972.40540540540997</v>
      </c>
      <c r="E167">
        <v>371.04133545309998</v>
      </c>
      <c r="F167">
        <v>143.60803212850999</v>
      </c>
      <c r="G167">
        <v>114.50923694779</v>
      </c>
      <c r="I167" s="9">
        <f t="shared" si="15"/>
        <v>256.53209850530999</v>
      </c>
      <c r="J167" s="9">
        <f t="shared" si="16"/>
        <v>828.79737327689998</v>
      </c>
      <c r="K167" s="9">
        <f t="shared" si="17"/>
        <v>256.53209850530999</v>
      </c>
      <c r="L167" s="10">
        <f t="shared" si="14"/>
        <v>0.30952330060004063</v>
      </c>
      <c r="M167" s="10">
        <f t="shared" si="18"/>
        <v>0.31672196294287225</v>
      </c>
      <c r="P167" s="8">
        <f t="shared" si="19"/>
        <v>22.39398360112677</v>
      </c>
    </row>
    <row r="168" spans="1:16" x14ac:dyDescent="0.2">
      <c r="A168" s="8">
        <v>83</v>
      </c>
      <c r="B168" s="8">
        <v>166</v>
      </c>
      <c r="D168">
        <v>983.79014308425997</v>
      </c>
      <c r="E168">
        <v>368.83545310016001</v>
      </c>
      <c r="F168">
        <v>143.49076305221001</v>
      </c>
      <c r="G168">
        <v>114.30040160643</v>
      </c>
      <c r="I168" s="9">
        <f t="shared" si="15"/>
        <v>254.53505149373001</v>
      </c>
      <c r="J168" s="9">
        <f t="shared" si="16"/>
        <v>840.29938003204995</v>
      </c>
      <c r="K168" s="9">
        <f t="shared" si="17"/>
        <v>254.53505149373001</v>
      </c>
      <c r="L168" s="10">
        <f t="shared" si="14"/>
        <v>0.30290995988122921</v>
      </c>
      <c r="M168" s="10">
        <f t="shared" si="18"/>
        <v>0.31015225048068407</v>
      </c>
      <c r="P168" s="8">
        <f t="shared" si="19"/>
        <v>19.85518499085731</v>
      </c>
    </row>
    <row r="169" spans="1:16" x14ac:dyDescent="0.2">
      <c r="A169" s="8">
        <v>83.5</v>
      </c>
      <c r="B169" s="8">
        <v>167</v>
      </c>
      <c r="D169">
        <v>948.95067621321004</v>
      </c>
      <c r="E169">
        <v>369.81941129673999</v>
      </c>
      <c r="F169">
        <v>143.37751004015999</v>
      </c>
      <c r="G169">
        <v>114.31646586345001</v>
      </c>
      <c r="I169" s="9">
        <f t="shared" si="15"/>
        <v>255.50294543328999</v>
      </c>
      <c r="J169" s="9">
        <f t="shared" si="16"/>
        <v>805.57316617305003</v>
      </c>
      <c r="K169" s="9">
        <f t="shared" si="17"/>
        <v>255.50294543328999</v>
      </c>
      <c r="L169" s="10">
        <f t="shared" si="14"/>
        <v>0.31716913641386596</v>
      </c>
      <c r="M169" s="10">
        <f t="shared" si="18"/>
        <v>0.32445505526994406</v>
      </c>
      <c r="P169" s="8">
        <f t="shared" si="19"/>
        <v>25.382358536262998</v>
      </c>
    </row>
    <row r="170" spans="1:16" x14ac:dyDescent="0.2">
      <c r="A170" s="8">
        <v>84</v>
      </c>
      <c r="B170" s="8">
        <v>168</v>
      </c>
      <c r="D170">
        <v>956.90135242640997</v>
      </c>
      <c r="E170">
        <v>384.82895783612003</v>
      </c>
      <c r="F170">
        <v>143.70522088352999</v>
      </c>
      <c r="G170">
        <v>114.39277108434</v>
      </c>
      <c r="I170" s="9">
        <f t="shared" si="15"/>
        <v>270.43618675178004</v>
      </c>
      <c r="J170" s="9">
        <f t="shared" si="16"/>
        <v>813.19613154288004</v>
      </c>
      <c r="K170" s="9">
        <f t="shared" si="17"/>
        <v>270.43618675178004</v>
      </c>
      <c r="L170" s="10">
        <f t="shared" si="14"/>
        <v>0.33255960802307366</v>
      </c>
      <c r="M170" s="10">
        <f t="shared" si="18"/>
        <v>0.33988915513577495</v>
      </c>
      <c r="P170" s="8">
        <f t="shared" si="19"/>
        <v>31.346709566183172</v>
      </c>
    </row>
    <row r="171" spans="1:16" x14ac:dyDescent="0.2">
      <c r="A171" s="8">
        <v>84.5</v>
      </c>
      <c r="B171" s="8">
        <v>169</v>
      </c>
      <c r="D171">
        <v>994.45823389021996</v>
      </c>
      <c r="E171">
        <v>404.55290373906001</v>
      </c>
      <c r="F171">
        <v>143.78955823293001</v>
      </c>
      <c r="G171">
        <v>114.34377510039999</v>
      </c>
      <c r="I171" s="9">
        <f t="shared" si="15"/>
        <v>290.20912863865999</v>
      </c>
      <c r="J171" s="9">
        <f t="shared" si="16"/>
        <v>850.6686756572899</v>
      </c>
      <c r="K171" s="9">
        <f t="shared" si="17"/>
        <v>290.20912863865999</v>
      </c>
      <c r="L171" s="10">
        <f t="shared" si="14"/>
        <v>0.34115412609312651</v>
      </c>
      <c r="M171" s="10">
        <f t="shared" si="18"/>
        <v>0.34852730146245103</v>
      </c>
      <c r="P171" s="8">
        <f t="shared" si="19"/>
        <v>34.684833421023093</v>
      </c>
    </row>
    <row r="172" spans="1:16" x14ac:dyDescent="0.2">
      <c r="A172" s="8">
        <v>85</v>
      </c>
      <c r="B172" s="8">
        <v>170</v>
      </c>
      <c r="D172">
        <v>1002.6324582339</v>
      </c>
      <c r="E172">
        <v>379.46618933970001</v>
      </c>
      <c r="F172">
        <v>143.21767068272999</v>
      </c>
      <c r="G172">
        <v>114.39277108434</v>
      </c>
      <c r="I172" s="9">
        <f t="shared" si="15"/>
        <v>265.07341825536002</v>
      </c>
      <c r="J172" s="9">
        <f t="shared" si="16"/>
        <v>859.41478755117009</v>
      </c>
      <c r="K172" s="9">
        <f t="shared" si="17"/>
        <v>265.07341825536002</v>
      </c>
      <c r="L172" s="10">
        <f t="shared" si="14"/>
        <v>0.30843478852704448</v>
      </c>
      <c r="M172" s="10">
        <f t="shared" si="18"/>
        <v>0.31585159215299224</v>
      </c>
      <c r="P172" s="8">
        <f t="shared" si="19"/>
        <v>22.05763765532102</v>
      </c>
    </row>
    <row r="173" spans="1:16" x14ac:dyDescent="0.2">
      <c r="A173" s="8">
        <v>85.5</v>
      </c>
      <c r="B173" s="8">
        <v>171</v>
      </c>
      <c r="D173">
        <v>992.47482014389004</v>
      </c>
      <c r="E173">
        <v>379.44604316546997</v>
      </c>
      <c r="F173">
        <v>143.69397590361001</v>
      </c>
      <c r="G173">
        <v>114.37831325301001</v>
      </c>
      <c r="I173" s="9">
        <f t="shared" si="15"/>
        <v>265.06772991245998</v>
      </c>
      <c r="J173" s="9">
        <f t="shared" si="16"/>
        <v>848.78084424027998</v>
      </c>
      <c r="K173" s="9">
        <f t="shared" si="17"/>
        <v>265.06772991245998</v>
      </c>
      <c r="L173" s="10">
        <f t="shared" si="14"/>
        <v>0.31229230927061591</v>
      </c>
      <c r="M173" s="10">
        <f t="shared" si="18"/>
        <v>0.31975274115318686</v>
      </c>
      <c r="P173" s="8">
        <f t="shared" si="19"/>
        <v>23.565197037432757</v>
      </c>
    </row>
    <row r="174" spans="1:16" x14ac:dyDescent="0.2">
      <c r="A174" s="8">
        <v>86</v>
      </c>
      <c r="B174" s="8">
        <v>172</v>
      </c>
      <c r="D174">
        <v>996.26586345381997</v>
      </c>
      <c r="E174">
        <v>416.45301204818998</v>
      </c>
      <c r="F174">
        <v>143.39598393573999</v>
      </c>
      <c r="G174">
        <v>114.44819277108</v>
      </c>
      <c r="I174" s="9">
        <f t="shared" si="15"/>
        <v>302.00481927710996</v>
      </c>
      <c r="J174" s="9">
        <f t="shared" si="16"/>
        <v>852.86987951807998</v>
      </c>
      <c r="K174" s="9">
        <f t="shared" si="17"/>
        <v>302.00481927710996</v>
      </c>
      <c r="L174" s="10">
        <f t="shared" si="14"/>
        <v>0.35410421510929646</v>
      </c>
      <c r="M174" s="10">
        <f t="shared" si="18"/>
        <v>0.36160827524849065</v>
      </c>
      <c r="P174" s="8">
        <f t="shared" si="19"/>
        <v>39.739842793215203</v>
      </c>
    </row>
    <row r="175" spans="1:16" x14ac:dyDescent="0.2">
      <c r="A175" s="8">
        <v>86.5</v>
      </c>
      <c r="B175" s="8">
        <v>173</v>
      </c>
      <c r="D175">
        <v>1038.140549273</v>
      </c>
      <c r="E175">
        <v>447.72940226170999</v>
      </c>
      <c r="F175">
        <v>144.10763052209001</v>
      </c>
      <c r="G175">
        <v>114.75662650602</v>
      </c>
      <c r="I175" s="9">
        <f t="shared" si="15"/>
        <v>332.97277575569001</v>
      </c>
      <c r="J175" s="9">
        <f t="shared" si="16"/>
        <v>894.03291875091008</v>
      </c>
      <c r="K175" s="9">
        <f t="shared" si="17"/>
        <v>332.97277575569001</v>
      </c>
      <c r="L175" s="10">
        <f t="shared" si="14"/>
        <v>0.37243905539954825</v>
      </c>
      <c r="M175" s="10">
        <f t="shared" si="18"/>
        <v>0.37998674379536568</v>
      </c>
      <c r="P175" s="8">
        <f t="shared" si="19"/>
        <v>46.842015175071076</v>
      </c>
    </row>
    <row r="176" spans="1:16" x14ac:dyDescent="0.2">
      <c r="A176" s="8">
        <v>87</v>
      </c>
      <c r="B176" s="8">
        <v>174</v>
      </c>
      <c r="D176">
        <v>1014.4353796445999</v>
      </c>
      <c r="E176">
        <v>460.72132471728997</v>
      </c>
      <c r="F176">
        <v>143.85863453815</v>
      </c>
      <c r="G176">
        <v>114.25863453815001</v>
      </c>
      <c r="I176" s="9">
        <f t="shared" si="15"/>
        <v>346.46269017913994</v>
      </c>
      <c r="J176" s="9">
        <f t="shared" si="16"/>
        <v>870.57674510644995</v>
      </c>
      <c r="K176" s="9">
        <f t="shared" si="17"/>
        <v>346.46269017913994</v>
      </c>
      <c r="L176" s="10">
        <f t="shared" si="14"/>
        <v>0.39796915335336247</v>
      </c>
      <c r="M176" s="10">
        <f t="shared" si="18"/>
        <v>0.40556047000580309</v>
      </c>
      <c r="P176" s="8">
        <f t="shared" si="19"/>
        <v>56.724721752589225</v>
      </c>
    </row>
    <row r="177" spans="1:16" x14ac:dyDescent="0.2">
      <c r="A177" s="8">
        <v>87.5</v>
      </c>
      <c r="B177" s="8">
        <v>175</v>
      </c>
      <c r="D177">
        <v>1024.9512390088</v>
      </c>
      <c r="E177">
        <v>454.08233413268999</v>
      </c>
      <c r="F177">
        <v>143.79839357430001</v>
      </c>
      <c r="G177">
        <v>114.43775100402</v>
      </c>
      <c r="I177" s="9">
        <f t="shared" si="15"/>
        <v>339.64458312866998</v>
      </c>
      <c r="J177" s="9">
        <f t="shared" si="16"/>
        <v>881.15284543450002</v>
      </c>
      <c r="K177" s="9">
        <f t="shared" si="17"/>
        <v>339.64458312866998</v>
      </c>
      <c r="L177" s="10">
        <f t="shared" si="14"/>
        <v>0.38545478788210674</v>
      </c>
      <c r="M177" s="10">
        <f t="shared" si="18"/>
        <v>0.3930897327911706</v>
      </c>
      <c r="P177" s="8">
        <f t="shared" si="19"/>
        <v>51.905532101327182</v>
      </c>
    </row>
    <row r="178" spans="1:16" x14ac:dyDescent="0.2">
      <c r="A178" s="8">
        <v>88</v>
      </c>
      <c r="B178" s="8">
        <v>176</v>
      </c>
      <c r="D178">
        <v>1020.790567546</v>
      </c>
      <c r="E178">
        <v>455.83453237409998</v>
      </c>
      <c r="F178">
        <v>143.61606425702999</v>
      </c>
      <c r="G178">
        <v>114.58072289157001</v>
      </c>
      <c r="I178" s="9">
        <f t="shared" si="15"/>
        <v>341.25380948252996</v>
      </c>
      <c r="J178" s="9">
        <f t="shared" si="16"/>
        <v>877.17450328897007</v>
      </c>
      <c r="K178" s="9">
        <f t="shared" si="17"/>
        <v>341.25380948252996</v>
      </c>
      <c r="L178" s="10">
        <f t="shared" si="14"/>
        <v>0.38903753837235022</v>
      </c>
      <c r="M178" s="10">
        <f t="shared" si="18"/>
        <v>0.39671611153803732</v>
      </c>
      <c r="P178" s="8">
        <f t="shared" si="19"/>
        <v>53.306909311645676</v>
      </c>
    </row>
    <row r="179" spans="1:16" x14ac:dyDescent="0.2">
      <c r="A179" s="8">
        <v>88.5</v>
      </c>
      <c r="B179" s="8">
        <v>177</v>
      </c>
      <c r="D179">
        <v>1026.0119904077001</v>
      </c>
      <c r="E179">
        <v>467.00239808153998</v>
      </c>
      <c r="F179">
        <v>143.75341365462</v>
      </c>
      <c r="G179">
        <v>114.27550200803</v>
      </c>
      <c r="I179" s="9">
        <f t="shared" si="15"/>
        <v>352.72689607350998</v>
      </c>
      <c r="J179" s="9">
        <f t="shared" si="16"/>
        <v>882.25857675308009</v>
      </c>
      <c r="K179" s="9">
        <f t="shared" si="17"/>
        <v>352.72689607350998</v>
      </c>
      <c r="L179" s="10">
        <f t="shared" si="14"/>
        <v>0.39979990602259513</v>
      </c>
      <c r="M179" s="10">
        <f t="shared" si="18"/>
        <v>0.40752210744490541</v>
      </c>
      <c r="P179" s="8">
        <f t="shared" si="19"/>
        <v>57.482776603986288</v>
      </c>
    </row>
    <row r="180" spans="1:16" x14ac:dyDescent="0.2">
      <c r="A180" s="8">
        <v>89</v>
      </c>
      <c r="B180" s="8">
        <v>178</v>
      </c>
      <c r="D180">
        <v>1015.2389735365</v>
      </c>
      <c r="E180">
        <v>460.25020048115999</v>
      </c>
      <c r="F180">
        <v>144.17269076305001</v>
      </c>
      <c r="G180">
        <v>114.38232931727001</v>
      </c>
      <c r="I180" s="9">
        <f t="shared" si="15"/>
        <v>345.86787116388996</v>
      </c>
      <c r="J180" s="9">
        <f t="shared" si="16"/>
        <v>871.06628277344998</v>
      </c>
      <c r="K180" s="9">
        <f t="shared" si="17"/>
        <v>345.86787116388996</v>
      </c>
      <c r="L180" s="10">
        <f t="shared" si="14"/>
        <v>0.39706263232076511</v>
      </c>
      <c r="M180" s="10">
        <f t="shared" si="18"/>
        <v>0.40482846199969863</v>
      </c>
      <c r="P180" s="8">
        <f t="shared" si="19"/>
        <v>56.441844698334535</v>
      </c>
    </row>
    <row r="181" spans="1:16" x14ac:dyDescent="0.2">
      <c r="A181" s="8">
        <v>89.5</v>
      </c>
      <c r="B181" s="8">
        <v>179</v>
      </c>
      <c r="D181">
        <v>987.64474739374998</v>
      </c>
      <c r="E181">
        <v>437.14274258220001</v>
      </c>
      <c r="F181">
        <v>143.94056224900001</v>
      </c>
      <c r="G181">
        <v>114.30441767068</v>
      </c>
      <c r="I181" s="9">
        <f t="shared" si="15"/>
        <v>322.83832491152003</v>
      </c>
      <c r="J181" s="9">
        <f t="shared" si="16"/>
        <v>843.70418514475</v>
      </c>
      <c r="K181" s="9">
        <f t="shared" si="17"/>
        <v>322.83832491152003</v>
      </c>
      <c r="L181" s="10">
        <f t="shared" si="14"/>
        <v>0.38264397711400744</v>
      </c>
      <c r="M181" s="10">
        <f t="shared" si="18"/>
        <v>0.3904534350495642</v>
      </c>
      <c r="P181" s="8">
        <f t="shared" si="19"/>
        <v>50.886761632883029</v>
      </c>
    </row>
    <row r="182" spans="1:16" x14ac:dyDescent="0.2">
      <c r="A182" s="8">
        <v>90</v>
      </c>
      <c r="B182" s="8">
        <v>180</v>
      </c>
      <c r="D182">
        <v>985.85164394546996</v>
      </c>
      <c r="E182">
        <v>451.19406575782</v>
      </c>
      <c r="F182">
        <v>143.23293172691001</v>
      </c>
      <c r="G182">
        <v>114.84257028112</v>
      </c>
      <c r="I182" s="9">
        <f t="shared" si="15"/>
        <v>336.35149547669999</v>
      </c>
      <c r="J182" s="9">
        <f t="shared" si="16"/>
        <v>842.61871221855995</v>
      </c>
      <c r="K182" s="9">
        <f t="shared" si="17"/>
        <v>336.35149547669999</v>
      </c>
      <c r="L182" s="10">
        <f t="shared" si="14"/>
        <v>0.3991740161942387</v>
      </c>
      <c r="M182" s="10">
        <f>L182+ABS($N$2)*A182</f>
        <v>0.40702710238641865</v>
      </c>
      <c r="P182" s="8">
        <f t="shared" si="19"/>
        <v>57.291486930078094</v>
      </c>
    </row>
    <row r="183" spans="1:16" x14ac:dyDescent="0.2">
      <c r="A183" s="8">
        <v>90.5</v>
      </c>
      <c r="B183" s="8">
        <v>181</v>
      </c>
      <c r="D183">
        <v>1026.9782258064999</v>
      </c>
      <c r="E183">
        <v>473.49596774193998</v>
      </c>
      <c r="F183">
        <v>143.90281124498</v>
      </c>
      <c r="G183">
        <v>114.66345381526</v>
      </c>
      <c r="I183" s="9">
        <f t="shared" si="15"/>
        <v>358.83251392668001</v>
      </c>
      <c r="J183" s="9">
        <f t="shared" si="16"/>
        <v>883.07541456151989</v>
      </c>
      <c r="K183" s="9">
        <f t="shared" si="17"/>
        <v>358.83251392668001</v>
      </c>
      <c r="L183" s="10">
        <f t="shared" si="14"/>
        <v>0.4063441332525986</v>
      </c>
      <c r="M183" s="10">
        <f t="shared" ref="M183:M241" si="20">L183+ABS($N$2)*A183</f>
        <v>0.41424084770140179</v>
      </c>
      <c r="P183" s="8">
        <f t="shared" si="19"/>
        <v>60.079165490734177</v>
      </c>
    </row>
    <row r="184" spans="1:16" x14ac:dyDescent="0.2">
      <c r="A184" s="8">
        <v>91</v>
      </c>
      <c r="B184" s="8">
        <v>182</v>
      </c>
      <c r="D184">
        <v>1026.9766129032</v>
      </c>
      <c r="E184">
        <v>461.80887096774001</v>
      </c>
      <c r="F184">
        <v>143.49718875502001</v>
      </c>
      <c r="G184">
        <v>114.56706827309</v>
      </c>
      <c r="I184" s="9">
        <f t="shared" si="15"/>
        <v>347.24180269465</v>
      </c>
      <c r="J184" s="9">
        <f t="shared" si="16"/>
        <v>883.47942414817999</v>
      </c>
      <c r="K184" s="9">
        <f t="shared" si="17"/>
        <v>347.24180269465</v>
      </c>
      <c r="L184" s="10">
        <f t="shared" si="14"/>
        <v>0.39303892451083217</v>
      </c>
      <c r="M184" s="10">
        <f t="shared" si="20"/>
        <v>0.40097926721625859</v>
      </c>
      <c r="P184" s="8">
        <f t="shared" si="19"/>
        <v>54.954362495255118</v>
      </c>
    </row>
    <row r="185" spans="1:16" x14ac:dyDescent="0.2">
      <c r="A185" s="8">
        <v>91.5</v>
      </c>
      <c r="B185" s="8">
        <v>183</v>
      </c>
      <c r="D185">
        <v>1007.0290322581</v>
      </c>
      <c r="E185">
        <v>459.21209677419</v>
      </c>
      <c r="F185">
        <v>143.72048192771001</v>
      </c>
      <c r="G185">
        <v>114.44016064257001</v>
      </c>
      <c r="I185" s="9">
        <f t="shared" si="15"/>
        <v>344.77193613162001</v>
      </c>
      <c r="J185" s="9">
        <f t="shared" si="16"/>
        <v>863.30855033038995</v>
      </c>
      <c r="K185" s="9">
        <f t="shared" si="17"/>
        <v>344.77193613162001</v>
      </c>
      <c r="L185" s="10">
        <f t="shared" si="14"/>
        <v>0.39936119710580309</v>
      </c>
      <c r="M185" s="10">
        <f t="shared" si="20"/>
        <v>0.4073451680678527</v>
      </c>
      <c r="P185" s="8">
        <f t="shared" si="19"/>
        <v>57.414400180033368</v>
      </c>
    </row>
    <row r="186" spans="1:16" x14ac:dyDescent="0.2">
      <c r="A186" s="8">
        <v>92</v>
      </c>
      <c r="B186" s="8">
        <v>184</v>
      </c>
      <c r="D186">
        <v>1020.1556451613</v>
      </c>
      <c r="E186">
        <v>445.87177419354998</v>
      </c>
      <c r="F186">
        <v>143.56626506024</v>
      </c>
      <c r="G186">
        <v>114.49959839357</v>
      </c>
      <c r="I186" s="9">
        <f t="shared" si="15"/>
        <v>331.37217579997997</v>
      </c>
      <c r="J186" s="9">
        <f t="shared" si="16"/>
        <v>876.58938010105999</v>
      </c>
      <c r="K186" s="9">
        <f t="shared" si="17"/>
        <v>331.37217579997997</v>
      </c>
      <c r="L186" s="10">
        <f t="shared" si="14"/>
        <v>0.37802440152968408</v>
      </c>
      <c r="M186" s="10">
        <f t="shared" si="20"/>
        <v>0.38605200074835694</v>
      </c>
      <c r="P186" s="8">
        <f t="shared" si="19"/>
        <v>49.185872080804302</v>
      </c>
    </row>
    <row r="187" spans="1:16" x14ac:dyDescent="0.2">
      <c r="A187" s="8">
        <v>92.5</v>
      </c>
      <c r="B187" s="8">
        <v>185</v>
      </c>
      <c r="D187">
        <v>1033.9040322581</v>
      </c>
      <c r="E187">
        <v>438.05241935484003</v>
      </c>
      <c r="F187">
        <v>143.53092369478</v>
      </c>
      <c r="G187">
        <v>114.38955823293</v>
      </c>
      <c r="I187" s="9">
        <f t="shared" si="15"/>
        <v>323.66286112191005</v>
      </c>
      <c r="J187" s="9">
        <f t="shared" si="16"/>
        <v>890.37310856331999</v>
      </c>
      <c r="K187" s="9">
        <f t="shared" si="17"/>
        <v>323.66286112191005</v>
      </c>
      <c r="L187" s="10">
        <f t="shared" si="14"/>
        <v>0.36351374273214854</v>
      </c>
      <c r="M187" s="10">
        <f t="shared" si="20"/>
        <v>0.37158497020744463</v>
      </c>
      <c r="P187" s="8">
        <f t="shared" si="19"/>
        <v>43.595235162767757</v>
      </c>
    </row>
    <row r="188" spans="1:16" x14ac:dyDescent="0.2">
      <c r="A188" s="8">
        <v>93</v>
      </c>
      <c r="B188" s="8">
        <v>186</v>
      </c>
      <c r="D188">
        <v>997.14677419354996</v>
      </c>
      <c r="E188">
        <v>408.77338709677002</v>
      </c>
      <c r="F188">
        <v>143.84096385542</v>
      </c>
      <c r="G188">
        <v>114.42891566265</v>
      </c>
      <c r="I188" s="9">
        <f t="shared" si="15"/>
        <v>294.34447143412001</v>
      </c>
      <c r="J188" s="9">
        <f t="shared" si="16"/>
        <v>853.30581033812996</v>
      </c>
      <c r="K188" s="9">
        <f t="shared" si="17"/>
        <v>294.34447143412001</v>
      </c>
      <c r="L188" s="10">
        <f t="shared" si="14"/>
        <v>0.34494605318283655</v>
      </c>
      <c r="M188" s="10">
        <f t="shared" si="20"/>
        <v>0.35306090891475583</v>
      </c>
      <c r="P188" s="8">
        <f t="shared" si="19"/>
        <v>36.4367999440123</v>
      </c>
    </row>
    <row r="189" spans="1:16" x14ac:dyDescent="0.2">
      <c r="A189" s="8">
        <v>93.5</v>
      </c>
      <c r="B189" s="8">
        <v>187</v>
      </c>
      <c r="D189">
        <v>1002.4014365523</v>
      </c>
      <c r="E189">
        <v>397.70151636073001</v>
      </c>
      <c r="F189">
        <v>143.76787148593999</v>
      </c>
      <c r="G189">
        <v>114.24979919678999</v>
      </c>
      <c r="I189" s="9">
        <f t="shared" si="15"/>
        <v>283.45171716394003</v>
      </c>
      <c r="J189" s="9">
        <f t="shared" si="16"/>
        <v>858.63356506636001</v>
      </c>
      <c r="K189" s="9">
        <f t="shared" si="17"/>
        <v>283.45171716394003</v>
      </c>
      <c r="L189" s="10">
        <f t="shared" si="14"/>
        <v>0.33011953957569001</v>
      </c>
      <c r="M189" s="10">
        <f t="shared" si="20"/>
        <v>0.33827802356423253</v>
      </c>
      <c r="P189" s="8">
        <f t="shared" si="19"/>
        <v>30.724104144966496</v>
      </c>
    </row>
    <row r="190" spans="1:16" x14ac:dyDescent="0.2">
      <c r="A190" s="8">
        <v>94</v>
      </c>
      <c r="B190" s="8">
        <v>188</v>
      </c>
      <c r="D190">
        <v>981.90502793296002</v>
      </c>
      <c r="E190">
        <v>375.78451715881999</v>
      </c>
      <c r="F190">
        <v>144.23935742972</v>
      </c>
      <c r="G190">
        <v>114.64819277108001</v>
      </c>
      <c r="I190" s="9">
        <f t="shared" si="15"/>
        <v>261.13632438773999</v>
      </c>
      <c r="J190" s="9">
        <f t="shared" si="16"/>
        <v>837.66567050323999</v>
      </c>
      <c r="K190" s="9">
        <f t="shared" si="17"/>
        <v>261.13632438773999</v>
      </c>
      <c r="L190" s="10">
        <f t="shared" si="14"/>
        <v>0.31174289884753004</v>
      </c>
      <c r="M190" s="10">
        <f t="shared" si="20"/>
        <v>0.3199450110926958</v>
      </c>
      <c r="P190" s="8">
        <f t="shared" si="19"/>
        <v>23.639497801435951</v>
      </c>
    </row>
    <row r="191" spans="1:16" x14ac:dyDescent="0.2">
      <c r="A191" s="8">
        <v>94.5</v>
      </c>
      <c r="B191" s="8">
        <v>189</v>
      </c>
      <c r="D191">
        <v>963.48523543496003</v>
      </c>
      <c r="E191">
        <v>401.08619313647</v>
      </c>
      <c r="F191">
        <v>143.95100401606001</v>
      </c>
      <c r="G191">
        <v>114.5124497992</v>
      </c>
      <c r="I191" s="9">
        <f t="shared" si="15"/>
        <v>286.57374333727</v>
      </c>
      <c r="J191" s="9">
        <f t="shared" si="16"/>
        <v>819.53423141890005</v>
      </c>
      <c r="K191" s="9">
        <f t="shared" si="17"/>
        <v>286.57374333727</v>
      </c>
      <c r="L191" s="10">
        <f t="shared" si="14"/>
        <v>0.3496787960169897</v>
      </c>
      <c r="M191" s="10">
        <f t="shared" si="20"/>
        <v>0.35792453651877865</v>
      </c>
      <c r="P191" s="8">
        <f t="shared" si="19"/>
        <v>38.316299400499709</v>
      </c>
    </row>
    <row r="192" spans="1:16" x14ac:dyDescent="0.2">
      <c r="A192" s="8">
        <v>95</v>
      </c>
      <c r="B192" s="8">
        <v>190</v>
      </c>
      <c r="D192">
        <v>1000.2017684888</v>
      </c>
      <c r="E192">
        <v>420.01366559486002</v>
      </c>
      <c r="F192">
        <v>144.01767068273</v>
      </c>
      <c r="G192">
        <v>114.03775100402</v>
      </c>
      <c r="I192" s="9">
        <f t="shared" si="15"/>
        <v>305.97591459084003</v>
      </c>
      <c r="J192" s="9">
        <f t="shared" si="16"/>
        <v>856.18409780606999</v>
      </c>
      <c r="K192" s="9">
        <f t="shared" si="17"/>
        <v>305.97591459084003</v>
      </c>
      <c r="L192" s="10">
        <f t="shared" si="14"/>
        <v>0.35737163931786214</v>
      </c>
      <c r="M192" s="10">
        <f t="shared" si="20"/>
        <v>0.36566100807627433</v>
      </c>
      <c r="P192" s="8">
        <f t="shared" si="19"/>
        <v>41.305980204888712</v>
      </c>
    </row>
    <row r="193" spans="1:16" x14ac:dyDescent="0.2">
      <c r="A193" s="8">
        <v>95.5</v>
      </c>
      <c r="B193" s="8">
        <v>191</v>
      </c>
      <c r="D193">
        <v>990.50482315113004</v>
      </c>
      <c r="E193">
        <v>434.20257234727001</v>
      </c>
      <c r="F193">
        <v>143.69156626506</v>
      </c>
      <c r="G193">
        <v>114.30602409639</v>
      </c>
      <c r="I193" s="9">
        <f t="shared" si="15"/>
        <v>319.89654825088002</v>
      </c>
      <c r="J193" s="9">
        <f t="shared" si="16"/>
        <v>846.81325688607001</v>
      </c>
      <c r="K193" s="9">
        <f t="shared" si="17"/>
        <v>319.89654825088002</v>
      </c>
      <c r="L193" s="10">
        <f t="shared" si="14"/>
        <v>0.37776516327485743</v>
      </c>
      <c r="M193" s="10">
        <f t="shared" si="20"/>
        <v>0.38609816028989286</v>
      </c>
      <c r="P193" s="8">
        <f t="shared" si="19"/>
        <v>49.20370996649207</v>
      </c>
    </row>
    <row r="194" spans="1:16" x14ac:dyDescent="0.2">
      <c r="A194" s="8">
        <v>96</v>
      </c>
      <c r="B194" s="8">
        <v>192</v>
      </c>
      <c r="D194">
        <v>977.12700964630005</v>
      </c>
      <c r="E194">
        <v>431.56591639870999</v>
      </c>
      <c r="F194">
        <v>143.55421686746999</v>
      </c>
      <c r="G194">
        <v>114.67228915663</v>
      </c>
      <c r="I194" s="9">
        <f t="shared" si="15"/>
        <v>316.89362724208002</v>
      </c>
      <c r="J194" s="9">
        <f t="shared" si="16"/>
        <v>833.57279277883003</v>
      </c>
      <c r="K194" s="9">
        <f t="shared" si="17"/>
        <v>316.89362724208002</v>
      </c>
      <c r="L194" s="10">
        <f t="shared" ref="L194:L257" si="21">K194/J194</f>
        <v>0.38016311231280875</v>
      </c>
      <c r="M194" s="10">
        <f t="shared" si="20"/>
        <v>0.38853973758446736</v>
      </c>
      <c r="P194" s="8">
        <f t="shared" si="19"/>
        <v>50.14723269720632</v>
      </c>
    </row>
    <row r="195" spans="1:16" x14ac:dyDescent="0.2">
      <c r="A195" s="8">
        <v>96.5</v>
      </c>
      <c r="B195" s="8">
        <v>193</v>
      </c>
      <c r="D195">
        <v>963.94745222929998</v>
      </c>
      <c r="E195">
        <v>415.38614649682</v>
      </c>
      <c r="F195">
        <v>144.14377510040001</v>
      </c>
      <c r="G195">
        <v>114.74457831325</v>
      </c>
      <c r="I195" s="9">
        <f t="shared" ref="I195:I241" si="22">E195-G195</f>
        <v>300.64156818357003</v>
      </c>
      <c r="J195" s="9">
        <f t="shared" ref="J195:J241" si="23">D195-F195</f>
        <v>819.80367712889995</v>
      </c>
      <c r="K195" s="9">
        <f t="shared" ref="K195:K258" si="24">I195*1</f>
        <v>300.64156818357003</v>
      </c>
      <c r="L195" s="10">
        <f t="shared" si="21"/>
        <v>0.36672385910303662</v>
      </c>
      <c r="M195" s="10">
        <f t="shared" si="20"/>
        <v>0.37514411263131847</v>
      </c>
      <c r="P195" s="8">
        <f t="shared" ref="P195:P241" si="25">(M195-$O$2)/$O$2*100</f>
        <v>44.97062957941661</v>
      </c>
    </row>
    <row r="196" spans="1:16" x14ac:dyDescent="0.2">
      <c r="A196" s="8">
        <v>97</v>
      </c>
      <c r="B196" s="8">
        <v>194</v>
      </c>
      <c r="D196">
        <v>951.50398089171995</v>
      </c>
      <c r="E196">
        <v>402.04299363056998</v>
      </c>
      <c r="F196">
        <v>143.05381526104</v>
      </c>
      <c r="G196">
        <v>114.52851405622999</v>
      </c>
      <c r="I196" s="9">
        <f t="shared" si="22"/>
        <v>287.51447957433999</v>
      </c>
      <c r="J196" s="9">
        <f t="shared" si="23"/>
        <v>808.45016563067998</v>
      </c>
      <c r="K196" s="9">
        <f t="shared" si="24"/>
        <v>287.51447957433999</v>
      </c>
      <c r="L196" s="10">
        <f t="shared" si="21"/>
        <v>0.35563661410106473</v>
      </c>
      <c r="M196" s="10">
        <f t="shared" si="20"/>
        <v>0.36410049588596982</v>
      </c>
      <c r="P196" s="8">
        <f t="shared" si="25"/>
        <v>40.70293612908543</v>
      </c>
    </row>
    <row r="197" spans="1:16" x14ac:dyDescent="0.2">
      <c r="A197" s="8">
        <v>97.5</v>
      </c>
      <c r="B197" s="8">
        <v>195</v>
      </c>
      <c r="D197">
        <v>960.37051792829004</v>
      </c>
      <c r="E197">
        <v>388.03665338644998</v>
      </c>
      <c r="F197">
        <v>142.93654618474</v>
      </c>
      <c r="G197">
        <v>114.540562249</v>
      </c>
      <c r="I197" s="9">
        <f t="shared" si="22"/>
        <v>273.49609113744998</v>
      </c>
      <c r="J197" s="9">
        <f t="shared" si="23"/>
        <v>817.43397174355005</v>
      </c>
      <c r="K197" s="9">
        <f t="shared" si="24"/>
        <v>273.49609113744998</v>
      </c>
      <c r="L197" s="10">
        <f t="shared" si="21"/>
        <v>0.33457881687262775</v>
      </c>
      <c r="M197" s="10">
        <f t="shared" si="20"/>
        <v>0.34308632691415603</v>
      </c>
      <c r="P197" s="8">
        <f t="shared" si="25"/>
        <v>32.582224105740828</v>
      </c>
    </row>
    <row r="198" spans="1:16" x14ac:dyDescent="0.2">
      <c r="A198" s="8">
        <v>98</v>
      </c>
      <c r="B198" s="8">
        <v>196</v>
      </c>
      <c r="D198">
        <v>936.76175298805003</v>
      </c>
      <c r="E198">
        <v>374.82868525895998</v>
      </c>
      <c r="F198">
        <v>143.61044176707</v>
      </c>
      <c r="G198">
        <v>114.26987951807</v>
      </c>
      <c r="I198" s="9">
        <f t="shared" si="22"/>
        <v>260.55880574088997</v>
      </c>
      <c r="J198" s="9">
        <f t="shared" si="23"/>
        <v>793.15131122098001</v>
      </c>
      <c r="K198" s="9">
        <f t="shared" si="24"/>
        <v>260.55880574088997</v>
      </c>
      <c r="L198" s="10">
        <f t="shared" si="21"/>
        <v>0.32851084282995735</v>
      </c>
      <c r="M198" s="10">
        <f t="shared" si="20"/>
        <v>0.33706198112810887</v>
      </c>
      <c r="P198" s="8">
        <f t="shared" si="25"/>
        <v>30.254176904675806</v>
      </c>
    </row>
    <row r="199" spans="1:16" x14ac:dyDescent="0.2">
      <c r="A199" s="8">
        <v>98.5</v>
      </c>
      <c r="B199" s="8">
        <v>197</v>
      </c>
      <c r="D199">
        <v>941.06533864541996</v>
      </c>
      <c r="E199">
        <v>401.57609561752997</v>
      </c>
      <c r="F199">
        <v>143.66345381526</v>
      </c>
      <c r="G199">
        <v>114.17831325301</v>
      </c>
      <c r="I199" s="9">
        <f t="shared" si="22"/>
        <v>287.39778236451997</v>
      </c>
      <c r="J199" s="9">
        <f t="shared" si="23"/>
        <v>797.40188483015993</v>
      </c>
      <c r="K199" s="9">
        <f t="shared" si="24"/>
        <v>287.39778236451997</v>
      </c>
      <c r="L199" s="10">
        <f t="shared" si="21"/>
        <v>0.36041773644130942</v>
      </c>
      <c r="M199" s="10">
        <f t="shared" si="20"/>
        <v>0.36901250299608418</v>
      </c>
      <c r="P199" s="8">
        <f t="shared" si="25"/>
        <v>42.601131354000707</v>
      </c>
    </row>
    <row r="200" spans="1:16" x14ac:dyDescent="0.2">
      <c r="A200" s="8">
        <v>99</v>
      </c>
      <c r="B200" s="8">
        <v>198</v>
      </c>
      <c r="D200">
        <v>892.92834138486</v>
      </c>
      <c r="E200">
        <v>393.30434782609001</v>
      </c>
      <c r="F200">
        <v>143.21124497992</v>
      </c>
      <c r="G200">
        <v>114.18393574296999</v>
      </c>
      <c r="I200" s="9">
        <f t="shared" si="22"/>
        <v>279.12041208312002</v>
      </c>
      <c r="J200" s="9">
        <f t="shared" si="23"/>
        <v>749.71709640493998</v>
      </c>
      <c r="K200" s="9">
        <f t="shared" si="24"/>
        <v>279.12041208312002</v>
      </c>
      <c r="L200" s="10">
        <f t="shared" si="21"/>
        <v>0.37230098315960031</v>
      </c>
      <c r="M200" s="10">
        <f t="shared" si="20"/>
        <v>0.38093937797099825</v>
      </c>
      <c r="P200" s="8">
        <f t="shared" si="25"/>
        <v>47.210150970223609</v>
      </c>
    </row>
    <row r="201" spans="1:16" x14ac:dyDescent="0.2">
      <c r="A201" s="8">
        <v>99.5</v>
      </c>
      <c r="B201" s="8">
        <v>199</v>
      </c>
      <c r="D201">
        <v>901.53542673107995</v>
      </c>
      <c r="E201">
        <v>401.78260869565003</v>
      </c>
      <c r="F201">
        <v>143.73815261044001</v>
      </c>
      <c r="G201">
        <v>114.55421686747</v>
      </c>
      <c r="I201" s="9">
        <f t="shared" si="22"/>
        <v>287.22839182818001</v>
      </c>
      <c r="J201" s="9">
        <f t="shared" si="23"/>
        <v>757.79727412063994</v>
      </c>
      <c r="K201" s="9">
        <f t="shared" si="24"/>
        <v>287.22839182818001</v>
      </c>
      <c r="L201" s="10">
        <f t="shared" si="21"/>
        <v>0.37903064795460556</v>
      </c>
      <c r="M201" s="10">
        <f t="shared" si="20"/>
        <v>0.38771267102262674</v>
      </c>
      <c r="P201" s="8">
        <f t="shared" si="25"/>
        <v>49.827621230207356</v>
      </c>
    </row>
    <row r="202" spans="1:16" x14ac:dyDescent="0.2">
      <c r="A202" s="8">
        <v>100</v>
      </c>
      <c r="B202" s="8">
        <v>200</v>
      </c>
      <c r="D202">
        <v>890.58631662689004</v>
      </c>
      <c r="E202">
        <v>416.37390612569999</v>
      </c>
      <c r="F202">
        <v>143.17590361446</v>
      </c>
      <c r="G202">
        <v>114.36064257028001</v>
      </c>
      <c r="I202" s="9">
        <f t="shared" si="22"/>
        <v>302.01326355542</v>
      </c>
      <c r="J202" s="9">
        <f t="shared" si="23"/>
        <v>747.41041301243001</v>
      </c>
      <c r="K202" s="9">
        <f t="shared" si="24"/>
        <v>302.01326355542</v>
      </c>
      <c r="L202" s="10">
        <f t="shared" si="21"/>
        <v>0.4040795502676483</v>
      </c>
      <c r="M202" s="10">
        <f t="shared" si="20"/>
        <v>0.41280520159229273</v>
      </c>
      <c r="P202" s="8">
        <f t="shared" si="25"/>
        <v>59.524374642942504</v>
      </c>
    </row>
    <row r="203" spans="1:16" x14ac:dyDescent="0.2">
      <c r="A203" s="8">
        <v>100.5</v>
      </c>
      <c r="B203" s="8">
        <v>201</v>
      </c>
      <c r="D203">
        <v>885.13683373110996</v>
      </c>
      <c r="E203">
        <v>407.32856006364</v>
      </c>
      <c r="F203">
        <v>143.57590361446</v>
      </c>
      <c r="G203">
        <v>114.33734939759</v>
      </c>
      <c r="I203" s="9">
        <f t="shared" si="22"/>
        <v>292.99121066604999</v>
      </c>
      <c r="J203" s="9">
        <f t="shared" si="23"/>
        <v>741.56093011664996</v>
      </c>
      <c r="K203" s="9">
        <f t="shared" si="24"/>
        <v>292.99121066604999</v>
      </c>
      <c r="L203" s="10">
        <f t="shared" si="21"/>
        <v>0.39510065696147384</v>
      </c>
      <c r="M203" s="10">
        <f t="shared" si="20"/>
        <v>0.40386993654274145</v>
      </c>
      <c r="P203" s="8">
        <f t="shared" si="25"/>
        <v>56.071432277389668</v>
      </c>
    </row>
    <row r="204" spans="1:16" x14ac:dyDescent="0.2">
      <c r="A204" s="8">
        <v>101</v>
      </c>
      <c r="B204" s="8">
        <v>202</v>
      </c>
      <c r="D204">
        <v>908.32537788385002</v>
      </c>
      <c r="E204">
        <v>386.82498011138</v>
      </c>
      <c r="F204">
        <v>143.08674698794999</v>
      </c>
      <c r="G204">
        <v>114.19759036145</v>
      </c>
      <c r="I204" s="9">
        <f t="shared" si="22"/>
        <v>272.62738974992999</v>
      </c>
      <c r="J204" s="9">
        <f t="shared" si="23"/>
        <v>765.23863089590009</v>
      </c>
      <c r="K204" s="9">
        <f t="shared" si="24"/>
        <v>272.62738974992999</v>
      </c>
      <c r="L204" s="10">
        <f t="shared" si="21"/>
        <v>0.35626454120690765</v>
      </c>
      <c r="M204" s="10">
        <f t="shared" si="20"/>
        <v>0.3650774490447985</v>
      </c>
      <c r="P204" s="8">
        <f t="shared" si="25"/>
        <v>41.080469748130064</v>
      </c>
    </row>
    <row r="205" spans="1:16" x14ac:dyDescent="0.2">
      <c r="A205" s="8">
        <v>101.5</v>
      </c>
      <c r="B205" s="8">
        <v>203</v>
      </c>
      <c r="D205">
        <v>968.58631662689004</v>
      </c>
      <c r="E205">
        <v>400.33810660301998</v>
      </c>
      <c r="F205">
        <v>143.13333333333</v>
      </c>
      <c r="G205">
        <v>114.30361445782999</v>
      </c>
      <c r="I205" s="9">
        <f t="shared" si="22"/>
        <v>286.03449214518997</v>
      </c>
      <c r="J205" s="9">
        <f t="shared" si="23"/>
        <v>825.45298329356001</v>
      </c>
      <c r="K205" s="9">
        <f t="shared" si="24"/>
        <v>286.03449214518997</v>
      </c>
      <c r="L205" s="10">
        <f t="shared" si="21"/>
        <v>0.34651821234434388</v>
      </c>
      <c r="M205" s="10">
        <f t="shared" si="20"/>
        <v>0.35537474843885797</v>
      </c>
      <c r="P205" s="8">
        <f t="shared" si="25"/>
        <v>37.330959711580029</v>
      </c>
    </row>
    <row r="206" spans="1:16" x14ac:dyDescent="0.2">
      <c r="A206" s="8">
        <v>102</v>
      </c>
      <c r="B206" s="8">
        <v>204</v>
      </c>
      <c r="D206">
        <v>962.36754176610998</v>
      </c>
      <c r="E206">
        <v>404.48130469372001</v>
      </c>
      <c r="F206">
        <v>142.60722891565999</v>
      </c>
      <c r="G206">
        <v>113.98714859438</v>
      </c>
      <c r="I206" s="9">
        <f t="shared" si="22"/>
        <v>290.49415609933999</v>
      </c>
      <c r="J206" s="9">
        <f t="shared" si="23"/>
        <v>819.76031285044996</v>
      </c>
      <c r="K206" s="9">
        <f t="shared" si="24"/>
        <v>290.49415609933999</v>
      </c>
      <c r="L206" s="10">
        <f t="shared" si="21"/>
        <v>0.3543647472872174</v>
      </c>
      <c r="M206" s="10">
        <f t="shared" si="20"/>
        <v>0.36326491163835467</v>
      </c>
      <c r="P206" s="8">
        <f t="shared" si="25"/>
        <v>40.380033088987709</v>
      </c>
    </row>
    <row r="207" spans="1:16" x14ac:dyDescent="0.2">
      <c r="A207" s="8">
        <v>102.5</v>
      </c>
      <c r="B207" s="8">
        <v>205</v>
      </c>
      <c r="D207">
        <v>996.48790322580999</v>
      </c>
      <c r="E207">
        <v>415.66129032257999</v>
      </c>
      <c r="F207">
        <v>143.94779116466</v>
      </c>
      <c r="G207">
        <v>113.87068273092</v>
      </c>
      <c r="I207" s="9">
        <f t="shared" si="22"/>
        <v>301.79060759165998</v>
      </c>
      <c r="J207" s="9">
        <f t="shared" si="23"/>
        <v>852.54011206115001</v>
      </c>
      <c r="K207" s="9">
        <f t="shared" si="24"/>
        <v>301.79060759165998</v>
      </c>
      <c r="L207" s="10">
        <f t="shared" si="21"/>
        <v>0.35398992179034677</v>
      </c>
      <c r="M207" s="10">
        <f t="shared" si="20"/>
        <v>0.36293371439810729</v>
      </c>
      <c r="P207" s="8">
        <f t="shared" si="25"/>
        <v>40.252045281590568</v>
      </c>
    </row>
    <row r="208" spans="1:16" x14ac:dyDescent="0.2">
      <c r="A208" s="8">
        <v>103</v>
      </c>
      <c r="B208" s="8">
        <v>206</v>
      </c>
      <c r="D208">
        <v>920.82661290322994</v>
      </c>
      <c r="E208">
        <v>419.33870967742001</v>
      </c>
      <c r="F208">
        <v>143.15502008032001</v>
      </c>
      <c r="G208">
        <v>114.04899598394</v>
      </c>
      <c r="I208" s="9">
        <f t="shared" si="22"/>
        <v>305.28971369348</v>
      </c>
      <c r="J208" s="9">
        <f t="shared" si="23"/>
        <v>777.67159282290993</v>
      </c>
      <c r="K208" s="9">
        <f t="shared" si="24"/>
        <v>305.28971369348</v>
      </c>
      <c r="L208" s="10">
        <f t="shared" si="21"/>
        <v>0.39256894106841839</v>
      </c>
      <c r="M208" s="10">
        <f t="shared" si="20"/>
        <v>0.40155636193280214</v>
      </c>
      <c r="P208" s="8">
        <f t="shared" si="25"/>
        <v>55.177374883207719</v>
      </c>
    </row>
    <row r="209" spans="1:16" x14ac:dyDescent="0.2">
      <c r="A209" s="8">
        <v>103.5</v>
      </c>
      <c r="B209" s="8">
        <v>207</v>
      </c>
      <c r="D209">
        <v>984.73612228479999</v>
      </c>
      <c r="E209">
        <v>446.37570394208001</v>
      </c>
      <c r="F209">
        <v>143.10120481928001</v>
      </c>
      <c r="G209">
        <v>114.32048192771001</v>
      </c>
      <c r="I209" s="9">
        <f t="shared" si="22"/>
        <v>332.05522201436997</v>
      </c>
      <c r="J209" s="9">
        <f t="shared" si="23"/>
        <v>841.63491746551995</v>
      </c>
      <c r="K209" s="9">
        <f t="shared" si="24"/>
        <v>332.05522201436997</v>
      </c>
      <c r="L209" s="10">
        <f t="shared" si="21"/>
        <v>0.39453593847355267</v>
      </c>
      <c r="M209" s="10">
        <f t="shared" si="20"/>
        <v>0.40356698759455961</v>
      </c>
      <c r="P209" s="8">
        <f t="shared" si="25"/>
        <v>55.954360735362016</v>
      </c>
    </row>
    <row r="210" spans="1:16" x14ac:dyDescent="0.2">
      <c r="A210" s="8">
        <v>104</v>
      </c>
      <c r="B210" s="8">
        <v>208</v>
      </c>
      <c r="D210">
        <v>978.47787610620003</v>
      </c>
      <c r="E210">
        <v>426.86162510055999</v>
      </c>
      <c r="F210">
        <v>143.09236947791001</v>
      </c>
      <c r="G210">
        <v>114.45783132530001</v>
      </c>
      <c r="I210" s="9">
        <f t="shared" si="22"/>
        <v>312.40379377526</v>
      </c>
      <c r="J210" s="9">
        <f t="shared" si="23"/>
        <v>835.38550662829005</v>
      </c>
      <c r="K210" s="9">
        <f t="shared" si="24"/>
        <v>312.40379377526</v>
      </c>
      <c r="L210" s="10">
        <f t="shared" si="21"/>
        <v>0.37396362672864281</v>
      </c>
      <c r="M210" s="10">
        <f t="shared" si="20"/>
        <v>0.38303830410627299</v>
      </c>
      <c r="P210" s="8">
        <f t="shared" si="25"/>
        <v>48.021259642933906</v>
      </c>
    </row>
    <row r="211" spans="1:16" x14ac:dyDescent="0.2">
      <c r="A211" s="8">
        <v>104.5</v>
      </c>
      <c r="B211" s="8">
        <v>209</v>
      </c>
      <c r="D211">
        <v>977.81013676588998</v>
      </c>
      <c r="E211">
        <v>416.91954947707001</v>
      </c>
      <c r="F211">
        <v>142.81365461847</v>
      </c>
      <c r="G211">
        <v>114.01445783133001</v>
      </c>
      <c r="I211" s="9">
        <f t="shared" si="22"/>
        <v>302.90509164574001</v>
      </c>
      <c r="J211" s="9">
        <f t="shared" si="23"/>
        <v>834.99648214742001</v>
      </c>
      <c r="K211" s="9">
        <f t="shared" si="24"/>
        <v>302.90509164574001</v>
      </c>
      <c r="L211" s="10">
        <f t="shared" si="21"/>
        <v>0.36276211711304146</v>
      </c>
      <c r="M211" s="10">
        <f t="shared" si="20"/>
        <v>0.37188042274729488</v>
      </c>
      <c r="P211" s="8">
        <f t="shared" si="25"/>
        <v>43.709409793984811</v>
      </c>
    </row>
    <row r="212" spans="1:16" x14ac:dyDescent="0.2">
      <c r="A212" s="8">
        <v>105</v>
      </c>
      <c r="B212" s="8">
        <v>210</v>
      </c>
      <c r="D212">
        <v>984.41512469831002</v>
      </c>
      <c r="E212">
        <v>420.62107803701002</v>
      </c>
      <c r="F212">
        <v>143.1686746988</v>
      </c>
      <c r="G212">
        <v>114.42008032129</v>
      </c>
      <c r="I212" s="9">
        <f t="shared" si="22"/>
        <v>306.20099771572001</v>
      </c>
      <c r="J212" s="9">
        <f t="shared" si="23"/>
        <v>841.24644999950999</v>
      </c>
      <c r="K212" s="9">
        <f t="shared" si="24"/>
        <v>306.20099771572001</v>
      </c>
      <c r="L212" s="10">
        <f t="shared" si="21"/>
        <v>0.36398489136673129</v>
      </c>
      <c r="M212" s="10">
        <f t="shared" si="20"/>
        <v>0.37314682525760789</v>
      </c>
      <c r="P212" s="8">
        <f t="shared" si="25"/>
        <v>44.198798173115421</v>
      </c>
    </row>
    <row r="213" spans="1:16" x14ac:dyDescent="0.2">
      <c r="A213" s="8">
        <v>105.5</v>
      </c>
      <c r="B213" s="8">
        <v>211</v>
      </c>
      <c r="D213">
        <v>1012.9003984064</v>
      </c>
      <c r="E213">
        <v>431.92988047809001</v>
      </c>
      <c r="F213">
        <v>143.04096385541999</v>
      </c>
      <c r="G213">
        <v>114.26907630522</v>
      </c>
      <c r="I213" s="9">
        <f t="shared" si="22"/>
        <v>317.66080417287003</v>
      </c>
      <c r="J213" s="9">
        <f t="shared" si="23"/>
        <v>869.85943455098004</v>
      </c>
      <c r="K213" s="9">
        <f t="shared" si="24"/>
        <v>317.66080417287003</v>
      </c>
      <c r="L213" s="10">
        <f t="shared" si="21"/>
        <v>0.36518636408978655</v>
      </c>
      <c r="M213" s="10">
        <f t="shared" si="20"/>
        <v>0.3743919262372864</v>
      </c>
      <c r="P213" s="8">
        <f t="shared" si="25"/>
        <v>44.679954792228713</v>
      </c>
    </row>
    <row r="214" spans="1:16" x14ac:dyDescent="0.2">
      <c r="A214" s="8">
        <v>106</v>
      </c>
      <c r="B214" s="8">
        <v>212</v>
      </c>
      <c r="D214">
        <v>1003.6151394422</v>
      </c>
      <c r="E214">
        <v>428.95697211154999</v>
      </c>
      <c r="F214">
        <v>142.72289156626999</v>
      </c>
      <c r="G214">
        <v>114.37269076305</v>
      </c>
      <c r="I214" s="9">
        <f t="shared" si="22"/>
        <v>314.58428134849999</v>
      </c>
      <c r="J214" s="9">
        <f t="shared" si="23"/>
        <v>860.89224787593002</v>
      </c>
      <c r="K214" s="9">
        <f t="shared" si="24"/>
        <v>314.58428134849999</v>
      </c>
      <c r="L214" s="10">
        <f t="shared" si="21"/>
        <v>0.3654165572110451</v>
      </c>
      <c r="M214" s="10">
        <f t="shared" si="20"/>
        <v>0.37466574761516819</v>
      </c>
      <c r="P214" s="8">
        <f t="shared" si="25"/>
        <v>44.785770280749624</v>
      </c>
    </row>
    <row r="215" spans="1:16" x14ac:dyDescent="0.2">
      <c r="A215" s="8">
        <v>106.5</v>
      </c>
      <c r="B215" s="8">
        <v>213</v>
      </c>
      <c r="D215">
        <v>979.97450199203001</v>
      </c>
      <c r="E215">
        <v>441.98406374502002</v>
      </c>
      <c r="F215">
        <v>143.17670682731</v>
      </c>
      <c r="G215">
        <v>114.47951807229001</v>
      </c>
      <c r="I215" s="9">
        <f t="shared" si="22"/>
        <v>327.50454567273005</v>
      </c>
      <c r="J215" s="9">
        <f t="shared" si="23"/>
        <v>836.79779516472001</v>
      </c>
      <c r="K215" s="9">
        <f t="shared" si="24"/>
        <v>327.50454567273005</v>
      </c>
      <c r="L215" s="10">
        <f t="shared" si="21"/>
        <v>0.39137835635461038</v>
      </c>
      <c r="M215" s="10">
        <f t="shared" si="20"/>
        <v>0.40067117501535665</v>
      </c>
      <c r="P215" s="8">
        <f t="shared" si="25"/>
        <v>54.835303395486811</v>
      </c>
    </row>
    <row r="216" spans="1:16" x14ac:dyDescent="0.2">
      <c r="A216" s="8">
        <v>107</v>
      </c>
      <c r="B216" s="8">
        <v>214</v>
      </c>
      <c r="D216">
        <v>993.55654281098998</v>
      </c>
      <c r="E216">
        <v>432.60581583199001</v>
      </c>
      <c r="F216">
        <v>142.59518072289001</v>
      </c>
      <c r="G216">
        <v>113.84417670683</v>
      </c>
      <c r="I216" s="9">
        <f t="shared" si="22"/>
        <v>318.76163912516</v>
      </c>
      <c r="J216" s="9">
        <f t="shared" si="23"/>
        <v>850.96136208810003</v>
      </c>
      <c r="K216" s="9">
        <f t="shared" si="24"/>
        <v>318.76163912516</v>
      </c>
      <c r="L216" s="10">
        <f t="shared" si="21"/>
        <v>0.37459002644136341</v>
      </c>
      <c r="M216" s="10">
        <f t="shared" si="20"/>
        <v>0.38392647335873292</v>
      </c>
      <c r="P216" s="8">
        <f t="shared" si="25"/>
        <v>48.364483623710427</v>
      </c>
    </row>
    <row r="217" spans="1:16" x14ac:dyDescent="0.2">
      <c r="A217" s="8">
        <v>107.5</v>
      </c>
      <c r="B217" s="8">
        <v>215</v>
      </c>
      <c r="D217">
        <v>995.22778675282996</v>
      </c>
      <c r="E217">
        <v>411.97415185784001</v>
      </c>
      <c r="F217">
        <v>142.87871485944001</v>
      </c>
      <c r="G217">
        <v>113.76947791165</v>
      </c>
      <c r="I217" s="9">
        <f t="shared" si="22"/>
        <v>298.20467394619004</v>
      </c>
      <c r="J217" s="9">
        <f t="shared" si="23"/>
        <v>852.34907189338992</v>
      </c>
      <c r="K217" s="9">
        <f t="shared" si="24"/>
        <v>298.20467394619004</v>
      </c>
      <c r="L217" s="10">
        <f t="shared" si="21"/>
        <v>0.34986214425477646</v>
      </c>
      <c r="M217" s="10">
        <f t="shared" si="20"/>
        <v>0.35924221942876922</v>
      </c>
      <c r="P217" s="8">
        <f t="shared" si="25"/>
        <v>38.825504568901501</v>
      </c>
    </row>
    <row r="218" spans="1:16" x14ac:dyDescent="0.2">
      <c r="A218" s="8">
        <v>108</v>
      </c>
      <c r="B218" s="8">
        <v>216</v>
      </c>
      <c r="D218">
        <v>999.92071197410996</v>
      </c>
      <c r="E218">
        <v>409.98058252427001</v>
      </c>
      <c r="F218">
        <v>142.71807228916001</v>
      </c>
      <c r="G218">
        <v>114.11244979919999</v>
      </c>
      <c r="I218" s="9">
        <f t="shared" si="22"/>
        <v>295.86813272507004</v>
      </c>
      <c r="J218" s="9">
        <f t="shared" si="23"/>
        <v>857.20263968494999</v>
      </c>
      <c r="K218" s="9">
        <f t="shared" si="24"/>
        <v>295.86813272507004</v>
      </c>
      <c r="L218" s="10">
        <f t="shared" si="21"/>
        <v>0.34515541486644424</v>
      </c>
      <c r="M218" s="10">
        <f t="shared" si="20"/>
        <v>0.35457911829706018</v>
      </c>
      <c r="P218" s="8">
        <f t="shared" si="25"/>
        <v>37.023496529605104</v>
      </c>
    </row>
    <row r="219" spans="1:16" x14ac:dyDescent="0.2">
      <c r="A219" s="8">
        <v>108.5</v>
      </c>
      <c r="B219" s="8">
        <v>217</v>
      </c>
      <c r="D219">
        <v>998.56553398057997</v>
      </c>
      <c r="E219">
        <v>403.50889967638</v>
      </c>
      <c r="F219">
        <v>142.74779116465999</v>
      </c>
      <c r="G219">
        <v>113.60481927711</v>
      </c>
      <c r="I219" s="9">
        <f t="shared" si="22"/>
        <v>289.90408039927001</v>
      </c>
      <c r="J219" s="9">
        <f t="shared" si="23"/>
        <v>855.81774281591993</v>
      </c>
      <c r="K219" s="9">
        <f t="shared" si="24"/>
        <v>289.90408039927001</v>
      </c>
      <c r="L219" s="10">
        <f t="shared" si="21"/>
        <v>0.33874511580630579</v>
      </c>
      <c r="M219" s="10">
        <f t="shared" si="20"/>
        <v>0.34821244749354496</v>
      </c>
      <c r="P219" s="8">
        <f t="shared" si="25"/>
        <v>34.563161304732283</v>
      </c>
    </row>
    <row r="220" spans="1:16" x14ac:dyDescent="0.2">
      <c r="A220" s="8">
        <v>109</v>
      </c>
      <c r="B220" s="8">
        <v>218</v>
      </c>
      <c r="D220">
        <v>982.37459546926004</v>
      </c>
      <c r="E220">
        <v>396.56067961165002</v>
      </c>
      <c r="F220">
        <v>142.43775100401999</v>
      </c>
      <c r="G220">
        <v>113.74698795181</v>
      </c>
      <c r="I220" s="9">
        <f t="shared" si="22"/>
        <v>282.81369165984</v>
      </c>
      <c r="J220" s="9">
        <f t="shared" si="23"/>
        <v>839.93684446524003</v>
      </c>
      <c r="K220" s="9">
        <f t="shared" si="24"/>
        <v>282.81369165984</v>
      </c>
      <c r="L220" s="10">
        <f t="shared" si="21"/>
        <v>0.33670828172789363</v>
      </c>
      <c r="M220" s="10">
        <f t="shared" si="20"/>
        <v>0.34621924167175605</v>
      </c>
      <c r="P220" s="8">
        <f t="shared" si="25"/>
        <v>33.792907172688693</v>
      </c>
    </row>
    <row r="221" spans="1:16" x14ac:dyDescent="0.2">
      <c r="A221" s="8">
        <v>109.5</v>
      </c>
      <c r="B221" s="8">
        <v>219</v>
      </c>
      <c r="D221">
        <v>965.48786407767</v>
      </c>
      <c r="E221">
        <v>392.47896440129</v>
      </c>
      <c r="F221">
        <v>143.15983935743</v>
      </c>
      <c r="G221">
        <v>114.2546184739</v>
      </c>
      <c r="I221" s="9">
        <f t="shared" si="22"/>
        <v>278.22434592739</v>
      </c>
      <c r="J221" s="9">
        <f t="shared" si="23"/>
        <v>822.32802472024002</v>
      </c>
      <c r="K221" s="9">
        <f t="shared" si="24"/>
        <v>278.22434592739</v>
      </c>
      <c r="L221" s="10">
        <f t="shared" si="21"/>
        <v>0.3383374244384329</v>
      </c>
      <c r="M221" s="10">
        <f t="shared" si="20"/>
        <v>0.3478920126389185</v>
      </c>
      <c r="P221" s="8">
        <f t="shared" si="25"/>
        <v>34.439332511875705</v>
      </c>
    </row>
    <row r="222" spans="1:16" x14ac:dyDescent="0.2">
      <c r="A222" s="8">
        <v>110</v>
      </c>
      <c r="B222" s="8">
        <v>220</v>
      </c>
      <c r="D222">
        <v>990.25958466453994</v>
      </c>
      <c r="E222">
        <v>405.46166134185</v>
      </c>
      <c r="F222">
        <v>142.71646586345</v>
      </c>
      <c r="G222">
        <v>113.89558232932001</v>
      </c>
      <c r="I222" s="9">
        <f t="shared" si="22"/>
        <v>291.56607901253</v>
      </c>
      <c r="J222" s="9">
        <f t="shared" si="23"/>
        <v>847.54311880108992</v>
      </c>
      <c r="K222" s="9">
        <f t="shared" si="24"/>
        <v>291.56607901253</v>
      </c>
      <c r="L222" s="10">
        <f t="shared" si="21"/>
        <v>0.34401326911245644</v>
      </c>
      <c r="M222" s="10">
        <f t="shared" si="20"/>
        <v>0.35361148556956529</v>
      </c>
      <c r="P222" s="8">
        <f t="shared" si="25"/>
        <v>36.649564696521949</v>
      </c>
    </row>
    <row r="223" spans="1:16" x14ac:dyDescent="0.2">
      <c r="A223" s="8">
        <v>110.5</v>
      </c>
      <c r="B223" s="8">
        <v>221</v>
      </c>
      <c r="D223">
        <v>994.01597444089998</v>
      </c>
      <c r="E223">
        <v>385.36581469649002</v>
      </c>
      <c r="F223">
        <v>142.94377510039999</v>
      </c>
      <c r="G223">
        <v>113.80722891566</v>
      </c>
      <c r="I223" s="9">
        <f t="shared" si="22"/>
        <v>271.55858578083001</v>
      </c>
      <c r="J223" s="9">
        <f t="shared" si="23"/>
        <v>851.07219934049999</v>
      </c>
      <c r="K223" s="9">
        <f t="shared" si="24"/>
        <v>271.55858578083001</v>
      </c>
      <c r="L223" s="10">
        <f t="shared" si="21"/>
        <v>0.31907820040563195</v>
      </c>
      <c r="M223" s="10">
        <f t="shared" si="20"/>
        <v>0.32872004511936403</v>
      </c>
      <c r="P223" s="8">
        <f t="shared" si="25"/>
        <v>27.030520516690725</v>
      </c>
    </row>
    <row r="224" spans="1:16" x14ac:dyDescent="0.2">
      <c r="A224" s="8">
        <v>111</v>
      </c>
      <c r="B224" s="8">
        <v>222</v>
      </c>
      <c r="D224">
        <v>983.83453237410004</v>
      </c>
      <c r="E224">
        <v>367.03117505994999</v>
      </c>
      <c r="F224">
        <v>142.59277108434</v>
      </c>
      <c r="G224">
        <v>114.10281124498</v>
      </c>
      <c r="I224" s="9">
        <f t="shared" si="22"/>
        <v>252.92836381497</v>
      </c>
      <c r="J224" s="9">
        <f t="shared" si="23"/>
        <v>841.24176128976001</v>
      </c>
      <c r="K224" s="9">
        <f t="shared" si="24"/>
        <v>252.92836381497</v>
      </c>
      <c r="L224" s="10">
        <f t="shared" si="21"/>
        <v>0.30066073209108141</v>
      </c>
      <c r="M224" s="10">
        <f t="shared" si="20"/>
        <v>0.31034620506143668</v>
      </c>
      <c r="P224" s="8">
        <f t="shared" si="25"/>
        <v>19.930136767347406</v>
      </c>
    </row>
    <row r="225" spans="1:16" x14ac:dyDescent="0.2">
      <c r="A225" s="8">
        <v>111.5</v>
      </c>
      <c r="B225" s="8">
        <v>223</v>
      </c>
      <c r="D225">
        <v>995.47881694644002</v>
      </c>
      <c r="E225">
        <v>374.10471622701999</v>
      </c>
      <c r="F225">
        <v>142.98072289157</v>
      </c>
      <c r="G225">
        <v>114.15421686747</v>
      </c>
      <c r="I225" s="9">
        <f t="shared" si="22"/>
        <v>259.95049935955001</v>
      </c>
      <c r="J225" s="9">
        <f t="shared" si="23"/>
        <v>852.49809405487008</v>
      </c>
      <c r="K225" s="9">
        <f t="shared" si="24"/>
        <v>259.95049935955001</v>
      </c>
      <c r="L225" s="10">
        <f t="shared" si="21"/>
        <v>0.30492795370732945</v>
      </c>
      <c r="M225" s="10">
        <f t="shared" si="20"/>
        <v>0.31465705493430796</v>
      </c>
      <c r="P225" s="8">
        <f t="shared" si="25"/>
        <v>21.596020887743233</v>
      </c>
    </row>
    <row r="226" spans="1:16" x14ac:dyDescent="0.2">
      <c r="A226" s="8">
        <v>112</v>
      </c>
      <c r="B226" s="8">
        <v>224</v>
      </c>
      <c r="D226">
        <v>997.04956035171995</v>
      </c>
      <c r="E226">
        <v>359.84172661871003</v>
      </c>
      <c r="F226">
        <v>142.20722891566001</v>
      </c>
      <c r="G226">
        <v>113.89718875502</v>
      </c>
      <c r="I226" s="9">
        <f t="shared" si="22"/>
        <v>245.94453786369002</v>
      </c>
      <c r="J226" s="9">
        <f t="shared" si="23"/>
        <v>854.84233143605991</v>
      </c>
      <c r="K226" s="9">
        <f t="shared" si="24"/>
        <v>245.94453786369002</v>
      </c>
      <c r="L226" s="10">
        <f t="shared" si="21"/>
        <v>0.28770748571906218</v>
      </c>
      <c r="M226" s="10">
        <f t="shared" si="20"/>
        <v>0.29748021520266393</v>
      </c>
      <c r="P226" s="8">
        <f t="shared" si="25"/>
        <v>14.958205748875757</v>
      </c>
    </row>
    <row r="227" spans="1:16" x14ac:dyDescent="0.2">
      <c r="A227" s="8">
        <v>112.5</v>
      </c>
      <c r="B227" s="8">
        <v>225</v>
      </c>
      <c r="D227">
        <v>981.45109135003997</v>
      </c>
      <c r="E227">
        <v>376.19563459983999</v>
      </c>
      <c r="F227">
        <v>141.99196787149</v>
      </c>
      <c r="G227">
        <v>114.22088353414</v>
      </c>
      <c r="I227" s="9">
        <f t="shared" si="22"/>
        <v>261.97475106569999</v>
      </c>
      <c r="J227" s="9">
        <f t="shared" si="23"/>
        <v>839.45912347854994</v>
      </c>
      <c r="K227" s="9">
        <f t="shared" si="24"/>
        <v>261.97475106569999</v>
      </c>
      <c r="L227" s="10">
        <f t="shared" si="21"/>
        <v>0.31207564935399029</v>
      </c>
      <c r="M227" s="10">
        <f t="shared" si="20"/>
        <v>0.32189200709421523</v>
      </c>
      <c r="P227" s="8">
        <f t="shared" si="25"/>
        <v>24.391894618086177</v>
      </c>
    </row>
    <row r="228" spans="1:16" x14ac:dyDescent="0.2">
      <c r="A228" s="8">
        <v>113</v>
      </c>
      <c r="B228" s="8">
        <v>226</v>
      </c>
      <c r="D228">
        <v>980.70008084074004</v>
      </c>
      <c r="E228">
        <v>362.74454324980002</v>
      </c>
      <c r="F228">
        <v>142.46586345381999</v>
      </c>
      <c r="G228">
        <v>113.81606425703001</v>
      </c>
      <c r="I228" s="9">
        <f t="shared" si="22"/>
        <v>248.92847899277001</v>
      </c>
      <c r="J228" s="9">
        <f t="shared" si="23"/>
        <v>838.23421738692002</v>
      </c>
      <c r="K228" s="9">
        <f t="shared" si="24"/>
        <v>248.92847899277001</v>
      </c>
      <c r="L228" s="10">
        <f t="shared" si="21"/>
        <v>0.29696768973327087</v>
      </c>
      <c r="M228" s="10">
        <f t="shared" si="20"/>
        <v>0.30682767573011904</v>
      </c>
      <c r="P228" s="8">
        <f t="shared" si="25"/>
        <v>18.570436867549013</v>
      </c>
    </row>
    <row r="229" spans="1:16" x14ac:dyDescent="0.2">
      <c r="A229" s="8">
        <v>113.5</v>
      </c>
      <c r="B229" s="8">
        <v>227</v>
      </c>
      <c r="D229">
        <v>992.88539144470997</v>
      </c>
      <c r="E229">
        <v>358.5197740113</v>
      </c>
      <c r="F229">
        <v>142.40642570281</v>
      </c>
      <c r="G229">
        <v>113.99357429718999</v>
      </c>
      <c r="I229" s="9">
        <f t="shared" si="22"/>
        <v>244.52619971411002</v>
      </c>
      <c r="J229" s="9">
        <f t="shared" si="23"/>
        <v>850.47896574189997</v>
      </c>
      <c r="K229" s="9">
        <f t="shared" si="24"/>
        <v>244.52619971411002</v>
      </c>
      <c r="L229" s="10">
        <f t="shared" si="21"/>
        <v>0.28751586995546918</v>
      </c>
      <c r="M229" s="10">
        <f t="shared" si="20"/>
        <v>0.2974194842089406</v>
      </c>
      <c r="P229" s="8">
        <f t="shared" si="25"/>
        <v>14.934736873585935</v>
      </c>
    </row>
    <row r="230" spans="1:16" x14ac:dyDescent="0.2">
      <c r="A230" s="8">
        <v>114</v>
      </c>
      <c r="B230" s="8">
        <v>228</v>
      </c>
      <c r="D230">
        <v>987.23325262308003</v>
      </c>
      <c r="E230">
        <v>358.41565778853999</v>
      </c>
      <c r="F230">
        <v>142.52851405622999</v>
      </c>
      <c r="G230">
        <v>113.86987951806999</v>
      </c>
      <c r="I230" s="9">
        <f t="shared" si="22"/>
        <v>244.54577827047001</v>
      </c>
      <c r="J230" s="9">
        <f t="shared" si="23"/>
        <v>844.70473856684998</v>
      </c>
      <c r="K230" s="9">
        <f t="shared" si="24"/>
        <v>244.54577827047001</v>
      </c>
      <c r="L230" s="10">
        <f t="shared" si="21"/>
        <v>0.28950444706321088</v>
      </c>
      <c r="M230" s="10">
        <f t="shared" si="20"/>
        <v>0.29945168957330548</v>
      </c>
      <c r="P230" s="8">
        <f t="shared" si="25"/>
        <v>15.720061982489298</v>
      </c>
    </row>
    <row r="231" spans="1:16" x14ac:dyDescent="0.2">
      <c r="A231" s="8">
        <v>114.5</v>
      </c>
      <c r="B231" s="8">
        <v>229</v>
      </c>
      <c r="D231">
        <v>996.54640839387002</v>
      </c>
      <c r="E231">
        <v>367.67473769168998</v>
      </c>
      <c r="F231">
        <v>142.76787148593999</v>
      </c>
      <c r="G231">
        <v>113.89477911647</v>
      </c>
      <c r="I231" s="9">
        <f t="shared" si="22"/>
        <v>253.77995857521998</v>
      </c>
      <c r="J231" s="9">
        <f t="shared" si="23"/>
        <v>853.77853690793006</v>
      </c>
      <c r="K231" s="9">
        <f t="shared" si="24"/>
        <v>253.77995857521998</v>
      </c>
      <c r="L231" s="10">
        <f t="shared" si="21"/>
        <v>0.29724331030189288</v>
      </c>
      <c r="M231" s="10">
        <f t="shared" si="20"/>
        <v>0.30723418106861072</v>
      </c>
      <c r="P231" s="8">
        <f t="shared" si="25"/>
        <v>18.727526724124875</v>
      </c>
    </row>
    <row r="232" spans="1:16" x14ac:dyDescent="0.2">
      <c r="A232" s="8">
        <v>115</v>
      </c>
      <c r="B232" s="8">
        <v>230</v>
      </c>
      <c r="D232">
        <v>1004.6900726392</v>
      </c>
      <c r="E232">
        <v>384.66585956416998</v>
      </c>
      <c r="F232">
        <v>142.24497991967999</v>
      </c>
      <c r="G232">
        <v>113.73975903615001</v>
      </c>
      <c r="I232" s="9">
        <f t="shared" si="22"/>
        <v>270.92610052801996</v>
      </c>
      <c r="J232" s="9">
        <f t="shared" si="23"/>
        <v>862.44509271952006</v>
      </c>
      <c r="K232" s="9">
        <f t="shared" si="24"/>
        <v>270.92610052801996</v>
      </c>
      <c r="L232" s="10">
        <f t="shared" si="21"/>
        <v>0.31413721617189277</v>
      </c>
      <c r="M232" s="10">
        <f t="shared" si="20"/>
        <v>0.32417171519523386</v>
      </c>
      <c r="P232" s="8">
        <f t="shared" si="25"/>
        <v>25.272864644095261</v>
      </c>
    </row>
    <row r="233" spans="1:16" x14ac:dyDescent="0.2">
      <c r="A233" s="8">
        <v>115.5</v>
      </c>
      <c r="B233" s="8">
        <v>231</v>
      </c>
      <c r="D233">
        <v>1000.1501210654</v>
      </c>
      <c r="E233">
        <v>386.67473769168998</v>
      </c>
      <c r="F233">
        <v>142.74779116465999</v>
      </c>
      <c r="G233">
        <v>113.95662650602</v>
      </c>
      <c r="I233" s="9">
        <f t="shared" si="22"/>
        <v>272.71811118566995</v>
      </c>
      <c r="J233" s="9">
        <f t="shared" si="23"/>
        <v>857.40232990073991</v>
      </c>
      <c r="K233" s="9">
        <f t="shared" si="24"/>
        <v>272.71811118566995</v>
      </c>
      <c r="L233" s="10">
        <f t="shared" si="21"/>
        <v>0.31807484266720165</v>
      </c>
      <c r="M233" s="10">
        <f t="shared" si="20"/>
        <v>0.32815296994716592</v>
      </c>
      <c r="P233" s="8">
        <f t="shared" si="25"/>
        <v>26.811380079817575</v>
      </c>
    </row>
    <row r="234" spans="1:16" x14ac:dyDescent="0.2">
      <c r="A234" s="8">
        <v>116</v>
      </c>
      <c r="B234" s="8">
        <v>232</v>
      </c>
      <c r="D234">
        <v>983.49878934624996</v>
      </c>
      <c r="E234">
        <v>380.66747376916999</v>
      </c>
      <c r="F234">
        <v>142.57670682731001</v>
      </c>
      <c r="G234">
        <v>114.09959839357001</v>
      </c>
      <c r="I234" s="9">
        <f t="shared" si="22"/>
        <v>266.56787537560001</v>
      </c>
      <c r="J234" s="9">
        <f t="shared" si="23"/>
        <v>840.92208251893999</v>
      </c>
      <c r="K234" s="9">
        <f t="shared" si="24"/>
        <v>266.56787537560001</v>
      </c>
      <c r="L234" s="10">
        <f t="shared" si="21"/>
        <v>0.31699473817729851</v>
      </c>
      <c r="M234" s="10">
        <f t="shared" si="20"/>
        <v>0.32711649371388601</v>
      </c>
      <c r="P234" s="8">
        <f t="shared" si="25"/>
        <v>26.410844373609226</v>
      </c>
    </row>
    <row r="235" spans="1:16" x14ac:dyDescent="0.2">
      <c r="A235" s="8">
        <v>116.5</v>
      </c>
      <c r="B235" s="8">
        <v>233</v>
      </c>
      <c r="D235">
        <v>976.70298627926002</v>
      </c>
      <c r="E235">
        <v>360.07506053268997</v>
      </c>
      <c r="F235">
        <v>142.30763052208999</v>
      </c>
      <c r="G235">
        <v>113.73895582329</v>
      </c>
      <c r="I235" s="9">
        <f t="shared" si="22"/>
        <v>246.33610470939999</v>
      </c>
      <c r="J235" s="9">
        <f t="shared" si="23"/>
        <v>834.39535575717002</v>
      </c>
      <c r="K235" s="9">
        <f t="shared" si="24"/>
        <v>246.33610470939999</v>
      </c>
      <c r="L235" s="10">
        <f t="shared" si="21"/>
        <v>0.29522708031597672</v>
      </c>
      <c r="M235" s="10">
        <f t="shared" si="20"/>
        <v>0.30539246410918747</v>
      </c>
      <c r="P235" s="8">
        <f t="shared" si="25"/>
        <v>18.015813923297653</v>
      </c>
    </row>
    <row r="236" spans="1:16" x14ac:dyDescent="0.2">
      <c r="A236" s="8">
        <v>117</v>
      </c>
      <c r="B236" s="8">
        <v>234</v>
      </c>
      <c r="D236">
        <v>953.93220338982997</v>
      </c>
      <c r="E236">
        <v>338.08958837772002</v>
      </c>
      <c r="F236">
        <v>142.44096385541999</v>
      </c>
      <c r="G236">
        <v>113.57670682731001</v>
      </c>
      <c r="I236" s="9">
        <f t="shared" si="22"/>
        <v>224.51288155041001</v>
      </c>
      <c r="J236" s="9">
        <f t="shared" si="23"/>
        <v>811.49123953440994</v>
      </c>
      <c r="K236" s="9">
        <f t="shared" si="24"/>
        <v>224.51288155041001</v>
      </c>
      <c r="L236" s="10">
        <f t="shared" si="21"/>
        <v>0.27666704286200727</v>
      </c>
      <c r="M236" s="10">
        <f t="shared" si="20"/>
        <v>0.28687605491184121</v>
      </c>
      <c r="P236" s="8">
        <f t="shared" si="25"/>
        <v>10.860335779015857</v>
      </c>
    </row>
    <row r="237" spans="1:16" x14ac:dyDescent="0.2">
      <c r="A237" s="8">
        <v>117.5</v>
      </c>
      <c r="B237" s="8">
        <v>235</v>
      </c>
      <c r="D237">
        <v>950.64003228410002</v>
      </c>
      <c r="E237">
        <v>332.87570621469001</v>
      </c>
      <c r="F237">
        <v>142.43453815261</v>
      </c>
      <c r="G237">
        <v>113.67630522088</v>
      </c>
      <c r="I237" s="9">
        <f t="shared" si="22"/>
        <v>219.19940099381</v>
      </c>
      <c r="J237" s="9">
        <f t="shared" si="23"/>
        <v>808.20549413149001</v>
      </c>
      <c r="K237" s="9">
        <f t="shared" si="24"/>
        <v>219.19940099381</v>
      </c>
      <c r="L237" s="10">
        <f t="shared" si="21"/>
        <v>0.27121741015800077</v>
      </c>
      <c r="M237" s="10">
        <f t="shared" si="20"/>
        <v>0.28147005046445794</v>
      </c>
      <c r="P237" s="8">
        <f t="shared" si="25"/>
        <v>8.7712403038151354</v>
      </c>
    </row>
    <row r="238" spans="1:16" x14ac:dyDescent="0.2">
      <c r="A238" s="8">
        <v>118</v>
      </c>
      <c r="B238" s="8">
        <v>236</v>
      </c>
      <c r="D238">
        <v>957.12510088781005</v>
      </c>
      <c r="E238">
        <v>356.5593220339</v>
      </c>
      <c r="F238">
        <v>142.54618473895999</v>
      </c>
      <c r="G238">
        <v>113.76144578313</v>
      </c>
      <c r="I238" s="9">
        <f t="shared" si="22"/>
        <v>242.79787625077</v>
      </c>
      <c r="J238" s="9">
        <f t="shared" si="23"/>
        <v>814.57891614885011</v>
      </c>
      <c r="K238" s="9">
        <f t="shared" si="24"/>
        <v>242.79787625077</v>
      </c>
      <c r="L238" s="10">
        <f t="shared" si="21"/>
        <v>0.29806550530262305</v>
      </c>
      <c r="M238" s="10">
        <f t="shared" si="20"/>
        <v>0.30836177386570346</v>
      </c>
      <c r="P238" s="8">
        <f t="shared" si="25"/>
        <v>19.163273500362841</v>
      </c>
    </row>
    <row r="239" spans="1:16" x14ac:dyDescent="0.2">
      <c r="A239" s="8">
        <v>118.5</v>
      </c>
      <c r="B239" s="8">
        <v>237</v>
      </c>
      <c r="D239">
        <v>955.94690265486997</v>
      </c>
      <c r="E239">
        <v>375.68946098150002</v>
      </c>
      <c r="F239">
        <v>142.34297188754999</v>
      </c>
      <c r="G239">
        <v>113.8016064257</v>
      </c>
      <c r="I239" s="9">
        <f t="shared" si="22"/>
        <v>261.8878545558</v>
      </c>
      <c r="J239" s="9">
        <f t="shared" si="23"/>
        <v>813.60393076731998</v>
      </c>
      <c r="K239" s="9">
        <f t="shared" si="24"/>
        <v>261.8878545558</v>
      </c>
      <c r="L239" s="10">
        <f t="shared" si="21"/>
        <v>0.32188617170127276</v>
      </c>
      <c r="M239" s="10">
        <f t="shared" si="20"/>
        <v>0.33222606852097636</v>
      </c>
      <c r="P239" s="8">
        <f t="shared" si="25"/>
        <v>28.385387627057511</v>
      </c>
    </row>
    <row r="240" spans="1:16" x14ac:dyDescent="0.2">
      <c r="A240" s="8">
        <v>119</v>
      </c>
      <c r="B240" s="8">
        <v>238</v>
      </c>
      <c r="D240">
        <v>962.14963797265</v>
      </c>
      <c r="E240">
        <v>409.49396621078</v>
      </c>
      <c r="F240">
        <v>141.96305220884</v>
      </c>
      <c r="G240">
        <v>113.80722891566</v>
      </c>
      <c r="I240" s="9">
        <f t="shared" si="22"/>
        <v>295.68673729512</v>
      </c>
      <c r="J240" s="9">
        <f t="shared" si="23"/>
        <v>820.18658576380994</v>
      </c>
      <c r="K240" s="9">
        <f t="shared" si="24"/>
        <v>295.68673729512</v>
      </c>
      <c r="L240" s="10">
        <f t="shared" si="21"/>
        <v>0.3605115499661064</v>
      </c>
      <c r="M240" s="10">
        <f t="shared" si="20"/>
        <v>0.37089507504243324</v>
      </c>
      <c r="P240" s="8">
        <f t="shared" si="25"/>
        <v>43.328632187943022</v>
      </c>
    </row>
    <row r="241" spans="1:16" x14ac:dyDescent="0.2">
      <c r="A241" s="8">
        <v>119.5</v>
      </c>
      <c r="B241" s="8">
        <v>239</v>
      </c>
      <c r="D241">
        <v>938.22275258551997</v>
      </c>
      <c r="E241">
        <v>418.23945902944001</v>
      </c>
      <c r="F241">
        <v>142.61847389558</v>
      </c>
      <c r="G241">
        <v>114.0297188755</v>
      </c>
      <c r="I241" s="9">
        <f t="shared" si="22"/>
        <v>304.20974015394</v>
      </c>
      <c r="J241" s="9">
        <f t="shared" si="23"/>
        <v>795.60427868993997</v>
      </c>
      <c r="K241" s="9">
        <f t="shared" si="24"/>
        <v>304.20974015394</v>
      </c>
      <c r="L241" s="10">
        <f t="shared" si="21"/>
        <v>0.38236312737641209</v>
      </c>
      <c r="M241" s="10">
        <f t="shared" si="20"/>
        <v>0.39279028070936217</v>
      </c>
      <c r="P241" s="8">
        <f t="shared" si="25"/>
        <v>51.78981188776941</v>
      </c>
    </row>
    <row r="242" spans="1:16" x14ac:dyDescent="0.2">
      <c r="A242" s="8">
        <v>120</v>
      </c>
      <c r="B242" s="8">
        <v>240</v>
      </c>
      <c r="D242">
        <v>940.68257756563003</v>
      </c>
      <c r="E242">
        <v>417.31980906921001</v>
      </c>
      <c r="F242">
        <v>142.16626506023999</v>
      </c>
      <c r="G242">
        <v>113.84016064257</v>
      </c>
      <c r="I242" s="9">
        <f>E242-G242</f>
        <v>303.47964842663998</v>
      </c>
      <c r="J242" s="9">
        <f>D242-F242</f>
        <v>798.51631250539003</v>
      </c>
      <c r="K242" s="9">
        <f t="shared" si="24"/>
        <v>303.47964842663998</v>
      </c>
      <c r="L242" s="10">
        <f t="shared" si="21"/>
        <v>0.38005441300811432</v>
      </c>
      <c r="M242" s="10">
        <f>L242+ABS($N$2)*A242</f>
        <v>0.39052519459768759</v>
      </c>
      <c r="O242" s="11"/>
      <c r="P242" s="8">
        <f>(M242-$O$2)/$O$2*100</f>
        <v>50.914492380932927</v>
      </c>
    </row>
    <row r="243" spans="1:16" x14ac:dyDescent="0.2">
      <c r="A243" s="8">
        <v>120.5</v>
      </c>
      <c r="B243" s="8">
        <v>241</v>
      </c>
      <c r="D243">
        <v>928.49439102563997</v>
      </c>
      <c r="E243">
        <v>409.47836538462002</v>
      </c>
      <c r="F243">
        <v>141.85461847389999</v>
      </c>
      <c r="G243">
        <v>113.81927710843</v>
      </c>
      <c r="I243" s="9">
        <f t="shared" ref="I243:I274" si="26">E243-G243</f>
        <v>295.65908827619</v>
      </c>
      <c r="J243" s="9">
        <f t="shared" ref="J243:J274" si="27">D243-F243</f>
        <v>786.63977255173995</v>
      </c>
      <c r="K243" s="9">
        <f t="shared" si="24"/>
        <v>295.65908827619</v>
      </c>
      <c r="L243" s="10">
        <f t="shared" si="21"/>
        <v>0.375850673450081</v>
      </c>
      <c r="M243" s="10">
        <f t="shared" ref="M243:M274" si="28">L243+ABS($N$2)*A243</f>
        <v>0.3863650832962775</v>
      </c>
      <c r="P243" s="8">
        <f t="shared" ref="P243:P274" si="29">(M243-$O$2)/$O$2*100</f>
        <v>49.30685964945895</v>
      </c>
    </row>
    <row r="244" spans="1:16" x14ac:dyDescent="0.2">
      <c r="A244" s="8">
        <v>121</v>
      </c>
      <c r="B244" s="8">
        <v>242</v>
      </c>
      <c r="D244">
        <v>937.54567307692002</v>
      </c>
      <c r="E244">
        <v>396.06410256409998</v>
      </c>
      <c r="F244">
        <v>142.56385542168999</v>
      </c>
      <c r="G244">
        <v>113.75100401605999</v>
      </c>
      <c r="I244" s="9">
        <f t="shared" si="26"/>
        <v>282.31309854803999</v>
      </c>
      <c r="J244" s="9">
        <f t="shared" si="27"/>
        <v>794.98181765523009</v>
      </c>
      <c r="K244" s="9">
        <f t="shared" si="24"/>
        <v>282.31309854803999</v>
      </c>
      <c r="L244" s="10">
        <f t="shared" si="21"/>
        <v>0.35511893766414959</v>
      </c>
      <c r="M244" s="10">
        <f t="shared" si="28"/>
        <v>0.36567697576696934</v>
      </c>
      <c r="N244" s="1"/>
      <c r="P244" s="8">
        <f t="shared" si="29"/>
        <v>41.312150756671464</v>
      </c>
    </row>
    <row r="245" spans="1:16" x14ac:dyDescent="0.2">
      <c r="A245" s="8">
        <v>121.5</v>
      </c>
      <c r="B245" s="8">
        <v>243</v>
      </c>
      <c r="D245">
        <v>942.96714743589996</v>
      </c>
      <c r="E245">
        <v>380.86618589744</v>
      </c>
      <c r="F245">
        <v>141.83453815261001</v>
      </c>
      <c r="G245">
        <v>113.76787148594001</v>
      </c>
      <c r="I245" s="9">
        <f t="shared" si="26"/>
        <v>267.09831441149998</v>
      </c>
      <c r="J245" s="9">
        <f t="shared" si="27"/>
        <v>801.13260928328998</v>
      </c>
      <c r="K245" s="9">
        <f t="shared" si="24"/>
        <v>267.09831441149998</v>
      </c>
      <c r="L245" s="10">
        <f t="shared" si="21"/>
        <v>0.33340087685414743</v>
      </c>
      <c r="M245" s="10">
        <f t="shared" si="28"/>
        <v>0.34400254321359036</v>
      </c>
      <c r="P245" s="8">
        <f t="shared" si="29"/>
        <v>32.936286582766705</v>
      </c>
    </row>
    <row r="246" spans="1:16" x14ac:dyDescent="0.2">
      <c r="A246" s="8">
        <v>122</v>
      </c>
      <c r="B246" s="8">
        <v>244</v>
      </c>
      <c r="D246">
        <v>954.91266025641005</v>
      </c>
      <c r="E246">
        <v>373.09455128205002</v>
      </c>
      <c r="F246">
        <v>141.72690763052</v>
      </c>
      <c r="G246">
        <v>113.69236947791001</v>
      </c>
      <c r="I246" s="9">
        <f t="shared" si="26"/>
        <v>259.40218180414001</v>
      </c>
      <c r="J246" s="9">
        <f t="shared" si="27"/>
        <v>813.18575262589002</v>
      </c>
      <c r="K246" s="9">
        <f t="shared" si="24"/>
        <v>259.40218180414001</v>
      </c>
      <c r="L246" s="10">
        <f t="shared" si="21"/>
        <v>0.31899499095562639</v>
      </c>
      <c r="M246" s="10">
        <f t="shared" si="28"/>
        <v>0.32964028557169256</v>
      </c>
      <c r="P246" s="8">
        <f t="shared" si="29"/>
        <v>27.386138086703411</v>
      </c>
    </row>
    <row r="247" spans="1:16" x14ac:dyDescent="0.2">
      <c r="A247" s="8">
        <v>122.5</v>
      </c>
      <c r="B247" s="8">
        <v>245</v>
      </c>
      <c r="D247">
        <v>887.14546899841002</v>
      </c>
      <c r="E247">
        <v>338.96104928457999</v>
      </c>
      <c r="F247">
        <v>142.54457831325001</v>
      </c>
      <c r="G247">
        <v>113.66907630522</v>
      </c>
      <c r="I247" s="9">
        <f t="shared" si="26"/>
        <v>225.29197297935997</v>
      </c>
      <c r="J247" s="9">
        <f t="shared" si="27"/>
        <v>744.60089068516004</v>
      </c>
      <c r="K247" s="9">
        <f t="shared" si="24"/>
        <v>225.29197297935997</v>
      </c>
      <c r="L247" s="10">
        <f t="shared" si="21"/>
        <v>0.30256742343143433</v>
      </c>
      <c r="M247" s="10">
        <f t="shared" si="28"/>
        <v>0.31325634630412375</v>
      </c>
      <c r="P247" s="8">
        <f t="shared" si="29"/>
        <v>21.054731273597831</v>
      </c>
    </row>
    <row r="248" spans="1:16" x14ac:dyDescent="0.2">
      <c r="A248" s="8">
        <v>123</v>
      </c>
      <c r="B248" s="8">
        <v>246</v>
      </c>
      <c r="D248">
        <v>890.92845786963005</v>
      </c>
      <c r="E248">
        <v>335.48489666136999</v>
      </c>
      <c r="F248">
        <v>142.44578313253001</v>
      </c>
      <c r="G248">
        <v>113.77991967872001</v>
      </c>
      <c r="I248" s="9">
        <f t="shared" si="26"/>
        <v>221.70497698264998</v>
      </c>
      <c r="J248" s="9">
        <f t="shared" si="27"/>
        <v>748.48267473710007</v>
      </c>
      <c r="K248" s="9">
        <f t="shared" si="24"/>
        <v>221.70497698264998</v>
      </c>
      <c r="L248" s="10">
        <f t="shared" si="21"/>
        <v>0.29620589021719507</v>
      </c>
      <c r="M248" s="10">
        <f t="shared" si="28"/>
        <v>0.30693844134650766</v>
      </c>
      <c r="P248" s="8">
        <f t="shared" si="29"/>
        <v>18.613241114244978</v>
      </c>
    </row>
    <row r="249" spans="1:16" x14ac:dyDescent="0.2">
      <c r="A249" s="8">
        <v>123.5</v>
      </c>
      <c r="B249" s="8">
        <v>247</v>
      </c>
      <c r="D249">
        <v>968.58903020668004</v>
      </c>
      <c r="E249">
        <v>348.40461049285</v>
      </c>
      <c r="F249">
        <v>141.71807228916001</v>
      </c>
      <c r="G249">
        <v>113.49879518071999</v>
      </c>
      <c r="I249" s="9">
        <f t="shared" si="26"/>
        <v>234.90581531213002</v>
      </c>
      <c r="J249" s="9">
        <f t="shared" si="27"/>
        <v>826.87095791752006</v>
      </c>
      <c r="K249" s="9">
        <f t="shared" si="24"/>
        <v>234.90581531213002</v>
      </c>
      <c r="L249" s="10">
        <f t="shared" si="21"/>
        <v>0.28409005427369449</v>
      </c>
      <c r="M249" s="10">
        <f t="shared" si="28"/>
        <v>0.29486623365963033</v>
      </c>
      <c r="P249" s="8">
        <f t="shared" si="29"/>
        <v>13.948059148561176</v>
      </c>
    </row>
    <row r="250" spans="1:16" x14ac:dyDescent="0.2">
      <c r="A250" s="8">
        <v>124</v>
      </c>
      <c r="B250" s="8">
        <v>248</v>
      </c>
      <c r="D250">
        <v>965.88632750398006</v>
      </c>
      <c r="E250">
        <v>337.91176470587999</v>
      </c>
      <c r="F250">
        <v>141.66506024096</v>
      </c>
      <c r="G250">
        <v>113.54698795181</v>
      </c>
      <c r="I250" s="9">
        <f t="shared" si="26"/>
        <v>224.36477675406999</v>
      </c>
      <c r="J250" s="9">
        <f t="shared" si="27"/>
        <v>824.22126726302008</v>
      </c>
      <c r="K250" s="9">
        <f t="shared" si="24"/>
        <v>224.36477675406999</v>
      </c>
      <c r="L250" s="10">
        <f t="shared" si="21"/>
        <v>0.27221425321760373</v>
      </c>
      <c r="M250" s="10">
        <f t="shared" si="28"/>
        <v>0.28303406086016281</v>
      </c>
      <c r="P250" s="8">
        <f t="shared" si="29"/>
        <v>9.3756362255416636</v>
      </c>
    </row>
    <row r="251" spans="1:16" x14ac:dyDescent="0.2">
      <c r="A251" s="8">
        <v>124.5</v>
      </c>
      <c r="B251" s="8">
        <v>249</v>
      </c>
      <c r="D251">
        <v>994.88632750398006</v>
      </c>
      <c r="E251">
        <v>339.03497615262</v>
      </c>
      <c r="F251">
        <v>141.67791164658999</v>
      </c>
      <c r="G251">
        <v>113.54297188755</v>
      </c>
      <c r="I251" s="9">
        <f t="shared" si="26"/>
        <v>225.49200426507002</v>
      </c>
      <c r="J251" s="9">
        <f t="shared" si="27"/>
        <v>853.20841585739004</v>
      </c>
      <c r="K251" s="9">
        <f t="shared" si="24"/>
        <v>225.49200426507002</v>
      </c>
      <c r="L251" s="10">
        <f t="shared" si="21"/>
        <v>0.26428713087466776</v>
      </c>
      <c r="M251" s="10">
        <f t="shared" si="28"/>
        <v>0.27515056677385002</v>
      </c>
      <c r="P251" s="8">
        <f t="shared" si="29"/>
        <v>6.329140059142917</v>
      </c>
    </row>
    <row r="252" spans="1:16" x14ac:dyDescent="0.2">
      <c r="A252" s="8">
        <v>125</v>
      </c>
      <c r="B252" s="8">
        <v>250</v>
      </c>
      <c r="D252">
        <v>999.13263665595002</v>
      </c>
      <c r="E252">
        <v>335.08199356913002</v>
      </c>
      <c r="F252">
        <v>141.40722891566</v>
      </c>
      <c r="G252">
        <v>113.45863453814999</v>
      </c>
      <c r="I252" s="9">
        <f t="shared" si="26"/>
        <v>221.62335903098003</v>
      </c>
      <c r="J252" s="9">
        <f t="shared" si="27"/>
        <v>857.72540774029005</v>
      </c>
      <c r="K252" s="9">
        <f t="shared" si="24"/>
        <v>221.62335903098003</v>
      </c>
      <c r="L252" s="10">
        <f t="shared" si="21"/>
        <v>0.25838497616020856</v>
      </c>
      <c r="M252" s="10">
        <f t="shared" si="28"/>
        <v>0.26929204031601406</v>
      </c>
      <c r="P252" s="8">
        <f t="shared" si="29"/>
        <v>4.0651720521737307</v>
      </c>
    </row>
    <row r="253" spans="1:16" x14ac:dyDescent="0.2">
      <c r="A253" s="8">
        <v>125.5</v>
      </c>
      <c r="B253" s="8">
        <v>251</v>
      </c>
      <c r="D253">
        <v>996.84565916399004</v>
      </c>
      <c r="E253">
        <v>333.39630225079998</v>
      </c>
      <c r="F253">
        <v>141.80722891566</v>
      </c>
      <c r="G253">
        <v>113.75180722892</v>
      </c>
      <c r="I253" s="9">
        <f t="shared" si="26"/>
        <v>219.64449502187998</v>
      </c>
      <c r="J253" s="9">
        <f t="shared" si="27"/>
        <v>855.03843024833009</v>
      </c>
      <c r="K253" s="9">
        <f t="shared" si="24"/>
        <v>219.64449502187998</v>
      </c>
      <c r="L253" s="10">
        <f t="shared" si="21"/>
        <v>0.25688259995294982</v>
      </c>
      <c r="M253" s="10">
        <f t="shared" si="28"/>
        <v>0.26783329236537856</v>
      </c>
      <c r="P253" s="8">
        <f t="shared" si="29"/>
        <v>3.5014537325178812</v>
      </c>
    </row>
    <row r="254" spans="1:16" x14ac:dyDescent="0.2">
      <c r="A254" s="8">
        <v>126</v>
      </c>
      <c r="B254" s="8">
        <v>252</v>
      </c>
      <c r="D254">
        <v>971.98633440515005</v>
      </c>
      <c r="E254">
        <v>321.82958199357</v>
      </c>
      <c r="F254">
        <v>141.22168674699</v>
      </c>
      <c r="G254">
        <v>113.28353413655</v>
      </c>
      <c r="I254" s="9">
        <f t="shared" si="26"/>
        <v>208.54604785702</v>
      </c>
      <c r="J254" s="9">
        <f t="shared" si="27"/>
        <v>830.76464765816002</v>
      </c>
      <c r="K254" s="9">
        <f t="shared" si="24"/>
        <v>208.54604785702</v>
      </c>
      <c r="L254" s="10">
        <f t="shared" si="21"/>
        <v>0.25102903505209306</v>
      </c>
      <c r="M254" s="10">
        <f t="shared" si="28"/>
        <v>0.26202335572114499</v>
      </c>
      <c r="P254" s="8">
        <f t="shared" si="29"/>
        <v>1.2562627651766871</v>
      </c>
    </row>
    <row r="255" spans="1:16" x14ac:dyDescent="0.2">
      <c r="A255" s="8">
        <v>126.5</v>
      </c>
      <c r="B255" s="8">
        <v>253</v>
      </c>
      <c r="D255">
        <v>976.30385852090001</v>
      </c>
      <c r="E255">
        <v>318.9308681672</v>
      </c>
      <c r="F255">
        <v>142.27550200803</v>
      </c>
      <c r="G255">
        <v>114.20321285141</v>
      </c>
      <c r="I255" s="9">
        <f t="shared" si="26"/>
        <v>204.72765531579</v>
      </c>
      <c r="J255" s="9">
        <f t="shared" si="27"/>
        <v>834.02835651287</v>
      </c>
      <c r="K255" s="9">
        <f t="shared" si="24"/>
        <v>204.72765531579</v>
      </c>
      <c r="L255" s="10">
        <f t="shared" si="21"/>
        <v>0.24546845885644755</v>
      </c>
      <c r="M255" s="10">
        <f t="shared" si="28"/>
        <v>0.25650640778212275</v>
      </c>
      <c r="P255" s="8">
        <f t="shared" si="29"/>
        <v>-0.87570569480268334</v>
      </c>
    </row>
    <row r="256" spans="1:16" x14ac:dyDescent="0.2">
      <c r="A256" s="8">
        <v>127</v>
      </c>
      <c r="B256" s="8">
        <v>254</v>
      </c>
      <c r="D256">
        <v>984.71945337621003</v>
      </c>
      <c r="E256">
        <v>315.60691318328003</v>
      </c>
      <c r="F256">
        <v>141.29799196786999</v>
      </c>
      <c r="G256">
        <v>113.69397590361</v>
      </c>
      <c r="I256" s="9">
        <f t="shared" si="26"/>
        <v>201.91293727967002</v>
      </c>
      <c r="J256" s="9">
        <f t="shared" si="27"/>
        <v>843.42146140834006</v>
      </c>
      <c r="K256" s="9">
        <f t="shared" si="24"/>
        <v>201.91293727967002</v>
      </c>
      <c r="L256" s="10">
        <f t="shared" si="21"/>
        <v>0.23939743831336355</v>
      </c>
      <c r="M256" s="10">
        <f t="shared" si="28"/>
        <v>0.25047901549566193</v>
      </c>
      <c r="P256" s="8">
        <f t="shared" si="29"/>
        <v>-3.2049301849897023</v>
      </c>
    </row>
    <row r="257" spans="1:16" x14ac:dyDescent="0.2">
      <c r="A257" s="8">
        <v>127.5</v>
      </c>
      <c r="B257" s="8">
        <v>255</v>
      </c>
      <c r="D257">
        <v>985.61012861736003</v>
      </c>
      <c r="E257">
        <v>318.33520900321997</v>
      </c>
      <c r="F257">
        <v>141.49638554217</v>
      </c>
      <c r="G257">
        <v>113.59919678715001</v>
      </c>
      <c r="I257" s="9">
        <f t="shared" si="26"/>
        <v>204.73601221606998</v>
      </c>
      <c r="J257" s="9">
        <f t="shared" si="27"/>
        <v>844.11374307519009</v>
      </c>
      <c r="K257" s="9">
        <f t="shared" si="24"/>
        <v>204.73601221606998</v>
      </c>
      <c r="L257" s="10">
        <f t="shared" si="21"/>
        <v>0.24254552647158234</v>
      </c>
      <c r="M257" s="10">
        <f t="shared" si="28"/>
        <v>0.25367073191050393</v>
      </c>
      <c r="P257" s="8">
        <f t="shared" si="29"/>
        <v>-1.9715238152265759</v>
      </c>
    </row>
    <row r="258" spans="1:16" x14ac:dyDescent="0.2">
      <c r="A258" s="8">
        <v>128</v>
      </c>
      <c r="B258" s="8">
        <v>256</v>
      </c>
      <c r="D258">
        <v>995.32073954984003</v>
      </c>
      <c r="E258">
        <v>321.65594855306</v>
      </c>
      <c r="F258">
        <v>141.66827309236999</v>
      </c>
      <c r="G258">
        <v>113.74859437751</v>
      </c>
      <c r="I258" s="9">
        <f t="shared" si="26"/>
        <v>207.90735417554998</v>
      </c>
      <c r="J258" s="9">
        <f t="shared" si="27"/>
        <v>853.65246645747004</v>
      </c>
      <c r="K258" s="9">
        <f t="shared" si="24"/>
        <v>207.90735417554998</v>
      </c>
      <c r="L258" s="10">
        <f t="shared" ref="L258:L321" si="30">K258/J258</f>
        <v>0.24355034670998418</v>
      </c>
      <c r="M258" s="10">
        <f t="shared" si="28"/>
        <v>0.25471918040552904</v>
      </c>
      <c r="P258" s="8">
        <f t="shared" si="29"/>
        <v>-1.5663615501459078</v>
      </c>
    </row>
    <row r="259" spans="1:16" x14ac:dyDescent="0.2">
      <c r="A259" s="8">
        <v>128.5</v>
      </c>
      <c r="B259" s="8">
        <v>257</v>
      </c>
      <c r="D259">
        <v>989.13102893891005</v>
      </c>
      <c r="E259">
        <v>316.43971061092998</v>
      </c>
      <c r="F259">
        <v>141.36385542169</v>
      </c>
      <c r="G259">
        <v>113.63534136545999</v>
      </c>
      <c r="I259" s="9">
        <f t="shared" si="26"/>
        <v>202.80436924546999</v>
      </c>
      <c r="J259" s="9">
        <f t="shared" si="27"/>
        <v>847.76717351722004</v>
      </c>
      <c r="K259" s="9">
        <f t="shared" ref="K259:K322" si="31">I259*1</f>
        <v>202.80436924546999</v>
      </c>
      <c r="L259" s="10">
        <f t="shared" si="30"/>
        <v>0.23922177642721687</v>
      </c>
      <c r="M259" s="10">
        <f t="shared" si="28"/>
        <v>0.25043423837938494</v>
      </c>
      <c r="P259" s="8">
        <f t="shared" si="29"/>
        <v>-3.2222338464863296</v>
      </c>
    </row>
    <row r="260" spans="1:16" x14ac:dyDescent="0.2">
      <c r="A260" s="8">
        <v>129</v>
      </c>
      <c r="B260" s="8">
        <v>258</v>
      </c>
      <c r="D260">
        <v>990.38585209002997</v>
      </c>
      <c r="E260">
        <v>314.83279742765001</v>
      </c>
      <c r="F260">
        <v>141.63935742972001</v>
      </c>
      <c r="G260">
        <v>113.09076305220999</v>
      </c>
      <c r="I260" s="9">
        <f t="shared" si="26"/>
        <v>201.74203437544003</v>
      </c>
      <c r="J260" s="9">
        <f t="shared" si="27"/>
        <v>848.74649466030996</v>
      </c>
      <c r="K260" s="9">
        <f t="shared" si="31"/>
        <v>201.74203437544003</v>
      </c>
      <c r="L260" s="10">
        <f t="shared" si="30"/>
        <v>0.23769410023446677</v>
      </c>
      <c r="M260" s="10">
        <f t="shared" si="28"/>
        <v>0.24895019044325806</v>
      </c>
      <c r="P260" s="8">
        <f t="shared" si="29"/>
        <v>-3.7957290884009636</v>
      </c>
    </row>
    <row r="261" spans="1:16" x14ac:dyDescent="0.2">
      <c r="A261" s="8">
        <v>129.5</v>
      </c>
      <c r="B261" s="8">
        <v>259</v>
      </c>
      <c r="D261">
        <v>993.56350482314997</v>
      </c>
      <c r="E261">
        <v>318.71784565915999</v>
      </c>
      <c r="F261">
        <v>141.31726907631</v>
      </c>
      <c r="G261">
        <v>113.61124497992</v>
      </c>
      <c r="I261" s="9">
        <f t="shared" si="26"/>
        <v>205.10660067923999</v>
      </c>
      <c r="J261" s="9">
        <f t="shared" si="27"/>
        <v>852.24623574683994</v>
      </c>
      <c r="K261" s="9">
        <f t="shared" si="31"/>
        <v>205.10660067923999</v>
      </c>
      <c r="L261" s="10">
        <f t="shared" si="30"/>
        <v>0.2406658921755179</v>
      </c>
      <c r="M261" s="10">
        <f t="shared" si="28"/>
        <v>0.25196561064093242</v>
      </c>
      <c r="P261" s="8">
        <f t="shared" si="29"/>
        <v>-2.6304505999898748</v>
      </c>
    </row>
    <row r="262" spans="1:16" x14ac:dyDescent="0.2">
      <c r="A262" s="8">
        <v>130</v>
      </c>
      <c r="B262" s="8">
        <v>260</v>
      </c>
      <c r="D262">
        <v>983.64710610933002</v>
      </c>
      <c r="E262">
        <v>314.03376205787998</v>
      </c>
      <c r="F262">
        <v>141.33493975904</v>
      </c>
      <c r="G262">
        <v>113.79116465864</v>
      </c>
      <c r="I262" s="9">
        <f t="shared" si="26"/>
        <v>200.24259739923997</v>
      </c>
      <c r="J262" s="9">
        <f t="shared" si="27"/>
        <v>842.31216635029</v>
      </c>
      <c r="K262" s="9">
        <f t="shared" si="31"/>
        <v>200.24259739923997</v>
      </c>
      <c r="L262" s="10">
        <f t="shared" si="30"/>
        <v>0.23772967481507995</v>
      </c>
      <c r="M262" s="10">
        <f t="shared" si="28"/>
        <v>0.24907302153711769</v>
      </c>
      <c r="P262" s="8">
        <f t="shared" si="29"/>
        <v>-3.7482622605628326</v>
      </c>
    </row>
    <row r="263" spans="1:16" x14ac:dyDescent="0.2">
      <c r="A263" s="8">
        <v>130.5</v>
      </c>
      <c r="B263" s="8">
        <v>261</v>
      </c>
      <c r="D263">
        <v>979.83842443729998</v>
      </c>
      <c r="E263">
        <v>317.39871382637</v>
      </c>
      <c r="F263">
        <v>141.19196787148999</v>
      </c>
      <c r="G263">
        <v>113.29156626506</v>
      </c>
      <c r="I263" s="9">
        <f t="shared" si="26"/>
        <v>204.10714756131</v>
      </c>
      <c r="J263" s="9">
        <f t="shared" si="27"/>
        <v>838.64645656581001</v>
      </c>
      <c r="K263" s="9">
        <f t="shared" si="31"/>
        <v>204.10714756131</v>
      </c>
      <c r="L263" s="10">
        <f t="shared" si="30"/>
        <v>0.24337686752664811</v>
      </c>
      <c r="M263" s="10">
        <f t="shared" si="28"/>
        <v>0.25476384250530903</v>
      </c>
      <c r="P263" s="8">
        <f t="shared" si="29"/>
        <v>-1.5491023356055824</v>
      </c>
    </row>
    <row r="264" spans="1:16" x14ac:dyDescent="0.2">
      <c r="A264" s="8">
        <v>131</v>
      </c>
      <c r="B264" s="8">
        <v>262</v>
      </c>
      <c r="D264">
        <v>977.21302250804001</v>
      </c>
      <c r="E264">
        <v>315.42845659163999</v>
      </c>
      <c r="F264">
        <v>141.12208835340999</v>
      </c>
      <c r="G264">
        <v>113.81285140561999</v>
      </c>
      <c r="I264" s="9">
        <f t="shared" si="26"/>
        <v>201.61560518601999</v>
      </c>
      <c r="J264" s="9">
        <f t="shared" si="27"/>
        <v>836.09093415463008</v>
      </c>
      <c r="K264" s="9">
        <f t="shared" si="31"/>
        <v>201.61560518601999</v>
      </c>
      <c r="L264" s="10">
        <f t="shared" si="30"/>
        <v>0.24114076226633546</v>
      </c>
      <c r="M264" s="10">
        <f t="shared" si="28"/>
        <v>0.25257136550161963</v>
      </c>
      <c r="P264" s="8">
        <f t="shared" si="29"/>
        <v>-2.3963627906180158</v>
      </c>
    </row>
    <row r="265" spans="1:16" x14ac:dyDescent="0.2">
      <c r="A265" s="8">
        <v>131.5</v>
      </c>
      <c r="B265" s="8">
        <v>263</v>
      </c>
      <c r="D265">
        <v>976.15594855305994</v>
      </c>
      <c r="E265">
        <v>327.56430868167001</v>
      </c>
      <c r="F265">
        <v>141.04899598393999</v>
      </c>
      <c r="G265">
        <v>113.35742971888</v>
      </c>
      <c r="I265" s="9">
        <f t="shared" si="26"/>
        <v>214.20687896279003</v>
      </c>
      <c r="J265" s="9">
        <f t="shared" si="27"/>
        <v>835.10695256911993</v>
      </c>
      <c r="K265" s="9">
        <f t="shared" si="31"/>
        <v>214.20687896279003</v>
      </c>
      <c r="L265" s="10">
        <f t="shared" si="30"/>
        <v>0.25650232979596777</v>
      </c>
      <c r="M265" s="10">
        <f t="shared" si="28"/>
        <v>0.26797656128787517</v>
      </c>
      <c r="P265" s="8">
        <f t="shared" si="29"/>
        <v>3.5568185515145476</v>
      </c>
    </row>
    <row r="266" spans="1:16" x14ac:dyDescent="0.2">
      <c r="A266" s="8">
        <v>132</v>
      </c>
      <c r="B266" s="8">
        <v>264</v>
      </c>
      <c r="D266">
        <v>971.67926045015997</v>
      </c>
      <c r="E266">
        <v>330.57636655949</v>
      </c>
      <c r="F266">
        <v>141.16305220884001</v>
      </c>
      <c r="G266">
        <v>113.63694779117</v>
      </c>
      <c r="I266" s="9">
        <f t="shared" si="26"/>
        <v>216.93941876832</v>
      </c>
      <c r="J266" s="9">
        <f t="shared" si="27"/>
        <v>830.51620824131999</v>
      </c>
      <c r="K266" s="9">
        <f t="shared" si="31"/>
        <v>216.93941876832</v>
      </c>
      <c r="L266" s="10">
        <f t="shared" si="30"/>
        <v>0.26121033715609887</v>
      </c>
      <c r="M266" s="10">
        <f t="shared" si="28"/>
        <v>0.27272819690462946</v>
      </c>
      <c r="P266" s="8">
        <f t="shared" si="29"/>
        <v>5.3930398427435797</v>
      </c>
    </row>
    <row r="267" spans="1:16" x14ac:dyDescent="0.2">
      <c r="A267" s="8">
        <v>132.5</v>
      </c>
      <c r="B267" s="8">
        <v>265</v>
      </c>
      <c r="D267">
        <v>960.99035369775004</v>
      </c>
      <c r="E267">
        <v>322.6921221865</v>
      </c>
      <c r="F267">
        <v>141.29879518071999</v>
      </c>
      <c r="G267">
        <v>113.26827309236999</v>
      </c>
      <c r="I267" s="9">
        <f t="shared" si="26"/>
        <v>209.42384909412999</v>
      </c>
      <c r="J267" s="9">
        <f t="shared" si="27"/>
        <v>819.69155851702999</v>
      </c>
      <c r="K267" s="9">
        <f t="shared" si="31"/>
        <v>209.42384909412999</v>
      </c>
      <c r="L267" s="10">
        <f t="shared" si="30"/>
        <v>0.25549104040185011</v>
      </c>
      <c r="M267" s="10">
        <f t="shared" si="28"/>
        <v>0.26705252840700394</v>
      </c>
      <c r="P267" s="8">
        <f t="shared" si="29"/>
        <v>3.1997354360355801</v>
      </c>
    </row>
    <row r="268" spans="1:16" x14ac:dyDescent="0.2">
      <c r="A268" s="8">
        <v>133</v>
      </c>
      <c r="B268" s="8">
        <v>266</v>
      </c>
      <c r="D268">
        <v>961.77893890675</v>
      </c>
      <c r="E268">
        <v>317.37218649518002</v>
      </c>
      <c r="F268">
        <v>140.6</v>
      </c>
      <c r="G268">
        <v>112.98232931727</v>
      </c>
      <c r="I268" s="9">
        <f t="shared" si="26"/>
        <v>204.38985717791002</v>
      </c>
      <c r="J268" s="9">
        <f t="shared" si="27"/>
        <v>821.17893890674998</v>
      </c>
      <c r="K268" s="9">
        <f t="shared" si="31"/>
        <v>204.38985717791002</v>
      </c>
      <c r="L268" s="10">
        <f t="shared" si="30"/>
        <v>0.24889807506512265</v>
      </c>
      <c r="M268" s="10">
        <f t="shared" si="28"/>
        <v>0.2605031913268997</v>
      </c>
      <c r="P268" s="8">
        <f t="shared" si="29"/>
        <v>0.6688106850889064</v>
      </c>
    </row>
    <row r="269" spans="1:16" x14ac:dyDescent="0.2">
      <c r="A269" s="8">
        <v>133.5</v>
      </c>
      <c r="B269" s="8">
        <v>267</v>
      </c>
      <c r="D269">
        <v>969.88585209002997</v>
      </c>
      <c r="E269">
        <v>315.81189710611</v>
      </c>
      <c r="F269">
        <v>141.67951807228999</v>
      </c>
      <c r="G269">
        <v>113.33574297189</v>
      </c>
      <c r="I269" s="9">
        <f t="shared" si="26"/>
        <v>202.47615413422</v>
      </c>
      <c r="J269" s="9">
        <f t="shared" si="27"/>
        <v>828.20633401774001</v>
      </c>
      <c r="K269" s="9">
        <f t="shared" si="31"/>
        <v>202.47615413422</v>
      </c>
      <c r="L269" s="10">
        <f t="shared" si="30"/>
        <v>0.24447549580064307</v>
      </c>
      <c r="M269" s="10">
        <f t="shared" si="28"/>
        <v>0.25612424031904335</v>
      </c>
      <c r="P269" s="8">
        <f t="shared" si="29"/>
        <v>-1.0233904267815035</v>
      </c>
    </row>
    <row r="270" spans="1:16" x14ac:dyDescent="0.2">
      <c r="A270" s="8">
        <v>134</v>
      </c>
      <c r="B270" s="8">
        <v>268</v>
      </c>
      <c r="D270">
        <v>970.49196141479001</v>
      </c>
      <c r="E270">
        <v>314.29340836013</v>
      </c>
      <c r="F270">
        <v>140.84738955822999</v>
      </c>
      <c r="G270">
        <v>113.43293172691</v>
      </c>
      <c r="I270" s="9">
        <f t="shared" si="26"/>
        <v>200.86047663322</v>
      </c>
      <c r="J270" s="9">
        <f t="shared" si="27"/>
        <v>829.64457185655999</v>
      </c>
      <c r="K270" s="9">
        <f t="shared" si="31"/>
        <v>200.86047663322</v>
      </c>
      <c r="L270" s="10">
        <f t="shared" si="30"/>
        <v>0.24210424975569833</v>
      </c>
      <c r="M270" s="10">
        <f t="shared" si="28"/>
        <v>0.25379662253072183</v>
      </c>
      <c r="P270" s="8">
        <f t="shared" si="29"/>
        <v>-1.9228746645225441</v>
      </c>
    </row>
    <row r="271" spans="1:16" x14ac:dyDescent="0.2">
      <c r="A271" s="8">
        <v>134.5</v>
      </c>
      <c r="B271" s="8">
        <v>269</v>
      </c>
      <c r="D271">
        <v>971.12138263665997</v>
      </c>
      <c r="E271">
        <v>310.34324758842001</v>
      </c>
      <c r="F271">
        <v>141.14618473895999</v>
      </c>
      <c r="G271">
        <v>113.09076305220999</v>
      </c>
      <c r="I271" s="9">
        <f t="shared" si="26"/>
        <v>197.25248453621003</v>
      </c>
      <c r="J271" s="9">
        <f t="shared" si="27"/>
        <v>829.97519789770001</v>
      </c>
      <c r="K271" s="9">
        <f t="shared" si="31"/>
        <v>197.25248453621003</v>
      </c>
      <c r="L271" s="10">
        <f t="shared" si="30"/>
        <v>0.23766069761583733</v>
      </c>
      <c r="M271" s="10">
        <f t="shared" si="28"/>
        <v>0.24939669864748407</v>
      </c>
      <c r="P271" s="8">
        <f t="shared" si="29"/>
        <v>-3.6231805309279728</v>
      </c>
    </row>
    <row r="272" spans="1:16" x14ac:dyDescent="0.2">
      <c r="A272" s="8">
        <v>135</v>
      </c>
      <c r="B272" s="8">
        <v>270</v>
      </c>
      <c r="D272">
        <v>975.33360128617005</v>
      </c>
      <c r="E272">
        <v>309.80305466238002</v>
      </c>
      <c r="F272">
        <v>141.21606425703001</v>
      </c>
      <c r="G272">
        <v>113.36626506024</v>
      </c>
      <c r="I272" s="9">
        <f t="shared" si="26"/>
        <v>196.43678960214004</v>
      </c>
      <c r="J272" s="9">
        <f t="shared" si="27"/>
        <v>834.11753702914007</v>
      </c>
      <c r="K272" s="9">
        <f t="shared" si="31"/>
        <v>196.43678960214004</v>
      </c>
      <c r="L272" s="10">
        <f t="shared" si="30"/>
        <v>0.23550252917806411</v>
      </c>
      <c r="M272" s="10">
        <f t="shared" si="28"/>
        <v>0.24728215846633406</v>
      </c>
      <c r="P272" s="8">
        <f t="shared" si="29"/>
        <v>-4.4403230929746709</v>
      </c>
    </row>
    <row r="273" spans="1:16" x14ac:dyDescent="0.2">
      <c r="A273" s="8">
        <v>135.5</v>
      </c>
      <c r="B273" s="8">
        <v>271</v>
      </c>
      <c r="D273">
        <v>979.59244372989997</v>
      </c>
      <c r="E273">
        <v>312.51125401928999</v>
      </c>
      <c r="F273">
        <v>141.35261044177</v>
      </c>
      <c r="G273">
        <v>113.32771084337</v>
      </c>
      <c r="I273" s="9">
        <f t="shared" si="26"/>
        <v>199.18354317591999</v>
      </c>
      <c r="J273" s="9">
        <f t="shared" si="27"/>
        <v>838.23983328812994</v>
      </c>
      <c r="K273" s="9">
        <f t="shared" si="31"/>
        <v>199.18354317591999</v>
      </c>
      <c r="L273" s="10">
        <f t="shared" si="30"/>
        <v>0.23762118580620376</v>
      </c>
      <c r="M273" s="10">
        <f t="shared" si="28"/>
        <v>0.24944444335109692</v>
      </c>
      <c r="P273" s="8">
        <f t="shared" si="29"/>
        <v>-3.6047300754662337</v>
      </c>
    </row>
    <row r="274" spans="1:16" x14ac:dyDescent="0.2">
      <c r="A274" s="8">
        <v>136</v>
      </c>
      <c r="B274" s="8">
        <v>272</v>
      </c>
      <c r="D274">
        <v>970.31993569131998</v>
      </c>
      <c r="E274">
        <v>307.76045016077001</v>
      </c>
      <c r="F274">
        <v>140.75341365462</v>
      </c>
      <c r="G274">
        <v>113.00240963855001</v>
      </c>
      <c r="I274" s="9">
        <f t="shared" si="26"/>
        <v>194.75804052222</v>
      </c>
      <c r="J274" s="9">
        <f t="shared" si="27"/>
        <v>829.56652203670001</v>
      </c>
      <c r="K274" s="9">
        <f t="shared" si="31"/>
        <v>194.75804052222</v>
      </c>
      <c r="L274" s="10">
        <f t="shared" si="30"/>
        <v>0.23477085363095682</v>
      </c>
      <c r="M274" s="10">
        <f t="shared" si="28"/>
        <v>0.24663773943247322</v>
      </c>
      <c r="P274" s="8">
        <f t="shared" si="29"/>
        <v>-4.689352279109273</v>
      </c>
    </row>
    <row r="275" spans="1:16" x14ac:dyDescent="0.2">
      <c r="A275" s="8">
        <v>136.5</v>
      </c>
      <c r="B275" s="8">
        <v>273</v>
      </c>
      <c r="D275">
        <v>970.58520900322003</v>
      </c>
      <c r="E275">
        <v>325.69131832797001</v>
      </c>
      <c r="F275">
        <v>140.83293172691</v>
      </c>
      <c r="G275">
        <v>113.09718875502</v>
      </c>
      <c r="I275" s="9">
        <f>E275-G275</f>
        <v>212.59412957295001</v>
      </c>
      <c r="J275" s="9">
        <f>D275-F275</f>
        <v>829.75227727631</v>
      </c>
      <c r="K275" s="9">
        <f t="shared" si="31"/>
        <v>212.59412957295001</v>
      </c>
      <c r="L275" s="10">
        <f t="shared" si="30"/>
        <v>0.25621397541781682</v>
      </c>
      <c r="M275" s="10">
        <f>L275+ABS($N$2)*A275</f>
        <v>0.26812448947595646</v>
      </c>
      <c r="O275" s="11"/>
      <c r="P275" s="8">
        <f>(M275-$O$2)/$O$2*100</f>
        <v>3.6139838963423445</v>
      </c>
    </row>
    <row r="276" spans="1:16" x14ac:dyDescent="0.2">
      <c r="A276" s="8">
        <v>137</v>
      </c>
      <c r="B276" s="8">
        <v>274</v>
      </c>
      <c r="D276">
        <v>965.84163987138004</v>
      </c>
      <c r="E276">
        <v>324.14147909968</v>
      </c>
      <c r="F276">
        <v>140.72369477912</v>
      </c>
      <c r="G276">
        <v>113.40401606426001</v>
      </c>
      <c r="I276" s="9">
        <f t="shared" ref="I276:I291" si="32">E276-G276</f>
        <v>210.73746303541998</v>
      </c>
      <c r="J276" s="9">
        <f t="shared" ref="J276:J291" si="33">D276-F276</f>
        <v>825.11794509226002</v>
      </c>
      <c r="K276" s="9">
        <f t="shared" si="31"/>
        <v>210.73746303541998</v>
      </c>
      <c r="L276" s="10">
        <f t="shared" si="30"/>
        <v>0.2554028357871389</v>
      </c>
      <c r="M276" s="10">
        <f t="shared" ref="M276:M291" si="34">L276+ABS($N$2)*A276</f>
        <v>0.26735697810190173</v>
      </c>
      <c r="P276" s="8">
        <f t="shared" ref="P276:P291" si="35">(M276-$O$2)/$O$2*100</f>
        <v>3.3173869263788918</v>
      </c>
    </row>
    <row r="277" spans="1:16" x14ac:dyDescent="0.2">
      <c r="A277" s="8">
        <v>137.5</v>
      </c>
      <c r="B277" s="8">
        <v>275</v>
      </c>
      <c r="D277">
        <v>964.25</v>
      </c>
      <c r="E277">
        <v>332.36495176849002</v>
      </c>
      <c r="F277">
        <v>141.25140562249001</v>
      </c>
      <c r="G277">
        <v>113.04738955822999</v>
      </c>
      <c r="I277" s="9">
        <f t="shared" si="32"/>
        <v>219.31756221026001</v>
      </c>
      <c r="J277" s="9">
        <f t="shared" si="33"/>
        <v>822.99859437751002</v>
      </c>
      <c r="K277" s="9">
        <f t="shared" si="31"/>
        <v>219.31756221026001</v>
      </c>
      <c r="L277" s="10">
        <f t="shared" si="30"/>
        <v>0.26648594992576485</v>
      </c>
      <c r="M277" s="10">
        <f t="shared" si="34"/>
        <v>0.27848372049715092</v>
      </c>
      <c r="N277" s="1"/>
      <c r="P277" s="8">
        <f t="shared" si="35"/>
        <v>7.6172034392732941</v>
      </c>
    </row>
    <row r="278" spans="1:16" x14ac:dyDescent="0.2">
      <c r="A278" s="8">
        <v>138</v>
      </c>
      <c r="B278" s="8">
        <v>276</v>
      </c>
      <c r="D278">
        <v>985.04099678456998</v>
      </c>
      <c r="E278">
        <v>333.08922829582002</v>
      </c>
      <c r="F278">
        <v>140.86506024095999</v>
      </c>
      <c r="G278">
        <v>112.83694779117</v>
      </c>
      <c r="I278" s="9">
        <f t="shared" si="32"/>
        <v>220.25228050465</v>
      </c>
      <c r="J278" s="9">
        <f t="shared" si="33"/>
        <v>844.17593654360996</v>
      </c>
      <c r="K278" s="9">
        <f t="shared" si="31"/>
        <v>220.25228050465</v>
      </c>
      <c r="L278" s="10">
        <f t="shared" si="30"/>
        <v>0.26090802991429718</v>
      </c>
      <c r="M278" s="10">
        <f t="shared" si="34"/>
        <v>0.27294942874230643</v>
      </c>
      <c r="P278" s="8">
        <f t="shared" si="35"/>
        <v>5.4785326379418926</v>
      </c>
    </row>
    <row r="279" spans="1:16" x14ac:dyDescent="0.2">
      <c r="A279" s="8">
        <v>138.5</v>
      </c>
      <c r="B279" s="8">
        <v>277</v>
      </c>
      <c r="D279">
        <v>976.26366559485996</v>
      </c>
      <c r="E279">
        <v>322.23070739550002</v>
      </c>
      <c r="F279">
        <v>140.91566265060001</v>
      </c>
      <c r="G279">
        <v>113.24176706826999</v>
      </c>
      <c r="I279" s="9">
        <f t="shared" si="32"/>
        <v>208.98894032723001</v>
      </c>
      <c r="J279" s="9">
        <f t="shared" si="33"/>
        <v>835.34800294425997</v>
      </c>
      <c r="K279" s="9">
        <f t="shared" si="31"/>
        <v>208.98894032723001</v>
      </c>
      <c r="L279" s="10">
        <f t="shared" si="30"/>
        <v>0.25018188777686606</v>
      </c>
      <c r="M279" s="10">
        <f t="shared" si="34"/>
        <v>0.26226691486149856</v>
      </c>
      <c r="P279" s="8">
        <f t="shared" si="35"/>
        <v>1.3503837195726278</v>
      </c>
    </row>
    <row r="280" spans="1:16" x14ac:dyDescent="0.2">
      <c r="A280" s="8">
        <v>139</v>
      </c>
      <c r="B280" s="8">
        <v>278</v>
      </c>
      <c r="D280">
        <v>983.63665594855001</v>
      </c>
      <c r="E280">
        <v>320.49196141479001</v>
      </c>
      <c r="F280">
        <v>140.16224899598001</v>
      </c>
      <c r="G280">
        <v>113.15261044176999</v>
      </c>
      <c r="I280" s="9">
        <f t="shared" si="32"/>
        <v>207.33935097302003</v>
      </c>
      <c r="J280" s="9">
        <f t="shared" si="33"/>
        <v>843.47440695257001</v>
      </c>
      <c r="K280" s="9">
        <f t="shared" si="31"/>
        <v>207.33935097302003</v>
      </c>
      <c r="L280" s="10">
        <f t="shared" si="30"/>
        <v>0.24581581760391111</v>
      </c>
      <c r="M280" s="10">
        <f t="shared" si="34"/>
        <v>0.25794447294516681</v>
      </c>
      <c r="P280" s="8">
        <f t="shared" si="35"/>
        <v>-0.31998002820369675</v>
      </c>
    </row>
    <row r="281" spans="1:16" x14ac:dyDescent="0.2">
      <c r="A281" s="8">
        <v>139.5</v>
      </c>
      <c r="B281" s="8">
        <v>279</v>
      </c>
      <c r="D281">
        <v>980.20337620579005</v>
      </c>
      <c r="E281">
        <v>313.74517684888002</v>
      </c>
      <c r="F281">
        <v>140.83052208834999</v>
      </c>
      <c r="G281">
        <v>112.93574297188999</v>
      </c>
      <c r="I281" s="9">
        <f t="shared" si="32"/>
        <v>200.80943387699003</v>
      </c>
      <c r="J281" s="9">
        <f t="shared" si="33"/>
        <v>839.37285411744006</v>
      </c>
      <c r="K281" s="9">
        <f t="shared" si="31"/>
        <v>200.80943387699003</v>
      </c>
      <c r="L281" s="10">
        <f t="shared" si="30"/>
        <v>0.23923746508115445</v>
      </c>
      <c r="M281" s="10">
        <f t="shared" si="34"/>
        <v>0.25140974867903343</v>
      </c>
      <c r="P281" s="8">
        <f t="shared" si="35"/>
        <v>-2.8452578057074884</v>
      </c>
    </row>
    <row r="282" spans="1:16" x14ac:dyDescent="0.2">
      <c r="A282" s="8">
        <v>140</v>
      </c>
      <c r="B282" s="8">
        <v>280</v>
      </c>
      <c r="D282">
        <v>976.85289389067998</v>
      </c>
      <c r="E282">
        <v>309.85128617363</v>
      </c>
      <c r="F282">
        <v>140.63855421687001</v>
      </c>
      <c r="G282">
        <v>112.83855421686999</v>
      </c>
      <c r="I282" s="9">
        <f t="shared" si="32"/>
        <v>197.01273195676001</v>
      </c>
      <c r="J282" s="9">
        <f t="shared" si="33"/>
        <v>836.21433967380995</v>
      </c>
      <c r="K282" s="9">
        <f t="shared" si="31"/>
        <v>197.01273195676001</v>
      </c>
      <c r="L282" s="10">
        <f t="shared" si="30"/>
        <v>0.23560075761629565</v>
      </c>
      <c r="M282" s="10">
        <f t="shared" si="34"/>
        <v>0.24781666947079781</v>
      </c>
      <c r="P282" s="8">
        <f t="shared" si="35"/>
        <v>-4.2337667477591729</v>
      </c>
    </row>
    <row r="283" spans="1:16" x14ac:dyDescent="0.2">
      <c r="A283" s="8">
        <v>140.5</v>
      </c>
      <c r="B283" s="8">
        <v>281</v>
      </c>
      <c r="D283">
        <v>976.24919614147996</v>
      </c>
      <c r="E283">
        <v>328.35771704180002</v>
      </c>
      <c r="F283">
        <v>141.11646586345</v>
      </c>
      <c r="G283">
        <v>113.10441767067999</v>
      </c>
      <c r="I283" s="9">
        <f t="shared" si="32"/>
        <v>215.25329937112002</v>
      </c>
      <c r="J283" s="9">
        <f t="shared" si="33"/>
        <v>835.13273027802995</v>
      </c>
      <c r="K283" s="9">
        <f t="shared" si="31"/>
        <v>215.25329937112002</v>
      </c>
      <c r="L283" s="10">
        <f t="shared" si="30"/>
        <v>0.25774741135993856</v>
      </c>
      <c r="M283" s="10">
        <f t="shared" si="34"/>
        <v>0.27000695147106396</v>
      </c>
      <c r="P283" s="8">
        <f t="shared" si="35"/>
        <v>4.341442202100855</v>
      </c>
    </row>
    <row r="284" spans="1:16" x14ac:dyDescent="0.2">
      <c r="A284" s="8">
        <v>141</v>
      </c>
      <c r="B284" s="8">
        <v>282</v>
      </c>
      <c r="D284">
        <v>974.62620578778001</v>
      </c>
      <c r="E284">
        <v>325.68327974277003</v>
      </c>
      <c r="F284">
        <v>140.13413654619001</v>
      </c>
      <c r="G284">
        <v>113.13253012048</v>
      </c>
      <c r="I284" s="9">
        <f t="shared" si="32"/>
        <v>212.55074962229003</v>
      </c>
      <c r="J284" s="9">
        <f t="shared" si="33"/>
        <v>834.49206924159</v>
      </c>
      <c r="K284" s="9">
        <f t="shared" si="31"/>
        <v>212.55074962229003</v>
      </c>
      <c r="L284" s="10">
        <f t="shared" si="30"/>
        <v>0.25470673414004064</v>
      </c>
      <c r="M284" s="10">
        <f t="shared" si="34"/>
        <v>0.26700990250778922</v>
      </c>
      <c r="P284" s="8">
        <f t="shared" si="35"/>
        <v>3.1832630905089419</v>
      </c>
    </row>
    <row r="285" spans="1:16" x14ac:dyDescent="0.2">
      <c r="A285" s="8">
        <v>141.5</v>
      </c>
      <c r="B285" s="8">
        <v>283</v>
      </c>
      <c r="D285">
        <v>986.23954983922999</v>
      </c>
      <c r="E285">
        <v>318.74115755627002</v>
      </c>
      <c r="F285">
        <v>140.78955823293001</v>
      </c>
      <c r="G285">
        <v>113.55261044177</v>
      </c>
      <c r="I285" s="9">
        <f t="shared" si="32"/>
        <v>205.18854711450001</v>
      </c>
      <c r="J285" s="9">
        <f t="shared" si="33"/>
        <v>845.44999160630005</v>
      </c>
      <c r="K285" s="9">
        <f t="shared" si="31"/>
        <v>205.18854711450001</v>
      </c>
      <c r="L285" s="10">
        <f t="shared" si="30"/>
        <v>0.24269743823008988</v>
      </c>
      <c r="M285" s="10">
        <f t="shared" si="34"/>
        <v>0.2550442348544617</v>
      </c>
      <c r="P285" s="8">
        <f t="shared" si="35"/>
        <v>-1.4407475620205774</v>
      </c>
    </row>
    <row r="286" spans="1:16" x14ac:dyDescent="0.2">
      <c r="A286" s="8">
        <v>142</v>
      </c>
      <c r="B286" s="8">
        <v>284</v>
      </c>
      <c r="D286">
        <v>979.18247588424003</v>
      </c>
      <c r="E286">
        <v>311.03778135047997</v>
      </c>
      <c r="F286">
        <v>140.21204819277</v>
      </c>
      <c r="G286">
        <v>113.14698795181</v>
      </c>
      <c r="I286" s="9">
        <f t="shared" si="32"/>
        <v>197.89079339866998</v>
      </c>
      <c r="J286" s="9">
        <f t="shared" si="33"/>
        <v>838.97042769147004</v>
      </c>
      <c r="K286" s="9">
        <f t="shared" si="31"/>
        <v>197.89079339866998</v>
      </c>
      <c r="L286" s="10">
        <f t="shared" si="30"/>
        <v>0.23587338345547024</v>
      </c>
      <c r="M286" s="10">
        <f t="shared" si="34"/>
        <v>0.2482638083364653</v>
      </c>
      <c r="P286" s="8">
        <f t="shared" si="35"/>
        <v>-4.0609744775817962</v>
      </c>
    </row>
    <row r="287" spans="1:16" x14ac:dyDescent="0.2">
      <c r="A287" s="8">
        <v>142.5</v>
      </c>
      <c r="B287" s="8">
        <v>285</v>
      </c>
      <c r="D287">
        <v>976.11575562701</v>
      </c>
      <c r="E287">
        <v>341.91559485531002</v>
      </c>
      <c r="F287">
        <v>140.31566265059999</v>
      </c>
      <c r="G287">
        <v>113.14698795181</v>
      </c>
      <c r="I287" s="9">
        <f t="shared" si="32"/>
        <v>228.76860690350003</v>
      </c>
      <c r="J287" s="9">
        <f t="shared" si="33"/>
        <v>835.80009297641004</v>
      </c>
      <c r="K287" s="9">
        <f t="shared" si="31"/>
        <v>228.76860690350003</v>
      </c>
      <c r="L287" s="10">
        <f t="shared" si="30"/>
        <v>0.2737121099003717</v>
      </c>
      <c r="M287" s="10">
        <f t="shared" si="34"/>
        <v>0.28614616303799001</v>
      </c>
      <c r="P287" s="8">
        <f t="shared" si="35"/>
        <v>10.5782764825633</v>
      </c>
    </row>
    <row r="288" spans="1:16" x14ac:dyDescent="0.2">
      <c r="A288" s="8">
        <v>143</v>
      </c>
      <c r="B288" s="8">
        <v>286</v>
      </c>
      <c r="D288">
        <v>981.03039999999999</v>
      </c>
      <c r="E288">
        <v>356.92880000000002</v>
      </c>
      <c r="F288">
        <v>140.46104417671</v>
      </c>
      <c r="G288">
        <v>113.12449799197</v>
      </c>
      <c r="I288" s="9">
        <f t="shared" si="32"/>
        <v>243.80430200803002</v>
      </c>
      <c r="J288" s="9">
        <f t="shared" si="33"/>
        <v>840.56935582328992</v>
      </c>
      <c r="K288" s="9">
        <f t="shared" si="31"/>
        <v>243.80430200803002</v>
      </c>
      <c r="L288" s="10">
        <f t="shared" si="30"/>
        <v>0.29004662175584256</v>
      </c>
      <c r="M288" s="10">
        <f t="shared" si="34"/>
        <v>0.30252430315008405</v>
      </c>
      <c r="P288" s="8">
        <f t="shared" si="35"/>
        <v>16.907442270974904</v>
      </c>
    </row>
    <row r="289" spans="1:16" x14ac:dyDescent="0.2">
      <c r="A289" s="8">
        <v>143.5</v>
      </c>
      <c r="B289" s="8">
        <v>287</v>
      </c>
      <c r="D289">
        <v>975.45360000000005</v>
      </c>
      <c r="E289">
        <v>352.25599999999997</v>
      </c>
      <c r="F289">
        <v>140.06425702811001</v>
      </c>
      <c r="G289">
        <v>113.1686746988</v>
      </c>
      <c r="I289" s="9">
        <f t="shared" si="32"/>
        <v>239.08732530119997</v>
      </c>
      <c r="J289" s="9">
        <f t="shared" si="33"/>
        <v>835.38934297189007</v>
      </c>
      <c r="K289" s="9">
        <f t="shared" si="31"/>
        <v>239.08732530119997</v>
      </c>
      <c r="L289" s="10">
        <f t="shared" si="30"/>
        <v>0.28619867767363294</v>
      </c>
      <c r="M289" s="10">
        <f t="shared" si="34"/>
        <v>0.29871998732449767</v>
      </c>
      <c r="P289" s="8">
        <f t="shared" si="35"/>
        <v>15.437303085034356</v>
      </c>
    </row>
    <row r="290" spans="1:16" x14ac:dyDescent="0.2">
      <c r="A290" s="8">
        <v>144</v>
      </c>
      <c r="B290" s="8">
        <v>288</v>
      </c>
      <c r="D290">
        <v>971.6712</v>
      </c>
      <c r="E290">
        <v>347.94159999999999</v>
      </c>
      <c r="F290">
        <v>140.47791164659</v>
      </c>
      <c r="G290">
        <v>113.31164658634999</v>
      </c>
      <c r="I290" s="9">
        <f t="shared" si="32"/>
        <v>234.62995341365001</v>
      </c>
      <c r="J290" s="9">
        <f t="shared" si="33"/>
        <v>831.19328835341003</v>
      </c>
      <c r="K290" s="9">
        <f t="shared" si="31"/>
        <v>234.62995341365001</v>
      </c>
      <c r="L290" s="10">
        <f t="shared" si="30"/>
        <v>0.28228085657242352</v>
      </c>
      <c r="M290" s="10">
        <f t="shared" si="34"/>
        <v>0.29484579447991144</v>
      </c>
      <c r="P290" s="8">
        <f t="shared" si="35"/>
        <v>13.940160635290768</v>
      </c>
    </row>
    <row r="291" spans="1:16" x14ac:dyDescent="0.2">
      <c r="A291" s="8">
        <v>144.5</v>
      </c>
      <c r="B291" s="8">
        <v>289</v>
      </c>
      <c r="D291">
        <v>966.27679999999998</v>
      </c>
      <c r="E291">
        <v>342.072</v>
      </c>
      <c r="F291">
        <v>140.61285140562001</v>
      </c>
      <c r="G291">
        <v>113.25702811245</v>
      </c>
      <c r="I291" s="9">
        <f t="shared" si="32"/>
        <v>228.81497188755</v>
      </c>
      <c r="J291" s="9">
        <f t="shared" si="33"/>
        <v>825.66394859437992</v>
      </c>
      <c r="K291" s="9">
        <f t="shared" si="31"/>
        <v>228.81497188755</v>
      </c>
      <c r="L291" s="10">
        <f t="shared" si="30"/>
        <v>0.27712845192900493</v>
      </c>
      <c r="M291" s="10">
        <f t="shared" si="34"/>
        <v>0.28973701809311608</v>
      </c>
      <c r="P291" s="8">
        <f t="shared" si="35"/>
        <v>11.965925923250802</v>
      </c>
    </row>
    <row r="292" spans="1:16" x14ac:dyDescent="0.2">
      <c r="A292" s="8">
        <v>145</v>
      </c>
      <c r="B292" s="8">
        <v>290</v>
      </c>
      <c r="D292">
        <v>970.74159999999995</v>
      </c>
      <c r="E292">
        <v>336.41840000000002</v>
      </c>
      <c r="F292">
        <v>140.34939759036001</v>
      </c>
      <c r="G292">
        <v>113.04096385542</v>
      </c>
      <c r="I292" s="9">
        <f>E292-G292</f>
        <v>223.37743614458003</v>
      </c>
      <c r="J292" s="9">
        <f>D292-F292</f>
        <v>830.39220240963994</v>
      </c>
      <c r="K292" s="9">
        <f t="shared" si="31"/>
        <v>223.37743614458003</v>
      </c>
      <c r="L292" s="10">
        <f t="shared" si="30"/>
        <v>0.26900232865431695</v>
      </c>
      <c r="M292" s="10">
        <f>L292+ABS($N$2)*A292</f>
        <v>0.28165452307505134</v>
      </c>
      <c r="O292" s="11"/>
      <c r="P292" s="8">
        <f>(M292-$O$2)/$O$2*100</f>
        <v>8.8425278693064442</v>
      </c>
    </row>
    <row r="293" spans="1:16" x14ac:dyDescent="0.2">
      <c r="A293" s="8">
        <v>145.5</v>
      </c>
      <c r="B293" s="8">
        <v>291</v>
      </c>
      <c r="D293">
        <v>974.36239999999998</v>
      </c>
      <c r="E293">
        <v>325.7448</v>
      </c>
      <c r="F293">
        <v>140.60722891565999</v>
      </c>
      <c r="G293">
        <v>113.03935742972</v>
      </c>
      <c r="I293" s="9">
        <f t="shared" ref="I293:I301" si="36">E293-G293</f>
        <v>212.70544257028001</v>
      </c>
      <c r="J293" s="9">
        <f t="shared" ref="J293:J301" si="37">D293-F293</f>
        <v>833.75517108433996</v>
      </c>
      <c r="K293" s="9">
        <f t="shared" si="31"/>
        <v>212.70544257028001</v>
      </c>
      <c r="L293" s="10">
        <f t="shared" si="30"/>
        <v>0.25511738930943723</v>
      </c>
      <c r="M293" s="10">
        <f t="shared" ref="M293:M301" si="38">L293+ABS($N$2)*A293</f>
        <v>0.26781321198679486</v>
      </c>
      <c r="P293" s="8">
        <f t="shared" ref="P293:P301" si="39">(M293-$O$2)/$O$2*100</f>
        <v>3.4936938742995207</v>
      </c>
    </row>
    <row r="294" spans="1:16" x14ac:dyDescent="0.2">
      <c r="A294" s="8">
        <v>146</v>
      </c>
      <c r="B294" s="8">
        <v>292</v>
      </c>
      <c r="D294">
        <v>967.0616</v>
      </c>
      <c r="E294">
        <v>319.3888</v>
      </c>
      <c r="F294">
        <v>139.8827309237</v>
      </c>
      <c r="G294">
        <v>113.04257028112001</v>
      </c>
      <c r="I294" s="9">
        <f t="shared" si="36"/>
        <v>206.34622971888001</v>
      </c>
      <c r="J294" s="9">
        <f t="shared" si="37"/>
        <v>827.17886907629997</v>
      </c>
      <c r="K294" s="9">
        <f t="shared" si="31"/>
        <v>206.34622971888001</v>
      </c>
      <c r="L294" s="10">
        <f t="shared" si="30"/>
        <v>0.24945781067800268</v>
      </c>
      <c r="M294" s="10">
        <f t="shared" si="38"/>
        <v>0.26219726161198353</v>
      </c>
      <c r="N294" s="1"/>
      <c r="P294" s="8">
        <f t="shared" si="39"/>
        <v>1.3234669292127357</v>
      </c>
    </row>
    <row r="295" spans="1:16" x14ac:dyDescent="0.2">
      <c r="A295" s="8">
        <v>146.5</v>
      </c>
      <c r="B295" s="8">
        <v>293</v>
      </c>
      <c r="D295">
        <v>975.24159999999995</v>
      </c>
      <c r="E295">
        <v>323.85520000000002</v>
      </c>
      <c r="F295">
        <v>140.28514056225001</v>
      </c>
      <c r="G295">
        <v>113.08674698794999</v>
      </c>
      <c r="I295" s="9">
        <f t="shared" si="36"/>
        <v>210.76845301205003</v>
      </c>
      <c r="J295" s="9">
        <f t="shared" si="37"/>
        <v>834.95645943774991</v>
      </c>
      <c r="K295" s="9">
        <f t="shared" si="31"/>
        <v>210.76845301205003</v>
      </c>
      <c r="L295" s="10">
        <f t="shared" si="30"/>
        <v>0.25243047182841016</v>
      </c>
      <c r="M295" s="10">
        <f t="shared" si="38"/>
        <v>0.26521355101901423</v>
      </c>
      <c r="P295" s="8">
        <f t="shared" si="39"/>
        <v>2.4890813147454365</v>
      </c>
    </row>
    <row r="296" spans="1:16" x14ac:dyDescent="0.2">
      <c r="A296" s="8">
        <v>147</v>
      </c>
      <c r="B296" s="8">
        <v>294</v>
      </c>
      <c r="D296">
        <v>964.06240000000003</v>
      </c>
      <c r="E296">
        <v>333.05520000000001</v>
      </c>
      <c r="F296">
        <v>140.34457831325</v>
      </c>
      <c r="G296">
        <v>113.10200803213</v>
      </c>
      <c r="I296" s="9">
        <f t="shared" si="36"/>
        <v>219.95319196787</v>
      </c>
      <c r="J296" s="9">
        <f t="shared" si="37"/>
        <v>823.71782168675009</v>
      </c>
      <c r="K296" s="9">
        <f t="shared" si="31"/>
        <v>219.95319196787</v>
      </c>
      <c r="L296" s="10">
        <f t="shared" si="30"/>
        <v>0.26702492792673305</v>
      </c>
      <c r="M296" s="10">
        <f t="shared" si="38"/>
        <v>0.27985163537396035</v>
      </c>
      <c r="P296" s="8">
        <f t="shared" si="39"/>
        <v>8.1458202407236868</v>
      </c>
    </row>
    <row r="297" spans="1:16" x14ac:dyDescent="0.2">
      <c r="A297" s="8">
        <v>147.5</v>
      </c>
      <c r="B297" s="8">
        <v>295</v>
      </c>
      <c r="D297">
        <v>956.75519999999995</v>
      </c>
      <c r="E297">
        <v>334.9128</v>
      </c>
      <c r="F297">
        <v>140.65863453815001</v>
      </c>
      <c r="G297">
        <v>112.94297188755</v>
      </c>
      <c r="I297" s="9">
        <f t="shared" si="36"/>
        <v>221.96982811244999</v>
      </c>
      <c r="J297" s="9">
        <f t="shared" si="37"/>
        <v>816.09656546184988</v>
      </c>
      <c r="K297" s="9">
        <f t="shared" si="31"/>
        <v>221.96982811244999</v>
      </c>
      <c r="L297" s="10">
        <f t="shared" si="30"/>
        <v>0.27198966091326654</v>
      </c>
      <c r="M297" s="10">
        <f t="shared" si="38"/>
        <v>0.28485999661711703</v>
      </c>
      <c r="P297" s="8">
        <f t="shared" si="39"/>
        <v>10.081250541065707</v>
      </c>
    </row>
    <row r="298" spans="1:16" x14ac:dyDescent="0.2">
      <c r="A298" s="8">
        <v>148</v>
      </c>
      <c r="B298" s="8">
        <v>296</v>
      </c>
      <c r="D298">
        <v>939.34320000000002</v>
      </c>
      <c r="E298">
        <v>330.91919999999999</v>
      </c>
      <c r="F298">
        <v>140.51967871485999</v>
      </c>
      <c r="G298">
        <v>112.77590361446001</v>
      </c>
      <c r="I298" s="9">
        <f t="shared" si="36"/>
        <v>218.14329638554</v>
      </c>
      <c r="J298" s="9">
        <f t="shared" si="37"/>
        <v>798.82352128514003</v>
      </c>
      <c r="K298" s="9">
        <f t="shared" si="31"/>
        <v>218.14329638554</v>
      </c>
      <c r="L298" s="10">
        <f t="shared" si="30"/>
        <v>0.27308071253910132</v>
      </c>
      <c r="M298" s="10">
        <f t="shared" si="38"/>
        <v>0.28599467649957505</v>
      </c>
      <c r="P298" s="8">
        <f t="shared" si="39"/>
        <v>10.519736049414066</v>
      </c>
    </row>
    <row r="299" spans="1:16" x14ac:dyDescent="0.2">
      <c r="A299" s="8">
        <v>148.5</v>
      </c>
      <c r="B299" s="8">
        <v>297</v>
      </c>
      <c r="D299">
        <v>944.62159999999994</v>
      </c>
      <c r="E299">
        <v>342.50319999999999</v>
      </c>
      <c r="F299">
        <v>139.87228915662999</v>
      </c>
      <c r="G299">
        <v>113.14859437750999</v>
      </c>
      <c r="I299" s="9">
        <f t="shared" si="36"/>
        <v>229.35460562249</v>
      </c>
      <c r="J299" s="9">
        <f t="shared" si="37"/>
        <v>804.74931084336993</v>
      </c>
      <c r="K299" s="9">
        <f t="shared" si="31"/>
        <v>229.35460562249</v>
      </c>
      <c r="L299" s="10">
        <f t="shared" si="30"/>
        <v>0.28500130727931716</v>
      </c>
      <c r="M299" s="10">
        <f t="shared" si="38"/>
        <v>0.29795889949641413</v>
      </c>
      <c r="P299" s="8">
        <f t="shared" si="39"/>
        <v>15.143188429126278</v>
      </c>
    </row>
    <row r="300" spans="1:16" x14ac:dyDescent="0.2">
      <c r="A300" s="8">
        <v>149</v>
      </c>
      <c r="B300" s="8">
        <v>298</v>
      </c>
      <c r="D300">
        <v>966.15039999999999</v>
      </c>
      <c r="E300">
        <v>338.87119999999999</v>
      </c>
      <c r="F300">
        <v>140.06987951807</v>
      </c>
      <c r="G300">
        <v>112.99919678715</v>
      </c>
      <c r="I300" s="9">
        <f t="shared" si="36"/>
        <v>225.87200321284999</v>
      </c>
      <c r="J300" s="9">
        <f t="shared" si="37"/>
        <v>826.08052048192997</v>
      </c>
      <c r="K300" s="9">
        <f t="shared" si="31"/>
        <v>225.87200321284999</v>
      </c>
      <c r="L300" s="10">
        <f t="shared" si="30"/>
        <v>0.27342613415103623</v>
      </c>
      <c r="M300" s="10">
        <f t="shared" si="38"/>
        <v>0.28642735462475638</v>
      </c>
      <c r="P300" s="8">
        <f t="shared" si="39"/>
        <v>10.686940113401135</v>
      </c>
    </row>
    <row r="301" spans="1:16" x14ac:dyDescent="0.2">
      <c r="A301" s="8">
        <v>149.5</v>
      </c>
      <c r="B301" s="8">
        <v>299</v>
      </c>
      <c r="D301">
        <v>962.57039999999995</v>
      </c>
      <c r="E301">
        <v>336.81920000000002</v>
      </c>
      <c r="F301">
        <v>140.49799196787001</v>
      </c>
      <c r="G301">
        <v>113.03694779116999</v>
      </c>
      <c r="I301" s="9">
        <f t="shared" si="36"/>
        <v>223.78225220883002</v>
      </c>
      <c r="J301" s="9">
        <f t="shared" si="37"/>
        <v>822.07240803212994</v>
      </c>
      <c r="K301" s="9">
        <f t="shared" si="31"/>
        <v>223.78225220883002</v>
      </c>
      <c r="L301" s="10">
        <f t="shared" si="30"/>
        <v>0.27221720376738845</v>
      </c>
      <c r="M301" s="10">
        <f t="shared" si="38"/>
        <v>0.28526205249773184</v>
      </c>
      <c r="P301" s="8">
        <f t="shared" si="39"/>
        <v>10.236620949866762</v>
      </c>
    </row>
    <row r="302" spans="1:16" x14ac:dyDescent="0.2">
      <c r="A302" s="8">
        <v>150</v>
      </c>
      <c r="B302" s="8">
        <v>300</v>
      </c>
      <c r="D302">
        <v>991.81439999999998</v>
      </c>
      <c r="E302">
        <v>336.55439999999999</v>
      </c>
      <c r="F302">
        <v>139.76626506023999</v>
      </c>
      <c r="G302">
        <v>112.71887550200999</v>
      </c>
      <c r="I302" s="9">
        <f>E302-G302</f>
        <v>223.83552449798998</v>
      </c>
      <c r="J302" s="9">
        <f>D302-F302</f>
        <v>852.04813493975996</v>
      </c>
      <c r="K302" s="9">
        <f t="shared" si="31"/>
        <v>223.83552449798998</v>
      </c>
      <c r="L302" s="10">
        <f t="shared" si="30"/>
        <v>0.26270290998737439</v>
      </c>
      <c r="M302" s="10">
        <f>L302+ABS($N$2)*A302</f>
        <v>0.27579138697434102</v>
      </c>
      <c r="O302" s="11"/>
      <c r="P302" s="8">
        <f>(M302-$O$2)/$O$2*100</f>
        <v>6.5767785126981977</v>
      </c>
    </row>
    <row r="303" spans="1:16" x14ac:dyDescent="0.2">
      <c r="A303" s="8">
        <v>150.5</v>
      </c>
      <c r="B303" s="8">
        <v>301</v>
      </c>
      <c r="D303">
        <v>987.68240000000003</v>
      </c>
      <c r="E303">
        <v>338.41520000000003</v>
      </c>
      <c r="F303">
        <v>140.25943775100001</v>
      </c>
      <c r="G303">
        <v>113.18875502008</v>
      </c>
      <c r="I303" s="9">
        <f t="shared" ref="I303:I309" si="40">E303-G303</f>
        <v>225.22644497992002</v>
      </c>
      <c r="J303" s="9">
        <f t="shared" ref="J303:J309" si="41">D303-F303</f>
        <v>847.42296224899997</v>
      </c>
      <c r="K303" s="9">
        <f t="shared" si="31"/>
        <v>225.22644497992002</v>
      </c>
      <c r="L303" s="10">
        <f t="shared" si="30"/>
        <v>0.26577807660791386</v>
      </c>
      <c r="M303" s="10">
        <f t="shared" ref="M303:M309" si="42">L303+ABS($N$2)*A303</f>
        <v>0.27891018185150368</v>
      </c>
      <c r="P303" s="8">
        <f t="shared" ref="P303:P309" si="43">(M303-$O$2)/$O$2*100</f>
        <v>7.7820050953573112</v>
      </c>
    </row>
    <row r="304" spans="1:16" x14ac:dyDescent="0.2">
      <c r="A304" s="8">
        <v>151</v>
      </c>
      <c r="B304" s="8">
        <v>302</v>
      </c>
      <c r="D304">
        <v>987.82719999999995</v>
      </c>
      <c r="E304">
        <v>333.71679999999998</v>
      </c>
      <c r="F304">
        <v>139.94457831324999</v>
      </c>
      <c r="G304">
        <v>112.94618473896</v>
      </c>
      <c r="I304" s="9">
        <f t="shared" si="40"/>
        <v>220.77061526103998</v>
      </c>
      <c r="J304" s="9">
        <f t="shared" si="41"/>
        <v>847.88262168674999</v>
      </c>
      <c r="K304" s="9">
        <f t="shared" si="31"/>
        <v>220.77061526103998</v>
      </c>
      <c r="L304" s="10">
        <f t="shared" si="30"/>
        <v>0.26037874773497083</v>
      </c>
      <c r="M304" s="10">
        <f t="shared" si="42"/>
        <v>0.27355448123518389</v>
      </c>
      <c r="N304" s="1"/>
      <c r="P304" s="8">
        <f t="shared" si="43"/>
        <v>5.7123490244121342</v>
      </c>
    </row>
    <row r="305" spans="1:16" x14ac:dyDescent="0.2">
      <c r="A305" s="8">
        <v>151.5</v>
      </c>
      <c r="B305" s="8">
        <v>303</v>
      </c>
      <c r="D305">
        <v>999.41200000000003</v>
      </c>
      <c r="E305">
        <v>335.81360000000001</v>
      </c>
      <c r="F305">
        <v>140.16224899598001</v>
      </c>
      <c r="G305">
        <v>112.7124497992</v>
      </c>
      <c r="I305" s="9">
        <f t="shared" si="40"/>
        <v>223.10115020080002</v>
      </c>
      <c r="J305" s="9">
        <f t="shared" si="41"/>
        <v>859.24975100402003</v>
      </c>
      <c r="K305" s="9">
        <f t="shared" si="31"/>
        <v>223.10115020080002</v>
      </c>
      <c r="L305" s="10">
        <f t="shared" si="30"/>
        <v>0.259646453129733</v>
      </c>
      <c r="M305" s="10">
        <f t="shared" si="42"/>
        <v>0.2728658148865693</v>
      </c>
      <c r="P305" s="8">
        <f t="shared" si="43"/>
        <v>5.4462209131949626</v>
      </c>
    </row>
    <row r="306" spans="1:16" x14ac:dyDescent="0.2">
      <c r="A306" s="8">
        <v>152</v>
      </c>
      <c r="B306" s="8">
        <v>304</v>
      </c>
      <c r="D306">
        <v>996.13440000000003</v>
      </c>
      <c r="E306">
        <v>361.75040000000001</v>
      </c>
      <c r="F306">
        <v>139.76385542169001</v>
      </c>
      <c r="G306">
        <v>112.96064257028</v>
      </c>
      <c r="I306" s="9">
        <f t="shared" si="40"/>
        <v>248.78975742972</v>
      </c>
      <c r="J306" s="9">
        <f t="shared" si="41"/>
        <v>856.37054457831005</v>
      </c>
      <c r="K306" s="9">
        <f t="shared" si="31"/>
        <v>248.78975742972</v>
      </c>
      <c r="L306" s="10">
        <f t="shared" si="30"/>
        <v>0.29051648145164533</v>
      </c>
      <c r="M306" s="10">
        <f t="shared" si="42"/>
        <v>0.30377947146510481</v>
      </c>
      <c r="P306" s="8">
        <f t="shared" si="43"/>
        <v>17.392489309512658</v>
      </c>
    </row>
    <row r="307" spans="1:16" x14ac:dyDescent="0.2">
      <c r="A307" s="8">
        <v>152.5</v>
      </c>
      <c r="B307" s="8">
        <v>305</v>
      </c>
      <c r="D307">
        <v>984.19200000000001</v>
      </c>
      <c r="E307">
        <v>348.63040000000001</v>
      </c>
      <c r="F307">
        <v>139.87148594377999</v>
      </c>
      <c r="G307">
        <v>112.87068273092</v>
      </c>
      <c r="I307" s="9">
        <f t="shared" si="40"/>
        <v>235.75971726908</v>
      </c>
      <c r="J307" s="9">
        <f t="shared" si="41"/>
        <v>844.32051405621996</v>
      </c>
      <c r="K307" s="9">
        <f t="shared" si="31"/>
        <v>235.75971726908</v>
      </c>
      <c r="L307" s="10">
        <f t="shared" si="30"/>
        <v>0.27923011859141172</v>
      </c>
      <c r="M307" s="10">
        <f t="shared" si="42"/>
        <v>0.29253673686149445</v>
      </c>
      <c r="P307" s="8">
        <f t="shared" si="43"/>
        <v>13.047848786574544</v>
      </c>
    </row>
    <row r="308" spans="1:16" x14ac:dyDescent="0.2">
      <c r="A308" s="8">
        <v>153</v>
      </c>
      <c r="B308" s="8">
        <v>306</v>
      </c>
      <c r="D308">
        <v>994.68960000000004</v>
      </c>
      <c r="E308">
        <v>355.95600000000002</v>
      </c>
      <c r="F308">
        <v>140.04096385541999</v>
      </c>
      <c r="G308">
        <v>112.79759036145001</v>
      </c>
      <c r="I308" s="9">
        <f t="shared" si="40"/>
        <v>243.15840963855001</v>
      </c>
      <c r="J308" s="9">
        <f t="shared" si="41"/>
        <v>854.64863614458</v>
      </c>
      <c r="K308" s="9">
        <f t="shared" si="31"/>
        <v>243.15840963855001</v>
      </c>
      <c r="L308" s="10">
        <f t="shared" si="30"/>
        <v>0.28451272178408432</v>
      </c>
      <c r="M308" s="10">
        <f t="shared" si="42"/>
        <v>0.29786296831079029</v>
      </c>
      <c r="P308" s="8">
        <f t="shared" si="43"/>
        <v>15.106116797430818</v>
      </c>
    </row>
    <row r="309" spans="1:16" x14ac:dyDescent="0.2">
      <c r="A309" s="8">
        <v>153.5</v>
      </c>
      <c r="B309" s="8">
        <v>307</v>
      </c>
      <c r="D309">
        <v>995.65279999999996</v>
      </c>
      <c r="E309">
        <v>344.19200000000001</v>
      </c>
      <c r="F309">
        <v>139.81927710842999</v>
      </c>
      <c r="G309">
        <v>112.82088353413999</v>
      </c>
      <c r="I309" s="9">
        <f t="shared" si="40"/>
        <v>231.37111646586001</v>
      </c>
      <c r="J309" s="9">
        <f t="shared" si="41"/>
        <v>855.83352289156994</v>
      </c>
      <c r="K309" s="9">
        <f t="shared" si="31"/>
        <v>231.37111646586001</v>
      </c>
      <c r="L309" s="10">
        <f t="shared" si="30"/>
        <v>0.27034593793911676</v>
      </c>
      <c r="M309" s="10">
        <f t="shared" si="42"/>
        <v>0.28373981272244592</v>
      </c>
      <c r="P309" s="8">
        <f t="shared" si="43"/>
        <v>9.6483668598687942</v>
      </c>
    </row>
    <row r="310" spans="1:16" x14ac:dyDescent="0.2">
      <c r="A310" s="8">
        <v>154</v>
      </c>
      <c r="B310" s="8">
        <v>308</v>
      </c>
      <c r="D310">
        <v>989.30319999999995</v>
      </c>
      <c r="E310">
        <v>343.81920000000002</v>
      </c>
      <c r="F310">
        <v>140.24016064257</v>
      </c>
      <c r="G310">
        <v>112.6843373494</v>
      </c>
      <c r="I310" s="9">
        <f>E310-G310</f>
        <v>231.13486265060004</v>
      </c>
      <c r="J310" s="9">
        <f>D310-F310</f>
        <v>849.06303935742994</v>
      </c>
      <c r="K310" s="9">
        <f t="shared" si="31"/>
        <v>231.13486265060004</v>
      </c>
      <c r="L310" s="10">
        <f t="shared" si="30"/>
        <v>0.27222344153094058</v>
      </c>
      <c r="M310" s="10">
        <f>L310+ABS($N$2)*A310</f>
        <v>0.28566094457089297</v>
      </c>
      <c r="O310" s="11"/>
      <c r="P310" s="8">
        <f>(M310-$O$2)/$O$2*100</f>
        <v>10.390768737432438</v>
      </c>
    </row>
    <row r="311" spans="1:16" x14ac:dyDescent="0.2">
      <c r="A311" s="8">
        <v>154.5</v>
      </c>
      <c r="B311" s="8">
        <v>309</v>
      </c>
      <c r="D311">
        <v>987.4384</v>
      </c>
      <c r="E311">
        <v>344.96879999999999</v>
      </c>
      <c r="F311">
        <v>139.70602409639</v>
      </c>
      <c r="G311">
        <v>112.7686746988</v>
      </c>
      <c r="I311" s="9">
        <f t="shared" ref="I311:I319" si="44">E311-G311</f>
        <v>232.20012530119999</v>
      </c>
      <c r="J311" s="9">
        <f t="shared" ref="J311:J319" si="45">D311-F311</f>
        <v>847.73237590360998</v>
      </c>
      <c r="K311" s="9">
        <f t="shared" si="31"/>
        <v>232.20012530119999</v>
      </c>
      <c r="L311" s="10">
        <f t="shared" si="30"/>
        <v>0.27390734611698009</v>
      </c>
      <c r="M311" s="10">
        <f t="shared" ref="M311:M319" si="46">L311+ABS($N$2)*A311</f>
        <v>0.28738847741355572</v>
      </c>
      <c r="P311" s="8">
        <f t="shared" ref="P311:P319" si="47">(M311-$O$2)/$O$2*100</f>
        <v>11.058356246838631</v>
      </c>
    </row>
    <row r="312" spans="1:16" x14ac:dyDescent="0.2">
      <c r="A312" s="8">
        <v>155</v>
      </c>
      <c r="B312" s="8">
        <v>310</v>
      </c>
      <c r="D312">
        <v>989.19359999999995</v>
      </c>
      <c r="E312">
        <v>336.52800000000002</v>
      </c>
      <c r="F312">
        <v>139.50040160642999</v>
      </c>
      <c r="G312">
        <v>113.02008032129</v>
      </c>
      <c r="I312" s="9">
        <f t="shared" si="44"/>
        <v>223.50791967871004</v>
      </c>
      <c r="J312" s="9">
        <f t="shared" si="45"/>
        <v>849.6931983935699</v>
      </c>
      <c r="K312" s="9">
        <f t="shared" si="31"/>
        <v>223.50791967871004</v>
      </c>
      <c r="L312" s="10">
        <f t="shared" si="30"/>
        <v>0.26304543816671022</v>
      </c>
      <c r="M312" s="10">
        <f t="shared" si="46"/>
        <v>0.27657019771990904</v>
      </c>
      <c r="N312" s="1"/>
      <c r="P312" s="8">
        <f t="shared" si="47"/>
        <v>6.8777420099427085</v>
      </c>
    </row>
    <row r="313" spans="1:16" x14ac:dyDescent="0.2">
      <c r="A313" s="8">
        <v>155.5</v>
      </c>
      <c r="B313" s="8">
        <v>311</v>
      </c>
      <c r="D313">
        <v>992.79280000000006</v>
      </c>
      <c r="E313">
        <v>340.892</v>
      </c>
      <c r="F313">
        <v>139.54698795181</v>
      </c>
      <c r="G313">
        <v>113.14136546185</v>
      </c>
      <c r="I313" s="9">
        <f t="shared" si="44"/>
        <v>227.75063453815</v>
      </c>
      <c r="J313" s="9">
        <f t="shared" si="45"/>
        <v>853.24581204819003</v>
      </c>
      <c r="K313" s="9">
        <f t="shared" si="31"/>
        <v>227.75063453815</v>
      </c>
      <c r="L313" s="10">
        <f t="shared" si="30"/>
        <v>0.26692265150583239</v>
      </c>
      <c r="M313" s="10">
        <f t="shared" si="46"/>
        <v>0.28049103931565444</v>
      </c>
      <c r="P313" s="8">
        <f t="shared" si="47"/>
        <v>8.3929113954609367</v>
      </c>
    </row>
    <row r="314" spans="1:16" x14ac:dyDescent="0.2">
      <c r="A314" s="8">
        <v>156</v>
      </c>
      <c r="B314" s="8">
        <v>312</v>
      </c>
      <c r="D314">
        <v>988.96559999999999</v>
      </c>
      <c r="E314">
        <v>342.84160000000003</v>
      </c>
      <c r="F314">
        <v>139.61767068272999</v>
      </c>
      <c r="G314">
        <v>112.84819277107999</v>
      </c>
      <c r="I314" s="9">
        <f t="shared" si="44"/>
        <v>229.99340722892003</v>
      </c>
      <c r="J314" s="9">
        <f t="shared" si="45"/>
        <v>849.34792931726997</v>
      </c>
      <c r="K314" s="9">
        <f t="shared" si="31"/>
        <v>229.99340722892003</v>
      </c>
      <c r="L314" s="10">
        <f t="shared" si="30"/>
        <v>0.27078821209795056</v>
      </c>
      <c r="M314" s="10">
        <f t="shared" si="46"/>
        <v>0.28440022816439586</v>
      </c>
      <c r="P314" s="8">
        <f t="shared" si="47"/>
        <v>9.9035776953312293</v>
      </c>
    </row>
    <row r="315" spans="1:16" x14ac:dyDescent="0.2">
      <c r="A315" s="8">
        <v>156.5</v>
      </c>
      <c r="B315" s="8">
        <v>313</v>
      </c>
      <c r="D315">
        <v>987.19920000000002</v>
      </c>
      <c r="E315">
        <v>332.18239999999997</v>
      </c>
      <c r="F315">
        <v>139.26024096386001</v>
      </c>
      <c r="G315">
        <v>112.3140562249</v>
      </c>
      <c r="I315" s="9">
        <f t="shared" si="44"/>
        <v>219.86834377509996</v>
      </c>
      <c r="J315" s="9">
        <f t="shared" si="45"/>
        <v>847.93895903613998</v>
      </c>
      <c r="K315" s="9">
        <f t="shared" si="31"/>
        <v>219.86834377509996</v>
      </c>
      <c r="L315" s="10">
        <f t="shared" si="30"/>
        <v>0.25929737209506959</v>
      </c>
      <c r="M315" s="10">
        <f t="shared" si="46"/>
        <v>0.27295301641813807</v>
      </c>
      <c r="P315" s="8">
        <f t="shared" si="47"/>
        <v>5.4799190588039757</v>
      </c>
    </row>
    <row r="316" spans="1:16" x14ac:dyDescent="0.2">
      <c r="A316" s="8">
        <v>157</v>
      </c>
      <c r="B316" s="8">
        <v>314</v>
      </c>
      <c r="D316">
        <v>983.92880000000002</v>
      </c>
      <c r="E316">
        <v>321.45679999999999</v>
      </c>
      <c r="F316">
        <v>139.49638554217</v>
      </c>
      <c r="G316">
        <v>112.40481927710999</v>
      </c>
      <c r="I316" s="9">
        <f t="shared" si="44"/>
        <v>209.05198072288999</v>
      </c>
      <c r="J316" s="9">
        <f t="shared" si="45"/>
        <v>844.43241445782996</v>
      </c>
      <c r="K316" s="9">
        <f t="shared" si="31"/>
        <v>209.05198072288999</v>
      </c>
      <c r="L316" s="10">
        <f t="shared" si="30"/>
        <v>0.24756508294048893</v>
      </c>
      <c r="M316" s="10">
        <f t="shared" si="46"/>
        <v>0.26126435552018062</v>
      </c>
      <c r="P316" s="8">
        <f t="shared" si="47"/>
        <v>0.96295485155138361</v>
      </c>
    </row>
    <row r="317" spans="1:16" x14ac:dyDescent="0.2">
      <c r="A317" s="8">
        <v>157.5</v>
      </c>
      <c r="B317" s="8">
        <v>315</v>
      </c>
      <c r="D317">
        <v>986.74159999999995</v>
      </c>
      <c r="E317">
        <v>316.70479999999998</v>
      </c>
      <c r="F317">
        <v>139.66345381526</v>
      </c>
      <c r="G317">
        <v>112.9124497992</v>
      </c>
      <c r="I317" s="9">
        <f t="shared" si="44"/>
        <v>203.79235020079997</v>
      </c>
      <c r="J317" s="9">
        <f t="shared" si="45"/>
        <v>847.07814618473992</v>
      </c>
      <c r="K317" s="9">
        <f t="shared" si="31"/>
        <v>203.79235020079997</v>
      </c>
      <c r="L317" s="10">
        <f t="shared" si="30"/>
        <v>0.24058270316462013</v>
      </c>
      <c r="M317" s="10">
        <f t="shared" si="46"/>
        <v>0.25432560400093507</v>
      </c>
      <c r="P317" s="8">
        <f t="shared" si="47"/>
        <v>-1.7184551516191793</v>
      </c>
    </row>
    <row r="318" spans="1:16" x14ac:dyDescent="0.2">
      <c r="A318" s="8">
        <v>158</v>
      </c>
      <c r="B318" s="8">
        <v>316</v>
      </c>
      <c r="D318">
        <v>997.07051282050998</v>
      </c>
      <c r="E318">
        <v>315.90865384615</v>
      </c>
      <c r="F318">
        <v>139.95421686747</v>
      </c>
      <c r="G318">
        <v>112.58875502008</v>
      </c>
      <c r="I318" s="9">
        <f t="shared" si="44"/>
        <v>203.31989882607002</v>
      </c>
      <c r="J318" s="9">
        <f t="shared" si="45"/>
        <v>857.11629595303998</v>
      </c>
      <c r="K318" s="9">
        <f t="shared" si="31"/>
        <v>203.31989882607002</v>
      </c>
      <c r="L318" s="10">
        <f t="shared" si="30"/>
        <v>0.23721389942772664</v>
      </c>
      <c r="M318" s="10">
        <f t="shared" si="46"/>
        <v>0.25100042852066479</v>
      </c>
      <c r="P318" s="8">
        <f t="shared" si="47"/>
        <v>-3.003435420816607</v>
      </c>
    </row>
    <row r="319" spans="1:16" x14ac:dyDescent="0.2">
      <c r="A319" s="8">
        <v>158.5</v>
      </c>
      <c r="B319" s="8">
        <v>317</v>
      </c>
      <c r="D319">
        <v>1002.8774038462</v>
      </c>
      <c r="E319">
        <v>335.72916666666998</v>
      </c>
      <c r="F319">
        <v>139.4</v>
      </c>
      <c r="G319">
        <v>112.72771084337001</v>
      </c>
      <c r="I319" s="9">
        <f t="shared" si="44"/>
        <v>223.00145582329998</v>
      </c>
      <c r="J319" s="9">
        <f t="shared" si="45"/>
        <v>863.47740384619999</v>
      </c>
      <c r="K319" s="9">
        <f t="shared" si="31"/>
        <v>223.00145582329998</v>
      </c>
      <c r="L319" s="10">
        <f t="shared" si="30"/>
        <v>0.25825974696035048</v>
      </c>
      <c r="M319" s="10">
        <f t="shared" si="46"/>
        <v>0.27208990430991187</v>
      </c>
      <c r="P319" s="8">
        <f t="shared" si="47"/>
        <v>5.1463781567503135</v>
      </c>
    </row>
    <row r="320" spans="1:16" x14ac:dyDescent="0.2">
      <c r="A320" s="8">
        <v>159</v>
      </c>
      <c r="B320" s="8">
        <v>318</v>
      </c>
      <c r="D320">
        <v>986.29006410256</v>
      </c>
      <c r="E320">
        <v>346.27483974359001</v>
      </c>
      <c r="F320">
        <v>138.86265060241001</v>
      </c>
      <c r="G320">
        <v>113.14618473896</v>
      </c>
      <c r="I320" s="9">
        <f>E320-G320</f>
        <v>233.12865500462999</v>
      </c>
      <c r="J320" s="9">
        <f>D320-F320</f>
        <v>847.42741350015001</v>
      </c>
      <c r="K320" s="9">
        <f t="shared" si="31"/>
        <v>233.12865500462999</v>
      </c>
      <c r="L320" s="10">
        <f t="shared" si="30"/>
        <v>0.27510162084765827</v>
      </c>
      <c r="M320" s="10">
        <f>L320+ABS($N$2)*A320</f>
        <v>0.2889754064538429</v>
      </c>
      <c r="O320" s="11"/>
      <c r="P320" s="8">
        <f>(M320-$O$2)/$O$2*100</f>
        <v>11.671608845832198</v>
      </c>
    </row>
    <row r="321" spans="1:16" x14ac:dyDescent="0.2">
      <c r="A321" s="8">
        <v>159.5</v>
      </c>
      <c r="B321" s="8">
        <v>319</v>
      </c>
      <c r="D321">
        <v>992.50560897436003</v>
      </c>
      <c r="E321">
        <v>357.39182692307998</v>
      </c>
      <c r="F321">
        <v>139.45060240964</v>
      </c>
      <c r="G321">
        <v>112.65863453815</v>
      </c>
      <c r="I321" s="9">
        <f t="shared" ref="I321:I322" si="48">E321-G321</f>
        <v>244.73319238492996</v>
      </c>
      <c r="J321" s="9">
        <f t="shared" ref="J321:J322" si="49">D321-F321</f>
        <v>853.05500656472009</v>
      </c>
      <c r="K321" s="9">
        <f t="shared" si="31"/>
        <v>244.73319238492996</v>
      </c>
      <c r="L321" s="10">
        <f t="shared" si="30"/>
        <v>0.28689028316061166</v>
      </c>
      <c r="M321" s="10">
        <f t="shared" ref="M321:M322" si="50">L321+ABS($N$2)*A321</f>
        <v>0.30080769702341947</v>
      </c>
      <c r="P321" s="8">
        <f t="shared" ref="P321:P322" si="51">(M321-$O$2)/$O$2*100</f>
        <v>16.244077279913409</v>
      </c>
    </row>
    <row r="322" spans="1:16" x14ac:dyDescent="0.2">
      <c r="A322" s="8">
        <v>160</v>
      </c>
      <c r="D322">
        <v>997.14583333332996</v>
      </c>
      <c r="E322">
        <v>343.76923076922998</v>
      </c>
      <c r="F322">
        <v>139.52771084336999</v>
      </c>
      <c r="G322">
        <v>112.48353413655001</v>
      </c>
      <c r="I322" s="9">
        <f t="shared" si="48"/>
        <v>231.28569663267996</v>
      </c>
      <c r="J322" s="9">
        <f t="shared" si="49"/>
        <v>857.61812248996</v>
      </c>
      <c r="K322" s="9">
        <f t="shared" si="31"/>
        <v>231.28569663267996</v>
      </c>
      <c r="L322" s="10">
        <f t="shared" ref="L322" si="52">K322/J322</f>
        <v>0.26968377949054778</v>
      </c>
      <c r="M322" s="10">
        <f t="shared" si="50"/>
        <v>0.28364482160997884</v>
      </c>
      <c r="P322" s="8">
        <f t="shared" si="51"/>
        <v>9.6116585098904075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240821A006</vt:lpstr>
      <vt:lpstr>240821A008</vt:lpstr>
      <vt:lpstr>240821A010</vt:lpstr>
      <vt:lpstr>240821A011</vt:lpstr>
      <vt:lpstr>240821A012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Breanna Walsh</cp:lastModifiedBy>
  <dcterms:created xsi:type="dcterms:W3CDTF">2024-07-26T18:06:04Z</dcterms:created>
  <dcterms:modified xsi:type="dcterms:W3CDTF">2024-08-22T05:20:02Z</dcterms:modified>
</cp:coreProperties>
</file>