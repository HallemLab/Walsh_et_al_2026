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23/"/>
    </mc:Choice>
  </mc:AlternateContent>
  <xr:revisionPtr revIDLastSave="0" documentId="13_ncr:1_{541A1537-BD8E-D748-869A-89CC5E186467}" xr6:coauthVersionLast="47" xr6:coauthVersionMax="47" xr10:uidLastSave="{00000000-0000-0000-0000-000000000000}"/>
  <bookViews>
    <workbookView xWindow="740" yWindow="500" windowWidth="28060" windowHeight="15620" activeTab="4" xr2:uid="{703F31A7-3FB6-4B05-8EA8-379C6E25ED1D}"/>
  </bookViews>
  <sheets>
    <sheet name="240823A001" sheetId="1" r:id="rId1"/>
    <sheet name="240823A002" sheetId="9" r:id="rId2"/>
    <sheet name="240823A003" sheetId="16" r:id="rId3"/>
    <sheet name="240823A005" sheetId="17" r:id="rId4"/>
    <sheet name="240823A006" sheetId="18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8" l="1"/>
  <c r="I322" i="18"/>
  <c r="K322" i="18" s="1"/>
  <c r="J321" i="18"/>
  <c r="I321" i="18"/>
  <c r="K321" i="18" s="1"/>
  <c r="J320" i="18"/>
  <c r="I320" i="18"/>
  <c r="K320" i="18" s="1"/>
  <c r="L320" i="18" s="1"/>
  <c r="J319" i="18"/>
  <c r="I319" i="18"/>
  <c r="K319" i="18" s="1"/>
  <c r="J318" i="18"/>
  <c r="I318" i="18"/>
  <c r="K318" i="18" s="1"/>
  <c r="J317" i="18"/>
  <c r="I317" i="18"/>
  <c r="K317" i="18" s="1"/>
  <c r="J316" i="18"/>
  <c r="I316" i="18"/>
  <c r="K316" i="18" s="1"/>
  <c r="L316" i="18" s="1"/>
  <c r="V98" i="18" s="1"/>
  <c r="J315" i="18"/>
  <c r="I315" i="18"/>
  <c r="K315" i="18" s="1"/>
  <c r="J314" i="18"/>
  <c r="I314" i="18"/>
  <c r="K314" i="18" s="1"/>
  <c r="J313" i="18"/>
  <c r="I313" i="18"/>
  <c r="K313" i="18" s="1"/>
  <c r="J312" i="18"/>
  <c r="I312" i="18"/>
  <c r="K312" i="18" s="1"/>
  <c r="J311" i="18"/>
  <c r="I311" i="18"/>
  <c r="K311" i="18" s="1"/>
  <c r="J310" i="18"/>
  <c r="I310" i="18"/>
  <c r="K310" i="18" s="1"/>
  <c r="J309" i="18"/>
  <c r="I309" i="18"/>
  <c r="K309" i="18" s="1"/>
  <c r="J308" i="18"/>
  <c r="I308" i="18"/>
  <c r="K308" i="18" s="1"/>
  <c r="L308" i="18" s="1"/>
  <c r="V90" i="18" s="1"/>
  <c r="J307" i="18"/>
  <c r="I307" i="18"/>
  <c r="K307" i="18" s="1"/>
  <c r="J306" i="18"/>
  <c r="I306" i="18"/>
  <c r="K306" i="18" s="1"/>
  <c r="L306" i="18" s="1"/>
  <c r="J305" i="18"/>
  <c r="I305" i="18"/>
  <c r="K305" i="18" s="1"/>
  <c r="J304" i="18"/>
  <c r="I304" i="18"/>
  <c r="K304" i="18" s="1"/>
  <c r="L304" i="18" s="1"/>
  <c r="J303" i="18"/>
  <c r="I303" i="18"/>
  <c r="K303" i="18" s="1"/>
  <c r="J302" i="18"/>
  <c r="I302" i="18"/>
  <c r="K302" i="18" s="1"/>
  <c r="J301" i="18"/>
  <c r="I301" i="18"/>
  <c r="K301" i="18" s="1"/>
  <c r="J300" i="18"/>
  <c r="I300" i="18"/>
  <c r="K300" i="18" s="1"/>
  <c r="L300" i="18" s="1"/>
  <c r="J299" i="18"/>
  <c r="I299" i="18"/>
  <c r="K299" i="18" s="1"/>
  <c r="J298" i="18"/>
  <c r="I298" i="18"/>
  <c r="K298" i="18" s="1"/>
  <c r="L298" i="18" s="1"/>
  <c r="J297" i="18"/>
  <c r="I297" i="18"/>
  <c r="K297" i="18" s="1"/>
  <c r="J296" i="18"/>
  <c r="I296" i="18"/>
  <c r="K296" i="18" s="1"/>
  <c r="L296" i="18" s="1"/>
  <c r="J295" i="18"/>
  <c r="I295" i="18"/>
  <c r="K295" i="18" s="1"/>
  <c r="J294" i="18"/>
  <c r="I294" i="18"/>
  <c r="K294" i="18" s="1"/>
  <c r="J293" i="18"/>
  <c r="I293" i="18"/>
  <c r="K293" i="18" s="1"/>
  <c r="J292" i="18"/>
  <c r="I292" i="18"/>
  <c r="K292" i="18" s="1"/>
  <c r="J291" i="18"/>
  <c r="I291" i="18"/>
  <c r="K291" i="18" s="1"/>
  <c r="J290" i="18"/>
  <c r="I290" i="18"/>
  <c r="K290" i="18" s="1"/>
  <c r="J289" i="18"/>
  <c r="I289" i="18"/>
  <c r="K289" i="18" s="1"/>
  <c r="J288" i="18"/>
  <c r="I288" i="18"/>
  <c r="K288" i="18" s="1"/>
  <c r="J287" i="18"/>
  <c r="I287" i="18"/>
  <c r="K287" i="18" s="1"/>
  <c r="J286" i="18"/>
  <c r="I286" i="18"/>
  <c r="K286" i="18" s="1"/>
  <c r="J285" i="18"/>
  <c r="I285" i="18"/>
  <c r="K285" i="18" s="1"/>
  <c r="J284" i="18"/>
  <c r="I284" i="18"/>
  <c r="K284" i="18" s="1"/>
  <c r="J283" i="18"/>
  <c r="I283" i="18"/>
  <c r="K283" i="18" s="1"/>
  <c r="J282" i="18"/>
  <c r="I282" i="18"/>
  <c r="K282" i="18" s="1"/>
  <c r="J281" i="18"/>
  <c r="I281" i="18"/>
  <c r="K281" i="18" s="1"/>
  <c r="J280" i="18"/>
  <c r="I280" i="18"/>
  <c r="K280" i="18" s="1"/>
  <c r="J279" i="18"/>
  <c r="I279" i="18"/>
  <c r="K279" i="18" s="1"/>
  <c r="J278" i="18"/>
  <c r="I278" i="18"/>
  <c r="K278" i="18" s="1"/>
  <c r="J277" i="18"/>
  <c r="I277" i="18"/>
  <c r="K277" i="18" s="1"/>
  <c r="J276" i="18"/>
  <c r="I276" i="18"/>
  <c r="K276" i="18" s="1"/>
  <c r="J275" i="18"/>
  <c r="I275" i="18"/>
  <c r="K275" i="18" s="1"/>
  <c r="J274" i="18"/>
  <c r="I274" i="18"/>
  <c r="K274" i="18" s="1"/>
  <c r="J273" i="18"/>
  <c r="I273" i="18"/>
  <c r="K273" i="18" s="1"/>
  <c r="J272" i="18"/>
  <c r="I272" i="18"/>
  <c r="K272" i="18" s="1"/>
  <c r="J271" i="18"/>
  <c r="I271" i="18"/>
  <c r="K271" i="18" s="1"/>
  <c r="J270" i="18"/>
  <c r="I270" i="18"/>
  <c r="K270" i="18" s="1"/>
  <c r="J269" i="18"/>
  <c r="I269" i="18"/>
  <c r="K269" i="18" s="1"/>
  <c r="J268" i="18"/>
  <c r="I268" i="18"/>
  <c r="K268" i="18" s="1"/>
  <c r="J267" i="18"/>
  <c r="I267" i="18"/>
  <c r="K267" i="18" s="1"/>
  <c r="J266" i="18"/>
  <c r="I266" i="18"/>
  <c r="K266" i="18" s="1"/>
  <c r="J265" i="18"/>
  <c r="I265" i="18"/>
  <c r="K265" i="18" s="1"/>
  <c r="J264" i="18"/>
  <c r="I264" i="18"/>
  <c r="K264" i="18" s="1"/>
  <c r="J263" i="18"/>
  <c r="I263" i="18"/>
  <c r="K263" i="18" s="1"/>
  <c r="J262" i="18"/>
  <c r="I262" i="18"/>
  <c r="K262" i="18" s="1"/>
  <c r="J261" i="18"/>
  <c r="I261" i="18"/>
  <c r="K261" i="18" s="1"/>
  <c r="J260" i="18"/>
  <c r="I260" i="18"/>
  <c r="K260" i="18" s="1"/>
  <c r="L260" i="18" s="1"/>
  <c r="J259" i="18"/>
  <c r="I259" i="18"/>
  <c r="K259" i="18" s="1"/>
  <c r="J258" i="18"/>
  <c r="I258" i="18"/>
  <c r="K258" i="18" s="1"/>
  <c r="J257" i="18"/>
  <c r="I257" i="18"/>
  <c r="K257" i="18" s="1"/>
  <c r="J256" i="18"/>
  <c r="I256" i="18"/>
  <c r="K256" i="18" s="1"/>
  <c r="J255" i="18"/>
  <c r="I255" i="18"/>
  <c r="K255" i="18" s="1"/>
  <c r="J254" i="18"/>
  <c r="I254" i="18"/>
  <c r="K254" i="18" s="1"/>
  <c r="J253" i="18"/>
  <c r="I253" i="18"/>
  <c r="K253" i="18" s="1"/>
  <c r="J252" i="18"/>
  <c r="I252" i="18"/>
  <c r="K252" i="18" s="1"/>
  <c r="L252" i="18" s="1"/>
  <c r="J251" i="18"/>
  <c r="I251" i="18"/>
  <c r="K251" i="18" s="1"/>
  <c r="J250" i="18"/>
  <c r="I250" i="18"/>
  <c r="K250" i="18" s="1"/>
  <c r="J249" i="18"/>
  <c r="I249" i="18"/>
  <c r="K249" i="18" s="1"/>
  <c r="J248" i="18"/>
  <c r="I248" i="18"/>
  <c r="K248" i="18" s="1"/>
  <c r="L248" i="18" s="1"/>
  <c r="J247" i="18"/>
  <c r="I247" i="18"/>
  <c r="K247" i="18" s="1"/>
  <c r="J246" i="18"/>
  <c r="I246" i="18"/>
  <c r="K246" i="18" s="1"/>
  <c r="J245" i="18"/>
  <c r="I245" i="18"/>
  <c r="K245" i="18" s="1"/>
  <c r="J244" i="18"/>
  <c r="I244" i="18"/>
  <c r="K244" i="18" s="1"/>
  <c r="J243" i="18"/>
  <c r="I243" i="18"/>
  <c r="K243" i="18" s="1"/>
  <c r="J242" i="18"/>
  <c r="I242" i="18"/>
  <c r="K242" i="18" s="1"/>
  <c r="J241" i="18"/>
  <c r="I241" i="18"/>
  <c r="K241" i="18" s="1"/>
  <c r="J240" i="18"/>
  <c r="I240" i="18"/>
  <c r="K240" i="18" s="1"/>
  <c r="J239" i="18"/>
  <c r="I239" i="18"/>
  <c r="K239" i="18" s="1"/>
  <c r="J238" i="18"/>
  <c r="I238" i="18"/>
  <c r="K238" i="18" s="1"/>
  <c r="J237" i="18"/>
  <c r="I237" i="18"/>
  <c r="K237" i="18" s="1"/>
  <c r="J236" i="18"/>
  <c r="I236" i="18"/>
  <c r="K236" i="18" s="1"/>
  <c r="J235" i="18"/>
  <c r="I235" i="18"/>
  <c r="K235" i="18" s="1"/>
  <c r="J234" i="18"/>
  <c r="I234" i="18"/>
  <c r="K234" i="18" s="1"/>
  <c r="J233" i="18"/>
  <c r="I233" i="18"/>
  <c r="K233" i="18" s="1"/>
  <c r="J232" i="18"/>
  <c r="I232" i="18"/>
  <c r="K232" i="18" s="1"/>
  <c r="J231" i="18"/>
  <c r="I231" i="18"/>
  <c r="K231" i="18" s="1"/>
  <c r="J230" i="18"/>
  <c r="I230" i="18"/>
  <c r="K230" i="18" s="1"/>
  <c r="J229" i="18"/>
  <c r="I229" i="18"/>
  <c r="K229" i="18" s="1"/>
  <c r="J228" i="18"/>
  <c r="I228" i="18"/>
  <c r="K228" i="18" s="1"/>
  <c r="L228" i="18" s="1"/>
  <c r="J227" i="18"/>
  <c r="I227" i="18"/>
  <c r="K227" i="18" s="1"/>
  <c r="J226" i="18"/>
  <c r="I226" i="18"/>
  <c r="K226" i="18" s="1"/>
  <c r="J225" i="18"/>
  <c r="I225" i="18"/>
  <c r="K225" i="18" s="1"/>
  <c r="J224" i="18"/>
  <c r="I224" i="18"/>
  <c r="K224" i="18" s="1"/>
  <c r="L224" i="18" s="1"/>
  <c r="J223" i="18"/>
  <c r="I223" i="18"/>
  <c r="K223" i="18" s="1"/>
  <c r="J222" i="18"/>
  <c r="I222" i="18"/>
  <c r="K222" i="18" s="1"/>
  <c r="J221" i="18"/>
  <c r="I221" i="18"/>
  <c r="K221" i="18" s="1"/>
  <c r="J220" i="18"/>
  <c r="I220" i="18"/>
  <c r="K220" i="18" s="1"/>
  <c r="L220" i="18" s="1"/>
  <c r="J219" i="18"/>
  <c r="I219" i="18"/>
  <c r="K219" i="18" s="1"/>
  <c r="J218" i="18"/>
  <c r="I218" i="18"/>
  <c r="K218" i="18" s="1"/>
  <c r="J217" i="18"/>
  <c r="I217" i="18"/>
  <c r="K217" i="18" s="1"/>
  <c r="J216" i="18"/>
  <c r="I216" i="18"/>
  <c r="K216" i="18" s="1"/>
  <c r="L216" i="18" s="1"/>
  <c r="J215" i="18"/>
  <c r="I215" i="18"/>
  <c r="K215" i="18" s="1"/>
  <c r="J214" i="18"/>
  <c r="I214" i="18"/>
  <c r="K214" i="18" s="1"/>
  <c r="J213" i="18"/>
  <c r="I213" i="18"/>
  <c r="K213" i="18" s="1"/>
  <c r="J212" i="18"/>
  <c r="I212" i="18"/>
  <c r="K212" i="18" s="1"/>
  <c r="J211" i="18"/>
  <c r="I211" i="18"/>
  <c r="K211" i="18" s="1"/>
  <c r="J210" i="18"/>
  <c r="I210" i="18"/>
  <c r="K210" i="18" s="1"/>
  <c r="L210" i="18" s="1"/>
  <c r="J209" i="18"/>
  <c r="I209" i="18"/>
  <c r="K209" i="18" s="1"/>
  <c r="J208" i="18"/>
  <c r="I208" i="18"/>
  <c r="K208" i="18" s="1"/>
  <c r="J207" i="18"/>
  <c r="I207" i="18"/>
  <c r="K207" i="18" s="1"/>
  <c r="J206" i="18"/>
  <c r="I206" i="18"/>
  <c r="K206" i="18" s="1"/>
  <c r="J205" i="18"/>
  <c r="I205" i="18"/>
  <c r="K205" i="18" s="1"/>
  <c r="J204" i="18"/>
  <c r="I204" i="18"/>
  <c r="K204" i="18" s="1"/>
  <c r="J203" i="18"/>
  <c r="I203" i="18"/>
  <c r="K203" i="18" s="1"/>
  <c r="J202" i="18"/>
  <c r="I202" i="18"/>
  <c r="K202" i="18" s="1"/>
  <c r="J201" i="18"/>
  <c r="I201" i="18"/>
  <c r="K201" i="18" s="1"/>
  <c r="J200" i="18"/>
  <c r="I200" i="18"/>
  <c r="K200" i="18" s="1"/>
  <c r="J199" i="18"/>
  <c r="I199" i="18"/>
  <c r="K199" i="18" s="1"/>
  <c r="J198" i="18"/>
  <c r="I198" i="18"/>
  <c r="K198" i="18" s="1"/>
  <c r="L198" i="18" s="1"/>
  <c r="J197" i="18"/>
  <c r="I197" i="18"/>
  <c r="K197" i="18" s="1"/>
  <c r="J196" i="18"/>
  <c r="I196" i="18"/>
  <c r="K196" i="18" s="1"/>
  <c r="J195" i="18"/>
  <c r="I195" i="18"/>
  <c r="K195" i="18" s="1"/>
  <c r="J194" i="18"/>
  <c r="I194" i="18"/>
  <c r="K194" i="18" s="1"/>
  <c r="J193" i="18"/>
  <c r="I193" i="18"/>
  <c r="K193" i="18" s="1"/>
  <c r="J192" i="18"/>
  <c r="I192" i="18"/>
  <c r="K192" i="18" s="1"/>
  <c r="J191" i="18"/>
  <c r="I191" i="18"/>
  <c r="K191" i="18" s="1"/>
  <c r="J190" i="18"/>
  <c r="I190" i="18"/>
  <c r="K190" i="18" s="1"/>
  <c r="J189" i="18"/>
  <c r="I189" i="18"/>
  <c r="K189" i="18" s="1"/>
  <c r="J188" i="18"/>
  <c r="I188" i="18"/>
  <c r="K188" i="18" s="1"/>
  <c r="J187" i="18"/>
  <c r="I187" i="18"/>
  <c r="K187" i="18" s="1"/>
  <c r="J186" i="18"/>
  <c r="I186" i="18"/>
  <c r="K186" i="18" s="1"/>
  <c r="J185" i="18"/>
  <c r="I185" i="18"/>
  <c r="K185" i="18" s="1"/>
  <c r="J184" i="18"/>
  <c r="I184" i="18"/>
  <c r="K184" i="18" s="1"/>
  <c r="J183" i="18"/>
  <c r="I183" i="18"/>
  <c r="K183" i="18" s="1"/>
  <c r="J182" i="18"/>
  <c r="I182" i="18"/>
  <c r="K182" i="18" s="1"/>
  <c r="J181" i="18"/>
  <c r="I181" i="18"/>
  <c r="K181" i="18" s="1"/>
  <c r="J180" i="18"/>
  <c r="I180" i="18"/>
  <c r="K180" i="18" s="1"/>
  <c r="J179" i="18"/>
  <c r="I179" i="18"/>
  <c r="K179" i="18" s="1"/>
  <c r="J178" i="18"/>
  <c r="I178" i="18"/>
  <c r="K178" i="18" s="1"/>
  <c r="J177" i="18"/>
  <c r="I177" i="18"/>
  <c r="K177" i="18" s="1"/>
  <c r="J176" i="18"/>
  <c r="I176" i="18"/>
  <c r="K176" i="18" s="1"/>
  <c r="J175" i="18"/>
  <c r="I175" i="18"/>
  <c r="K175" i="18" s="1"/>
  <c r="J174" i="18"/>
  <c r="I174" i="18"/>
  <c r="K174" i="18" s="1"/>
  <c r="J173" i="18"/>
  <c r="I173" i="18"/>
  <c r="K173" i="18" s="1"/>
  <c r="J172" i="18"/>
  <c r="I172" i="18"/>
  <c r="K172" i="18" s="1"/>
  <c r="J171" i="18"/>
  <c r="I171" i="18"/>
  <c r="K171" i="18" s="1"/>
  <c r="J170" i="18"/>
  <c r="I170" i="18"/>
  <c r="K170" i="18" s="1"/>
  <c r="J169" i="18"/>
  <c r="I169" i="18"/>
  <c r="K169" i="18" s="1"/>
  <c r="L169" i="18" s="1"/>
  <c r="J168" i="18"/>
  <c r="I168" i="18"/>
  <c r="K168" i="18" s="1"/>
  <c r="J167" i="18"/>
  <c r="I167" i="18"/>
  <c r="K167" i="18" s="1"/>
  <c r="J166" i="18"/>
  <c r="I166" i="18"/>
  <c r="K166" i="18" s="1"/>
  <c r="J165" i="18"/>
  <c r="I165" i="18"/>
  <c r="K165" i="18" s="1"/>
  <c r="J164" i="18"/>
  <c r="I164" i="18"/>
  <c r="K164" i="18" s="1"/>
  <c r="J163" i="18"/>
  <c r="I163" i="18"/>
  <c r="K163" i="18" s="1"/>
  <c r="J162" i="18"/>
  <c r="I162" i="18"/>
  <c r="K162" i="18" s="1"/>
  <c r="J161" i="18"/>
  <c r="I161" i="18"/>
  <c r="K161" i="18" s="1"/>
  <c r="L161" i="18" s="1"/>
  <c r="J160" i="18"/>
  <c r="I160" i="18"/>
  <c r="K160" i="18" s="1"/>
  <c r="J159" i="18"/>
  <c r="I159" i="18"/>
  <c r="K159" i="18" s="1"/>
  <c r="J158" i="18"/>
  <c r="I158" i="18"/>
  <c r="K158" i="18" s="1"/>
  <c r="J157" i="18"/>
  <c r="I157" i="18"/>
  <c r="K157" i="18" s="1"/>
  <c r="J156" i="18"/>
  <c r="I156" i="18"/>
  <c r="K156" i="18" s="1"/>
  <c r="J155" i="18"/>
  <c r="I155" i="18"/>
  <c r="K155" i="18" s="1"/>
  <c r="J154" i="18"/>
  <c r="I154" i="18"/>
  <c r="K154" i="18" s="1"/>
  <c r="L154" i="18" s="1"/>
  <c r="J153" i="18"/>
  <c r="I153" i="18"/>
  <c r="K153" i="18" s="1"/>
  <c r="L153" i="18" s="1"/>
  <c r="J152" i="18"/>
  <c r="I152" i="18"/>
  <c r="K152" i="18" s="1"/>
  <c r="J151" i="18"/>
  <c r="I151" i="18"/>
  <c r="K151" i="18" s="1"/>
  <c r="J150" i="18"/>
  <c r="I150" i="18"/>
  <c r="K150" i="18" s="1"/>
  <c r="L150" i="18" s="1"/>
  <c r="J149" i="18"/>
  <c r="I149" i="18"/>
  <c r="K149" i="18" s="1"/>
  <c r="J148" i="18"/>
  <c r="I148" i="18"/>
  <c r="K148" i="18" s="1"/>
  <c r="J147" i="18"/>
  <c r="I147" i="18"/>
  <c r="K147" i="18" s="1"/>
  <c r="J146" i="18"/>
  <c r="I146" i="18"/>
  <c r="K146" i="18" s="1"/>
  <c r="J145" i="18"/>
  <c r="I145" i="18"/>
  <c r="K145" i="18" s="1"/>
  <c r="J144" i="18"/>
  <c r="I144" i="18"/>
  <c r="K144" i="18" s="1"/>
  <c r="J143" i="18"/>
  <c r="I143" i="18"/>
  <c r="K143" i="18" s="1"/>
  <c r="J142" i="18"/>
  <c r="I142" i="18"/>
  <c r="K142" i="18" s="1"/>
  <c r="L142" i="18" s="1"/>
  <c r="J141" i="18"/>
  <c r="I141" i="18"/>
  <c r="K141" i="18" s="1"/>
  <c r="J140" i="18"/>
  <c r="I140" i="18"/>
  <c r="K140" i="18" s="1"/>
  <c r="J139" i="18"/>
  <c r="I139" i="18"/>
  <c r="K139" i="18" s="1"/>
  <c r="J138" i="18"/>
  <c r="I138" i="18"/>
  <c r="K138" i="18" s="1"/>
  <c r="J137" i="18"/>
  <c r="I137" i="18"/>
  <c r="K137" i="18" s="1"/>
  <c r="J136" i="18"/>
  <c r="I136" i="18"/>
  <c r="K136" i="18" s="1"/>
  <c r="J135" i="18"/>
  <c r="I135" i="18"/>
  <c r="K135" i="18" s="1"/>
  <c r="L135" i="18" s="1"/>
  <c r="J134" i="18"/>
  <c r="I134" i="18"/>
  <c r="K134" i="18" s="1"/>
  <c r="J133" i="18"/>
  <c r="I133" i="18"/>
  <c r="K133" i="18" s="1"/>
  <c r="J132" i="18"/>
  <c r="I132" i="18"/>
  <c r="K132" i="18" s="1"/>
  <c r="J131" i="18"/>
  <c r="I131" i="18"/>
  <c r="K131" i="18" s="1"/>
  <c r="L131" i="18" s="1"/>
  <c r="J130" i="18"/>
  <c r="I130" i="18"/>
  <c r="K130" i="18" s="1"/>
  <c r="L130" i="18" s="1"/>
  <c r="J129" i="18"/>
  <c r="I129" i="18"/>
  <c r="K129" i="18" s="1"/>
  <c r="J128" i="18"/>
  <c r="I128" i="18"/>
  <c r="K128" i="18" s="1"/>
  <c r="J127" i="18"/>
  <c r="I127" i="18"/>
  <c r="K127" i="18" s="1"/>
  <c r="J126" i="18"/>
  <c r="I126" i="18"/>
  <c r="K126" i="18" s="1"/>
  <c r="J125" i="18"/>
  <c r="I125" i="18"/>
  <c r="K125" i="18" s="1"/>
  <c r="J124" i="18"/>
  <c r="I124" i="18"/>
  <c r="K124" i="18" s="1"/>
  <c r="J123" i="18"/>
  <c r="I123" i="18"/>
  <c r="K123" i="18" s="1"/>
  <c r="J122" i="18"/>
  <c r="I122" i="18"/>
  <c r="K122" i="18" s="1"/>
  <c r="J121" i="18"/>
  <c r="I121" i="18"/>
  <c r="K121" i="18" s="1"/>
  <c r="J120" i="18"/>
  <c r="I120" i="18"/>
  <c r="K120" i="18" s="1"/>
  <c r="J119" i="18"/>
  <c r="I119" i="18"/>
  <c r="K119" i="18" s="1"/>
  <c r="J118" i="18"/>
  <c r="I118" i="18"/>
  <c r="K118" i="18" s="1"/>
  <c r="J117" i="18"/>
  <c r="I117" i="18"/>
  <c r="K117" i="18" s="1"/>
  <c r="J116" i="18"/>
  <c r="I116" i="18"/>
  <c r="K116" i="18" s="1"/>
  <c r="J115" i="18"/>
  <c r="I115" i="18"/>
  <c r="K115" i="18" s="1"/>
  <c r="J114" i="18"/>
  <c r="I114" i="18"/>
  <c r="K114" i="18" s="1"/>
  <c r="J113" i="18"/>
  <c r="I113" i="18"/>
  <c r="K113" i="18" s="1"/>
  <c r="J112" i="18"/>
  <c r="I112" i="18"/>
  <c r="K112" i="18" s="1"/>
  <c r="J111" i="18"/>
  <c r="I111" i="18"/>
  <c r="K111" i="18" s="1"/>
  <c r="J110" i="18"/>
  <c r="I110" i="18"/>
  <c r="K110" i="18" s="1"/>
  <c r="J109" i="18"/>
  <c r="I109" i="18"/>
  <c r="K109" i="18" s="1"/>
  <c r="J108" i="18"/>
  <c r="I108" i="18"/>
  <c r="K108" i="18" s="1"/>
  <c r="J107" i="18"/>
  <c r="I107" i="18"/>
  <c r="K107" i="18" s="1"/>
  <c r="J106" i="18"/>
  <c r="I106" i="18"/>
  <c r="K106" i="18" s="1"/>
  <c r="J105" i="18"/>
  <c r="I105" i="18"/>
  <c r="K105" i="18" s="1"/>
  <c r="J104" i="18"/>
  <c r="I104" i="18"/>
  <c r="K104" i="18" s="1"/>
  <c r="J103" i="18"/>
  <c r="I103" i="18"/>
  <c r="K103" i="18" s="1"/>
  <c r="J102" i="18"/>
  <c r="I102" i="18"/>
  <c r="K102" i="18" s="1"/>
  <c r="J101" i="18"/>
  <c r="I101" i="18"/>
  <c r="K101" i="18" s="1"/>
  <c r="J100" i="18"/>
  <c r="I100" i="18"/>
  <c r="K100" i="18" s="1"/>
  <c r="J99" i="18"/>
  <c r="I99" i="18"/>
  <c r="K99" i="18" s="1"/>
  <c r="J98" i="18"/>
  <c r="I98" i="18"/>
  <c r="K98" i="18" s="1"/>
  <c r="J97" i="18"/>
  <c r="I97" i="18"/>
  <c r="K97" i="18" s="1"/>
  <c r="J96" i="18"/>
  <c r="I96" i="18"/>
  <c r="K96" i="18" s="1"/>
  <c r="J95" i="18"/>
  <c r="I95" i="18"/>
  <c r="K95" i="18" s="1"/>
  <c r="J94" i="18"/>
  <c r="I94" i="18"/>
  <c r="K94" i="18" s="1"/>
  <c r="J93" i="18"/>
  <c r="I93" i="18"/>
  <c r="K93" i="18" s="1"/>
  <c r="J92" i="18"/>
  <c r="I92" i="18"/>
  <c r="K92" i="18" s="1"/>
  <c r="J91" i="18"/>
  <c r="I91" i="18"/>
  <c r="K91" i="18" s="1"/>
  <c r="J90" i="18"/>
  <c r="I90" i="18"/>
  <c r="K90" i="18" s="1"/>
  <c r="J89" i="18"/>
  <c r="I89" i="18"/>
  <c r="K89" i="18" s="1"/>
  <c r="V88" i="18"/>
  <c r="J88" i="18"/>
  <c r="I88" i="18"/>
  <c r="K88" i="18" s="1"/>
  <c r="J87" i="18"/>
  <c r="I87" i="18"/>
  <c r="K87" i="18" s="1"/>
  <c r="J86" i="18"/>
  <c r="I86" i="18"/>
  <c r="K86" i="18" s="1"/>
  <c r="J85" i="18"/>
  <c r="I85" i="18"/>
  <c r="K85" i="18" s="1"/>
  <c r="J84" i="18"/>
  <c r="I84" i="18"/>
  <c r="K84" i="18" s="1"/>
  <c r="J83" i="18"/>
  <c r="I83" i="18"/>
  <c r="K83" i="18" s="1"/>
  <c r="J82" i="18"/>
  <c r="I82" i="18"/>
  <c r="K82" i="18" s="1"/>
  <c r="J81" i="18"/>
  <c r="I81" i="18"/>
  <c r="K81" i="18" s="1"/>
  <c r="J80" i="18"/>
  <c r="I80" i="18"/>
  <c r="K80" i="18" s="1"/>
  <c r="J79" i="18"/>
  <c r="I79" i="18"/>
  <c r="K79" i="18" s="1"/>
  <c r="J78" i="18"/>
  <c r="I78" i="18"/>
  <c r="K78" i="18" s="1"/>
  <c r="J77" i="18"/>
  <c r="I77" i="18"/>
  <c r="K77" i="18" s="1"/>
  <c r="L77" i="18" s="1"/>
  <c r="J76" i="18"/>
  <c r="I76" i="18"/>
  <c r="K76" i="18" s="1"/>
  <c r="L76" i="18" s="1"/>
  <c r="V78" i="18" s="1"/>
  <c r="J75" i="18"/>
  <c r="I75" i="18"/>
  <c r="K75" i="18" s="1"/>
  <c r="J74" i="18"/>
  <c r="I74" i="18"/>
  <c r="K74" i="18" s="1"/>
  <c r="J73" i="18"/>
  <c r="I73" i="18"/>
  <c r="K73" i="18" s="1"/>
  <c r="J72" i="18"/>
  <c r="I72" i="18"/>
  <c r="K72" i="18" s="1"/>
  <c r="L72" i="18" s="1"/>
  <c r="J71" i="18"/>
  <c r="I71" i="18"/>
  <c r="K71" i="18" s="1"/>
  <c r="J70" i="18"/>
  <c r="I70" i="18"/>
  <c r="K70" i="18" s="1"/>
  <c r="J69" i="18"/>
  <c r="I69" i="18"/>
  <c r="K69" i="18" s="1"/>
  <c r="J68" i="18"/>
  <c r="I68" i="18"/>
  <c r="K68" i="18" s="1"/>
  <c r="J67" i="18"/>
  <c r="I67" i="18"/>
  <c r="K67" i="18" s="1"/>
  <c r="J66" i="18"/>
  <c r="I66" i="18"/>
  <c r="K66" i="18" s="1"/>
  <c r="J65" i="18"/>
  <c r="I65" i="18"/>
  <c r="K65" i="18" s="1"/>
  <c r="J64" i="18"/>
  <c r="I64" i="18"/>
  <c r="K64" i="18" s="1"/>
  <c r="L64" i="18" s="1"/>
  <c r="J63" i="18"/>
  <c r="I63" i="18"/>
  <c r="K63" i="18" s="1"/>
  <c r="J62" i="18"/>
  <c r="I62" i="18"/>
  <c r="K62" i="18" s="1"/>
  <c r="J61" i="18"/>
  <c r="I61" i="18"/>
  <c r="K61" i="18" s="1"/>
  <c r="J60" i="18"/>
  <c r="I60" i="18"/>
  <c r="K60" i="18" s="1"/>
  <c r="L60" i="18" s="1"/>
  <c r="J59" i="18"/>
  <c r="I59" i="18"/>
  <c r="K59" i="18" s="1"/>
  <c r="J58" i="18"/>
  <c r="I58" i="18"/>
  <c r="K58" i="18" s="1"/>
  <c r="J57" i="18"/>
  <c r="I57" i="18"/>
  <c r="K57" i="18" s="1"/>
  <c r="L57" i="18" s="1"/>
  <c r="J56" i="18"/>
  <c r="I56" i="18"/>
  <c r="K56" i="18" s="1"/>
  <c r="J55" i="18"/>
  <c r="I55" i="18"/>
  <c r="K55" i="18" s="1"/>
  <c r="J54" i="18"/>
  <c r="I54" i="18"/>
  <c r="K54" i="18" s="1"/>
  <c r="L54" i="18" s="1"/>
  <c r="J53" i="18"/>
  <c r="I53" i="18"/>
  <c r="K53" i="18" s="1"/>
  <c r="J52" i="18"/>
  <c r="I52" i="18"/>
  <c r="K52" i="18" s="1"/>
  <c r="J51" i="18"/>
  <c r="I51" i="18"/>
  <c r="K51" i="18" s="1"/>
  <c r="J50" i="18"/>
  <c r="I50" i="18"/>
  <c r="K50" i="18" s="1"/>
  <c r="L50" i="18" s="1"/>
  <c r="J49" i="18"/>
  <c r="I49" i="18"/>
  <c r="K49" i="18" s="1"/>
  <c r="L49" i="18" s="1"/>
  <c r="J48" i="18"/>
  <c r="I48" i="18"/>
  <c r="K48" i="18" s="1"/>
  <c r="J47" i="18"/>
  <c r="I47" i="18"/>
  <c r="K47" i="18" s="1"/>
  <c r="J46" i="18"/>
  <c r="I46" i="18"/>
  <c r="K46" i="18" s="1"/>
  <c r="J45" i="18"/>
  <c r="I45" i="18"/>
  <c r="K45" i="18" s="1"/>
  <c r="L45" i="18" s="1"/>
  <c r="J44" i="18"/>
  <c r="I44" i="18"/>
  <c r="K44" i="18" s="1"/>
  <c r="J43" i="18"/>
  <c r="I43" i="18"/>
  <c r="K43" i="18" s="1"/>
  <c r="J42" i="18"/>
  <c r="I42" i="18"/>
  <c r="K42" i="18" s="1"/>
  <c r="J41" i="18"/>
  <c r="I41" i="18"/>
  <c r="K41" i="18" s="1"/>
  <c r="J40" i="18"/>
  <c r="I40" i="18"/>
  <c r="K40" i="18" s="1"/>
  <c r="J39" i="18"/>
  <c r="I39" i="18"/>
  <c r="K39" i="18" s="1"/>
  <c r="J38" i="18"/>
  <c r="I38" i="18"/>
  <c r="K38" i="18" s="1"/>
  <c r="L38" i="18" s="1"/>
  <c r="J37" i="18"/>
  <c r="I37" i="18"/>
  <c r="K37" i="18" s="1"/>
  <c r="J36" i="18"/>
  <c r="I36" i="18"/>
  <c r="K36" i="18" s="1"/>
  <c r="J35" i="18"/>
  <c r="I35" i="18"/>
  <c r="K35" i="18" s="1"/>
  <c r="J34" i="18"/>
  <c r="I34" i="18"/>
  <c r="K34" i="18" s="1"/>
  <c r="L34" i="18" s="1"/>
  <c r="J33" i="18"/>
  <c r="I33" i="18"/>
  <c r="K33" i="18" s="1"/>
  <c r="J32" i="18"/>
  <c r="I32" i="18"/>
  <c r="K32" i="18" s="1"/>
  <c r="J31" i="18"/>
  <c r="I31" i="18"/>
  <c r="K31" i="18" s="1"/>
  <c r="J30" i="18"/>
  <c r="I30" i="18"/>
  <c r="K30" i="18" s="1"/>
  <c r="J29" i="18"/>
  <c r="I29" i="18"/>
  <c r="K29" i="18" s="1"/>
  <c r="J28" i="18"/>
  <c r="I28" i="18"/>
  <c r="K28" i="18" s="1"/>
  <c r="J27" i="18"/>
  <c r="I27" i="18"/>
  <c r="K27" i="18" s="1"/>
  <c r="J26" i="18"/>
  <c r="I26" i="18"/>
  <c r="K26" i="18" s="1"/>
  <c r="J25" i="18"/>
  <c r="I25" i="18"/>
  <c r="K25" i="18" s="1"/>
  <c r="J24" i="18"/>
  <c r="I24" i="18"/>
  <c r="K24" i="18" s="1"/>
  <c r="J23" i="18"/>
  <c r="I23" i="18"/>
  <c r="K23" i="18" s="1"/>
  <c r="J22" i="18"/>
  <c r="I22" i="18"/>
  <c r="K22" i="18" s="1"/>
  <c r="J21" i="18"/>
  <c r="I21" i="18"/>
  <c r="K21" i="18" s="1"/>
  <c r="J20" i="18"/>
  <c r="I20" i="18"/>
  <c r="K20" i="18" s="1"/>
  <c r="J19" i="18"/>
  <c r="I19" i="18"/>
  <c r="K19" i="18" s="1"/>
  <c r="J18" i="18"/>
  <c r="I18" i="18"/>
  <c r="K18" i="18" s="1"/>
  <c r="J17" i="18"/>
  <c r="I17" i="18"/>
  <c r="K17" i="18" s="1"/>
  <c r="J16" i="18"/>
  <c r="I16" i="18"/>
  <c r="K16" i="18" s="1"/>
  <c r="J15" i="18"/>
  <c r="I15" i="18"/>
  <c r="K15" i="18" s="1"/>
  <c r="J14" i="18"/>
  <c r="I14" i="18"/>
  <c r="K14" i="18" s="1"/>
  <c r="J13" i="18"/>
  <c r="I13" i="18"/>
  <c r="K13" i="18" s="1"/>
  <c r="J12" i="18"/>
  <c r="I12" i="18"/>
  <c r="K12" i="18" s="1"/>
  <c r="J11" i="18"/>
  <c r="I11" i="18"/>
  <c r="K11" i="18" s="1"/>
  <c r="J10" i="18"/>
  <c r="I10" i="18"/>
  <c r="K10" i="18" s="1"/>
  <c r="J9" i="18"/>
  <c r="I9" i="18"/>
  <c r="K9" i="18" s="1"/>
  <c r="J8" i="18"/>
  <c r="I8" i="18"/>
  <c r="K8" i="18" s="1"/>
  <c r="J7" i="18"/>
  <c r="I7" i="18"/>
  <c r="K7" i="18" s="1"/>
  <c r="J6" i="18"/>
  <c r="I6" i="18"/>
  <c r="K6" i="18" s="1"/>
  <c r="J5" i="18"/>
  <c r="I5" i="18"/>
  <c r="K5" i="18" s="1"/>
  <c r="J4" i="18"/>
  <c r="I4" i="18"/>
  <c r="K4" i="18" s="1"/>
  <c r="L4" i="18" s="1"/>
  <c r="J3" i="18"/>
  <c r="I3" i="18"/>
  <c r="K3" i="18" s="1"/>
  <c r="J2" i="18"/>
  <c r="I2" i="18"/>
  <c r="K2" i="18" s="1"/>
  <c r="J322" i="17"/>
  <c r="I322" i="17"/>
  <c r="K322" i="17" s="1"/>
  <c r="J321" i="17"/>
  <c r="I321" i="17"/>
  <c r="K321" i="17" s="1"/>
  <c r="J320" i="17"/>
  <c r="I320" i="17"/>
  <c r="K320" i="17" s="1"/>
  <c r="J319" i="17"/>
  <c r="I319" i="17"/>
  <c r="K319" i="17" s="1"/>
  <c r="J318" i="17"/>
  <c r="I318" i="17"/>
  <c r="K318" i="17" s="1"/>
  <c r="J317" i="17"/>
  <c r="I317" i="17"/>
  <c r="K317" i="17" s="1"/>
  <c r="J316" i="17"/>
  <c r="I316" i="17"/>
  <c r="K316" i="17" s="1"/>
  <c r="J315" i="17"/>
  <c r="I315" i="17"/>
  <c r="K315" i="17" s="1"/>
  <c r="J314" i="17"/>
  <c r="I314" i="17"/>
  <c r="K314" i="17" s="1"/>
  <c r="J313" i="17"/>
  <c r="I313" i="17"/>
  <c r="K313" i="17" s="1"/>
  <c r="J312" i="17"/>
  <c r="I312" i="17"/>
  <c r="K312" i="17" s="1"/>
  <c r="J311" i="17"/>
  <c r="I311" i="17"/>
  <c r="K311" i="17" s="1"/>
  <c r="J310" i="17"/>
  <c r="I310" i="17"/>
  <c r="K310" i="17" s="1"/>
  <c r="J309" i="17"/>
  <c r="I309" i="17"/>
  <c r="K309" i="17" s="1"/>
  <c r="J308" i="17"/>
  <c r="I308" i="17"/>
  <c r="K308" i="17" s="1"/>
  <c r="L308" i="17" s="1"/>
  <c r="J307" i="17"/>
  <c r="I307" i="17"/>
  <c r="K307" i="17" s="1"/>
  <c r="J306" i="17"/>
  <c r="I306" i="17"/>
  <c r="K306" i="17" s="1"/>
  <c r="J305" i="17"/>
  <c r="I305" i="17"/>
  <c r="K305" i="17" s="1"/>
  <c r="J304" i="17"/>
  <c r="I304" i="17"/>
  <c r="K304" i="17" s="1"/>
  <c r="L304" i="17" s="1"/>
  <c r="J303" i="17"/>
  <c r="I303" i="17"/>
  <c r="K303" i="17" s="1"/>
  <c r="J302" i="17"/>
  <c r="I302" i="17"/>
  <c r="K302" i="17" s="1"/>
  <c r="J301" i="17"/>
  <c r="I301" i="17"/>
  <c r="K301" i="17" s="1"/>
  <c r="J300" i="17"/>
  <c r="I300" i="17"/>
  <c r="K300" i="17" s="1"/>
  <c r="L300" i="17" s="1"/>
  <c r="J299" i="17"/>
  <c r="I299" i="17"/>
  <c r="K299" i="17" s="1"/>
  <c r="J298" i="17"/>
  <c r="I298" i="17"/>
  <c r="K298" i="17" s="1"/>
  <c r="J297" i="17"/>
  <c r="I297" i="17"/>
  <c r="K297" i="17" s="1"/>
  <c r="J296" i="17"/>
  <c r="I296" i="17"/>
  <c r="K296" i="17" s="1"/>
  <c r="L296" i="17" s="1"/>
  <c r="J295" i="17"/>
  <c r="I295" i="17"/>
  <c r="K295" i="17" s="1"/>
  <c r="J294" i="17"/>
  <c r="I294" i="17"/>
  <c r="K294" i="17" s="1"/>
  <c r="J293" i="17"/>
  <c r="I293" i="17"/>
  <c r="K293" i="17" s="1"/>
  <c r="J292" i="17"/>
  <c r="I292" i="17"/>
  <c r="K292" i="17" s="1"/>
  <c r="L292" i="17" s="1"/>
  <c r="J291" i="17"/>
  <c r="I291" i="17"/>
  <c r="K291" i="17" s="1"/>
  <c r="J290" i="17"/>
  <c r="I290" i="17"/>
  <c r="K290" i="17" s="1"/>
  <c r="J289" i="17"/>
  <c r="I289" i="17"/>
  <c r="K289" i="17" s="1"/>
  <c r="J288" i="17"/>
  <c r="I288" i="17"/>
  <c r="K288" i="17" s="1"/>
  <c r="J287" i="17"/>
  <c r="I287" i="17"/>
  <c r="K287" i="17" s="1"/>
  <c r="J286" i="17"/>
  <c r="I286" i="17"/>
  <c r="K286" i="17" s="1"/>
  <c r="J285" i="17"/>
  <c r="I285" i="17"/>
  <c r="K285" i="17" s="1"/>
  <c r="J284" i="17"/>
  <c r="I284" i="17"/>
  <c r="K284" i="17" s="1"/>
  <c r="L284" i="17" s="1"/>
  <c r="J283" i="17"/>
  <c r="I283" i="17"/>
  <c r="K283" i="17" s="1"/>
  <c r="J282" i="17"/>
  <c r="I282" i="17"/>
  <c r="K282" i="17" s="1"/>
  <c r="J281" i="17"/>
  <c r="I281" i="17"/>
  <c r="K281" i="17" s="1"/>
  <c r="J280" i="17"/>
  <c r="I280" i="17"/>
  <c r="K280" i="17" s="1"/>
  <c r="L280" i="17" s="1"/>
  <c r="J279" i="17"/>
  <c r="I279" i="17"/>
  <c r="K279" i="17" s="1"/>
  <c r="J278" i="17"/>
  <c r="I278" i="17"/>
  <c r="K278" i="17" s="1"/>
  <c r="J277" i="17"/>
  <c r="I277" i="17"/>
  <c r="K277" i="17" s="1"/>
  <c r="J276" i="17"/>
  <c r="I276" i="17"/>
  <c r="K276" i="17" s="1"/>
  <c r="L276" i="17" s="1"/>
  <c r="J275" i="17"/>
  <c r="I275" i="17"/>
  <c r="K275" i="17" s="1"/>
  <c r="J274" i="17"/>
  <c r="I274" i="17"/>
  <c r="K274" i="17" s="1"/>
  <c r="J273" i="17"/>
  <c r="I273" i="17"/>
  <c r="K273" i="17" s="1"/>
  <c r="J272" i="17"/>
  <c r="I272" i="17"/>
  <c r="K272" i="17" s="1"/>
  <c r="L272" i="17" s="1"/>
  <c r="J271" i="17"/>
  <c r="I271" i="17"/>
  <c r="K271" i="17" s="1"/>
  <c r="J270" i="17"/>
  <c r="I270" i="17"/>
  <c r="K270" i="17" s="1"/>
  <c r="J269" i="17"/>
  <c r="I269" i="17"/>
  <c r="K269" i="17" s="1"/>
  <c r="J268" i="17"/>
  <c r="I268" i="17"/>
  <c r="K268" i="17" s="1"/>
  <c r="L268" i="17" s="1"/>
  <c r="J267" i="17"/>
  <c r="I267" i="17"/>
  <c r="K267" i="17" s="1"/>
  <c r="J266" i="17"/>
  <c r="I266" i="17"/>
  <c r="K266" i="17" s="1"/>
  <c r="J265" i="17"/>
  <c r="I265" i="17"/>
  <c r="K265" i="17" s="1"/>
  <c r="J264" i="17"/>
  <c r="I264" i="17"/>
  <c r="K264" i="17" s="1"/>
  <c r="L264" i="17" s="1"/>
  <c r="J263" i="17"/>
  <c r="I263" i="17"/>
  <c r="K263" i="17" s="1"/>
  <c r="J262" i="17"/>
  <c r="I262" i="17"/>
  <c r="K262" i="17" s="1"/>
  <c r="J261" i="17"/>
  <c r="I261" i="17"/>
  <c r="K261" i="17" s="1"/>
  <c r="J260" i="17"/>
  <c r="I260" i="17"/>
  <c r="K260" i="17" s="1"/>
  <c r="J259" i="17"/>
  <c r="I259" i="17"/>
  <c r="K259" i="17" s="1"/>
  <c r="J258" i="17"/>
  <c r="I258" i="17"/>
  <c r="K258" i="17" s="1"/>
  <c r="J257" i="17"/>
  <c r="I257" i="17"/>
  <c r="K257" i="17" s="1"/>
  <c r="J256" i="17"/>
  <c r="I256" i="17"/>
  <c r="K256" i="17" s="1"/>
  <c r="J255" i="17"/>
  <c r="I255" i="17"/>
  <c r="K255" i="17" s="1"/>
  <c r="J254" i="17"/>
  <c r="I254" i="17"/>
  <c r="K254" i="17" s="1"/>
  <c r="J253" i="17"/>
  <c r="I253" i="17"/>
  <c r="K253" i="17" s="1"/>
  <c r="J252" i="17"/>
  <c r="I252" i="17"/>
  <c r="K252" i="17" s="1"/>
  <c r="J251" i="17"/>
  <c r="I251" i="17"/>
  <c r="K251" i="17" s="1"/>
  <c r="J250" i="17"/>
  <c r="I250" i="17"/>
  <c r="K250" i="17" s="1"/>
  <c r="J249" i="17"/>
  <c r="I249" i="17"/>
  <c r="K249" i="17" s="1"/>
  <c r="J248" i="17"/>
  <c r="I248" i="17"/>
  <c r="K248" i="17" s="1"/>
  <c r="J247" i="17"/>
  <c r="I247" i="17"/>
  <c r="K247" i="17" s="1"/>
  <c r="J246" i="17"/>
  <c r="I246" i="17"/>
  <c r="K246" i="17" s="1"/>
  <c r="J245" i="17"/>
  <c r="I245" i="17"/>
  <c r="K245" i="17" s="1"/>
  <c r="J244" i="17"/>
  <c r="I244" i="17"/>
  <c r="K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J239" i="17"/>
  <c r="I239" i="17"/>
  <c r="K239" i="17" s="1"/>
  <c r="J238" i="17"/>
  <c r="I238" i="17"/>
  <c r="K238" i="17" s="1"/>
  <c r="J237" i="17"/>
  <c r="I237" i="17"/>
  <c r="K237" i="17" s="1"/>
  <c r="J236" i="17"/>
  <c r="I236" i="17"/>
  <c r="K236" i="17" s="1"/>
  <c r="J235" i="17"/>
  <c r="I235" i="17"/>
  <c r="K235" i="17" s="1"/>
  <c r="J234" i="17"/>
  <c r="I234" i="17"/>
  <c r="K234" i="17" s="1"/>
  <c r="J233" i="17"/>
  <c r="I233" i="17"/>
  <c r="K233" i="17" s="1"/>
  <c r="J232" i="17"/>
  <c r="I232" i="17"/>
  <c r="K232" i="17" s="1"/>
  <c r="J231" i="17"/>
  <c r="I231" i="17"/>
  <c r="K231" i="17" s="1"/>
  <c r="J230" i="17"/>
  <c r="I230" i="17"/>
  <c r="K230" i="17" s="1"/>
  <c r="J229" i="17"/>
  <c r="I229" i="17"/>
  <c r="K229" i="17" s="1"/>
  <c r="J228" i="17"/>
  <c r="I228" i="17"/>
  <c r="K228" i="17" s="1"/>
  <c r="J227" i="17"/>
  <c r="I227" i="17"/>
  <c r="K227" i="17" s="1"/>
  <c r="J226" i="17"/>
  <c r="I226" i="17"/>
  <c r="K226" i="17" s="1"/>
  <c r="J225" i="17"/>
  <c r="I225" i="17"/>
  <c r="K225" i="17" s="1"/>
  <c r="J224" i="17"/>
  <c r="I224" i="17"/>
  <c r="K224" i="17" s="1"/>
  <c r="J223" i="17"/>
  <c r="I223" i="17"/>
  <c r="K223" i="17" s="1"/>
  <c r="J222" i="17"/>
  <c r="I222" i="17"/>
  <c r="K222" i="17" s="1"/>
  <c r="J221" i="17"/>
  <c r="I221" i="17"/>
  <c r="K221" i="17" s="1"/>
  <c r="J220" i="17"/>
  <c r="I220" i="17"/>
  <c r="K220" i="17" s="1"/>
  <c r="J219" i="17"/>
  <c r="I219" i="17"/>
  <c r="K219" i="17" s="1"/>
  <c r="J218" i="17"/>
  <c r="I218" i="17"/>
  <c r="K218" i="17" s="1"/>
  <c r="J217" i="17"/>
  <c r="I217" i="17"/>
  <c r="K217" i="17" s="1"/>
  <c r="J216" i="17"/>
  <c r="I216" i="17"/>
  <c r="K216" i="17" s="1"/>
  <c r="J215" i="17"/>
  <c r="I215" i="17"/>
  <c r="K215" i="17" s="1"/>
  <c r="J214" i="17"/>
  <c r="I214" i="17"/>
  <c r="K214" i="17" s="1"/>
  <c r="J213" i="17"/>
  <c r="I213" i="17"/>
  <c r="K213" i="17" s="1"/>
  <c r="J212" i="17"/>
  <c r="I212" i="17"/>
  <c r="K212" i="17" s="1"/>
  <c r="J211" i="17"/>
  <c r="I211" i="17"/>
  <c r="K211" i="17" s="1"/>
  <c r="J210" i="17"/>
  <c r="I210" i="17"/>
  <c r="K210" i="17" s="1"/>
  <c r="J209" i="17"/>
  <c r="I209" i="17"/>
  <c r="K209" i="17" s="1"/>
  <c r="J208" i="17"/>
  <c r="I208" i="17"/>
  <c r="K208" i="17" s="1"/>
  <c r="J207" i="17"/>
  <c r="I207" i="17"/>
  <c r="K207" i="17" s="1"/>
  <c r="J206" i="17"/>
  <c r="I206" i="17"/>
  <c r="K206" i="17" s="1"/>
  <c r="J205" i="17"/>
  <c r="I205" i="17"/>
  <c r="K205" i="17" s="1"/>
  <c r="J204" i="17"/>
  <c r="I204" i="17"/>
  <c r="K204" i="17" s="1"/>
  <c r="J203" i="17"/>
  <c r="I203" i="17"/>
  <c r="K203" i="17" s="1"/>
  <c r="J202" i="17"/>
  <c r="I202" i="17"/>
  <c r="K202" i="17" s="1"/>
  <c r="J201" i="17"/>
  <c r="I201" i="17"/>
  <c r="K201" i="17" s="1"/>
  <c r="J200" i="17"/>
  <c r="I200" i="17"/>
  <c r="K200" i="17" s="1"/>
  <c r="J199" i="17"/>
  <c r="I199" i="17"/>
  <c r="K199" i="17" s="1"/>
  <c r="J198" i="17"/>
  <c r="I198" i="17"/>
  <c r="K198" i="17" s="1"/>
  <c r="J197" i="17"/>
  <c r="I197" i="17"/>
  <c r="K197" i="17" s="1"/>
  <c r="J196" i="17"/>
  <c r="I196" i="17"/>
  <c r="K196" i="17" s="1"/>
  <c r="J195" i="17"/>
  <c r="I195" i="17"/>
  <c r="K195" i="17" s="1"/>
  <c r="J194" i="17"/>
  <c r="I194" i="17"/>
  <c r="K194" i="17" s="1"/>
  <c r="J193" i="17"/>
  <c r="I193" i="17"/>
  <c r="K193" i="17" s="1"/>
  <c r="J192" i="17"/>
  <c r="I192" i="17"/>
  <c r="K192" i="17" s="1"/>
  <c r="L192" i="17" s="1"/>
  <c r="J191" i="17"/>
  <c r="I191" i="17"/>
  <c r="K191" i="17" s="1"/>
  <c r="J190" i="17"/>
  <c r="I190" i="17"/>
  <c r="K190" i="17" s="1"/>
  <c r="J189" i="17"/>
  <c r="I189" i="17"/>
  <c r="K189" i="17" s="1"/>
  <c r="J188" i="17"/>
  <c r="I188" i="17"/>
  <c r="K188" i="17" s="1"/>
  <c r="J187" i="17"/>
  <c r="I187" i="17"/>
  <c r="K187" i="17" s="1"/>
  <c r="J186" i="17"/>
  <c r="I186" i="17"/>
  <c r="K186" i="17" s="1"/>
  <c r="J185" i="17"/>
  <c r="I185" i="17"/>
  <c r="K185" i="17" s="1"/>
  <c r="J184" i="17"/>
  <c r="I184" i="17"/>
  <c r="K184" i="17" s="1"/>
  <c r="L184" i="17" s="1"/>
  <c r="J183" i="17"/>
  <c r="I183" i="17"/>
  <c r="K183" i="17" s="1"/>
  <c r="J182" i="17"/>
  <c r="I182" i="17"/>
  <c r="K182" i="17" s="1"/>
  <c r="J181" i="17"/>
  <c r="I181" i="17"/>
  <c r="K181" i="17" s="1"/>
  <c r="L181" i="17" s="1"/>
  <c r="J180" i="17"/>
  <c r="I180" i="17"/>
  <c r="K180" i="17" s="1"/>
  <c r="J179" i="17"/>
  <c r="I179" i="17"/>
  <c r="K179" i="17" s="1"/>
  <c r="J178" i="17"/>
  <c r="I178" i="17"/>
  <c r="K178" i="17" s="1"/>
  <c r="J177" i="17"/>
  <c r="I177" i="17"/>
  <c r="K177" i="17" s="1"/>
  <c r="J176" i="17"/>
  <c r="I176" i="17"/>
  <c r="K176" i="17" s="1"/>
  <c r="L176" i="17" s="1"/>
  <c r="J175" i="17"/>
  <c r="I175" i="17"/>
  <c r="K175" i="17" s="1"/>
  <c r="J174" i="17"/>
  <c r="I174" i="17"/>
  <c r="K174" i="17" s="1"/>
  <c r="J173" i="17"/>
  <c r="I173" i="17"/>
  <c r="K173" i="17" s="1"/>
  <c r="L173" i="17" s="1"/>
  <c r="J172" i="17"/>
  <c r="I172" i="17"/>
  <c r="K172" i="17" s="1"/>
  <c r="L172" i="17" s="1"/>
  <c r="J171" i="17"/>
  <c r="I171" i="17"/>
  <c r="K171" i="17" s="1"/>
  <c r="J170" i="17"/>
  <c r="I170" i="17"/>
  <c r="K170" i="17" s="1"/>
  <c r="J169" i="17"/>
  <c r="I169" i="17"/>
  <c r="K169" i="17" s="1"/>
  <c r="J168" i="17"/>
  <c r="I168" i="17"/>
  <c r="K168" i="17" s="1"/>
  <c r="L168" i="17" s="1"/>
  <c r="J167" i="17"/>
  <c r="I167" i="17"/>
  <c r="K167" i="17" s="1"/>
  <c r="J166" i="17"/>
  <c r="I166" i="17"/>
  <c r="K166" i="17" s="1"/>
  <c r="J165" i="17"/>
  <c r="I165" i="17"/>
  <c r="K165" i="17" s="1"/>
  <c r="J164" i="17"/>
  <c r="I164" i="17"/>
  <c r="K164" i="17" s="1"/>
  <c r="J163" i="17"/>
  <c r="I163" i="17"/>
  <c r="K163" i="17" s="1"/>
  <c r="J162" i="17"/>
  <c r="I162" i="17"/>
  <c r="K162" i="17" s="1"/>
  <c r="J161" i="17"/>
  <c r="I161" i="17"/>
  <c r="K161" i="17" s="1"/>
  <c r="J160" i="17"/>
  <c r="I160" i="17"/>
  <c r="K160" i="17" s="1"/>
  <c r="L160" i="17" s="1"/>
  <c r="J159" i="17"/>
  <c r="I159" i="17"/>
  <c r="K159" i="17" s="1"/>
  <c r="J158" i="17"/>
  <c r="I158" i="17"/>
  <c r="K158" i="17" s="1"/>
  <c r="J157" i="17"/>
  <c r="I157" i="17"/>
  <c r="K157" i="17" s="1"/>
  <c r="J156" i="17"/>
  <c r="I156" i="17"/>
  <c r="K156" i="17" s="1"/>
  <c r="J155" i="17"/>
  <c r="I155" i="17"/>
  <c r="K155" i="17" s="1"/>
  <c r="J154" i="17"/>
  <c r="I154" i="17"/>
  <c r="K154" i="17" s="1"/>
  <c r="J153" i="17"/>
  <c r="I153" i="17"/>
  <c r="K153" i="17" s="1"/>
  <c r="J152" i="17"/>
  <c r="I152" i="17"/>
  <c r="K152" i="17" s="1"/>
  <c r="J151" i="17"/>
  <c r="I151" i="17"/>
  <c r="K151" i="17" s="1"/>
  <c r="J150" i="17"/>
  <c r="I150" i="17"/>
  <c r="K150" i="17" s="1"/>
  <c r="L150" i="17" s="1"/>
  <c r="J149" i="17"/>
  <c r="I149" i="17"/>
  <c r="K149" i="17" s="1"/>
  <c r="J148" i="17"/>
  <c r="I148" i="17"/>
  <c r="K148" i="17" s="1"/>
  <c r="J147" i="17"/>
  <c r="I147" i="17"/>
  <c r="K147" i="17" s="1"/>
  <c r="J146" i="17"/>
  <c r="I146" i="17"/>
  <c r="K146" i="17" s="1"/>
  <c r="L146" i="17" s="1"/>
  <c r="J145" i="17"/>
  <c r="I145" i="17"/>
  <c r="K145" i="17" s="1"/>
  <c r="J144" i="17"/>
  <c r="I144" i="17"/>
  <c r="K144" i="17" s="1"/>
  <c r="J143" i="17"/>
  <c r="I143" i="17"/>
  <c r="K143" i="17" s="1"/>
  <c r="J142" i="17"/>
  <c r="I142" i="17"/>
  <c r="K142" i="17" s="1"/>
  <c r="L142" i="17" s="1"/>
  <c r="J141" i="17"/>
  <c r="I141" i="17"/>
  <c r="K141" i="17" s="1"/>
  <c r="J140" i="17"/>
  <c r="I140" i="17"/>
  <c r="K140" i="17" s="1"/>
  <c r="J139" i="17"/>
  <c r="I139" i="17"/>
  <c r="K139" i="17" s="1"/>
  <c r="J138" i="17"/>
  <c r="I138" i="17"/>
  <c r="K138" i="17" s="1"/>
  <c r="J137" i="17"/>
  <c r="I137" i="17"/>
  <c r="K137" i="17" s="1"/>
  <c r="J136" i="17"/>
  <c r="I136" i="17"/>
  <c r="K136" i="17" s="1"/>
  <c r="J135" i="17"/>
  <c r="I135" i="17"/>
  <c r="K135" i="17" s="1"/>
  <c r="J134" i="17"/>
  <c r="I134" i="17"/>
  <c r="K134" i="17" s="1"/>
  <c r="J133" i="17"/>
  <c r="I133" i="17"/>
  <c r="K133" i="17" s="1"/>
  <c r="J132" i="17"/>
  <c r="I132" i="17"/>
  <c r="K132" i="17" s="1"/>
  <c r="J131" i="17"/>
  <c r="I131" i="17"/>
  <c r="K131" i="17" s="1"/>
  <c r="J130" i="17"/>
  <c r="I130" i="17"/>
  <c r="K130" i="17" s="1"/>
  <c r="L130" i="17" s="1"/>
  <c r="J129" i="17"/>
  <c r="I129" i="17"/>
  <c r="K129" i="17" s="1"/>
  <c r="J128" i="17"/>
  <c r="I128" i="17"/>
  <c r="K128" i="17" s="1"/>
  <c r="J127" i="17"/>
  <c r="I127" i="17"/>
  <c r="K127" i="17" s="1"/>
  <c r="L127" i="17" s="1"/>
  <c r="J126" i="17"/>
  <c r="I126" i="17"/>
  <c r="K126" i="17" s="1"/>
  <c r="L126" i="17" s="1"/>
  <c r="J125" i="17"/>
  <c r="I125" i="17"/>
  <c r="K125" i="17" s="1"/>
  <c r="J124" i="17"/>
  <c r="I124" i="17"/>
  <c r="K124" i="17" s="1"/>
  <c r="J123" i="17"/>
  <c r="I123" i="17"/>
  <c r="K123" i="17" s="1"/>
  <c r="J122" i="17"/>
  <c r="I122" i="17"/>
  <c r="K122" i="17" s="1"/>
  <c r="J121" i="17"/>
  <c r="I121" i="17"/>
  <c r="K121" i="17" s="1"/>
  <c r="J120" i="17"/>
  <c r="I120" i="17"/>
  <c r="K120" i="17" s="1"/>
  <c r="J119" i="17"/>
  <c r="I119" i="17"/>
  <c r="K119" i="17" s="1"/>
  <c r="J118" i="17"/>
  <c r="I118" i="17"/>
  <c r="K118" i="17" s="1"/>
  <c r="J117" i="17"/>
  <c r="I117" i="17"/>
  <c r="K117" i="17" s="1"/>
  <c r="J116" i="17"/>
  <c r="I116" i="17"/>
  <c r="K116" i="17" s="1"/>
  <c r="J115" i="17"/>
  <c r="I115" i="17"/>
  <c r="K115" i="17" s="1"/>
  <c r="J114" i="17"/>
  <c r="I114" i="17"/>
  <c r="K114" i="17" s="1"/>
  <c r="J113" i="17"/>
  <c r="I113" i="17"/>
  <c r="K113" i="17" s="1"/>
  <c r="J112" i="17"/>
  <c r="I112" i="17"/>
  <c r="K112" i="17" s="1"/>
  <c r="J111" i="17"/>
  <c r="I111" i="17"/>
  <c r="K111" i="17" s="1"/>
  <c r="J110" i="17"/>
  <c r="I110" i="17"/>
  <c r="K110" i="17" s="1"/>
  <c r="J109" i="17"/>
  <c r="I109" i="17"/>
  <c r="K109" i="17" s="1"/>
  <c r="J108" i="17"/>
  <c r="I108" i="17"/>
  <c r="K108" i="17" s="1"/>
  <c r="J107" i="17"/>
  <c r="I107" i="17"/>
  <c r="K107" i="17" s="1"/>
  <c r="J106" i="17"/>
  <c r="I106" i="17"/>
  <c r="K106" i="17" s="1"/>
  <c r="J105" i="17"/>
  <c r="I105" i="17"/>
  <c r="K105" i="17" s="1"/>
  <c r="L105" i="17" s="1"/>
  <c r="J104" i="17"/>
  <c r="I104" i="17"/>
  <c r="K104" i="17" s="1"/>
  <c r="J103" i="17"/>
  <c r="I103" i="17"/>
  <c r="K103" i="17" s="1"/>
  <c r="J102" i="17"/>
  <c r="I102" i="17"/>
  <c r="K102" i="17" s="1"/>
  <c r="J101" i="17"/>
  <c r="I101" i="17"/>
  <c r="K101" i="17" s="1"/>
  <c r="L101" i="17" s="1"/>
  <c r="J100" i="17"/>
  <c r="I100" i="17"/>
  <c r="K100" i="17" s="1"/>
  <c r="J99" i="17"/>
  <c r="I99" i="17"/>
  <c r="K99" i="17" s="1"/>
  <c r="J98" i="17"/>
  <c r="I98" i="17"/>
  <c r="K98" i="17" s="1"/>
  <c r="L98" i="17" s="1"/>
  <c r="J97" i="17"/>
  <c r="I97" i="17"/>
  <c r="K97" i="17" s="1"/>
  <c r="L97" i="17" s="1"/>
  <c r="J96" i="17"/>
  <c r="I96" i="17"/>
  <c r="K96" i="17" s="1"/>
  <c r="J95" i="17"/>
  <c r="I95" i="17"/>
  <c r="K95" i="17" s="1"/>
  <c r="J94" i="17"/>
  <c r="I94" i="17"/>
  <c r="K94" i="17" s="1"/>
  <c r="J93" i="17"/>
  <c r="I93" i="17"/>
  <c r="K93" i="17" s="1"/>
  <c r="J92" i="17"/>
  <c r="I92" i="17"/>
  <c r="K92" i="17" s="1"/>
  <c r="J91" i="17"/>
  <c r="I91" i="17"/>
  <c r="K91" i="17" s="1"/>
  <c r="L91" i="17" s="1"/>
  <c r="J90" i="17"/>
  <c r="I90" i="17"/>
  <c r="K90" i="17" s="1"/>
  <c r="J89" i="17"/>
  <c r="I89" i="17"/>
  <c r="K89" i="17" s="1"/>
  <c r="J88" i="17"/>
  <c r="I88" i="17"/>
  <c r="K88" i="17" s="1"/>
  <c r="J87" i="17"/>
  <c r="I87" i="17"/>
  <c r="K87" i="17" s="1"/>
  <c r="J86" i="17"/>
  <c r="I86" i="17"/>
  <c r="K86" i="17" s="1"/>
  <c r="J85" i="17"/>
  <c r="I85" i="17"/>
  <c r="K85" i="17" s="1"/>
  <c r="L85" i="17" s="1"/>
  <c r="J84" i="17"/>
  <c r="I84" i="17"/>
  <c r="K84" i="17" s="1"/>
  <c r="J83" i="17"/>
  <c r="I83" i="17"/>
  <c r="K83" i="17" s="1"/>
  <c r="L83" i="17" s="1"/>
  <c r="J82" i="17"/>
  <c r="I82" i="17"/>
  <c r="K82" i="17" s="1"/>
  <c r="L82" i="17" s="1"/>
  <c r="J81" i="17"/>
  <c r="I81" i="17"/>
  <c r="K81" i="17" s="1"/>
  <c r="J80" i="17"/>
  <c r="I80" i="17"/>
  <c r="K80" i="17" s="1"/>
  <c r="J79" i="17"/>
  <c r="I79" i="17"/>
  <c r="K79" i="17" s="1"/>
  <c r="L79" i="17" s="1"/>
  <c r="V81" i="17" s="1"/>
  <c r="J78" i="17"/>
  <c r="I78" i="17"/>
  <c r="K78" i="17" s="1"/>
  <c r="L78" i="17" s="1"/>
  <c r="J77" i="17"/>
  <c r="I77" i="17"/>
  <c r="K77" i="17" s="1"/>
  <c r="L77" i="17" s="1"/>
  <c r="V79" i="17" s="1"/>
  <c r="J76" i="17"/>
  <c r="I76" i="17"/>
  <c r="K76" i="17" s="1"/>
  <c r="J75" i="17"/>
  <c r="I75" i="17"/>
  <c r="K75" i="17" s="1"/>
  <c r="L75" i="17" s="1"/>
  <c r="V77" i="17" s="1"/>
  <c r="J74" i="17"/>
  <c r="I74" i="17"/>
  <c r="K74" i="17" s="1"/>
  <c r="L74" i="17" s="1"/>
  <c r="J73" i="17"/>
  <c r="I73" i="17"/>
  <c r="K73" i="17" s="1"/>
  <c r="L73" i="17" s="1"/>
  <c r="V75" i="17" s="1"/>
  <c r="J72" i="17"/>
  <c r="I72" i="17"/>
  <c r="K72" i="17" s="1"/>
  <c r="J71" i="17"/>
  <c r="I71" i="17"/>
  <c r="K71" i="17" s="1"/>
  <c r="J70" i="17"/>
  <c r="I70" i="17"/>
  <c r="K70" i="17" s="1"/>
  <c r="J69" i="17"/>
  <c r="I69" i="17"/>
  <c r="K69" i="17" s="1"/>
  <c r="J68" i="17"/>
  <c r="I68" i="17"/>
  <c r="K68" i="17" s="1"/>
  <c r="J67" i="17"/>
  <c r="I67" i="17"/>
  <c r="K67" i="17" s="1"/>
  <c r="J66" i="17"/>
  <c r="I66" i="17"/>
  <c r="K66" i="17" s="1"/>
  <c r="J65" i="17"/>
  <c r="I65" i="17"/>
  <c r="K65" i="17" s="1"/>
  <c r="J64" i="17"/>
  <c r="I64" i="17"/>
  <c r="K64" i="17" s="1"/>
  <c r="J63" i="17"/>
  <c r="I63" i="17"/>
  <c r="K63" i="17" s="1"/>
  <c r="J62" i="17"/>
  <c r="I62" i="17"/>
  <c r="K62" i="17" s="1"/>
  <c r="L62" i="17" s="1"/>
  <c r="J61" i="17"/>
  <c r="I61" i="17"/>
  <c r="K61" i="17" s="1"/>
  <c r="J60" i="17"/>
  <c r="I60" i="17"/>
  <c r="K60" i="17" s="1"/>
  <c r="J59" i="17"/>
  <c r="I59" i="17"/>
  <c r="K59" i="17" s="1"/>
  <c r="J58" i="17"/>
  <c r="I58" i="17"/>
  <c r="K58" i="17" s="1"/>
  <c r="L58" i="17" s="1"/>
  <c r="J57" i="17"/>
  <c r="I57" i="17"/>
  <c r="K57" i="17" s="1"/>
  <c r="J56" i="17"/>
  <c r="I56" i="17"/>
  <c r="K56" i="17" s="1"/>
  <c r="J55" i="17"/>
  <c r="I55" i="17"/>
  <c r="K55" i="17" s="1"/>
  <c r="L55" i="17" s="1"/>
  <c r="J54" i="17"/>
  <c r="I54" i="17"/>
  <c r="K54" i="17" s="1"/>
  <c r="J53" i="17"/>
  <c r="I53" i="17"/>
  <c r="K53" i="17" s="1"/>
  <c r="J52" i="17"/>
  <c r="I52" i="17"/>
  <c r="K52" i="17" s="1"/>
  <c r="J51" i="17"/>
  <c r="I51" i="17"/>
  <c r="K51" i="17" s="1"/>
  <c r="J50" i="17"/>
  <c r="I50" i="17"/>
  <c r="K50" i="17" s="1"/>
  <c r="J49" i="17"/>
  <c r="I49" i="17"/>
  <c r="K49" i="17" s="1"/>
  <c r="J48" i="17"/>
  <c r="I48" i="17"/>
  <c r="K48" i="17" s="1"/>
  <c r="J47" i="17"/>
  <c r="I47" i="17"/>
  <c r="K47" i="17" s="1"/>
  <c r="J46" i="17"/>
  <c r="I46" i="17"/>
  <c r="K46" i="17" s="1"/>
  <c r="J45" i="17"/>
  <c r="I45" i="17"/>
  <c r="K45" i="17" s="1"/>
  <c r="J44" i="17"/>
  <c r="I44" i="17"/>
  <c r="K44" i="17" s="1"/>
  <c r="J43" i="17"/>
  <c r="I43" i="17"/>
  <c r="K43" i="17" s="1"/>
  <c r="J42" i="17"/>
  <c r="I42" i="17"/>
  <c r="K42" i="17" s="1"/>
  <c r="J41" i="17"/>
  <c r="I41" i="17"/>
  <c r="K41" i="17" s="1"/>
  <c r="L41" i="17" s="1"/>
  <c r="J40" i="17"/>
  <c r="I40" i="17"/>
  <c r="K40" i="17" s="1"/>
  <c r="J39" i="17"/>
  <c r="I39" i="17"/>
  <c r="K39" i="17" s="1"/>
  <c r="J38" i="17"/>
  <c r="I38" i="17"/>
  <c r="K38" i="17" s="1"/>
  <c r="L38" i="17" s="1"/>
  <c r="J37" i="17"/>
  <c r="I37" i="17"/>
  <c r="K37" i="17" s="1"/>
  <c r="L37" i="17" s="1"/>
  <c r="J36" i="17"/>
  <c r="I36" i="17"/>
  <c r="K36" i="17" s="1"/>
  <c r="J35" i="17"/>
  <c r="I35" i="17"/>
  <c r="K35" i="17" s="1"/>
  <c r="J34" i="17"/>
  <c r="I34" i="17"/>
  <c r="K34" i="17" s="1"/>
  <c r="J33" i="17"/>
  <c r="I33" i="17"/>
  <c r="K33" i="17" s="1"/>
  <c r="J32" i="17"/>
  <c r="I32" i="17"/>
  <c r="K32" i="17" s="1"/>
  <c r="J31" i="17"/>
  <c r="I31" i="17"/>
  <c r="K31" i="17" s="1"/>
  <c r="J30" i="17"/>
  <c r="I30" i="17"/>
  <c r="K30" i="17" s="1"/>
  <c r="J29" i="17"/>
  <c r="I29" i="17"/>
  <c r="K29" i="17" s="1"/>
  <c r="L29" i="17" s="1"/>
  <c r="J28" i="17"/>
  <c r="I28" i="17"/>
  <c r="K28" i="17" s="1"/>
  <c r="J27" i="17"/>
  <c r="I27" i="17"/>
  <c r="K27" i="17" s="1"/>
  <c r="J26" i="17"/>
  <c r="I26" i="17"/>
  <c r="K26" i="17" s="1"/>
  <c r="J25" i="17"/>
  <c r="I25" i="17"/>
  <c r="K25" i="17" s="1"/>
  <c r="J24" i="17"/>
  <c r="I24" i="17"/>
  <c r="K24" i="17" s="1"/>
  <c r="J23" i="17"/>
  <c r="I23" i="17"/>
  <c r="K23" i="17" s="1"/>
  <c r="J22" i="17"/>
  <c r="I22" i="17"/>
  <c r="K22" i="17" s="1"/>
  <c r="J21" i="17"/>
  <c r="I21" i="17"/>
  <c r="K21" i="17" s="1"/>
  <c r="J20" i="17"/>
  <c r="I20" i="17"/>
  <c r="K20" i="17" s="1"/>
  <c r="J19" i="17"/>
  <c r="I19" i="17"/>
  <c r="K19" i="17" s="1"/>
  <c r="J18" i="17"/>
  <c r="I18" i="17"/>
  <c r="K18" i="17" s="1"/>
  <c r="L18" i="17" s="1"/>
  <c r="J17" i="17"/>
  <c r="I17" i="17"/>
  <c r="K17" i="17" s="1"/>
  <c r="J16" i="17"/>
  <c r="I16" i="17"/>
  <c r="K16" i="17" s="1"/>
  <c r="J15" i="17"/>
  <c r="I15" i="17"/>
  <c r="K15" i="17" s="1"/>
  <c r="J14" i="17"/>
  <c r="I14" i="17"/>
  <c r="K14" i="17" s="1"/>
  <c r="J13" i="17"/>
  <c r="I13" i="17"/>
  <c r="K13" i="17" s="1"/>
  <c r="J12" i="17"/>
  <c r="I12" i="17"/>
  <c r="K12" i="17" s="1"/>
  <c r="J11" i="17"/>
  <c r="I11" i="17"/>
  <c r="K11" i="17" s="1"/>
  <c r="J10" i="17"/>
  <c r="I10" i="17"/>
  <c r="K10" i="17" s="1"/>
  <c r="J9" i="17"/>
  <c r="I9" i="17"/>
  <c r="K9" i="17" s="1"/>
  <c r="J8" i="17"/>
  <c r="I8" i="17"/>
  <c r="K8" i="17" s="1"/>
  <c r="J7" i="17"/>
  <c r="I7" i="17"/>
  <c r="K7" i="17" s="1"/>
  <c r="J6" i="17"/>
  <c r="I6" i="17"/>
  <c r="K6" i="17" s="1"/>
  <c r="J5" i="17"/>
  <c r="I5" i="17"/>
  <c r="K5" i="17" s="1"/>
  <c r="J4" i="17"/>
  <c r="I4" i="17"/>
  <c r="K4" i="17" s="1"/>
  <c r="J3" i="17"/>
  <c r="I3" i="17"/>
  <c r="K3" i="17" s="1"/>
  <c r="J2" i="17"/>
  <c r="I2" i="17"/>
  <c r="K2" i="17" s="1"/>
  <c r="J322" i="16"/>
  <c r="I322" i="16"/>
  <c r="K322" i="16" s="1"/>
  <c r="J321" i="16"/>
  <c r="I321" i="16"/>
  <c r="K321" i="16" s="1"/>
  <c r="J320" i="16"/>
  <c r="I320" i="16"/>
  <c r="K320" i="16" s="1"/>
  <c r="L320" i="16" s="1"/>
  <c r="J319" i="16"/>
  <c r="I319" i="16"/>
  <c r="K319" i="16" s="1"/>
  <c r="J318" i="16"/>
  <c r="I318" i="16"/>
  <c r="K318" i="16" s="1"/>
  <c r="J317" i="16"/>
  <c r="I317" i="16"/>
  <c r="K317" i="16" s="1"/>
  <c r="J316" i="16"/>
  <c r="I316" i="16"/>
  <c r="K316" i="16" s="1"/>
  <c r="L316" i="16" s="1"/>
  <c r="V98" i="16" s="1"/>
  <c r="J315" i="16"/>
  <c r="I315" i="16"/>
  <c r="K315" i="16" s="1"/>
  <c r="J314" i="16"/>
  <c r="I314" i="16"/>
  <c r="K314" i="16" s="1"/>
  <c r="J313" i="16"/>
  <c r="I313" i="16"/>
  <c r="K313" i="16" s="1"/>
  <c r="J312" i="16"/>
  <c r="I312" i="16"/>
  <c r="K312" i="16" s="1"/>
  <c r="L312" i="16" s="1"/>
  <c r="V94" i="16" s="1"/>
  <c r="J311" i="16"/>
  <c r="I311" i="16"/>
  <c r="K311" i="16" s="1"/>
  <c r="J310" i="16"/>
  <c r="I310" i="16"/>
  <c r="K310" i="16" s="1"/>
  <c r="J309" i="16"/>
  <c r="I309" i="16"/>
  <c r="K309" i="16" s="1"/>
  <c r="J308" i="16"/>
  <c r="I308" i="16"/>
  <c r="K308" i="16" s="1"/>
  <c r="L308" i="16" s="1"/>
  <c r="V90" i="16" s="1"/>
  <c r="J307" i="16"/>
  <c r="I307" i="16"/>
  <c r="K307" i="16" s="1"/>
  <c r="J306" i="16"/>
  <c r="I306" i="16"/>
  <c r="K306" i="16" s="1"/>
  <c r="J305" i="16"/>
  <c r="I305" i="16"/>
  <c r="K305" i="16" s="1"/>
  <c r="J304" i="16"/>
  <c r="I304" i="16"/>
  <c r="K304" i="16" s="1"/>
  <c r="L304" i="16" s="1"/>
  <c r="J303" i="16"/>
  <c r="I303" i="16"/>
  <c r="K303" i="16" s="1"/>
  <c r="J302" i="16"/>
  <c r="I302" i="16"/>
  <c r="K302" i="16" s="1"/>
  <c r="J301" i="16"/>
  <c r="I301" i="16"/>
  <c r="K301" i="16" s="1"/>
  <c r="J300" i="16"/>
  <c r="I300" i="16"/>
  <c r="K300" i="16" s="1"/>
  <c r="L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J294" i="16"/>
  <c r="I294" i="16"/>
  <c r="K294" i="16" s="1"/>
  <c r="J293" i="16"/>
  <c r="I293" i="16"/>
  <c r="K293" i="16" s="1"/>
  <c r="J292" i="16"/>
  <c r="I292" i="16"/>
  <c r="K292" i="16" s="1"/>
  <c r="J291" i="16"/>
  <c r="I291" i="16"/>
  <c r="K291" i="16" s="1"/>
  <c r="J290" i="16"/>
  <c r="I290" i="16"/>
  <c r="K290" i="16" s="1"/>
  <c r="J289" i="16"/>
  <c r="I289" i="16"/>
  <c r="K289" i="16" s="1"/>
  <c r="J288" i="16"/>
  <c r="I288" i="16"/>
  <c r="K288" i="16" s="1"/>
  <c r="J287" i="16"/>
  <c r="I287" i="16"/>
  <c r="K287" i="16" s="1"/>
  <c r="J286" i="16"/>
  <c r="I286" i="16"/>
  <c r="K286" i="16" s="1"/>
  <c r="J285" i="16"/>
  <c r="I285" i="16"/>
  <c r="K285" i="16" s="1"/>
  <c r="J284" i="16"/>
  <c r="I284" i="16"/>
  <c r="K284" i="16" s="1"/>
  <c r="J283" i="16"/>
  <c r="I283" i="16"/>
  <c r="K283" i="16" s="1"/>
  <c r="J282" i="16"/>
  <c r="I282" i="16"/>
  <c r="K282" i="16" s="1"/>
  <c r="J281" i="16"/>
  <c r="I281" i="16"/>
  <c r="K281" i="16" s="1"/>
  <c r="J280" i="16"/>
  <c r="I280" i="16"/>
  <c r="K280" i="16" s="1"/>
  <c r="J279" i="16"/>
  <c r="I279" i="16"/>
  <c r="K279" i="16" s="1"/>
  <c r="J278" i="16"/>
  <c r="I278" i="16"/>
  <c r="K278" i="16" s="1"/>
  <c r="J277" i="16"/>
  <c r="I277" i="16"/>
  <c r="K277" i="16" s="1"/>
  <c r="J276" i="16"/>
  <c r="I276" i="16"/>
  <c r="K276" i="16" s="1"/>
  <c r="L276" i="16" s="1"/>
  <c r="J275" i="16"/>
  <c r="I275" i="16"/>
  <c r="K275" i="16" s="1"/>
  <c r="J274" i="16"/>
  <c r="I274" i="16"/>
  <c r="K274" i="16" s="1"/>
  <c r="J273" i="16"/>
  <c r="I273" i="16"/>
  <c r="K273" i="16" s="1"/>
  <c r="J272" i="16"/>
  <c r="I272" i="16"/>
  <c r="K272" i="16" s="1"/>
  <c r="J271" i="16"/>
  <c r="I271" i="16"/>
  <c r="K271" i="16" s="1"/>
  <c r="J270" i="16"/>
  <c r="I270" i="16"/>
  <c r="K270" i="16" s="1"/>
  <c r="J269" i="16"/>
  <c r="I269" i="16"/>
  <c r="K269" i="16" s="1"/>
  <c r="J268" i="16"/>
  <c r="I268" i="16"/>
  <c r="K268" i="16" s="1"/>
  <c r="L268" i="16" s="1"/>
  <c r="J267" i="16"/>
  <c r="I267" i="16"/>
  <c r="K267" i="16" s="1"/>
  <c r="J266" i="16"/>
  <c r="I266" i="16"/>
  <c r="K266" i="16" s="1"/>
  <c r="J265" i="16"/>
  <c r="I265" i="16"/>
  <c r="K265" i="16" s="1"/>
  <c r="J264" i="16"/>
  <c r="I264" i="16"/>
  <c r="K264" i="16" s="1"/>
  <c r="L264" i="16" s="1"/>
  <c r="J263" i="16"/>
  <c r="I263" i="16"/>
  <c r="K263" i="16" s="1"/>
  <c r="J262" i="16"/>
  <c r="I262" i="16"/>
  <c r="K262" i="16" s="1"/>
  <c r="J261" i="16"/>
  <c r="I261" i="16"/>
  <c r="K261" i="16" s="1"/>
  <c r="J260" i="16"/>
  <c r="I260" i="16"/>
  <c r="K260" i="16" s="1"/>
  <c r="J259" i="16"/>
  <c r="I259" i="16"/>
  <c r="K259" i="16" s="1"/>
  <c r="J258" i="16"/>
  <c r="I258" i="16"/>
  <c r="K258" i="16" s="1"/>
  <c r="J257" i="16"/>
  <c r="I257" i="16"/>
  <c r="K257" i="16" s="1"/>
  <c r="J256" i="16"/>
  <c r="I256" i="16"/>
  <c r="K256" i="16" s="1"/>
  <c r="L256" i="16" s="1"/>
  <c r="J255" i="16"/>
  <c r="I255" i="16"/>
  <c r="K255" i="16" s="1"/>
  <c r="J254" i="16"/>
  <c r="I254" i="16"/>
  <c r="K254" i="16" s="1"/>
  <c r="J253" i="16"/>
  <c r="I253" i="16"/>
  <c r="K253" i="16" s="1"/>
  <c r="J252" i="16"/>
  <c r="I252" i="16"/>
  <c r="K252" i="16" s="1"/>
  <c r="L252" i="16" s="1"/>
  <c r="J251" i="16"/>
  <c r="I251" i="16"/>
  <c r="K251" i="16" s="1"/>
  <c r="J250" i="16"/>
  <c r="I250" i="16"/>
  <c r="K250" i="16" s="1"/>
  <c r="J249" i="16"/>
  <c r="I249" i="16"/>
  <c r="K249" i="16" s="1"/>
  <c r="J248" i="16"/>
  <c r="I248" i="16"/>
  <c r="K248" i="16" s="1"/>
  <c r="J247" i="16"/>
  <c r="I247" i="16"/>
  <c r="K247" i="16" s="1"/>
  <c r="J246" i="16"/>
  <c r="I246" i="16"/>
  <c r="K246" i="16" s="1"/>
  <c r="J245" i="16"/>
  <c r="I245" i="16"/>
  <c r="K245" i="16" s="1"/>
  <c r="J244" i="16"/>
  <c r="I244" i="16"/>
  <c r="K244" i="16" s="1"/>
  <c r="L244" i="16" s="1"/>
  <c r="J243" i="16"/>
  <c r="I243" i="16"/>
  <c r="K243" i="16" s="1"/>
  <c r="J242" i="16"/>
  <c r="I242" i="16"/>
  <c r="K242" i="16" s="1"/>
  <c r="J241" i="16"/>
  <c r="I241" i="16"/>
  <c r="K241" i="16" s="1"/>
  <c r="J240" i="16"/>
  <c r="I240" i="16"/>
  <c r="K240" i="16" s="1"/>
  <c r="L240" i="16" s="1"/>
  <c r="J239" i="16"/>
  <c r="I239" i="16"/>
  <c r="K239" i="16" s="1"/>
  <c r="J238" i="16"/>
  <c r="I238" i="16"/>
  <c r="K238" i="16" s="1"/>
  <c r="J237" i="16"/>
  <c r="I237" i="16"/>
  <c r="K237" i="16" s="1"/>
  <c r="J236" i="16"/>
  <c r="I236" i="16"/>
  <c r="K236" i="16" s="1"/>
  <c r="L236" i="16" s="1"/>
  <c r="J235" i="16"/>
  <c r="I235" i="16"/>
  <c r="K235" i="16" s="1"/>
  <c r="J234" i="16"/>
  <c r="I234" i="16"/>
  <c r="K234" i="16" s="1"/>
  <c r="J233" i="16"/>
  <c r="I233" i="16"/>
  <c r="K233" i="16" s="1"/>
  <c r="J232" i="16"/>
  <c r="I232" i="16"/>
  <c r="K232" i="16" s="1"/>
  <c r="L232" i="16" s="1"/>
  <c r="J231" i="16"/>
  <c r="I231" i="16"/>
  <c r="K231" i="16" s="1"/>
  <c r="J230" i="16"/>
  <c r="I230" i="16"/>
  <c r="K230" i="16" s="1"/>
  <c r="J229" i="16"/>
  <c r="I229" i="16"/>
  <c r="K229" i="16" s="1"/>
  <c r="J228" i="16"/>
  <c r="I228" i="16"/>
  <c r="K228" i="16" s="1"/>
  <c r="L228" i="16" s="1"/>
  <c r="J227" i="16"/>
  <c r="I227" i="16"/>
  <c r="K227" i="16" s="1"/>
  <c r="J226" i="16"/>
  <c r="I226" i="16"/>
  <c r="K226" i="16" s="1"/>
  <c r="J225" i="16"/>
  <c r="I225" i="16"/>
  <c r="K225" i="16" s="1"/>
  <c r="J224" i="16"/>
  <c r="I224" i="16"/>
  <c r="K224" i="16" s="1"/>
  <c r="L224" i="16" s="1"/>
  <c r="J223" i="16"/>
  <c r="I223" i="16"/>
  <c r="K223" i="16" s="1"/>
  <c r="J222" i="16"/>
  <c r="I222" i="16"/>
  <c r="K222" i="16" s="1"/>
  <c r="J221" i="16"/>
  <c r="I221" i="16"/>
  <c r="K221" i="16" s="1"/>
  <c r="J220" i="16"/>
  <c r="I220" i="16"/>
  <c r="K220" i="16" s="1"/>
  <c r="L220" i="16" s="1"/>
  <c r="J219" i="16"/>
  <c r="I219" i="16"/>
  <c r="K219" i="16" s="1"/>
  <c r="J218" i="16"/>
  <c r="I218" i="16"/>
  <c r="K218" i="16" s="1"/>
  <c r="J217" i="16"/>
  <c r="I217" i="16"/>
  <c r="K217" i="16" s="1"/>
  <c r="L217" i="16" s="1"/>
  <c r="J216" i="16"/>
  <c r="I216" i="16"/>
  <c r="K216" i="16" s="1"/>
  <c r="L216" i="16" s="1"/>
  <c r="J215" i="16"/>
  <c r="I215" i="16"/>
  <c r="K215" i="16" s="1"/>
  <c r="J214" i="16"/>
  <c r="I214" i="16"/>
  <c r="K214" i="16" s="1"/>
  <c r="J213" i="16"/>
  <c r="I213" i="16"/>
  <c r="K213" i="16" s="1"/>
  <c r="L213" i="16" s="1"/>
  <c r="J212" i="16"/>
  <c r="I212" i="16"/>
  <c r="K212" i="16" s="1"/>
  <c r="L212" i="16" s="1"/>
  <c r="J211" i="16"/>
  <c r="I211" i="16"/>
  <c r="K211" i="16" s="1"/>
  <c r="J210" i="16"/>
  <c r="I210" i="16"/>
  <c r="K210" i="16" s="1"/>
  <c r="J209" i="16"/>
  <c r="I209" i="16"/>
  <c r="K209" i="16" s="1"/>
  <c r="L209" i="16" s="1"/>
  <c r="J208" i="16"/>
  <c r="I208" i="16"/>
  <c r="K208" i="16" s="1"/>
  <c r="L208" i="16" s="1"/>
  <c r="J207" i="16"/>
  <c r="I207" i="16"/>
  <c r="K207" i="16" s="1"/>
  <c r="J206" i="16"/>
  <c r="I206" i="16"/>
  <c r="K206" i="16" s="1"/>
  <c r="J205" i="16"/>
  <c r="I205" i="16"/>
  <c r="K205" i="16" s="1"/>
  <c r="J204" i="16"/>
  <c r="I204" i="16"/>
  <c r="K204" i="16" s="1"/>
  <c r="L204" i="16" s="1"/>
  <c r="J203" i="16"/>
  <c r="I203" i="16"/>
  <c r="K203" i="16" s="1"/>
  <c r="J202" i="16"/>
  <c r="I202" i="16"/>
  <c r="K202" i="16" s="1"/>
  <c r="J201" i="16"/>
  <c r="I201" i="16"/>
  <c r="K201" i="16" s="1"/>
  <c r="L201" i="16" s="1"/>
  <c r="J200" i="16"/>
  <c r="I200" i="16"/>
  <c r="K200" i="16" s="1"/>
  <c r="J199" i="16"/>
  <c r="I199" i="16"/>
  <c r="K199" i="16" s="1"/>
  <c r="J198" i="16"/>
  <c r="I198" i="16"/>
  <c r="K198" i="16" s="1"/>
  <c r="L198" i="16" s="1"/>
  <c r="J197" i="16"/>
  <c r="I197" i="16"/>
  <c r="K197" i="16" s="1"/>
  <c r="J196" i="16"/>
  <c r="I196" i="16"/>
  <c r="K196" i="16" s="1"/>
  <c r="J195" i="16"/>
  <c r="I195" i="16"/>
  <c r="K195" i="16" s="1"/>
  <c r="J194" i="16"/>
  <c r="I194" i="16"/>
  <c r="K194" i="16" s="1"/>
  <c r="L194" i="16" s="1"/>
  <c r="J193" i="16"/>
  <c r="I193" i="16"/>
  <c r="K193" i="16" s="1"/>
  <c r="J192" i="16"/>
  <c r="I192" i="16"/>
  <c r="K192" i="16" s="1"/>
  <c r="J191" i="16"/>
  <c r="I191" i="16"/>
  <c r="K191" i="16" s="1"/>
  <c r="L191" i="16" s="1"/>
  <c r="J190" i="16"/>
  <c r="I190" i="16"/>
  <c r="K190" i="16" s="1"/>
  <c r="J189" i="16"/>
  <c r="I189" i="16"/>
  <c r="K189" i="16" s="1"/>
  <c r="J188" i="16"/>
  <c r="I188" i="16"/>
  <c r="K188" i="16" s="1"/>
  <c r="J187" i="16"/>
  <c r="I187" i="16"/>
  <c r="K187" i="16" s="1"/>
  <c r="L187" i="16" s="1"/>
  <c r="J186" i="16"/>
  <c r="I186" i="16"/>
  <c r="K186" i="16" s="1"/>
  <c r="L186" i="16" s="1"/>
  <c r="J185" i="16"/>
  <c r="I185" i="16"/>
  <c r="K185" i="16" s="1"/>
  <c r="J184" i="16"/>
  <c r="I184" i="16"/>
  <c r="K184" i="16" s="1"/>
  <c r="J183" i="16"/>
  <c r="I183" i="16"/>
  <c r="K183" i="16" s="1"/>
  <c r="L183" i="16" s="1"/>
  <c r="J182" i="16"/>
  <c r="I182" i="16"/>
  <c r="K182" i="16" s="1"/>
  <c r="L182" i="16" s="1"/>
  <c r="J181" i="16"/>
  <c r="I181" i="16"/>
  <c r="K181" i="16" s="1"/>
  <c r="J180" i="16"/>
  <c r="I180" i="16"/>
  <c r="K180" i="16" s="1"/>
  <c r="J179" i="16"/>
  <c r="I179" i="16"/>
  <c r="K179" i="16" s="1"/>
  <c r="L179" i="16" s="1"/>
  <c r="J178" i="16"/>
  <c r="I178" i="16"/>
  <c r="K178" i="16" s="1"/>
  <c r="J177" i="16"/>
  <c r="I177" i="16"/>
  <c r="K177" i="16" s="1"/>
  <c r="J176" i="16"/>
  <c r="I176" i="16"/>
  <c r="K176" i="16" s="1"/>
  <c r="J175" i="16"/>
  <c r="I175" i="16"/>
  <c r="K175" i="16" s="1"/>
  <c r="J174" i="16"/>
  <c r="I174" i="16"/>
  <c r="K174" i="16" s="1"/>
  <c r="L174" i="16" s="1"/>
  <c r="J173" i="16"/>
  <c r="I173" i="16"/>
  <c r="K173" i="16" s="1"/>
  <c r="J172" i="16"/>
  <c r="I172" i="16"/>
  <c r="K172" i="16" s="1"/>
  <c r="J171" i="16"/>
  <c r="I171" i="16"/>
  <c r="K171" i="16" s="1"/>
  <c r="J170" i="16"/>
  <c r="I170" i="16"/>
  <c r="K170" i="16" s="1"/>
  <c r="J169" i="16"/>
  <c r="I169" i="16"/>
  <c r="K169" i="16" s="1"/>
  <c r="J168" i="16"/>
  <c r="I168" i="16"/>
  <c r="K168" i="16" s="1"/>
  <c r="J167" i="16"/>
  <c r="I167" i="16"/>
  <c r="K167" i="16" s="1"/>
  <c r="L167" i="16" s="1"/>
  <c r="J166" i="16"/>
  <c r="I166" i="16"/>
  <c r="K166" i="16" s="1"/>
  <c r="L166" i="16" s="1"/>
  <c r="J165" i="16"/>
  <c r="I165" i="16"/>
  <c r="K165" i="16" s="1"/>
  <c r="L165" i="16" s="1"/>
  <c r="J164" i="16"/>
  <c r="I164" i="16"/>
  <c r="K164" i="16" s="1"/>
  <c r="J163" i="16"/>
  <c r="I163" i="16"/>
  <c r="K163" i="16" s="1"/>
  <c r="J162" i="16"/>
  <c r="I162" i="16"/>
  <c r="K162" i="16" s="1"/>
  <c r="J161" i="16"/>
  <c r="I161" i="16"/>
  <c r="K161" i="16" s="1"/>
  <c r="J160" i="16"/>
  <c r="I160" i="16"/>
  <c r="K160" i="16" s="1"/>
  <c r="J159" i="16"/>
  <c r="I159" i="16"/>
  <c r="K159" i="16" s="1"/>
  <c r="L159" i="16" s="1"/>
  <c r="J158" i="16"/>
  <c r="I158" i="16"/>
  <c r="K158" i="16" s="1"/>
  <c r="J157" i="16"/>
  <c r="I157" i="16"/>
  <c r="K157" i="16" s="1"/>
  <c r="J156" i="16"/>
  <c r="I156" i="16"/>
  <c r="K156" i="16" s="1"/>
  <c r="J155" i="16"/>
  <c r="I155" i="16"/>
  <c r="K155" i="16" s="1"/>
  <c r="J154" i="16"/>
  <c r="I154" i="16"/>
  <c r="K154" i="16" s="1"/>
  <c r="J153" i="16"/>
  <c r="I153" i="16"/>
  <c r="K153" i="16" s="1"/>
  <c r="L153" i="16" s="1"/>
  <c r="J152" i="16"/>
  <c r="I152" i="16"/>
  <c r="K152" i="16" s="1"/>
  <c r="J151" i="16"/>
  <c r="I151" i="16"/>
  <c r="K151" i="16" s="1"/>
  <c r="L151" i="16" s="1"/>
  <c r="J150" i="16"/>
  <c r="I150" i="16"/>
  <c r="K150" i="16" s="1"/>
  <c r="J149" i="16"/>
  <c r="I149" i="16"/>
  <c r="K149" i="16" s="1"/>
  <c r="L149" i="16" s="1"/>
  <c r="J148" i="16"/>
  <c r="I148" i="16"/>
  <c r="K148" i="16" s="1"/>
  <c r="J147" i="16"/>
  <c r="I147" i="16"/>
  <c r="K147" i="16" s="1"/>
  <c r="L147" i="16" s="1"/>
  <c r="J146" i="16"/>
  <c r="I146" i="16"/>
  <c r="K146" i="16" s="1"/>
  <c r="J145" i="16"/>
  <c r="I145" i="16"/>
  <c r="K145" i="16" s="1"/>
  <c r="J144" i="16"/>
  <c r="I144" i="16"/>
  <c r="K144" i="16" s="1"/>
  <c r="J143" i="16"/>
  <c r="I143" i="16"/>
  <c r="K143" i="16" s="1"/>
  <c r="J142" i="16"/>
  <c r="I142" i="16"/>
  <c r="K142" i="16" s="1"/>
  <c r="L142" i="16" s="1"/>
  <c r="J141" i="16"/>
  <c r="I141" i="16"/>
  <c r="K141" i="16" s="1"/>
  <c r="J140" i="16"/>
  <c r="I140" i="16"/>
  <c r="K140" i="16" s="1"/>
  <c r="J139" i="16"/>
  <c r="I139" i="16"/>
  <c r="K139" i="16" s="1"/>
  <c r="L139" i="16" s="1"/>
  <c r="J138" i="16"/>
  <c r="I138" i="16"/>
  <c r="K138" i="16" s="1"/>
  <c r="J137" i="16"/>
  <c r="I137" i="16"/>
  <c r="K137" i="16" s="1"/>
  <c r="J136" i="16"/>
  <c r="I136" i="16"/>
  <c r="K136" i="16" s="1"/>
  <c r="J135" i="16"/>
  <c r="I135" i="16"/>
  <c r="K135" i="16" s="1"/>
  <c r="J134" i="16"/>
  <c r="I134" i="16"/>
  <c r="K134" i="16" s="1"/>
  <c r="L134" i="16" s="1"/>
  <c r="J133" i="16"/>
  <c r="I133" i="16"/>
  <c r="K133" i="16" s="1"/>
  <c r="J132" i="16"/>
  <c r="I132" i="16"/>
  <c r="K132" i="16" s="1"/>
  <c r="J131" i="16"/>
  <c r="I131" i="16"/>
  <c r="K131" i="16" s="1"/>
  <c r="J130" i="16"/>
  <c r="I130" i="16"/>
  <c r="K130" i="16" s="1"/>
  <c r="L130" i="16" s="1"/>
  <c r="J129" i="16"/>
  <c r="I129" i="16"/>
  <c r="K129" i="16" s="1"/>
  <c r="J128" i="16"/>
  <c r="I128" i="16"/>
  <c r="K128" i="16" s="1"/>
  <c r="J127" i="16"/>
  <c r="I127" i="16"/>
  <c r="K127" i="16" s="1"/>
  <c r="L127" i="16" s="1"/>
  <c r="J126" i="16"/>
  <c r="I126" i="16"/>
  <c r="K126" i="16" s="1"/>
  <c r="J125" i="16"/>
  <c r="I125" i="16"/>
  <c r="K125" i="16" s="1"/>
  <c r="L125" i="16" s="1"/>
  <c r="J124" i="16"/>
  <c r="I124" i="16"/>
  <c r="K124" i="16" s="1"/>
  <c r="J123" i="16"/>
  <c r="I123" i="16"/>
  <c r="K123" i="16" s="1"/>
  <c r="L123" i="16" s="1"/>
  <c r="J122" i="16"/>
  <c r="I122" i="16"/>
  <c r="K122" i="16" s="1"/>
  <c r="J121" i="16"/>
  <c r="I121" i="16"/>
  <c r="K121" i="16" s="1"/>
  <c r="J120" i="16"/>
  <c r="I120" i="16"/>
  <c r="K120" i="16" s="1"/>
  <c r="J119" i="16"/>
  <c r="I119" i="16"/>
  <c r="K119" i="16" s="1"/>
  <c r="L119" i="16" s="1"/>
  <c r="J118" i="16"/>
  <c r="I118" i="16"/>
  <c r="K118" i="16" s="1"/>
  <c r="J117" i="16"/>
  <c r="I117" i="16"/>
  <c r="K117" i="16" s="1"/>
  <c r="J116" i="16"/>
  <c r="I116" i="16"/>
  <c r="K116" i="16" s="1"/>
  <c r="J115" i="16"/>
  <c r="I115" i="16"/>
  <c r="K115" i="16" s="1"/>
  <c r="L115" i="16" s="1"/>
  <c r="J114" i="16"/>
  <c r="I114" i="16"/>
  <c r="K114" i="16" s="1"/>
  <c r="J113" i="16"/>
  <c r="I113" i="16"/>
  <c r="K113" i="16" s="1"/>
  <c r="J112" i="16"/>
  <c r="I112" i="16"/>
  <c r="K112" i="16" s="1"/>
  <c r="J111" i="16"/>
  <c r="I111" i="16"/>
  <c r="K111" i="16" s="1"/>
  <c r="L111" i="16" s="1"/>
  <c r="J110" i="16"/>
  <c r="I110" i="16"/>
  <c r="K110" i="16" s="1"/>
  <c r="J109" i="16"/>
  <c r="I109" i="16"/>
  <c r="K109" i="16" s="1"/>
  <c r="J108" i="16"/>
  <c r="I108" i="16"/>
  <c r="K108" i="16" s="1"/>
  <c r="J107" i="16"/>
  <c r="I107" i="16"/>
  <c r="K107" i="16" s="1"/>
  <c r="L107" i="16" s="1"/>
  <c r="J106" i="16"/>
  <c r="I106" i="16"/>
  <c r="K106" i="16" s="1"/>
  <c r="J105" i="16"/>
  <c r="I105" i="16"/>
  <c r="K105" i="16" s="1"/>
  <c r="J104" i="16"/>
  <c r="I104" i="16"/>
  <c r="K104" i="16" s="1"/>
  <c r="J103" i="16"/>
  <c r="I103" i="16"/>
  <c r="K103" i="16" s="1"/>
  <c r="J102" i="16"/>
  <c r="I102" i="16"/>
  <c r="K102" i="16" s="1"/>
  <c r="J101" i="16"/>
  <c r="I101" i="16"/>
  <c r="K101" i="16" s="1"/>
  <c r="J100" i="16"/>
  <c r="I100" i="16"/>
  <c r="K100" i="16" s="1"/>
  <c r="J99" i="16"/>
  <c r="I99" i="16"/>
  <c r="K99" i="16" s="1"/>
  <c r="J98" i="16"/>
  <c r="I98" i="16"/>
  <c r="K98" i="16" s="1"/>
  <c r="L98" i="16" s="1"/>
  <c r="J97" i="16"/>
  <c r="I97" i="16"/>
  <c r="K97" i="16" s="1"/>
  <c r="L97" i="16" s="1"/>
  <c r="J96" i="16"/>
  <c r="I96" i="16"/>
  <c r="K96" i="16" s="1"/>
  <c r="J95" i="16"/>
  <c r="I95" i="16"/>
  <c r="K95" i="16" s="1"/>
  <c r="J94" i="16"/>
  <c r="I94" i="16"/>
  <c r="K94" i="16" s="1"/>
  <c r="J93" i="16"/>
  <c r="I93" i="16"/>
  <c r="K93" i="16" s="1"/>
  <c r="J92" i="16"/>
  <c r="I92" i="16"/>
  <c r="K92" i="16" s="1"/>
  <c r="J91" i="16"/>
  <c r="I91" i="16"/>
  <c r="K91" i="16" s="1"/>
  <c r="J90" i="16"/>
  <c r="I90" i="16"/>
  <c r="K90" i="16" s="1"/>
  <c r="J89" i="16"/>
  <c r="I89" i="16"/>
  <c r="K89" i="16" s="1"/>
  <c r="J88" i="16"/>
  <c r="I88" i="16"/>
  <c r="K88" i="16" s="1"/>
  <c r="J87" i="16"/>
  <c r="I87" i="16"/>
  <c r="K87" i="16" s="1"/>
  <c r="J86" i="16"/>
  <c r="I86" i="16"/>
  <c r="K86" i="16" s="1"/>
  <c r="J85" i="16"/>
  <c r="I85" i="16"/>
  <c r="K85" i="16" s="1"/>
  <c r="J84" i="16"/>
  <c r="I84" i="16"/>
  <c r="K84" i="16" s="1"/>
  <c r="J83" i="16"/>
  <c r="I83" i="16"/>
  <c r="K83" i="16" s="1"/>
  <c r="L83" i="16" s="1"/>
  <c r="J82" i="16"/>
  <c r="I82" i="16"/>
  <c r="K82" i="16" s="1"/>
  <c r="J81" i="16"/>
  <c r="I81" i="16"/>
  <c r="K81" i="16" s="1"/>
  <c r="J80" i="16"/>
  <c r="I80" i="16"/>
  <c r="K80" i="16" s="1"/>
  <c r="J79" i="16"/>
  <c r="I79" i="16"/>
  <c r="K79" i="16" s="1"/>
  <c r="L79" i="16" s="1"/>
  <c r="J78" i="16"/>
  <c r="I78" i="16"/>
  <c r="K78" i="16" s="1"/>
  <c r="J77" i="16"/>
  <c r="I77" i="16"/>
  <c r="K77" i="16" s="1"/>
  <c r="J76" i="16"/>
  <c r="I76" i="16"/>
  <c r="K76" i="16" s="1"/>
  <c r="J75" i="16"/>
  <c r="I75" i="16"/>
  <c r="K75" i="16" s="1"/>
  <c r="J74" i="16"/>
  <c r="I74" i="16"/>
  <c r="K74" i="16" s="1"/>
  <c r="J73" i="16"/>
  <c r="I73" i="16"/>
  <c r="K73" i="16" s="1"/>
  <c r="J72" i="16"/>
  <c r="I72" i="16"/>
  <c r="K72" i="16" s="1"/>
  <c r="J71" i="16"/>
  <c r="I71" i="16"/>
  <c r="K71" i="16" s="1"/>
  <c r="J70" i="16"/>
  <c r="I70" i="16"/>
  <c r="K70" i="16" s="1"/>
  <c r="L70" i="16" s="1"/>
  <c r="J69" i="16"/>
  <c r="I69" i="16"/>
  <c r="K69" i="16" s="1"/>
  <c r="J68" i="16"/>
  <c r="I68" i="16"/>
  <c r="K68" i="16" s="1"/>
  <c r="J67" i="16"/>
  <c r="I67" i="16"/>
  <c r="K67" i="16" s="1"/>
  <c r="J66" i="16"/>
  <c r="I66" i="16"/>
  <c r="K66" i="16" s="1"/>
  <c r="J65" i="16"/>
  <c r="I65" i="16"/>
  <c r="K65" i="16" s="1"/>
  <c r="J64" i="16"/>
  <c r="I64" i="16"/>
  <c r="K64" i="16" s="1"/>
  <c r="J63" i="16"/>
  <c r="I63" i="16"/>
  <c r="K63" i="16" s="1"/>
  <c r="L63" i="16" s="1"/>
  <c r="V65" i="16" s="1"/>
  <c r="J62" i="16"/>
  <c r="I62" i="16"/>
  <c r="K62" i="16" s="1"/>
  <c r="J61" i="16"/>
  <c r="I61" i="16"/>
  <c r="K61" i="16" s="1"/>
  <c r="J60" i="16"/>
  <c r="I60" i="16"/>
  <c r="K60" i="16" s="1"/>
  <c r="J59" i="16"/>
  <c r="I59" i="16"/>
  <c r="K59" i="16" s="1"/>
  <c r="L59" i="16" s="1"/>
  <c r="J58" i="16"/>
  <c r="I58" i="16"/>
  <c r="K58" i="16" s="1"/>
  <c r="J57" i="16"/>
  <c r="I57" i="16"/>
  <c r="K57" i="16" s="1"/>
  <c r="J56" i="16"/>
  <c r="I56" i="16"/>
  <c r="K56" i="16" s="1"/>
  <c r="J55" i="16"/>
  <c r="I55" i="16"/>
  <c r="K55" i="16" s="1"/>
  <c r="L55" i="16" s="1"/>
  <c r="J54" i="16"/>
  <c r="I54" i="16"/>
  <c r="K54" i="16" s="1"/>
  <c r="J53" i="16"/>
  <c r="I53" i="16"/>
  <c r="K53" i="16" s="1"/>
  <c r="J52" i="16"/>
  <c r="I52" i="16"/>
  <c r="K52" i="16" s="1"/>
  <c r="J51" i="16"/>
  <c r="I51" i="16"/>
  <c r="K51" i="16" s="1"/>
  <c r="J50" i="16"/>
  <c r="I50" i="16"/>
  <c r="K50" i="16" s="1"/>
  <c r="J49" i="16"/>
  <c r="I49" i="16"/>
  <c r="K49" i="16" s="1"/>
  <c r="J48" i="16"/>
  <c r="I48" i="16"/>
  <c r="K48" i="16" s="1"/>
  <c r="J47" i="16"/>
  <c r="I47" i="16"/>
  <c r="K47" i="16" s="1"/>
  <c r="L47" i="16" s="1"/>
  <c r="J46" i="16"/>
  <c r="I46" i="16"/>
  <c r="K46" i="16" s="1"/>
  <c r="J45" i="16"/>
  <c r="I45" i="16"/>
  <c r="K45" i="16" s="1"/>
  <c r="J44" i="16"/>
  <c r="I44" i="16"/>
  <c r="K44" i="16" s="1"/>
  <c r="J43" i="16"/>
  <c r="I43" i="16"/>
  <c r="K43" i="16" s="1"/>
  <c r="J42" i="16"/>
  <c r="I42" i="16"/>
  <c r="K42" i="16" s="1"/>
  <c r="J41" i="16"/>
  <c r="I41" i="16"/>
  <c r="K41" i="16" s="1"/>
  <c r="J40" i="16"/>
  <c r="I40" i="16"/>
  <c r="K40" i="16" s="1"/>
  <c r="J39" i="16"/>
  <c r="I39" i="16"/>
  <c r="K39" i="16" s="1"/>
  <c r="J38" i="16"/>
  <c r="I38" i="16"/>
  <c r="K38" i="16" s="1"/>
  <c r="J37" i="16"/>
  <c r="I37" i="16"/>
  <c r="K37" i="16" s="1"/>
  <c r="J36" i="16"/>
  <c r="I36" i="16"/>
  <c r="K36" i="16" s="1"/>
  <c r="J35" i="16"/>
  <c r="I35" i="16"/>
  <c r="K35" i="16" s="1"/>
  <c r="L35" i="16" s="1"/>
  <c r="J34" i="16"/>
  <c r="I34" i="16"/>
  <c r="K34" i="16" s="1"/>
  <c r="J33" i="16"/>
  <c r="I33" i="16"/>
  <c r="K33" i="16" s="1"/>
  <c r="J32" i="16"/>
  <c r="I32" i="16"/>
  <c r="K32" i="16" s="1"/>
  <c r="J31" i="16"/>
  <c r="I31" i="16"/>
  <c r="K31" i="16" s="1"/>
  <c r="J30" i="16"/>
  <c r="I30" i="16"/>
  <c r="K30" i="16" s="1"/>
  <c r="J29" i="16"/>
  <c r="I29" i="16"/>
  <c r="K29" i="16" s="1"/>
  <c r="L29" i="16" s="1"/>
  <c r="J28" i="16"/>
  <c r="I28" i="16"/>
  <c r="K28" i="16" s="1"/>
  <c r="J27" i="16"/>
  <c r="I27" i="16"/>
  <c r="K27" i="16" s="1"/>
  <c r="J26" i="16"/>
  <c r="I26" i="16"/>
  <c r="K26" i="16" s="1"/>
  <c r="J25" i="16"/>
  <c r="I25" i="16"/>
  <c r="K25" i="16" s="1"/>
  <c r="L25" i="16" s="1"/>
  <c r="J24" i="16"/>
  <c r="I24" i="16"/>
  <c r="K24" i="16" s="1"/>
  <c r="J23" i="16"/>
  <c r="I23" i="16"/>
  <c r="K23" i="16" s="1"/>
  <c r="J22" i="16"/>
  <c r="I22" i="16"/>
  <c r="K22" i="16" s="1"/>
  <c r="J21" i="16"/>
  <c r="I21" i="16"/>
  <c r="K21" i="16" s="1"/>
  <c r="L21" i="16" s="1"/>
  <c r="J20" i="16"/>
  <c r="I20" i="16"/>
  <c r="K20" i="16" s="1"/>
  <c r="J19" i="16"/>
  <c r="I19" i="16"/>
  <c r="K19" i="16" s="1"/>
  <c r="J18" i="16"/>
  <c r="I18" i="16"/>
  <c r="K18" i="16" s="1"/>
  <c r="J17" i="16"/>
  <c r="I17" i="16"/>
  <c r="K17" i="16" s="1"/>
  <c r="J16" i="16"/>
  <c r="I16" i="16"/>
  <c r="K16" i="16" s="1"/>
  <c r="J15" i="16"/>
  <c r="I15" i="16"/>
  <c r="K15" i="16" s="1"/>
  <c r="J14" i="16"/>
  <c r="I14" i="16"/>
  <c r="K14" i="16" s="1"/>
  <c r="J13" i="16"/>
  <c r="I13" i="16"/>
  <c r="K13" i="16" s="1"/>
  <c r="J12" i="16"/>
  <c r="I12" i="16"/>
  <c r="K12" i="16" s="1"/>
  <c r="J11" i="16"/>
  <c r="I11" i="16"/>
  <c r="K11" i="16" s="1"/>
  <c r="J10" i="16"/>
  <c r="I10" i="16"/>
  <c r="K10" i="16" s="1"/>
  <c r="J9" i="16"/>
  <c r="I9" i="16"/>
  <c r="K9" i="16" s="1"/>
  <c r="J8" i="16"/>
  <c r="I8" i="16"/>
  <c r="K8" i="16" s="1"/>
  <c r="J7" i="16"/>
  <c r="I7" i="16"/>
  <c r="K7" i="16" s="1"/>
  <c r="J6" i="16"/>
  <c r="I6" i="16"/>
  <c r="K6" i="16" s="1"/>
  <c r="J5" i="16"/>
  <c r="I5" i="16"/>
  <c r="K5" i="16" s="1"/>
  <c r="J4" i="16"/>
  <c r="I4" i="16"/>
  <c r="K4" i="16" s="1"/>
  <c r="J3" i="16"/>
  <c r="I3" i="16"/>
  <c r="K3" i="16" s="1"/>
  <c r="L3" i="16" s="1"/>
  <c r="J2" i="16"/>
  <c r="I2" i="16"/>
  <c r="K2" i="16" s="1"/>
  <c r="I322" i="9"/>
  <c r="K322" i="9" s="1"/>
  <c r="L322" i="9" s="1"/>
  <c r="J322" i="9"/>
  <c r="I322" i="1"/>
  <c r="K322" i="1" s="1"/>
  <c r="J322" i="1"/>
  <c r="L15" i="18" l="1"/>
  <c r="L19" i="18"/>
  <c r="L27" i="18"/>
  <c r="L31" i="18"/>
  <c r="L35" i="18"/>
  <c r="L39" i="18"/>
  <c r="L59" i="18"/>
  <c r="L90" i="18"/>
  <c r="L99" i="18"/>
  <c r="L119" i="18"/>
  <c r="L123" i="18"/>
  <c r="L215" i="18"/>
  <c r="L219" i="18"/>
  <c r="L227" i="18"/>
  <c r="L243" i="18"/>
  <c r="L283" i="18"/>
  <c r="L315" i="18"/>
  <c r="V97" i="18" s="1"/>
  <c r="L233" i="17"/>
  <c r="L237" i="17"/>
  <c r="L20" i="17"/>
  <c r="L56" i="17"/>
  <c r="L64" i="17"/>
  <c r="L68" i="17"/>
  <c r="V70" i="17" s="1"/>
  <c r="L72" i="17"/>
  <c r="V74" i="17" s="1"/>
  <c r="L112" i="17"/>
  <c r="L144" i="17"/>
  <c r="L207" i="17"/>
  <c r="L219" i="17"/>
  <c r="L223" i="17"/>
  <c r="L227" i="17"/>
  <c r="L254" i="17"/>
  <c r="L262" i="17"/>
  <c r="L286" i="17"/>
  <c r="L293" i="16"/>
  <c r="L87" i="16"/>
  <c r="L311" i="16"/>
  <c r="L72" i="16"/>
  <c r="V74" i="16" s="1"/>
  <c r="L88" i="16"/>
  <c r="L92" i="16"/>
  <c r="L313" i="16"/>
  <c r="V95" i="16" s="1"/>
  <c r="L74" i="16"/>
  <c r="V76" i="16" s="1"/>
  <c r="L86" i="18"/>
  <c r="L129" i="18"/>
  <c r="L205" i="18"/>
  <c r="L83" i="18"/>
  <c r="L11" i="18"/>
  <c r="L127" i="18"/>
  <c r="L206" i="18"/>
  <c r="L95" i="18"/>
  <c r="L250" i="18"/>
  <c r="L258" i="18"/>
  <c r="L281" i="18"/>
  <c r="L289" i="18"/>
  <c r="L100" i="18"/>
  <c r="L104" i="18"/>
  <c r="L179" i="18"/>
  <c r="L187" i="18"/>
  <c r="L191" i="18"/>
  <c r="L195" i="18"/>
  <c r="L266" i="18"/>
  <c r="L274" i="18"/>
  <c r="L93" i="18"/>
  <c r="L101" i="18"/>
  <c r="L105" i="18"/>
  <c r="L113" i="18"/>
  <c r="L176" i="18"/>
  <c r="L180" i="18"/>
  <c r="L184" i="18"/>
  <c r="L196" i="18"/>
  <c r="L3" i="18"/>
  <c r="L97" i="18"/>
  <c r="L124" i="18"/>
  <c r="L128" i="18"/>
  <c r="L190" i="18"/>
  <c r="L209" i="18"/>
  <c r="L212" i="18"/>
  <c r="L251" i="18"/>
  <c r="L259" i="18"/>
  <c r="L282" i="18"/>
  <c r="L297" i="18"/>
  <c r="L305" i="18"/>
  <c r="V87" i="18" s="1"/>
  <c r="L313" i="18"/>
  <c r="V95" i="18" s="1"/>
  <c r="L321" i="18"/>
  <c r="V103" i="18" s="1"/>
  <c r="L276" i="18"/>
  <c r="L138" i="18"/>
  <c r="L103" i="18"/>
  <c r="L16" i="18"/>
  <c r="L20" i="18"/>
  <c r="L141" i="18"/>
  <c r="L149" i="18"/>
  <c r="L160" i="18"/>
  <c r="L164" i="18"/>
  <c r="L168" i="18"/>
  <c r="L172" i="18"/>
  <c r="L26" i="17"/>
  <c r="L88" i="17"/>
  <c r="L259" i="17"/>
  <c r="L291" i="17"/>
  <c r="L299" i="17"/>
  <c r="L303" i="17"/>
  <c r="V85" i="17" s="1"/>
  <c r="L16" i="17"/>
  <c r="L31" i="17"/>
  <c r="L35" i="17"/>
  <c r="L46" i="17"/>
  <c r="L53" i="17"/>
  <c r="L57" i="17"/>
  <c r="L61" i="17"/>
  <c r="L92" i="17"/>
  <c r="L161" i="17"/>
  <c r="L232" i="17"/>
  <c r="L236" i="17"/>
  <c r="L240" i="17"/>
  <c r="L244" i="17"/>
  <c r="L248" i="17"/>
  <c r="L309" i="17"/>
  <c r="V91" i="17" s="1"/>
  <c r="L313" i="17"/>
  <c r="V95" i="17" s="1"/>
  <c r="L317" i="17"/>
  <c r="V99" i="17" s="1"/>
  <c r="L252" i="17"/>
  <c r="L10" i="17"/>
  <c r="L22" i="17"/>
  <c r="L87" i="17"/>
  <c r="L159" i="17"/>
  <c r="L166" i="17"/>
  <c r="L170" i="17"/>
  <c r="L178" i="17"/>
  <c r="L182" i="17"/>
  <c r="L193" i="17"/>
  <c r="L34" i="17"/>
  <c r="L2" i="17"/>
  <c r="L6" i="17"/>
  <c r="L14" i="17"/>
  <c r="L25" i="17"/>
  <c r="L50" i="17"/>
  <c r="L96" i="17"/>
  <c r="L114" i="17"/>
  <c r="L133" i="17"/>
  <c r="L137" i="17"/>
  <c r="L152" i="17"/>
  <c r="L156" i="17"/>
  <c r="L209" i="17"/>
  <c r="L213" i="17"/>
  <c r="L217" i="17"/>
  <c r="L67" i="17"/>
  <c r="V69" i="17" s="1"/>
  <c r="L100" i="17"/>
  <c r="L108" i="17"/>
  <c r="L115" i="17"/>
  <c r="L134" i="17"/>
  <c r="L138" i="17"/>
  <c r="L206" i="17"/>
  <c r="L222" i="17"/>
  <c r="L226" i="17"/>
  <c r="L253" i="17"/>
  <c r="L316" i="17"/>
  <c r="V98" i="17" s="1"/>
  <c r="L180" i="17"/>
  <c r="L230" i="17"/>
  <c r="L238" i="17"/>
  <c r="L246" i="17"/>
  <c r="L250" i="17"/>
  <c r="L257" i="17"/>
  <c r="L261" i="17"/>
  <c r="L265" i="17"/>
  <c r="L269" i="17"/>
  <c r="L116" i="17"/>
  <c r="L290" i="17"/>
  <c r="L294" i="17"/>
  <c r="L302" i="17"/>
  <c r="V84" i="17" s="1"/>
  <c r="L306" i="17"/>
  <c r="V88" i="17" s="1"/>
  <c r="L9" i="17"/>
  <c r="L13" i="17"/>
  <c r="L69" i="17"/>
  <c r="L84" i="17"/>
  <c r="L95" i="17"/>
  <c r="L102" i="17"/>
  <c r="L117" i="17"/>
  <c r="L121" i="17"/>
  <c r="L132" i="17"/>
  <c r="L136" i="17"/>
  <c r="L155" i="17"/>
  <c r="L162" i="17"/>
  <c r="L185" i="17"/>
  <c r="L196" i="17"/>
  <c r="L200" i="17"/>
  <c r="L204" i="17"/>
  <c r="L255" i="17"/>
  <c r="L310" i="17"/>
  <c r="V92" i="17" s="1"/>
  <c r="L314" i="17"/>
  <c r="V96" i="17" s="1"/>
  <c r="L322" i="17"/>
  <c r="L173" i="16"/>
  <c r="L15" i="16"/>
  <c r="L19" i="16"/>
  <c r="L27" i="16"/>
  <c r="L31" i="16"/>
  <c r="L4" i="16"/>
  <c r="L8" i="16"/>
  <c r="L12" i="16"/>
  <c r="L20" i="16"/>
  <c r="L24" i="16"/>
  <c r="L266" i="16"/>
  <c r="L274" i="16"/>
  <c r="L67" i="16"/>
  <c r="L71" i="16"/>
  <c r="V73" i="16" s="1"/>
  <c r="L112" i="16"/>
  <c r="L120" i="16"/>
  <c r="L131" i="16"/>
  <c r="L233" i="16"/>
  <c r="L249" i="16"/>
  <c r="L257" i="16"/>
  <c r="L200" i="16"/>
  <c r="L13" i="16"/>
  <c r="L17" i="16"/>
  <c r="L36" i="16"/>
  <c r="L40" i="16"/>
  <c r="L48" i="16"/>
  <c r="L60" i="16"/>
  <c r="L64" i="16"/>
  <c r="V66" i="16" s="1"/>
  <c r="L95" i="16"/>
  <c r="L101" i="16"/>
  <c r="L109" i="16"/>
  <c r="L136" i="16"/>
  <c r="L143" i="16"/>
  <c r="L202" i="16"/>
  <c r="L206" i="16"/>
  <c r="L218" i="16"/>
  <c r="L234" i="16"/>
  <c r="L238" i="16"/>
  <c r="L242" i="16"/>
  <c r="L250" i="16"/>
  <c r="L258" i="16"/>
  <c r="L281" i="16"/>
  <c r="L289" i="16"/>
  <c r="L14" i="16"/>
  <c r="L18" i="16"/>
  <c r="L37" i="16"/>
  <c r="L45" i="16"/>
  <c r="L49" i="16"/>
  <c r="L57" i="16"/>
  <c r="L61" i="16"/>
  <c r="L102" i="16"/>
  <c r="L133" i="16"/>
  <c r="L211" i="16"/>
  <c r="L231" i="16"/>
  <c r="L235" i="16"/>
  <c r="L243" i="16"/>
  <c r="L251" i="16"/>
  <c r="L259" i="16"/>
  <c r="L26" i="16"/>
  <c r="L30" i="16"/>
  <c r="L73" i="16"/>
  <c r="V75" i="16" s="1"/>
  <c r="L85" i="16"/>
  <c r="L89" i="16"/>
  <c r="L99" i="16"/>
  <c r="L122" i="16"/>
  <c r="L126" i="16"/>
  <c r="L156" i="16"/>
  <c r="L160" i="16"/>
  <c r="L164" i="16"/>
  <c r="L168" i="16"/>
  <c r="L172" i="16"/>
  <c r="L176" i="16"/>
  <c r="L180" i="16"/>
  <c r="L184" i="16"/>
  <c r="L188" i="16"/>
  <c r="L192" i="16"/>
  <c r="L196" i="16"/>
  <c r="L314" i="16"/>
  <c r="V96" i="16" s="1"/>
  <c r="L318" i="16"/>
  <c r="V100" i="16" s="1"/>
  <c r="L292" i="18"/>
  <c r="L5" i="18"/>
  <c r="L9" i="18"/>
  <c r="L12" i="18"/>
  <c r="L73" i="18"/>
  <c r="V75" i="18" s="1"/>
  <c r="L87" i="18"/>
  <c r="L94" i="18"/>
  <c r="L199" i="18"/>
  <c r="L232" i="18"/>
  <c r="L236" i="18"/>
  <c r="L240" i="18"/>
  <c r="L275" i="18"/>
  <c r="L290" i="18"/>
  <c r="L115" i="18"/>
  <c r="L2" i="18"/>
  <c r="L6" i="18"/>
  <c r="L43" i="18"/>
  <c r="L47" i="18"/>
  <c r="L62" i="18"/>
  <c r="V64" i="18" s="1"/>
  <c r="L70" i="18"/>
  <c r="V72" i="18" s="1"/>
  <c r="L81" i="18"/>
  <c r="V83" i="18" s="1"/>
  <c r="L88" i="18"/>
  <c r="L91" i="18"/>
  <c r="L139" i="18"/>
  <c r="L143" i="18"/>
  <c r="L147" i="18"/>
  <c r="L162" i="18"/>
  <c r="L166" i="18"/>
  <c r="L188" i="18"/>
  <c r="L192" i="18"/>
  <c r="L203" i="18"/>
  <c r="L217" i="18"/>
  <c r="L225" i="18"/>
  <c r="L256" i="18"/>
  <c r="L17" i="18"/>
  <c r="L40" i="18"/>
  <c r="L51" i="18"/>
  <c r="L55" i="18"/>
  <c r="L78" i="18"/>
  <c r="V80" i="18" s="1"/>
  <c r="L85" i="18"/>
  <c r="L102" i="18"/>
  <c r="L106" i="18"/>
  <c r="L110" i="18"/>
  <c r="L114" i="18"/>
  <c r="L121" i="18"/>
  <c r="L125" i="18"/>
  <c r="L155" i="18"/>
  <c r="L200" i="18"/>
  <c r="L233" i="18"/>
  <c r="L241" i="18"/>
  <c r="L244" i="18"/>
  <c r="L264" i="18"/>
  <c r="L268" i="18"/>
  <c r="L272" i="18"/>
  <c r="L291" i="18"/>
  <c r="L7" i="18"/>
  <c r="L25" i="18"/>
  <c r="L63" i="18"/>
  <c r="V65" i="18" s="1"/>
  <c r="L67" i="18"/>
  <c r="V69" i="18" s="1"/>
  <c r="L71" i="18"/>
  <c r="V73" i="18" s="1"/>
  <c r="L75" i="18"/>
  <c r="V77" i="18" s="1"/>
  <c r="L92" i="18"/>
  <c r="L118" i="18"/>
  <c r="L133" i="18"/>
  <c r="L136" i="18"/>
  <c r="L140" i="18"/>
  <c r="L148" i="18"/>
  <c r="L159" i="18"/>
  <c r="L167" i="18"/>
  <c r="L185" i="18"/>
  <c r="L204" i="18"/>
  <c r="L218" i="18"/>
  <c r="L226" i="18"/>
  <c r="L249" i="18"/>
  <c r="L257" i="18"/>
  <c r="L280" i="18"/>
  <c r="L284" i="18"/>
  <c r="L307" i="18"/>
  <c r="L314" i="18"/>
  <c r="V96" i="18" s="1"/>
  <c r="L322" i="18"/>
  <c r="L156" i="18"/>
  <c r="L14" i="18"/>
  <c r="L18" i="18"/>
  <c r="L22" i="18"/>
  <c r="L29" i="18"/>
  <c r="L33" i="18"/>
  <c r="L41" i="18"/>
  <c r="L56" i="18"/>
  <c r="L79" i="18"/>
  <c r="V81" i="18" s="1"/>
  <c r="L96" i="18"/>
  <c r="L111" i="18"/>
  <c r="L122" i="18"/>
  <c r="L126" i="18"/>
  <c r="L152" i="18"/>
  <c r="L171" i="18"/>
  <c r="L182" i="18"/>
  <c r="L234" i="18"/>
  <c r="L242" i="18"/>
  <c r="L265" i="18"/>
  <c r="L273" i="18"/>
  <c r="L174" i="18"/>
  <c r="L231" i="18"/>
  <c r="L238" i="18"/>
  <c r="L245" i="18"/>
  <c r="L263" i="18"/>
  <c r="L270" i="18"/>
  <c r="L277" i="18"/>
  <c r="L295" i="18"/>
  <c r="L302" i="18"/>
  <c r="V84" i="18" s="1"/>
  <c r="L309" i="18"/>
  <c r="V91" i="18" s="1"/>
  <c r="L312" i="18"/>
  <c r="V94" i="18" s="1"/>
  <c r="L177" i="18"/>
  <c r="L30" i="18"/>
  <c r="L37" i="18"/>
  <c r="L44" i="18"/>
  <c r="L48" i="18"/>
  <c r="L61" i="18"/>
  <c r="L68" i="18"/>
  <c r="V70" i="18" s="1"/>
  <c r="L74" i="18"/>
  <c r="V76" i="18" s="1"/>
  <c r="L109" i="18"/>
  <c r="L112" i="18"/>
  <c r="L137" i="18"/>
  <c r="L144" i="18"/>
  <c r="L158" i="18"/>
  <c r="L181" i="18"/>
  <c r="L193" i="18"/>
  <c r="L208" i="18"/>
  <c r="L211" i="18"/>
  <c r="L214" i="18"/>
  <c r="L221" i="18"/>
  <c r="L239" i="18"/>
  <c r="L246" i="18"/>
  <c r="L253" i="18"/>
  <c r="L271" i="18"/>
  <c r="L278" i="18"/>
  <c r="L285" i="18"/>
  <c r="L288" i="18"/>
  <c r="L303" i="18"/>
  <c r="V85" i="18" s="1"/>
  <c r="L310" i="18"/>
  <c r="V92" i="18" s="1"/>
  <c r="L317" i="18"/>
  <c r="V99" i="18" s="1"/>
  <c r="L10" i="18"/>
  <c r="L13" i="18"/>
  <c r="L23" i="18"/>
  <c r="L84" i="18"/>
  <c r="L134" i="18"/>
  <c r="L145" i="18"/>
  <c r="L151" i="18"/>
  <c r="L175" i="18"/>
  <c r="L194" i="18"/>
  <c r="L222" i="18"/>
  <c r="L229" i="18"/>
  <c r="L247" i="18"/>
  <c r="L254" i="18"/>
  <c r="L261" i="18"/>
  <c r="L279" i="18"/>
  <c r="L286" i="18"/>
  <c r="L293" i="18"/>
  <c r="L311" i="18"/>
  <c r="V93" i="18" s="1"/>
  <c r="L318" i="18"/>
  <c r="V100" i="18" s="1"/>
  <c r="L24" i="18"/>
  <c r="L8" i="18"/>
  <c r="L21" i="18"/>
  <c r="L28" i="18"/>
  <c r="L32" i="18"/>
  <c r="L46" i="18"/>
  <c r="L53" i="18"/>
  <c r="L66" i="18"/>
  <c r="V68" i="18" s="1"/>
  <c r="L82" i="18"/>
  <c r="L98" i="18"/>
  <c r="L107" i="18"/>
  <c r="L117" i="18"/>
  <c r="L120" i="18"/>
  <c r="L132" i="18"/>
  <c r="L146" i="18"/>
  <c r="L163" i="18"/>
  <c r="L173" i="18"/>
  <c r="L186" i="18"/>
  <c r="L189" i="18"/>
  <c r="L201" i="18"/>
  <c r="L207" i="18"/>
  <c r="L213" i="18"/>
  <c r="L223" i="18"/>
  <c r="L230" i="18"/>
  <c r="L237" i="18"/>
  <c r="L255" i="18"/>
  <c r="L262" i="18"/>
  <c r="L269" i="18"/>
  <c r="L287" i="18"/>
  <c r="L294" i="18"/>
  <c r="L301" i="18"/>
  <c r="L319" i="18"/>
  <c r="V101" i="18" s="1"/>
  <c r="L26" i="18"/>
  <c r="L65" i="18"/>
  <c r="L89" i="18"/>
  <c r="L108" i="18"/>
  <c r="L116" i="18"/>
  <c r="L235" i="18"/>
  <c r="L267" i="18"/>
  <c r="L299" i="18"/>
  <c r="V102" i="18"/>
  <c r="V79" i="18"/>
  <c r="L52" i="18"/>
  <c r="L80" i="18"/>
  <c r="L170" i="18"/>
  <c r="L183" i="18"/>
  <c r="V89" i="18"/>
  <c r="L202" i="18"/>
  <c r="V66" i="18"/>
  <c r="L69" i="18"/>
  <c r="V74" i="18"/>
  <c r="L36" i="18"/>
  <c r="L58" i="18"/>
  <c r="L42" i="18"/>
  <c r="L165" i="18"/>
  <c r="L178" i="18"/>
  <c r="V86" i="18"/>
  <c r="L157" i="18"/>
  <c r="L197" i="18"/>
  <c r="L5" i="17"/>
  <c r="L43" i="17"/>
  <c r="L106" i="17"/>
  <c r="L149" i="17"/>
  <c r="L186" i="17"/>
  <c r="L212" i="17"/>
  <c r="L231" i="17"/>
  <c r="L281" i="17"/>
  <c r="L12" i="17"/>
  <c r="L19" i="17"/>
  <c r="L40" i="17"/>
  <c r="L54" i="17"/>
  <c r="L76" i="17"/>
  <c r="V78" i="17" s="1"/>
  <c r="L103" i="17"/>
  <c r="L110" i="17"/>
  <c r="L120" i="17"/>
  <c r="L124" i="17"/>
  <c r="L135" i="17"/>
  <c r="L153" i="17"/>
  <c r="L171" i="17"/>
  <c r="L175" i="17"/>
  <c r="L179" i="17"/>
  <c r="L183" i="17"/>
  <c r="L190" i="17"/>
  <c r="L205" i="17"/>
  <c r="L216" i="17"/>
  <c r="L220" i="17"/>
  <c r="L224" i="17"/>
  <c r="L243" i="17"/>
  <c r="L247" i="17"/>
  <c r="L258" i="17"/>
  <c r="L285" i="17"/>
  <c r="L274" i="17"/>
  <c r="L278" i="17"/>
  <c r="L282" i="17"/>
  <c r="L289" i="17"/>
  <c r="L293" i="17"/>
  <c r="L301" i="17"/>
  <c r="L305" i="17"/>
  <c r="V87" i="17" s="1"/>
  <c r="L320" i="17"/>
  <c r="V102" i="17" s="1"/>
  <c r="L47" i="17"/>
  <c r="L157" i="17"/>
  <c r="L194" i="17"/>
  <c r="L228" i="17"/>
  <c r="L3" i="17"/>
  <c r="L7" i="17"/>
  <c r="L27" i="17"/>
  <c r="L70" i="17"/>
  <c r="V72" i="17" s="1"/>
  <c r="L118" i="17"/>
  <c r="L129" i="17"/>
  <c r="L140" i="17"/>
  <c r="L147" i="17"/>
  <c r="L154" i="17"/>
  <c r="L158" i="17"/>
  <c r="L169" i="17"/>
  <c r="L195" i="17"/>
  <c r="L199" i="17"/>
  <c r="L203" i="17"/>
  <c r="L214" i="17"/>
  <c r="L229" i="17"/>
  <c r="L263" i="17"/>
  <c r="L267" i="17"/>
  <c r="L271" i="17"/>
  <c r="L275" i="17"/>
  <c r="L279" i="17"/>
  <c r="L321" i="17"/>
  <c r="V103" i="17" s="1"/>
  <c r="L287" i="17"/>
  <c r="L4" i="17"/>
  <c r="L21" i="17"/>
  <c r="L24" i="17"/>
  <c r="L28" i="17"/>
  <c r="L42" i="17"/>
  <c r="L60" i="17"/>
  <c r="L63" i="17"/>
  <c r="V65" i="17" s="1"/>
  <c r="L71" i="17"/>
  <c r="V73" i="17" s="1"/>
  <c r="L122" i="17"/>
  <c r="L256" i="17"/>
  <c r="L307" i="17"/>
  <c r="V89" i="17" s="1"/>
  <c r="L148" i="17"/>
  <c r="L311" i="17"/>
  <c r="V93" i="17" s="1"/>
  <c r="L48" i="17"/>
  <c r="L288" i="17"/>
  <c r="L312" i="17"/>
  <c r="V94" i="17" s="1"/>
  <c r="L15" i="17"/>
  <c r="L99" i="17"/>
  <c r="L208" i="17"/>
  <c r="L260" i="17"/>
  <c r="L125" i="17"/>
  <c r="L23" i="17"/>
  <c r="L93" i="17"/>
  <c r="L89" i="17"/>
  <c r="L8" i="17"/>
  <c r="L44" i="17"/>
  <c r="L163" i="17"/>
  <c r="L187" i="17"/>
  <c r="L197" i="17"/>
  <c r="L241" i="17"/>
  <c r="L297" i="17"/>
  <c r="L318" i="17"/>
  <c r="L45" i="17"/>
  <c r="L94" i="17"/>
  <c r="L164" i="17"/>
  <c r="L11" i="17"/>
  <c r="L80" i="17"/>
  <c r="V82" i="17" s="1"/>
  <c r="L104" i="17"/>
  <c r="L167" i="17"/>
  <c r="L191" i="17"/>
  <c r="L201" i="17"/>
  <c r="L211" i="17"/>
  <c r="L235" i="17"/>
  <c r="L245" i="17"/>
  <c r="L266" i="17"/>
  <c r="L273" i="17"/>
  <c r="L188" i="17"/>
  <c r="L215" i="17"/>
  <c r="L32" i="17"/>
  <c r="L39" i="17"/>
  <c r="L51" i="17"/>
  <c r="L81" i="17"/>
  <c r="V83" i="17" s="1"/>
  <c r="L128" i="17"/>
  <c r="L174" i="17"/>
  <c r="L177" i="17"/>
  <c r="L198" i="17"/>
  <c r="L218" i="17"/>
  <c r="L225" i="17"/>
  <c r="L239" i="17"/>
  <c r="L242" i="17"/>
  <c r="L249" i="17"/>
  <c r="L270" i="17"/>
  <c r="L277" i="17"/>
  <c r="L295" i="17"/>
  <c r="L298" i="17"/>
  <c r="L319" i="17"/>
  <c r="V101" i="17" s="1"/>
  <c r="V80" i="17"/>
  <c r="V76" i="17"/>
  <c r="L141" i="17"/>
  <c r="L17" i="17"/>
  <c r="V64" i="17"/>
  <c r="L210" i="17"/>
  <c r="L33" i="17"/>
  <c r="L36" i="17"/>
  <c r="V66" i="17"/>
  <c r="V71" i="17"/>
  <c r="L202" i="17"/>
  <c r="L66" i="17"/>
  <c r="L131" i="17"/>
  <c r="L49" i="17"/>
  <c r="L52" i="17"/>
  <c r="L65" i="17"/>
  <c r="L86" i="17"/>
  <c r="L90" i="17"/>
  <c r="L113" i="17"/>
  <c r="L145" i="17"/>
  <c r="L59" i="17"/>
  <c r="L109" i="17"/>
  <c r="L30" i="17"/>
  <c r="V86" i="17"/>
  <c r="L107" i="17"/>
  <c r="L139" i="17"/>
  <c r="L221" i="17"/>
  <c r="L251" i="17"/>
  <c r="L315" i="17"/>
  <c r="L111" i="17"/>
  <c r="L143" i="17"/>
  <c r="L165" i="17"/>
  <c r="V100" i="17"/>
  <c r="L234" i="17"/>
  <c r="V90" i="17"/>
  <c r="L119" i="17"/>
  <c r="L151" i="17"/>
  <c r="L123" i="17"/>
  <c r="L189" i="17"/>
  <c r="L283" i="17"/>
  <c r="L11" i="16"/>
  <c r="L94" i="16"/>
  <c r="L292" i="16"/>
  <c r="L52" i="16"/>
  <c r="L77" i="16"/>
  <c r="V79" i="16" s="1"/>
  <c r="L175" i="16"/>
  <c r="L225" i="16"/>
  <c r="L267" i="16"/>
  <c r="L275" i="16"/>
  <c r="L282" i="16"/>
  <c r="L286" i="16"/>
  <c r="L305" i="16"/>
  <c r="V87" i="16" s="1"/>
  <c r="L53" i="16"/>
  <c r="L138" i="16"/>
  <c r="L210" i="16"/>
  <c r="L241" i="16"/>
  <c r="L279" i="16"/>
  <c r="L321" i="16"/>
  <c r="V103" i="16" s="1"/>
  <c r="L90" i="16"/>
  <c r="L93" i="16"/>
  <c r="L117" i="16"/>
  <c r="L157" i="16"/>
  <c r="L226" i="16"/>
  <c r="L245" i="16"/>
  <c r="L272" i="16"/>
  <c r="L291" i="16"/>
  <c r="L298" i="16"/>
  <c r="L306" i="16"/>
  <c r="V88" i="16" s="1"/>
  <c r="L46" i="16"/>
  <c r="L50" i="16"/>
  <c r="L54" i="16"/>
  <c r="L65" i="16"/>
  <c r="V67" i="16" s="1"/>
  <c r="L68" i="16"/>
  <c r="V70" i="16" s="1"/>
  <c r="L110" i="16"/>
  <c r="L135" i="16"/>
  <c r="L260" i="16"/>
  <c r="L2" i="16"/>
  <c r="L10" i="16"/>
  <c r="L34" i="16"/>
  <c r="L62" i="16"/>
  <c r="V64" i="16" s="1"/>
  <c r="L69" i="16"/>
  <c r="L76" i="16"/>
  <c r="V78" i="16" s="1"/>
  <c r="L80" i="16"/>
  <c r="L84" i="16"/>
  <c r="L96" i="16"/>
  <c r="L114" i="16"/>
  <c r="L132" i="16"/>
  <c r="L146" i="16"/>
  <c r="L150" i="16"/>
  <c r="L154" i="16"/>
  <c r="L158" i="16"/>
  <c r="L181" i="16"/>
  <c r="L227" i="16"/>
  <c r="L265" i="16"/>
  <c r="L273" i="16"/>
  <c r="L284" i="16"/>
  <c r="L288" i="16"/>
  <c r="L299" i="16"/>
  <c r="L307" i="16"/>
  <c r="L103" i="16"/>
  <c r="L129" i="16"/>
  <c r="L189" i="16"/>
  <c r="L248" i="16"/>
  <c r="L263" i="16"/>
  <c r="L270" i="16"/>
  <c r="L277" i="16"/>
  <c r="L280" i="16"/>
  <c r="L295" i="16"/>
  <c r="L302" i="16"/>
  <c r="V84" i="16" s="1"/>
  <c r="L309" i="16"/>
  <c r="V91" i="16" s="1"/>
  <c r="L9" i="16"/>
  <c r="L28" i="16"/>
  <c r="L44" i="16"/>
  <c r="L148" i="16"/>
  <c r="L193" i="16"/>
  <c r="L6" i="16"/>
  <c r="L16" i="16"/>
  <c r="L38" i="16"/>
  <c r="L41" i="16"/>
  <c r="L51" i="16"/>
  <c r="L58" i="16"/>
  <c r="L104" i="16"/>
  <c r="L118" i="16"/>
  <c r="L124" i="16"/>
  <c r="L145" i="16"/>
  <c r="L152" i="16"/>
  <c r="L162" i="16"/>
  <c r="L169" i="16"/>
  <c r="L190" i="16"/>
  <c r="L197" i="16"/>
  <c r="L207" i="16"/>
  <c r="L214" i="16"/>
  <c r="L221" i="16"/>
  <c r="L239" i="16"/>
  <c r="L246" i="16"/>
  <c r="L253" i="16"/>
  <c r="L271" i="16"/>
  <c r="L278" i="16"/>
  <c r="L285" i="16"/>
  <c r="L303" i="16"/>
  <c r="V85" i="16" s="1"/>
  <c r="L310" i="16"/>
  <c r="V92" i="16" s="1"/>
  <c r="L317" i="16"/>
  <c r="V99" i="16" s="1"/>
  <c r="L7" i="16"/>
  <c r="L22" i="16"/>
  <c r="L39" i="16"/>
  <c r="L42" i="16"/>
  <c r="L78" i="16"/>
  <c r="V80" i="16" s="1"/>
  <c r="L140" i="16"/>
  <c r="L163" i="16"/>
  <c r="L170" i="16"/>
  <c r="L177" i="16"/>
  <c r="L215" i="16"/>
  <c r="L222" i="16"/>
  <c r="L229" i="16"/>
  <c r="L247" i="16"/>
  <c r="L254" i="16"/>
  <c r="L261" i="16"/>
  <c r="L296" i="16"/>
  <c r="L195" i="16"/>
  <c r="L283" i="16"/>
  <c r="L290" i="16"/>
  <c r="L297" i="16"/>
  <c r="L315" i="16"/>
  <c r="V97" i="16" s="1"/>
  <c r="L322" i="16"/>
  <c r="L23" i="16"/>
  <c r="L75" i="16"/>
  <c r="V77" i="16" s="1"/>
  <c r="L82" i="16"/>
  <c r="L100" i="16"/>
  <c r="L106" i="16"/>
  <c r="L116" i="16"/>
  <c r="L141" i="16"/>
  <c r="L171" i="16"/>
  <c r="L178" i="16"/>
  <c r="L185" i="16"/>
  <c r="L199" i="16"/>
  <c r="L205" i="16"/>
  <c r="L223" i="16"/>
  <c r="L230" i="16"/>
  <c r="L237" i="16"/>
  <c r="L255" i="16"/>
  <c r="L262" i="16"/>
  <c r="L269" i="16"/>
  <c r="L287" i="16"/>
  <c r="L294" i="16"/>
  <c r="L301" i="16"/>
  <c r="L319" i="16"/>
  <c r="V101" i="16" s="1"/>
  <c r="L5" i="16"/>
  <c r="L43" i="16"/>
  <c r="L137" i="16"/>
  <c r="L66" i="16"/>
  <c r="L81" i="16"/>
  <c r="L121" i="16"/>
  <c r="V71" i="16"/>
  <c r="L86" i="16"/>
  <c r="L113" i="16"/>
  <c r="L203" i="16"/>
  <c r="V102" i="16"/>
  <c r="L32" i="16"/>
  <c r="V81" i="16"/>
  <c r="V89" i="16"/>
  <c r="L56" i="16"/>
  <c r="L91" i="16"/>
  <c r="L144" i="16"/>
  <c r="V93" i="16"/>
  <c r="V69" i="16"/>
  <c r="V82" i="16"/>
  <c r="L105" i="16"/>
  <c r="L128" i="16"/>
  <c r="L219" i="16"/>
  <c r="L33" i="16"/>
  <c r="V72" i="16"/>
  <c r="L108" i="16"/>
  <c r="V86" i="16"/>
  <c r="L155" i="16"/>
  <c r="L161" i="16"/>
  <c r="L322" i="1"/>
  <c r="N2" i="16" l="1"/>
  <c r="V82" i="18"/>
  <c r="V71" i="18"/>
  <c r="V67" i="18"/>
  <c r="N5" i="18" s="1"/>
  <c r="V97" i="17"/>
  <c r="V68" i="17"/>
  <c r="V67" i="17"/>
  <c r="N2" i="17" s="1"/>
  <c r="V83" i="16"/>
  <c r="V68" i="16"/>
  <c r="N5" i="16" s="1"/>
  <c r="N2" i="18" l="1"/>
  <c r="M209" i="18" s="1"/>
  <c r="N5" i="17"/>
  <c r="M261" i="17"/>
  <c r="M285" i="17"/>
  <c r="M317" i="17"/>
  <c r="M309" i="17"/>
  <c r="M245" i="17"/>
  <c r="M211" i="17"/>
  <c r="M269" i="17"/>
  <c r="M293" i="17"/>
  <c r="M253" i="17"/>
  <c r="M101" i="17"/>
  <c r="M179" i="17"/>
  <c r="M41" i="17"/>
  <c r="M301" i="17"/>
  <c r="M277" i="17"/>
  <c r="M181" i="17"/>
  <c r="M171" i="17"/>
  <c r="M34" i="17"/>
  <c r="M88" i="17"/>
  <c r="M235" i="17"/>
  <c r="M240" i="17"/>
  <c r="M6" i="17"/>
  <c r="M2" i="17"/>
  <c r="M12" i="17"/>
  <c r="M92" i="17"/>
  <c r="M27" i="17"/>
  <c r="M25" i="17"/>
  <c r="M8" i="17"/>
  <c r="M83" i="17"/>
  <c r="M80" i="17"/>
  <c r="M133" i="17"/>
  <c r="M238" i="17"/>
  <c r="M286" i="17"/>
  <c r="M51" i="17"/>
  <c r="M144" i="17"/>
  <c r="M320" i="17"/>
  <c r="M26" i="17"/>
  <c r="M197" i="17"/>
  <c r="M292" i="17"/>
  <c r="M233" i="17"/>
  <c r="M130" i="17"/>
  <c r="M280" i="17"/>
  <c r="M264" i="17"/>
  <c r="M203" i="17"/>
  <c r="M194" i="17"/>
  <c r="M229" i="17"/>
  <c r="M20" i="17"/>
  <c r="M138" i="17"/>
  <c r="M304" i="17"/>
  <c r="M198" i="17"/>
  <c r="M275" i="17"/>
  <c r="M193" i="17"/>
  <c r="M318" i="17"/>
  <c r="M117" i="17"/>
  <c r="M307" i="17"/>
  <c r="M217" i="17"/>
  <c r="M313" i="17"/>
  <c r="M287" i="17"/>
  <c r="M266" i="17"/>
  <c r="M68" i="17"/>
  <c r="M316" i="17"/>
  <c r="M274" i="17"/>
  <c r="M23" i="17"/>
  <c r="M254" i="17"/>
  <c r="M244" i="17"/>
  <c r="M149" i="17"/>
  <c r="M222" i="17"/>
  <c r="M249" i="17"/>
  <c r="M311" i="17"/>
  <c r="M290" i="17"/>
  <c r="M72" i="17"/>
  <c r="M178" i="17"/>
  <c r="M160" i="17"/>
  <c r="M185" i="17"/>
  <c r="M214" i="17"/>
  <c r="M196" i="17"/>
  <c r="M91" i="17"/>
  <c r="M105" i="17"/>
  <c r="M57" i="17"/>
  <c r="M28" i="17"/>
  <c r="M38" i="17"/>
  <c r="M110" i="17"/>
  <c r="M118" i="17"/>
  <c r="M148" i="17"/>
  <c r="M289" i="17"/>
  <c r="M163" i="17"/>
  <c r="M48" i="17"/>
  <c r="M69" i="17"/>
  <c r="M200" i="17"/>
  <c r="M136" i="17"/>
  <c r="M272" i="17"/>
  <c r="M134" i="17"/>
  <c r="M63" i="17"/>
  <c r="M99" i="17"/>
  <c r="M248" i="17"/>
  <c r="M204" i="17"/>
  <c r="M46" i="17"/>
  <c r="M161" i="17"/>
  <c r="M302" i="17"/>
  <c r="M206" i="17"/>
  <c r="M132" i="17"/>
  <c r="M267" i="17"/>
  <c r="M188" i="17"/>
  <c r="M177" i="17"/>
  <c r="M230" i="17"/>
  <c r="M295" i="17"/>
  <c r="M84" i="17"/>
  <c r="M7" i="17"/>
  <c r="M122" i="17"/>
  <c r="M219" i="17"/>
  <c r="M296" i="17"/>
  <c r="M279" i="17"/>
  <c r="M232" i="17"/>
  <c r="M114" i="17"/>
  <c r="M40" i="17"/>
  <c r="M31" i="17"/>
  <c r="M44" i="17"/>
  <c r="M142" i="17"/>
  <c r="M150" i="17"/>
  <c r="M4" i="17"/>
  <c r="M61" i="17"/>
  <c r="M85" i="17"/>
  <c r="M62" i="17"/>
  <c r="M169" i="17"/>
  <c r="M32" i="17"/>
  <c r="M3" i="17"/>
  <c r="M231" i="17"/>
  <c r="M162" i="17"/>
  <c r="M14" i="17"/>
  <c r="M140" i="17"/>
  <c r="M29" i="17"/>
  <c r="M218" i="17"/>
  <c r="M124" i="17"/>
  <c r="M173" i="17"/>
  <c r="M305" i="17"/>
  <c r="M228" i="17"/>
  <c r="M236" i="17"/>
  <c r="M321" i="17"/>
  <c r="M147" i="17"/>
  <c r="M294" i="17"/>
  <c r="M209" i="17"/>
  <c r="M220" i="17"/>
  <c r="M246" i="17"/>
  <c r="M303" i="17"/>
  <c r="M282" i="17"/>
  <c r="M182" i="17"/>
  <c r="M129" i="17"/>
  <c r="M268" i="17"/>
  <c r="M115" i="17"/>
  <c r="M322" i="17"/>
  <c r="M15" i="17"/>
  <c r="M120" i="17"/>
  <c r="M43" i="17"/>
  <c r="M37" i="17"/>
  <c r="M53" i="17"/>
  <c r="M11" i="17"/>
  <c r="M176" i="17"/>
  <c r="M121" i="17"/>
  <c r="M175" i="17"/>
  <c r="M126" i="17"/>
  <c r="M73" i="17"/>
  <c r="M256" i="17"/>
  <c r="M56" i="17"/>
  <c r="M157" i="17"/>
  <c r="M81" i="17"/>
  <c r="M186" i="17"/>
  <c r="M16" i="17"/>
  <c r="M225" i="17"/>
  <c r="M239" i="17"/>
  <c r="M297" i="17"/>
  <c r="M247" i="17"/>
  <c r="M116" i="17"/>
  <c r="M192" i="17"/>
  <c r="M13" i="17"/>
  <c r="M64" i="17"/>
  <c r="M89" i="17"/>
  <c r="M106" i="17"/>
  <c r="M9" i="17"/>
  <c r="M137" i="17"/>
  <c r="M87" i="17"/>
  <c r="M95" i="17"/>
  <c r="M67" i="17"/>
  <c r="M47" i="17"/>
  <c r="M24" i="17"/>
  <c r="M70" i="17"/>
  <c r="M74" i="17"/>
  <c r="M153" i="17"/>
  <c r="M77" i="17"/>
  <c r="M187" i="17"/>
  <c r="M35" i="17"/>
  <c r="M75" i="17"/>
  <c r="M55" i="17"/>
  <c r="M262" i="17"/>
  <c r="M94" i="17"/>
  <c r="M167" i="17"/>
  <c r="M223" i="17"/>
  <c r="M39" i="17"/>
  <c r="M125" i="17"/>
  <c r="M237" i="17"/>
  <c r="M183" i="17"/>
  <c r="M19" i="17"/>
  <c r="M195" i="17"/>
  <c r="M278" i="17"/>
  <c r="M257" i="17"/>
  <c r="M308" i="17"/>
  <c r="M170" i="17"/>
  <c r="M300" i="17"/>
  <c r="M243" i="17"/>
  <c r="M158" i="17"/>
  <c r="M252" i="17"/>
  <c r="M255" i="17"/>
  <c r="M319" i="17"/>
  <c r="M298" i="17"/>
  <c r="M184" i="17"/>
  <c r="M215" i="17"/>
  <c r="M172" i="17"/>
  <c r="M18" i="17"/>
  <c r="M146" i="17"/>
  <c r="M103" i="17"/>
  <c r="M159" i="17"/>
  <c r="M50" i="17"/>
  <c r="M154" i="17"/>
  <c r="M213" i="17"/>
  <c r="M100" i="17"/>
  <c r="M190" i="17"/>
  <c r="M104" i="17"/>
  <c r="M96" i="17"/>
  <c r="M93" i="17"/>
  <c r="M312" i="17"/>
  <c r="M98" i="17"/>
  <c r="M191" i="17"/>
  <c r="M97" i="17"/>
  <c r="M265" i="17"/>
  <c r="M128" i="17"/>
  <c r="M10" i="17"/>
  <c r="M212" i="17"/>
  <c r="M205" i="17"/>
  <c r="M155" i="17"/>
  <c r="M281" i="17"/>
  <c r="M260" i="17"/>
  <c r="M82" i="17"/>
  <c r="M180" i="17"/>
  <c r="M241" i="17"/>
  <c r="M270" i="17"/>
  <c r="M166" i="17"/>
  <c r="M263" i="17"/>
  <c r="M242" i="17"/>
  <c r="M306" i="17"/>
  <c r="M168" i="17"/>
  <c r="M224" i="17"/>
  <c r="M258" i="17"/>
  <c r="M22" i="17"/>
  <c r="M152" i="17"/>
  <c r="M60" i="17"/>
  <c r="M21" i="17"/>
  <c r="M71" i="17"/>
  <c r="M54" i="17"/>
  <c r="M5" i="17"/>
  <c r="M78" i="17"/>
  <c r="M174" i="17"/>
  <c r="M227" i="17"/>
  <c r="M112" i="17"/>
  <c r="M156" i="17"/>
  <c r="M42" i="17"/>
  <c r="M127" i="17"/>
  <c r="M199" i="17"/>
  <c r="M108" i="17"/>
  <c r="M207" i="17"/>
  <c r="M135" i="17"/>
  <c r="M79" i="17"/>
  <c r="M76" i="17"/>
  <c r="M259" i="17"/>
  <c r="M45" i="17"/>
  <c r="M288" i="17"/>
  <c r="M164" i="17"/>
  <c r="M284" i="17"/>
  <c r="M291" i="17"/>
  <c r="M102" i="17"/>
  <c r="M201" i="17"/>
  <c r="M273" i="17"/>
  <c r="M310" i="17"/>
  <c r="M271" i="17"/>
  <c r="M250" i="17"/>
  <c r="M314" i="17"/>
  <c r="M208" i="17"/>
  <c r="M216" i="17"/>
  <c r="M226" i="17"/>
  <c r="M58" i="17"/>
  <c r="M299" i="17"/>
  <c r="M276" i="17"/>
  <c r="M189" i="17"/>
  <c r="M143" i="17"/>
  <c r="M119" i="17"/>
  <c r="M221" i="17"/>
  <c r="M113" i="17"/>
  <c r="M165" i="17"/>
  <c r="M202" i="17"/>
  <c r="M86" i="17"/>
  <c r="M151" i="17"/>
  <c r="M145" i="17"/>
  <c r="M49" i="17"/>
  <c r="M66" i="17"/>
  <c r="M234" i="17"/>
  <c r="M36" i="17"/>
  <c r="M283" i="17"/>
  <c r="M30" i="17"/>
  <c r="M139" i="17"/>
  <c r="M33" i="17"/>
  <c r="M251" i="17"/>
  <c r="M52" i="17"/>
  <c r="M210" i="17"/>
  <c r="M141" i="17"/>
  <c r="M59" i="17"/>
  <c r="M17" i="17"/>
  <c r="M65" i="17"/>
  <c r="M131" i="17"/>
  <c r="M107" i="17"/>
  <c r="M315" i="17"/>
  <c r="M111" i="17"/>
  <c r="M90" i="17"/>
  <c r="M123" i="17"/>
  <c r="M109" i="17"/>
  <c r="M50" i="18" l="1"/>
  <c r="M203" i="18"/>
  <c r="M95" i="18"/>
  <c r="M279" i="18"/>
  <c r="M104" i="18"/>
  <c r="M63" i="18"/>
  <c r="M81" i="18"/>
  <c r="M127" i="18"/>
  <c r="M116" i="18"/>
  <c r="M318" i="18"/>
  <c r="M202" i="18"/>
  <c r="M67" i="18"/>
  <c r="M157" i="18"/>
  <c r="M314" i="18"/>
  <c r="M151" i="18"/>
  <c r="M206" i="18"/>
  <c r="M319" i="18"/>
  <c r="M103" i="18"/>
  <c r="M242" i="18"/>
  <c r="M222" i="18"/>
  <c r="M213" i="18"/>
  <c r="M175" i="18"/>
  <c r="M41" i="18"/>
  <c r="M64" i="18"/>
  <c r="M162" i="18"/>
  <c r="M265" i="18"/>
  <c r="M66" i="18"/>
  <c r="M90" i="18"/>
  <c r="M144" i="18"/>
  <c r="M24" i="18"/>
  <c r="M59" i="18"/>
  <c r="M85" i="18"/>
  <c r="M298" i="18"/>
  <c r="M112" i="18"/>
  <c r="M73" i="18"/>
  <c r="M38" i="18"/>
  <c r="M92" i="18"/>
  <c r="M296" i="18"/>
  <c r="M160" i="18"/>
  <c r="M114" i="18"/>
  <c r="M52" i="18"/>
  <c r="M121" i="18"/>
  <c r="M46" i="18"/>
  <c r="M118" i="18"/>
  <c r="M124" i="18"/>
  <c r="M45" i="18"/>
  <c r="M3" i="18"/>
  <c r="M34" i="18"/>
  <c r="M294" i="18"/>
  <c r="M210" i="18"/>
  <c r="M207" i="18"/>
  <c r="M60" i="18"/>
  <c r="M289" i="18"/>
  <c r="M169" i="18"/>
  <c r="M158" i="18"/>
  <c r="M12" i="18"/>
  <c r="M4" i="18"/>
  <c r="M297" i="18"/>
  <c r="M286" i="18"/>
  <c r="M31" i="18"/>
  <c r="M282" i="18"/>
  <c r="M240" i="18"/>
  <c r="M148" i="18"/>
  <c r="M84" i="18"/>
  <c r="M211" i="18"/>
  <c r="M120" i="18"/>
  <c r="M183" i="18"/>
  <c r="M113" i="18"/>
  <c r="M247" i="18"/>
  <c r="M170" i="18"/>
  <c r="M58" i="18"/>
  <c r="M42" i="18"/>
  <c r="M308" i="18"/>
  <c r="M109" i="18"/>
  <c r="M62" i="18"/>
  <c r="O2" i="18" s="1"/>
  <c r="P202" i="18" s="1"/>
  <c r="M172" i="18"/>
  <c r="M270" i="18"/>
  <c r="M219" i="18"/>
  <c r="M44" i="18"/>
  <c r="M106" i="18"/>
  <c r="M245" i="18"/>
  <c r="M17" i="18"/>
  <c r="M236" i="18"/>
  <c r="M119" i="18"/>
  <c r="M32" i="18"/>
  <c r="M200" i="18"/>
  <c r="M284" i="18"/>
  <c r="M30" i="18"/>
  <c r="M135" i="18"/>
  <c r="M54" i="18"/>
  <c r="M164" i="18"/>
  <c r="M137" i="18"/>
  <c r="M111" i="18"/>
  <c r="M101" i="18"/>
  <c r="M6" i="18"/>
  <c r="M15" i="18"/>
  <c r="M287" i="18"/>
  <c r="M300" i="18"/>
  <c r="M317" i="18"/>
  <c r="M14" i="18"/>
  <c r="M179" i="18"/>
  <c r="M254" i="18"/>
  <c r="M187" i="18"/>
  <c r="M250" i="18"/>
  <c r="M168" i="18"/>
  <c r="M76" i="18"/>
  <c r="M110" i="18"/>
  <c r="M136" i="18"/>
  <c r="M171" i="18"/>
  <c r="M20" i="18"/>
  <c r="M264" i="18"/>
  <c r="M43" i="18"/>
  <c r="M267" i="18"/>
  <c r="M178" i="18"/>
  <c r="M197" i="18"/>
  <c r="M188" i="18"/>
  <c r="M278" i="18"/>
  <c r="M130" i="18"/>
  <c r="M243" i="18"/>
  <c r="M301" i="18"/>
  <c r="M232" i="18"/>
  <c r="M285" i="18"/>
  <c r="M100" i="18"/>
  <c r="M260" i="18"/>
  <c r="M79" i="18"/>
  <c r="M227" i="18"/>
  <c r="M266" i="18"/>
  <c r="M215" i="18"/>
  <c r="M83" i="18"/>
  <c r="M163" i="18"/>
  <c r="M310" i="18"/>
  <c r="M221" i="18"/>
  <c r="M189" i="18"/>
  <c r="M212" i="18"/>
  <c r="M269" i="18"/>
  <c r="M25" i="18"/>
  <c r="M129" i="18"/>
  <c r="M306" i="18"/>
  <c r="M39" i="18"/>
  <c r="M28" i="18"/>
  <c r="M99" i="18"/>
  <c r="M253" i="18"/>
  <c r="M27" i="18"/>
  <c r="M261" i="18"/>
  <c r="M145" i="18"/>
  <c r="M72" i="18"/>
  <c r="M218" i="18"/>
  <c r="M48" i="18"/>
  <c r="M88" i="18"/>
  <c r="M70" i="18"/>
  <c r="M132" i="18"/>
  <c r="M181" i="18"/>
  <c r="M305" i="18"/>
  <c r="M5" i="18"/>
  <c r="M177" i="18"/>
  <c r="M303" i="18"/>
  <c r="M167" i="18"/>
  <c r="M86" i="18"/>
  <c r="M224" i="18"/>
  <c r="M154" i="18"/>
  <c r="M71" i="18"/>
  <c r="M230" i="18"/>
  <c r="M78" i="18"/>
  <c r="M22" i="18"/>
  <c r="M87" i="18"/>
  <c r="M241" i="18"/>
  <c r="M16" i="18"/>
  <c r="M96" i="18"/>
  <c r="M140" i="18"/>
  <c r="M184" i="18"/>
  <c r="M159" i="18"/>
  <c r="M68" i="18"/>
  <c r="M233" i="18"/>
  <c r="M133" i="18"/>
  <c r="M262" i="18"/>
  <c r="M94" i="18"/>
  <c r="M141" i="18"/>
  <c r="M11" i="18"/>
  <c r="M53" i="18"/>
  <c r="M321" i="18"/>
  <c r="M293" i="18"/>
  <c r="M196" i="18"/>
  <c r="M277" i="18"/>
  <c r="M275" i="18"/>
  <c r="M143" i="18"/>
  <c r="M37" i="18"/>
  <c r="M205" i="18"/>
  <c r="M165" i="18"/>
  <c r="M244" i="18"/>
  <c r="M186" i="18"/>
  <c r="M89" i="18"/>
  <c r="M126" i="18"/>
  <c r="M299" i="18"/>
  <c r="M108" i="18"/>
  <c r="M237" i="18"/>
  <c r="M47" i="18"/>
  <c r="M304" i="18"/>
  <c r="M156" i="18"/>
  <c r="M263" i="18"/>
  <c r="M185" i="18"/>
  <c r="M61" i="18"/>
  <c r="M82" i="18"/>
  <c r="M33" i="18"/>
  <c r="M295" i="18"/>
  <c r="M9" i="18"/>
  <c r="M18" i="18"/>
  <c r="M273" i="18"/>
  <c r="M309" i="18"/>
  <c r="M320" i="18"/>
  <c r="M248" i="18"/>
  <c r="M268" i="18"/>
  <c r="M302" i="18"/>
  <c r="M234" i="18"/>
  <c r="M290" i="18"/>
  <c r="M315" i="18"/>
  <c r="M307" i="18"/>
  <c r="M208" i="18"/>
  <c r="M251" i="18"/>
  <c r="M228" i="18"/>
  <c r="M149" i="18"/>
  <c r="M107" i="18"/>
  <c r="M97" i="18"/>
  <c r="M2" i="18"/>
  <c r="M238" i="18"/>
  <c r="M257" i="18"/>
  <c r="M180" i="18"/>
  <c r="M313" i="18"/>
  <c r="M283" i="18"/>
  <c r="M231" i="18"/>
  <c r="M7" i="18"/>
  <c r="M40" i="18"/>
  <c r="M193" i="18"/>
  <c r="M49" i="18"/>
  <c r="M199" i="18"/>
  <c r="M288" i="18"/>
  <c r="M69" i="18"/>
  <c r="M65" i="18"/>
  <c r="M29" i="18"/>
  <c r="M316" i="18"/>
  <c r="M216" i="18"/>
  <c r="M161" i="18"/>
  <c r="M194" i="18"/>
  <c r="M217" i="18"/>
  <c r="M291" i="18"/>
  <c r="M173" i="18"/>
  <c r="M246" i="18"/>
  <c r="M220" i="18"/>
  <c r="M192" i="18"/>
  <c r="M117" i="18"/>
  <c r="M272" i="18"/>
  <c r="M229" i="18"/>
  <c r="M271" i="18"/>
  <c r="M21" i="18"/>
  <c r="M142" i="18"/>
  <c r="M182" i="18"/>
  <c r="M281" i="18"/>
  <c r="M258" i="18"/>
  <c r="M195" i="18"/>
  <c r="M19" i="18"/>
  <c r="M75" i="18"/>
  <c r="M74" i="18"/>
  <c r="M98" i="18"/>
  <c r="M153" i="18"/>
  <c r="M292" i="18"/>
  <c r="M252" i="18"/>
  <c r="M214" i="18"/>
  <c r="M102" i="18"/>
  <c r="M198" i="18"/>
  <c r="M312" i="18"/>
  <c r="M249" i="18"/>
  <c r="M155" i="18"/>
  <c r="M239" i="18"/>
  <c r="M13" i="18"/>
  <c r="M152" i="18"/>
  <c r="M201" i="18"/>
  <c r="M223" i="18"/>
  <c r="M93" i="18"/>
  <c r="M259" i="18"/>
  <c r="M36" i="18"/>
  <c r="M274" i="18"/>
  <c r="M235" i="18"/>
  <c r="M80" i="18"/>
  <c r="M26" i="18"/>
  <c r="M115" i="18"/>
  <c r="M35" i="18"/>
  <c r="M55" i="18"/>
  <c r="M146" i="18"/>
  <c r="M105" i="18"/>
  <c r="M204" i="18"/>
  <c r="M23" i="18"/>
  <c r="M280" i="18"/>
  <c r="M174" i="18"/>
  <c r="M10" i="18"/>
  <c r="M225" i="18"/>
  <c r="M77" i="18"/>
  <c r="M190" i="18"/>
  <c r="M122" i="18"/>
  <c r="M150" i="18"/>
  <c r="M56" i="18"/>
  <c r="M91" i="18"/>
  <c r="M139" i="18"/>
  <c r="M166" i="18"/>
  <c r="M226" i="18"/>
  <c r="M123" i="18"/>
  <c r="M256" i="18"/>
  <c r="M8" i="18"/>
  <c r="M125" i="18"/>
  <c r="M134" i="18"/>
  <c r="M311" i="18"/>
  <c r="M176" i="18"/>
  <c r="M131" i="18"/>
  <c r="M276" i="18"/>
  <c r="M322" i="18"/>
  <c r="M255" i="18"/>
  <c r="M57" i="18"/>
  <c r="M191" i="18"/>
  <c r="M51" i="18"/>
  <c r="M138" i="18"/>
  <c r="M147" i="18"/>
  <c r="M128" i="18"/>
  <c r="O2" i="17"/>
  <c r="P299" i="17" s="1"/>
  <c r="P38" i="17"/>
  <c r="P110" i="17"/>
  <c r="M197" i="16"/>
  <c r="M181" i="16"/>
  <c r="M165" i="16"/>
  <c r="M139" i="16"/>
  <c r="M123" i="16"/>
  <c r="M189" i="16"/>
  <c r="M100" i="16"/>
  <c r="M54" i="16"/>
  <c r="M114" i="16"/>
  <c r="M173" i="16"/>
  <c r="M47" i="16"/>
  <c r="M117" i="16"/>
  <c r="M78" i="16"/>
  <c r="M31" i="16"/>
  <c r="M157" i="16"/>
  <c r="M124" i="16"/>
  <c r="M38" i="16"/>
  <c r="M57" i="16"/>
  <c r="M200" i="16"/>
  <c r="M140" i="16"/>
  <c r="M147" i="16"/>
  <c r="M131" i="16"/>
  <c r="M73" i="16"/>
  <c r="M8" i="16"/>
  <c r="M168" i="16"/>
  <c r="M34" i="16"/>
  <c r="M25" i="16"/>
  <c r="M10" i="16"/>
  <c r="M4" i="16"/>
  <c r="M109" i="16"/>
  <c r="M227" i="16"/>
  <c r="M162" i="16"/>
  <c r="M280" i="16"/>
  <c r="M58" i="16"/>
  <c r="M178" i="16"/>
  <c r="M36" i="16"/>
  <c r="M74" i="16"/>
  <c r="M163" i="16"/>
  <c r="M256" i="16"/>
  <c r="M62" i="16"/>
  <c r="M110" i="16"/>
  <c r="M167" i="16"/>
  <c r="M292" i="16"/>
  <c r="M130" i="16"/>
  <c r="M247" i="16"/>
  <c r="M244" i="16"/>
  <c r="M72" i="16"/>
  <c r="M107" i="16"/>
  <c r="M251" i="16"/>
  <c r="M171" i="16"/>
  <c r="M255" i="16"/>
  <c r="M158" i="16"/>
  <c r="M169" i="16"/>
  <c r="M241" i="16"/>
  <c r="M305" i="16"/>
  <c r="M226" i="16"/>
  <c r="M198" i="16"/>
  <c r="M266" i="16"/>
  <c r="M298" i="16"/>
  <c r="M2" i="16"/>
  <c r="M12" i="16"/>
  <c r="M41" i="16"/>
  <c r="M77" i="16"/>
  <c r="M21" i="16"/>
  <c r="M11" i="16"/>
  <c r="M184" i="16"/>
  <c r="M85" i="16"/>
  <c r="M308" i="16"/>
  <c r="M269" i="16"/>
  <c r="M174" i="16"/>
  <c r="M313" i="16"/>
  <c r="M238" i="16"/>
  <c r="M270" i="16"/>
  <c r="M304" i="16"/>
  <c r="M213" i="16"/>
  <c r="M295" i="16"/>
  <c r="M61" i="16"/>
  <c r="M220" i="16"/>
  <c r="M259" i="16"/>
  <c r="M194" i="16"/>
  <c r="M271" i="16"/>
  <c r="M320" i="16"/>
  <c r="M64" i="16"/>
  <c r="M116" i="16"/>
  <c r="M179" i="16"/>
  <c r="M307" i="16"/>
  <c r="M136" i="16"/>
  <c r="M261" i="16"/>
  <c r="M80" i="16"/>
  <c r="M120" i="16"/>
  <c r="M268" i="16"/>
  <c r="M70" i="16"/>
  <c r="M176" i="16"/>
  <c r="M164" i="16"/>
  <c r="M249" i="16"/>
  <c r="M234" i="16"/>
  <c r="M302" i="16"/>
  <c r="M166" i="16"/>
  <c r="M18" i="16"/>
  <c r="M71" i="16"/>
  <c r="M276" i="16"/>
  <c r="M151" i="16"/>
  <c r="M101" i="16"/>
  <c r="M35" i="16"/>
  <c r="M67" i="16"/>
  <c r="M133" i="16"/>
  <c r="M225" i="16"/>
  <c r="M258" i="16"/>
  <c r="M88" i="16"/>
  <c r="M277" i="16"/>
  <c r="M154" i="16"/>
  <c r="M152" i="16"/>
  <c r="M150" i="16"/>
  <c r="M233" i="16"/>
  <c r="M294" i="16"/>
  <c r="M9" i="16"/>
  <c r="M60" i="16"/>
  <c r="M83" i="16"/>
  <c r="M29" i="16"/>
  <c r="M14" i="16"/>
  <c r="M20" i="16"/>
  <c r="M94" i="16"/>
  <c r="M216" i="16"/>
  <c r="M309" i="16"/>
  <c r="M235" i="16"/>
  <c r="M19" i="16"/>
  <c r="M95" i="16"/>
  <c r="M285" i="16"/>
  <c r="M13" i="16"/>
  <c r="M135" i="16"/>
  <c r="M201" i="16"/>
  <c r="M264" i="16"/>
  <c r="M45" i="16"/>
  <c r="M283" i="16"/>
  <c r="M186" i="16"/>
  <c r="M272" i="16"/>
  <c r="M180" i="16"/>
  <c r="M185" i="16"/>
  <c r="M257" i="16"/>
  <c r="M321" i="16"/>
  <c r="M242" i="16"/>
  <c r="M274" i="16"/>
  <c r="M306" i="16"/>
  <c r="M196" i="16"/>
  <c r="M310" i="16"/>
  <c r="M188" i="16"/>
  <c r="M53" i="16"/>
  <c r="M145" i="16"/>
  <c r="M299" i="16"/>
  <c r="M260" i="16"/>
  <c r="M311" i="16"/>
  <c r="M210" i="16"/>
  <c r="M103" i="16"/>
  <c r="M156" i="16"/>
  <c r="M316" i="16"/>
  <c r="M104" i="16"/>
  <c r="M232" i="16"/>
  <c r="M291" i="16"/>
  <c r="M230" i="16"/>
  <c r="M193" i="16"/>
  <c r="M15" i="16"/>
  <c r="M126" i="16"/>
  <c r="M96" i="16"/>
  <c r="M149" i="16"/>
  <c r="M3" i="16"/>
  <c r="M26" i="16"/>
  <c r="M17" i="16"/>
  <c r="M55" i="16"/>
  <c r="M112" i="16"/>
  <c r="M231" i="16"/>
  <c r="M68" i="16"/>
  <c r="M252" i="16"/>
  <c r="M39" i="16"/>
  <c r="M207" i="16"/>
  <c r="M288" i="16"/>
  <c r="M40" i="16"/>
  <c r="M138" i="16"/>
  <c r="M211" i="16"/>
  <c r="M90" i="16"/>
  <c r="M97" i="16"/>
  <c r="M183" i="16"/>
  <c r="M279" i="16"/>
  <c r="M52" i="16"/>
  <c r="M84" i="16"/>
  <c r="M160" i="16"/>
  <c r="M300" i="16"/>
  <c r="M75" i="16"/>
  <c r="M205" i="16"/>
  <c r="M287" i="16"/>
  <c r="M190" i="16"/>
  <c r="M265" i="16"/>
  <c r="M172" i="16"/>
  <c r="M246" i="16"/>
  <c r="M278" i="16"/>
  <c r="M175" i="16"/>
  <c r="M49" i="16"/>
  <c r="M263" i="16"/>
  <c r="M229" i="16"/>
  <c r="M237" i="16"/>
  <c r="M289" i="16"/>
  <c r="M290" i="16"/>
  <c r="M50" i="16"/>
  <c r="M153" i="16"/>
  <c r="M253" i="16"/>
  <c r="M275" i="16"/>
  <c r="M297" i="16"/>
  <c r="M28" i="16"/>
  <c r="M6" i="16"/>
  <c r="M142" i="16"/>
  <c r="M159" i="16"/>
  <c r="M7" i="16"/>
  <c r="M30" i="16"/>
  <c r="M23" i="16"/>
  <c r="M63" i="16"/>
  <c r="M118" i="16"/>
  <c r="M245" i="16"/>
  <c r="M312" i="16"/>
  <c r="M267" i="16"/>
  <c r="M51" i="16"/>
  <c r="M115" i="16"/>
  <c r="M221" i="16"/>
  <c r="M303" i="16"/>
  <c r="M87" i="16"/>
  <c r="M79" i="16"/>
  <c r="M141" i="16"/>
  <c r="M228" i="16"/>
  <c r="M111" i="16"/>
  <c r="M119" i="16"/>
  <c r="M195" i="16"/>
  <c r="M293" i="16"/>
  <c r="M65" i="16"/>
  <c r="M89" i="16"/>
  <c r="M199" i="16"/>
  <c r="M315" i="16"/>
  <c r="M208" i="16"/>
  <c r="M301" i="16"/>
  <c r="M206" i="16"/>
  <c r="M209" i="16"/>
  <c r="M273" i="16"/>
  <c r="M250" i="16"/>
  <c r="M282" i="16"/>
  <c r="M314" i="16"/>
  <c r="M170" i="16"/>
  <c r="M322" i="16"/>
  <c r="M191" i="16"/>
  <c r="M92" i="16"/>
  <c r="M48" i="16"/>
  <c r="M148" i="16"/>
  <c r="M59" i="16"/>
  <c r="M42" i="16"/>
  <c r="M240" i="16"/>
  <c r="M218" i="16"/>
  <c r="M37" i="16"/>
  <c r="M16" i="16"/>
  <c r="M27" i="16"/>
  <c r="M93" i="16"/>
  <c r="M22" i="16"/>
  <c r="M46" i="16"/>
  <c r="M82" i="16"/>
  <c r="M248" i="16"/>
  <c r="M134" i="16"/>
  <c r="M284" i="16"/>
  <c r="M69" i="16"/>
  <c r="M132" i="16"/>
  <c r="M224" i="16"/>
  <c r="M192" i="16"/>
  <c r="M99" i="16"/>
  <c r="M143" i="16"/>
  <c r="M243" i="16"/>
  <c r="M212" i="16"/>
  <c r="M122" i="16"/>
  <c r="M215" i="16"/>
  <c r="M296" i="16"/>
  <c r="M98" i="16"/>
  <c r="M204" i="16"/>
  <c r="M223" i="16"/>
  <c r="M214" i="16"/>
  <c r="M217" i="16"/>
  <c r="M281" i="16"/>
  <c r="M202" i="16"/>
  <c r="M177" i="16"/>
  <c r="M254" i="16"/>
  <c r="M286" i="16"/>
  <c r="M318" i="16"/>
  <c r="M44" i="16"/>
  <c r="M106" i="16"/>
  <c r="M129" i="16"/>
  <c r="M239" i="16"/>
  <c r="M146" i="16"/>
  <c r="M125" i="16"/>
  <c r="M102" i="16"/>
  <c r="M187" i="16"/>
  <c r="M222" i="16"/>
  <c r="M182" i="16"/>
  <c r="M24" i="16"/>
  <c r="M76" i="16"/>
  <c r="M317" i="16"/>
  <c r="M127" i="16"/>
  <c r="M236" i="16"/>
  <c r="M319" i="16"/>
  <c r="M262" i="16"/>
  <c r="M108" i="16"/>
  <c r="M113" i="16"/>
  <c r="M66" i="16"/>
  <c r="M81" i="16"/>
  <c r="M86" i="16"/>
  <c r="M121" i="16"/>
  <c r="M219" i="16"/>
  <c r="M43" i="16"/>
  <c r="M128" i="16"/>
  <c r="M161" i="16"/>
  <c r="M137" i="16"/>
  <c r="M155" i="16"/>
  <c r="M144" i="16"/>
  <c r="M33" i="16"/>
  <c r="M56" i="16"/>
  <c r="M105" i="16"/>
  <c r="M91" i="16"/>
  <c r="M5" i="16"/>
  <c r="M32" i="16"/>
  <c r="M203" i="16"/>
  <c r="P136" i="17" l="1"/>
  <c r="P302" i="17"/>
  <c r="P35" i="17"/>
  <c r="P147" i="18"/>
  <c r="P95" i="18"/>
  <c r="P8" i="18"/>
  <c r="P51" i="18"/>
  <c r="P91" i="18"/>
  <c r="P35" i="18"/>
  <c r="P31" i="18"/>
  <c r="P198" i="18"/>
  <c r="P29" i="18"/>
  <c r="P290" i="18"/>
  <c r="P84" i="18"/>
  <c r="P284" i="18"/>
  <c r="P180" i="18"/>
  <c r="P138" i="18"/>
  <c r="P55" i="18"/>
  <c r="P315" i="18"/>
  <c r="P159" i="18"/>
  <c r="P191" i="18"/>
  <c r="P56" i="18"/>
  <c r="P115" i="18"/>
  <c r="P297" i="18"/>
  <c r="P102" i="18"/>
  <c r="P65" i="18"/>
  <c r="P248" i="18"/>
  <c r="P286" i="18"/>
  <c r="P20" i="18"/>
  <c r="P150" i="18"/>
  <c r="P263" i="18"/>
  <c r="P176" i="18"/>
  <c r="P77" i="18"/>
  <c r="P254" i="18"/>
  <c r="P43" i="18"/>
  <c r="P98" i="18"/>
  <c r="P207" i="18"/>
  <c r="P108" i="18"/>
  <c r="P221" i="18"/>
  <c r="P125" i="18"/>
  <c r="P11" i="18"/>
  <c r="P220" i="18"/>
  <c r="P255" i="18"/>
  <c r="P158" i="18"/>
  <c r="P153" i="18"/>
  <c r="P311" i="18"/>
  <c r="P225" i="18"/>
  <c r="P179" i="18"/>
  <c r="P160" i="18"/>
  <c r="P21" i="18"/>
  <c r="P40" i="18"/>
  <c r="P111" i="18"/>
  <c r="P310" i="18"/>
  <c r="P146" i="18"/>
  <c r="P229" i="18"/>
  <c r="P38" i="18"/>
  <c r="P187" i="18"/>
  <c r="P240" i="18"/>
  <c r="P134" i="18"/>
  <c r="P23" i="18"/>
  <c r="P54" i="18"/>
  <c r="P162" i="18"/>
  <c r="P271" i="18"/>
  <c r="P7" i="18"/>
  <c r="P53" i="18"/>
  <c r="P188" i="18"/>
  <c r="P7" i="17"/>
  <c r="P298" i="17"/>
  <c r="P27" i="17"/>
  <c r="P173" i="17"/>
  <c r="P50" i="17"/>
  <c r="P133" i="17"/>
  <c r="P295" i="17"/>
  <c r="P129" i="17"/>
  <c r="P49" i="17"/>
  <c r="P48" i="17"/>
  <c r="P146" i="17"/>
  <c r="P53" i="17"/>
  <c r="P311" i="17"/>
  <c r="P15" i="17"/>
  <c r="P255" i="17"/>
  <c r="P124" i="17"/>
  <c r="P233" i="17"/>
  <c r="P271" i="17"/>
  <c r="P203" i="17"/>
  <c r="P209" i="17"/>
  <c r="P177" i="17"/>
  <c r="P288" i="17"/>
  <c r="P34" i="17"/>
  <c r="P286" i="17"/>
  <c r="P206" i="17"/>
  <c r="P3" i="17"/>
  <c r="P279" i="17"/>
  <c r="P257" i="18"/>
  <c r="P320" i="18"/>
  <c r="P60" i="18"/>
  <c r="P184" i="18"/>
  <c r="P183" i="18"/>
  <c r="P197" i="18"/>
  <c r="P57" i="18"/>
  <c r="P226" i="18"/>
  <c r="P10" i="18"/>
  <c r="P26" i="18"/>
  <c r="P17" i="18"/>
  <c r="P247" i="18"/>
  <c r="P157" i="18"/>
  <c r="P74" i="18"/>
  <c r="P173" i="18"/>
  <c r="P199" i="18"/>
  <c r="P238" i="18"/>
  <c r="P18" i="18"/>
  <c r="P45" i="18"/>
  <c r="P78" i="18"/>
  <c r="P48" i="18"/>
  <c r="P32" i="18"/>
  <c r="P166" i="18"/>
  <c r="P174" i="18"/>
  <c r="P171" i="18"/>
  <c r="P44" i="18"/>
  <c r="P49" i="18"/>
  <c r="P201" i="18"/>
  <c r="P19" i="18"/>
  <c r="P291" i="18"/>
  <c r="P113" i="18"/>
  <c r="P2" i="18"/>
  <c r="P82" i="18"/>
  <c r="P121" i="18"/>
  <c r="P230" i="18"/>
  <c r="P218" i="18"/>
  <c r="P245" i="18"/>
  <c r="P131" i="18"/>
  <c r="P139" i="18"/>
  <c r="P280" i="18"/>
  <c r="P250" i="18"/>
  <c r="P62" i="18"/>
  <c r="P165" i="18"/>
  <c r="P249" i="18"/>
  <c r="P182" i="18"/>
  <c r="P217" i="18"/>
  <c r="P52" i="18"/>
  <c r="P208" i="18"/>
  <c r="P61" i="18"/>
  <c r="P319" i="18"/>
  <c r="P168" i="18"/>
  <c r="P28" i="18"/>
  <c r="P210" i="18"/>
  <c r="P314" i="18"/>
  <c r="P312" i="18"/>
  <c r="P142" i="18"/>
  <c r="P316" i="18"/>
  <c r="P242" i="18"/>
  <c r="P307" i="18"/>
  <c r="P185" i="18"/>
  <c r="P205" i="18"/>
  <c r="P14" i="18"/>
  <c r="P39" i="18"/>
  <c r="P34" i="18"/>
  <c r="P110" i="18"/>
  <c r="P103" i="18"/>
  <c r="P97" i="18"/>
  <c r="P309" i="18"/>
  <c r="P299" i="18"/>
  <c r="P37" i="18"/>
  <c r="P288" i="18"/>
  <c r="P151" i="18"/>
  <c r="P260" i="18"/>
  <c r="P66" i="18"/>
  <c r="P90" i="18"/>
  <c r="P155" i="18"/>
  <c r="P75" i="18"/>
  <c r="P246" i="18"/>
  <c r="P164" i="18"/>
  <c r="P193" i="18"/>
  <c r="P251" i="18"/>
  <c r="P273" i="18"/>
  <c r="P76" i="18"/>
  <c r="P275" i="18"/>
  <c r="P303" i="18"/>
  <c r="P104" i="18"/>
  <c r="P100" i="18"/>
  <c r="P24" i="18"/>
  <c r="P143" i="18"/>
  <c r="P141" i="18"/>
  <c r="P140" i="18"/>
  <c r="P71" i="18"/>
  <c r="P274" i="18"/>
  <c r="P15" i="18"/>
  <c r="P12" i="18"/>
  <c r="P41" i="18"/>
  <c r="P85" i="18"/>
  <c r="P72" i="18"/>
  <c r="P306" i="18"/>
  <c r="P163" i="18"/>
  <c r="P285" i="18"/>
  <c r="P178" i="18"/>
  <c r="P172" i="18"/>
  <c r="P186" i="18"/>
  <c r="P296" i="18"/>
  <c r="P94" i="18"/>
  <c r="P96" i="18"/>
  <c r="P154" i="18"/>
  <c r="P177" i="18"/>
  <c r="P137" i="18"/>
  <c r="P289" i="18"/>
  <c r="P318" i="18"/>
  <c r="P116" i="18"/>
  <c r="P145" i="18"/>
  <c r="P129" i="18"/>
  <c r="P83" i="18"/>
  <c r="P232" i="18"/>
  <c r="P267" i="18"/>
  <c r="P308" i="18"/>
  <c r="P264" i="18"/>
  <c r="P81" i="18"/>
  <c r="P156" i="18"/>
  <c r="P200" i="18"/>
  <c r="P222" i="18"/>
  <c r="P277" i="18"/>
  <c r="P262" i="18"/>
  <c r="P16" i="18"/>
  <c r="P224" i="18"/>
  <c r="P5" i="18"/>
  <c r="P30" i="18"/>
  <c r="P294" i="18"/>
  <c r="P73" i="18"/>
  <c r="P181" i="18"/>
  <c r="P261" i="18"/>
  <c r="P25" i="18"/>
  <c r="P215" i="18"/>
  <c r="P301" i="18"/>
  <c r="P136" i="18"/>
  <c r="P120" i="18"/>
  <c r="P244" i="18"/>
  <c r="P92" i="18"/>
  <c r="P259" i="18"/>
  <c r="P59" i="18"/>
  <c r="P152" i="18"/>
  <c r="P214" i="18"/>
  <c r="P195" i="18"/>
  <c r="P272" i="18"/>
  <c r="P194" i="18"/>
  <c r="P119" i="18"/>
  <c r="P279" i="18"/>
  <c r="P231" i="18"/>
  <c r="P107" i="18"/>
  <c r="P234" i="18"/>
  <c r="P9" i="18"/>
  <c r="P304" i="18"/>
  <c r="P219" i="18"/>
  <c r="P112" i="18"/>
  <c r="P196" i="18"/>
  <c r="P133" i="18"/>
  <c r="P241" i="18"/>
  <c r="P86" i="18"/>
  <c r="P305" i="18"/>
  <c r="P236" i="18"/>
  <c r="P3" i="18"/>
  <c r="P144" i="18"/>
  <c r="P132" i="18"/>
  <c r="P27" i="18"/>
  <c r="P269" i="18"/>
  <c r="P266" i="18"/>
  <c r="P243" i="18"/>
  <c r="P300" i="18"/>
  <c r="P282" i="18"/>
  <c r="P223" i="18"/>
  <c r="P203" i="18"/>
  <c r="P209" i="18"/>
  <c r="P287" i="18"/>
  <c r="P265" i="18"/>
  <c r="P252" i="18"/>
  <c r="P258" i="18"/>
  <c r="P117" i="18"/>
  <c r="P161" i="18"/>
  <c r="P270" i="18"/>
  <c r="P298" i="18"/>
  <c r="P283" i="18"/>
  <c r="P302" i="18"/>
  <c r="P295" i="18"/>
  <c r="P47" i="18"/>
  <c r="P170" i="18"/>
  <c r="P213" i="18"/>
  <c r="P293" i="18"/>
  <c r="P233" i="18"/>
  <c r="P87" i="18"/>
  <c r="P167" i="18"/>
  <c r="P36" i="18"/>
  <c r="P106" i="18"/>
  <c r="P118" i="18"/>
  <c r="P206" i="18"/>
  <c r="P70" i="18"/>
  <c r="P253" i="18"/>
  <c r="P212" i="18"/>
  <c r="P227" i="18"/>
  <c r="P130" i="18"/>
  <c r="P6" i="18"/>
  <c r="P4" i="18"/>
  <c r="P114" i="18"/>
  <c r="P127" i="18"/>
  <c r="P80" i="18"/>
  <c r="P317" i="18"/>
  <c r="P322" i="18"/>
  <c r="P256" i="18"/>
  <c r="P122" i="18"/>
  <c r="P204" i="18"/>
  <c r="P235" i="18"/>
  <c r="P42" i="18"/>
  <c r="P124" i="18"/>
  <c r="P13" i="18"/>
  <c r="P149" i="18"/>
  <c r="P128" i="18"/>
  <c r="P276" i="18"/>
  <c r="P123" i="18"/>
  <c r="P190" i="18"/>
  <c r="P105" i="18"/>
  <c r="P69" i="18"/>
  <c r="P101" i="18"/>
  <c r="P211" i="18"/>
  <c r="P93" i="18"/>
  <c r="P63" i="18"/>
  <c r="P239" i="18"/>
  <c r="P292" i="18"/>
  <c r="P281" i="18"/>
  <c r="P192" i="18"/>
  <c r="P216" i="18"/>
  <c r="P58" i="18"/>
  <c r="P175" i="18"/>
  <c r="P313" i="18"/>
  <c r="P228" i="18"/>
  <c r="P268" i="18"/>
  <c r="P33" i="18"/>
  <c r="P237" i="18"/>
  <c r="P148" i="18"/>
  <c r="P64" i="18"/>
  <c r="P321" i="18"/>
  <c r="P68" i="18"/>
  <c r="P22" i="18"/>
  <c r="P126" i="18"/>
  <c r="P89" i="18"/>
  <c r="P109" i="18"/>
  <c r="P46" i="18"/>
  <c r="P50" i="18"/>
  <c r="P88" i="18"/>
  <c r="P99" i="18"/>
  <c r="P189" i="18"/>
  <c r="P79" i="18"/>
  <c r="P278" i="18"/>
  <c r="P135" i="18"/>
  <c r="P169" i="18"/>
  <c r="P67" i="18"/>
  <c r="P182" i="17"/>
  <c r="P25" i="17"/>
  <c r="P103" i="17"/>
  <c r="P157" i="17"/>
  <c r="P107" i="17"/>
  <c r="P227" i="17"/>
  <c r="P60" i="17"/>
  <c r="P175" i="17"/>
  <c r="P225" i="17"/>
  <c r="P37" i="17"/>
  <c r="P144" i="17"/>
  <c r="P164" i="17"/>
  <c r="P116" i="17"/>
  <c r="P244" i="17"/>
  <c r="P59" i="17"/>
  <c r="P112" i="17"/>
  <c r="P215" i="17"/>
  <c r="P89" i="17"/>
  <c r="P252" i="17"/>
  <c r="P272" i="17"/>
  <c r="P250" i="17"/>
  <c r="P93" i="17"/>
  <c r="P123" i="17"/>
  <c r="P245" i="17"/>
  <c r="P226" i="17"/>
  <c r="P213" i="17"/>
  <c r="P97" i="17"/>
  <c r="P160" i="17"/>
  <c r="P143" i="17"/>
  <c r="P309" i="17"/>
  <c r="P274" i="17"/>
  <c r="P92" i="17"/>
  <c r="P200" i="17"/>
  <c r="P260" i="17"/>
  <c r="P320" i="17"/>
  <c r="P145" i="17"/>
  <c r="P316" i="17"/>
  <c r="P290" i="17"/>
  <c r="P2" i="17"/>
  <c r="P282" i="17"/>
  <c r="P165" i="17"/>
  <c r="P14" i="17"/>
  <c r="P212" i="17"/>
  <c r="P61" i="17"/>
  <c r="P208" i="17"/>
  <c r="P125" i="17"/>
  <c r="P248" i="17"/>
  <c r="P138" i="17"/>
  <c r="P36" i="17"/>
  <c r="P51" i="17"/>
  <c r="P161" i="17"/>
  <c r="P256" i="17"/>
  <c r="P104" i="17"/>
  <c r="P276" i="17"/>
  <c r="P236" i="17"/>
  <c r="P264" i="17"/>
  <c r="P84" i="17"/>
  <c r="P56" i="17"/>
  <c r="P96" i="17"/>
  <c r="P189" i="17"/>
  <c r="P262" i="17"/>
  <c r="P193" i="17"/>
  <c r="P31" i="17"/>
  <c r="P87" i="17"/>
  <c r="P270" i="17"/>
  <c r="P33" i="17"/>
  <c r="P205" i="17"/>
  <c r="P216" i="17"/>
  <c r="P73" i="17"/>
  <c r="P41" i="17"/>
  <c r="P91" i="17"/>
  <c r="P115" i="17"/>
  <c r="P251" i="17"/>
  <c r="P301" i="17"/>
  <c r="P105" i="17"/>
  <c r="P220" i="17"/>
  <c r="P170" i="17"/>
  <c r="P79" i="17"/>
  <c r="P232" i="17"/>
  <c r="P292" i="17"/>
  <c r="P188" i="17"/>
  <c r="P16" i="17"/>
  <c r="P191" i="17"/>
  <c r="P158" i="17"/>
  <c r="P217" i="17"/>
  <c r="P4" i="17"/>
  <c r="P24" i="17"/>
  <c r="P306" i="17"/>
  <c r="P141" i="17"/>
  <c r="P280" i="17"/>
  <c r="P297" i="17"/>
  <c r="P128" i="17"/>
  <c r="P86" i="17"/>
  <c r="P19" i="17"/>
  <c r="P275" i="17"/>
  <c r="P40" i="17"/>
  <c r="P247" i="17"/>
  <c r="P10" i="17"/>
  <c r="P151" i="17"/>
  <c r="P45" i="17"/>
  <c r="P68" i="17"/>
  <c r="P169" i="17"/>
  <c r="P77" i="17"/>
  <c r="P22" i="17"/>
  <c r="P131" i="17"/>
  <c r="P166" i="17"/>
  <c r="P281" i="17"/>
  <c r="P70" i="17"/>
  <c r="P240" i="17"/>
  <c r="P289" i="17"/>
  <c r="P176" i="17"/>
  <c r="P242" i="17"/>
  <c r="P6" i="17"/>
  <c r="P163" i="17"/>
  <c r="P322" i="17"/>
  <c r="P184" i="17"/>
  <c r="P102" i="17"/>
  <c r="P106" i="17"/>
  <c r="P20" i="17"/>
  <c r="P296" i="17"/>
  <c r="P64" i="17"/>
  <c r="P21" i="17"/>
  <c r="P310" i="17"/>
  <c r="P254" i="17"/>
  <c r="P162" i="17"/>
  <c r="P55" i="17"/>
  <c r="P71" i="17"/>
  <c r="P313" i="17"/>
  <c r="P198" i="17"/>
  <c r="P9" i="17"/>
  <c r="P180" i="17"/>
  <c r="P127" i="17"/>
  <c r="P137" i="17"/>
  <c r="P241" i="17"/>
  <c r="P139" i="17"/>
  <c r="P317" i="17"/>
  <c r="P249" i="17"/>
  <c r="P218" i="17"/>
  <c r="P223" i="17"/>
  <c r="P174" i="17"/>
  <c r="P132" i="17"/>
  <c r="P152" i="17"/>
  <c r="P234" i="17"/>
  <c r="P190" i="17"/>
  <c r="P83" i="17"/>
  <c r="P81" i="17"/>
  <c r="P171" i="17"/>
  <c r="P80" i="17"/>
  <c r="P99" i="17"/>
  <c r="P121" i="17"/>
  <c r="P154" i="17"/>
  <c r="P221" i="17"/>
  <c r="P265" i="17"/>
  <c r="P307" i="17"/>
  <c r="P150" i="17"/>
  <c r="P47" i="17"/>
  <c r="P201" i="17"/>
  <c r="P269" i="17"/>
  <c r="P178" i="17"/>
  <c r="P228" i="17"/>
  <c r="P183" i="17"/>
  <c r="P42" i="17"/>
  <c r="P46" i="17"/>
  <c r="P287" i="17"/>
  <c r="P85" i="17"/>
  <c r="P74" i="17"/>
  <c r="P224" i="17"/>
  <c r="P17" i="17"/>
  <c r="P285" i="17"/>
  <c r="P222" i="17"/>
  <c r="P62" i="17"/>
  <c r="P153" i="17"/>
  <c r="P258" i="17"/>
  <c r="P65" i="17"/>
  <c r="P179" i="17"/>
  <c r="P196" i="17"/>
  <c r="P294" i="17"/>
  <c r="P257" i="17"/>
  <c r="P207" i="17"/>
  <c r="P192" i="17"/>
  <c r="P135" i="17"/>
  <c r="P111" i="17"/>
  <c r="P168" i="17"/>
  <c r="P26" i="17"/>
  <c r="P122" i="17"/>
  <c r="P95" i="17"/>
  <c r="P230" i="17"/>
  <c r="P197" i="17"/>
  <c r="P267" i="17"/>
  <c r="P186" i="17"/>
  <c r="P98" i="17"/>
  <c r="P66" i="17"/>
  <c r="P283" i="17"/>
  <c r="P23" i="17"/>
  <c r="P231" i="17"/>
  <c r="P75" i="17"/>
  <c r="P113" i="17"/>
  <c r="P181" i="17"/>
  <c r="P28" i="17"/>
  <c r="P303" i="17"/>
  <c r="P243" i="17"/>
  <c r="P259" i="17"/>
  <c r="P43" i="17"/>
  <c r="P266" i="17"/>
  <c r="P149" i="17"/>
  <c r="P101" i="17"/>
  <c r="P29" i="17"/>
  <c r="P78" i="17"/>
  <c r="P76" i="17"/>
  <c r="P235" i="17"/>
  <c r="P148" i="17"/>
  <c r="P268" i="17"/>
  <c r="P319" i="17"/>
  <c r="P284" i="17"/>
  <c r="P187" i="17"/>
  <c r="P291" i="17"/>
  <c r="P90" i="17"/>
  <c r="P54" i="17"/>
  <c r="P194" i="17"/>
  <c r="P44" i="17"/>
  <c r="P308" i="17"/>
  <c r="P229" i="17"/>
  <c r="P219" i="17"/>
  <c r="P13" i="17"/>
  <c r="P155" i="17"/>
  <c r="P52" i="17"/>
  <c r="P211" i="17"/>
  <c r="P72" i="17"/>
  <c r="P305" i="17"/>
  <c r="P237" i="17"/>
  <c r="P210" i="17"/>
  <c r="P12" i="17"/>
  <c r="P69" i="17"/>
  <c r="P120" i="17"/>
  <c r="P172" i="17"/>
  <c r="P273" i="17"/>
  <c r="P18" i="17"/>
  <c r="P114" i="17"/>
  <c r="P30" i="17"/>
  <c r="P63" i="17"/>
  <c r="P261" i="17"/>
  <c r="P140" i="17"/>
  <c r="P94" i="17"/>
  <c r="P5" i="17"/>
  <c r="P109" i="17"/>
  <c r="P214" i="17"/>
  <c r="P167" i="17"/>
  <c r="P239" i="17"/>
  <c r="P253" i="17"/>
  <c r="P185" i="17"/>
  <c r="P321" i="17"/>
  <c r="P195" i="17"/>
  <c r="P199" i="17"/>
  <c r="P156" i="17"/>
  <c r="P88" i="17"/>
  <c r="P118" i="17"/>
  <c r="P147" i="17"/>
  <c r="P278" i="17"/>
  <c r="P108" i="17"/>
  <c r="P130" i="17"/>
  <c r="P8" i="17"/>
  <c r="P134" i="17"/>
  <c r="P11" i="17"/>
  <c r="P159" i="17"/>
  <c r="P314" i="17"/>
  <c r="P39" i="17"/>
  <c r="P119" i="17"/>
  <c r="P293" i="17"/>
  <c r="P202" i="17"/>
  <c r="P318" i="17"/>
  <c r="P32" i="17"/>
  <c r="P312" i="17"/>
  <c r="P82" i="17"/>
  <c r="P117" i="17"/>
  <c r="P142" i="17"/>
  <c r="P67" i="17"/>
  <c r="P263" i="17"/>
  <c r="P315" i="17"/>
  <c r="P277" i="17"/>
  <c r="P57" i="17"/>
  <c r="P246" i="17"/>
  <c r="P300" i="17"/>
  <c r="P304" i="17"/>
  <c r="P238" i="17"/>
  <c r="P204" i="17"/>
  <c r="P126" i="17"/>
  <c r="P100" i="17"/>
  <c r="P58" i="17"/>
  <c r="O2" i="16"/>
  <c r="P204" i="16" s="1"/>
  <c r="P17" i="16" l="1"/>
  <c r="P166" i="16"/>
  <c r="P156" i="16"/>
  <c r="P281" i="16"/>
  <c r="P211" i="16"/>
  <c r="P4" i="16"/>
  <c r="P302" i="16"/>
  <c r="P228" i="16"/>
  <c r="P242" i="16"/>
  <c r="P155" i="16"/>
  <c r="P212" i="16"/>
  <c r="P280" i="16"/>
  <c r="P270" i="16"/>
  <c r="P67" i="16"/>
  <c r="P298" i="16"/>
  <c r="P256" i="16"/>
  <c r="P282" i="16"/>
  <c r="P253" i="16"/>
  <c r="P317" i="16"/>
  <c r="P187" i="16"/>
  <c r="P310" i="16"/>
  <c r="P64" i="16"/>
  <c r="P42" i="16"/>
  <c r="P195" i="16"/>
  <c r="P124" i="16"/>
  <c r="P173" i="16"/>
  <c r="P138" i="16"/>
  <c r="P220" i="16"/>
  <c r="P40" i="16"/>
  <c r="P112" i="16"/>
  <c r="P33" i="16"/>
  <c r="P240" i="16"/>
  <c r="P114" i="16"/>
  <c r="P34" i="16"/>
  <c r="P117" i="16"/>
  <c r="P168" i="16"/>
  <c r="P141" i="16"/>
  <c r="P320" i="16"/>
  <c r="P71" i="16"/>
  <c r="P279" i="16"/>
  <c r="P116" i="16"/>
  <c r="P205" i="16"/>
  <c r="P223" i="16"/>
  <c r="P78" i="16"/>
  <c r="P276" i="16"/>
  <c r="P275" i="16"/>
  <c r="P43" i="16"/>
  <c r="P41" i="16"/>
  <c r="P260" i="16"/>
  <c r="P16" i="16"/>
  <c r="P99" i="16"/>
  <c r="P29" i="16"/>
  <c r="P273" i="16"/>
  <c r="P286" i="16"/>
  <c r="P14" i="16"/>
  <c r="P38" i="16"/>
  <c r="P271" i="16"/>
  <c r="P15" i="16"/>
  <c r="P199" i="16"/>
  <c r="P81" i="16"/>
  <c r="P213" i="16"/>
  <c r="P57" i="16"/>
  <c r="P120" i="16"/>
  <c r="P126" i="16"/>
  <c r="P314" i="16"/>
  <c r="P139" i="16"/>
  <c r="P70" i="16"/>
  <c r="P49" i="16"/>
  <c r="P318" i="16"/>
  <c r="P147" i="16"/>
  <c r="P88" i="16"/>
  <c r="P221" i="16"/>
  <c r="P25" i="16"/>
  <c r="P174" i="16"/>
  <c r="P291" i="16"/>
  <c r="P284" i="16"/>
  <c r="P73" i="16"/>
  <c r="P95" i="16"/>
  <c r="P27" i="16"/>
  <c r="P54" i="16"/>
  <c r="P285" i="16"/>
  <c r="P225" i="16"/>
  <c r="P300" i="16"/>
  <c r="P140" i="16"/>
  <c r="P56" i="16"/>
  <c r="P206" i="16"/>
  <c r="P190" i="16"/>
  <c r="P288" i="16"/>
  <c r="P110" i="16"/>
  <c r="P150" i="16"/>
  <c r="P160" i="16"/>
  <c r="P22" i="16"/>
  <c r="P46" i="16"/>
  <c r="P316" i="16"/>
  <c r="P171" i="16"/>
  <c r="P94" i="16"/>
  <c r="P278" i="16"/>
  <c r="P127" i="16"/>
  <c r="P10" i="16"/>
  <c r="P264" i="16"/>
  <c r="P115" i="16"/>
  <c r="P105" i="16"/>
  <c r="P169" i="16"/>
  <c r="P232" i="16"/>
  <c r="P191" i="16"/>
  <c r="P189" i="16"/>
  <c r="P164" i="16"/>
  <c r="P229" i="16"/>
  <c r="P128" i="16"/>
  <c r="P77" i="16"/>
  <c r="P52" i="16"/>
  <c r="P113" i="16"/>
  <c r="P107" i="16"/>
  <c r="P250" i="16"/>
  <c r="P203" i="16"/>
  <c r="P233" i="16"/>
  <c r="P309" i="16"/>
  <c r="P247" i="16"/>
  <c r="P121" i="16"/>
  <c r="P217" i="16"/>
  <c r="P24" i="16"/>
  <c r="P251" i="16"/>
  <c r="P20" i="16"/>
  <c r="P224" i="16"/>
  <c r="P125" i="16"/>
  <c r="P170" i="16"/>
  <c r="P266" i="16"/>
  <c r="P135" i="16"/>
  <c r="P50" i="16"/>
  <c r="P144" i="16"/>
  <c r="P36" i="16"/>
  <c r="P321" i="16"/>
  <c r="P218" i="16"/>
  <c r="P292" i="16"/>
  <c r="P61" i="16"/>
  <c r="P3" i="16"/>
  <c r="P243" i="16"/>
  <c r="P31" i="16"/>
  <c r="P83" i="16"/>
  <c r="P63" i="16"/>
  <c r="P178" i="16"/>
  <c r="P136" i="16"/>
  <c r="P265" i="16"/>
  <c r="P161" i="16"/>
  <c r="P226" i="16"/>
  <c r="P148" i="16"/>
  <c r="P198" i="16"/>
  <c r="P13" i="16"/>
  <c r="P290" i="16"/>
  <c r="P296" i="16"/>
  <c r="P165" i="16"/>
  <c r="P236" i="16"/>
  <c r="P184" i="16"/>
  <c r="P185" i="16"/>
  <c r="P159" i="16"/>
  <c r="P47" i="16"/>
  <c r="P2" i="16"/>
  <c r="P104" i="16"/>
  <c r="P248" i="16"/>
  <c r="P68" i="16"/>
  <c r="P179" i="16"/>
  <c r="P39" i="16"/>
  <c r="P214" i="16"/>
  <c r="P131" i="16"/>
  <c r="P283" i="16"/>
  <c r="P303" i="16"/>
  <c r="P257" i="16"/>
  <c r="P101" i="16"/>
  <c r="P118" i="16"/>
  <c r="P5" i="16"/>
  <c r="P21" i="16"/>
  <c r="P93" i="16"/>
  <c r="P59" i="16"/>
  <c r="P58" i="16"/>
  <c r="P254" i="16"/>
  <c r="P30" i="16"/>
  <c r="P299" i="16"/>
  <c r="P307" i="16"/>
  <c r="P305" i="16"/>
  <c r="P172" i="16"/>
  <c r="P246" i="16"/>
  <c r="P197" i="16"/>
  <c r="P11" i="16"/>
  <c r="P180" i="16"/>
  <c r="P142" i="16"/>
  <c r="P146" i="16"/>
  <c r="P200" i="16"/>
  <c r="P181" i="16"/>
  <c r="P304" i="16"/>
  <c r="P188" i="16"/>
  <c r="P267" i="16"/>
  <c r="P18" i="16"/>
  <c r="P295" i="16"/>
  <c r="P149" i="16"/>
  <c r="P143" i="16"/>
  <c r="P208" i="16"/>
  <c r="P176" i="16"/>
  <c r="P183" i="16"/>
  <c r="P222" i="16"/>
  <c r="P241" i="16"/>
  <c r="P274" i="16"/>
  <c r="P92" i="16"/>
  <c r="P7" i="16"/>
  <c r="P154" i="16"/>
  <c r="P65" i="16"/>
  <c r="P294" i="16"/>
  <c r="P152" i="16"/>
  <c r="P32" i="16"/>
  <c r="P272" i="16"/>
  <c r="P132" i="16"/>
  <c r="P66" i="16"/>
  <c r="P84" i="16"/>
  <c r="P137" i="16"/>
  <c r="P80" i="16"/>
  <c r="P103" i="16"/>
  <c r="P312" i="16"/>
  <c r="P177" i="16"/>
  <c r="P86" i="16"/>
  <c r="P175" i="16"/>
  <c r="P167" i="16"/>
  <c r="P133" i="16"/>
  <c r="P231" i="16"/>
  <c r="P315" i="16"/>
  <c r="P53" i="16"/>
  <c r="P308" i="16"/>
  <c r="P145" i="16"/>
  <c r="P119" i="16"/>
  <c r="P44" i="16"/>
  <c r="P74" i="16"/>
  <c r="P60" i="16"/>
  <c r="P23" i="16"/>
  <c r="P262" i="16"/>
  <c r="P109" i="16"/>
  <c r="P19" i="16"/>
  <c r="P297" i="16"/>
  <c r="P106" i="16"/>
  <c r="P72" i="16"/>
  <c r="P311" i="16"/>
  <c r="P48" i="16"/>
  <c r="P51" i="16"/>
  <c r="P238" i="16"/>
  <c r="P289" i="16"/>
  <c r="P85" i="16"/>
  <c r="P192" i="16"/>
  <c r="P153" i="16"/>
  <c r="P130" i="16"/>
  <c r="P258" i="16"/>
  <c r="P252" i="16"/>
  <c r="P301" i="16"/>
  <c r="P319" i="16"/>
  <c r="P102" i="16"/>
  <c r="P12" i="16"/>
  <c r="P235" i="16"/>
  <c r="P287" i="16"/>
  <c r="P37" i="16"/>
  <c r="P201" i="16"/>
  <c r="P163" i="16"/>
  <c r="P151" i="16"/>
  <c r="P26" i="16"/>
  <c r="P293" i="16"/>
  <c r="P182" i="16"/>
  <c r="P100" i="16"/>
  <c r="P313" i="16"/>
  <c r="P186" i="16"/>
  <c r="P237" i="16"/>
  <c r="P69" i="16"/>
  <c r="P255" i="16"/>
  <c r="P8" i="16"/>
  <c r="P194" i="16"/>
  <c r="P196" i="16"/>
  <c r="P6" i="16"/>
  <c r="P215" i="16"/>
  <c r="P216" i="16"/>
  <c r="P98" i="16"/>
  <c r="P82" i="16"/>
  <c r="P158" i="16"/>
  <c r="P9" i="16"/>
  <c r="P97" i="16"/>
  <c r="P322" i="16"/>
  <c r="P219" i="16"/>
  <c r="P123" i="16"/>
  <c r="P269" i="16"/>
  <c r="P45" i="16"/>
  <c r="P263" i="16"/>
  <c r="P134" i="16"/>
  <c r="P75" i="16"/>
  <c r="P244" i="16"/>
  <c r="P277" i="16"/>
  <c r="P207" i="16"/>
  <c r="P209" i="16"/>
  <c r="P108" i="16"/>
  <c r="P157" i="16"/>
  <c r="P259" i="16"/>
  <c r="P306" i="16"/>
  <c r="P28" i="16"/>
  <c r="P122" i="16"/>
  <c r="P268" i="16"/>
  <c r="P162" i="16"/>
  <c r="P261" i="16"/>
  <c r="P210" i="16"/>
  <c r="P245" i="16"/>
  <c r="P202" i="16"/>
  <c r="P90" i="16"/>
  <c r="P234" i="16"/>
  <c r="P193" i="16"/>
  <c r="P79" i="16"/>
  <c r="P239" i="16"/>
  <c r="P111" i="16"/>
  <c r="P91" i="16"/>
  <c r="P227" i="16"/>
  <c r="P249" i="16"/>
  <c r="P230" i="16"/>
  <c r="P87" i="16"/>
  <c r="P129" i="16"/>
  <c r="P96" i="16"/>
  <c r="P62" i="16"/>
  <c r="P35" i="16"/>
  <c r="P55" i="16"/>
  <c r="P89" i="16"/>
  <c r="P76" i="16"/>
  <c r="J321" i="9" l="1"/>
  <c r="I321" i="9"/>
  <c r="K321" i="9" s="1"/>
  <c r="J320" i="9"/>
  <c r="I320" i="9"/>
  <c r="K320" i="9" s="1"/>
  <c r="J319" i="9"/>
  <c r="I319" i="9"/>
  <c r="K319" i="9" s="1"/>
  <c r="J318" i="9"/>
  <c r="I318" i="9"/>
  <c r="K318" i="9" s="1"/>
  <c r="J317" i="9"/>
  <c r="I317" i="9"/>
  <c r="K317" i="9" s="1"/>
  <c r="J316" i="9"/>
  <c r="I316" i="9"/>
  <c r="K316" i="9" s="1"/>
  <c r="J315" i="9"/>
  <c r="I315" i="9"/>
  <c r="K315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J307" i="9"/>
  <c r="I307" i="9"/>
  <c r="K307" i="9" s="1"/>
  <c r="J306" i="9"/>
  <c r="I306" i="9"/>
  <c r="K306" i="9" s="1"/>
  <c r="J305" i="9"/>
  <c r="I305" i="9"/>
  <c r="K305" i="9" s="1"/>
  <c r="J304" i="9"/>
  <c r="I304" i="9"/>
  <c r="K304" i="9" s="1"/>
  <c r="J303" i="9"/>
  <c r="I303" i="9"/>
  <c r="K303" i="9" s="1"/>
  <c r="J302" i="9"/>
  <c r="I302" i="9"/>
  <c r="K302" i="9" s="1"/>
  <c r="J301" i="9"/>
  <c r="I301" i="9"/>
  <c r="K301" i="9" s="1"/>
  <c r="J300" i="9"/>
  <c r="I300" i="9"/>
  <c r="K300" i="9" s="1"/>
  <c r="J299" i="9"/>
  <c r="I299" i="9"/>
  <c r="K299" i="9" s="1"/>
  <c r="J298" i="9"/>
  <c r="I298" i="9"/>
  <c r="K298" i="9" s="1"/>
  <c r="J297" i="9"/>
  <c r="I297" i="9"/>
  <c r="K297" i="9" s="1"/>
  <c r="J296" i="9"/>
  <c r="I296" i="9"/>
  <c r="K296" i="9" s="1"/>
  <c r="J295" i="9"/>
  <c r="I295" i="9"/>
  <c r="K295" i="9" s="1"/>
  <c r="J294" i="9"/>
  <c r="I294" i="9"/>
  <c r="K294" i="9" s="1"/>
  <c r="J293" i="9"/>
  <c r="I293" i="9"/>
  <c r="K293" i="9" s="1"/>
  <c r="J292" i="9"/>
  <c r="I292" i="9"/>
  <c r="K292" i="9" s="1"/>
  <c r="J291" i="9"/>
  <c r="I291" i="9"/>
  <c r="K291" i="9" s="1"/>
  <c r="J290" i="9"/>
  <c r="I290" i="9"/>
  <c r="K290" i="9" s="1"/>
  <c r="J289" i="9"/>
  <c r="I289" i="9"/>
  <c r="K289" i="9" s="1"/>
  <c r="J288" i="9"/>
  <c r="I288" i="9"/>
  <c r="K288" i="9" s="1"/>
  <c r="J287" i="9"/>
  <c r="I287" i="9"/>
  <c r="K287" i="9" s="1"/>
  <c r="J286" i="9"/>
  <c r="I286" i="9"/>
  <c r="K286" i="9" s="1"/>
  <c r="J285" i="9"/>
  <c r="I285" i="9"/>
  <c r="K285" i="9" s="1"/>
  <c r="J284" i="9"/>
  <c r="I284" i="9"/>
  <c r="K284" i="9" s="1"/>
  <c r="J283" i="9"/>
  <c r="I283" i="9"/>
  <c r="K283" i="9" s="1"/>
  <c r="J282" i="9"/>
  <c r="I282" i="9"/>
  <c r="K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J277" i="9"/>
  <c r="I277" i="9"/>
  <c r="K277" i="9" s="1"/>
  <c r="J276" i="9"/>
  <c r="I276" i="9"/>
  <c r="K276" i="9" s="1"/>
  <c r="J275" i="9"/>
  <c r="I275" i="9"/>
  <c r="K275" i="9" s="1"/>
  <c r="J274" i="9"/>
  <c r="I274" i="9"/>
  <c r="K274" i="9" s="1"/>
  <c r="J273" i="9"/>
  <c r="I273" i="9"/>
  <c r="K273" i="9" s="1"/>
  <c r="J272" i="9"/>
  <c r="I272" i="9"/>
  <c r="K272" i="9" s="1"/>
  <c r="J271" i="9"/>
  <c r="I271" i="9"/>
  <c r="K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J266" i="9"/>
  <c r="I266" i="9"/>
  <c r="K266" i="9" s="1"/>
  <c r="J265" i="9"/>
  <c r="I265" i="9"/>
  <c r="K265" i="9" s="1"/>
  <c r="J264" i="9"/>
  <c r="I264" i="9"/>
  <c r="K264" i="9" s="1"/>
  <c r="J263" i="9"/>
  <c r="I263" i="9"/>
  <c r="K263" i="9" s="1"/>
  <c r="J262" i="9"/>
  <c r="I262" i="9"/>
  <c r="K262" i="9" s="1"/>
  <c r="J261" i="9"/>
  <c r="I261" i="9"/>
  <c r="K261" i="9" s="1"/>
  <c r="J260" i="9"/>
  <c r="I260" i="9"/>
  <c r="K260" i="9" s="1"/>
  <c r="J259" i="9"/>
  <c r="I259" i="9"/>
  <c r="K259" i="9" s="1"/>
  <c r="J258" i="9"/>
  <c r="I258" i="9"/>
  <c r="K258" i="9" s="1"/>
  <c r="J257" i="9"/>
  <c r="I257" i="9"/>
  <c r="K257" i="9" s="1"/>
  <c r="J256" i="9"/>
  <c r="I256" i="9"/>
  <c r="K256" i="9" s="1"/>
  <c r="J255" i="9"/>
  <c r="I255" i="9"/>
  <c r="K255" i="9" s="1"/>
  <c r="J254" i="9"/>
  <c r="I254" i="9"/>
  <c r="K254" i="9" s="1"/>
  <c r="J253" i="9"/>
  <c r="I253" i="9"/>
  <c r="K253" i="9" s="1"/>
  <c r="J252" i="9"/>
  <c r="I252" i="9"/>
  <c r="K252" i="9" s="1"/>
  <c r="J251" i="9"/>
  <c r="I251" i="9"/>
  <c r="K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J242" i="9"/>
  <c r="I242" i="9"/>
  <c r="K242" i="9" s="1"/>
  <c r="J241" i="9"/>
  <c r="I241" i="9"/>
  <c r="K241" i="9" s="1"/>
  <c r="J240" i="9"/>
  <c r="I240" i="9"/>
  <c r="K240" i="9" s="1"/>
  <c r="J239" i="9"/>
  <c r="I239" i="9"/>
  <c r="K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J234" i="9"/>
  <c r="I234" i="9"/>
  <c r="K234" i="9" s="1"/>
  <c r="J233" i="9"/>
  <c r="I233" i="9"/>
  <c r="K233" i="9" s="1"/>
  <c r="J232" i="9"/>
  <c r="I232" i="9"/>
  <c r="K232" i="9" s="1"/>
  <c r="J231" i="9"/>
  <c r="I231" i="9"/>
  <c r="K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J222" i="9"/>
  <c r="I222" i="9"/>
  <c r="K222" i="9" s="1"/>
  <c r="J221" i="9"/>
  <c r="I221" i="9"/>
  <c r="K221" i="9" s="1"/>
  <c r="J220" i="9"/>
  <c r="I220" i="9"/>
  <c r="K220" i="9" s="1"/>
  <c r="J219" i="9"/>
  <c r="I219" i="9"/>
  <c r="K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J210" i="9"/>
  <c r="I210" i="9"/>
  <c r="K210" i="9" s="1"/>
  <c r="J209" i="9"/>
  <c r="I209" i="9"/>
  <c r="K209" i="9" s="1"/>
  <c r="J208" i="9"/>
  <c r="I208" i="9"/>
  <c r="K208" i="9" s="1"/>
  <c r="J207" i="9"/>
  <c r="I207" i="9"/>
  <c r="K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J202" i="9"/>
  <c r="I202" i="9"/>
  <c r="K202" i="9" s="1"/>
  <c r="J201" i="9"/>
  <c r="I201" i="9"/>
  <c r="K201" i="9" s="1"/>
  <c r="J200" i="9"/>
  <c r="I200" i="9"/>
  <c r="K200" i="9" s="1"/>
  <c r="J199" i="9"/>
  <c r="I199" i="9"/>
  <c r="K199" i="9" s="1"/>
  <c r="J198" i="9"/>
  <c r="I198" i="9"/>
  <c r="K198" i="9" s="1"/>
  <c r="J197" i="9"/>
  <c r="I197" i="9"/>
  <c r="K197" i="9" s="1"/>
  <c r="J196" i="9"/>
  <c r="I196" i="9"/>
  <c r="K196" i="9" s="1"/>
  <c r="J195" i="9"/>
  <c r="I195" i="9"/>
  <c r="K195" i="9" s="1"/>
  <c r="J194" i="9"/>
  <c r="I194" i="9"/>
  <c r="K194" i="9" s="1"/>
  <c r="J193" i="9"/>
  <c r="I193" i="9"/>
  <c r="K193" i="9" s="1"/>
  <c r="J192" i="9"/>
  <c r="I192" i="9"/>
  <c r="K192" i="9" s="1"/>
  <c r="J191" i="9"/>
  <c r="I191" i="9"/>
  <c r="K191" i="9" s="1"/>
  <c r="J190" i="9"/>
  <c r="I190" i="9"/>
  <c r="K190" i="9" s="1"/>
  <c r="J189" i="9"/>
  <c r="I189" i="9"/>
  <c r="K189" i="9" s="1"/>
  <c r="J188" i="9"/>
  <c r="I188" i="9"/>
  <c r="K188" i="9" s="1"/>
  <c r="J187" i="9"/>
  <c r="I187" i="9"/>
  <c r="K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J182" i="9"/>
  <c r="I182" i="9"/>
  <c r="K182" i="9" s="1"/>
  <c r="J181" i="9"/>
  <c r="I181" i="9"/>
  <c r="K181" i="9" s="1"/>
  <c r="J180" i="9"/>
  <c r="I180" i="9"/>
  <c r="K180" i="9" s="1"/>
  <c r="J179" i="9"/>
  <c r="I179" i="9"/>
  <c r="K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J172" i="9"/>
  <c r="I172" i="9"/>
  <c r="K172" i="9" s="1"/>
  <c r="J171" i="9"/>
  <c r="I171" i="9"/>
  <c r="K171" i="9" s="1"/>
  <c r="J170" i="9"/>
  <c r="I170" i="9"/>
  <c r="K170" i="9" s="1"/>
  <c r="J169" i="9"/>
  <c r="I169" i="9"/>
  <c r="K169" i="9" s="1"/>
  <c r="J168" i="9"/>
  <c r="I168" i="9"/>
  <c r="K168" i="9" s="1"/>
  <c r="J167" i="9"/>
  <c r="I167" i="9"/>
  <c r="K167" i="9" s="1"/>
  <c r="J166" i="9"/>
  <c r="I166" i="9"/>
  <c r="K166" i="9" s="1"/>
  <c r="J165" i="9"/>
  <c r="I165" i="9"/>
  <c r="K165" i="9" s="1"/>
  <c r="J164" i="9"/>
  <c r="I164" i="9"/>
  <c r="K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J82" i="9"/>
  <c r="I82" i="9"/>
  <c r="K82" i="9" s="1"/>
  <c r="J81" i="9"/>
  <c r="I81" i="9"/>
  <c r="K81" i="9" s="1"/>
  <c r="J80" i="9"/>
  <c r="I80" i="9"/>
  <c r="K80" i="9" s="1"/>
  <c r="J79" i="9"/>
  <c r="I79" i="9"/>
  <c r="K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J62" i="9"/>
  <c r="I62" i="9"/>
  <c r="K62" i="9" s="1"/>
  <c r="J61" i="9"/>
  <c r="I61" i="9"/>
  <c r="K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J52" i="9"/>
  <c r="I52" i="9"/>
  <c r="K52" i="9" s="1"/>
  <c r="J51" i="9"/>
  <c r="I51" i="9"/>
  <c r="K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J16" i="9"/>
  <c r="I16" i="9"/>
  <c r="K16" i="9" s="1"/>
  <c r="J15" i="9"/>
  <c r="I15" i="9"/>
  <c r="K15" i="9" s="1"/>
  <c r="J14" i="9"/>
  <c r="I14" i="9"/>
  <c r="K14" i="9" s="1"/>
  <c r="L14" i="9" s="1"/>
  <c r="J13" i="9"/>
  <c r="I13" i="9"/>
  <c r="K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J8" i="9"/>
  <c r="I8" i="9"/>
  <c r="K8" i="9" s="1"/>
  <c r="J7" i="9"/>
  <c r="I7" i="9"/>
  <c r="K7" i="9" s="1"/>
  <c r="J6" i="9"/>
  <c r="I6" i="9"/>
  <c r="K6" i="9" s="1"/>
  <c r="J5" i="9"/>
  <c r="I5" i="9"/>
  <c r="K5" i="9" s="1"/>
  <c r="J4" i="9"/>
  <c r="I4" i="9"/>
  <c r="K4" i="9" s="1"/>
  <c r="J3" i="9"/>
  <c r="I3" i="9"/>
  <c r="K3" i="9" s="1"/>
  <c r="J2" i="9"/>
  <c r="I2" i="9"/>
  <c r="K2" i="9" s="1"/>
  <c r="L278" i="9" l="1"/>
  <c r="L282" i="9"/>
  <c r="L290" i="9"/>
  <c r="L294" i="9"/>
  <c r="L252" i="9"/>
  <c r="L302" i="9"/>
  <c r="V84" i="9" s="1"/>
  <c r="L83" i="9"/>
  <c r="L179" i="9"/>
  <c r="L183" i="9"/>
  <c r="L187" i="9"/>
  <c r="L191" i="9"/>
  <c r="L195" i="9"/>
  <c r="L199" i="9"/>
  <c r="L203" i="9"/>
  <c r="L207" i="9"/>
  <c r="L211" i="9"/>
  <c r="L219" i="9"/>
  <c r="L223" i="9"/>
  <c r="L227" i="9"/>
  <c r="L231" i="9"/>
  <c r="L235" i="9"/>
  <c r="L239" i="9"/>
  <c r="L243" i="9"/>
  <c r="L251" i="9"/>
  <c r="L255" i="9"/>
  <c r="L259" i="9"/>
  <c r="L263" i="9"/>
  <c r="L267" i="9"/>
  <c r="L271" i="9"/>
  <c r="L275" i="9"/>
  <c r="L283" i="9"/>
  <c r="L8" i="9"/>
  <c r="L16" i="9"/>
  <c r="L32" i="9"/>
  <c r="L40" i="9"/>
  <c r="L44" i="9"/>
  <c r="L52" i="9"/>
  <c r="L88" i="9"/>
  <c r="L108" i="9"/>
  <c r="L116" i="9"/>
  <c r="L120" i="9"/>
  <c r="L128" i="9"/>
  <c r="L132" i="9"/>
  <c r="L136" i="9"/>
  <c r="L144" i="9"/>
  <c r="L164" i="9"/>
  <c r="L168" i="9"/>
  <c r="L172" i="9"/>
  <c r="L180" i="9"/>
  <c r="L188" i="9"/>
  <c r="L192" i="9"/>
  <c r="L196" i="9"/>
  <c r="L200" i="9"/>
  <c r="L208" i="9"/>
  <c r="L220" i="9"/>
  <c r="L232" i="9"/>
  <c r="L240" i="9"/>
  <c r="L287" i="9"/>
  <c r="L291" i="9"/>
  <c r="L295" i="9"/>
  <c r="L299" i="9"/>
  <c r="L303" i="9"/>
  <c r="V85" i="9" s="1"/>
  <c r="L307" i="9"/>
  <c r="V89" i="9" s="1"/>
  <c r="L315" i="9"/>
  <c r="V97" i="9" s="1"/>
  <c r="L319" i="9"/>
  <c r="V101" i="9" s="1"/>
  <c r="L256" i="9"/>
  <c r="L260" i="9"/>
  <c r="L264" i="9"/>
  <c r="L272" i="9"/>
  <c r="L284" i="9"/>
  <c r="L292" i="9"/>
  <c r="L296" i="9"/>
  <c r="L304" i="9"/>
  <c r="V86" i="9" s="1"/>
  <c r="L308" i="9"/>
  <c r="V90" i="9" s="1"/>
  <c r="L316" i="9"/>
  <c r="V98" i="9" s="1"/>
  <c r="L5" i="9"/>
  <c r="L9" i="9"/>
  <c r="L13" i="9"/>
  <c r="L17" i="9"/>
  <c r="L21" i="9"/>
  <c r="L25" i="9"/>
  <c r="L53" i="9"/>
  <c r="L57" i="9"/>
  <c r="L61" i="9"/>
  <c r="L97" i="9"/>
  <c r="L101" i="9"/>
  <c r="L157" i="9"/>
  <c r="L165" i="9"/>
  <c r="L169" i="9"/>
  <c r="L173" i="9"/>
  <c r="L51" i="9"/>
  <c r="L63" i="9"/>
  <c r="V65" i="9" s="1"/>
  <c r="L67" i="9"/>
  <c r="V69" i="9" s="1"/>
  <c r="L75" i="9"/>
  <c r="V77" i="9" s="1"/>
  <c r="L79" i="9"/>
  <c r="V81" i="9" s="1"/>
  <c r="L56" i="9"/>
  <c r="L60" i="9"/>
  <c r="L64" i="9"/>
  <c r="V66" i="9" s="1"/>
  <c r="L72" i="9"/>
  <c r="V74" i="9" s="1"/>
  <c r="L76" i="9"/>
  <c r="V78" i="9" s="1"/>
  <c r="L80" i="9"/>
  <c r="V82" i="9" s="1"/>
  <c r="L73" i="9"/>
  <c r="V75" i="9" s="1"/>
  <c r="L77" i="9"/>
  <c r="V79" i="9" s="1"/>
  <c r="L81" i="9"/>
  <c r="V83" i="9" s="1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V68" i="9" s="1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V80" i="9" s="1"/>
  <c r="L35" i="9"/>
  <c r="L91" i="9"/>
  <c r="L107" i="9"/>
  <c r="L142" i="9"/>
  <c r="L177" i="9"/>
  <c r="L210" i="9"/>
  <c r="L217" i="9"/>
  <c r="L224" i="9"/>
  <c r="L274" i="9"/>
  <c r="L281" i="9"/>
  <c r="L288" i="9"/>
  <c r="L306" i="9"/>
  <c r="V88" i="9" s="1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V72" i="9" s="1"/>
  <c r="L314" i="9"/>
  <c r="V96" i="9" s="1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100" i="9" s="1"/>
  <c r="L126" i="9"/>
  <c r="L27" i="9"/>
  <c r="L93" i="9"/>
  <c r="L161" i="9"/>
  <c r="L11" i="9"/>
  <c r="L117" i="9"/>
  <c r="L156" i="9"/>
  <c r="L133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N2" i="9" l="1"/>
  <c r="L95" i="1"/>
  <c r="L44" i="1"/>
  <c r="L80" i="1"/>
  <c r="V82" i="1" s="1"/>
  <c r="L100" i="1"/>
  <c r="L144" i="1"/>
  <c r="L188" i="1"/>
  <c r="L208" i="1"/>
  <c r="L232" i="1"/>
  <c r="L252" i="1"/>
  <c r="L272" i="1"/>
  <c r="L292" i="1"/>
  <c r="L97" i="1"/>
  <c r="N5" i="9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79" i="1"/>
  <c r="N2" i="1" l="1"/>
  <c r="M322" i="1" s="1"/>
  <c r="M154" i="9"/>
  <c r="M322" i="9"/>
  <c r="M153" i="9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N5" i="1"/>
  <c r="O2" i="9" l="1"/>
  <c r="P211" i="9" s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85" i="9" l="1"/>
  <c r="P217" i="9"/>
  <c r="P322" i="9"/>
  <c r="P45" i="9"/>
  <c r="P304" i="9"/>
  <c r="P155" i="9"/>
  <c r="P33" i="9"/>
  <c r="P209" i="9"/>
  <c r="P225" i="9"/>
  <c r="P142" i="9"/>
  <c r="P276" i="9"/>
  <c r="P9" i="9"/>
  <c r="P227" i="9"/>
  <c r="P288" i="9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<sst xmlns="http://schemas.openxmlformats.org/spreadsheetml/2006/main" count="105" uniqueCount="19">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</sst>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'240823A001'!$A$2:$A$321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'240823A001'!$J$2:$J$321</c:f>
              <c:numCache>
                <c:formatCode>0.0</c:formatCode>
                <c:ptCount val="320"/>
                <c:pt idx="0">
                  <c:v>1007.39145672375</c:v>
                </c:pt>
                <c:pt idx="1">
                  <c:v>1019.3036454084199</c:v>
                </c:pt>
                <c:pt idx="2">
                  <c:v>903.66745902796004</c:v>
                </c:pt>
                <c:pt idx="3">
                  <c:v>967.87912405741008</c:v>
                </c:pt>
                <c:pt idx="4">
                  <c:v>937.44283727845004</c:v>
                </c:pt>
                <c:pt idx="5">
                  <c:v>946.83927183927005</c:v>
                </c:pt>
                <c:pt idx="6">
                  <c:v>913.20768120769003</c:v>
                </c:pt>
                <c:pt idx="7">
                  <c:v>904.46038406042999</c:v>
                </c:pt>
                <c:pt idx="8">
                  <c:v>855.03658856866002</c:v>
                </c:pt>
                <c:pt idx="9">
                  <c:v>956.94502302342005</c:v>
                </c:pt>
                <c:pt idx="10">
                  <c:v>1010.5506013231999</c:v>
                </c:pt>
                <c:pt idx="11">
                  <c:v>979.69415109555985</c:v>
                </c:pt>
                <c:pt idx="12">
                  <c:v>941.75393607596993</c:v>
                </c:pt>
                <c:pt idx="13">
                  <c:v>1008.9922105752501</c:v>
                </c:pt>
                <c:pt idx="14">
                  <c:v>977.57804256260999</c:v>
                </c:pt>
                <c:pt idx="15">
                  <c:v>902.21463301345989</c:v>
                </c:pt>
                <c:pt idx="16">
                  <c:v>906.88309634655002</c:v>
                </c:pt>
                <c:pt idx="17">
                  <c:v>1107.54176062547</c:v>
                </c:pt>
                <c:pt idx="18">
                  <c:v>1133.78649535565</c:v>
                </c:pt>
                <c:pt idx="19">
                  <c:v>984.82606650995001</c:v>
                </c:pt>
                <c:pt idx="20">
                  <c:v>1004.8446246620802</c:v>
                </c:pt>
                <c:pt idx="21">
                  <c:v>1013.3801781915499</c:v>
                </c:pt>
                <c:pt idx="22">
                  <c:v>876.17848265272005</c:v>
                </c:pt>
                <c:pt idx="23">
                  <c:v>856.66690504001008</c:v>
                </c:pt>
                <c:pt idx="24">
                  <c:v>945.72184532752999</c:v>
                </c:pt>
                <c:pt idx="25">
                  <c:v>926.69362192396</c:v>
                </c:pt>
                <c:pt idx="26">
                  <c:v>963.86203796205996</c:v>
                </c:pt>
                <c:pt idx="27">
                  <c:v>985.13345543346998</c:v>
                </c:pt>
                <c:pt idx="28">
                  <c:v>923.93002552998007</c:v>
                </c:pt>
                <c:pt idx="29">
                  <c:v>988.06244866245004</c:v>
                </c:pt>
                <c:pt idx="30">
                  <c:v>970.61349761354995</c:v>
                </c:pt>
                <c:pt idx="31">
                  <c:v>917.25050505047011</c:v>
                </c:pt>
                <c:pt idx="32">
                  <c:v>964.60728160728991</c:v>
                </c:pt>
                <c:pt idx="33">
                  <c:v>955.88064158066004</c:v>
                </c:pt>
                <c:pt idx="34">
                  <c:v>947.72804972810002</c:v>
                </c:pt>
                <c:pt idx="35">
                  <c:v>900.45109335107998</c:v>
                </c:pt>
                <c:pt idx="36">
                  <c:v>971.52638288311005</c:v>
                </c:pt>
                <c:pt idx="37">
                  <c:v>971.38687930599008</c:v>
                </c:pt>
                <c:pt idx="38">
                  <c:v>908.97619179857998</c:v>
                </c:pt>
                <c:pt idx="39">
                  <c:v>1004.77485447889</c:v>
                </c:pt>
                <c:pt idx="40">
                  <c:v>986.92888540035005</c:v>
                </c:pt>
                <c:pt idx="41">
                  <c:v>1011.2347611571701</c:v>
                </c:pt>
                <c:pt idx="42">
                  <c:v>1038.570195111</c:v>
                </c:pt>
                <c:pt idx="43">
                  <c:v>1003.24647155568</c:v>
                </c:pt>
                <c:pt idx="44">
                  <c:v>963.86921955598996</c:v>
                </c:pt>
                <c:pt idx="45">
                  <c:v>1111.81151427191</c:v>
                </c:pt>
                <c:pt idx="46">
                  <c:v>1111.3668532724798</c:v>
                </c:pt>
                <c:pt idx="47">
                  <c:v>1116.26874006498</c:v>
                </c:pt>
                <c:pt idx="48">
                  <c:v>1144.61649471347</c:v>
                </c:pt>
                <c:pt idx="49">
                  <c:v>1160.00957819477</c:v>
                </c:pt>
                <c:pt idx="50">
                  <c:v>1117.4829809784501</c:v>
                </c:pt>
                <c:pt idx="51">
                  <c:v>1136.1270106704801</c:v>
                </c:pt>
                <c:pt idx="52">
                  <c:v>1146.0940286128898</c:v>
                </c:pt>
                <c:pt idx="53">
                  <c:v>1102.7002883754399</c:v>
                </c:pt>
                <c:pt idx="54">
                  <c:v>1090.29874316019</c:v>
                </c:pt>
                <c:pt idx="55">
                  <c:v>974.68949414263</c:v>
                </c:pt>
                <c:pt idx="56">
                  <c:v>937.27884982219996</c:v>
                </c:pt>
                <c:pt idx="57">
                  <c:v>948.97532368092993</c:v>
                </c:pt>
                <c:pt idx="58">
                  <c:v>963.93877421442005</c:v>
                </c:pt>
                <c:pt idx="59">
                  <c:v>864.80485347984995</c:v>
                </c:pt>
                <c:pt idx="60">
                  <c:v>856.14323941561997</c:v>
                </c:pt>
                <c:pt idx="61">
                  <c:v>859.30501535367</c:v>
                </c:pt>
                <c:pt idx="62">
                  <c:v>1004.7486699267799</c:v>
                </c:pt>
                <c:pt idx="63">
                  <c:v>946.86933371644</c:v>
                </c:pt>
                <c:pt idx="64">
                  <c:v>962.16239475843008</c:v>
                </c:pt>
                <c:pt idx="65">
                  <c:v>1003.4707393762199</c:v>
                </c:pt>
                <c:pt idx="66">
                  <c:v>1007.82406678096</c:v>
                </c:pt>
                <c:pt idx="67">
                  <c:v>992.36568369012002</c:v>
                </c:pt>
                <c:pt idx="68">
                  <c:v>1015.9722204577599</c:v>
                </c:pt>
                <c:pt idx="69">
                  <c:v>997.46330776147011</c:v>
                </c:pt>
                <c:pt idx="70">
                  <c:v>978.93735494534997</c:v>
                </c:pt>
                <c:pt idx="71">
                  <c:v>993.52721685826009</c:v>
                </c:pt>
                <c:pt idx="72">
                  <c:v>982.12241208657008</c:v>
                </c:pt>
                <c:pt idx="73">
                  <c:v>898.78425468680996</c:v>
                </c:pt>
                <c:pt idx="74">
                  <c:v>951.75051605410999</c:v>
                </c:pt>
                <c:pt idx="75">
                  <c:v>949.40230965374008</c:v>
                </c:pt>
                <c:pt idx="76">
                  <c:v>918.43409031877013</c:v>
                </c:pt>
                <c:pt idx="77">
                  <c:v>1004.64107865116</c:v>
                </c:pt>
                <c:pt idx="78">
                  <c:v>1115.78273277106</c:v>
                </c:pt>
                <c:pt idx="79">
                  <c:v>1122.19636734391</c:v>
                </c:pt>
                <c:pt idx="80">
                  <c:v>1129.99736029477</c:v>
                </c:pt>
                <c:pt idx="81">
                  <c:v>1052.8846001555401</c:v>
                </c:pt>
                <c:pt idx="82">
                  <c:v>1087.4813744226799</c:v>
                </c:pt>
                <c:pt idx="83">
                  <c:v>1064.7012422360501</c:v>
                </c:pt>
                <c:pt idx="84">
                  <c:v>943.07280813389991</c:v>
                </c:pt>
                <c:pt idx="85">
                  <c:v>949.65306259657007</c:v>
                </c:pt>
                <c:pt idx="86">
                  <c:v>941.91008433181992</c:v>
                </c:pt>
                <c:pt idx="87">
                  <c:v>999.8712074089799</c:v>
                </c:pt>
                <c:pt idx="88">
                  <c:v>1164.4241837757502</c:v>
                </c:pt>
                <c:pt idx="89">
                  <c:v>1179.5245039572001</c:v>
                </c:pt>
                <c:pt idx="90">
                  <c:v>1029.7131711638901</c:v>
                </c:pt>
                <c:pt idx="91">
                  <c:v>967.56228989454996</c:v>
                </c:pt>
                <c:pt idx="92">
                  <c:v>1003.7268036311299</c:v>
                </c:pt>
                <c:pt idx="93">
                  <c:v>1013.88695652173</c:v>
                </c:pt>
                <c:pt idx="94">
                  <c:v>991.36496037295001</c:v>
                </c:pt>
                <c:pt idx="95">
                  <c:v>986.95293506496989</c:v>
                </c:pt>
                <c:pt idx="96">
                  <c:v>1099.73668764791</c:v>
                </c:pt>
                <c:pt idx="97">
                  <c:v>1172.90087225772</c:v>
                </c:pt>
                <c:pt idx="98">
                  <c:v>976.12840623424995</c:v>
                </c:pt>
                <c:pt idx="99">
                  <c:v>1002.2401270479401</c:v>
                </c:pt>
                <c:pt idx="100">
                  <c:v>998.19963290156988</c:v>
                </c:pt>
                <c:pt idx="101">
                  <c:v>955.13361903162013</c:v>
                </c:pt>
                <c:pt idx="102">
                  <c:v>923.83867563799993</c:v>
                </c:pt>
                <c:pt idx="103">
                  <c:v>1008.3585037444</c:v>
                </c:pt>
                <c:pt idx="104">
                  <c:v>1131.8448383733098</c:v>
                </c:pt>
                <c:pt idx="105">
                  <c:v>1159.6985481672</c:v>
                </c:pt>
                <c:pt idx="106">
                  <c:v>1102.73155733153</c:v>
                </c:pt>
                <c:pt idx="107">
                  <c:v>1070.1060939060899</c:v>
                </c:pt>
                <c:pt idx="108">
                  <c:v>1132.2751948364401</c:v>
                </c:pt>
                <c:pt idx="109">
                  <c:v>1158.1530977073501</c:v>
                </c:pt>
                <c:pt idx="110">
                  <c:v>1058.51326947506</c:v>
                </c:pt>
                <c:pt idx="111">
                  <c:v>891.88790837449005</c:v>
                </c:pt>
                <c:pt idx="112">
                  <c:v>893.45998679090997</c:v>
                </c:pt>
                <c:pt idx="113">
                  <c:v>928.07501958542002</c:v>
                </c:pt>
                <c:pt idx="114">
                  <c:v>966.81678738843993</c:v>
                </c:pt>
                <c:pt idx="115">
                  <c:v>941.29386947115017</c:v>
                </c:pt>
                <c:pt idx="116">
                  <c:v>1031.3458013684899</c:v>
                </c:pt>
                <c:pt idx="117">
                  <c:v>1060.4694381090699</c:v>
                </c:pt>
                <c:pt idx="118">
                  <c:v>1116.8192379672601</c:v>
                </c:pt>
                <c:pt idx="119">
                  <c:v>1001.2184394221899</c:v>
                </c:pt>
                <c:pt idx="120">
                  <c:v>932.67473326672007</c:v>
                </c:pt>
                <c:pt idx="121">
                  <c:v>939.65174825177985</c:v>
                </c:pt>
                <c:pt idx="122">
                  <c:v>920.03335835673988</c:v>
                </c:pt>
                <c:pt idx="123">
                  <c:v>977.85387011243006</c:v>
                </c:pt>
                <c:pt idx="124">
                  <c:v>987.2410858037199</c:v>
                </c:pt>
                <c:pt idx="125">
                  <c:v>952.15191828520005</c:v>
                </c:pt>
                <c:pt idx="126">
                  <c:v>929.2208704057299</c:v>
                </c:pt>
                <c:pt idx="127">
                  <c:v>935.43832574325995</c:v>
                </c:pt>
                <c:pt idx="128">
                  <c:v>935.96891382472995</c:v>
                </c:pt>
                <c:pt idx="129">
                  <c:v>931.44274429139011</c:v>
                </c:pt>
                <c:pt idx="130">
                  <c:v>871.17429868020997</c:v>
                </c:pt>
                <c:pt idx="131">
                  <c:v>890.25634035791006</c:v>
                </c:pt>
                <c:pt idx="132">
                  <c:v>903.30748421278008</c:v>
                </c:pt>
                <c:pt idx="133">
                  <c:v>986.45172693975007</c:v>
                </c:pt>
                <c:pt idx="134">
                  <c:v>1103.3217361255399</c:v>
                </c:pt>
                <c:pt idx="135">
                  <c:v>1180.4029082029001</c:v>
                </c:pt>
                <c:pt idx="136">
                  <c:v>1147.4113886113601</c:v>
                </c:pt>
                <c:pt idx="137">
                  <c:v>1009.1291050742799</c:v>
                </c:pt>
                <c:pt idx="138">
                  <c:v>1018.03827002105</c:v>
                </c:pt>
                <c:pt idx="139">
                  <c:v>1081.1627917339601</c:v>
                </c:pt>
                <c:pt idx="140">
                  <c:v>1069.5320474360401</c:v>
                </c:pt>
                <c:pt idx="141">
                  <c:v>1057.49651179137</c:v>
                </c:pt>
                <c:pt idx="142">
                  <c:v>1183.7546827263102</c:v>
                </c:pt>
                <c:pt idx="143">
                  <c:v>1160.2646352192498</c:v>
                </c:pt>
                <c:pt idx="144">
                  <c:v>1179.1563350768399</c:v>
                </c:pt>
                <c:pt idx="145">
                  <c:v>1131.7975206743999</c:v>
                </c:pt>
                <c:pt idx="146">
                  <c:v>1184.3788537518201</c:v>
                </c:pt>
                <c:pt idx="147">
                  <c:v>1151.9267751171201</c:v>
                </c:pt>
                <c:pt idx="148">
                  <c:v>1163.77053009883</c:v>
                </c:pt>
                <c:pt idx="149">
                  <c:v>1152.54450895016</c:v>
                </c:pt>
                <c:pt idx="150">
                  <c:v>1152.11148662655</c:v>
                </c:pt>
                <c:pt idx="151">
                  <c:v>1142.97966687399</c:v>
                </c:pt>
                <c:pt idx="152">
                  <c:v>1126.53235174413</c:v>
                </c:pt>
                <c:pt idx="153">
                  <c:v>1129.1167771952198</c:v>
                </c:pt>
                <c:pt idx="154">
                  <c:v>1136.0659723718602</c:v>
                </c:pt>
                <c:pt idx="155">
                  <c:v>1130.82130092135</c:v>
                </c:pt>
                <c:pt idx="156">
                  <c:v>1140.8837162837601</c:v>
                </c:pt>
                <c:pt idx="157">
                  <c:v>1141.4642801642999</c:v>
                </c:pt>
                <c:pt idx="158">
                  <c:v>1137.2657342657401</c:v>
                </c:pt>
                <c:pt idx="159">
                  <c:v>1165.8957674928899</c:v>
                </c:pt>
                <c:pt idx="160">
                  <c:v>1162.51067083771</c:v>
                </c:pt>
                <c:pt idx="161">
                  <c:v>1154.56839656696</c:v>
                </c:pt>
                <c:pt idx="162">
                  <c:v>1156.143588144</c:v>
                </c:pt>
                <c:pt idx="163">
                  <c:v>1168.91736647631</c:v>
                </c:pt>
                <c:pt idx="164">
                  <c:v>1169.5172912967498</c:v>
                </c:pt>
                <c:pt idx="165">
                  <c:v>1171.73731624996</c:v>
                </c:pt>
                <c:pt idx="166">
                  <c:v>1171.8523473615501</c:v>
                </c:pt>
                <c:pt idx="167">
                  <c:v>1171.0129628741099</c:v>
                </c:pt>
                <c:pt idx="168">
                  <c:v>1175.27732776688</c:v>
                </c:pt>
                <c:pt idx="169">
                  <c:v>1169.77904889866</c:v>
                </c:pt>
                <c:pt idx="170">
                  <c:v>1180.9925940144699</c:v>
                </c:pt>
                <c:pt idx="171">
                  <c:v>1168.53179455189</c:v>
                </c:pt>
                <c:pt idx="172">
                  <c:v>1161.3912215877201</c:v>
                </c:pt>
                <c:pt idx="173">
                  <c:v>1162.95417566421</c:v>
                </c:pt>
                <c:pt idx="174">
                  <c:v>1143.9132955836099</c:v>
                </c:pt>
                <c:pt idx="175">
                  <c:v>1151.0509781339701</c:v>
                </c:pt>
                <c:pt idx="176">
                  <c:v>1106.69786937956</c:v>
                </c:pt>
                <c:pt idx="177">
                  <c:v>1108.92377753254</c:v>
                </c:pt>
                <c:pt idx="178">
                  <c:v>1087.03022377911</c:v>
                </c:pt>
                <c:pt idx="179">
                  <c:v>1080.3659100724999</c:v>
                </c:pt>
                <c:pt idx="180">
                  <c:v>1083.95179231253</c:v>
                </c:pt>
                <c:pt idx="181">
                  <c:v>1068.8648095718199</c:v>
                </c:pt>
                <c:pt idx="182">
                  <c:v>1067.89432474365</c:v>
                </c:pt>
                <c:pt idx="183">
                  <c:v>1087.87046723292</c:v>
                </c:pt>
                <c:pt idx="184">
                  <c:v>1074.53474095051</c:v>
                </c:pt>
                <c:pt idx="185">
                  <c:v>1055.4985987811099</c:v>
                </c:pt>
                <c:pt idx="186">
                  <c:v>1038.79159748545</c:v>
                </c:pt>
                <c:pt idx="187">
                  <c:v>1028.0021194235501</c:v>
                </c:pt>
                <c:pt idx="188">
                  <c:v>1117.00143610905</c:v>
                </c:pt>
                <c:pt idx="189">
                  <c:v>1100.37325875087</c:v>
                </c:pt>
                <c:pt idx="190">
                  <c:v>1054.2044194073401</c:v>
                </c:pt>
                <c:pt idx="191">
                  <c:v>1053.7539254969399</c:v>
                </c:pt>
                <c:pt idx="192">
                  <c:v>1119.6439512730501</c:v>
                </c:pt>
                <c:pt idx="193">
                  <c:v>1147.1791807806799</c:v>
                </c:pt>
                <c:pt idx="194">
                  <c:v>1099.3577365712401</c:v>
                </c:pt>
                <c:pt idx="195">
                  <c:v>1116.49266551102</c:v>
                </c:pt>
                <c:pt idx="196">
                  <c:v>1125.61879423038</c:v>
                </c:pt>
                <c:pt idx="197">
                  <c:v>1144.2054775422901</c:v>
                </c:pt>
                <c:pt idx="198">
                  <c:v>1116.0233802907501</c:v>
                </c:pt>
                <c:pt idx="199">
                  <c:v>1052.10394700746</c:v>
                </c:pt>
                <c:pt idx="200">
                  <c:v>1036.8225581739698</c:v>
                </c:pt>
                <c:pt idx="201">
                  <c:v>1080.0506674923899</c:v>
                </c:pt>
                <c:pt idx="202">
                  <c:v>1146.86357180236</c:v>
                </c:pt>
                <c:pt idx="203">
                  <c:v>1147.9297413470699</c:v>
                </c:pt>
                <c:pt idx="204">
                  <c:v>1130.7842286309801</c:v>
                </c:pt>
                <c:pt idx="205">
                  <c:v>1116.6526282515799</c:v>
                </c:pt>
                <c:pt idx="206">
                  <c:v>1110.65979806991</c:v>
                </c:pt>
                <c:pt idx="207">
                  <c:v>1142.9280392563301</c:v>
                </c:pt>
                <c:pt idx="208">
                  <c:v>1123.1916241614601</c:v>
                </c:pt>
                <c:pt idx="209">
                  <c:v>1084.3146448530799</c:v>
                </c:pt>
                <c:pt idx="210">
                  <c:v>1181.9224751439101</c:v>
                </c:pt>
                <c:pt idx="211">
                  <c:v>1193.04883008147</c:v>
                </c:pt>
                <c:pt idx="212">
                  <c:v>1118.5162241089902</c:v>
                </c:pt>
                <c:pt idx="213">
                  <c:v>1106.58772031731</c:v>
                </c:pt>
                <c:pt idx="214">
                  <c:v>1089.0030996680498</c:v>
                </c:pt>
                <c:pt idx="215">
                  <c:v>1091.9157667843501</c:v>
                </c:pt>
                <c:pt idx="216">
                  <c:v>1081.2625725658502</c:v>
                </c:pt>
                <c:pt idx="217">
                  <c:v>1097.73055368214</c:v>
                </c:pt>
                <c:pt idx="218">
                  <c:v>1094.6789013634202</c:v>
                </c:pt>
                <c:pt idx="219">
                  <c:v>1049.8851871120398</c:v>
                </c:pt>
                <c:pt idx="220">
                  <c:v>1075.1457155129201</c:v>
                </c:pt>
                <c:pt idx="221">
                  <c:v>1058.92937792969</c:v>
                </c:pt>
                <c:pt idx="222">
                  <c:v>1032.3399459346899</c:v>
                </c:pt>
                <c:pt idx="223">
                  <c:v>1034.3263400354799</c:v>
                </c:pt>
                <c:pt idx="224">
                  <c:v>1025.8867939920799</c:v>
                </c:pt>
                <c:pt idx="225">
                  <c:v>1023.9323192091699</c:v>
                </c:pt>
                <c:pt idx="226">
                  <c:v>1043.3729497576301</c:v>
                </c:pt>
                <c:pt idx="227">
                  <c:v>1056.0553321497</c:v>
                </c:pt>
                <c:pt idx="228">
                  <c:v>1076.0169688179901</c:v>
                </c:pt>
                <c:pt idx="229">
                  <c:v>1076.4069764414501</c:v>
                </c:pt>
                <c:pt idx="230">
                  <c:v>1064.9444785333199</c:v>
                </c:pt>
                <c:pt idx="231">
                  <c:v>1102.81217182823</c:v>
                </c:pt>
                <c:pt idx="232">
                  <c:v>1080.4461565101201</c:v>
                </c:pt>
                <c:pt idx="233">
                  <c:v>1105.2962477522701</c:v>
                </c:pt>
                <c:pt idx="234">
                  <c:v>1102.0035191474801</c:v>
                </c:pt>
                <c:pt idx="235">
                  <c:v>1049.62869930075</c:v>
                </c:pt>
                <c:pt idx="236">
                  <c:v>1047.37728671332</c:v>
                </c:pt>
                <c:pt idx="237">
                  <c:v>1073.97368498168</c:v>
                </c:pt>
                <c:pt idx="238">
                  <c:v>1050.5907186147099</c:v>
                </c:pt>
                <c:pt idx="239">
                  <c:v>1042.3889923410502</c:v>
                </c:pt>
                <c:pt idx="240">
                  <c:v>1084.7845781967901</c:v>
                </c:pt>
                <c:pt idx="241">
                  <c:v>1089.1046236782202</c:v>
                </c:pt>
                <c:pt idx="242">
                  <c:v>1084.0002902757201</c:v>
                </c:pt>
                <c:pt idx="243">
                  <c:v>1109.4603763315899</c:v>
                </c:pt>
                <c:pt idx="244">
                  <c:v>1023.6988360025299</c:v>
                </c:pt>
                <c:pt idx="245">
                  <c:v>1084.4244292529499</c:v>
                </c:pt>
                <c:pt idx="246">
                  <c:v>1068.89959376862</c:v>
                </c:pt>
                <c:pt idx="247">
                  <c:v>1043.4322344322502</c:v>
                </c:pt>
                <c:pt idx="248">
                  <c:v>989.55633678337006</c:v>
                </c:pt>
                <c:pt idx="249">
                  <c:v>1011.90608761396</c:v>
                </c:pt>
                <c:pt idx="250">
                  <c:v>1028.3206829831699</c:v>
                </c:pt>
                <c:pt idx="251">
                  <c:v>1064.2697338359199</c:v>
                </c:pt>
                <c:pt idx="252">
                  <c:v>1065.86986265067</c:v>
                </c:pt>
                <c:pt idx="253">
                  <c:v>1043.1001198030201</c:v>
                </c:pt>
                <c:pt idx="254">
                  <c:v>1048.4130023377102</c:v>
                </c:pt>
                <c:pt idx="255">
                  <c:v>1061.58747899477</c:v>
                </c:pt>
                <c:pt idx="256">
                  <c:v>1060.2256028583001</c:v>
                </c:pt>
                <c:pt idx="257">
                  <c:v>1100.12172418462</c:v>
                </c:pt>
                <c:pt idx="258">
                  <c:v>1114.4754493877199</c:v>
                </c:pt>
                <c:pt idx="259">
                  <c:v>1107.2529106423501</c:v>
                </c:pt>
                <c:pt idx="260">
                  <c:v>1115.79193873951</c:v>
                </c:pt>
                <c:pt idx="261">
                  <c:v>1089.7262302914501</c:v>
                </c:pt>
                <c:pt idx="262">
                  <c:v>1145.58120743062</c:v>
                </c:pt>
                <c:pt idx="263">
                  <c:v>1140.92202684426</c:v>
                </c:pt>
                <c:pt idx="264">
                  <c:v>1146.30275324677</c:v>
                </c:pt>
                <c:pt idx="265">
                  <c:v>1132.4544735265099</c:v>
                </c:pt>
                <c:pt idx="266">
                  <c:v>1112.2357882912102</c:v>
                </c:pt>
                <c:pt idx="267">
                  <c:v>1088.7680317744198</c:v>
                </c:pt>
                <c:pt idx="268">
                  <c:v>1107.2137910363399</c:v>
                </c:pt>
                <c:pt idx="269">
                  <c:v>1154.9742763903</c:v>
                </c:pt>
                <c:pt idx="270">
                  <c:v>1142.6632460872399</c:v>
                </c:pt>
                <c:pt idx="271">
                  <c:v>1144.2971268731401</c:v>
                </c:pt>
                <c:pt idx="272">
                  <c:v>1136.5196190476202</c:v>
                </c:pt>
                <c:pt idx="273">
                  <c:v>1109.9992407591999</c:v>
                </c:pt>
                <c:pt idx="274">
                  <c:v>1059.1263243423</c:v>
                </c:pt>
                <c:pt idx="275">
                  <c:v>1134.9826223267601</c:v>
                </c:pt>
                <c:pt idx="276">
                  <c:v>1176.6479837484601</c:v>
                </c:pt>
                <c:pt idx="277">
                  <c:v>1136.0935809969001</c:v>
                </c:pt>
                <c:pt idx="278">
                  <c:v>1119.3261207677799</c:v>
                </c:pt>
                <c:pt idx="279">
                  <c:v>1117.77400592655</c:v>
                </c:pt>
                <c:pt idx="280">
                  <c:v>1106.41327206131</c:v>
                </c:pt>
                <c:pt idx="281">
                  <c:v>1080.1412760708799</c:v>
                </c:pt>
                <c:pt idx="282">
                  <c:v>1067.5022762951501</c:v>
                </c:pt>
                <c:pt idx="283">
                  <c:v>1038.44104432982</c:v>
                </c:pt>
                <c:pt idx="284">
                  <c:v>1102.6586107225701</c:v>
                </c:pt>
                <c:pt idx="285">
                  <c:v>1102.13190809196</c:v>
                </c:pt>
                <c:pt idx="286">
                  <c:v>1137.5802346553799</c:v>
                </c:pt>
                <c:pt idx="287">
                  <c:v>1132.02294118742</c:v>
                </c:pt>
                <c:pt idx="288">
                  <c:v>1128.3680072888001</c:v>
                </c:pt>
                <c:pt idx="289">
                  <c:v>1085.59984680055</c:v>
                </c:pt>
                <c:pt idx="290">
                  <c:v>1059.48298585155</c:v>
                </c:pt>
                <c:pt idx="291">
                  <c:v>1028.9169075979898</c:v>
                </c:pt>
                <c:pt idx="292">
                  <c:v>1073.8621763111801</c:v>
                </c:pt>
                <c:pt idx="293">
                  <c:v>1061.8273163733902</c:v>
                </c:pt>
                <c:pt idx="294">
                  <c:v>1070.28261978867</c:v>
                </c:pt>
                <c:pt idx="295">
                  <c:v>1068.5191697191499</c:v>
                </c:pt>
                <c:pt idx="296">
                  <c:v>1038.4378621378899</c:v>
                </c:pt>
                <c:pt idx="297">
                  <c:v>1026.8457653457999</c:v>
                </c:pt>
                <c:pt idx="298">
                  <c:v>1042.0756465756501</c:v>
                </c:pt>
                <c:pt idx="299">
                  <c:v>1054.2116174857501</c:v>
                </c:pt>
                <c:pt idx="300">
                  <c:v>1071.76892211006</c:v>
                </c:pt>
                <c:pt idx="301">
                  <c:v>1070.29273535262</c:v>
                </c:pt>
                <c:pt idx="302">
                  <c:v>1059.83490823899</c:v>
                </c:pt>
                <c:pt idx="303">
                  <c:v>1050.9748833231201</c:v>
                </c:pt>
                <c:pt idx="304">
                  <c:v>1068.3789557371801</c:v>
                </c:pt>
                <c:pt idx="305">
                  <c:v>1090.2571796739601</c:v>
                </c:pt>
                <c:pt idx="306">
                  <c:v>1109.36934388744</c:v>
                </c:pt>
                <c:pt idx="307">
                  <c:v>1097.5658494940201</c:v>
                </c:pt>
                <c:pt idx="308">
                  <c:v>1078.1068607500401</c:v>
                </c:pt>
                <c:pt idx="309">
                  <c:v>1068.9953937130902</c:v>
                </c:pt>
                <c:pt idx="310">
                  <c:v>1061.56341305755</c:v>
                </c:pt>
                <c:pt idx="311">
                  <c:v>1066.36554382439</c:v>
                </c:pt>
                <c:pt idx="312">
                  <c:v>1051.9748761043302</c:v>
                </c:pt>
                <c:pt idx="313">
                  <c:v>1075.5864253393402</c:v>
                </c:pt>
                <c:pt idx="314">
                  <c:v>1072.5264701891901</c:v>
                </c:pt>
                <c:pt idx="315">
                  <c:v>1075.0515853065101</c:v>
                </c:pt>
                <c:pt idx="316">
                  <c:v>1069.14137917273</c:v>
                </c:pt>
                <c:pt idx="317">
                  <c:v>1101.1341142782401</c:v>
                </c:pt>
                <c:pt idx="318">
                  <c:v>1106.5009984938799</c:v>
                </c:pt>
                <c:pt idx="319">
                  <c:v>1078.1543890965502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'240823A001'!$A$2:$A$321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'240823A001'!$P$2:$P$321</c:f>
              <c:numCache>
                <c:formatCode>General</c:formatCode>
                <c:ptCount val="320"/>
                <c:pt idx="0">
                  <c:v>32.642941383512756</c:v>
                </c:pt>
                <c:pt idx="1">
                  <c:v>30.448738627363408</c:v>
                </c:pt>
                <c:pt idx="2">
                  <c:v>29.82226231094926</c:v>
                </c:pt>
                <c:pt idx="3">
                  <c:v>25.984084306934786</c:v>
                </c:pt>
                <c:pt idx="4">
                  <c:v>25.205237747379417</c:v>
                </c:pt>
                <c:pt idx="5">
                  <c:v>21.843401802622115</c:v>
                </c:pt>
                <c:pt idx="6">
                  <c:v>19.619251784470077</c:v>
                </c:pt>
                <c:pt idx="7">
                  <c:v>16.408956862784372</c:v>
                </c:pt>
                <c:pt idx="8">
                  <c:v>16.590934775661641</c:v>
                </c:pt>
                <c:pt idx="9">
                  <c:v>13.758918673971305</c:v>
                </c:pt>
                <c:pt idx="10">
                  <c:v>10.641011215966554</c:v>
                </c:pt>
                <c:pt idx="11">
                  <c:v>10.315795802731367</c:v>
                </c:pt>
                <c:pt idx="12">
                  <c:v>8.9168937780330921</c:v>
                </c:pt>
                <c:pt idx="13">
                  <c:v>6.4708315027694949</c:v>
                </c:pt>
                <c:pt idx="14">
                  <c:v>6.1747156869030801</c:v>
                </c:pt>
                <c:pt idx="15">
                  <c:v>5.6172882658602949</c:v>
                </c:pt>
                <c:pt idx="16">
                  <c:v>4.1115978742840289</c:v>
                </c:pt>
                <c:pt idx="17">
                  <c:v>0.27830632472523908</c:v>
                </c:pt>
                <c:pt idx="18">
                  <c:v>1.3209813068780554</c:v>
                </c:pt>
                <c:pt idx="19">
                  <c:v>0.11105907037202342</c:v>
                </c:pt>
                <c:pt idx="20">
                  <c:v>-0.5787587895988946</c:v>
                </c:pt>
                <c:pt idx="21">
                  <c:v>0.10516048288117631</c:v>
                </c:pt>
                <c:pt idx="22">
                  <c:v>1.9362775668248036</c:v>
                </c:pt>
                <c:pt idx="23">
                  <c:v>0.40350166390672415</c:v>
                </c:pt>
                <c:pt idx="24">
                  <c:v>-1.628394142377797</c:v>
                </c:pt>
                <c:pt idx="25">
                  <c:v>-1.7308671426573299</c:v>
                </c:pt>
                <c:pt idx="26">
                  <c:v>-2.3041761923677204</c:v>
                </c:pt>
                <c:pt idx="27">
                  <c:v>-3.1277509380516362</c:v>
                </c:pt>
                <c:pt idx="28">
                  <c:v>-2.115835523623621</c:v>
                </c:pt>
                <c:pt idx="29">
                  <c:v>-3.6906780350044306</c:v>
                </c:pt>
                <c:pt idx="30">
                  <c:v>-3.835923089370648</c:v>
                </c:pt>
                <c:pt idx="31">
                  <c:v>-4.9448470971558995</c:v>
                </c:pt>
                <c:pt idx="32">
                  <c:v>-5.4543069163475568</c:v>
                </c:pt>
                <c:pt idx="33">
                  <c:v>-5.4271008823857683</c:v>
                </c:pt>
                <c:pt idx="34">
                  <c:v>-5.3260985872591124</c:v>
                </c:pt>
                <c:pt idx="35">
                  <c:v>-4.389294516462825</c:v>
                </c:pt>
                <c:pt idx="36">
                  <c:v>-4.339745199867056</c:v>
                </c:pt>
                <c:pt idx="37">
                  <c:v>-4.4843529608886135</c:v>
                </c:pt>
                <c:pt idx="38">
                  <c:v>-3.8503525153887637</c:v>
                </c:pt>
                <c:pt idx="39">
                  <c:v>-4.4010040338132832</c:v>
                </c:pt>
                <c:pt idx="40">
                  <c:v>-3.9083003757103931</c:v>
                </c:pt>
                <c:pt idx="41">
                  <c:v>-4.93165242945663</c:v>
                </c:pt>
                <c:pt idx="42">
                  <c:v>-5.3270492327055639</c:v>
                </c:pt>
                <c:pt idx="43">
                  <c:v>-4.0475378768635464</c:v>
                </c:pt>
                <c:pt idx="44">
                  <c:v>-3.603114193510526</c:v>
                </c:pt>
                <c:pt idx="45">
                  <c:v>-6.1366885038768384</c:v>
                </c:pt>
                <c:pt idx="46">
                  <c:v>-5.893673054775209</c:v>
                </c:pt>
                <c:pt idx="47">
                  <c:v>-6.5945227389434677</c:v>
                </c:pt>
                <c:pt idx="48">
                  <c:v>-5.91993144842285</c:v>
                </c:pt>
                <c:pt idx="49">
                  <c:v>-5.3290299097058726</c:v>
                </c:pt>
                <c:pt idx="50">
                  <c:v>-3.99805908380403</c:v>
                </c:pt>
                <c:pt idx="51">
                  <c:v>-4.7827457337285013</c:v>
                </c:pt>
                <c:pt idx="52">
                  <c:v>-4.7337507988813341</c:v>
                </c:pt>
                <c:pt idx="53">
                  <c:v>-3.1299247304743529</c:v>
                </c:pt>
                <c:pt idx="54">
                  <c:v>-4.1900712212871998</c:v>
                </c:pt>
                <c:pt idx="55">
                  <c:v>-3.0362664920136817</c:v>
                </c:pt>
                <c:pt idx="56">
                  <c:v>-1.8718794043966795</c:v>
                </c:pt>
                <c:pt idx="57">
                  <c:v>-3.1156127206383113</c:v>
                </c:pt>
                <c:pt idx="58">
                  <c:v>-2.5983967575791564</c:v>
                </c:pt>
                <c:pt idx="59">
                  <c:v>-1.7229629905190189</c:v>
                </c:pt>
                <c:pt idx="60">
                  <c:v>-1.2105744811897661</c:v>
                </c:pt>
                <c:pt idx="61">
                  <c:v>0.60375948098293242</c:v>
                </c:pt>
                <c:pt idx="62">
                  <c:v>-1.5927488323657175</c:v>
                </c:pt>
                <c:pt idx="63">
                  <c:v>-0.34626912134065629</c:v>
                </c:pt>
                <c:pt idx="64">
                  <c:v>0.11848272895321796</c:v>
                </c:pt>
                <c:pt idx="65">
                  <c:v>-0.4070717006942402</c:v>
                </c:pt>
                <c:pt idx="66">
                  <c:v>0.36661094777876763</c:v>
                </c:pt>
                <c:pt idx="67">
                  <c:v>0.96075460784472277</c:v>
                </c:pt>
                <c:pt idx="68">
                  <c:v>0.43402244023136999</c:v>
                </c:pt>
                <c:pt idx="69">
                  <c:v>-2.4455502645825765E-2</c:v>
                </c:pt>
                <c:pt idx="70">
                  <c:v>0.3285126489170469</c:v>
                </c:pt>
                <c:pt idx="71">
                  <c:v>-0.72973315427276453</c:v>
                </c:pt>
                <c:pt idx="72">
                  <c:v>-9.1939953881005468E-2</c:v>
                </c:pt>
                <c:pt idx="73">
                  <c:v>1.6612915309357192</c:v>
                </c:pt>
                <c:pt idx="74">
                  <c:v>0.52319102036570175</c:v>
                </c:pt>
                <c:pt idx="75">
                  <c:v>0.89131240481732754</c:v>
                </c:pt>
                <c:pt idx="76">
                  <c:v>0.59108729241298541</c:v>
                </c:pt>
                <c:pt idx="77">
                  <c:v>0.82949640118433288</c:v>
                </c:pt>
                <c:pt idx="78">
                  <c:v>-1.3696701371200393</c:v>
                </c:pt>
                <c:pt idx="79">
                  <c:v>-1.5360586209137792</c:v>
                </c:pt>
                <c:pt idx="80">
                  <c:v>-1.0998805192345216</c:v>
                </c:pt>
                <c:pt idx="81">
                  <c:v>5.5197039276823082E-2</c:v>
                </c:pt>
                <c:pt idx="82">
                  <c:v>0.81800963347490352</c:v>
                </c:pt>
                <c:pt idx="83">
                  <c:v>4.8308144114284718E-2</c:v>
                </c:pt>
                <c:pt idx="84">
                  <c:v>2.8671965086004603</c:v>
                </c:pt>
                <c:pt idx="85">
                  <c:v>2.1357228974863598</c:v>
                </c:pt>
                <c:pt idx="86">
                  <c:v>1.3350311970675734</c:v>
                </c:pt>
                <c:pt idx="87">
                  <c:v>2.3251350744814809</c:v>
                </c:pt>
                <c:pt idx="88">
                  <c:v>-0.22742969751531386</c:v>
                </c:pt>
                <c:pt idx="89">
                  <c:v>-0.35778433514120822</c:v>
                </c:pt>
                <c:pt idx="90">
                  <c:v>1.9165318817859891</c:v>
                </c:pt>
                <c:pt idx="91">
                  <c:v>2.7094146680478657</c:v>
                </c:pt>
                <c:pt idx="92">
                  <c:v>2.4279951210259356</c:v>
                </c:pt>
                <c:pt idx="93">
                  <c:v>2.7002658902366012</c:v>
                </c:pt>
                <c:pt idx="94">
                  <c:v>3.2649763628177899</c:v>
                </c:pt>
                <c:pt idx="95">
                  <c:v>1.222990693150168</c:v>
                </c:pt>
                <c:pt idx="96">
                  <c:v>-3.6373358116832712E-2</c:v>
                </c:pt>
                <c:pt idx="97">
                  <c:v>-0.8353881690102557</c:v>
                </c:pt>
                <c:pt idx="98">
                  <c:v>1.963645093289329</c:v>
                </c:pt>
                <c:pt idx="99">
                  <c:v>1.1690318795407975</c:v>
                </c:pt>
                <c:pt idx="100">
                  <c:v>0.62214541687490921</c:v>
                </c:pt>
                <c:pt idx="101">
                  <c:v>1.7920876653523192</c:v>
                </c:pt>
                <c:pt idx="102">
                  <c:v>2.4436461983000024</c:v>
                </c:pt>
                <c:pt idx="103">
                  <c:v>1.9392244129512675</c:v>
                </c:pt>
                <c:pt idx="104">
                  <c:v>-0.6816116305682246</c:v>
                </c:pt>
                <c:pt idx="105">
                  <c:v>-0.45228954503750013</c:v>
                </c:pt>
                <c:pt idx="106">
                  <c:v>-4.5705867081145837E-2</c:v>
                </c:pt>
                <c:pt idx="107">
                  <c:v>-0.39096412789522406</c:v>
                </c:pt>
                <c:pt idx="108">
                  <c:v>0.74283156885239365</c:v>
                </c:pt>
                <c:pt idx="109">
                  <c:v>0.65640124132935596</c:v>
                </c:pt>
                <c:pt idx="110">
                  <c:v>2.084127633616137</c:v>
                </c:pt>
                <c:pt idx="111">
                  <c:v>3.0410885054256003</c:v>
                </c:pt>
                <c:pt idx="112">
                  <c:v>3.2566951336046071</c:v>
                </c:pt>
                <c:pt idx="113">
                  <c:v>2.2192546985115498</c:v>
                </c:pt>
                <c:pt idx="114">
                  <c:v>3.7895122666271894</c:v>
                </c:pt>
                <c:pt idx="115">
                  <c:v>5.16160568286102</c:v>
                </c:pt>
                <c:pt idx="116">
                  <c:v>2.7704121434632278</c:v>
                </c:pt>
                <c:pt idx="117">
                  <c:v>3.4860034893395153</c:v>
                </c:pt>
                <c:pt idx="118">
                  <c:v>2.326332632576011</c:v>
                </c:pt>
                <c:pt idx="119">
                  <c:v>1.3642813341561171</c:v>
                </c:pt>
                <c:pt idx="120">
                  <c:v>2.1065009956647489</c:v>
                </c:pt>
                <c:pt idx="121">
                  <c:v>2.2440637903827994</c:v>
                </c:pt>
                <c:pt idx="122">
                  <c:v>2.2643249168391071</c:v>
                </c:pt>
                <c:pt idx="123">
                  <c:v>1.9759685688619608</c:v>
                </c:pt>
                <c:pt idx="124">
                  <c:v>2.4134754036769177</c:v>
                </c:pt>
                <c:pt idx="125">
                  <c:v>3.1863793824602555</c:v>
                </c:pt>
                <c:pt idx="126">
                  <c:v>1.759569436295904</c:v>
                </c:pt>
                <c:pt idx="127">
                  <c:v>2.7047709261727637</c:v>
                </c:pt>
                <c:pt idx="128">
                  <c:v>2.4580134712047377</c:v>
                </c:pt>
                <c:pt idx="129">
                  <c:v>2.2008303764479105</c:v>
                </c:pt>
                <c:pt idx="130">
                  <c:v>2.4781872924294199</c:v>
                </c:pt>
                <c:pt idx="131">
                  <c:v>3.1562429130855425</c:v>
                </c:pt>
                <c:pt idx="132">
                  <c:v>2.1472641427905259</c:v>
                </c:pt>
                <c:pt idx="133">
                  <c:v>4.5089084050104073</c:v>
                </c:pt>
                <c:pt idx="134">
                  <c:v>2.7328822106293771</c:v>
                </c:pt>
                <c:pt idx="135">
                  <c:v>2.4652908369812794</c:v>
                </c:pt>
                <c:pt idx="136">
                  <c:v>4.5097296079908418</c:v>
                </c:pt>
                <c:pt idx="137">
                  <c:v>4.9383931009228599</c:v>
                </c:pt>
                <c:pt idx="138">
                  <c:v>4.6255878181381318</c:v>
                </c:pt>
                <c:pt idx="139">
                  <c:v>4.7706338913039668</c:v>
                </c:pt>
                <c:pt idx="140">
                  <c:v>4.9956136018641333</c:v>
                </c:pt>
                <c:pt idx="141">
                  <c:v>5.2809500464994894</c:v>
                </c:pt>
                <c:pt idx="142">
                  <c:v>4.2385321791949195</c:v>
                </c:pt>
                <c:pt idx="143">
                  <c:v>4.4653926509536577</c:v>
                </c:pt>
                <c:pt idx="144">
                  <c:v>4.0782694060160614</c:v>
                </c:pt>
                <c:pt idx="145">
                  <c:v>3.4390678672754116</c:v>
                </c:pt>
                <c:pt idx="146">
                  <c:v>6.09169376662462</c:v>
                </c:pt>
                <c:pt idx="147">
                  <c:v>2.6935048234493499</c:v>
                </c:pt>
                <c:pt idx="148">
                  <c:v>4.6175077664574529</c:v>
                </c:pt>
                <c:pt idx="149">
                  <c:v>5.5416428424919308</c:v>
                </c:pt>
                <c:pt idx="150">
                  <c:v>5.1193826134730962</c:v>
                </c:pt>
                <c:pt idx="151">
                  <c:v>5.4932447338637971</c:v>
                </c:pt>
                <c:pt idx="152">
                  <c:v>4.9245278075964949</c:v>
                </c:pt>
                <c:pt idx="153">
                  <c:v>4.9952948977126006</c:v>
                </c:pt>
                <c:pt idx="154">
                  <c:v>5.2270455855299502</c:v>
                </c:pt>
                <c:pt idx="155">
                  <c:v>5.0525268690168028</c:v>
                </c:pt>
                <c:pt idx="156">
                  <c:v>5.7255548359048101</c:v>
                </c:pt>
                <c:pt idx="157">
                  <c:v>5.8286547532337778</c:v>
                </c:pt>
                <c:pt idx="158">
                  <c:v>6.4070880558338024</c:v>
                </c:pt>
                <c:pt idx="159">
                  <c:v>5.6478613963768565</c:v>
                </c:pt>
                <c:pt idx="160">
                  <c:v>5.7360986087571728</c:v>
                </c:pt>
                <c:pt idx="161">
                  <c:v>6.2657049212296894</c:v>
                </c:pt>
                <c:pt idx="162">
                  <c:v>4.6581592915550232</c:v>
                </c:pt>
                <c:pt idx="163">
                  <c:v>4.4639572425578793</c:v>
                </c:pt>
                <c:pt idx="164">
                  <c:v>4.1894976859898216</c:v>
                </c:pt>
                <c:pt idx="165">
                  <c:v>3.963894088436557</c:v>
                </c:pt>
                <c:pt idx="166">
                  <c:v>3.8542843655363783</c:v>
                </c:pt>
                <c:pt idx="167">
                  <c:v>4.3414200659751723</c:v>
                </c:pt>
                <c:pt idx="168">
                  <c:v>3.8410005662442561</c:v>
                </c:pt>
                <c:pt idx="169">
                  <c:v>5.0744564522998754</c:v>
                </c:pt>
                <c:pt idx="170">
                  <c:v>4.6390604610625541</c:v>
                </c:pt>
                <c:pt idx="171">
                  <c:v>4.3685269292882145</c:v>
                </c:pt>
                <c:pt idx="172">
                  <c:v>4.894065573594367</c:v>
                </c:pt>
                <c:pt idx="173">
                  <c:v>5.2129208680727483</c:v>
                </c:pt>
                <c:pt idx="174">
                  <c:v>5.5633362148811321</c:v>
                </c:pt>
                <c:pt idx="175">
                  <c:v>6.1948648039115719</c:v>
                </c:pt>
                <c:pt idx="176">
                  <c:v>7.0855103011129881</c:v>
                </c:pt>
                <c:pt idx="177">
                  <c:v>5.6718462750083694</c:v>
                </c:pt>
                <c:pt idx="178">
                  <c:v>4.3748875759759338</c:v>
                </c:pt>
                <c:pt idx="179">
                  <c:v>4.9747324216927122</c:v>
                </c:pt>
                <c:pt idx="180">
                  <c:v>5.0605744342495393</c:v>
                </c:pt>
                <c:pt idx="181">
                  <c:v>5.8953437027235234</c:v>
                </c:pt>
                <c:pt idx="182">
                  <c:v>4.3250888625651163</c:v>
                </c:pt>
                <c:pt idx="183">
                  <c:v>4.1453211078669856</c:v>
                </c:pt>
                <c:pt idx="184">
                  <c:v>3.7777531528836503</c:v>
                </c:pt>
                <c:pt idx="185">
                  <c:v>4.9129674826573755</c:v>
                </c:pt>
                <c:pt idx="186">
                  <c:v>3.600199323709429</c:v>
                </c:pt>
                <c:pt idx="187">
                  <c:v>3.4370259213420051</c:v>
                </c:pt>
                <c:pt idx="188">
                  <c:v>3.8682286781832853</c:v>
                </c:pt>
                <c:pt idx="189">
                  <c:v>4.1225778860329294</c:v>
                </c:pt>
                <c:pt idx="190">
                  <c:v>3.8582761055158161</c:v>
                </c:pt>
                <c:pt idx="191">
                  <c:v>4.849841293823391</c:v>
                </c:pt>
                <c:pt idx="192">
                  <c:v>5.3222871815329666</c:v>
                </c:pt>
                <c:pt idx="193">
                  <c:v>5.6230942341514494</c:v>
                </c:pt>
                <c:pt idx="194">
                  <c:v>4.7603444135527644</c:v>
                </c:pt>
                <c:pt idx="195">
                  <c:v>5.1073155735588092</c:v>
                </c:pt>
                <c:pt idx="196">
                  <c:v>5.6968071352019498</c:v>
                </c:pt>
                <c:pt idx="197">
                  <c:v>6.1328184454905985</c:v>
                </c:pt>
                <c:pt idx="198">
                  <c:v>5.7150939984729829</c:v>
                </c:pt>
                <c:pt idx="199">
                  <c:v>5.3818918126346507</c:v>
                </c:pt>
                <c:pt idx="200">
                  <c:v>5.19258529085372</c:v>
                </c:pt>
                <c:pt idx="201">
                  <c:v>4.9250737067511556</c:v>
                </c:pt>
                <c:pt idx="202">
                  <c:v>5.3289908789803659</c:v>
                </c:pt>
                <c:pt idx="203">
                  <c:v>6.3385700292957843</c:v>
                </c:pt>
                <c:pt idx="204">
                  <c:v>4.2775548173330389</c:v>
                </c:pt>
                <c:pt idx="205">
                  <c:v>3.6901725801031633</c:v>
                </c:pt>
                <c:pt idx="206">
                  <c:v>4.536180264441823</c:v>
                </c:pt>
                <c:pt idx="207">
                  <c:v>4.5609275781534082</c:v>
                </c:pt>
                <c:pt idx="208">
                  <c:v>4.8468377829328553</c:v>
                </c:pt>
                <c:pt idx="209">
                  <c:v>4.6765501296000309</c:v>
                </c:pt>
                <c:pt idx="210">
                  <c:v>5.1932093755896469</c:v>
                </c:pt>
                <c:pt idx="211">
                  <c:v>4.7292266604295143</c:v>
                </c:pt>
                <c:pt idx="212">
                  <c:v>6.4488963421705767</c:v>
                </c:pt>
                <c:pt idx="213">
                  <c:v>7.8615277704373154</c:v>
                </c:pt>
                <c:pt idx="214">
                  <c:v>5.2657136861304989</c:v>
                </c:pt>
                <c:pt idx="215">
                  <c:v>5.5445069812596826</c:v>
                </c:pt>
                <c:pt idx="216">
                  <c:v>3.4890842317382549</c:v>
                </c:pt>
                <c:pt idx="217">
                  <c:v>5.2535021527605874</c:v>
                </c:pt>
                <c:pt idx="218">
                  <c:v>7.5335833220560628</c:v>
                </c:pt>
                <c:pt idx="219">
                  <c:v>5.6882318766787368</c:v>
                </c:pt>
                <c:pt idx="220">
                  <c:v>5.4352887159876877</c:v>
                </c:pt>
                <c:pt idx="221">
                  <c:v>6.0709230591533148</c:v>
                </c:pt>
                <c:pt idx="222">
                  <c:v>4.2685812786122694</c:v>
                </c:pt>
                <c:pt idx="223">
                  <c:v>5.1261530545926171</c:v>
                </c:pt>
                <c:pt idx="224">
                  <c:v>5.762235264299763</c:v>
                </c:pt>
                <c:pt idx="225">
                  <c:v>5.4885157975204617</c:v>
                </c:pt>
                <c:pt idx="226">
                  <c:v>4.2181088348301117</c:v>
                </c:pt>
                <c:pt idx="227">
                  <c:v>2.6366675878110524</c:v>
                </c:pt>
                <c:pt idx="228">
                  <c:v>5.0089282192338143</c:v>
                </c:pt>
                <c:pt idx="229">
                  <c:v>5.1297081581091186</c:v>
                </c:pt>
                <c:pt idx="230">
                  <c:v>4.2807061130641202</c:v>
                </c:pt>
                <c:pt idx="231">
                  <c:v>4.9270184491242075</c:v>
                </c:pt>
                <c:pt idx="232">
                  <c:v>5.3610165060237529</c:v>
                </c:pt>
                <c:pt idx="233">
                  <c:v>5.5699311574887522</c:v>
                </c:pt>
                <c:pt idx="234">
                  <c:v>5.1786170097615498</c:v>
                </c:pt>
                <c:pt idx="235">
                  <c:v>5.6434371480297152</c:v>
                </c:pt>
                <c:pt idx="236">
                  <c:v>5.5118218903263072</c:v>
                </c:pt>
                <c:pt idx="237">
                  <c:v>5.0376943019910874</c:v>
                </c:pt>
                <c:pt idx="238">
                  <c:v>4.2100641657867852</c:v>
                </c:pt>
                <c:pt idx="239">
                  <c:v>4.2842034768714177</c:v>
                </c:pt>
                <c:pt idx="240">
                  <c:v>4.873784158938669</c:v>
                </c:pt>
                <c:pt idx="241">
                  <c:v>4.5566382620078878</c:v>
                </c:pt>
                <c:pt idx="242">
                  <c:v>5.9137686358661377</c:v>
                </c:pt>
                <c:pt idx="243">
                  <c:v>5.9361400813710397</c:v>
                </c:pt>
                <c:pt idx="244">
                  <c:v>6.2762229407244492</c:v>
                </c:pt>
                <c:pt idx="245">
                  <c:v>5.8351270480964734</c:v>
                </c:pt>
                <c:pt idx="246">
                  <c:v>5.9028872681637221</c:v>
                </c:pt>
                <c:pt idx="247">
                  <c:v>6.4783729512685362</c:v>
                </c:pt>
                <c:pt idx="248">
                  <c:v>4.9849672033247066</c:v>
                </c:pt>
                <c:pt idx="249">
                  <c:v>7.5522245831157786</c:v>
                </c:pt>
                <c:pt idx="250">
                  <c:v>7.2690242134824601</c:v>
                </c:pt>
                <c:pt idx="251">
                  <c:v>9.0369665418523404</c:v>
                </c:pt>
                <c:pt idx="252">
                  <c:v>8.9829410460270029</c:v>
                </c:pt>
                <c:pt idx="253">
                  <c:v>7.7247725430992977</c:v>
                </c:pt>
                <c:pt idx="254">
                  <c:v>9.3352829400991624</c:v>
                </c:pt>
                <c:pt idx="255">
                  <c:v>6.3191588032909012</c:v>
                </c:pt>
                <c:pt idx="256">
                  <c:v>5.309336911130198</c:v>
                </c:pt>
                <c:pt idx="257">
                  <c:v>7.0215456343847498</c:v>
                </c:pt>
                <c:pt idx="258">
                  <c:v>7.0715568929111532</c:v>
                </c:pt>
                <c:pt idx="259">
                  <c:v>6.0203764188015976</c:v>
                </c:pt>
                <c:pt idx="260">
                  <c:v>5.8465761725429468</c:v>
                </c:pt>
                <c:pt idx="261">
                  <c:v>5.6682992654124238</c:v>
                </c:pt>
                <c:pt idx="262">
                  <c:v>4.1243170945270737</c:v>
                </c:pt>
                <c:pt idx="263">
                  <c:v>3.4606531550202582</c:v>
                </c:pt>
                <c:pt idx="264">
                  <c:v>4.3849602156837264</c:v>
                </c:pt>
                <c:pt idx="265">
                  <c:v>6.2858368424368525</c:v>
                </c:pt>
                <c:pt idx="266">
                  <c:v>4.1341066000553779</c:v>
                </c:pt>
                <c:pt idx="267">
                  <c:v>3.0302892356659537</c:v>
                </c:pt>
                <c:pt idx="268">
                  <c:v>3.2530614524214312</c:v>
                </c:pt>
                <c:pt idx="269">
                  <c:v>4.161375855368461</c:v>
                </c:pt>
                <c:pt idx="270">
                  <c:v>4.0115911212404551</c:v>
                </c:pt>
                <c:pt idx="271">
                  <c:v>4.1691542041179659</c:v>
                </c:pt>
                <c:pt idx="272">
                  <c:v>5.3814290688798341</c:v>
                </c:pt>
                <c:pt idx="273">
                  <c:v>5.5535162373971163</c:v>
                </c:pt>
                <c:pt idx="274">
                  <c:v>5.2058925015915722</c:v>
                </c:pt>
                <c:pt idx="275">
                  <c:v>6.6010898236057161</c:v>
                </c:pt>
                <c:pt idx="276">
                  <c:v>7.3308231032268747</c:v>
                </c:pt>
                <c:pt idx="277">
                  <c:v>7.712997353171815</c:v>
                </c:pt>
                <c:pt idx="278">
                  <c:v>7.3038003239342304</c:v>
                </c:pt>
                <c:pt idx="279">
                  <c:v>8.1894218788087247</c:v>
                </c:pt>
                <c:pt idx="280">
                  <c:v>7.7197450265422782</c:v>
                </c:pt>
                <c:pt idx="281">
                  <c:v>6.6664065912660995</c:v>
                </c:pt>
                <c:pt idx="282">
                  <c:v>5.5038312569326546</c:v>
                </c:pt>
                <c:pt idx="283">
                  <c:v>5.6942148057326802</c:v>
                </c:pt>
                <c:pt idx="284">
                  <c:v>7.6339670624498508</c:v>
                </c:pt>
                <c:pt idx="285">
                  <c:v>10.825296440385925</c:v>
                </c:pt>
                <c:pt idx="286">
                  <c:v>9.7537748137314431</c:v>
                </c:pt>
                <c:pt idx="287">
                  <c:v>9.0254737342954776</c:v>
                </c:pt>
                <c:pt idx="288">
                  <c:v>9.6085483072426641</c:v>
                </c:pt>
                <c:pt idx="289">
                  <c:v>7.2953435991983024</c:v>
                </c:pt>
                <c:pt idx="290">
                  <c:v>6.8929885884933508</c:v>
                </c:pt>
                <c:pt idx="291">
                  <c:v>5.3407929530546792</c:v>
                </c:pt>
                <c:pt idx="292">
                  <c:v>7.2579347415244593</c:v>
                </c:pt>
                <c:pt idx="293">
                  <c:v>7.3257802606674831</c:v>
                </c:pt>
                <c:pt idx="294">
                  <c:v>6.2795032238073869</c:v>
                </c:pt>
                <c:pt idx="295">
                  <c:v>7.3201405351335191</c:v>
                </c:pt>
                <c:pt idx="296">
                  <c:v>7.361639382769587</c:v>
                </c:pt>
                <c:pt idx="297">
                  <c:v>6.1517263713702723</c:v>
                </c:pt>
                <c:pt idx="298">
                  <c:v>6.6821223535213363</c:v>
                </c:pt>
                <c:pt idx="299">
                  <c:v>6.4324831059904177</c:v>
                </c:pt>
                <c:pt idx="300">
                  <c:v>6.5807831624234678</c:v>
                </c:pt>
                <c:pt idx="301">
                  <c:v>5.7898188807532867</c:v>
                </c:pt>
                <c:pt idx="302">
                  <c:v>6.2791484684205816</c:v>
                </c:pt>
                <c:pt idx="303">
                  <c:v>6.4326190320559213</c:v>
                </c:pt>
                <c:pt idx="304">
                  <c:v>7.1134782246869088</c:v>
                </c:pt>
                <c:pt idx="305">
                  <c:v>7.4435554536287567</c:v>
                </c:pt>
                <c:pt idx="306">
                  <c:v>8.1978504786736135</c:v>
                </c:pt>
                <c:pt idx="307">
                  <c:v>7.9129399781154834</c:v>
                </c:pt>
                <c:pt idx="308">
                  <c:v>7.7441825455579094</c:v>
                </c:pt>
                <c:pt idx="309">
                  <c:v>7.3769809632312198</c:v>
                </c:pt>
                <c:pt idx="310">
                  <c:v>6.3564936279431254</c:v>
                </c:pt>
                <c:pt idx="311">
                  <c:v>7.2339309323412646</c:v>
                </c:pt>
                <c:pt idx="312">
                  <c:v>5.2097502974638177</c:v>
                </c:pt>
                <c:pt idx="313">
                  <c:v>5.6799485056315477</c:v>
                </c:pt>
                <c:pt idx="314">
                  <c:v>5.891384663153139</c:v>
                </c:pt>
                <c:pt idx="315">
                  <c:v>5.6225613360900519</c:v>
                </c:pt>
                <c:pt idx="316">
                  <c:v>5.8202410728085052</c:v>
                </c:pt>
                <c:pt idx="317">
                  <c:v>6.8933253876514149</c:v>
                </c:pt>
                <c:pt idx="318">
                  <c:v>5.7598876337253166</c:v>
                </c:pt>
                <c:pt idx="319">
                  <c:v>6.4188585041693083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'240823A002'!$A$2:$A$321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'240823A002'!$J$2:$J$321</c:f>
              <c:numCache>
                <c:formatCode>0.0</c:formatCode>
                <c:ptCount val="320"/>
                <c:pt idx="0">
                  <c:v>464.60087348548996</c:v>
                </c:pt>
                <c:pt idx="1">
                  <c:v>464.54357565511998</c:v>
                </c:pt>
                <c:pt idx="2">
                  <c:v>461.16173570019009</c:v>
                </c:pt>
                <c:pt idx="3">
                  <c:v>463.33798605241009</c:v>
                </c:pt>
                <c:pt idx="4">
                  <c:v>464.04707311918997</c:v>
                </c:pt>
                <c:pt idx="5">
                  <c:v>463.02380247956995</c:v>
                </c:pt>
                <c:pt idx="6">
                  <c:v>463.36806846999002</c:v>
                </c:pt>
                <c:pt idx="7">
                  <c:v>470.80951706055998</c:v>
                </c:pt>
                <c:pt idx="8">
                  <c:v>470.01280515890994</c:v>
                </c:pt>
                <c:pt idx="9">
                  <c:v>467.73034758885001</c:v>
                </c:pt>
                <c:pt idx="10">
                  <c:v>468.24925415440998</c:v>
                </c:pt>
                <c:pt idx="11">
                  <c:v>471.15005491974</c:v>
                </c:pt>
                <c:pt idx="12">
                  <c:v>466.77212911454995</c:v>
                </c:pt>
                <c:pt idx="13">
                  <c:v>467.53310066258007</c:v>
                </c:pt>
                <c:pt idx="14">
                  <c:v>467.80189561704992</c:v>
                </c:pt>
                <c:pt idx="15">
                  <c:v>465.08343549586994</c:v>
                </c:pt>
                <c:pt idx="16">
                  <c:v>466.81062254189999</c:v>
                </c:pt>
                <c:pt idx="17">
                  <c:v>467.99659497572998</c:v>
                </c:pt>
                <c:pt idx="18">
                  <c:v>467.95263083301001</c:v>
                </c:pt>
                <c:pt idx="19">
                  <c:v>464.91061899868998</c:v>
                </c:pt>
                <c:pt idx="20">
                  <c:v>466.35442369698001</c:v>
                </c:pt>
                <c:pt idx="21">
                  <c:v>459.56723239911003</c:v>
                </c:pt>
                <c:pt idx="22">
                  <c:v>460.69033058143998</c:v>
                </c:pt>
                <c:pt idx="23">
                  <c:v>460.25408709209006</c:v>
                </c:pt>
                <c:pt idx="24">
                  <c:v>463.81299294901999</c:v>
                </c:pt>
                <c:pt idx="25">
                  <c:v>464.30068383941995</c:v>
                </c:pt>
                <c:pt idx="26">
                  <c:v>466.32007228147006</c:v>
                </c:pt>
                <c:pt idx="27">
                  <c:v>464.30893951742007</c:v>
                </c:pt>
                <c:pt idx="28">
                  <c:v>466.91009106048</c:v>
                </c:pt>
                <c:pt idx="29">
                  <c:v>466.43417071183001</c:v>
                </c:pt>
                <c:pt idx="30">
                  <c:v>466.96406122666008</c:v>
                </c:pt>
                <c:pt idx="31">
                  <c:v>464.31831839280005</c:v>
                </c:pt>
                <c:pt idx="32">
                  <c:v>465.06520214008998</c:v>
                </c:pt>
                <c:pt idx="33">
                  <c:v>465.54021542713002</c:v>
                </c:pt>
                <c:pt idx="34">
                  <c:v>466.28422917477997</c:v>
                </c:pt>
                <c:pt idx="35">
                  <c:v>467.63709385962005</c:v>
                </c:pt>
                <c:pt idx="36">
                  <c:v>465.32633667575999</c:v>
                </c:pt>
                <c:pt idx="37">
                  <c:v>466.89563830917996</c:v>
                </c:pt>
                <c:pt idx="38">
                  <c:v>465.71623852886</c:v>
                </c:pt>
                <c:pt idx="39">
                  <c:v>464.74927895688006</c:v>
                </c:pt>
                <c:pt idx="40">
                  <c:v>465.22632604613</c:v>
                </c:pt>
                <c:pt idx="41">
                  <c:v>465.67873365694993</c:v>
                </c:pt>
                <c:pt idx="42">
                  <c:v>466.02515324381</c:v>
                </c:pt>
                <c:pt idx="43">
                  <c:v>467.30543174006999</c:v>
                </c:pt>
                <c:pt idx="44">
                  <c:v>467.08149027389004</c:v>
                </c:pt>
                <c:pt idx="45">
                  <c:v>466.31178471458998</c:v>
                </c:pt>
                <c:pt idx="46">
                  <c:v>465.69179747015005</c:v>
                </c:pt>
                <c:pt idx="47">
                  <c:v>466.55652482018002</c:v>
                </c:pt>
                <c:pt idx="48">
                  <c:v>467.21189809730004</c:v>
                </c:pt>
                <c:pt idx="49">
                  <c:v>465.77988520001998</c:v>
                </c:pt>
                <c:pt idx="50">
                  <c:v>465.18031392835996</c:v>
                </c:pt>
                <c:pt idx="51">
                  <c:v>466.34307479714994</c:v>
                </c:pt>
                <c:pt idx="52">
                  <c:v>465.21724480034004</c:v>
                </c:pt>
                <c:pt idx="53">
                  <c:v>467.92938737908003</c:v>
                </c:pt>
                <c:pt idx="54">
                  <c:v>466.88046628637005</c:v>
                </c:pt>
                <c:pt idx="55">
                  <c:v>467.30033660488999</c:v>
                </c:pt>
                <c:pt idx="56">
                  <c:v>466.42389540445993</c:v>
                </c:pt>
                <c:pt idx="57">
                  <c:v>466.19493321050999</c:v>
                </c:pt>
                <c:pt idx="58">
                  <c:v>467.24122524181996</c:v>
                </c:pt>
                <c:pt idx="59">
                  <c:v>467.33651277326999</c:v>
                </c:pt>
                <c:pt idx="60">
                  <c:v>465.85657442512002</c:v>
                </c:pt>
                <c:pt idx="61">
                  <c:v>466.06958509016999</c:v>
                </c:pt>
                <c:pt idx="62">
                  <c:v>466.74004180986992</c:v>
                </c:pt>
                <c:pt idx="63">
                  <c:v>466.67205825036001</c:v>
                </c:pt>
                <c:pt idx="64">
                  <c:v>466.26570527584005</c:v>
                </c:pt>
                <c:pt idx="65">
                  <c:v>467.08620982886009</c:v>
                </c:pt>
                <c:pt idx="66">
                  <c:v>466.65079545052004</c:v>
                </c:pt>
                <c:pt idx="67">
                  <c:v>467.26232505403993</c:v>
                </c:pt>
                <c:pt idx="68">
                  <c:v>467.59874570386</c:v>
                </c:pt>
                <c:pt idx="69">
                  <c:v>466.89248130957003</c:v>
                </c:pt>
                <c:pt idx="70">
                  <c:v>467.95564256104001</c:v>
                </c:pt>
                <c:pt idx="71">
                  <c:v>467.55883853594997</c:v>
                </c:pt>
                <c:pt idx="72">
                  <c:v>465.79801225950001</c:v>
                </c:pt>
                <c:pt idx="73">
                  <c:v>466.49452574142003</c:v>
                </c:pt>
                <c:pt idx="74">
                  <c:v>467.62645005845997</c:v>
                </c:pt>
                <c:pt idx="75">
                  <c:v>466.25654962265003</c:v>
                </c:pt>
                <c:pt idx="76">
                  <c:v>467.29103922333002</c:v>
                </c:pt>
                <c:pt idx="77">
                  <c:v>467.56670091769001</c:v>
                </c:pt>
                <c:pt idx="78">
                  <c:v>466.66803670765</c:v>
                </c:pt>
                <c:pt idx="79">
                  <c:v>466.16816426318996</c:v>
                </c:pt>
                <c:pt idx="80">
                  <c:v>467.61332246748998</c:v>
                </c:pt>
                <c:pt idx="81">
                  <c:v>468.82933423095</c:v>
                </c:pt>
                <c:pt idx="82">
                  <c:v>467.06711192998</c:v>
                </c:pt>
                <c:pt idx="83">
                  <c:v>467.65632994366001</c:v>
                </c:pt>
                <c:pt idx="84">
                  <c:v>468.39171243312001</c:v>
                </c:pt>
                <c:pt idx="85">
                  <c:v>467.21165361584002</c:v>
                </c:pt>
                <c:pt idx="86">
                  <c:v>470.88718421145001</c:v>
                </c:pt>
                <c:pt idx="87">
                  <c:v>471.14764199411002</c:v>
                </c:pt>
                <c:pt idx="88">
                  <c:v>473.09192856890002</c:v>
                </c:pt>
                <c:pt idx="89">
                  <c:v>472.08672359424008</c:v>
                </c:pt>
                <c:pt idx="90">
                  <c:v>470.37579987952995</c:v>
                </c:pt>
                <c:pt idx="91">
                  <c:v>468.16539701661998</c:v>
                </c:pt>
                <c:pt idx="92">
                  <c:v>467.61527123269002</c:v>
                </c:pt>
                <c:pt idx="93">
                  <c:v>467.38189065654996</c:v>
                </c:pt>
                <c:pt idx="94">
                  <c:v>466.98636218687</c:v>
                </c:pt>
                <c:pt idx="95">
                  <c:v>467.92411154023</c:v>
                </c:pt>
                <c:pt idx="96">
                  <c:v>467.02415760196004</c:v>
                </c:pt>
                <c:pt idx="97">
                  <c:v>466.90252630832998</c:v>
                </c:pt>
                <c:pt idx="98">
                  <c:v>465.70430499946997</c:v>
                </c:pt>
                <c:pt idx="99">
                  <c:v>467.16498246111001</c:v>
                </c:pt>
                <c:pt idx="100">
                  <c:v>464.37915884207996</c:v>
                </c:pt>
                <c:pt idx="101">
                  <c:v>466.01479998583</c:v>
                </c:pt>
                <c:pt idx="102">
                  <c:v>465.59814335826002</c:v>
                </c:pt>
                <c:pt idx="103">
                  <c:v>466.38988768025996</c:v>
                </c:pt>
                <c:pt idx="104">
                  <c:v>465.30676398681999</c:v>
                </c:pt>
                <c:pt idx="105">
                  <c:v>464.70426602417001</c:v>
                </c:pt>
                <c:pt idx="106">
                  <c:v>465.1899798037</c:v>
                </c:pt>
                <c:pt idx="107">
                  <c:v>464.02762286078996</c:v>
                </c:pt>
                <c:pt idx="108">
                  <c:v>464.24329447613002</c:v>
                </c:pt>
                <c:pt idx="109">
                  <c:v>464.60549551784004</c:v>
                </c:pt>
                <c:pt idx="110">
                  <c:v>467.36310101690003</c:v>
                </c:pt>
                <c:pt idx="111">
                  <c:v>464.63014208268999</c:v>
                </c:pt>
                <c:pt idx="112">
                  <c:v>465.90842575203999</c:v>
                </c:pt>
                <c:pt idx="113">
                  <c:v>463.22555362647995</c:v>
                </c:pt>
                <c:pt idx="114">
                  <c:v>466.33994968641991</c:v>
                </c:pt>
                <c:pt idx="115">
                  <c:v>463.55099387025001</c:v>
                </c:pt>
                <c:pt idx="116">
                  <c:v>463.24721326577003</c:v>
                </c:pt>
                <c:pt idx="117">
                  <c:v>464.97906317541998</c:v>
                </c:pt>
                <c:pt idx="118">
                  <c:v>463.42362257732998</c:v>
                </c:pt>
                <c:pt idx="119">
                  <c:v>466.17423378095998</c:v>
                </c:pt>
                <c:pt idx="120">
                  <c:v>462.64280551323003</c:v>
                </c:pt>
                <c:pt idx="121">
                  <c:v>462.36298409098993</c:v>
                </c:pt>
                <c:pt idx="122">
                  <c:v>463.30746554228006</c:v>
                </c:pt>
                <c:pt idx="123">
                  <c:v>463.64644438931998</c:v>
                </c:pt>
                <c:pt idx="124">
                  <c:v>463.66250575772006</c:v>
                </c:pt>
                <c:pt idx="125">
                  <c:v>461.50558409807996</c:v>
                </c:pt>
                <c:pt idx="126">
                  <c:v>463.80056337029998</c:v>
                </c:pt>
                <c:pt idx="127">
                  <c:v>461.94022605676003</c:v>
                </c:pt>
                <c:pt idx="128">
                  <c:v>461.15497289444994</c:v>
                </c:pt>
                <c:pt idx="129">
                  <c:v>461.19398008715996</c:v>
                </c:pt>
                <c:pt idx="130">
                  <c:v>460.99463203770006</c:v>
                </c:pt>
                <c:pt idx="131">
                  <c:v>460.54360273535997</c:v>
                </c:pt>
                <c:pt idx="132">
                  <c:v>460.03298373666996</c:v>
                </c:pt>
                <c:pt idx="133">
                  <c:v>461.00555220919</c:v>
                </c:pt>
                <c:pt idx="134">
                  <c:v>460.11113276404996</c:v>
                </c:pt>
                <c:pt idx="135">
                  <c:v>459.33082946533</c:v>
                </c:pt>
                <c:pt idx="136">
                  <c:v>458.49243879106007</c:v>
                </c:pt>
                <c:pt idx="137">
                  <c:v>459.73257981080002</c:v>
                </c:pt>
                <c:pt idx="138">
                  <c:v>453.23002869999993</c:v>
                </c:pt>
                <c:pt idx="139">
                  <c:v>454.05955072104001</c:v>
                </c:pt>
                <c:pt idx="140">
                  <c:v>455.19515288949003</c:v>
                </c:pt>
                <c:pt idx="141">
                  <c:v>457.16914573220993</c:v>
                </c:pt>
                <c:pt idx="142">
                  <c:v>455.43537185983007</c:v>
                </c:pt>
                <c:pt idx="143">
                  <c:v>455.01359175140999</c:v>
                </c:pt>
                <c:pt idx="144">
                  <c:v>458.53145307018997</c:v>
                </c:pt>
                <c:pt idx="145">
                  <c:v>459.64603337702999</c:v>
                </c:pt>
                <c:pt idx="146">
                  <c:v>459.12012897282005</c:v>
                </c:pt>
                <c:pt idx="147">
                  <c:v>457.30125429613997</c:v>
                </c:pt>
                <c:pt idx="148">
                  <c:v>458.35578074620003</c:v>
                </c:pt>
                <c:pt idx="149">
                  <c:v>458.34302873543004</c:v>
                </c:pt>
                <c:pt idx="150">
                  <c:v>458.65316940085006</c:v>
                </c:pt>
                <c:pt idx="151">
                  <c:v>458.40155546894005</c:v>
                </c:pt>
                <c:pt idx="152">
                  <c:v>457.51837508415008</c:v>
                </c:pt>
                <c:pt idx="153">
                  <c:v>457.83754384721999</c:v>
                </c:pt>
                <c:pt idx="154">
                  <c:v>456.76017078270002</c:v>
                </c:pt>
                <c:pt idx="155">
                  <c:v>457.26611274493001</c:v>
                </c:pt>
                <c:pt idx="156">
                  <c:v>455.23301562554991</c:v>
                </c:pt>
                <c:pt idx="157">
                  <c:v>458.87639513871994</c:v>
                </c:pt>
                <c:pt idx="158">
                  <c:v>457.95027105552003</c:v>
                </c:pt>
                <c:pt idx="159">
                  <c:v>457.46792332493999</c:v>
                </c:pt>
                <c:pt idx="160">
                  <c:v>457.45778265952998</c:v>
                </c:pt>
                <c:pt idx="161">
                  <c:v>456.29871027176006</c:v>
                </c:pt>
                <c:pt idx="162">
                  <c:v>456.30065903695998</c:v>
                </c:pt>
                <c:pt idx="163">
                  <c:v>457.67983205187005</c:v>
                </c:pt>
                <c:pt idx="164">
                  <c:v>448.51365160745996</c:v>
                </c:pt>
                <c:pt idx="165">
                  <c:v>449.37629800010995</c:v>
                </c:pt>
                <c:pt idx="166">
                  <c:v>450.89697996593998</c:v>
                </c:pt>
                <c:pt idx="167">
                  <c:v>448.67217881410994</c:v>
                </c:pt>
                <c:pt idx="168">
                  <c:v>449.96632662018999</c:v>
                </c:pt>
                <c:pt idx="169">
                  <c:v>448.38691903850997</c:v>
                </c:pt>
                <c:pt idx="170">
                  <c:v>447.96598950012003</c:v>
                </c:pt>
                <c:pt idx="171">
                  <c:v>450.02512071357</c:v>
                </c:pt>
                <c:pt idx="172">
                  <c:v>449.58784260706</c:v>
                </c:pt>
                <c:pt idx="173">
                  <c:v>448.56523800327</c:v>
                </c:pt>
                <c:pt idx="174">
                  <c:v>449.44413112566997</c:v>
                </c:pt>
                <c:pt idx="175">
                  <c:v>447.49496426879</c:v>
                </c:pt>
                <c:pt idx="176">
                  <c:v>446.95322985619998</c:v>
                </c:pt>
                <c:pt idx="177">
                  <c:v>449.38908398153001</c:v>
                </c:pt>
                <c:pt idx="178">
                  <c:v>449.25123347322</c:v>
                </c:pt>
                <c:pt idx="179">
                  <c:v>447.55588818850003</c:v>
                </c:pt>
                <c:pt idx="180">
                  <c:v>447.29823889874001</c:v>
                </c:pt>
                <c:pt idx="181">
                  <c:v>447.64469650414003</c:v>
                </c:pt>
                <c:pt idx="182">
                  <c:v>447.78339332432</c:v>
                </c:pt>
                <c:pt idx="183">
                  <c:v>446.49610029321997</c:v>
                </c:pt>
                <c:pt idx="184">
                  <c:v>446.11907362211002</c:v>
                </c:pt>
                <c:pt idx="185">
                  <c:v>447.12841290186998</c:v>
                </c:pt>
                <c:pt idx="186">
                  <c:v>448.00250206311</c:v>
                </c:pt>
                <c:pt idx="187">
                  <c:v>445.74706863554002</c:v>
                </c:pt>
                <c:pt idx="188">
                  <c:v>445.95282074693</c:v>
                </c:pt>
                <c:pt idx="189">
                  <c:v>446.61740558004004</c:v>
                </c:pt>
                <c:pt idx="190">
                  <c:v>446.64826962582998</c:v>
                </c:pt>
                <c:pt idx="191">
                  <c:v>447.17789229715999</c:v>
                </c:pt>
                <c:pt idx="192">
                  <c:v>445.43823679174</c:v>
                </c:pt>
                <c:pt idx="193">
                  <c:v>444.60391199760994</c:v>
                </c:pt>
                <c:pt idx="194">
                  <c:v>444.38021526522004</c:v>
                </c:pt>
                <c:pt idx="195">
                  <c:v>446.09052376521004</c:v>
                </c:pt>
                <c:pt idx="196">
                  <c:v>446.04236651274005</c:v>
                </c:pt>
                <c:pt idx="197">
                  <c:v>444.91232770882004</c:v>
                </c:pt>
                <c:pt idx="198">
                  <c:v>444.94658929292001</c:v>
                </c:pt>
                <c:pt idx="199">
                  <c:v>444.66851438905007</c:v>
                </c:pt>
                <c:pt idx="200">
                  <c:v>444.19538742471991</c:v>
                </c:pt>
                <c:pt idx="201">
                  <c:v>444.87012273277992</c:v>
                </c:pt>
                <c:pt idx="202">
                  <c:v>443.76171228907998</c:v>
                </c:pt>
                <c:pt idx="203">
                  <c:v>443.38498762136999</c:v>
                </c:pt>
                <c:pt idx="204">
                  <c:v>444.25110880901997</c:v>
                </c:pt>
                <c:pt idx="205">
                  <c:v>441.85411830806993</c:v>
                </c:pt>
                <c:pt idx="206">
                  <c:v>444.04608010113998</c:v>
                </c:pt>
                <c:pt idx="207">
                  <c:v>444.00557828384001</c:v>
                </c:pt>
                <c:pt idx="208">
                  <c:v>443.07636823345001</c:v>
                </c:pt>
                <c:pt idx="209">
                  <c:v>444.08903481817993</c:v>
                </c:pt>
                <c:pt idx="210">
                  <c:v>442.79867785718</c:v>
                </c:pt>
                <c:pt idx="211">
                  <c:v>442.13575579863999</c:v>
                </c:pt>
                <c:pt idx="212">
                  <c:v>442.34033150142</c:v>
                </c:pt>
                <c:pt idx="213">
                  <c:v>443.77544642074008</c:v>
                </c:pt>
                <c:pt idx="214">
                  <c:v>442.75171808332993</c:v>
                </c:pt>
                <c:pt idx="215">
                  <c:v>441.87756922374001</c:v>
                </c:pt>
                <c:pt idx="216">
                  <c:v>441.69172124383005</c:v>
                </c:pt>
                <c:pt idx="217">
                  <c:v>442.31862237282996</c:v>
                </c:pt>
                <c:pt idx="218">
                  <c:v>441.35481361824998</c:v>
                </c:pt>
                <c:pt idx="219">
                  <c:v>442.92954541464002</c:v>
                </c:pt>
                <c:pt idx="220">
                  <c:v>441.54196442680995</c:v>
                </c:pt>
                <c:pt idx="221">
                  <c:v>442.32110161010002</c:v>
                </c:pt>
                <c:pt idx="222">
                  <c:v>442.28209049566999</c:v>
                </c:pt>
                <c:pt idx="223">
                  <c:v>442.80234579389997</c:v>
                </c:pt>
                <c:pt idx="224">
                  <c:v>444.20038803926002</c:v>
                </c:pt>
                <c:pt idx="225">
                  <c:v>442.59603883903998</c:v>
                </c:pt>
                <c:pt idx="226">
                  <c:v>441.0459062736</c:v>
                </c:pt>
                <c:pt idx="227">
                  <c:v>442.07355012027995</c:v>
                </c:pt>
                <c:pt idx="228">
                  <c:v>440.06310115357996</c:v>
                </c:pt>
                <c:pt idx="229">
                  <c:v>441.04073709902002</c:v>
                </c:pt>
                <c:pt idx="230">
                  <c:v>442.35356697628004</c:v>
                </c:pt>
                <c:pt idx="231">
                  <c:v>441.37506891647996</c:v>
                </c:pt>
                <c:pt idx="232">
                  <c:v>440.51543729039003</c:v>
                </c:pt>
                <c:pt idx="233">
                  <c:v>441.18810949380008</c:v>
                </c:pt>
                <c:pt idx="234">
                  <c:v>442.64185029760995</c:v>
                </c:pt>
                <c:pt idx="235">
                  <c:v>441.46978210103003</c:v>
                </c:pt>
                <c:pt idx="236">
                  <c:v>440.88251365160005</c:v>
                </c:pt>
                <c:pt idx="237">
                  <c:v>440.71168682949002</c:v>
                </c:pt>
                <c:pt idx="238">
                  <c:v>440.93128544590002</c:v>
                </c:pt>
                <c:pt idx="239">
                  <c:v>439.83581900866</c:v>
                </c:pt>
                <c:pt idx="240">
                  <c:v>438.36265166013999</c:v>
                </c:pt>
                <c:pt idx="241">
                  <c:v>439.03293944128995</c:v>
                </c:pt>
                <c:pt idx="242">
                  <c:v>437.44597650693993</c:v>
                </c:pt>
                <c:pt idx="243">
                  <c:v>439.80092532438994</c:v>
                </c:pt>
                <c:pt idx="244">
                  <c:v>440.63197022105999</c:v>
                </c:pt>
                <c:pt idx="245">
                  <c:v>438.79857601881997</c:v>
                </c:pt>
                <c:pt idx="246">
                  <c:v>438.86568047336993</c:v>
                </c:pt>
                <c:pt idx="247">
                  <c:v>439.68595859743994</c:v>
                </c:pt>
                <c:pt idx="248">
                  <c:v>438.79679735923003</c:v>
                </c:pt>
                <c:pt idx="249">
                  <c:v>437.67616280089999</c:v>
                </c:pt>
                <c:pt idx="250">
                  <c:v>439.53164714765001</c:v>
                </c:pt>
                <c:pt idx="251">
                  <c:v>438.25342475374998</c:v>
                </c:pt>
                <c:pt idx="252">
                  <c:v>437.79042192684994</c:v>
                </c:pt>
                <c:pt idx="253">
                  <c:v>437.16374554457002</c:v>
                </c:pt>
                <c:pt idx="254">
                  <c:v>438.43799097502006</c:v>
                </c:pt>
                <c:pt idx="255">
                  <c:v>436.17192246237994</c:v>
                </c:pt>
                <c:pt idx="256">
                  <c:v>438.43944480536993</c:v>
                </c:pt>
                <c:pt idx="257">
                  <c:v>434.93206328025002</c:v>
                </c:pt>
                <c:pt idx="258">
                  <c:v>436.02373536072992</c:v>
                </c:pt>
                <c:pt idx="259">
                  <c:v>436.44226818604</c:v>
                </c:pt>
                <c:pt idx="260">
                  <c:v>435.25888715257003</c:v>
                </c:pt>
                <c:pt idx="261">
                  <c:v>436.09130511122999</c:v>
                </c:pt>
                <c:pt idx="262">
                  <c:v>434.31778659596</c:v>
                </c:pt>
                <c:pt idx="263">
                  <c:v>435.15826207573997</c:v>
                </c:pt>
                <c:pt idx="264">
                  <c:v>434.25875019753005</c:v>
                </c:pt>
                <c:pt idx="265">
                  <c:v>437.05059259390003</c:v>
                </c:pt>
                <c:pt idx="266">
                  <c:v>437.91989008480994</c:v>
                </c:pt>
                <c:pt idx="267">
                  <c:v>435.24217688269005</c:v>
                </c:pt>
                <c:pt idx="268">
                  <c:v>437.3870331677</c:v>
                </c:pt>
                <c:pt idx="269">
                  <c:v>436.98010464769004</c:v>
                </c:pt>
                <c:pt idx="270">
                  <c:v>434.68723508858</c:v>
                </c:pt>
                <c:pt idx="271">
                  <c:v>435.28440292873006</c:v>
                </c:pt>
                <c:pt idx="272">
                  <c:v>434.65311221533</c:v>
                </c:pt>
                <c:pt idx="273">
                  <c:v>434.92717328323999</c:v>
                </c:pt>
                <c:pt idx="274">
                  <c:v>434.78282443417999</c:v>
                </c:pt>
                <c:pt idx="275">
                  <c:v>434.88347584849998</c:v>
                </c:pt>
                <c:pt idx="276">
                  <c:v>435.75584078099007</c:v>
                </c:pt>
                <c:pt idx="277">
                  <c:v>434.83565571611996</c:v>
                </c:pt>
                <c:pt idx="278">
                  <c:v>434.14011202219001</c:v>
                </c:pt>
                <c:pt idx="279">
                  <c:v>433.80647200322994</c:v>
                </c:pt>
                <c:pt idx="280">
                  <c:v>433.53620880375001</c:v>
                </c:pt>
                <c:pt idx="281">
                  <c:v>432.66789457974005</c:v>
                </c:pt>
                <c:pt idx="282">
                  <c:v>433.62731901743996</c:v>
                </c:pt>
                <c:pt idx="283">
                  <c:v>432.78784963039004</c:v>
                </c:pt>
                <c:pt idx="284">
                  <c:v>431.81680859656001</c:v>
                </c:pt>
                <c:pt idx="285">
                  <c:v>431.37333415272008</c:v>
                </c:pt>
                <c:pt idx="286">
                  <c:v>435.25061717557003</c:v>
                </c:pt>
                <c:pt idx="287">
                  <c:v>434.11456639684991</c:v>
                </c:pt>
                <c:pt idx="288">
                  <c:v>434.40174178709003</c:v>
                </c:pt>
                <c:pt idx="289">
                  <c:v>435.08197461064992</c:v>
                </c:pt>
                <c:pt idx="290">
                  <c:v>435.33772935578008</c:v>
                </c:pt>
                <c:pt idx="291">
                  <c:v>436.36388952293998</c:v>
                </c:pt>
                <c:pt idx="292">
                  <c:v>434.74631713868996</c:v>
                </c:pt>
                <c:pt idx="293">
                  <c:v>436.15052938387998</c:v>
                </c:pt>
                <c:pt idx="294">
                  <c:v>433.19181430303001</c:v>
                </c:pt>
                <c:pt idx="295">
                  <c:v>434.42864818358998</c:v>
                </c:pt>
                <c:pt idx="296">
                  <c:v>432.63549944690999</c:v>
                </c:pt>
                <c:pt idx="297">
                  <c:v>433.76339613365008</c:v>
                </c:pt>
                <c:pt idx="298">
                  <c:v>433.63707969728995</c:v>
                </c:pt>
                <c:pt idx="299">
                  <c:v>434.34511614841006</c:v>
                </c:pt>
                <c:pt idx="300">
                  <c:v>433.70812248696006</c:v>
                </c:pt>
                <c:pt idx="301">
                  <c:v>432.35623057609007</c:v>
                </c:pt>
                <c:pt idx="302">
                  <c:v>433.82383544325995</c:v>
                </c:pt>
                <c:pt idx="303">
                  <c:v>432.22369673239007</c:v>
                </c:pt>
                <c:pt idx="304">
                  <c:v>432.89199690972998</c:v>
                </c:pt>
                <c:pt idx="305">
                  <c:v>432.89213210893001</c:v>
                </c:pt>
                <c:pt idx="306">
                  <c:v>432.9023352589</c:v>
                </c:pt>
                <c:pt idx="307">
                  <c:v>433.61701929661001</c:v>
                </c:pt>
                <c:pt idx="308">
                  <c:v>432.22954892630992</c:v>
                </c:pt>
                <c:pt idx="309">
                  <c:v>433.43752567906995</c:v>
                </c:pt>
                <c:pt idx="310">
                  <c:v>431.26138570399996</c:v>
                </c:pt>
                <c:pt idx="311">
                  <c:v>434.47392762453001</c:v>
                </c:pt>
                <c:pt idx="312">
                  <c:v>430.42395132827994</c:v>
                </c:pt>
                <c:pt idx="313">
                  <c:v>431.46266746265002</c:v>
                </c:pt>
                <c:pt idx="314">
                  <c:v>431.89414253858001</c:v>
                </c:pt>
                <c:pt idx="315">
                  <c:v>432.66049900795997</c:v>
                </c:pt>
                <c:pt idx="316">
                  <c:v>431.12173195441994</c:v>
                </c:pt>
                <c:pt idx="317">
                  <c:v>431.52689761732995</c:v>
                </c:pt>
                <c:pt idx="318">
                  <c:v>431.237948835</c:v>
                </c:pt>
                <c:pt idx="319">
                  <c:v>432.57573964497004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'240823A002'!$A$2:$A$321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'240823A002'!$P$2:$P$321</c:f>
              <c:numCache>
                <c:formatCode>General</c:formatCode>
                <c:ptCount val="320"/>
                <c:pt idx="0">
                  <c:v>4.6777824011759899</c:v>
                </c:pt>
                <c:pt idx="1">
                  <c:v>4.0340866047103603</c:v>
                </c:pt>
                <c:pt idx="2">
                  <c:v>3.7629627072213845</c:v>
                </c:pt>
                <c:pt idx="3">
                  <c:v>2.8919949726814793</c:v>
                </c:pt>
                <c:pt idx="4">
                  <c:v>2.2607773534534097</c:v>
                </c:pt>
                <c:pt idx="5">
                  <c:v>0.54780195510354124</c:v>
                </c:pt>
                <c:pt idx="6">
                  <c:v>-8.4065816522044048E-2</c:v>
                </c:pt>
                <c:pt idx="7">
                  <c:v>-0.48308120577509805</c:v>
                </c:pt>
                <c:pt idx="8">
                  <c:v>-1.9696924054153118</c:v>
                </c:pt>
                <c:pt idx="9">
                  <c:v>-2.2586090889059354</c:v>
                </c:pt>
                <c:pt idx="10">
                  <c:v>-2.2359207404837815</c:v>
                </c:pt>
                <c:pt idx="11">
                  <c:v>-2.8842035144576026</c:v>
                </c:pt>
                <c:pt idx="12">
                  <c:v>-2.1675126872534034</c:v>
                </c:pt>
                <c:pt idx="13">
                  <c:v>-2.5682077817811191</c:v>
                </c:pt>
                <c:pt idx="14">
                  <c:v>-2.7557896935456538</c:v>
                </c:pt>
                <c:pt idx="15">
                  <c:v>-3.1897820130007006</c:v>
                </c:pt>
                <c:pt idx="16">
                  <c:v>-2.5952582179207764</c:v>
                </c:pt>
                <c:pt idx="17">
                  <c:v>-4.0831945349752594</c:v>
                </c:pt>
                <c:pt idx="18">
                  <c:v>-4.5792413458890753</c:v>
                </c:pt>
                <c:pt idx="19">
                  <c:v>-3.3804770729826621</c:v>
                </c:pt>
                <c:pt idx="20">
                  <c:v>-3.2211562024654286</c:v>
                </c:pt>
                <c:pt idx="21">
                  <c:v>-3.3397081989599862</c:v>
                </c:pt>
                <c:pt idx="22">
                  <c:v>-3.4789308250141469</c:v>
                </c:pt>
                <c:pt idx="23">
                  <c:v>-4.0760836245118641</c:v>
                </c:pt>
                <c:pt idx="24">
                  <c:v>-3.8986726375947458</c:v>
                </c:pt>
                <c:pt idx="25">
                  <c:v>-3.5600194445296531</c:v>
                </c:pt>
                <c:pt idx="26">
                  <c:v>-4.3616284290145755</c:v>
                </c:pt>
                <c:pt idx="27">
                  <c:v>-4.4314636785729862</c:v>
                </c:pt>
                <c:pt idx="28">
                  <c:v>-4.4007578774605953</c:v>
                </c:pt>
                <c:pt idx="29">
                  <c:v>-4.8868591483369226</c:v>
                </c:pt>
                <c:pt idx="30">
                  <c:v>-5.009578303332721</c:v>
                </c:pt>
                <c:pt idx="31">
                  <c:v>-4.6674538867324866</c:v>
                </c:pt>
                <c:pt idx="32">
                  <c:v>-5.3956105020478669</c:v>
                </c:pt>
                <c:pt idx="33">
                  <c:v>-3.7484233419019901</c:v>
                </c:pt>
                <c:pt idx="34">
                  <c:v>-4.446823864558743</c:v>
                </c:pt>
                <c:pt idx="35">
                  <c:v>-4.7906114732286991</c:v>
                </c:pt>
                <c:pt idx="36">
                  <c:v>-3.6094563979171275</c:v>
                </c:pt>
                <c:pt idx="37">
                  <c:v>-4.4774112816758729</c:v>
                </c:pt>
                <c:pt idx="38">
                  <c:v>-4.1765830819453384</c:v>
                </c:pt>
                <c:pt idx="39">
                  <c:v>-4.0608201728318383</c:v>
                </c:pt>
                <c:pt idx="40">
                  <c:v>-3.7291596475219633</c:v>
                </c:pt>
                <c:pt idx="41">
                  <c:v>-3.8759526185714819</c:v>
                </c:pt>
                <c:pt idx="42">
                  <c:v>-3.5156266454202432</c:v>
                </c:pt>
                <c:pt idx="43">
                  <c:v>-4.1478663329928889</c:v>
                </c:pt>
                <c:pt idx="44">
                  <c:v>-3.4362540747862491</c:v>
                </c:pt>
                <c:pt idx="45">
                  <c:v>-3.7395567289958396</c:v>
                </c:pt>
                <c:pt idx="46">
                  <c:v>-3.6051322815947833</c:v>
                </c:pt>
                <c:pt idx="47">
                  <c:v>-3.0748421445722269</c:v>
                </c:pt>
                <c:pt idx="48">
                  <c:v>-3.5509546162919881</c:v>
                </c:pt>
                <c:pt idx="49">
                  <c:v>-3.2684704918076206</c:v>
                </c:pt>
                <c:pt idx="50">
                  <c:v>-2.7885950843485321</c:v>
                </c:pt>
                <c:pt idx="51">
                  <c:v>-3.4985327111863405</c:v>
                </c:pt>
                <c:pt idx="52">
                  <c:v>-2.2443226954944797</c:v>
                </c:pt>
                <c:pt idx="53">
                  <c:v>-2.4031350258166255</c:v>
                </c:pt>
                <c:pt idx="54">
                  <c:v>-2.9420441907164534</c:v>
                </c:pt>
                <c:pt idx="55">
                  <c:v>-2.7265160427341213</c:v>
                </c:pt>
                <c:pt idx="56">
                  <c:v>-1.9574950479782509</c:v>
                </c:pt>
                <c:pt idx="57">
                  <c:v>-1.786590050597171</c:v>
                </c:pt>
                <c:pt idx="58">
                  <c:v>-1.8761917261518601</c:v>
                </c:pt>
                <c:pt idx="59">
                  <c:v>-1.1467570441917847</c:v>
                </c:pt>
                <c:pt idx="60">
                  <c:v>-0.74657481285238769</c:v>
                </c:pt>
                <c:pt idx="61">
                  <c:v>-1.5669749650374925</c:v>
                </c:pt>
                <c:pt idx="62">
                  <c:v>-1.4659437505148121</c:v>
                </c:pt>
                <c:pt idx="63">
                  <c:v>-0.73659578837231787</c:v>
                </c:pt>
                <c:pt idx="64">
                  <c:v>-0.84398839868586617</c:v>
                </c:pt>
                <c:pt idx="65">
                  <c:v>-0.12541128874152702</c:v>
                </c:pt>
                <c:pt idx="66">
                  <c:v>-0.97671662294008788</c:v>
                </c:pt>
                <c:pt idx="67">
                  <c:v>-0.31172260455551842</c:v>
                </c:pt>
                <c:pt idx="68">
                  <c:v>0.44810311914031054</c:v>
                </c:pt>
                <c:pt idx="69">
                  <c:v>-0.46290677678811465</c:v>
                </c:pt>
                <c:pt idx="70">
                  <c:v>-0.44048572937001845</c:v>
                </c:pt>
                <c:pt idx="71">
                  <c:v>-0.13690757652310917</c:v>
                </c:pt>
                <c:pt idx="72">
                  <c:v>0.21618479879177768</c:v>
                </c:pt>
                <c:pt idx="73">
                  <c:v>0.69624817954777551</c:v>
                </c:pt>
                <c:pt idx="74">
                  <c:v>0.72972274521749136</c:v>
                </c:pt>
                <c:pt idx="75">
                  <c:v>1.1423937236101482</c:v>
                </c:pt>
                <c:pt idx="76">
                  <c:v>1.1804474292242053</c:v>
                </c:pt>
                <c:pt idx="77">
                  <c:v>0.93651275190503769</c:v>
                </c:pt>
                <c:pt idx="78">
                  <c:v>0.84721808205158955</c:v>
                </c:pt>
                <c:pt idx="79">
                  <c:v>1.6173974848931598</c:v>
                </c:pt>
                <c:pt idx="80">
                  <c:v>1.6599801070529416</c:v>
                </c:pt>
                <c:pt idx="81">
                  <c:v>1.6787489135268032</c:v>
                </c:pt>
                <c:pt idx="82">
                  <c:v>1.5387016654136987</c:v>
                </c:pt>
                <c:pt idx="83">
                  <c:v>1.4951330788119375</c:v>
                </c:pt>
                <c:pt idx="84">
                  <c:v>1.7685246941046791</c:v>
                </c:pt>
                <c:pt idx="85">
                  <c:v>4.1089512560396502</c:v>
                </c:pt>
                <c:pt idx="86">
                  <c:v>14.299022907766442</c:v>
                </c:pt>
                <c:pt idx="87">
                  <c:v>17.407828287799767</c:v>
                </c:pt>
                <c:pt idx="88">
                  <c:v>17.069460467134359</c:v>
                </c:pt>
                <c:pt idx="89">
                  <c:v>12.267078599239932</c:v>
                </c:pt>
                <c:pt idx="90">
                  <c:v>9.3398555321797243</c:v>
                </c:pt>
                <c:pt idx="91">
                  <c:v>7.2824703186119972</c:v>
                </c:pt>
                <c:pt idx="92">
                  <c:v>6.6634528470989771</c:v>
                </c:pt>
                <c:pt idx="93">
                  <c:v>5.8072751126925013</c:v>
                </c:pt>
                <c:pt idx="94">
                  <c:v>5.7554117469016681</c:v>
                </c:pt>
                <c:pt idx="95">
                  <c:v>6.5862692761296433</c:v>
                </c:pt>
                <c:pt idx="96">
                  <c:v>6.8791666312977808</c:v>
                </c:pt>
                <c:pt idx="97">
                  <c:v>5.990092794033866</c:v>
                </c:pt>
                <c:pt idx="98">
                  <c:v>6.9578837526020978</c:v>
                </c:pt>
                <c:pt idx="99">
                  <c:v>5.9080815507133728</c:v>
                </c:pt>
                <c:pt idx="100">
                  <c:v>5.9237398242714328</c:v>
                </c:pt>
                <c:pt idx="101">
                  <c:v>6.1196791172377907</c:v>
                </c:pt>
                <c:pt idx="102">
                  <c:v>6.1519329123984168</c:v>
                </c:pt>
                <c:pt idx="103">
                  <c:v>5.2055461198041453</c:v>
                </c:pt>
                <c:pt idx="104">
                  <c:v>6.5965584133164352</c:v>
                </c:pt>
                <c:pt idx="105">
                  <c:v>5.9042104484614297</c:v>
                </c:pt>
                <c:pt idx="106">
                  <c:v>5.6119441797375504</c:v>
                </c:pt>
                <c:pt idx="107">
                  <c:v>5.6807105969649685</c:v>
                </c:pt>
                <c:pt idx="108">
                  <c:v>6.4553198285871725</c:v>
                </c:pt>
                <c:pt idx="109">
                  <c:v>7.1571846447696794</c:v>
                </c:pt>
                <c:pt idx="110">
                  <c:v>6.1038179638133858</c:v>
                </c:pt>
                <c:pt idx="111">
                  <c:v>5.7355460026922582</c:v>
                </c:pt>
                <c:pt idx="112">
                  <c:v>6.0645340439971331</c:v>
                </c:pt>
                <c:pt idx="113">
                  <c:v>6.0814537834491889</c:v>
                </c:pt>
                <c:pt idx="114">
                  <c:v>6.242717809146149</c:v>
                </c:pt>
                <c:pt idx="115">
                  <c:v>6.1869311179323612</c:v>
                </c:pt>
                <c:pt idx="116">
                  <c:v>5.5186417404661743</c:v>
                </c:pt>
                <c:pt idx="117">
                  <c:v>5.3582530780508471</c:v>
                </c:pt>
                <c:pt idx="118">
                  <c:v>6.4256182029225561</c:v>
                </c:pt>
                <c:pt idx="119">
                  <c:v>5.3291747842157333</c:v>
                </c:pt>
                <c:pt idx="120">
                  <c:v>6.7062586213179429</c:v>
                </c:pt>
                <c:pt idx="121">
                  <c:v>6.8750463617719939</c:v>
                </c:pt>
                <c:pt idx="122">
                  <c:v>5.8767904403197857</c:v>
                </c:pt>
                <c:pt idx="123">
                  <c:v>5.7799148069114246</c:v>
                </c:pt>
                <c:pt idx="124">
                  <c:v>6.1711589398712716</c:v>
                </c:pt>
                <c:pt idx="125">
                  <c:v>6.8426960295320693</c:v>
                </c:pt>
                <c:pt idx="126">
                  <c:v>5.615371795310665</c:v>
                </c:pt>
                <c:pt idx="127">
                  <c:v>6.79414846299579</c:v>
                </c:pt>
                <c:pt idx="128">
                  <c:v>7.0501585945017569</c:v>
                </c:pt>
                <c:pt idx="129">
                  <c:v>6.8061031257276303</c:v>
                </c:pt>
                <c:pt idx="130">
                  <c:v>5.7994997936696819</c:v>
                </c:pt>
                <c:pt idx="131">
                  <c:v>5.4575451999413893</c:v>
                </c:pt>
                <c:pt idx="132">
                  <c:v>6.2552371135071487</c:v>
                </c:pt>
                <c:pt idx="133">
                  <c:v>5.7600816401087034</c:v>
                </c:pt>
                <c:pt idx="134">
                  <c:v>5.2814298901344809</c:v>
                </c:pt>
                <c:pt idx="135">
                  <c:v>5.6499416541851595</c:v>
                </c:pt>
                <c:pt idx="136">
                  <c:v>5.9563843088750126</c:v>
                </c:pt>
                <c:pt idx="137">
                  <c:v>5.0299033506814421</c:v>
                </c:pt>
                <c:pt idx="138">
                  <c:v>6.3957886819966694</c:v>
                </c:pt>
                <c:pt idx="139">
                  <c:v>6.0960596035718577</c:v>
                </c:pt>
                <c:pt idx="140">
                  <c:v>6.3531835133058756</c:v>
                </c:pt>
                <c:pt idx="141">
                  <c:v>5.1503435024636826</c:v>
                </c:pt>
                <c:pt idx="142">
                  <c:v>6.715260646732597</c:v>
                </c:pt>
                <c:pt idx="143">
                  <c:v>6.1992677583591167</c:v>
                </c:pt>
                <c:pt idx="144">
                  <c:v>5.603855367312268</c:v>
                </c:pt>
                <c:pt idx="145">
                  <c:v>6.1196555708513269</c:v>
                </c:pt>
                <c:pt idx="146">
                  <c:v>6.4376673826046389</c:v>
                </c:pt>
                <c:pt idx="147">
                  <c:v>5.7943355076740675</c:v>
                </c:pt>
                <c:pt idx="148">
                  <c:v>5.7329504477913211</c:v>
                </c:pt>
                <c:pt idx="149">
                  <c:v>6.013213531984432</c:v>
                </c:pt>
                <c:pt idx="150">
                  <c:v>5.9660742360971364</c:v>
                </c:pt>
                <c:pt idx="151">
                  <c:v>5.7672585905235136</c:v>
                </c:pt>
                <c:pt idx="152">
                  <c:v>6.0709146406335739</c:v>
                </c:pt>
                <c:pt idx="153">
                  <c:v>5.9089444391624939</c:v>
                </c:pt>
                <c:pt idx="154">
                  <c:v>6.8179860433761661</c:v>
                </c:pt>
                <c:pt idx="155">
                  <c:v>6.7716051963684532</c:v>
                </c:pt>
                <c:pt idx="156">
                  <c:v>7.7590384938481831</c:v>
                </c:pt>
                <c:pt idx="157">
                  <c:v>5.8672975086201831</c:v>
                </c:pt>
                <c:pt idx="158">
                  <c:v>6.5445455904962886</c:v>
                </c:pt>
                <c:pt idx="159">
                  <c:v>6.7986746663878508</c:v>
                </c:pt>
                <c:pt idx="160">
                  <c:v>5.8446163643840015</c:v>
                </c:pt>
                <c:pt idx="161">
                  <c:v>7.2835568067653744</c:v>
                </c:pt>
                <c:pt idx="162">
                  <c:v>5.927472326450129</c:v>
                </c:pt>
                <c:pt idx="163">
                  <c:v>5.9761613809963521</c:v>
                </c:pt>
                <c:pt idx="164">
                  <c:v>6.4188248003236525</c:v>
                </c:pt>
                <c:pt idx="165">
                  <c:v>5.6978011950697729</c:v>
                </c:pt>
                <c:pt idx="166">
                  <c:v>6.1984004529311774</c:v>
                </c:pt>
                <c:pt idx="167">
                  <c:v>6.487469948421694</c:v>
                </c:pt>
                <c:pt idx="168">
                  <c:v>5.6047975935358059</c:v>
                </c:pt>
                <c:pt idx="169">
                  <c:v>6.4234830239965905</c:v>
                </c:pt>
                <c:pt idx="170">
                  <c:v>6.7875180790620311</c:v>
                </c:pt>
                <c:pt idx="171">
                  <c:v>6.6748690669965178</c:v>
                </c:pt>
                <c:pt idx="172">
                  <c:v>6.7705225196620988</c:v>
                </c:pt>
                <c:pt idx="173">
                  <c:v>7.0160922072521714</c:v>
                </c:pt>
                <c:pt idx="174">
                  <c:v>5.9060273992332935</c:v>
                </c:pt>
                <c:pt idx="175">
                  <c:v>6.369820782523548</c:v>
                </c:pt>
                <c:pt idx="176">
                  <c:v>6.7304923185141972</c:v>
                </c:pt>
                <c:pt idx="177">
                  <c:v>6.6590751051559218</c:v>
                </c:pt>
                <c:pt idx="178">
                  <c:v>6.8054791878167888</c:v>
                </c:pt>
                <c:pt idx="179">
                  <c:v>7.060824427512828</c:v>
                </c:pt>
                <c:pt idx="180">
                  <c:v>7.3848876155978846</c:v>
                </c:pt>
                <c:pt idx="181">
                  <c:v>5.7827309593972682</c:v>
                </c:pt>
                <c:pt idx="182">
                  <c:v>6.2940519314616967</c:v>
                </c:pt>
                <c:pt idx="183">
                  <c:v>8.0947576228742051</c:v>
                </c:pt>
                <c:pt idx="184">
                  <c:v>7.6672829699367009</c:v>
                </c:pt>
                <c:pt idx="185">
                  <c:v>6.8098405365583261</c:v>
                </c:pt>
                <c:pt idx="186">
                  <c:v>6.4319404488964809</c:v>
                </c:pt>
                <c:pt idx="187">
                  <c:v>5.9267586856389158</c:v>
                </c:pt>
                <c:pt idx="188">
                  <c:v>7.3137718087552592</c:v>
                </c:pt>
                <c:pt idx="189">
                  <c:v>5.9613822888066599</c:v>
                </c:pt>
                <c:pt idx="190">
                  <c:v>7.1753574451146722</c:v>
                </c:pt>
                <c:pt idx="191">
                  <c:v>6.5086166834479933</c:v>
                </c:pt>
                <c:pt idx="192">
                  <c:v>6.2047443712188528</c:v>
                </c:pt>
                <c:pt idx="193">
                  <c:v>7.2551525855639012</c:v>
                </c:pt>
                <c:pt idx="194">
                  <c:v>6.6552525550916757</c:v>
                </c:pt>
                <c:pt idx="195">
                  <c:v>6.822119756446364</c:v>
                </c:pt>
                <c:pt idx="196">
                  <c:v>7.0055369455104755</c:v>
                </c:pt>
                <c:pt idx="197">
                  <c:v>7.637641012711013</c:v>
                </c:pt>
                <c:pt idx="198">
                  <c:v>6.8739166452716454</c:v>
                </c:pt>
                <c:pt idx="199">
                  <c:v>7.0787441640879383</c:v>
                </c:pt>
                <c:pt idx="200">
                  <c:v>6.8946952751693251</c:v>
                </c:pt>
                <c:pt idx="201">
                  <c:v>7.4611313483316444</c:v>
                </c:pt>
                <c:pt idx="202">
                  <c:v>6.3944579868603704</c:v>
                </c:pt>
                <c:pt idx="203">
                  <c:v>7.2719463690911441</c:v>
                </c:pt>
                <c:pt idx="204">
                  <c:v>7.0249038824152148</c:v>
                </c:pt>
                <c:pt idx="205">
                  <c:v>7.4196036844625155</c:v>
                </c:pt>
                <c:pt idx="206">
                  <c:v>6.9095923346026265</c:v>
                </c:pt>
                <c:pt idx="207">
                  <c:v>7.4721073982286059</c:v>
                </c:pt>
                <c:pt idx="208">
                  <c:v>7.0989418056095435</c:v>
                </c:pt>
                <c:pt idx="209">
                  <c:v>6.4550617727604713</c:v>
                </c:pt>
                <c:pt idx="210">
                  <c:v>7.1027502173094472</c:v>
                </c:pt>
                <c:pt idx="211">
                  <c:v>7.8200826790148907</c:v>
                </c:pt>
                <c:pt idx="212">
                  <c:v>7.9957374530255851</c:v>
                </c:pt>
                <c:pt idx="213">
                  <c:v>6.8583285910769192</c:v>
                </c:pt>
                <c:pt idx="214">
                  <c:v>7.4792058558252617</c:v>
                </c:pt>
                <c:pt idx="215">
                  <c:v>8.1855665773078989</c:v>
                </c:pt>
                <c:pt idx="216">
                  <c:v>7.9032686214369692</c:v>
                </c:pt>
                <c:pt idx="217">
                  <c:v>8.204778856418832</c:v>
                </c:pt>
                <c:pt idx="218">
                  <c:v>8.1895747868344841</c:v>
                </c:pt>
                <c:pt idx="219">
                  <c:v>7.4326456996481607</c:v>
                </c:pt>
                <c:pt idx="220">
                  <c:v>8.307037398066111</c:v>
                </c:pt>
                <c:pt idx="221">
                  <c:v>8.9188818057878478</c:v>
                </c:pt>
                <c:pt idx="222">
                  <c:v>8.6829015507439227</c:v>
                </c:pt>
                <c:pt idx="223">
                  <c:v>8.5450322842140505</c:v>
                </c:pt>
                <c:pt idx="224">
                  <c:v>8.6867754583305334</c:v>
                </c:pt>
                <c:pt idx="225">
                  <c:v>9.1298366401289091</c:v>
                </c:pt>
                <c:pt idx="226">
                  <c:v>8.8991122213905722</c:v>
                </c:pt>
                <c:pt idx="227">
                  <c:v>8.3407474606720822</c:v>
                </c:pt>
                <c:pt idx="228">
                  <c:v>8.9365008882165426</c:v>
                </c:pt>
                <c:pt idx="229">
                  <c:v>8.1324500580720169</c:v>
                </c:pt>
                <c:pt idx="230">
                  <c:v>8.0778962487699744</c:v>
                </c:pt>
                <c:pt idx="231">
                  <c:v>8.4030985805898482</c:v>
                </c:pt>
                <c:pt idx="232">
                  <c:v>9.6244855388312587</c:v>
                </c:pt>
                <c:pt idx="233">
                  <c:v>8.8983981178221416</c:v>
                </c:pt>
                <c:pt idx="234">
                  <c:v>8.0677479953669149</c:v>
                </c:pt>
                <c:pt idx="235">
                  <c:v>9.2254895651857716</c:v>
                </c:pt>
                <c:pt idx="236">
                  <c:v>9.6107551387783783</c:v>
                </c:pt>
                <c:pt idx="237">
                  <c:v>8.6738918598746046</c:v>
                </c:pt>
                <c:pt idx="238">
                  <c:v>9.479009495670967</c:v>
                </c:pt>
                <c:pt idx="239">
                  <c:v>9.3268815054776688</c:v>
                </c:pt>
                <c:pt idx="240">
                  <c:v>9.64337177953451</c:v>
                </c:pt>
                <c:pt idx="241">
                  <c:v>9.5805070036485134</c:v>
                </c:pt>
                <c:pt idx="242">
                  <c:v>9.8425415685764772</c:v>
                </c:pt>
                <c:pt idx="243">
                  <c:v>9.2150583917657123</c:v>
                </c:pt>
                <c:pt idx="244">
                  <c:v>10.912876811856865</c:v>
                </c:pt>
                <c:pt idx="245">
                  <c:v>9.8891819624940904</c:v>
                </c:pt>
                <c:pt idx="246">
                  <c:v>10.020135382430023</c:v>
                </c:pt>
                <c:pt idx="247">
                  <c:v>9.5460057212183411</c:v>
                </c:pt>
                <c:pt idx="248">
                  <c:v>10.434627601992755</c:v>
                </c:pt>
                <c:pt idx="249">
                  <c:v>10.969140847115661</c:v>
                </c:pt>
                <c:pt idx="250">
                  <c:v>10.347087778549167</c:v>
                </c:pt>
                <c:pt idx="251">
                  <c:v>9.850752789844968</c:v>
                </c:pt>
                <c:pt idx="252">
                  <c:v>9.9758253285614735</c:v>
                </c:pt>
                <c:pt idx="253">
                  <c:v>10.67694330387044</c:v>
                </c:pt>
                <c:pt idx="254">
                  <c:v>10.08679962129065</c:v>
                </c:pt>
                <c:pt idx="255">
                  <c:v>9.9654705821751861</c:v>
                </c:pt>
                <c:pt idx="256">
                  <c:v>10.632019001062016</c:v>
                </c:pt>
                <c:pt idx="257">
                  <c:v>10.881517285880756</c:v>
                </c:pt>
                <c:pt idx="258">
                  <c:v>10.021957389892682</c:v>
                </c:pt>
                <c:pt idx="259">
                  <c:v>10.622626622356037</c:v>
                </c:pt>
                <c:pt idx="260">
                  <c:v>10.802061009350981</c:v>
                </c:pt>
                <c:pt idx="261">
                  <c:v>10.686467806619168</c:v>
                </c:pt>
                <c:pt idx="262">
                  <c:v>10.022274579552164</c:v>
                </c:pt>
                <c:pt idx="263">
                  <c:v>10.772195462940104</c:v>
                </c:pt>
                <c:pt idx="264">
                  <c:v>11.022892558302386</c:v>
                </c:pt>
                <c:pt idx="265">
                  <c:v>9.4822330501888885</c:v>
                </c:pt>
                <c:pt idx="266">
                  <c:v>10.163654105741154</c:v>
                </c:pt>
                <c:pt idx="267">
                  <c:v>9.732490605512842</c:v>
                </c:pt>
                <c:pt idx="268">
                  <c:v>9.7803938852841839</c:v>
                </c:pt>
                <c:pt idx="269">
                  <c:v>9.8844512720810833</c:v>
                </c:pt>
                <c:pt idx="270">
                  <c:v>9.6591106482917564</c:v>
                </c:pt>
                <c:pt idx="271">
                  <c:v>9.6541259135484996</c:v>
                </c:pt>
                <c:pt idx="272">
                  <c:v>10.369143015600949</c:v>
                </c:pt>
                <c:pt idx="273">
                  <c:v>9.7130770059914351</c:v>
                </c:pt>
                <c:pt idx="274">
                  <c:v>9.9951816473330641</c:v>
                </c:pt>
                <c:pt idx="275">
                  <c:v>9.7698190644708713</c:v>
                </c:pt>
                <c:pt idx="276">
                  <c:v>9.7891200033720693</c:v>
                </c:pt>
                <c:pt idx="277">
                  <c:v>10.001877546767336</c:v>
                </c:pt>
                <c:pt idx="278">
                  <c:v>10.351210286649227</c:v>
                </c:pt>
                <c:pt idx="279">
                  <c:v>10.057956368812805</c:v>
                </c:pt>
                <c:pt idx="280">
                  <c:v>10.041902761342641</c:v>
                </c:pt>
                <c:pt idx="281">
                  <c:v>10.378911936416529</c:v>
                </c:pt>
                <c:pt idx="282">
                  <c:v>10.066809050336973</c:v>
                </c:pt>
                <c:pt idx="283">
                  <c:v>10.091933709605849</c:v>
                </c:pt>
                <c:pt idx="284">
                  <c:v>10.127989610644452</c:v>
                </c:pt>
                <c:pt idx="285">
                  <c:v>10.492632547718092</c:v>
                </c:pt>
                <c:pt idx="286">
                  <c:v>10.278450517619229</c:v>
                </c:pt>
                <c:pt idx="287">
                  <c:v>10.105783052639616</c:v>
                </c:pt>
                <c:pt idx="288">
                  <c:v>10.069932083047307</c:v>
                </c:pt>
                <c:pt idx="289">
                  <c:v>9.6238801394871185</c:v>
                </c:pt>
                <c:pt idx="290">
                  <c:v>9.3214658940438184</c:v>
                </c:pt>
                <c:pt idx="291">
                  <c:v>9.613056688027859</c:v>
                </c:pt>
                <c:pt idx="292">
                  <c:v>11.124467637736313</c:v>
                </c:pt>
                <c:pt idx="293">
                  <c:v>10.0705243041449</c:v>
                </c:pt>
                <c:pt idx="294">
                  <c:v>10.834809287856716</c:v>
                </c:pt>
                <c:pt idx="295">
                  <c:v>9.8018113863771692</c:v>
                </c:pt>
                <c:pt idx="296">
                  <c:v>11.55548144043809</c:v>
                </c:pt>
                <c:pt idx="297">
                  <c:v>9.8078283678201075</c:v>
                </c:pt>
                <c:pt idx="298">
                  <c:v>10.194966685010572</c:v>
                </c:pt>
                <c:pt idx="299">
                  <c:v>9.8183657474927255</c:v>
                </c:pt>
                <c:pt idx="300">
                  <c:v>10.109879870776799</c:v>
                </c:pt>
                <c:pt idx="301">
                  <c:v>10.420843986444906</c:v>
                </c:pt>
                <c:pt idx="302">
                  <c:v>9.0502026702746363</c:v>
                </c:pt>
                <c:pt idx="303">
                  <c:v>10.623088484336032</c:v>
                </c:pt>
                <c:pt idx="304">
                  <c:v>9.4369719548973272</c:v>
                </c:pt>
                <c:pt idx="305">
                  <c:v>9.9092650500765043</c:v>
                </c:pt>
                <c:pt idx="306">
                  <c:v>10.311110678651808</c:v>
                </c:pt>
                <c:pt idx="307">
                  <c:v>9.8582282293948982</c:v>
                </c:pt>
                <c:pt idx="308">
                  <c:v>10.497474591818023</c:v>
                </c:pt>
                <c:pt idx="309">
                  <c:v>10.322270668960027</c:v>
                </c:pt>
                <c:pt idx="310">
                  <c:v>10.056142141948063</c:v>
                </c:pt>
                <c:pt idx="311">
                  <c:v>9.0113857039969538</c:v>
                </c:pt>
                <c:pt idx="312">
                  <c:v>9.9367200061260199</c:v>
                </c:pt>
                <c:pt idx="313">
                  <c:v>10.254456901855885</c:v>
                </c:pt>
                <c:pt idx="314">
                  <c:v>10.619158782622334</c:v>
                </c:pt>
                <c:pt idx="315">
                  <c:v>9.4241882811833477</c:v>
                </c:pt>
                <c:pt idx="316">
                  <c:v>10.279656054858883</c:v>
                </c:pt>
                <c:pt idx="317">
                  <c:v>10.219519216926393</c:v>
                </c:pt>
                <c:pt idx="318">
                  <c:v>10.377599250324106</c:v>
                </c:pt>
                <c:pt idx="319">
                  <c:v>10.67221528658458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'240823A003'!$A$2:$A$321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'240823A003'!$J$2:$J$321</c:f>
              <c:numCache>
                <c:formatCode>0.0</c:formatCode>
                <c:ptCount val="320"/>
                <c:pt idx="0">
                  <c:v>977.40679493052994</c:v>
                </c:pt>
                <c:pt idx="1">
                  <c:v>1044.1690086273202</c:v>
                </c:pt>
                <c:pt idx="2">
                  <c:v>1130.5046571995899</c:v>
                </c:pt>
                <c:pt idx="3">
                  <c:v>1116.1386146739701</c:v>
                </c:pt>
                <c:pt idx="4">
                  <c:v>955.33005611541012</c:v>
                </c:pt>
                <c:pt idx="5">
                  <c:v>960.68371108129008</c:v>
                </c:pt>
                <c:pt idx="6">
                  <c:v>926.33608255542993</c:v>
                </c:pt>
                <c:pt idx="7">
                  <c:v>754.41279767352</c:v>
                </c:pt>
                <c:pt idx="8">
                  <c:v>698.73685762512002</c:v>
                </c:pt>
                <c:pt idx="9">
                  <c:v>697.24409228641991</c:v>
                </c:pt>
                <c:pt idx="10">
                  <c:v>1158.1221707034799</c:v>
                </c:pt>
                <c:pt idx="11">
                  <c:v>1194.6423968384702</c:v>
                </c:pt>
                <c:pt idx="12">
                  <c:v>1192.9043978188802</c:v>
                </c:pt>
                <c:pt idx="13">
                  <c:v>1216.5232547913001</c:v>
                </c:pt>
                <c:pt idx="14">
                  <c:v>1233.18937942612</c:v>
                </c:pt>
                <c:pt idx="15">
                  <c:v>1202.1127196806401</c:v>
                </c:pt>
                <c:pt idx="16">
                  <c:v>1234.5529279278901</c:v>
                </c:pt>
                <c:pt idx="17">
                  <c:v>1226.78659909915</c:v>
                </c:pt>
                <c:pt idx="18">
                  <c:v>1232.88513513516</c:v>
                </c:pt>
                <c:pt idx="19">
                  <c:v>1228.2606981982399</c:v>
                </c:pt>
                <c:pt idx="20">
                  <c:v>1227.1993243243601</c:v>
                </c:pt>
                <c:pt idx="21">
                  <c:v>1228.08051801806</c:v>
                </c:pt>
                <c:pt idx="22">
                  <c:v>1223.6537162162199</c:v>
                </c:pt>
                <c:pt idx="23">
                  <c:v>1215.36202278256</c:v>
                </c:pt>
                <c:pt idx="24">
                  <c:v>1212.3306585448299</c:v>
                </c:pt>
                <c:pt idx="25">
                  <c:v>1213.5925660380201</c:v>
                </c:pt>
                <c:pt idx="26">
                  <c:v>1213.85964912283</c:v>
                </c:pt>
                <c:pt idx="27">
                  <c:v>1205.3796679744801</c:v>
                </c:pt>
                <c:pt idx="28">
                  <c:v>1207.45622734363</c:v>
                </c:pt>
                <c:pt idx="29">
                  <c:v>1206.9745206794601</c:v>
                </c:pt>
                <c:pt idx="30">
                  <c:v>1216.15392461649</c:v>
                </c:pt>
                <c:pt idx="31">
                  <c:v>1185.74363665531</c:v>
                </c:pt>
                <c:pt idx="32">
                  <c:v>1175.14685633208</c:v>
                </c:pt>
                <c:pt idx="33">
                  <c:v>1156.5074477742</c:v>
                </c:pt>
                <c:pt idx="34">
                  <c:v>1181.31719802763</c:v>
                </c:pt>
                <c:pt idx="35">
                  <c:v>1166.2762026441601</c:v>
                </c:pt>
                <c:pt idx="36">
                  <c:v>1186.3166562902602</c:v>
                </c:pt>
                <c:pt idx="37">
                  <c:v>1174.9366562011801</c:v>
                </c:pt>
                <c:pt idx="38">
                  <c:v>1172.3936612913099</c:v>
                </c:pt>
                <c:pt idx="39">
                  <c:v>1172.6271764982</c:v>
                </c:pt>
                <c:pt idx="40">
                  <c:v>1150.5665722605399</c:v>
                </c:pt>
                <c:pt idx="41">
                  <c:v>1160.52006592515</c:v>
                </c:pt>
                <c:pt idx="42">
                  <c:v>1165.3895756624499</c:v>
                </c:pt>
                <c:pt idx="43">
                  <c:v>1177.9142298035399</c:v>
                </c:pt>
                <c:pt idx="44">
                  <c:v>1161.6338750069999</c:v>
                </c:pt>
                <c:pt idx="45">
                  <c:v>1165.9895284274899</c:v>
                </c:pt>
                <c:pt idx="46">
                  <c:v>1182.9716245351101</c:v>
                </c:pt>
                <c:pt idx="47">
                  <c:v>1163.3017479656401</c:v>
                </c:pt>
                <c:pt idx="48">
                  <c:v>1188.21234304423</c:v>
                </c:pt>
                <c:pt idx="49">
                  <c:v>1182.2798308577399</c:v>
                </c:pt>
                <c:pt idx="50">
                  <c:v>1197.94398954042</c:v>
                </c:pt>
                <c:pt idx="51">
                  <c:v>1156.3646816308201</c:v>
                </c:pt>
                <c:pt idx="52">
                  <c:v>1159.9898247824199</c:v>
                </c:pt>
                <c:pt idx="53">
                  <c:v>1183.4874704986601</c:v>
                </c:pt>
                <c:pt idx="54">
                  <c:v>1195.73246129929</c:v>
                </c:pt>
                <c:pt idx="55">
                  <c:v>1163.7707150107599</c:v>
                </c:pt>
                <c:pt idx="56">
                  <c:v>1167.65406008126</c:v>
                </c:pt>
                <c:pt idx="57">
                  <c:v>1186.1964055957701</c:v>
                </c:pt>
                <c:pt idx="58">
                  <c:v>1163.2008999492898</c:v>
                </c:pt>
                <c:pt idx="59">
                  <c:v>1205.6402772490801</c:v>
                </c:pt>
                <c:pt idx="60">
                  <c:v>1216.6891060779101</c:v>
                </c:pt>
                <c:pt idx="61">
                  <c:v>1191.1021340534901</c:v>
                </c:pt>
                <c:pt idx="62">
                  <c:v>1203.38883512802</c:v>
                </c:pt>
                <c:pt idx="63">
                  <c:v>1240.3718602184099</c:v>
                </c:pt>
                <c:pt idx="64">
                  <c:v>1194.52666437624</c:v>
                </c:pt>
                <c:pt idx="65">
                  <c:v>1209.10665125384</c:v>
                </c:pt>
                <c:pt idx="66">
                  <c:v>1186.0478009241901</c:v>
                </c:pt>
                <c:pt idx="67">
                  <c:v>1168.4183738763702</c:v>
                </c:pt>
                <c:pt idx="68">
                  <c:v>1207.72815430029</c:v>
                </c:pt>
                <c:pt idx="69">
                  <c:v>1221.4127252252301</c:v>
                </c:pt>
                <c:pt idx="70">
                  <c:v>1239.1368243243301</c:v>
                </c:pt>
                <c:pt idx="71">
                  <c:v>1220.9572072072099</c:v>
                </c:pt>
                <c:pt idx="72">
                  <c:v>1177.0810810810999</c:v>
                </c:pt>
                <c:pt idx="73">
                  <c:v>1222.22626657553</c:v>
                </c:pt>
                <c:pt idx="74">
                  <c:v>1215.55960728337</c:v>
                </c:pt>
                <c:pt idx="75">
                  <c:v>1199.13319439155</c:v>
                </c:pt>
                <c:pt idx="76">
                  <c:v>1170.1449841390499</c:v>
                </c:pt>
                <c:pt idx="77">
                  <c:v>1173.94025218876</c:v>
                </c:pt>
                <c:pt idx="78">
                  <c:v>1178.5803771727999</c:v>
                </c:pt>
                <c:pt idx="79">
                  <c:v>1121.4098116680102</c:v>
                </c:pt>
                <c:pt idx="80">
                  <c:v>1117.0157921544201</c:v>
                </c:pt>
                <c:pt idx="81">
                  <c:v>1161.2341321177601</c:v>
                </c:pt>
                <c:pt idx="82">
                  <c:v>1200.03249741841</c:v>
                </c:pt>
                <c:pt idx="83">
                  <c:v>1159.3372630111401</c:v>
                </c:pt>
                <c:pt idx="84">
                  <c:v>1210.98910817928</c:v>
                </c:pt>
                <c:pt idx="85">
                  <c:v>1183.99828699259</c:v>
                </c:pt>
                <c:pt idx="86">
                  <c:v>1176.28691445249</c:v>
                </c:pt>
                <c:pt idx="87">
                  <c:v>1176.2531497233499</c:v>
                </c:pt>
                <c:pt idx="88">
                  <c:v>1230.80553101911</c:v>
                </c:pt>
                <c:pt idx="89">
                  <c:v>1183.98001078325</c:v>
                </c:pt>
                <c:pt idx="90">
                  <c:v>1213.19635631395</c:v>
                </c:pt>
                <c:pt idx="91">
                  <c:v>1208.0587131623199</c:v>
                </c:pt>
                <c:pt idx="92">
                  <c:v>1195.8041094059899</c:v>
                </c:pt>
                <c:pt idx="93">
                  <c:v>1227.37500954342</c:v>
                </c:pt>
                <c:pt idx="94">
                  <c:v>1246.12715337447</c:v>
                </c:pt>
                <c:pt idx="95">
                  <c:v>1244.2708993148199</c:v>
                </c:pt>
                <c:pt idx="96">
                  <c:v>1254.12953400584</c:v>
                </c:pt>
                <c:pt idx="97">
                  <c:v>1251.6809177134601</c:v>
                </c:pt>
                <c:pt idx="98">
                  <c:v>1227.5446012561699</c:v>
                </c:pt>
                <c:pt idx="99">
                  <c:v>1249.6837343766801</c:v>
                </c:pt>
                <c:pt idx="100">
                  <c:v>1241.68557641351</c:v>
                </c:pt>
                <c:pt idx="101">
                  <c:v>1195.1544856507701</c:v>
                </c:pt>
                <c:pt idx="102">
                  <c:v>1203.0585499839601</c:v>
                </c:pt>
                <c:pt idx="103">
                  <c:v>1171.0999803738</c:v>
                </c:pt>
                <c:pt idx="104">
                  <c:v>1171.55975899757</c:v>
                </c:pt>
                <c:pt idx="105">
                  <c:v>1129.4027911159801</c:v>
                </c:pt>
                <c:pt idx="106">
                  <c:v>1187.8790273324701</c:v>
                </c:pt>
                <c:pt idx="107">
                  <c:v>1231.2141281111399</c:v>
                </c:pt>
                <c:pt idx="108">
                  <c:v>1210.61841884257</c:v>
                </c:pt>
                <c:pt idx="109">
                  <c:v>1185.98620972666</c:v>
                </c:pt>
                <c:pt idx="110">
                  <c:v>1197.76846846847</c:v>
                </c:pt>
                <c:pt idx="111">
                  <c:v>1211.5130172545801</c:v>
                </c:pt>
                <c:pt idx="112">
                  <c:v>1220.3796953733001</c:v>
                </c:pt>
                <c:pt idx="113">
                  <c:v>1192.84251221563</c:v>
                </c:pt>
                <c:pt idx="114">
                  <c:v>1215.22233519517</c:v>
                </c:pt>
                <c:pt idx="115">
                  <c:v>1203.9278405233199</c:v>
                </c:pt>
                <c:pt idx="116">
                  <c:v>1217.39811359549</c:v>
                </c:pt>
                <c:pt idx="117">
                  <c:v>1189.9301559897601</c:v>
                </c:pt>
                <c:pt idx="118">
                  <c:v>1148.61425819544</c:v>
                </c:pt>
                <c:pt idx="119">
                  <c:v>1142.1646022082</c:v>
                </c:pt>
                <c:pt idx="120">
                  <c:v>1142.7554756212201</c:v>
                </c:pt>
                <c:pt idx="121">
                  <c:v>1140.80948152414</c:v>
                </c:pt>
                <c:pt idx="122">
                  <c:v>1197.2730798595098</c:v>
                </c:pt>
                <c:pt idx="123">
                  <c:v>1144.35705260341</c:v>
                </c:pt>
                <c:pt idx="124">
                  <c:v>1175.4770596903602</c:v>
                </c:pt>
                <c:pt idx="125">
                  <c:v>1128.0746392096901</c:v>
                </c:pt>
                <c:pt idx="126">
                  <c:v>1116.8708317472501</c:v>
                </c:pt>
                <c:pt idx="127">
                  <c:v>1120.4772880979299</c:v>
                </c:pt>
                <c:pt idx="128">
                  <c:v>1185.38140045574</c:v>
                </c:pt>
                <c:pt idx="129">
                  <c:v>1196.28297160028</c:v>
                </c:pt>
                <c:pt idx="130">
                  <c:v>1166.18905917807</c:v>
                </c:pt>
                <c:pt idx="131">
                  <c:v>1148.21961849375</c:v>
                </c:pt>
                <c:pt idx="132">
                  <c:v>1180.7528076891899</c:v>
                </c:pt>
                <c:pt idx="133">
                  <c:v>1237.6243441522399</c:v>
                </c:pt>
                <c:pt idx="134">
                  <c:v>1239.5289945702</c:v>
                </c:pt>
                <c:pt idx="135">
                  <c:v>1216.2840519695801</c:v>
                </c:pt>
                <c:pt idx="136">
                  <c:v>1223.9176123075501</c:v>
                </c:pt>
                <c:pt idx="137">
                  <c:v>1218.9087164196301</c:v>
                </c:pt>
                <c:pt idx="138">
                  <c:v>1209.84170810201</c:v>
                </c:pt>
                <c:pt idx="139">
                  <c:v>1174.1610360360801</c:v>
                </c:pt>
                <c:pt idx="140">
                  <c:v>1172.3384009009499</c:v>
                </c:pt>
                <c:pt idx="141">
                  <c:v>1144.0833333333599</c:v>
                </c:pt>
                <c:pt idx="142">
                  <c:v>1216.4904556195399</c:v>
                </c:pt>
                <c:pt idx="143">
                  <c:v>1213.6369382737998</c:v>
                </c:pt>
                <c:pt idx="144">
                  <c:v>1228.9684503256799</c:v>
                </c:pt>
                <c:pt idx="145">
                  <c:v>1223.9414344389402</c:v>
                </c:pt>
                <c:pt idx="146">
                  <c:v>1200.90065613243</c:v>
                </c:pt>
                <c:pt idx="147">
                  <c:v>1235.6210909148299</c:v>
                </c:pt>
                <c:pt idx="148">
                  <c:v>1185.93894421399</c:v>
                </c:pt>
                <c:pt idx="149">
                  <c:v>1173.04274597636</c:v>
                </c:pt>
                <c:pt idx="150">
                  <c:v>1137.1889044944</c:v>
                </c:pt>
                <c:pt idx="151">
                  <c:v>1189.72077559951</c:v>
                </c:pt>
                <c:pt idx="152">
                  <c:v>1162.7549332938001</c:v>
                </c:pt>
                <c:pt idx="153">
                  <c:v>1199.8135501648101</c:v>
                </c:pt>
                <c:pt idx="154">
                  <c:v>1181.49652990099</c:v>
                </c:pt>
                <c:pt idx="155">
                  <c:v>1219.0039624726899</c:v>
                </c:pt>
                <c:pt idx="156">
                  <c:v>1179.3376437770198</c:v>
                </c:pt>
                <c:pt idx="157">
                  <c:v>1178.21843500968</c:v>
                </c:pt>
                <c:pt idx="158">
                  <c:v>1164.85131822997</c:v>
                </c:pt>
                <c:pt idx="159">
                  <c:v>1166.5765842199899</c:v>
                </c:pt>
                <c:pt idx="160">
                  <c:v>1141.1566995958601</c:v>
                </c:pt>
                <c:pt idx="161">
                  <c:v>1164.4213278413101</c:v>
                </c:pt>
                <c:pt idx="162">
                  <c:v>1153.2423364553799</c:v>
                </c:pt>
                <c:pt idx="163">
                  <c:v>1143.82636103646</c:v>
                </c:pt>
                <c:pt idx="164">
                  <c:v>1121.7979192303699</c:v>
                </c:pt>
                <c:pt idx="165">
                  <c:v>1113.9409353493299</c:v>
                </c:pt>
                <c:pt idx="166">
                  <c:v>1112.2920616653298</c:v>
                </c:pt>
                <c:pt idx="167">
                  <c:v>1156.4807352672801</c:v>
                </c:pt>
                <c:pt idx="168">
                  <c:v>1174.6063695441101</c:v>
                </c:pt>
                <c:pt idx="169">
                  <c:v>1229.0511872913401</c:v>
                </c:pt>
                <c:pt idx="170">
                  <c:v>1213.11243445224</c:v>
                </c:pt>
                <c:pt idx="171">
                  <c:v>1195.8911761874301</c:v>
                </c:pt>
                <c:pt idx="172">
                  <c:v>1191.05517511328</c:v>
                </c:pt>
                <c:pt idx="173">
                  <c:v>1201.66011828756</c:v>
                </c:pt>
                <c:pt idx="174">
                  <c:v>1243.8068348315001</c:v>
                </c:pt>
                <c:pt idx="175">
                  <c:v>1236.10380892997</c:v>
                </c:pt>
                <c:pt idx="176">
                  <c:v>1239.7188157487901</c:v>
                </c:pt>
                <c:pt idx="177">
                  <c:v>1237.73643135261</c:v>
                </c:pt>
                <c:pt idx="178">
                  <c:v>1228.5029249494301</c:v>
                </c:pt>
                <c:pt idx="179">
                  <c:v>1233.8636687122998</c:v>
                </c:pt>
                <c:pt idx="180">
                  <c:v>1226.3943358454001</c:v>
                </c:pt>
                <c:pt idx="181">
                  <c:v>1226.5636296116199</c:v>
                </c:pt>
                <c:pt idx="182">
                  <c:v>1231.1285627918799</c:v>
                </c:pt>
                <c:pt idx="183">
                  <c:v>1229.60372337734</c:v>
                </c:pt>
                <c:pt idx="184">
                  <c:v>1218.1969206122299</c:v>
                </c:pt>
                <c:pt idx="185">
                  <c:v>1224.5925549564599</c:v>
                </c:pt>
                <c:pt idx="186">
                  <c:v>1222.8163001212101</c:v>
                </c:pt>
                <c:pt idx="187">
                  <c:v>1237.4601784184499</c:v>
                </c:pt>
                <c:pt idx="188">
                  <c:v>1238.2277566325401</c:v>
                </c:pt>
                <c:pt idx="189">
                  <c:v>1240.72426735259</c:v>
                </c:pt>
                <c:pt idx="190">
                  <c:v>1238.1924674393399</c:v>
                </c:pt>
                <c:pt idx="191">
                  <c:v>1235.26460700294</c:v>
                </c:pt>
                <c:pt idx="192">
                  <c:v>1231.39112350256</c:v>
                </c:pt>
                <c:pt idx="193">
                  <c:v>1233.1555235948299</c:v>
                </c:pt>
                <c:pt idx="194">
                  <c:v>1231.65404036563</c:v>
                </c:pt>
                <c:pt idx="195">
                  <c:v>1229.02577320569</c:v>
                </c:pt>
                <c:pt idx="196">
                  <c:v>1229.9248299720598</c:v>
                </c:pt>
                <c:pt idx="197">
                  <c:v>1226.2491964389701</c:v>
                </c:pt>
                <c:pt idx="198">
                  <c:v>1227.29095531239</c:v>
                </c:pt>
                <c:pt idx="199">
                  <c:v>1226.8600127631801</c:v>
                </c:pt>
                <c:pt idx="200">
                  <c:v>1197.6585697688799</c:v>
                </c:pt>
                <c:pt idx="201">
                  <c:v>1170.23109789656</c:v>
                </c:pt>
                <c:pt idx="202">
                  <c:v>1171.0151746769</c:v>
                </c:pt>
                <c:pt idx="203">
                  <c:v>1179.3793643756699</c:v>
                </c:pt>
                <c:pt idx="204">
                  <c:v>1182.21165056462</c:v>
                </c:pt>
                <c:pt idx="205">
                  <c:v>1181.3297052709299</c:v>
                </c:pt>
                <c:pt idx="206">
                  <c:v>1177.32255105782</c:v>
                </c:pt>
                <c:pt idx="207">
                  <c:v>1191.09083914235</c:v>
                </c:pt>
                <c:pt idx="208">
                  <c:v>1225.6386995027101</c:v>
                </c:pt>
                <c:pt idx="209">
                  <c:v>1200.5391545391499</c:v>
                </c:pt>
                <c:pt idx="210">
                  <c:v>1156.7911960658701</c:v>
                </c:pt>
                <c:pt idx="211">
                  <c:v>1136.9161825853498</c:v>
                </c:pt>
                <c:pt idx="212">
                  <c:v>1129.9218106681401</c:v>
                </c:pt>
                <c:pt idx="213">
                  <c:v>1124.4403280542999</c:v>
                </c:pt>
                <c:pt idx="214">
                  <c:v>1141.6786067194</c:v>
                </c:pt>
                <c:pt idx="215">
                  <c:v>1133.8744369369201</c:v>
                </c:pt>
                <c:pt idx="216">
                  <c:v>1130.5208333333399</c:v>
                </c:pt>
                <c:pt idx="217">
                  <c:v>1119.17961711712</c:v>
                </c:pt>
                <c:pt idx="218">
                  <c:v>1127.08574400672</c:v>
                </c:pt>
                <c:pt idx="219">
                  <c:v>1117.8646610411101</c:v>
                </c:pt>
                <c:pt idx="220">
                  <c:v>1134.44118227386</c:v>
                </c:pt>
                <c:pt idx="221">
                  <c:v>1130.1006604491999</c:v>
                </c:pt>
                <c:pt idx="222">
                  <c:v>1130.4850913589401</c:v>
                </c:pt>
                <c:pt idx="223">
                  <c:v>1092.5333745717301</c:v>
                </c:pt>
                <c:pt idx="224">
                  <c:v>1098.70920853954</c:v>
                </c:pt>
                <c:pt idx="225">
                  <c:v>1108.39550334928</c:v>
                </c:pt>
                <c:pt idx="226">
                  <c:v>1106.2597559488001</c:v>
                </c:pt>
                <c:pt idx="227">
                  <c:v>1084.7082190058002</c:v>
                </c:pt>
                <c:pt idx="228">
                  <c:v>1085.8449318608</c:v>
                </c:pt>
                <c:pt idx="229">
                  <c:v>1102.4387080608699</c:v>
                </c:pt>
                <c:pt idx="230">
                  <c:v>1097.2408808611099</c:v>
                </c:pt>
                <c:pt idx="231">
                  <c:v>1116.3274663119</c:v>
                </c:pt>
                <c:pt idx="232">
                  <c:v>1129.6952929204401</c:v>
                </c:pt>
                <c:pt idx="233">
                  <c:v>1119.34075172912</c:v>
                </c:pt>
                <c:pt idx="234">
                  <c:v>1104.09189763414</c:v>
                </c:pt>
                <c:pt idx="235">
                  <c:v>1074.3553310746702</c:v>
                </c:pt>
                <c:pt idx="236">
                  <c:v>1156.0418048005299</c:v>
                </c:pt>
                <c:pt idx="237">
                  <c:v>1158.2320920424499</c:v>
                </c:pt>
                <c:pt idx="238">
                  <c:v>1167.9449888982501</c:v>
                </c:pt>
                <c:pt idx="239">
                  <c:v>1160.76126126126</c:v>
                </c:pt>
                <c:pt idx="240">
                  <c:v>1136.7341231365601</c:v>
                </c:pt>
                <c:pt idx="241">
                  <c:v>1124.2243212943499</c:v>
                </c:pt>
                <c:pt idx="242">
                  <c:v>1128.7725932209901</c:v>
                </c:pt>
                <c:pt idx="243">
                  <c:v>1099.4622747747701</c:v>
                </c:pt>
                <c:pt idx="244">
                  <c:v>1112.2905784147902</c:v>
                </c:pt>
                <c:pt idx="245">
                  <c:v>1097.9168434128799</c:v>
                </c:pt>
                <c:pt idx="246">
                  <c:v>1101.07758150528</c:v>
                </c:pt>
                <c:pt idx="247">
                  <c:v>1112.72519492587</c:v>
                </c:pt>
                <c:pt idx="248">
                  <c:v>1097.2418418979398</c:v>
                </c:pt>
                <c:pt idx="249">
                  <c:v>1116.4555811416901</c:v>
                </c:pt>
                <c:pt idx="250">
                  <c:v>1122.69612521712</c:v>
                </c:pt>
                <c:pt idx="251">
                  <c:v>1123.2646724639601</c:v>
                </c:pt>
                <c:pt idx="252">
                  <c:v>1115.8353709651199</c:v>
                </c:pt>
                <c:pt idx="253">
                  <c:v>1129.2867076718098</c:v>
                </c:pt>
                <c:pt idx="254">
                  <c:v>1154.54866329331</c:v>
                </c:pt>
                <c:pt idx="255">
                  <c:v>1174.72391605607</c:v>
                </c:pt>
                <c:pt idx="256">
                  <c:v>1186.91361510553</c:v>
                </c:pt>
                <c:pt idx="257">
                  <c:v>1192.2757811945801</c:v>
                </c:pt>
                <c:pt idx="258">
                  <c:v>1196.5164333343298</c:v>
                </c:pt>
                <c:pt idx="259">
                  <c:v>1133.1227433142101</c:v>
                </c:pt>
                <c:pt idx="260">
                  <c:v>1118.05604345913</c:v>
                </c:pt>
                <c:pt idx="261">
                  <c:v>1110.3412231832101</c:v>
                </c:pt>
                <c:pt idx="262">
                  <c:v>1097.8384015342599</c:v>
                </c:pt>
                <c:pt idx="263">
                  <c:v>1116.7069812223599</c:v>
                </c:pt>
                <c:pt idx="264">
                  <c:v>1120.6373750436701</c:v>
                </c:pt>
                <c:pt idx="265">
                  <c:v>1106.2761255525702</c:v>
                </c:pt>
                <c:pt idx="266">
                  <c:v>1080.5992769084901</c:v>
                </c:pt>
                <c:pt idx="267">
                  <c:v>1051.51017815352</c:v>
                </c:pt>
                <c:pt idx="268">
                  <c:v>1130.56449796572</c:v>
                </c:pt>
                <c:pt idx="269">
                  <c:v>1148.26743296778</c:v>
                </c:pt>
                <c:pt idx="270">
                  <c:v>1141.94799648969</c:v>
                </c:pt>
                <c:pt idx="271">
                  <c:v>1139.41783867908</c:v>
                </c:pt>
                <c:pt idx="272">
                  <c:v>1141.7279984781101</c:v>
                </c:pt>
                <c:pt idx="273">
                  <c:v>1133.4826205661998</c:v>
                </c:pt>
                <c:pt idx="274">
                  <c:v>1146.7097978708498</c:v>
                </c:pt>
                <c:pt idx="275">
                  <c:v>1134.04298302969</c:v>
                </c:pt>
                <c:pt idx="276">
                  <c:v>1131.4489467184001</c:v>
                </c:pt>
                <c:pt idx="277">
                  <c:v>1102.9705629866198</c:v>
                </c:pt>
                <c:pt idx="278">
                  <c:v>1068.1977154362</c:v>
                </c:pt>
                <c:pt idx="279">
                  <c:v>1034.3236369859201</c:v>
                </c:pt>
                <c:pt idx="280">
                  <c:v>1075.5842061288499</c:v>
                </c:pt>
                <c:pt idx="281">
                  <c:v>1116.5011356857899</c:v>
                </c:pt>
                <c:pt idx="282">
                  <c:v>1126.38422601299</c:v>
                </c:pt>
                <c:pt idx="283">
                  <c:v>1145.04418850089</c:v>
                </c:pt>
                <c:pt idx="284">
                  <c:v>1142.9028137857399</c:v>
                </c:pt>
                <c:pt idx="285">
                  <c:v>1137.0267325900102</c:v>
                </c:pt>
                <c:pt idx="286">
                  <c:v>1137.55412479545</c:v>
                </c:pt>
                <c:pt idx="287">
                  <c:v>1138.90790716434</c:v>
                </c:pt>
                <c:pt idx="288">
                  <c:v>1147.32987971125</c:v>
                </c:pt>
                <c:pt idx="289">
                  <c:v>1148.4704143714</c:v>
                </c:pt>
                <c:pt idx="290">
                  <c:v>1152.0611550981498</c:v>
                </c:pt>
                <c:pt idx="291">
                  <c:v>1151.4126442908</c:v>
                </c:pt>
                <c:pt idx="292">
                  <c:v>1150.6639499901901</c:v>
                </c:pt>
                <c:pt idx="293">
                  <c:v>1136.87894997748</c:v>
                </c:pt>
                <c:pt idx="294">
                  <c:v>1129.4087094885199</c:v>
                </c:pt>
                <c:pt idx="295">
                  <c:v>1128.7010135135699</c:v>
                </c:pt>
                <c:pt idx="296">
                  <c:v>1122.17736486487</c:v>
                </c:pt>
                <c:pt idx="297">
                  <c:v>1121.09797297302</c:v>
                </c:pt>
                <c:pt idx="298">
                  <c:v>1122.57150900899</c:v>
                </c:pt>
                <c:pt idx="299">
                  <c:v>1115.45157657661</c:v>
                </c:pt>
                <c:pt idx="300">
                  <c:v>1115.50112612613</c:v>
                </c:pt>
                <c:pt idx="301">
                  <c:v>1119.3192567567098</c:v>
                </c:pt>
                <c:pt idx="302">
                  <c:v>1110.5833333333601</c:v>
                </c:pt>
                <c:pt idx="303">
                  <c:v>1115.8220720721199</c:v>
                </c:pt>
                <c:pt idx="304">
                  <c:v>1117.6340090090498</c:v>
                </c:pt>
                <c:pt idx="305">
                  <c:v>1111.70777027031</c:v>
                </c:pt>
                <c:pt idx="306">
                  <c:v>1112.8806306306301</c:v>
                </c:pt>
                <c:pt idx="307">
                  <c:v>1111.7471846847202</c:v>
                </c:pt>
                <c:pt idx="308">
                  <c:v>1107.65202702703</c:v>
                </c:pt>
                <c:pt idx="309">
                  <c:v>1111.9915540540599</c:v>
                </c:pt>
                <c:pt idx="310">
                  <c:v>1111.4380630630701</c:v>
                </c:pt>
                <c:pt idx="311">
                  <c:v>1110.0478603603801</c:v>
                </c:pt>
                <c:pt idx="312">
                  <c:v>1109.0123873874199</c:v>
                </c:pt>
                <c:pt idx="313">
                  <c:v>1106.95439189186</c:v>
                </c:pt>
                <c:pt idx="314">
                  <c:v>1109.2409909910298</c:v>
                </c:pt>
                <c:pt idx="315">
                  <c:v>1110.18243243242</c:v>
                </c:pt>
                <c:pt idx="316">
                  <c:v>1109.9076576576299</c:v>
                </c:pt>
                <c:pt idx="317">
                  <c:v>1109.44481981986</c:v>
                </c:pt>
                <c:pt idx="318">
                  <c:v>1111.14414414416</c:v>
                </c:pt>
                <c:pt idx="319">
                  <c:v>1103.2162162161899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5-A149-8DCD-C9CC91FA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A-D146-9372-905ECCFEEFF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'240823A003'!$A$2:$A$321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'240823A003'!$P$2:$P$321</c:f>
              <c:numCache>
                <c:formatCode>General</c:formatCode>
                <c:ptCount val="320"/>
                <c:pt idx="0">
                  <c:v>-10.212103064527907</c:v>
                </c:pt>
                <c:pt idx="1">
                  <c:v>-12.019930785842957</c:v>
                </c:pt>
                <c:pt idx="2">
                  <c:v>-12.275607113474942</c:v>
                </c:pt>
                <c:pt idx="3">
                  <c:v>-12.303099330809694</c:v>
                </c:pt>
                <c:pt idx="4">
                  <c:v>-13.299115567812493</c:v>
                </c:pt>
                <c:pt idx="5">
                  <c:v>-11.557101893579675</c:v>
                </c:pt>
                <c:pt idx="6">
                  <c:v>-13.081029968897488</c:v>
                </c:pt>
                <c:pt idx="7">
                  <c:v>-7.6751037827806901</c:v>
                </c:pt>
                <c:pt idx="8">
                  <c:v>-4.715455097862467</c:v>
                </c:pt>
                <c:pt idx="9">
                  <c:v>-5.8670391244943323</c:v>
                </c:pt>
                <c:pt idx="10">
                  <c:v>-14.329109254681981</c:v>
                </c:pt>
                <c:pt idx="11">
                  <c:v>-15.41253679267817</c:v>
                </c:pt>
                <c:pt idx="12">
                  <c:v>-16.410388408301259</c:v>
                </c:pt>
                <c:pt idx="13">
                  <c:v>-17.182930606527947</c:v>
                </c:pt>
                <c:pt idx="14">
                  <c:v>-14.251440494697576</c:v>
                </c:pt>
                <c:pt idx="15">
                  <c:v>-12.057776346450728</c:v>
                </c:pt>
                <c:pt idx="16">
                  <c:v>-12.67636646466546</c:v>
                </c:pt>
                <c:pt idx="17">
                  <c:v>-12.781710480171563</c:v>
                </c:pt>
                <c:pt idx="18">
                  <c:v>-14.029245994183912</c:v>
                </c:pt>
                <c:pt idx="19">
                  <c:v>-14.313185941109474</c:v>
                </c:pt>
                <c:pt idx="20">
                  <c:v>-15.027180430928274</c:v>
                </c:pt>
                <c:pt idx="21">
                  <c:v>-15.613221423352341</c:v>
                </c:pt>
                <c:pt idx="22">
                  <c:v>-15.607865233500931</c:v>
                </c:pt>
                <c:pt idx="23">
                  <c:v>-15.999449476689206</c:v>
                </c:pt>
                <c:pt idx="24">
                  <c:v>-15.966292576911023</c:v>
                </c:pt>
                <c:pt idx="25">
                  <c:v>-16.945148044755477</c:v>
                </c:pt>
                <c:pt idx="26">
                  <c:v>-16.974224030560059</c:v>
                </c:pt>
                <c:pt idx="27">
                  <c:v>-16.861647656820068</c:v>
                </c:pt>
                <c:pt idx="28">
                  <c:v>-16.540598638048348</c:v>
                </c:pt>
                <c:pt idx="29">
                  <c:v>-16.702595463646382</c:v>
                </c:pt>
                <c:pt idx="30">
                  <c:v>-16.881799515308831</c:v>
                </c:pt>
                <c:pt idx="31">
                  <c:v>-17.60093755429715</c:v>
                </c:pt>
                <c:pt idx="32">
                  <c:v>-17.330444783100134</c:v>
                </c:pt>
                <c:pt idx="33">
                  <c:v>-16.735788533753272</c:v>
                </c:pt>
                <c:pt idx="34">
                  <c:v>-17.028879412421773</c:v>
                </c:pt>
                <c:pt idx="35">
                  <c:v>-15.766854160778617</c:v>
                </c:pt>
                <c:pt idx="36">
                  <c:v>-16.14033075676727</c:v>
                </c:pt>
                <c:pt idx="37">
                  <c:v>-16.178295530191296</c:v>
                </c:pt>
                <c:pt idx="38">
                  <c:v>-14.977312435730342</c:v>
                </c:pt>
                <c:pt idx="39">
                  <c:v>-15.464625877353935</c:v>
                </c:pt>
                <c:pt idx="40">
                  <c:v>-15.292442412577282</c:v>
                </c:pt>
                <c:pt idx="41">
                  <c:v>-15.348898759793311</c:v>
                </c:pt>
                <c:pt idx="42">
                  <c:v>-15.019604591667305</c:v>
                </c:pt>
                <c:pt idx="43">
                  <c:v>-15.565828426337264</c:v>
                </c:pt>
                <c:pt idx="44">
                  <c:v>-15.091360896704476</c:v>
                </c:pt>
                <c:pt idx="45">
                  <c:v>-13.715984547552459</c:v>
                </c:pt>
                <c:pt idx="46">
                  <c:v>-13.214114183711187</c:v>
                </c:pt>
                <c:pt idx="47">
                  <c:v>-13.384749898546858</c:v>
                </c:pt>
                <c:pt idx="48">
                  <c:v>-14.482894713909488</c:v>
                </c:pt>
                <c:pt idx="49">
                  <c:v>-14.739319065076236</c:v>
                </c:pt>
                <c:pt idx="50">
                  <c:v>-14.580280575899282</c:v>
                </c:pt>
                <c:pt idx="51">
                  <c:v>-14.230460451616997</c:v>
                </c:pt>
                <c:pt idx="52">
                  <c:v>-14.377085892514105</c:v>
                </c:pt>
                <c:pt idx="53">
                  <c:v>-11.214897215784355</c:v>
                </c:pt>
                <c:pt idx="54">
                  <c:v>-8.8511889067799476</c:v>
                </c:pt>
                <c:pt idx="55">
                  <c:v>-7.4439426373160158</c:v>
                </c:pt>
                <c:pt idx="56">
                  <c:v>-5.8412590454768329</c:v>
                </c:pt>
                <c:pt idx="57">
                  <c:v>-5.9872664569237211</c:v>
                </c:pt>
                <c:pt idx="58">
                  <c:v>-6.1090700108379377</c:v>
                </c:pt>
                <c:pt idx="59">
                  <c:v>-6.1320353483908958</c:v>
                </c:pt>
                <c:pt idx="60">
                  <c:v>-8.443449255430572</c:v>
                </c:pt>
                <c:pt idx="61">
                  <c:v>-6.9764031821588484</c:v>
                </c:pt>
                <c:pt idx="62">
                  <c:v>-2.7821567243952372</c:v>
                </c:pt>
                <c:pt idx="63">
                  <c:v>0.83755894746933868</c:v>
                </c:pt>
                <c:pt idx="64">
                  <c:v>1.3909255246649428</c:v>
                </c:pt>
                <c:pt idx="65">
                  <c:v>1.044473917597839</c:v>
                </c:pt>
                <c:pt idx="66">
                  <c:v>-0.540394113298718</c:v>
                </c:pt>
                <c:pt idx="67">
                  <c:v>-3.0742367427943993</c:v>
                </c:pt>
                <c:pt idx="68">
                  <c:v>-4.2504288422284562</c:v>
                </c:pt>
                <c:pt idx="69">
                  <c:v>2.4669707866476771</c:v>
                </c:pt>
                <c:pt idx="70">
                  <c:v>7.1868248957523404</c:v>
                </c:pt>
                <c:pt idx="71">
                  <c:v>5.9530591322111812</c:v>
                </c:pt>
                <c:pt idx="72">
                  <c:v>4.7687210077761781</c:v>
                </c:pt>
                <c:pt idx="73">
                  <c:v>4.8395734417333847</c:v>
                </c:pt>
                <c:pt idx="74">
                  <c:v>2.0364068136321878</c:v>
                </c:pt>
                <c:pt idx="75">
                  <c:v>-0.82758015317417311</c:v>
                </c:pt>
                <c:pt idx="76">
                  <c:v>-2.8083319654945029</c:v>
                </c:pt>
                <c:pt idx="77">
                  <c:v>-3.6140304019012714</c:v>
                </c:pt>
                <c:pt idx="78">
                  <c:v>0.67259057808742984</c:v>
                </c:pt>
                <c:pt idx="79">
                  <c:v>2.1199063353035443</c:v>
                </c:pt>
                <c:pt idx="80">
                  <c:v>-0.35969327429376435</c:v>
                </c:pt>
                <c:pt idx="81">
                  <c:v>0.98139147424753004</c:v>
                </c:pt>
                <c:pt idx="82">
                  <c:v>4.4868003789345901</c:v>
                </c:pt>
                <c:pt idx="83">
                  <c:v>5.934792386427227</c:v>
                </c:pt>
                <c:pt idx="84">
                  <c:v>8.2763008197685277</c:v>
                </c:pt>
                <c:pt idx="85">
                  <c:v>8.2868528298373452</c:v>
                </c:pt>
                <c:pt idx="86">
                  <c:v>7.2755415816623499</c:v>
                </c:pt>
                <c:pt idx="87">
                  <c:v>10.268620988556632</c:v>
                </c:pt>
                <c:pt idx="88">
                  <c:v>11.620411687207174</c:v>
                </c:pt>
                <c:pt idx="89">
                  <c:v>7.2049680601237744</c:v>
                </c:pt>
                <c:pt idx="90">
                  <c:v>4.2225914913404115</c:v>
                </c:pt>
                <c:pt idx="91">
                  <c:v>1.9494960195776738</c:v>
                </c:pt>
                <c:pt idx="92">
                  <c:v>0.61529083832276699</c:v>
                </c:pt>
                <c:pt idx="93">
                  <c:v>-0.96865828627834738</c:v>
                </c:pt>
                <c:pt idx="94">
                  <c:v>9.2577540523070052</c:v>
                </c:pt>
                <c:pt idx="95">
                  <c:v>12.502760027184248</c:v>
                </c:pt>
                <c:pt idx="96">
                  <c:v>14.450663699700039</c:v>
                </c:pt>
                <c:pt idx="97">
                  <c:v>13.722833497306464</c:v>
                </c:pt>
                <c:pt idx="98">
                  <c:v>11.858001803018842</c:v>
                </c:pt>
                <c:pt idx="99">
                  <c:v>10.192820489235203</c:v>
                </c:pt>
                <c:pt idx="100">
                  <c:v>6.5362055329654849</c:v>
                </c:pt>
                <c:pt idx="101">
                  <c:v>4.3605163476119646</c:v>
                </c:pt>
                <c:pt idx="102">
                  <c:v>1.8614176062035908</c:v>
                </c:pt>
                <c:pt idx="103">
                  <c:v>0.639438965974366</c:v>
                </c:pt>
                <c:pt idx="104">
                  <c:v>0.17110137966717265</c:v>
                </c:pt>
                <c:pt idx="105">
                  <c:v>-0.45383507034612564</c:v>
                </c:pt>
                <c:pt idx="106">
                  <c:v>7.9242122076997141</c:v>
                </c:pt>
                <c:pt idx="107">
                  <c:v>17.456042580635362</c:v>
                </c:pt>
                <c:pt idx="108">
                  <c:v>20.695613412239393</c:v>
                </c:pt>
                <c:pt idx="109">
                  <c:v>20.161397886021078</c:v>
                </c:pt>
                <c:pt idx="110">
                  <c:v>18.986334591145841</c:v>
                </c:pt>
                <c:pt idx="111">
                  <c:v>18.806880989610459</c:v>
                </c:pt>
                <c:pt idx="112">
                  <c:v>24.164254864598348</c:v>
                </c:pt>
                <c:pt idx="113">
                  <c:v>20.783463912091513</c:v>
                </c:pt>
                <c:pt idx="114">
                  <c:v>16.336362013203196</c:v>
                </c:pt>
                <c:pt idx="115">
                  <c:v>17.111156017389384</c:v>
                </c:pt>
                <c:pt idx="116">
                  <c:v>21.835548862739842</c:v>
                </c:pt>
                <c:pt idx="117">
                  <c:v>22.94366017672991</c:v>
                </c:pt>
                <c:pt idx="118">
                  <c:v>19.537440805466161</c:v>
                </c:pt>
                <c:pt idx="119">
                  <c:v>16.029778227534202</c:v>
                </c:pt>
                <c:pt idx="120">
                  <c:v>14.570687395370072</c:v>
                </c:pt>
                <c:pt idx="121">
                  <c:v>15.841583849718639</c:v>
                </c:pt>
                <c:pt idx="122">
                  <c:v>20.603839594724295</c:v>
                </c:pt>
                <c:pt idx="123">
                  <c:v>23.442666102165823</c:v>
                </c:pt>
                <c:pt idx="124">
                  <c:v>23.815807749354359</c:v>
                </c:pt>
                <c:pt idx="125">
                  <c:v>20.5743326773147</c:v>
                </c:pt>
                <c:pt idx="126">
                  <c:v>21.980250413147161</c:v>
                </c:pt>
                <c:pt idx="127">
                  <c:v>24.784681464308822</c:v>
                </c:pt>
                <c:pt idx="128">
                  <c:v>33.217739708804935</c:v>
                </c:pt>
                <c:pt idx="129">
                  <c:v>35.335327394188035</c:v>
                </c:pt>
                <c:pt idx="130">
                  <c:v>30.804126331942172</c:v>
                </c:pt>
                <c:pt idx="131">
                  <c:v>25.20683882303258</c:v>
                </c:pt>
                <c:pt idx="132">
                  <c:v>24.159168277997079</c:v>
                </c:pt>
                <c:pt idx="133">
                  <c:v>37.077095607606374</c:v>
                </c:pt>
                <c:pt idx="134">
                  <c:v>40.76067656669057</c:v>
                </c:pt>
                <c:pt idx="135">
                  <c:v>40.931127025988587</c:v>
                </c:pt>
                <c:pt idx="136">
                  <c:v>40.575273834641976</c:v>
                </c:pt>
                <c:pt idx="137">
                  <c:v>37.144456731405654</c:v>
                </c:pt>
                <c:pt idx="138">
                  <c:v>33.282306893733207</c:v>
                </c:pt>
                <c:pt idx="139">
                  <c:v>28.680189695535795</c:v>
                </c:pt>
                <c:pt idx="140">
                  <c:v>31.423744741345221</c:v>
                </c:pt>
                <c:pt idx="141">
                  <c:v>30.093442444400331</c:v>
                </c:pt>
                <c:pt idx="142">
                  <c:v>26.366854454537396</c:v>
                </c:pt>
                <c:pt idx="143">
                  <c:v>23.971796717798803</c:v>
                </c:pt>
                <c:pt idx="144">
                  <c:v>28.775211119522083</c:v>
                </c:pt>
                <c:pt idx="145">
                  <c:v>26.652856134561464</c:v>
                </c:pt>
                <c:pt idx="146">
                  <c:v>27.745524134454058</c:v>
                </c:pt>
                <c:pt idx="147">
                  <c:v>27.50650614780319</c:v>
                </c:pt>
                <c:pt idx="148">
                  <c:v>22.538469260024353</c:v>
                </c:pt>
                <c:pt idx="149">
                  <c:v>24.681996122665502</c:v>
                </c:pt>
                <c:pt idx="150">
                  <c:v>24.885147694521741</c:v>
                </c:pt>
                <c:pt idx="151">
                  <c:v>25.241421773873178</c:v>
                </c:pt>
                <c:pt idx="152">
                  <c:v>20.582727243188248</c:v>
                </c:pt>
                <c:pt idx="153">
                  <c:v>18.711628488362358</c:v>
                </c:pt>
                <c:pt idx="154">
                  <c:v>16.184978938609248</c:v>
                </c:pt>
                <c:pt idx="155">
                  <c:v>18.614810131594588</c:v>
                </c:pt>
                <c:pt idx="156">
                  <c:v>17.030677307486449</c:v>
                </c:pt>
                <c:pt idx="157">
                  <c:v>16.281458267346341</c:v>
                </c:pt>
                <c:pt idx="158">
                  <c:v>14.391348130822282</c:v>
                </c:pt>
                <c:pt idx="159">
                  <c:v>12.997321273763188</c:v>
                </c:pt>
                <c:pt idx="160">
                  <c:v>11.899570641525923</c:v>
                </c:pt>
                <c:pt idx="161">
                  <c:v>11.920288108396393</c:v>
                </c:pt>
                <c:pt idx="162">
                  <c:v>9.9552630004186167</c:v>
                </c:pt>
                <c:pt idx="163">
                  <c:v>8.0648679091882496</c:v>
                </c:pt>
                <c:pt idx="164">
                  <c:v>6.4116703639470476</c:v>
                </c:pt>
                <c:pt idx="165">
                  <c:v>5.8464664092823773</c:v>
                </c:pt>
                <c:pt idx="166">
                  <c:v>6.379816113766891</c:v>
                </c:pt>
                <c:pt idx="167">
                  <c:v>5.5199488981111706</c:v>
                </c:pt>
                <c:pt idx="168">
                  <c:v>4.7947550644137946</c:v>
                </c:pt>
                <c:pt idx="169">
                  <c:v>3.8831756360748786</c:v>
                </c:pt>
                <c:pt idx="170">
                  <c:v>9.7422184716995517</c:v>
                </c:pt>
                <c:pt idx="171">
                  <c:v>10.751088734619101</c:v>
                </c:pt>
                <c:pt idx="172">
                  <c:v>11.366467037299195</c:v>
                </c:pt>
                <c:pt idx="173">
                  <c:v>9.7709697595317966</c:v>
                </c:pt>
                <c:pt idx="174">
                  <c:v>7.8833506868455752</c:v>
                </c:pt>
                <c:pt idx="175">
                  <c:v>6.2203117282332263</c:v>
                </c:pt>
                <c:pt idx="176">
                  <c:v>6.2082446681145491</c:v>
                </c:pt>
                <c:pt idx="177">
                  <c:v>6.3507264035480224</c:v>
                </c:pt>
                <c:pt idx="178">
                  <c:v>5.1474433258459369</c:v>
                </c:pt>
                <c:pt idx="179">
                  <c:v>4.5665258447527242</c:v>
                </c:pt>
                <c:pt idx="180">
                  <c:v>3.739074721979784</c:v>
                </c:pt>
                <c:pt idx="181">
                  <c:v>3.045811480513684</c:v>
                </c:pt>
                <c:pt idx="182">
                  <c:v>2.7458449813424606</c:v>
                </c:pt>
                <c:pt idx="183">
                  <c:v>2.8141818080170999</c:v>
                </c:pt>
                <c:pt idx="184">
                  <c:v>2.0320332784411055</c:v>
                </c:pt>
                <c:pt idx="185">
                  <c:v>1.3129001114568415</c:v>
                </c:pt>
                <c:pt idx="186">
                  <c:v>2.1200945696216182</c:v>
                </c:pt>
                <c:pt idx="187">
                  <c:v>2.5345627281378533</c:v>
                </c:pt>
                <c:pt idx="188">
                  <c:v>2.0619893973695289</c:v>
                </c:pt>
                <c:pt idx="189">
                  <c:v>2.2638607362601828</c:v>
                </c:pt>
                <c:pt idx="190">
                  <c:v>1.4921395077863913</c:v>
                </c:pt>
                <c:pt idx="191">
                  <c:v>1.8449250819320462</c:v>
                </c:pt>
                <c:pt idx="192">
                  <c:v>1.1345608853335252</c:v>
                </c:pt>
                <c:pt idx="193">
                  <c:v>1.2943018618082527</c:v>
                </c:pt>
                <c:pt idx="194">
                  <c:v>0.65726786397043568</c:v>
                </c:pt>
                <c:pt idx="195">
                  <c:v>9.1378234145945814E-2</c:v>
                </c:pt>
                <c:pt idx="196">
                  <c:v>0.42681832392737146</c:v>
                </c:pt>
                <c:pt idx="197">
                  <c:v>0.26177928115719951</c:v>
                </c:pt>
                <c:pt idx="198">
                  <c:v>-6.4807602344904125E-2</c:v>
                </c:pt>
                <c:pt idx="199">
                  <c:v>0.16868550976528893</c:v>
                </c:pt>
                <c:pt idx="200">
                  <c:v>1.0885799510455207</c:v>
                </c:pt>
                <c:pt idx="201">
                  <c:v>0.64136938754919504</c:v>
                </c:pt>
                <c:pt idx="202">
                  <c:v>-0.34966363281287854</c:v>
                </c:pt>
                <c:pt idx="203">
                  <c:v>-0.93936322378224135</c:v>
                </c:pt>
                <c:pt idx="204">
                  <c:v>-0.9505545699226472</c:v>
                </c:pt>
                <c:pt idx="205">
                  <c:v>-1.1312213353476108</c:v>
                </c:pt>
                <c:pt idx="206">
                  <c:v>-0.71965206941487803</c:v>
                </c:pt>
                <c:pt idx="207">
                  <c:v>-1.537726973740865</c:v>
                </c:pt>
                <c:pt idx="208">
                  <c:v>-0.346218298623855</c:v>
                </c:pt>
                <c:pt idx="209">
                  <c:v>2.540269015879522</c:v>
                </c:pt>
                <c:pt idx="210">
                  <c:v>5.9083167251778566</c:v>
                </c:pt>
                <c:pt idx="211">
                  <c:v>3.8772860719301883</c:v>
                </c:pt>
                <c:pt idx="212">
                  <c:v>2.5986118851621725</c:v>
                </c:pt>
                <c:pt idx="213">
                  <c:v>2.0216981534321361</c:v>
                </c:pt>
                <c:pt idx="214">
                  <c:v>7.986816807398557</c:v>
                </c:pt>
                <c:pt idx="215">
                  <c:v>7.3886618328677685</c:v>
                </c:pt>
                <c:pt idx="216">
                  <c:v>6.646145145967143</c:v>
                </c:pt>
                <c:pt idx="217">
                  <c:v>6.3029223151875176</c:v>
                </c:pt>
                <c:pt idx="218">
                  <c:v>6.2554402476463435</c:v>
                </c:pt>
                <c:pt idx="219">
                  <c:v>6.1102891677429438</c:v>
                </c:pt>
                <c:pt idx="220">
                  <c:v>4.071912447353303</c:v>
                </c:pt>
                <c:pt idx="221">
                  <c:v>3.4503732985410278</c:v>
                </c:pt>
                <c:pt idx="222">
                  <c:v>4.634492021831675</c:v>
                </c:pt>
                <c:pt idx="223">
                  <c:v>4.976837230269501</c:v>
                </c:pt>
                <c:pt idx="224">
                  <c:v>5.808352044953109</c:v>
                </c:pt>
                <c:pt idx="225">
                  <c:v>5.2412132690269724</c:v>
                </c:pt>
                <c:pt idx="226">
                  <c:v>4.1394325560864234</c:v>
                </c:pt>
                <c:pt idx="227">
                  <c:v>6.4206850262485613</c:v>
                </c:pt>
                <c:pt idx="228">
                  <c:v>7.3565476019848353</c:v>
                </c:pt>
                <c:pt idx="229">
                  <c:v>6.5938721390939312</c:v>
                </c:pt>
                <c:pt idx="230">
                  <c:v>6.446372367170083</c:v>
                </c:pt>
                <c:pt idx="231">
                  <c:v>5.2163046994625049</c:v>
                </c:pt>
                <c:pt idx="232">
                  <c:v>9.5647697871371999</c:v>
                </c:pt>
                <c:pt idx="233">
                  <c:v>7.6877288095612855</c:v>
                </c:pt>
                <c:pt idx="234">
                  <c:v>6.809516855409484</c:v>
                </c:pt>
                <c:pt idx="235">
                  <c:v>5.804343222570977</c:v>
                </c:pt>
                <c:pt idx="236">
                  <c:v>7.0934728425527425</c:v>
                </c:pt>
                <c:pt idx="237">
                  <c:v>6.0689612559705397</c:v>
                </c:pt>
                <c:pt idx="238">
                  <c:v>4.1204070940162385</c:v>
                </c:pt>
                <c:pt idx="239">
                  <c:v>2.9101874898002853</c:v>
                </c:pt>
                <c:pt idx="240">
                  <c:v>2.4988221546025469</c:v>
                </c:pt>
                <c:pt idx="241">
                  <c:v>1.8464736929562959</c:v>
                </c:pt>
                <c:pt idx="242">
                  <c:v>0.69530186235739422</c:v>
                </c:pt>
                <c:pt idx="243">
                  <c:v>0.85390189273116002</c:v>
                </c:pt>
                <c:pt idx="244">
                  <c:v>0.23267871332401219</c:v>
                </c:pt>
                <c:pt idx="245">
                  <c:v>0.48721403797052981</c:v>
                </c:pt>
                <c:pt idx="246">
                  <c:v>-0.34704652449955625</c:v>
                </c:pt>
                <c:pt idx="247">
                  <c:v>-0.27058566299471937</c:v>
                </c:pt>
                <c:pt idx="248">
                  <c:v>-0.42027080525322819</c:v>
                </c:pt>
                <c:pt idx="249">
                  <c:v>-0.91041632856454779</c:v>
                </c:pt>
                <c:pt idx="250">
                  <c:v>-0.3786865795191065</c:v>
                </c:pt>
                <c:pt idx="251">
                  <c:v>-0.37096504475202713</c:v>
                </c:pt>
                <c:pt idx="252">
                  <c:v>-0.87430674252657603</c:v>
                </c:pt>
                <c:pt idx="253">
                  <c:v>-0.59823260986894777</c:v>
                </c:pt>
                <c:pt idx="254">
                  <c:v>-0.94569877302845617</c:v>
                </c:pt>
                <c:pt idx="255">
                  <c:v>-1.4010551783890877</c:v>
                </c:pt>
                <c:pt idx="256">
                  <c:v>-1.3540413258151645</c:v>
                </c:pt>
                <c:pt idx="257">
                  <c:v>-1.9597901409910825</c:v>
                </c:pt>
                <c:pt idx="258">
                  <c:v>-1.8273973046012499</c:v>
                </c:pt>
                <c:pt idx="259">
                  <c:v>-1.0798434643837713</c:v>
                </c:pt>
                <c:pt idx="260">
                  <c:v>-1.3883688189724268</c:v>
                </c:pt>
                <c:pt idx="261">
                  <c:v>-1.5234427957703844</c:v>
                </c:pt>
                <c:pt idx="262">
                  <c:v>-1.2748786236223013</c:v>
                </c:pt>
                <c:pt idx="263">
                  <c:v>-1.306168843142206</c:v>
                </c:pt>
                <c:pt idx="264">
                  <c:v>-1.6035931648729369</c:v>
                </c:pt>
                <c:pt idx="265">
                  <c:v>-0.93224203535714734</c:v>
                </c:pt>
                <c:pt idx="266">
                  <c:v>-1.1194164070732731</c:v>
                </c:pt>
                <c:pt idx="267">
                  <c:v>-1.5702682891549575</c:v>
                </c:pt>
                <c:pt idx="268">
                  <c:v>-1.6292700213934272</c:v>
                </c:pt>
                <c:pt idx="269">
                  <c:v>-2.0181264763832552</c:v>
                </c:pt>
                <c:pt idx="270">
                  <c:v>-1.9519765187203835</c:v>
                </c:pt>
                <c:pt idx="271">
                  <c:v>-2.1156120276405646</c:v>
                </c:pt>
                <c:pt idx="272">
                  <c:v>-1.6537947808420099</c:v>
                </c:pt>
                <c:pt idx="273">
                  <c:v>-1.6849640374884456</c:v>
                </c:pt>
                <c:pt idx="274">
                  <c:v>-1.9002833742001592</c:v>
                </c:pt>
                <c:pt idx="275">
                  <c:v>-1.7158661827169623</c:v>
                </c:pt>
                <c:pt idx="276">
                  <c:v>-1.6869384185955572</c:v>
                </c:pt>
                <c:pt idx="277">
                  <c:v>-1.4446753275372091</c:v>
                </c:pt>
                <c:pt idx="278">
                  <c:v>-1.6021990291400958</c:v>
                </c:pt>
                <c:pt idx="279">
                  <c:v>-1.6302296920382546</c:v>
                </c:pt>
                <c:pt idx="280">
                  <c:v>-2.2026002013486079</c:v>
                </c:pt>
                <c:pt idx="281">
                  <c:v>-1.9534534347309267</c:v>
                </c:pt>
                <c:pt idx="282">
                  <c:v>-1.1696501365962637</c:v>
                </c:pt>
                <c:pt idx="283">
                  <c:v>-1.5105778061819806</c:v>
                </c:pt>
                <c:pt idx="284">
                  <c:v>-1.911332279482918</c:v>
                </c:pt>
                <c:pt idx="285">
                  <c:v>-1.8255412665805597</c:v>
                </c:pt>
                <c:pt idx="286">
                  <c:v>-2.0042031626758279</c:v>
                </c:pt>
                <c:pt idx="287">
                  <c:v>-1.9117513895316562</c:v>
                </c:pt>
                <c:pt idx="288">
                  <c:v>-1.8748182521913452</c:v>
                </c:pt>
                <c:pt idx="289">
                  <c:v>-1.5720339965609202</c:v>
                </c:pt>
                <c:pt idx="290">
                  <c:v>-1.3510021650567117</c:v>
                </c:pt>
                <c:pt idx="291">
                  <c:v>-1.7062892073071805</c:v>
                </c:pt>
                <c:pt idx="292">
                  <c:v>-1.5877274539956125</c:v>
                </c:pt>
                <c:pt idx="293">
                  <c:v>-1.2802048299515738</c:v>
                </c:pt>
                <c:pt idx="294">
                  <c:v>-1.4932688571724855</c:v>
                </c:pt>
                <c:pt idx="295">
                  <c:v>-1.3852802997007605</c:v>
                </c:pt>
                <c:pt idx="296">
                  <c:v>-1.2454786305707062</c:v>
                </c:pt>
                <c:pt idx="297">
                  <c:v>-0.87082242602088866</c:v>
                </c:pt>
                <c:pt idx="298">
                  <c:v>-1.1224042903405855</c:v>
                </c:pt>
                <c:pt idx="299">
                  <c:v>-0.76231796180514577</c:v>
                </c:pt>
                <c:pt idx="300">
                  <c:v>-0.8545229178418382</c:v>
                </c:pt>
                <c:pt idx="301">
                  <c:v>-1.1843634926090589</c:v>
                </c:pt>
                <c:pt idx="302">
                  <c:v>-0.59362564853903355</c:v>
                </c:pt>
                <c:pt idx="303">
                  <c:v>-0.43733807636190158</c:v>
                </c:pt>
                <c:pt idx="304">
                  <c:v>-0.78961513079155199</c:v>
                </c:pt>
                <c:pt idx="305">
                  <c:v>-0.44184093217305165</c:v>
                </c:pt>
                <c:pt idx="306">
                  <c:v>-0.21586167174627688</c:v>
                </c:pt>
                <c:pt idx="307">
                  <c:v>-0.65568641890415613</c:v>
                </c:pt>
                <c:pt idx="308">
                  <c:v>-0.19639575912207985</c:v>
                </c:pt>
                <c:pt idx="309">
                  <c:v>-0.1894225932426053</c:v>
                </c:pt>
                <c:pt idx="310">
                  <c:v>-0.14361182864475291</c:v>
                </c:pt>
                <c:pt idx="311">
                  <c:v>-5.5081567623782362E-3</c:v>
                </c:pt>
                <c:pt idx="312">
                  <c:v>-0.30243657851345418</c:v>
                </c:pt>
                <c:pt idx="313">
                  <c:v>7.2181008204437735E-2</c:v>
                </c:pt>
                <c:pt idx="314">
                  <c:v>0.33984575536495099</c:v>
                </c:pt>
                <c:pt idx="315">
                  <c:v>0.42584657654213232</c:v>
                </c:pt>
                <c:pt idx="316">
                  <c:v>0.23027959986328203</c:v>
                </c:pt>
                <c:pt idx="317">
                  <c:v>0.81836514280749295</c:v>
                </c:pt>
                <c:pt idx="318">
                  <c:v>0.87466318029802925</c:v>
                </c:pt>
                <c:pt idx="319">
                  <c:v>1.1825338559237346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A-D146-9372-905ECCFE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'240823A005'!$A$2:$A$321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'240823A005'!$J$2:$J$321</c:f>
              <c:numCache>
                <c:formatCode>0.0</c:formatCode>
                <c:ptCount val="320"/>
                <c:pt idx="0">
                  <c:v>2662.6319982253399</c:v>
                </c:pt>
                <c:pt idx="1">
                  <c:v>2580.4454476408901</c:v>
                </c:pt>
                <c:pt idx="2">
                  <c:v>2483.2315118215902</c:v>
                </c:pt>
                <c:pt idx="3">
                  <c:v>1928.0493376535999</c:v>
                </c:pt>
                <c:pt idx="4">
                  <c:v>2366.2414983696999</c:v>
                </c:pt>
                <c:pt idx="5">
                  <c:v>2469.1586182662804</c:v>
                </c:pt>
                <c:pt idx="6">
                  <c:v>2475.1206363112701</c:v>
                </c:pt>
                <c:pt idx="7">
                  <c:v>2367.08924461176</c:v>
                </c:pt>
                <c:pt idx="8">
                  <c:v>2457.6370129901197</c:v>
                </c:pt>
                <c:pt idx="9">
                  <c:v>2389.1648192197899</c:v>
                </c:pt>
                <c:pt idx="10">
                  <c:v>2194.7241847523601</c:v>
                </c:pt>
                <c:pt idx="11">
                  <c:v>3358.34725319172</c:v>
                </c:pt>
                <c:pt idx="12">
                  <c:v>3354.6579395336403</c:v>
                </c:pt>
                <c:pt idx="13">
                  <c:v>3340.59860461377</c:v>
                </c:pt>
                <c:pt idx="14">
                  <c:v>3337.9323418629397</c:v>
                </c:pt>
                <c:pt idx="15">
                  <c:v>3339.3056292227598</c:v>
                </c:pt>
                <c:pt idx="16">
                  <c:v>3363.81626083937</c:v>
                </c:pt>
                <c:pt idx="17">
                  <c:v>3356.7708806267801</c:v>
                </c:pt>
                <c:pt idx="18">
                  <c:v>3313.2318462073599</c:v>
                </c:pt>
                <c:pt idx="19">
                  <c:v>3328.1956655858803</c:v>
                </c:pt>
                <c:pt idx="20">
                  <c:v>3255.0992650476201</c:v>
                </c:pt>
                <c:pt idx="21">
                  <c:v>3167.25035528536</c:v>
                </c:pt>
                <c:pt idx="22">
                  <c:v>3243.8584506555399</c:v>
                </c:pt>
                <c:pt idx="23">
                  <c:v>3318.6411914917398</c:v>
                </c:pt>
                <c:pt idx="24">
                  <c:v>3369.5367488157499</c:v>
                </c:pt>
                <c:pt idx="25">
                  <c:v>3340.8949392835798</c:v>
                </c:pt>
                <c:pt idx="26">
                  <c:v>3359.9252684430298</c:v>
                </c:pt>
                <c:pt idx="27">
                  <c:v>3344.60182183088</c:v>
                </c:pt>
                <c:pt idx="28">
                  <c:v>3387.1267699668701</c:v>
                </c:pt>
                <c:pt idx="29">
                  <c:v>3077.5389249902696</c:v>
                </c:pt>
                <c:pt idx="30">
                  <c:v>3131.7487324235003</c:v>
                </c:pt>
                <c:pt idx="31">
                  <c:v>3387.2108894219996</c:v>
                </c:pt>
                <c:pt idx="32">
                  <c:v>3402.8046051286397</c:v>
                </c:pt>
                <c:pt idx="33">
                  <c:v>3331.5219569320498</c:v>
                </c:pt>
                <c:pt idx="34">
                  <c:v>3321.6232847722199</c:v>
                </c:pt>
                <c:pt idx="35">
                  <c:v>3166.2439921904897</c:v>
                </c:pt>
                <c:pt idx="36">
                  <c:v>3193.2019893731499</c:v>
                </c:pt>
                <c:pt idx="37">
                  <c:v>3227.7431011498402</c:v>
                </c:pt>
                <c:pt idx="38">
                  <c:v>3282.4413064607797</c:v>
                </c:pt>
                <c:pt idx="39">
                  <c:v>3282.2755271032702</c:v>
                </c:pt>
                <c:pt idx="40">
                  <c:v>3282.3586724496899</c:v>
                </c:pt>
                <c:pt idx="41">
                  <c:v>3367.7325913611203</c:v>
                </c:pt>
                <c:pt idx="42">
                  <c:v>3385.3531807971399</c:v>
                </c:pt>
                <c:pt idx="43">
                  <c:v>3403.2627490463497</c:v>
                </c:pt>
                <c:pt idx="44">
                  <c:v>3388.5404930250497</c:v>
                </c:pt>
                <c:pt idx="45">
                  <c:v>3372.7795379373802</c:v>
                </c:pt>
                <c:pt idx="46">
                  <c:v>3306.9881979049701</c:v>
                </c:pt>
                <c:pt idx="47">
                  <c:v>3309.21286386777</c:v>
                </c:pt>
                <c:pt idx="48">
                  <c:v>3297.1376632378601</c:v>
                </c:pt>
                <c:pt idx="49">
                  <c:v>3328.1245896637001</c:v>
                </c:pt>
                <c:pt idx="50">
                  <c:v>3262.7006134468697</c:v>
                </c:pt>
                <c:pt idx="51">
                  <c:v>3409.5207667817999</c:v>
                </c:pt>
                <c:pt idx="52">
                  <c:v>3254.91994659393</c:v>
                </c:pt>
                <c:pt idx="53">
                  <c:v>3359.49499827504</c:v>
                </c:pt>
                <c:pt idx="54">
                  <c:v>3384.25431920854</c:v>
                </c:pt>
                <c:pt idx="55">
                  <c:v>3335.5292470179397</c:v>
                </c:pt>
                <c:pt idx="56">
                  <c:v>3298.9585796434903</c:v>
                </c:pt>
                <c:pt idx="57">
                  <c:v>3478.2347958298196</c:v>
                </c:pt>
                <c:pt idx="58">
                  <c:v>3402.9820201815</c:v>
                </c:pt>
                <c:pt idx="59">
                  <c:v>3335.59466833652</c:v>
                </c:pt>
                <c:pt idx="60">
                  <c:v>3351.1253420283301</c:v>
                </c:pt>
                <c:pt idx="61">
                  <c:v>3354.6276072980299</c:v>
                </c:pt>
                <c:pt idx="62">
                  <c:v>3344.9697291563498</c:v>
                </c:pt>
                <c:pt idx="63">
                  <c:v>3370.59762704481</c:v>
                </c:pt>
                <c:pt idx="64">
                  <c:v>3332.5093837344602</c:v>
                </c:pt>
                <c:pt idx="65">
                  <c:v>3416.2400902395998</c:v>
                </c:pt>
                <c:pt idx="66">
                  <c:v>3298.52447250042</c:v>
                </c:pt>
                <c:pt idx="67">
                  <c:v>3417.17135819652</c:v>
                </c:pt>
                <c:pt idx="68">
                  <c:v>3467.6165729679597</c:v>
                </c:pt>
                <c:pt idx="69">
                  <c:v>3467.2616255806397</c:v>
                </c:pt>
                <c:pt idx="70">
                  <c:v>3488.5476834938299</c:v>
                </c:pt>
                <c:pt idx="71">
                  <c:v>3464.7133888376302</c:v>
                </c:pt>
                <c:pt idx="72">
                  <c:v>3443.2489290264202</c:v>
                </c:pt>
                <c:pt idx="73">
                  <c:v>3428.62250432982</c:v>
                </c:pt>
                <c:pt idx="74">
                  <c:v>3373.3294393508399</c:v>
                </c:pt>
                <c:pt idx="75">
                  <c:v>3402.5702223164199</c:v>
                </c:pt>
                <c:pt idx="76">
                  <c:v>3494.1848143774</c:v>
                </c:pt>
                <c:pt idx="77">
                  <c:v>3541.68786837883</c:v>
                </c:pt>
                <c:pt idx="78">
                  <c:v>3480.1173270632203</c:v>
                </c:pt>
                <c:pt idx="79">
                  <c:v>3463.0382538235399</c:v>
                </c:pt>
                <c:pt idx="80">
                  <c:v>3425.7532103266999</c:v>
                </c:pt>
                <c:pt idx="81">
                  <c:v>3519.5490616966199</c:v>
                </c:pt>
                <c:pt idx="82">
                  <c:v>3494.6881310613899</c:v>
                </c:pt>
                <c:pt idx="83">
                  <c:v>3467.0201725520401</c:v>
                </c:pt>
                <c:pt idx="84">
                  <c:v>3466.2573077659399</c:v>
                </c:pt>
                <c:pt idx="85">
                  <c:v>3424.4397198785</c:v>
                </c:pt>
                <c:pt idx="86">
                  <c:v>3415.44093052983</c:v>
                </c:pt>
                <c:pt idx="87">
                  <c:v>3423.7466496438401</c:v>
                </c:pt>
                <c:pt idx="88">
                  <c:v>3387.1797437635601</c:v>
                </c:pt>
                <c:pt idx="89">
                  <c:v>3327.67396201673</c:v>
                </c:pt>
                <c:pt idx="90">
                  <c:v>3329.52978509286</c:v>
                </c:pt>
                <c:pt idx="91">
                  <c:v>3302.0954000853899</c:v>
                </c:pt>
                <c:pt idx="92">
                  <c:v>3362.2816897355601</c:v>
                </c:pt>
                <c:pt idx="93">
                  <c:v>3345.0398953179101</c:v>
                </c:pt>
                <c:pt idx="94">
                  <c:v>3369.9013402013902</c:v>
                </c:pt>
                <c:pt idx="95">
                  <c:v>3444.1432615250901</c:v>
                </c:pt>
                <c:pt idx="96">
                  <c:v>3427.3737811252499</c:v>
                </c:pt>
                <c:pt idx="97">
                  <c:v>3514.63864346326</c:v>
                </c:pt>
                <c:pt idx="98">
                  <c:v>3524.4761100057599</c:v>
                </c:pt>
                <c:pt idx="99">
                  <c:v>3436.95536609801</c:v>
                </c:pt>
                <c:pt idx="100">
                  <c:v>3357.2288572961002</c:v>
                </c:pt>
                <c:pt idx="101">
                  <c:v>3396.2377075179097</c:v>
                </c:pt>
                <c:pt idx="102">
                  <c:v>3454.8195565149999</c:v>
                </c:pt>
                <c:pt idx="103">
                  <c:v>3477.58326676255</c:v>
                </c:pt>
                <c:pt idx="104">
                  <c:v>3498.7968686643203</c:v>
                </c:pt>
                <c:pt idx="105">
                  <c:v>3471.2968164730901</c:v>
                </c:pt>
                <c:pt idx="106">
                  <c:v>3452.1602603134502</c:v>
                </c:pt>
                <c:pt idx="107">
                  <c:v>3458.6660207453201</c:v>
                </c:pt>
                <c:pt idx="108">
                  <c:v>3418.3087495132299</c:v>
                </c:pt>
                <c:pt idx="109">
                  <c:v>3445.0966044967299</c:v>
                </c:pt>
                <c:pt idx="110">
                  <c:v>3454.7015247848203</c:v>
                </c:pt>
                <c:pt idx="111">
                  <c:v>3273.05127714438</c:v>
                </c:pt>
                <c:pt idx="112">
                  <c:v>3388.42416022419</c:v>
                </c:pt>
                <c:pt idx="113">
                  <c:v>3366.57592619551</c:v>
                </c:pt>
                <c:pt idx="114">
                  <c:v>3354.4406841690598</c:v>
                </c:pt>
                <c:pt idx="115">
                  <c:v>3321.2109328551501</c:v>
                </c:pt>
                <c:pt idx="116">
                  <c:v>3317.6510871088499</c:v>
                </c:pt>
                <c:pt idx="117">
                  <c:v>3350.0728111255403</c:v>
                </c:pt>
                <c:pt idx="118">
                  <c:v>3413.3735202755097</c:v>
                </c:pt>
                <c:pt idx="119">
                  <c:v>3469.1544886505203</c:v>
                </c:pt>
                <c:pt idx="120">
                  <c:v>3461.5426553489601</c:v>
                </c:pt>
                <c:pt idx="121">
                  <c:v>3369.1730676338702</c:v>
                </c:pt>
                <c:pt idx="122">
                  <c:v>3306.7860290526601</c:v>
                </c:pt>
                <c:pt idx="123">
                  <c:v>3372.25395000658</c:v>
                </c:pt>
                <c:pt idx="124">
                  <c:v>3256.7523140090102</c:v>
                </c:pt>
                <c:pt idx="125">
                  <c:v>3397.9240320609997</c:v>
                </c:pt>
                <c:pt idx="126">
                  <c:v>3270.0841422244903</c:v>
                </c:pt>
                <c:pt idx="127">
                  <c:v>3376.2835011832904</c:v>
                </c:pt>
                <c:pt idx="128">
                  <c:v>3411.2328794134201</c:v>
                </c:pt>
                <c:pt idx="129">
                  <c:v>3464.7208755163997</c:v>
                </c:pt>
                <c:pt idx="130">
                  <c:v>3411.16524938675</c:v>
                </c:pt>
                <c:pt idx="131">
                  <c:v>3462.2789892030801</c:v>
                </c:pt>
                <c:pt idx="132">
                  <c:v>3459.28894618821</c:v>
                </c:pt>
                <c:pt idx="133">
                  <c:v>3422.47676141282</c:v>
                </c:pt>
                <c:pt idx="134">
                  <c:v>3375.5973496164197</c:v>
                </c:pt>
                <c:pt idx="135">
                  <c:v>3328.0985285474699</c:v>
                </c:pt>
                <c:pt idx="136">
                  <c:v>3288.97672196744</c:v>
                </c:pt>
                <c:pt idx="137">
                  <c:v>3110.3825722453203</c:v>
                </c:pt>
                <c:pt idx="138">
                  <c:v>3178.5154846319401</c:v>
                </c:pt>
                <c:pt idx="139">
                  <c:v>3084.20698497379</c:v>
                </c:pt>
                <c:pt idx="140">
                  <c:v>3156.7788691175001</c:v>
                </c:pt>
                <c:pt idx="141">
                  <c:v>3258.1047611915901</c:v>
                </c:pt>
                <c:pt idx="142">
                  <c:v>3260.1867249460897</c:v>
                </c:pt>
                <c:pt idx="143">
                  <c:v>3181.4056637358699</c:v>
                </c:pt>
                <c:pt idx="144">
                  <c:v>3100.1616883532201</c:v>
                </c:pt>
                <c:pt idx="145">
                  <c:v>3270.7603141435698</c:v>
                </c:pt>
                <c:pt idx="146">
                  <c:v>3211.4032289216902</c:v>
                </c:pt>
                <c:pt idx="147">
                  <c:v>3253.11447126241</c:v>
                </c:pt>
                <c:pt idx="148">
                  <c:v>3219.8996793286901</c:v>
                </c:pt>
                <c:pt idx="149">
                  <c:v>3305.8096780163701</c:v>
                </c:pt>
                <c:pt idx="150">
                  <c:v>3167.86901937828</c:v>
                </c:pt>
                <c:pt idx="151">
                  <c:v>3054.4093132653002</c:v>
                </c:pt>
                <c:pt idx="152">
                  <c:v>3091.7052394268098</c:v>
                </c:pt>
                <c:pt idx="153">
                  <c:v>2987.7342775136199</c:v>
                </c:pt>
                <c:pt idx="154">
                  <c:v>3127.21941815023</c:v>
                </c:pt>
                <c:pt idx="155">
                  <c:v>3101.7012747322897</c:v>
                </c:pt>
                <c:pt idx="156">
                  <c:v>3083.0103104627901</c:v>
                </c:pt>
                <c:pt idx="157">
                  <c:v>3081.2161784101299</c:v>
                </c:pt>
                <c:pt idx="158">
                  <c:v>3078.3646508208803</c:v>
                </c:pt>
                <c:pt idx="159">
                  <c:v>3065.5259458032301</c:v>
                </c:pt>
                <c:pt idx="160">
                  <c:v>3097.1229367821002</c:v>
                </c:pt>
                <c:pt idx="161">
                  <c:v>3079.38630171775</c:v>
                </c:pt>
                <c:pt idx="162">
                  <c:v>3066.1297844451101</c:v>
                </c:pt>
                <c:pt idx="163">
                  <c:v>3065.2031341226802</c:v>
                </c:pt>
                <c:pt idx="164">
                  <c:v>3124.8807793113101</c:v>
                </c:pt>
                <c:pt idx="165">
                  <c:v>3123.3309842642202</c:v>
                </c:pt>
                <c:pt idx="166">
                  <c:v>3117.4019790498501</c:v>
                </c:pt>
                <c:pt idx="167">
                  <c:v>3125.8554674141701</c:v>
                </c:pt>
                <c:pt idx="168">
                  <c:v>3094.9998367364701</c:v>
                </c:pt>
                <c:pt idx="169">
                  <c:v>3108.1204092204698</c:v>
                </c:pt>
                <c:pt idx="170">
                  <c:v>3095.9755554824201</c:v>
                </c:pt>
                <c:pt idx="171">
                  <c:v>3094.2137677532401</c:v>
                </c:pt>
                <c:pt idx="172">
                  <c:v>3103.55278216548</c:v>
                </c:pt>
                <c:pt idx="173">
                  <c:v>3098.7770491759502</c:v>
                </c:pt>
                <c:pt idx="174">
                  <c:v>3079.7364019266902</c:v>
                </c:pt>
                <c:pt idx="175">
                  <c:v>3133.7002467765701</c:v>
                </c:pt>
                <c:pt idx="176">
                  <c:v>3023.6869633046799</c:v>
                </c:pt>
                <c:pt idx="177">
                  <c:v>3001.6444267668999</c:v>
                </c:pt>
                <c:pt idx="178">
                  <c:v>3003.0011462042003</c:v>
                </c:pt>
                <c:pt idx="179">
                  <c:v>2984.55262897993</c:v>
                </c:pt>
                <c:pt idx="180">
                  <c:v>3025.23212247324</c:v>
                </c:pt>
                <c:pt idx="181">
                  <c:v>3003.2874815824198</c:v>
                </c:pt>
                <c:pt idx="182">
                  <c:v>3011.1614091996198</c:v>
                </c:pt>
                <c:pt idx="183">
                  <c:v>3104.19489233679</c:v>
                </c:pt>
                <c:pt idx="184">
                  <c:v>3094.1660706091602</c:v>
                </c:pt>
                <c:pt idx="185">
                  <c:v>3038.7279599245398</c:v>
                </c:pt>
                <c:pt idx="186">
                  <c:v>3100.2034203378303</c:v>
                </c:pt>
                <c:pt idx="187">
                  <c:v>3066.79249471413</c:v>
                </c:pt>
                <c:pt idx="188">
                  <c:v>3030.0116884609301</c:v>
                </c:pt>
                <c:pt idx="189">
                  <c:v>3071.5504017425301</c:v>
                </c:pt>
                <c:pt idx="190">
                  <c:v>3066.33037488131</c:v>
                </c:pt>
                <c:pt idx="191">
                  <c:v>3072.5820627778398</c:v>
                </c:pt>
                <c:pt idx="192">
                  <c:v>3129.3880982887003</c:v>
                </c:pt>
                <c:pt idx="193">
                  <c:v>3117.4868136128098</c:v>
                </c:pt>
                <c:pt idx="194">
                  <c:v>3081.1712775742399</c:v>
                </c:pt>
                <c:pt idx="195">
                  <c:v>3087.5366157146</c:v>
                </c:pt>
                <c:pt idx="196">
                  <c:v>3127.9971405363599</c:v>
                </c:pt>
                <c:pt idx="197">
                  <c:v>3123.0279603948302</c:v>
                </c:pt>
                <c:pt idx="198">
                  <c:v>3124.2148125056301</c:v>
                </c:pt>
                <c:pt idx="199">
                  <c:v>3097.0143530832597</c:v>
                </c:pt>
                <c:pt idx="200">
                  <c:v>3124.0115715561797</c:v>
                </c:pt>
                <c:pt idx="201">
                  <c:v>3151.1211099771099</c:v>
                </c:pt>
                <c:pt idx="202">
                  <c:v>3146.8288346274699</c:v>
                </c:pt>
                <c:pt idx="203">
                  <c:v>3371.90237429126</c:v>
                </c:pt>
                <c:pt idx="204">
                  <c:v>3259.28241720506</c:v>
                </c:pt>
                <c:pt idx="205">
                  <c:v>3398.4493076597901</c:v>
                </c:pt>
                <c:pt idx="206">
                  <c:v>3417.74327099333</c:v>
                </c:pt>
                <c:pt idx="207">
                  <c:v>3277.6725252379197</c:v>
                </c:pt>
                <c:pt idx="208">
                  <c:v>3291.2524316077397</c:v>
                </c:pt>
                <c:pt idx="209">
                  <c:v>3377.8789473543402</c:v>
                </c:pt>
                <c:pt idx="210">
                  <c:v>3218.44048477462</c:v>
                </c:pt>
                <c:pt idx="211">
                  <c:v>3224.1782045924101</c:v>
                </c:pt>
                <c:pt idx="212">
                  <c:v>3323.18118077299</c:v>
                </c:pt>
                <c:pt idx="213">
                  <c:v>3384.0236089701098</c:v>
                </c:pt>
                <c:pt idx="214">
                  <c:v>3187.7934287919898</c:v>
                </c:pt>
                <c:pt idx="215">
                  <c:v>3209.5373350674899</c:v>
                </c:pt>
                <c:pt idx="216">
                  <c:v>3211.24144557722</c:v>
                </c:pt>
                <c:pt idx="217">
                  <c:v>3298.0582921714799</c:v>
                </c:pt>
                <c:pt idx="218">
                  <c:v>3289.5794001495897</c:v>
                </c:pt>
                <c:pt idx="219">
                  <c:v>3397.29876495083</c:v>
                </c:pt>
                <c:pt idx="220">
                  <c:v>3330.2582166830298</c:v>
                </c:pt>
                <c:pt idx="221">
                  <c:v>3172.6386893419103</c:v>
                </c:pt>
                <c:pt idx="222">
                  <c:v>3161.1813577224802</c:v>
                </c:pt>
                <c:pt idx="223">
                  <c:v>3320.4902469472199</c:v>
                </c:pt>
                <c:pt idx="224">
                  <c:v>3343.26141142501</c:v>
                </c:pt>
                <c:pt idx="225">
                  <c:v>3155.52820932132</c:v>
                </c:pt>
                <c:pt idx="226">
                  <c:v>3174.3679476697098</c:v>
                </c:pt>
                <c:pt idx="227">
                  <c:v>3174.3895308600104</c:v>
                </c:pt>
                <c:pt idx="228">
                  <c:v>3280.0882660232501</c:v>
                </c:pt>
                <c:pt idx="229">
                  <c:v>3312.1081857000199</c:v>
                </c:pt>
                <c:pt idx="230">
                  <c:v>3115.4036217398302</c:v>
                </c:pt>
                <c:pt idx="231">
                  <c:v>3134.1310814824801</c:v>
                </c:pt>
                <c:pt idx="232">
                  <c:v>3156.4838466800898</c:v>
                </c:pt>
                <c:pt idx="233">
                  <c:v>3191.8907540783202</c:v>
                </c:pt>
                <c:pt idx="234">
                  <c:v>3361.0321083180097</c:v>
                </c:pt>
                <c:pt idx="235">
                  <c:v>3323.2937344842298</c:v>
                </c:pt>
                <c:pt idx="236">
                  <c:v>3249.3833335347099</c:v>
                </c:pt>
                <c:pt idx="237">
                  <c:v>3300.1946376711999</c:v>
                </c:pt>
                <c:pt idx="238">
                  <c:v>3347.90364533408</c:v>
                </c:pt>
                <c:pt idx="239">
                  <c:v>3372.39111316453</c:v>
                </c:pt>
                <c:pt idx="240">
                  <c:v>3367.7305937496199</c:v>
                </c:pt>
                <c:pt idx="241">
                  <c:v>3206.2425379135898</c:v>
                </c:pt>
                <c:pt idx="242">
                  <c:v>3226.1812823658001</c:v>
                </c:pt>
                <c:pt idx="243">
                  <c:v>3285.2121317583501</c:v>
                </c:pt>
                <c:pt idx="244">
                  <c:v>3144.0109799307797</c:v>
                </c:pt>
                <c:pt idx="245">
                  <c:v>3074.6443239002801</c:v>
                </c:pt>
                <c:pt idx="246">
                  <c:v>3064.0724228706304</c:v>
                </c:pt>
                <c:pt idx="247">
                  <c:v>3313.0361786559797</c:v>
                </c:pt>
                <c:pt idx="248">
                  <c:v>3338.9736660552403</c:v>
                </c:pt>
                <c:pt idx="249">
                  <c:v>3374.28529728991</c:v>
                </c:pt>
                <c:pt idx="250">
                  <c:v>3226.1171259736498</c:v>
                </c:pt>
                <c:pt idx="251">
                  <c:v>3239.9313177798704</c:v>
                </c:pt>
                <c:pt idx="252">
                  <c:v>3284.7059921946097</c:v>
                </c:pt>
                <c:pt idx="253">
                  <c:v>3322.8698447522302</c:v>
                </c:pt>
                <c:pt idx="254">
                  <c:v>3413.77831523958</c:v>
                </c:pt>
                <c:pt idx="255">
                  <c:v>3396.0918600854197</c:v>
                </c:pt>
                <c:pt idx="256">
                  <c:v>3377.7331794628999</c:v>
                </c:pt>
                <c:pt idx="257">
                  <c:v>3363.48711997175</c:v>
                </c:pt>
                <c:pt idx="258">
                  <c:v>3291.0467473778103</c:v>
                </c:pt>
                <c:pt idx="259">
                  <c:v>3251.46557198765</c:v>
                </c:pt>
                <c:pt idx="260">
                  <c:v>3164.4609749394599</c:v>
                </c:pt>
                <c:pt idx="261">
                  <c:v>3181.22463624895</c:v>
                </c:pt>
                <c:pt idx="262">
                  <c:v>3230.8311505588999</c:v>
                </c:pt>
                <c:pt idx="263">
                  <c:v>3195.0926206558802</c:v>
                </c:pt>
                <c:pt idx="264">
                  <c:v>3228.85135428995</c:v>
                </c:pt>
                <c:pt idx="265">
                  <c:v>3208.7054639941198</c:v>
                </c:pt>
                <c:pt idx="266">
                  <c:v>3220.9719603882399</c:v>
                </c:pt>
                <c:pt idx="267">
                  <c:v>3186.5010670780898</c:v>
                </c:pt>
                <c:pt idx="268">
                  <c:v>3239.9416466939397</c:v>
                </c:pt>
                <c:pt idx="269">
                  <c:v>3303.66698475777</c:v>
                </c:pt>
                <c:pt idx="270">
                  <c:v>3318.50056017518</c:v>
                </c:pt>
                <c:pt idx="271">
                  <c:v>3247.5775047328202</c:v>
                </c:pt>
                <c:pt idx="272">
                  <c:v>3257.6742865568099</c:v>
                </c:pt>
                <c:pt idx="273">
                  <c:v>3223.60883074407</c:v>
                </c:pt>
                <c:pt idx="274">
                  <c:v>3132.0851614546</c:v>
                </c:pt>
                <c:pt idx="275">
                  <c:v>3209.6762911679302</c:v>
                </c:pt>
                <c:pt idx="276">
                  <c:v>3108.7069376785003</c:v>
                </c:pt>
                <c:pt idx="277">
                  <c:v>3162.2539565956404</c:v>
                </c:pt>
                <c:pt idx="278">
                  <c:v>3072.2852400942102</c:v>
                </c:pt>
                <c:pt idx="279">
                  <c:v>3167.6989168657201</c:v>
                </c:pt>
                <c:pt idx="280">
                  <c:v>3271.9387283598503</c:v>
                </c:pt>
                <c:pt idx="281">
                  <c:v>3360.8050237390798</c:v>
                </c:pt>
                <c:pt idx="282">
                  <c:v>3387.9060066153502</c:v>
                </c:pt>
                <c:pt idx="283">
                  <c:v>3112.5496931080297</c:v>
                </c:pt>
                <c:pt idx="284">
                  <c:v>3064.2710319210501</c:v>
                </c:pt>
                <c:pt idx="285">
                  <c:v>2984.09547946161</c:v>
                </c:pt>
                <c:pt idx="286">
                  <c:v>3040.69623741228</c:v>
                </c:pt>
                <c:pt idx="287">
                  <c:v>3231.4626677587198</c:v>
                </c:pt>
                <c:pt idx="288">
                  <c:v>3283.5467612709599</c:v>
                </c:pt>
                <c:pt idx="289">
                  <c:v>3389.6850881253499</c:v>
                </c:pt>
                <c:pt idx="290">
                  <c:v>3383.4293260305699</c:v>
                </c:pt>
                <c:pt idx="291">
                  <c:v>3331.1928341897201</c:v>
                </c:pt>
                <c:pt idx="292">
                  <c:v>3357.5937460673599</c:v>
                </c:pt>
                <c:pt idx="293">
                  <c:v>3317.2681202870999</c:v>
                </c:pt>
                <c:pt idx="294">
                  <c:v>3329.5151562754299</c:v>
                </c:pt>
                <c:pt idx="295">
                  <c:v>3228.7962470883499</c:v>
                </c:pt>
                <c:pt idx="296">
                  <c:v>3274.8369244927103</c:v>
                </c:pt>
                <c:pt idx="297">
                  <c:v>3245.2886005210303</c:v>
                </c:pt>
                <c:pt idx="298">
                  <c:v>3157.3629312059102</c:v>
                </c:pt>
                <c:pt idx="299">
                  <c:v>3094.1447054420701</c:v>
                </c:pt>
                <c:pt idx="300">
                  <c:v>3072.6046433584402</c:v>
                </c:pt>
                <c:pt idx="301">
                  <c:v>3172.9895636661099</c:v>
                </c:pt>
                <c:pt idx="302">
                  <c:v>3234.4114080671698</c:v>
                </c:pt>
                <c:pt idx="303">
                  <c:v>3298.7593365453899</c:v>
                </c:pt>
                <c:pt idx="304">
                  <c:v>3315.85453937273</c:v>
                </c:pt>
                <c:pt idx="305">
                  <c:v>3261.1106681173201</c:v>
                </c:pt>
                <c:pt idx="306">
                  <c:v>3315.2591597554997</c:v>
                </c:pt>
                <c:pt idx="307">
                  <c:v>3330.3646844081404</c:v>
                </c:pt>
                <c:pt idx="308">
                  <c:v>3290.5060544605199</c:v>
                </c:pt>
                <c:pt idx="309">
                  <c:v>3406.3993562106002</c:v>
                </c:pt>
                <c:pt idx="310">
                  <c:v>3407.42780770128</c:v>
                </c:pt>
                <c:pt idx="311">
                  <c:v>3361.5787397128897</c:v>
                </c:pt>
                <c:pt idx="312">
                  <c:v>3359.0025055628603</c:v>
                </c:pt>
                <c:pt idx="313">
                  <c:v>3236.213985164</c:v>
                </c:pt>
                <c:pt idx="314">
                  <c:v>3143.4840958468599</c:v>
                </c:pt>
                <c:pt idx="315">
                  <c:v>3202.86363834541</c:v>
                </c:pt>
                <c:pt idx="316">
                  <c:v>3198.2091630621403</c:v>
                </c:pt>
                <c:pt idx="317">
                  <c:v>3262.4344045551802</c:v>
                </c:pt>
                <c:pt idx="318">
                  <c:v>3286.0546778366797</c:v>
                </c:pt>
                <c:pt idx="319">
                  <c:v>3223.9427195162702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5-DE49-81E3-F71201B1B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D-CE43-9168-2B005B2CFA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'240823A005'!$A$2:$A$321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'240823A005'!$P$2:$P$321</c:f>
              <c:numCache>
                <c:formatCode>General</c:formatCode>
                <c:ptCount val="320"/>
                <c:pt idx="0">
                  <c:v>-12.364337037037915</c:v>
                </c:pt>
                <c:pt idx="1">
                  <c:v>-11.779572714959846</c:v>
                </c:pt>
                <c:pt idx="2">
                  <c:v>-11.275344266748318</c:v>
                </c:pt>
                <c:pt idx="3">
                  <c:v>-1.9137734101140491</c:v>
                </c:pt>
                <c:pt idx="4">
                  <c:v>-8.544886815333756</c:v>
                </c:pt>
                <c:pt idx="5">
                  <c:v>-11.858705716152935</c:v>
                </c:pt>
                <c:pt idx="6">
                  <c:v>-16.018155072183681</c:v>
                </c:pt>
                <c:pt idx="7">
                  <c:v>-10.237289449888493</c:v>
                </c:pt>
                <c:pt idx="8">
                  <c:v>-13.420865625571826</c:v>
                </c:pt>
                <c:pt idx="9">
                  <c:v>-14.378915163131085</c:v>
                </c:pt>
                <c:pt idx="10">
                  <c:v>-5.9242784482389652</c:v>
                </c:pt>
                <c:pt idx="11">
                  <c:v>-16.06484992008858</c:v>
                </c:pt>
                <c:pt idx="12">
                  <c:v>-16.303499420258273</c:v>
                </c:pt>
                <c:pt idx="13">
                  <c:v>-14.370206806038466</c:v>
                </c:pt>
                <c:pt idx="14">
                  <c:v>-14.31979549001467</c:v>
                </c:pt>
                <c:pt idx="15">
                  <c:v>-16.179602965308344</c:v>
                </c:pt>
                <c:pt idx="16">
                  <c:v>-17.05544062261254</c:v>
                </c:pt>
                <c:pt idx="17">
                  <c:v>-17.10832838604529</c:v>
                </c:pt>
                <c:pt idx="18">
                  <c:v>-17.326738134341291</c:v>
                </c:pt>
                <c:pt idx="19">
                  <c:v>-17.542414119994294</c:v>
                </c:pt>
                <c:pt idx="20">
                  <c:v>-15.473963014744246</c:v>
                </c:pt>
                <c:pt idx="21">
                  <c:v>-14.117119245065107</c:v>
                </c:pt>
                <c:pt idx="22">
                  <c:v>-12.782951544165661</c:v>
                </c:pt>
                <c:pt idx="23">
                  <c:v>-14.324558238184567</c:v>
                </c:pt>
                <c:pt idx="24">
                  <c:v>-16.286738031942196</c:v>
                </c:pt>
                <c:pt idx="25">
                  <c:v>-16.727542432693621</c:v>
                </c:pt>
                <c:pt idx="26">
                  <c:v>-16.736293642261646</c:v>
                </c:pt>
                <c:pt idx="27">
                  <c:v>-16.841357923472184</c:v>
                </c:pt>
                <c:pt idx="28">
                  <c:v>-16.094929148103191</c:v>
                </c:pt>
                <c:pt idx="29">
                  <c:v>-9.814044468043047</c:v>
                </c:pt>
                <c:pt idx="30">
                  <c:v>-12.364670159360708</c:v>
                </c:pt>
                <c:pt idx="31">
                  <c:v>-14.477537987991704</c:v>
                </c:pt>
                <c:pt idx="32">
                  <c:v>-15.499962359016054</c:v>
                </c:pt>
                <c:pt idx="33">
                  <c:v>-13.888880663250832</c:v>
                </c:pt>
                <c:pt idx="34">
                  <c:v>-15.683546185611984</c:v>
                </c:pt>
                <c:pt idx="35">
                  <c:v>-15.81668352421986</c:v>
                </c:pt>
                <c:pt idx="36">
                  <c:v>-9.852700765256758</c:v>
                </c:pt>
                <c:pt idx="37">
                  <c:v>-10.923695585837267</c:v>
                </c:pt>
                <c:pt idx="38">
                  <c:v>-12.69560651910751</c:v>
                </c:pt>
                <c:pt idx="39">
                  <c:v>-13.082641487798389</c:v>
                </c:pt>
                <c:pt idx="40">
                  <c:v>-8.884490480134053</c:v>
                </c:pt>
                <c:pt idx="41">
                  <c:v>-9.4276510369434696</c:v>
                </c:pt>
                <c:pt idx="42">
                  <c:v>-10.972036769439818</c:v>
                </c:pt>
                <c:pt idx="43">
                  <c:v>-11.556115781771133</c:v>
                </c:pt>
                <c:pt idx="44">
                  <c:v>-11.997596480545988</c:v>
                </c:pt>
                <c:pt idx="45">
                  <c:v>-11.728999095298887</c:v>
                </c:pt>
                <c:pt idx="46">
                  <c:v>-13.193638430261789</c:v>
                </c:pt>
                <c:pt idx="47">
                  <c:v>-12.757484006064468</c:v>
                </c:pt>
                <c:pt idx="48">
                  <c:v>-11.589147584111476</c:v>
                </c:pt>
                <c:pt idx="49">
                  <c:v>-10.277628289937663</c:v>
                </c:pt>
                <c:pt idx="50">
                  <c:v>-6.230805944088166</c:v>
                </c:pt>
                <c:pt idx="51">
                  <c:v>-7.5144742940088394</c:v>
                </c:pt>
                <c:pt idx="52">
                  <c:v>-4.1621194360922811</c:v>
                </c:pt>
                <c:pt idx="53">
                  <c:v>-6.6095888160460037</c:v>
                </c:pt>
                <c:pt idx="54">
                  <c:v>-9.2318724468898097</c:v>
                </c:pt>
                <c:pt idx="55">
                  <c:v>-8.0611761100940846</c:v>
                </c:pt>
                <c:pt idx="56">
                  <c:v>-7.5739477299633444</c:v>
                </c:pt>
                <c:pt idx="57">
                  <c:v>-7.7415802492218484</c:v>
                </c:pt>
                <c:pt idx="58">
                  <c:v>-9.0835828862043204</c:v>
                </c:pt>
                <c:pt idx="59">
                  <c:v>-10.132363759184907</c:v>
                </c:pt>
                <c:pt idx="60">
                  <c:v>-5.8788366191189914</c:v>
                </c:pt>
                <c:pt idx="61">
                  <c:v>-4.3907257130690258</c:v>
                </c:pt>
                <c:pt idx="62">
                  <c:v>-2.2199945388442823</c:v>
                </c:pt>
                <c:pt idx="63">
                  <c:v>-3.5659983538922169</c:v>
                </c:pt>
                <c:pt idx="64">
                  <c:v>-4.5297991577446188</c:v>
                </c:pt>
                <c:pt idx="65">
                  <c:v>-3.4227389405342841</c:v>
                </c:pt>
                <c:pt idx="66">
                  <c:v>-2.2902635999782603</c:v>
                </c:pt>
                <c:pt idx="67">
                  <c:v>1.1060122388184948</c:v>
                </c:pt>
                <c:pt idx="68">
                  <c:v>2.4095072393397543</c:v>
                </c:pt>
                <c:pt idx="69">
                  <c:v>5.0318400895728733E-2</c:v>
                </c:pt>
                <c:pt idx="70">
                  <c:v>0.28448109524824849</c:v>
                </c:pt>
                <c:pt idx="71">
                  <c:v>-1.4282454662394739</c:v>
                </c:pt>
                <c:pt idx="72">
                  <c:v>-2.5209981083185844</c:v>
                </c:pt>
                <c:pt idx="73">
                  <c:v>-2.7320551499432746</c:v>
                </c:pt>
                <c:pt idx="74">
                  <c:v>6.0380644248980886</c:v>
                </c:pt>
                <c:pt idx="75">
                  <c:v>6.8809804390067422</c:v>
                </c:pt>
                <c:pt idx="76">
                  <c:v>4.6328504954726597</c:v>
                </c:pt>
                <c:pt idx="77">
                  <c:v>4.8892988639246457</c:v>
                </c:pt>
                <c:pt idx="78">
                  <c:v>3.6477376973586288</c:v>
                </c:pt>
                <c:pt idx="79">
                  <c:v>3.040404752719688</c:v>
                </c:pt>
                <c:pt idx="80">
                  <c:v>1.8928368849177801</c:v>
                </c:pt>
                <c:pt idx="81">
                  <c:v>1.7951586806666939</c:v>
                </c:pt>
                <c:pt idx="82">
                  <c:v>-4.259751027248377E-2</c:v>
                </c:pt>
                <c:pt idx="83">
                  <c:v>-1.2859714419656756</c:v>
                </c:pt>
                <c:pt idx="84">
                  <c:v>-2.098722919392717</c:v>
                </c:pt>
                <c:pt idx="85">
                  <c:v>-3.2447460750511548</c:v>
                </c:pt>
                <c:pt idx="86">
                  <c:v>-0.95905783257745847</c:v>
                </c:pt>
                <c:pt idx="87">
                  <c:v>2.3812729558347487</c:v>
                </c:pt>
                <c:pt idx="88">
                  <c:v>4.4574872157250933</c:v>
                </c:pt>
                <c:pt idx="89">
                  <c:v>12.790484893249445</c:v>
                </c:pt>
                <c:pt idx="90">
                  <c:v>13.67487365823572</c:v>
                </c:pt>
                <c:pt idx="91">
                  <c:v>14.769535520330759</c:v>
                </c:pt>
                <c:pt idx="92">
                  <c:v>12.061076321239989</c:v>
                </c:pt>
                <c:pt idx="93">
                  <c:v>13.374501135392252</c:v>
                </c:pt>
                <c:pt idx="94">
                  <c:v>12.366177158778587</c:v>
                </c:pt>
                <c:pt idx="95">
                  <c:v>12.086366994953586</c:v>
                </c:pt>
                <c:pt idx="96">
                  <c:v>12.134396361223287</c:v>
                </c:pt>
                <c:pt idx="97">
                  <c:v>11.119654056037414</c:v>
                </c:pt>
                <c:pt idx="98">
                  <c:v>8.6210485394950052</c:v>
                </c:pt>
                <c:pt idx="99">
                  <c:v>10.527279079080827</c:v>
                </c:pt>
                <c:pt idx="100">
                  <c:v>9.7757171701028316</c:v>
                </c:pt>
                <c:pt idx="101">
                  <c:v>8.1674930269851487</c:v>
                </c:pt>
                <c:pt idx="102">
                  <c:v>5.7365968151030815</c:v>
                </c:pt>
                <c:pt idx="103">
                  <c:v>5.4395781529116984</c:v>
                </c:pt>
                <c:pt idx="104">
                  <c:v>5.5227412821412489</c:v>
                </c:pt>
                <c:pt idx="105">
                  <c:v>4.9841203718442522</c:v>
                </c:pt>
                <c:pt idx="106">
                  <c:v>3.6979261028739927</c:v>
                </c:pt>
                <c:pt idx="107">
                  <c:v>4.843901859212413</c:v>
                </c:pt>
                <c:pt idx="108">
                  <c:v>7.1150496318083247</c:v>
                </c:pt>
                <c:pt idx="109">
                  <c:v>9.0465015422445969</c:v>
                </c:pt>
                <c:pt idx="110">
                  <c:v>9.7369270978807361</c:v>
                </c:pt>
                <c:pt idx="111">
                  <c:v>10.97291313816274</c:v>
                </c:pt>
                <c:pt idx="112">
                  <c:v>9.0015194058547898</c:v>
                </c:pt>
                <c:pt idx="113">
                  <c:v>8.9778437581449726</c:v>
                </c:pt>
                <c:pt idx="114">
                  <c:v>7.5894204393361209</c:v>
                </c:pt>
                <c:pt idx="115">
                  <c:v>8.5855504915560612</c:v>
                </c:pt>
                <c:pt idx="116">
                  <c:v>6.8733566142034315</c:v>
                </c:pt>
                <c:pt idx="117">
                  <c:v>7.1660054396357751</c:v>
                </c:pt>
                <c:pt idx="118">
                  <c:v>4.1820352901584403</c:v>
                </c:pt>
                <c:pt idx="119">
                  <c:v>3.6026944586212784</c:v>
                </c:pt>
                <c:pt idx="120">
                  <c:v>3.2235474924986609</c:v>
                </c:pt>
                <c:pt idx="121">
                  <c:v>2.4572279059636744</c:v>
                </c:pt>
                <c:pt idx="122">
                  <c:v>1.0477117178607454</c:v>
                </c:pt>
                <c:pt idx="123">
                  <c:v>1.4915052213577908</c:v>
                </c:pt>
                <c:pt idx="124">
                  <c:v>1.1295607065560276</c:v>
                </c:pt>
                <c:pt idx="125">
                  <c:v>4.3262723326615378</c:v>
                </c:pt>
                <c:pt idx="126">
                  <c:v>5.9978236263000086</c:v>
                </c:pt>
                <c:pt idx="127">
                  <c:v>4.5968509284273313</c:v>
                </c:pt>
                <c:pt idx="128">
                  <c:v>5.2199788273416026</c:v>
                </c:pt>
                <c:pt idx="129">
                  <c:v>3.7051362129292156</c:v>
                </c:pt>
                <c:pt idx="130">
                  <c:v>3.3849083328231231</c:v>
                </c:pt>
                <c:pt idx="131">
                  <c:v>2.5992106459166142</c:v>
                </c:pt>
                <c:pt idx="132">
                  <c:v>1.7187312125989316</c:v>
                </c:pt>
                <c:pt idx="133">
                  <c:v>0.52273340435850757</c:v>
                </c:pt>
                <c:pt idx="134">
                  <c:v>-0.62581111084557572</c:v>
                </c:pt>
                <c:pt idx="135">
                  <c:v>-1.0712089885704752</c:v>
                </c:pt>
                <c:pt idx="136">
                  <c:v>-1.8270557022735814</c:v>
                </c:pt>
                <c:pt idx="137">
                  <c:v>0.17435330009491568</c:v>
                </c:pt>
                <c:pt idx="138">
                  <c:v>1.4997990061312532</c:v>
                </c:pt>
                <c:pt idx="139">
                  <c:v>3.5784633449514818</c:v>
                </c:pt>
                <c:pt idx="140">
                  <c:v>5.291102757020421</c:v>
                </c:pt>
                <c:pt idx="141">
                  <c:v>6.5597593112772499</c:v>
                </c:pt>
                <c:pt idx="142">
                  <c:v>8.5736732513731777</c:v>
                </c:pt>
                <c:pt idx="143">
                  <c:v>8.1828312273939616</c:v>
                </c:pt>
                <c:pt idx="144">
                  <c:v>7.5284355449063698</c:v>
                </c:pt>
                <c:pt idx="145">
                  <c:v>3.4094084936746052</c:v>
                </c:pt>
                <c:pt idx="146">
                  <c:v>2.7388147474947186</c:v>
                </c:pt>
                <c:pt idx="147">
                  <c:v>1.5374293833228532</c:v>
                </c:pt>
                <c:pt idx="148">
                  <c:v>1.4962168939209142</c:v>
                </c:pt>
                <c:pt idx="149">
                  <c:v>0.33881065382543568</c:v>
                </c:pt>
                <c:pt idx="150">
                  <c:v>1.256680123369083</c:v>
                </c:pt>
                <c:pt idx="151">
                  <c:v>3.5510541976864576</c:v>
                </c:pt>
                <c:pt idx="152">
                  <c:v>1.8988480654900157</c:v>
                </c:pt>
                <c:pt idx="153">
                  <c:v>2.8707725171390401</c:v>
                </c:pt>
                <c:pt idx="154">
                  <c:v>-0.29880481071932502</c:v>
                </c:pt>
                <c:pt idx="155">
                  <c:v>-0.6885555803152883</c:v>
                </c:pt>
                <c:pt idx="156">
                  <c:v>-1.8282359556236318</c:v>
                </c:pt>
                <c:pt idx="157">
                  <c:v>-2.1505785176740702</c:v>
                </c:pt>
                <c:pt idx="158">
                  <c:v>-2.6032308269135904</c:v>
                </c:pt>
                <c:pt idx="159">
                  <c:v>-3.1917937434601971</c:v>
                </c:pt>
                <c:pt idx="160">
                  <c:v>-3.8673477562884488</c:v>
                </c:pt>
                <c:pt idx="161">
                  <c:v>-4.5155977743119449</c:v>
                </c:pt>
                <c:pt idx="162">
                  <c:v>-4.6029234072430238</c:v>
                </c:pt>
                <c:pt idx="163">
                  <c:v>-5.1774701643994243</c:v>
                </c:pt>
                <c:pt idx="164">
                  <c:v>-5.8727906556659155</c:v>
                </c:pt>
                <c:pt idx="165">
                  <c:v>-6.3086599494419318</c:v>
                </c:pt>
                <c:pt idx="166">
                  <c:v>-6.0375068779073926</c:v>
                </c:pt>
                <c:pt idx="167">
                  <c:v>-3.7629726065560956</c:v>
                </c:pt>
                <c:pt idx="168">
                  <c:v>-2.4754116504579655</c:v>
                </c:pt>
                <c:pt idx="169">
                  <c:v>-1.5973115825904647</c:v>
                </c:pt>
                <c:pt idx="170">
                  <c:v>-0.449497943521456</c:v>
                </c:pt>
                <c:pt idx="171">
                  <c:v>-0.56891222657088147</c:v>
                </c:pt>
                <c:pt idx="172">
                  <c:v>-1.6030933088071024</c:v>
                </c:pt>
                <c:pt idx="173">
                  <c:v>-1.3564312019799338</c:v>
                </c:pt>
                <c:pt idx="174">
                  <c:v>-0.47205838371279507</c:v>
                </c:pt>
                <c:pt idx="175">
                  <c:v>-1.1135167752127573</c:v>
                </c:pt>
                <c:pt idx="176">
                  <c:v>-0.97165185156944056</c:v>
                </c:pt>
                <c:pt idx="177">
                  <c:v>-1.1612636223831443</c:v>
                </c:pt>
                <c:pt idx="178">
                  <c:v>-1.9116858672156074</c:v>
                </c:pt>
                <c:pt idx="179">
                  <c:v>-1.3696022429652772</c:v>
                </c:pt>
                <c:pt idx="180">
                  <c:v>-1.8735369423698023</c:v>
                </c:pt>
                <c:pt idx="181">
                  <c:v>-0.88539319281570295</c:v>
                </c:pt>
                <c:pt idx="182">
                  <c:v>-1.4302224510932737</c:v>
                </c:pt>
                <c:pt idx="183">
                  <c:v>-2.7406972573673842</c:v>
                </c:pt>
                <c:pt idx="184">
                  <c:v>-3.1685792969872053</c:v>
                </c:pt>
                <c:pt idx="185">
                  <c:v>5.6569887605849613E-2</c:v>
                </c:pt>
                <c:pt idx="186">
                  <c:v>1.2959835192100715</c:v>
                </c:pt>
                <c:pt idx="187">
                  <c:v>1.5335240355542477</c:v>
                </c:pt>
                <c:pt idx="188">
                  <c:v>2.2633543928011952</c:v>
                </c:pt>
                <c:pt idx="189">
                  <c:v>2.0688530504472116</c:v>
                </c:pt>
                <c:pt idx="190">
                  <c:v>3.3499530760368295</c:v>
                </c:pt>
                <c:pt idx="191">
                  <c:v>2.1087557267999628</c:v>
                </c:pt>
                <c:pt idx="192">
                  <c:v>0.24208527692689488</c:v>
                </c:pt>
                <c:pt idx="193">
                  <c:v>2.8333784556231172</c:v>
                </c:pt>
                <c:pt idx="194">
                  <c:v>3.2034192170728732</c:v>
                </c:pt>
                <c:pt idx="195">
                  <c:v>4.5031203107183773</c:v>
                </c:pt>
                <c:pt idx="196">
                  <c:v>4.9478687758418189</c:v>
                </c:pt>
                <c:pt idx="197">
                  <c:v>6.1074173650258468</c:v>
                </c:pt>
                <c:pt idx="198">
                  <c:v>5.4218162893740809</c:v>
                </c:pt>
                <c:pt idx="199">
                  <c:v>6.5318583044013394</c:v>
                </c:pt>
                <c:pt idx="200">
                  <c:v>4.9660307655007143</c:v>
                </c:pt>
                <c:pt idx="201">
                  <c:v>3.1043197171150538</c:v>
                </c:pt>
                <c:pt idx="202">
                  <c:v>6.4133491937522741E-2</c:v>
                </c:pt>
                <c:pt idx="203">
                  <c:v>2.8228208688204579</c:v>
                </c:pt>
                <c:pt idx="204">
                  <c:v>2.3546312872130568</c:v>
                </c:pt>
                <c:pt idx="205">
                  <c:v>1.4702304398502308</c:v>
                </c:pt>
                <c:pt idx="206">
                  <c:v>0.76826307122133464</c:v>
                </c:pt>
                <c:pt idx="207">
                  <c:v>-0.82858088337099067</c:v>
                </c:pt>
                <c:pt idx="208">
                  <c:v>-1.8755217477577233</c:v>
                </c:pt>
                <c:pt idx="209">
                  <c:v>-1.9279718315318544</c:v>
                </c:pt>
                <c:pt idx="210">
                  <c:v>-1.141920098873896</c:v>
                </c:pt>
                <c:pt idx="211">
                  <c:v>-2.7205486665375171</c:v>
                </c:pt>
                <c:pt idx="212">
                  <c:v>-2.5899823701796487</c:v>
                </c:pt>
                <c:pt idx="213">
                  <c:v>0.70048368190057364</c:v>
                </c:pt>
                <c:pt idx="214">
                  <c:v>0.70527866079689283</c:v>
                </c:pt>
                <c:pt idx="215">
                  <c:v>-0.59371654064107016</c:v>
                </c:pt>
                <c:pt idx="216">
                  <c:v>-2.1334006080312995</c:v>
                </c:pt>
                <c:pt idx="217">
                  <c:v>-2.8264965152966748</c:v>
                </c:pt>
                <c:pt idx="218">
                  <c:v>-2.7027170717158255</c:v>
                </c:pt>
                <c:pt idx="219">
                  <c:v>-3.6623209959751941</c:v>
                </c:pt>
                <c:pt idx="220">
                  <c:v>-3.857934847707138</c:v>
                </c:pt>
                <c:pt idx="221">
                  <c:v>-1.3087199843109587</c:v>
                </c:pt>
                <c:pt idx="222">
                  <c:v>-2.3411959136084093</c:v>
                </c:pt>
                <c:pt idx="223">
                  <c:v>-2.5350277826705128</c:v>
                </c:pt>
                <c:pt idx="224">
                  <c:v>-0.97772105528060749</c:v>
                </c:pt>
                <c:pt idx="225">
                  <c:v>1.2653504274229888</c:v>
                </c:pt>
                <c:pt idx="226">
                  <c:v>5.5203866049662771E-2</c:v>
                </c:pt>
                <c:pt idx="227">
                  <c:v>0.38869253862028896</c:v>
                </c:pt>
                <c:pt idx="228">
                  <c:v>-2.6676983339325164</c:v>
                </c:pt>
                <c:pt idx="229">
                  <c:v>-1.9724617083755391</c:v>
                </c:pt>
                <c:pt idx="230">
                  <c:v>-0.83999473819132442</c:v>
                </c:pt>
                <c:pt idx="231">
                  <c:v>1.8858729852414977</c:v>
                </c:pt>
                <c:pt idx="232">
                  <c:v>2.938235278041748</c:v>
                </c:pt>
                <c:pt idx="233">
                  <c:v>5.170225921333568</c:v>
                </c:pt>
                <c:pt idx="234">
                  <c:v>2.1224332826777577</c:v>
                </c:pt>
                <c:pt idx="235">
                  <c:v>0.92026669004516704</c:v>
                </c:pt>
                <c:pt idx="236">
                  <c:v>-0.58484681579389763</c:v>
                </c:pt>
                <c:pt idx="237">
                  <c:v>-0.68609015050078537</c:v>
                </c:pt>
                <c:pt idx="238">
                  <c:v>-1.1966144930583393</c:v>
                </c:pt>
                <c:pt idx="239">
                  <c:v>-1.6517860582932389</c:v>
                </c:pt>
                <c:pt idx="240">
                  <c:v>-1.6387980312144008</c:v>
                </c:pt>
                <c:pt idx="241">
                  <c:v>-2.2546012524452239</c:v>
                </c:pt>
                <c:pt idx="242">
                  <c:v>-3.4016190099105925</c:v>
                </c:pt>
                <c:pt idx="243">
                  <c:v>-2.6906169743415491</c:v>
                </c:pt>
                <c:pt idx="244">
                  <c:v>-2.8790548638512226</c:v>
                </c:pt>
                <c:pt idx="245">
                  <c:v>-2.3126621579864959</c:v>
                </c:pt>
                <c:pt idx="246">
                  <c:v>-1.5469875934211654</c:v>
                </c:pt>
                <c:pt idx="247">
                  <c:v>-1.9158078435714747</c:v>
                </c:pt>
                <c:pt idx="248">
                  <c:v>0.34784312535617634</c:v>
                </c:pt>
                <c:pt idx="249">
                  <c:v>-0.81030511921523585</c:v>
                </c:pt>
                <c:pt idx="250">
                  <c:v>-2.1312885333682909</c:v>
                </c:pt>
                <c:pt idx="251">
                  <c:v>-2.8193656010272741</c:v>
                </c:pt>
                <c:pt idx="252">
                  <c:v>-2.3850646174072567</c:v>
                </c:pt>
                <c:pt idx="253">
                  <c:v>-2.7109164267532404</c:v>
                </c:pt>
                <c:pt idx="254">
                  <c:v>-2.8144102097961214</c:v>
                </c:pt>
                <c:pt idx="255">
                  <c:v>-3.1498483762483009</c:v>
                </c:pt>
                <c:pt idx="256">
                  <c:v>-3.4219886819445824</c:v>
                </c:pt>
                <c:pt idx="257">
                  <c:v>-4.5142100171918296</c:v>
                </c:pt>
                <c:pt idx="258">
                  <c:v>-2.7398168558043978</c:v>
                </c:pt>
                <c:pt idx="259">
                  <c:v>-2.347512797012878</c:v>
                </c:pt>
                <c:pt idx="260">
                  <c:v>-4.3500773899027925</c:v>
                </c:pt>
                <c:pt idx="261">
                  <c:v>-4.5422686666378258</c:v>
                </c:pt>
                <c:pt idx="262">
                  <c:v>-3.8426951745356175</c:v>
                </c:pt>
                <c:pt idx="263">
                  <c:v>-5.0443708473403577</c:v>
                </c:pt>
                <c:pt idx="264">
                  <c:v>-4.9406197666879939</c:v>
                </c:pt>
                <c:pt idx="265">
                  <c:v>-4.3684992998045864</c:v>
                </c:pt>
                <c:pt idx="266">
                  <c:v>-3.8485727862077992</c:v>
                </c:pt>
                <c:pt idx="267">
                  <c:v>-3.2149401278027354</c:v>
                </c:pt>
                <c:pt idx="268">
                  <c:v>-5.0779697671942774</c:v>
                </c:pt>
                <c:pt idx="269">
                  <c:v>-3.8198235259592788</c:v>
                </c:pt>
                <c:pt idx="270">
                  <c:v>-2.1387288902986001</c:v>
                </c:pt>
                <c:pt idx="271">
                  <c:v>-9.9961823114812326E-5</c:v>
                </c:pt>
                <c:pt idx="272">
                  <c:v>-0.69094336414170665</c:v>
                </c:pt>
                <c:pt idx="273">
                  <c:v>-1.7164424915656136</c:v>
                </c:pt>
                <c:pt idx="274">
                  <c:v>-1.9323026457380907</c:v>
                </c:pt>
                <c:pt idx="275">
                  <c:v>-4.4917085779658716</c:v>
                </c:pt>
                <c:pt idx="276">
                  <c:v>-1.7262190883783575</c:v>
                </c:pt>
                <c:pt idx="277">
                  <c:v>-0.24550882597064622</c:v>
                </c:pt>
                <c:pt idx="278">
                  <c:v>2.3022469718766545</c:v>
                </c:pt>
                <c:pt idx="279">
                  <c:v>1.0581392045004405</c:v>
                </c:pt>
                <c:pt idx="280">
                  <c:v>1.007798041498734</c:v>
                </c:pt>
                <c:pt idx="281">
                  <c:v>-0.57878886897776805</c:v>
                </c:pt>
                <c:pt idx="282">
                  <c:v>-1.128537424629269</c:v>
                </c:pt>
                <c:pt idx="283">
                  <c:v>-0.14662678529668793</c:v>
                </c:pt>
                <c:pt idx="284">
                  <c:v>-0.63240471077806637</c:v>
                </c:pt>
                <c:pt idx="285">
                  <c:v>-0.18208221993582532</c:v>
                </c:pt>
                <c:pt idx="286">
                  <c:v>-1.5175611272142571</c:v>
                </c:pt>
                <c:pt idx="287">
                  <c:v>-2.8743401133376474</c:v>
                </c:pt>
                <c:pt idx="288">
                  <c:v>-2.5857888932871265</c:v>
                </c:pt>
                <c:pt idx="289">
                  <c:v>-1.956444733739054</c:v>
                </c:pt>
                <c:pt idx="290">
                  <c:v>-2.3837547827167094</c:v>
                </c:pt>
                <c:pt idx="291">
                  <c:v>-2.9329381417371416</c:v>
                </c:pt>
                <c:pt idx="292">
                  <c:v>-2.9101797035486903</c:v>
                </c:pt>
                <c:pt idx="293">
                  <c:v>-3.0292455648784071</c:v>
                </c:pt>
                <c:pt idx="294">
                  <c:v>-2.297912534115377</c:v>
                </c:pt>
                <c:pt idx="295">
                  <c:v>-0.70123126259751167</c:v>
                </c:pt>
                <c:pt idx="296">
                  <c:v>2.8483094437431666</c:v>
                </c:pt>
                <c:pt idx="297">
                  <c:v>3.2900950103493836</c:v>
                </c:pt>
                <c:pt idx="298">
                  <c:v>2.5143390044317786</c:v>
                </c:pt>
                <c:pt idx="299">
                  <c:v>2.5326252782499696</c:v>
                </c:pt>
                <c:pt idx="300">
                  <c:v>3.0171982860447022</c:v>
                </c:pt>
                <c:pt idx="301">
                  <c:v>3.0215100416152172</c:v>
                </c:pt>
                <c:pt idx="302">
                  <c:v>2.8910165996064463</c:v>
                </c:pt>
                <c:pt idx="303">
                  <c:v>1.809247700010145</c:v>
                </c:pt>
                <c:pt idx="304">
                  <c:v>0.24632979859655077</c:v>
                </c:pt>
                <c:pt idx="305">
                  <c:v>-6.5318593488317117E-2</c:v>
                </c:pt>
                <c:pt idx="306">
                  <c:v>-9.4397660662136423E-2</c:v>
                </c:pt>
                <c:pt idx="307">
                  <c:v>-0.62467631356885567</c:v>
                </c:pt>
                <c:pt idx="308">
                  <c:v>-0.49931688378398048</c:v>
                </c:pt>
                <c:pt idx="309">
                  <c:v>0.25237217226321523</c:v>
                </c:pt>
                <c:pt idx="310">
                  <c:v>-0.20752758837151333</c:v>
                </c:pt>
                <c:pt idx="311">
                  <c:v>-0.18345502601074529</c:v>
                </c:pt>
                <c:pt idx="312">
                  <c:v>-0.45748671078346603</c:v>
                </c:pt>
                <c:pt idx="313">
                  <c:v>-2.1090015691869421</c:v>
                </c:pt>
                <c:pt idx="314">
                  <c:v>-0.83952583280215398</c:v>
                </c:pt>
                <c:pt idx="315">
                  <c:v>-1.9241577647132044</c:v>
                </c:pt>
                <c:pt idx="316">
                  <c:v>-1.0823030622423693</c:v>
                </c:pt>
                <c:pt idx="317">
                  <c:v>-1.2153029910142501</c:v>
                </c:pt>
                <c:pt idx="318">
                  <c:v>-1.1903349868350104</c:v>
                </c:pt>
                <c:pt idx="319">
                  <c:v>-2.3341189842552597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D-CE43-9168-2B005B2C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'240823A006'!$A$2:$A$321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'240823A006'!$J$2:$J$321</c:f>
              <c:numCache>
                <c:formatCode>0.0</c:formatCode>
                <c:ptCount val="320"/>
                <c:pt idx="0">
                  <c:v>3225.5559523809502</c:v>
                </c:pt>
                <c:pt idx="1">
                  <c:v>3102.4794223018703</c:v>
                </c:pt>
                <c:pt idx="2">
                  <c:v>2916.1738356470701</c:v>
                </c:pt>
                <c:pt idx="3">
                  <c:v>3050.96181892819</c:v>
                </c:pt>
                <c:pt idx="4">
                  <c:v>3428.9741752500599</c:v>
                </c:pt>
                <c:pt idx="5">
                  <c:v>3317.9783213912601</c:v>
                </c:pt>
                <c:pt idx="6">
                  <c:v>3394.5572548141199</c:v>
                </c:pt>
                <c:pt idx="7">
                  <c:v>3397.20635915812</c:v>
                </c:pt>
                <c:pt idx="8">
                  <c:v>3269.3412972085498</c:v>
                </c:pt>
                <c:pt idx="9">
                  <c:v>3091.8042245110901</c:v>
                </c:pt>
                <c:pt idx="10">
                  <c:v>2548.4839528287598</c:v>
                </c:pt>
                <c:pt idx="11">
                  <c:v>2437.5254814151899</c:v>
                </c:pt>
                <c:pt idx="12">
                  <c:v>3544.8515711300001</c:v>
                </c:pt>
                <c:pt idx="13">
                  <c:v>3774.10100014923</c:v>
                </c:pt>
                <c:pt idx="14">
                  <c:v>4337.5273622928507</c:v>
                </c:pt>
                <c:pt idx="15">
                  <c:v>4527.5085497835498</c:v>
                </c:pt>
                <c:pt idx="16">
                  <c:v>4422.92019704431</c:v>
                </c:pt>
                <c:pt idx="17">
                  <c:v>4611.9329105177203</c:v>
                </c:pt>
                <c:pt idx="18">
                  <c:v>4349.9256793249806</c:v>
                </c:pt>
                <c:pt idx="19">
                  <c:v>4598.4415584415401</c:v>
                </c:pt>
                <c:pt idx="20">
                  <c:v>4486.2917748917398</c:v>
                </c:pt>
                <c:pt idx="21">
                  <c:v>4423.8303030302795</c:v>
                </c:pt>
                <c:pt idx="22">
                  <c:v>4450.6103896103905</c:v>
                </c:pt>
                <c:pt idx="23">
                  <c:v>4197.64615987459</c:v>
                </c:pt>
                <c:pt idx="24">
                  <c:v>4322.2518025078798</c:v>
                </c:pt>
                <c:pt idx="25">
                  <c:v>4331.2184691745497</c:v>
                </c:pt>
                <c:pt idx="26">
                  <c:v>4573.8625765039505</c:v>
                </c:pt>
                <c:pt idx="27">
                  <c:v>4218.4025302284099</c:v>
                </c:pt>
                <c:pt idx="28">
                  <c:v>4615.5439302270397</c:v>
                </c:pt>
                <c:pt idx="29">
                  <c:v>3922.8295532183402</c:v>
                </c:pt>
                <c:pt idx="30">
                  <c:v>4049.4775576483003</c:v>
                </c:pt>
                <c:pt idx="31">
                  <c:v>4441.7120220603592</c:v>
                </c:pt>
                <c:pt idx="32">
                  <c:v>4542.7614655007901</c:v>
                </c:pt>
                <c:pt idx="33">
                  <c:v>4530.4837933601602</c:v>
                </c:pt>
                <c:pt idx="34">
                  <c:v>4196.6062530894706</c:v>
                </c:pt>
                <c:pt idx="35">
                  <c:v>4366.1488615766802</c:v>
                </c:pt>
                <c:pt idx="36">
                  <c:v>4158.0629557727298</c:v>
                </c:pt>
                <c:pt idx="37">
                  <c:v>4138.9537778372596</c:v>
                </c:pt>
                <c:pt idx="38">
                  <c:v>3993.1248337573402</c:v>
                </c:pt>
                <c:pt idx="39">
                  <c:v>3981.6100035702798</c:v>
                </c:pt>
                <c:pt idx="40">
                  <c:v>4422.0261010200702</c:v>
                </c:pt>
                <c:pt idx="41">
                  <c:v>4383.87287368945</c:v>
                </c:pt>
                <c:pt idx="42">
                  <c:v>4209.0349495198197</c:v>
                </c:pt>
                <c:pt idx="43">
                  <c:v>4402.9851663435502</c:v>
                </c:pt>
                <c:pt idx="44">
                  <c:v>4178.3736155036504</c:v>
                </c:pt>
                <c:pt idx="45">
                  <c:v>4381.1367965367708</c:v>
                </c:pt>
                <c:pt idx="46">
                  <c:v>4116.7480519480396</c:v>
                </c:pt>
                <c:pt idx="47">
                  <c:v>4102.1870129870404</c:v>
                </c:pt>
                <c:pt idx="48">
                  <c:v>4366.1963278359799</c:v>
                </c:pt>
                <c:pt idx="49">
                  <c:v>4232.7729230287705</c:v>
                </c:pt>
                <c:pt idx="50">
                  <c:v>4303.4317482689603</c:v>
                </c:pt>
                <c:pt idx="51">
                  <c:v>4250.6050314887598</c:v>
                </c:pt>
                <c:pt idx="52">
                  <c:v>4114.2009508148803</c:v>
                </c:pt>
                <c:pt idx="53">
                  <c:v>4269.6737832365598</c:v>
                </c:pt>
                <c:pt idx="54">
                  <c:v>4266.3467185699401</c:v>
                </c:pt>
                <c:pt idx="55">
                  <c:v>4198.6203273040301</c:v>
                </c:pt>
                <c:pt idx="56">
                  <c:v>4147.7131134154097</c:v>
                </c:pt>
                <c:pt idx="57">
                  <c:v>4329.2200812107803</c:v>
                </c:pt>
                <c:pt idx="58">
                  <c:v>3917.0637694777301</c:v>
                </c:pt>
                <c:pt idx="59">
                  <c:v>4487.5648682062592</c:v>
                </c:pt>
                <c:pt idx="60">
                  <c:v>4260.2909031146792</c:v>
                </c:pt>
                <c:pt idx="61">
                  <c:v>4444.2705676262694</c:v>
                </c:pt>
                <c:pt idx="62">
                  <c:v>4277.7135752944396</c:v>
                </c:pt>
                <c:pt idx="63">
                  <c:v>4363.2293453455104</c:v>
                </c:pt>
                <c:pt idx="64">
                  <c:v>4368.6279700742307</c:v>
                </c:pt>
                <c:pt idx="65">
                  <c:v>4096.9552129205404</c:v>
                </c:pt>
                <c:pt idx="66">
                  <c:v>4540.9388370309798</c:v>
                </c:pt>
                <c:pt idx="67">
                  <c:v>4545.9104504870493</c:v>
                </c:pt>
                <c:pt idx="68">
                  <c:v>4492.9638933982997</c:v>
                </c:pt>
                <c:pt idx="69">
                  <c:v>4482.4991401908601</c:v>
                </c:pt>
                <c:pt idx="70">
                  <c:v>4494.6548457886302</c:v>
                </c:pt>
                <c:pt idx="71">
                  <c:v>4582.17352866283</c:v>
                </c:pt>
                <c:pt idx="72">
                  <c:v>4563.0058291766309</c:v>
                </c:pt>
                <c:pt idx="73">
                  <c:v>4558.0315605386795</c:v>
                </c:pt>
                <c:pt idx="74">
                  <c:v>4510.6546503093596</c:v>
                </c:pt>
                <c:pt idx="75">
                  <c:v>4436.39614759697</c:v>
                </c:pt>
                <c:pt idx="76">
                  <c:v>4362.6958372085301</c:v>
                </c:pt>
                <c:pt idx="77">
                  <c:v>4372.1422311366705</c:v>
                </c:pt>
                <c:pt idx="78">
                  <c:v>4454.1093488549595</c:v>
                </c:pt>
                <c:pt idx="79">
                  <c:v>4456.4655272189093</c:v>
                </c:pt>
                <c:pt idx="80">
                  <c:v>4415.1455891258993</c:v>
                </c:pt>
                <c:pt idx="81">
                  <c:v>4399.0616468160697</c:v>
                </c:pt>
                <c:pt idx="82">
                  <c:v>4333.6264091694393</c:v>
                </c:pt>
                <c:pt idx="83">
                  <c:v>4466.5217908171198</c:v>
                </c:pt>
                <c:pt idx="84">
                  <c:v>4424.1806383599105</c:v>
                </c:pt>
                <c:pt idx="85">
                  <c:v>4423.30786622703</c:v>
                </c:pt>
                <c:pt idx="86">
                  <c:v>4411.0842877329605</c:v>
                </c:pt>
                <c:pt idx="87">
                  <c:v>4406.3123342978397</c:v>
                </c:pt>
                <c:pt idx="88">
                  <c:v>4414.2377946750803</c:v>
                </c:pt>
                <c:pt idx="89">
                  <c:v>4407.4843438081398</c:v>
                </c:pt>
                <c:pt idx="90">
                  <c:v>4395.0117443868994</c:v>
                </c:pt>
                <c:pt idx="91">
                  <c:v>4388.2942152838705</c:v>
                </c:pt>
                <c:pt idx="92">
                  <c:v>4383.93260211288</c:v>
                </c:pt>
                <c:pt idx="93">
                  <c:v>4371.063129444</c:v>
                </c:pt>
                <c:pt idx="94">
                  <c:v>4370.0143754345809</c:v>
                </c:pt>
                <c:pt idx="95">
                  <c:v>4361.3999282237892</c:v>
                </c:pt>
                <c:pt idx="96">
                  <c:v>4358.0606643787796</c:v>
                </c:pt>
                <c:pt idx="97">
                  <c:v>4352.2039095619903</c:v>
                </c:pt>
                <c:pt idx="98">
                  <c:v>4339.5479554987596</c:v>
                </c:pt>
                <c:pt idx="99">
                  <c:v>4340.1053114415799</c:v>
                </c:pt>
                <c:pt idx="100">
                  <c:v>4335.8157728281803</c:v>
                </c:pt>
                <c:pt idx="101">
                  <c:v>4321.5348339053498</c:v>
                </c:pt>
                <c:pt idx="102">
                  <c:v>4315.8343628737703</c:v>
                </c:pt>
                <c:pt idx="103">
                  <c:v>4311.8507233699202</c:v>
                </c:pt>
                <c:pt idx="104">
                  <c:v>4301.4622972882498</c:v>
                </c:pt>
                <c:pt idx="105">
                  <c:v>4298.5896911378795</c:v>
                </c:pt>
                <c:pt idx="106">
                  <c:v>4276.5224166162097</c:v>
                </c:pt>
                <c:pt idx="107">
                  <c:v>4276.2085705313903</c:v>
                </c:pt>
                <c:pt idx="108">
                  <c:v>4264.4140905726608</c:v>
                </c:pt>
                <c:pt idx="109">
                  <c:v>4239.1194513603905</c:v>
                </c:pt>
                <c:pt idx="110">
                  <c:v>4250.7328780028802</c:v>
                </c:pt>
                <c:pt idx="111">
                  <c:v>4232.10573088402</c:v>
                </c:pt>
                <c:pt idx="112">
                  <c:v>4266.1358208285701</c:v>
                </c:pt>
                <c:pt idx="113">
                  <c:v>4267.8770383329993</c:v>
                </c:pt>
                <c:pt idx="114">
                  <c:v>4238.5789628334196</c:v>
                </c:pt>
                <c:pt idx="115">
                  <c:v>4224.1922885404401</c:v>
                </c:pt>
                <c:pt idx="116">
                  <c:v>4197.6283157257403</c:v>
                </c:pt>
                <c:pt idx="117">
                  <c:v>4195.7903146939407</c:v>
                </c:pt>
                <c:pt idx="118">
                  <c:v>4139.6858286790693</c:v>
                </c:pt>
                <c:pt idx="119">
                  <c:v>4058.3458448287702</c:v>
                </c:pt>
                <c:pt idx="120">
                  <c:v>4208.2672857367606</c:v>
                </c:pt>
                <c:pt idx="121">
                  <c:v>4154.45658659132</c:v>
                </c:pt>
                <c:pt idx="122">
                  <c:v>4147.5831864163601</c:v>
                </c:pt>
                <c:pt idx="123">
                  <c:v>4107.7026736648695</c:v>
                </c:pt>
                <c:pt idx="124">
                  <c:v>4110.5405782472699</c:v>
                </c:pt>
                <c:pt idx="125">
                  <c:v>4146.9816073391303</c:v>
                </c:pt>
                <c:pt idx="126">
                  <c:v>4102.0941771527805</c:v>
                </c:pt>
                <c:pt idx="127">
                  <c:v>4128.3447771572191</c:v>
                </c:pt>
                <c:pt idx="128">
                  <c:v>4087.3755467330702</c:v>
                </c:pt>
                <c:pt idx="129">
                  <c:v>4134.6233541933507</c:v>
                </c:pt>
                <c:pt idx="130">
                  <c:v>4080.7698203351201</c:v>
                </c:pt>
                <c:pt idx="131">
                  <c:v>4116.0523338492003</c:v>
                </c:pt>
                <c:pt idx="132">
                  <c:v>4031.0756521544299</c:v>
                </c:pt>
                <c:pt idx="133">
                  <c:v>4104.56422851761</c:v>
                </c:pt>
                <c:pt idx="134">
                  <c:v>4057.7237444766006</c:v>
                </c:pt>
                <c:pt idx="135">
                  <c:v>4052.1932238745799</c:v>
                </c:pt>
                <c:pt idx="136">
                  <c:v>4000.8002714038903</c:v>
                </c:pt>
                <c:pt idx="137">
                  <c:v>4091.2719153040102</c:v>
                </c:pt>
                <c:pt idx="138">
                  <c:v>4156.8596168942904</c:v>
                </c:pt>
                <c:pt idx="139">
                  <c:v>4105.1390978624404</c:v>
                </c:pt>
                <c:pt idx="140">
                  <c:v>4133.2156180606698</c:v>
                </c:pt>
                <c:pt idx="141">
                  <c:v>4270.5961554852802</c:v>
                </c:pt>
                <c:pt idx="142">
                  <c:v>4277.3996792499602</c:v>
                </c:pt>
                <c:pt idx="143">
                  <c:v>4281.1865778435804</c:v>
                </c:pt>
                <c:pt idx="144">
                  <c:v>4256.6990041046802</c:v>
                </c:pt>
                <c:pt idx="145">
                  <c:v>4262.2436691115108</c:v>
                </c:pt>
                <c:pt idx="146">
                  <c:v>4236.9034407733998</c:v>
                </c:pt>
                <c:pt idx="147">
                  <c:v>4251.5160150729807</c:v>
                </c:pt>
                <c:pt idx="148">
                  <c:v>4231.3037390933605</c:v>
                </c:pt>
                <c:pt idx="149">
                  <c:v>4229.6327950115701</c:v>
                </c:pt>
                <c:pt idx="150">
                  <c:v>4243.4345176412799</c:v>
                </c:pt>
                <c:pt idx="151">
                  <c:v>4220.0404773120099</c:v>
                </c:pt>
                <c:pt idx="152">
                  <c:v>4237.5184891101599</c:v>
                </c:pt>
                <c:pt idx="153">
                  <c:v>4229.1550277011302</c:v>
                </c:pt>
                <c:pt idx="154">
                  <c:v>4202.78590494131</c:v>
                </c:pt>
                <c:pt idx="155">
                  <c:v>4231.94235919525</c:v>
                </c:pt>
                <c:pt idx="156">
                  <c:v>4188.1712401588302</c:v>
                </c:pt>
                <c:pt idx="157">
                  <c:v>4203.73202790297</c:v>
                </c:pt>
                <c:pt idx="158">
                  <c:v>4200.98948926719</c:v>
                </c:pt>
                <c:pt idx="159">
                  <c:v>4174.0566269654701</c:v>
                </c:pt>
                <c:pt idx="160">
                  <c:v>4171.8020299217496</c:v>
                </c:pt>
                <c:pt idx="161">
                  <c:v>4303.2769117272601</c:v>
                </c:pt>
                <c:pt idx="162">
                  <c:v>4211.2875155409602</c:v>
                </c:pt>
                <c:pt idx="163">
                  <c:v>4250.6948141823905</c:v>
                </c:pt>
                <c:pt idx="164">
                  <c:v>4239.7582767866597</c:v>
                </c:pt>
                <c:pt idx="165">
                  <c:v>4255.2412948067004</c:v>
                </c:pt>
                <c:pt idx="166">
                  <c:v>4242.36684941352</c:v>
                </c:pt>
                <c:pt idx="167">
                  <c:v>4222.21049146934</c:v>
                </c:pt>
                <c:pt idx="168">
                  <c:v>4215.6888149912302</c:v>
                </c:pt>
                <c:pt idx="169">
                  <c:v>4217.0710188888297</c:v>
                </c:pt>
                <c:pt idx="170">
                  <c:v>4110.4719588370199</c:v>
                </c:pt>
                <c:pt idx="171">
                  <c:v>4121.3984586347806</c:v>
                </c:pt>
                <c:pt idx="172">
                  <c:v>4138.2879229766604</c:v>
                </c:pt>
                <c:pt idx="173">
                  <c:v>4159.8744783474694</c:v>
                </c:pt>
                <c:pt idx="174">
                  <c:v>4148.7435199747906</c:v>
                </c:pt>
                <c:pt idx="175">
                  <c:v>4154.5064081247901</c:v>
                </c:pt>
                <c:pt idx="176">
                  <c:v>4147.3280868497004</c:v>
                </c:pt>
                <c:pt idx="177">
                  <c:v>4091.5155821686899</c:v>
                </c:pt>
                <c:pt idx="178">
                  <c:v>4254.6647298104199</c:v>
                </c:pt>
                <c:pt idx="179">
                  <c:v>4259.2621473353802</c:v>
                </c:pt>
                <c:pt idx="180">
                  <c:v>4080.7139349156996</c:v>
                </c:pt>
                <c:pt idx="181">
                  <c:v>4055.2965591879301</c:v>
                </c:pt>
                <c:pt idx="182">
                  <c:v>4117.28560606061</c:v>
                </c:pt>
                <c:pt idx="183">
                  <c:v>4135.7490073145</c:v>
                </c:pt>
                <c:pt idx="184">
                  <c:v>4123.7013397522205</c:v>
                </c:pt>
                <c:pt idx="185">
                  <c:v>4115.5230482161905</c:v>
                </c:pt>
                <c:pt idx="186">
                  <c:v>4145.9007239886605</c:v>
                </c:pt>
                <c:pt idx="187">
                  <c:v>4145.2235109717394</c:v>
                </c:pt>
                <c:pt idx="188">
                  <c:v>4134.9267726526496</c:v>
                </c:pt>
                <c:pt idx="189">
                  <c:v>4140.2079788027795</c:v>
                </c:pt>
                <c:pt idx="190">
                  <c:v>4143.8059225257293</c:v>
                </c:pt>
                <c:pt idx="191">
                  <c:v>4126.6123973727899</c:v>
                </c:pt>
                <c:pt idx="192">
                  <c:v>4123.2882743693508</c:v>
                </c:pt>
                <c:pt idx="193">
                  <c:v>4093.3093931930198</c:v>
                </c:pt>
                <c:pt idx="194">
                  <c:v>3996.4307881773598</c:v>
                </c:pt>
                <c:pt idx="195">
                  <c:v>4041.2413121361201</c:v>
                </c:pt>
                <c:pt idx="196">
                  <c:v>4070.5125242573299</c:v>
                </c:pt>
                <c:pt idx="197">
                  <c:v>4122.5674802209096</c:v>
                </c:pt>
                <c:pt idx="198">
                  <c:v>4120.1092439169897</c:v>
                </c:pt>
                <c:pt idx="199">
                  <c:v>4107.2585945663395</c:v>
                </c:pt>
                <c:pt idx="200">
                  <c:v>4104.6033960292807</c:v>
                </c:pt>
                <c:pt idx="201">
                  <c:v>4106.5643267652104</c:v>
                </c:pt>
                <c:pt idx="202">
                  <c:v>4093.39635393341</c:v>
                </c:pt>
                <c:pt idx="203">
                  <c:v>3931.4970928496405</c:v>
                </c:pt>
                <c:pt idx="204">
                  <c:v>4191.7943536348403</c:v>
                </c:pt>
                <c:pt idx="205">
                  <c:v>4229.2603746828299</c:v>
                </c:pt>
                <c:pt idx="206">
                  <c:v>4201.9290043290503</c:v>
                </c:pt>
                <c:pt idx="207">
                  <c:v>4210.7038961038807</c:v>
                </c:pt>
                <c:pt idx="208">
                  <c:v>4208.40346320344</c:v>
                </c:pt>
                <c:pt idx="209">
                  <c:v>4210.1497835497503</c:v>
                </c:pt>
                <c:pt idx="210">
                  <c:v>4208.55930735933</c:v>
                </c:pt>
                <c:pt idx="211">
                  <c:v>4202.8554112553702</c:v>
                </c:pt>
                <c:pt idx="212">
                  <c:v>4201.4935064935398</c:v>
                </c:pt>
                <c:pt idx="213">
                  <c:v>4188.4753246753698</c:v>
                </c:pt>
                <c:pt idx="214">
                  <c:v>4185.1341991342297</c:v>
                </c:pt>
                <c:pt idx="215">
                  <c:v>4171.3038961039001</c:v>
                </c:pt>
                <c:pt idx="216">
                  <c:v>4176.9714285714199</c:v>
                </c:pt>
                <c:pt idx="217">
                  <c:v>4170.2311688311502</c:v>
                </c:pt>
                <c:pt idx="218">
                  <c:v>4161.2303030303601</c:v>
                </c:pt>
                <c:pt idx="219">
                  <c:v>4141.0935064935002</c:v>
                </c:pt>
                <c:pt idx="220">
                  <c:v>4129.1878787878904</c:v>
                </c:pt>
                <c:pt idx="221">
                  <c:v>4123.3722943723096</c:v>
                </c:pt>
                <c:pt idx="222">
                  <c:v>4128.2649350649099</c:v>
                </c:pt>
                <c:pt idx="223">
                  <c:v>4131.8909090909301</c:v>
                </c:pt>
                <c:pt idx="224">
                  <c:v>4113.07359307363</c:v>
                </c:pt>
                <c:pt idx="225">
                  <c:v>4138.1584415584093</c:v>
                </c:pt>
                <c:pt idx="226">
                  <c:v>4159.9307359306904</c:v>
                </c:pt>
                <c:pt idx="227">
                  <c:v>4135.6207792207697</c:v>
                </c:pt>
                <c:pt idx="228">
                  <c:v>4143.8554112553702</c:v>
                </c:pt>
                <c:pt idx="229">
                  <c:v>4188.0701298700997</c:v>
                </c:pt>
                <c:pt idx="230">
                  <c:v>4188.0251082251607</c:v>
                </c:pt>
                <c:pt idx="231">
                  <c:v>4178.4640692640896</c:v>
                </c:pt>
                <c:pt idx="232">
                  <c:v>4185.2303030302601</c:v>
                </c:pt>
                <c:pt idx="233">
                  <c:v>4180.5679653679899</c:v>
                </c:pt>
                <c:pt idx="234">
                  <c:v>4174.1705627705296</c:v>
                </c:pt>
                <c:pt idx="235">
                  <c:v>4173.4735930735706</c:v>
                </c:pt>
                <c:pt idx="236">
                  <c:v>4173.7298701299196</c:v>
                </c:pt>
                <c:pt idx="237">
                  <c:v>4168.6164502164693</c:v>
                </c:pt>
                <c:pt idx="238">
                  <c:v>4173.3056277056103</c:v>
                </c:pt>
                <c:pt idx="239">
                  <c:v>4182.2190476190899</c:v>
                </c:pt>
                <c:pt idx="240">
                  <c:v>4171.27532467535</c:v>
                </c:pt>
                <c:pt idx="241">
                  <c:v>4170.4632034631704</c:v>
                </c:pt>
                <c:pt idx="242">
                  <c:v>4172.4329004329093</c:v>
                </c:pt>
                <c:pt idx="243">
                  <c:v>4160.23809523813</c:v>
                </c:pt>
                <c:pt idx="244">
                  <c:v>4163.7939393939896</c:v>
                </c:pt>
                <c:pt idx="245">
                  <c:v>4156.3774891774701</c:v>
                </c:pt>
                <c:pt idx="246">
                  <c:v>4151.5575757575507</c:v>
                </c:pt>
                <c:pt idx="247">
                  <c:v>4153.27532467529</c:v>
                </c:pt>
                <c:pt idx="248">
                  <c:v>4144.6502164501799</c:v>
                </c:pt>
                <c:pt idx="249">
                  <c:v>4141.8242424242899</c:v>
                </c:pt>
                <c:pt idx="250">
                  <c:v>4141.5636363636304</c:v>
                </c:pt>
                <c:pt idx="251">
                  <c:v>4147.6839826840105</c:v>
                </c:pt>
                <c:pt idx="252">
                  <c:v>4154.7411255411798</c:v>
                </c:pt>
                <c:pt idx="253">
                  <c:v>4148.0164502164207</c:v>
                </c:pt>
                <c:pt idx="254">
                  <c:v>4145.67012987011</c:v>
                </c:pt>
                <c:pt idx="255">
                  <c:v>4141.3073593073696</c:v>
                </c:pt>
                <c:pt idx="256">
                  <c:v>4139.56017316016</c:v>
                </c:pt>
                <c:pt idx="257">
                  <c:v>4141.8510822511298</c:v>
                </c:pt>
                <c:pt idx="258">
                  <c:v>4136.8675324675305</c:v>
                </c:pt>
                <c:pt idx="259">
                  <c:v>4128.2441558441706</c:v>
                </c:pt>
                <c:pt idx="260">
                  <c:v>4137.60519480522</c:v>
                </c:pt>
                <c:pt idx="261">
                  <c:v>4132.9108225108603</c:v>
                </c:pt>
                <c:pt idx="262">
                  <c:v>4130.0658008658093</c:v>
                </c:pt>
                <c:pt idx="263">
                  <c:v>4121.0727272726999</c:v>
                </c:pt>
                <c:pt idx="264">
                  <c:v>4127.6839826840305</c:v>
                </c:pt>
                <c:pt idx="265">
                  <c:v>4119.8467532467103</c:v>
                </c:pt>
                <c:pt idx="266">
                  <c:v>4120.71515151515</c:v>
                </c:pt>
                <c:pt idx="267">
                  <c:v>4117.3437229436904</c:v>
                </c:pt>
                <c:pt idx="268">
                  <c:v>4116.7021645021396</c:v>
                </c:pt>
                <c:pt idx="269">
                  <c:v>4114.3913419913297</c:v>
                </c:pt>
                <c:pt idx="270">
                  <c:v>4112.7437229437101</c:v>
                </c:pt>
                <c:pt idx="271">
                  <c:v>4108.2077922077706</c:v>
                </c:pt>
                <c:pt idx="272">
                  <c:v>4115.4580086580099</c:v>
                </c:pt>
                <c:pt idx="273">
                  <c:v>4108.53246753245</c:v>
                </c:pt>
                <c:pt idx="274">
                  <c:v>4107.6839826839796</c:v>
                </c:pt>
                <c:pt idx="275">
                  <c:v>4102.0380952380901</c:v>
                </c:pt>
                <c:pt idx="276">
                  <c:v>4025.7904761904701</c:v>
                </c:pt>
                <c:pt idx="277">
                  <c:v>3909.0978354978297</c:v>
                </c:pt>
                <c:pt idx="278">
                  <c:v>3921.0865800865395</c:v>
                </c:pt>
                <c:pt idx="279">
                  <c:v>3944.9558441558897</c:v>
                </c:pt>
                <c:pt idx="280">
                  <c:v>3933.6476190476001</c:v>
                </c:pt>
                <c:pt idx="281">
                  <c:v>3965.70649350651</c:v>
                </c:pt>
                <c:pt idx="282">
                  <c:v>4052.3662337661999</c:v>
                </c:pt>
                <c:pt idx="283">
                  <c:v>4072.1852813852697</c:v>
                </c:pt>
                <c:pt idx="284">
                  <c:v>4076.61904761904</c:v>
                </c:pt>
                <c:pt idx="285">
                  <c:v>4080.9515151515302</c:v>
                </c:pt>
                <c:pt idx="286">
                  <c:v>4090.6467532467705</c:v>
                </c:pt>
                <c:pt idx="287">
                  <c:v>4092.5376623376796</c:v>
                </c:pt>
                <c:pt idx="288">
                  <c:v>4086.12380952378</c:v>
                </c:pt>
                <c:pt idx="289">
                  <c:v>4077.7324675324398</c:v>
                </c:pt>
                <c:pt idx="290">
                  <c:v>4074.8753246752894</c:v>
                </c:pt>
                <c:pt idx="291">
                  <c:v>4076.4779220779506</c:v>
                </c:pt>
                <c:pt idx="292">
                  <c:v>4066.7515151514999</c:v>
                </c:pt>
                <c:pt idx="293">
                  <c:v>4071.2536796536601</c:v>
                </c:pt>
                <c:pt idx="294">
                  <c:v>4077.6129870129698</c:v>
                </c:pt>
                <c:pt idx="295">
                  <c:v>4057.7922077921999</c:v>
                </c:pt>
                <c:pt idx="296">
                  <c:v>4006.3558441558798</c:v>
                </c:pt>
                <c:pt idx="297">
                  <c:v>3682.8354978355001</c:v>
                </c:pt>
                <c:pt idx="298">
                  <c:v>3809.3722943723101</c:v>
                </c:pt>
                <c:pt idx="299">
                  <c:v>3872.2909090909402</c:v>
                </c:pt>
                <c:pt idx="300">
                  <c:v>3913.6796536796501</c:v>
                </c:pt>
                <c:pt idx="301">
                  <c:v>3910.8675324675596</c:v>
                </c:pt>
                <c:pt idx="302">
                  <c:v>3930.52727272727</c:v>
                </c:pt>
                <c:pt idx="303">
                  <c:v>4018.42251082248</c:v>
                </c:pt>
                <c:pt idx="304">
                  <c:v>4054.4649350648901</c:v>
                </c:pt>
                <c:pt idx="305">
                  <c:v>4054.8164502164805</c:v>
                </c:pt>
                <c:pt idx="306">
                  <c:v>4055.4761904761999</c:v>
                </c:pt>
                <c:pt idx="307">
                  <c:v>4054.9238095238302</c:v>
                </c:pt>
                <c:pt idx="308">
                  <c:v>4046.9290043289802</c:v>
                </c:pt>
                <c:pt idx="309">
                  <c:v>4044.0476190476197</c:v>
                </c:pt>
                <c:pt idx="310">
                  <c:v>4046.65541125544</c:v>
                </c:pt>
                <c:pt idx="311">
                  <c:v>4045.7861471861902</c:v>
                </c:pt>
                <c:pt idx="312">
                  <c:v>4030.0129870129799</c:v>
                </c:pt>
                <c:pt idx="313">
                  <c:v>4038.40779220783</c:v>
                </c:pt>
                <c:pt idx="314">
                  <c:v>4045.1878787878695</c:v>
                </c:pt>
                <c:pt idx="315">
                  <c:v>4032.5956709956804</c:v>
                </c:pt>
                <c:pt idx="316">
                  <c:v>4037.7125541125702</c:v>
                </c:pt>
                <c:pt idx="317">
                  <c:v>4009.0666666667203</c:v>
                </c:pt>
                <c:pt idx="318">
                  <c:v>4015.1748917748505</c:v>
                </c:pt>
                <c:pt idx="319">
                  <c:v>4023.1523809523401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A-BA4F-9773-BDE63D9BC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9-FE49-BB75-3EEA3DE4AF7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'240823A006'!$A$2:$A$321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'240823A006'!$P$2:$P$321</c:f>
              <c:numCache>
                <c:formatCode>General</c:formatCode>
                <c:ptCount val="320"/>
                <c:pt idx="0">
                  <c:v>5.2284606643776019</c:v>
                </c:pt>
                <c:pt idx="1">
                  <c:v>3.8978858787066106</c:v>
                </c:pt>
                <c:pt idx="2">
                  <c:v>3.3340350865050645</c:v>
                </c:pt>
                <c:pt idx="3">
                  <c:v>2.3100210285764211</c:v>
                </c:pt>
                <c:pt idx="4">
                  <c:v>14.932082349513943</c:v>
                </c:pt>
                <c:pt idx="5">
                  <c:v>28.871955470633782</c:v>
                </c:pt>
                <c:pt idx="6">
                  <c:v>24.348973837045762</c:v>
                </c:pt>
                <c:pt idx="7">
                  <c:v>23.549870459119024</c:v>
                </c:pt>
                <c:pt idx="8">
                  <c:v>29.997017206274375</c:v>
                </c:pt>
                <c:pt idx="9">
                  <c:v>39.967495094016932</c:v>
                </c:pt>
                <c:pt idx="10">
                  <c:v>39.164691810399042</c:v>
                </c:pt>
                <c:pt idx="11">
                  <c:v>24.140551608192492</c:v>
                </c:pt>
                <c:pt idx="12">
                  <c:v>11.024872025095894</c:v>
                </c:pt>
                <c:pt idx="13">
                  <c:v>9.4058248215671547</c:v>
                </c:pt>
                <c:pt idx="14">
                  <c:v>16.848713863760064</c:v>
                </c:pt>
                <c:pt idx="15">
                  <c:v>15.326646765301366</c:v>
                </c:pt>
                <c:pt idx="16">
                  <c:v>13.480854807664983</c:v>
                </c:pt>
                <c:pt idx="17">
                  <c:v>12.716824877429437</c:v>
                </c:pt>
                <c:pt idx="18">
                  <c:v>8.7463370728791361</c:v>
                </c:pt>
                <c:pt idx="19">
                  <c:v>9.7257780411269774</c:v>
                </c:pt>
                <c:pt idx="20">
                  <c:v>7.4116568538327172</c:v>
                </c:pt>
                <c:pt idx="21">
                  <c:v>5.8807078387555753</c:v>
                </c:pt>
                <c:pt idx="22">
                  <c:v>9.1776812757555426</c:v>
                </c:pt>
                <c:pt idx="23">
                  <c:v>10.921719446392339</c:v>
                </c:pt>
                <c:pt idx="24">
                  <c:v>18.720418431097738</c:v>
                </c:pt>
                <c:pt idx="25">
                  <c:v>15.954111265456392</c:v>
                </c:pt>
                <c:pt idx="26">
                  <c:v>15.001005641711002</c:v>
                </c:pt>
                <c:pt idx="27">
                  <c:v>10.401678946358455</c:v>
                </c:pt>
                <c:pt idx="28">
                  <c:v>14.869695384022785</c:v>
                </c:pt>
                <c:pt idx="29">
                  <c:v>16.462080805488661</c:v>
                </c:pt>
                <c:pt idx="30">
                  <c:v>17.698187549114362</c:v>
                </c:pt>
                <c:pt idx="31">
                  <c:v>15.53694860282317</c:v>
                </c:pt>
                <c:pt idx="32">
                  <c:v>14.711443524914852</c:v>
                </c:pt>
                <c:pt idx="33">
                  <c:v>15.714831902973708</c:v>
                </c:pt>
                <c:pt idx="34">
                  <c:v>14.643027937851871</c:v>
                </c:pt>
                <c:pt idx="35">
                  <c:v>18.32259127025538</c:v>
                </c:pt>
                <c:pt idx="36">
                  <c:v>13.325047423377795</c:v>
                </c:pt>
                <c:pt idx="37">
                  <c:v>11.342365635237837</c:v>
                </c:pt>
                <c:pt idx="38">
                  <c:v>10.850861271897266</c:v>
                </c:pt>
                <c:pt idx="39">
                  <c:v>9.9558014205562575</c:v>
                </c:pt>
                <c:pt idx="40">
                  <c:v>10.059503910517014</c:v>
                </c:pt>
                <c:pt idx="41">
                  <c:v>9.4492115433353501</c:v>
                </c:pt>
                <c:pt idx="42">
                  <c:v>6.4178497244903889</c:v>
                </c:pt>
                <c:pt idx="43">
                  <c:v>8.4252911304235081</c:v>
                </c:pt>
                <c:pt idx="44">
                  <c:v>7.3423852643283798</c:v>
                </c:pt>
                <c:pt idx="45">
                  <c:v>8.6455729983138685</c:v>
                </c:pt>
                <c:pt idx="46">
                  <c:v>5.4596405053121213</c:v>
                </c:pt>
                <c:pt idx="47">
                  <c:v>4.7813877347851248</c:v>
                </c:pt>
                <c:pt idx="48">
                  <c:v>8.8068302422915306</c:v>
                </c:pt>
                <c:pt idx="49">
                  <c:v>7.3674489495622106</c:v>
                </c:pt>
                <c:pt idx="50">
                  <c:v>9.026197812399305</c:v>
                </c:pt>
                <c:pt idx="51">
                  <c:v>6.7624762081567882</c:v>
                </c:pt>
                <c:pt idx="52">
                  <c:v>6.0866628325535537</c:v>
                </c:pt>
                <c:pt idx="53">
                  <c:v>5.9975930631755725</c:v>
                </c:pt>
                <c:pt idx="54">
                  <c:v>5.3718145729168878</c:v>
                </c:pt>
                <c:pt idx="55">
                  <c:v>3.5292539118145734</c:v>
                </c:pt>
                <c:pt idx="56">
                  <c:v>1.9135403555439221</c:v>
                </c:pt>
                <c:pt idx="57">
                  <c:v>2.1694200791658664</c:v>
                </c:pt>
                <c:pt idx="58">
                  <c:v>1.3883961362973762</c:v>
                </c:pt>
                <c:pt idx="59">
                  <c:v>2.03405541988811</c:v>
                </c:pt>
                <c:pt idx="60">
                  <c:v>0.57111625419327683</c:v>
                </c:pt>
                <c:pt idx="61">
                  <c:v>2.2699610246759745</c:v>
                </c:pt>
                <c:pt idx="62">
                  <c:v>1.5885916401583842</c:v>
                </c:pt>
                <c:pt idx="63">
                  <c:v>1.1326034334740416</c:v>
                </c:pt>
                <c:pt idx="64">
                  <c:v>2.0022093547659408</c:v>
                </c:pt>
                <c:pt idx="65">
                  <c:v>1.3068828899786065</c:v>
                </c:pt>
                <c:pt idx="66">
                  <c:v>4.7032670915235801</c:v>
                </c:pt>
                <c:pt idx="67">
                  <c:v>6.4224141278184694</c:v>
                </c:pt>
                <c:pt idx="68">
                  <c:v>2.586756259515675</c:v>
                </c:pt>
                <c:pt idx="69">
                  <c:v>1.1407279141030142</c:v>
                </c:pt>
                <c:pt idx="70">
                  <c:v>-0.23292891400986973</c:v>
                </c:pt>
                <c:pt idx="71">
                  <c:v>0.79502448242509272</c:v>
                </c:pt>
                <c:pt idx="72">
                  <c:v>-0.26636585620216946</c:v>
                </c:pt>
                <c:pt idx="73">
                  <c:v>-0.85077122391818749</c:v>
                </c:pt>
                <c:pt idx="74">
                  <c:v>-0.82424926863105119</c:v>
                </c:pt>
                <c:pt idx="75">
                  <c:v>-3.305292547322733</c:v>
                </c:pt>
                <c:pt idx="76">
                  <c:v>-4.1864177390699586</c:v>
                </c:pt>
                <c:pt idx="77">
                  <c:v>-4.565241312169368</c:v>
                </c:pt>
                <c:pt idx="78">
                  <c:v>-5.4232183017443463</c:v>
                </c:pt>
                <c:pt idx="79">
                  <c:v>-4.8650693095640376</c:v>
                </c:pt>
                <c:pt idx="80">
                  <c:v>-5.7409171281234288</c:v>
                </c:pt>
                <c:pt idx="81">
                  <c:v>-5.8971419554715387</c:v>
                </c:pt>
                <c:pt idx="82">
                  <c:v>-5.800138680432398</c:v>
                </c:pt>
                <c:pt idx="83">
                  <c:v>-5.5327002252567015</c:v>
                </c:pt>
                <c:pt idx="84">
                  <c:v>-5.9811997672646138</c:v>
                </c:pt>
                <c:pt idx="85">
                  <c:v>-6.4211233054789973</c:v>
                </c:pt>
                <c:pt idx="86">
                  <c:v>-6.7044626839336017</c:v>
                </c:pt>
                <c:pt idx="87">
                  <c:v>-6.2417041598726968</c:v>
                </c:pt>
                <c:pt idx="88">
                  <c:v>-6.62642971408183</c:v>
                </c:pt>
                <c:pt idx="89">
                  <c:v>-6.3038217939019177</c:v>
                </c:pt>
                <c:pt idx="90">
                  <c:v>-5.8021480262122571</c:v>
                </c:pt>
                <c:pt idx="91">
                  <c:v>-6.1086376516874505</c:v>
                </c:pt>
                <c:pt idx="92">
                  <c:v>-6.4252428154709191</c:v>
                </c:pt>
                <c:pt idx="93">
                  <c:v>-6.873045367530775</c:v>
                </c:pt>
                <c:pt idx="94">
                  <c:v>-6.7990004420231553</c:v>
                </c:pt>
                <c:pt idx="95">
                  <c:v>-7.1680239487737047</c:v>
                </c:pt>
                <c:pt idx="96">
                  <c:v>-7.0316915906730131</c:v>
                </c:pt>
                <c:pt idx="97">
                  <c:v>-6.9607691869577675</c:v>
                </c:pt>
                <c:pt idx="98">
                  <c:v>-7.402928471832575</c:v>
                </c:pt>
                <c:pt idx="99">
                  <c:v>-7.0222873875091292</c:v>
                </c:pt>
                <c:pt idx="100">
                  <c:v>-7.3454734667334769</c:v>
                </c:pt>
                <c:pt idx="101">
                  <c:v>-7.085566951717813</c:v>
                </c:pt>
                <c:pt idx="102">
                  <c:v>-7.0791020453463833</c:v>
                </c:pt>
                <c:pt idx="103">
                  <c:v>-7.4123072375411558</c:v>
                </c:pt>
                <c:pt idx="104">
                  <c:v>-7.968551790985595</c:v>
                </c:pt>
                <c:pt idx="105">
                  <c:v>-7.923653498050899</c:v>
                </c:pt>
                <c:pt idx="106">
                  <c:v>-7.7198726533877773</c:v>
                </c:pt>
                <c:pt idx="107">
                  <c:v>-8.0340399764562562</c:v>
                </c:pt>
                <c:pt idx="108">
                  <c:v>-7.8318449152040319</c:v>
                </c:pt>
                <c:pt idx="109">
                  <c:v>-7.6475508031524031</c:v>
                </c:pt>
                <c:pt idx="110">
                  <c:v>-7.9939084042955884</c:v>
                </c:pt>
                <c:pt idx="111">
                  <c:v>-7.8544802089480115</c:v>
                </c:pt>
                <c:pt idx="112">
                  <c:v>-8.3119527808852869</c:v>
                </c:pt>
                <c:pt idx="113">
                  <c:v>-8.105628702877528</c:v>
                </c:pt>
                <c:pt idx="114">
                  <c:v>-8.157710302303375</c:v>
                </c:pt>
                <c:pt idx="115">
                  <c:v>-8.1217073115233234</c:v>
                </c:pt>
                <c:pt idx="116">
                  <c:v>-8.7797742711082467</c:v>
                </c:pt>
                <c:pt idx="117">
                  <c:v>-9.1661331870894802</c:v>
                </c:pt>
                <c:pt idx="118">
                  <c:v>-9.5971009597209278</c:v>
                </c:pt>
                <c:pt idx="119">
                  <c:v>-9.8657833660363448</c:v>
                </c:pt>
                <c:pt idx="120">
                  <c:v>-8.8530461503162954</c:v>
                </c:pt>
                <c:pt idx="121">
                  <c:v>-9.2508921304727174</c:v>
                </c:pt>
                <c:pt idx="122">
                  <c:v>-9.4962219037334172</c:v>
                </c:pt>
                <c:pt idx="123">
                  <c:v>-9.1612361755738121</c:v>
                </c:pt>
                <c:pt idx="124">
                  <c:v>-8.5393058876034917</c:v>
                </c:pt>
                <c:pt idx="125">
                  <c:v>-8.1949632464353712</c:v>
                </c:pt>
                <c:pt idx="126">
                  <c:v>-8.1646427940117281</c:v>
                </c:pt>
                <c:pt idx="127">
                  <c:v>-8.2723300376907023</c:v>
                </c:pt>
                <c:pt idx="128">
                  <c:v>-8.0317620157924896</c:v>
                </c:pt>
                <c:pt idx="129">
                  <c:v>-8.2065987891986669</c:v>
                </c:pt>
                <c:pt idx="130">
                  <c:v>-8.0990743947000308</c:v>
                </c:pt>
                <c:pt idx="131">
                  <c:v>-8.0562506249897012</c:v>
                </c:pt>
                <c:pt idx="132">
                  <c:v>-7.7371778662383246</c:v>
                </c:pt>
                <c:pt idx="133">
                  <c:v>-7.5320693451157394</c:v>
                </c:pt>
                <c:pt idx="134">
                  <c:v>-7.40042344732956</c:v>
                </c:pt>
                <c:pt idx="135">
                  <c:v>-7.1908900581355004</c:v>
                </c:pt>
                <c:pt idx="136">
                  <c:v>-7.2424040511699417</c:v>
                </c:pt>
                <c:pt idx="137">
                  <c:v>-7.2950589448544099</c:v>
                </c:pt>
                <c:pt idx="138">
                  <c:v>-7.6148016821923186</c:v>
                </c:pt>
                <c:pt idx="139">
                  <c:v>-7.3202515851051215</c:v>
                </c:pt>
                <c:pt idx="140">
                  <c:v>-7.4103973103860898</c:v>
                </c:pt>
                <c:pt idx="141">
                  <c:v>-7.2852653180847646</c:v>
                </c:pt>
                <c:pt idx="142">
                  <c:v>-6.7865169172379849</c:v>
                </c:pt>
                <c:pt idx="143">
                  <c:v>-7.0359191844095035</c:v>
                </c:pt>
                <c:pt idx="144">
                  <c:v>-6.6760960411181873</c:v>
                </c:pt>
                <c:pt idx="145">
                  <c:v>-6.6221414529860763</c:v>
                </c:pt>
                <c:pt idx="146">
                  <c:v>-6.6458248095467169</c:v>
                </c:pt>
                <c:pt idx="147">
                  <c:v>-6.5054327436423769</c:v>
                </c:pt>
                <c:pt idx="148">
                  <c:v>-6.5116564851121215</c:v>
                </c:pt>
                <c:pt idx="149">
                  <c:v>-6.5952074031758237</c:v>
                </c:pt>
                <c:pt idx="150">
                  <c:v>-6.2466492684015673</c:v>
                </c:pt>
                <c:pt idx="151">
                  <c:v>-6.3373716918439129</c:v>
                </c:pt>
                <c:pt idx="152">
                  <c:v>-6.2278616098875226</c:v>
                </c:pt>
                <c:pt idx="153">
                  <c:v>-6.0425920577249785</c:v>
                </c:pt>
                <c:pt idx="154">
                  <c:v>-5.8117673385589583</c:v>
                </c:pt>
                <c:pt idx="155">
                  <c:v>-6.0843528156002504</c:v>
                </c:pt>
                <c:pt idx="156">
                  <c:v>-5.809335646645537</c:v>
                </c:pt>
                <c:pt idx="157">
                  <c:v>-5.7895531773987905</c:v>
                </c:pt>
                <c:pt idx="158">
                  <c:v>-5.4918832753157831</c:v>
                </c:pt>
                <c:pt idx="159">
                  <c:v>-5.5306796496062773</c:v>
                </c:pt>
                <c:pt idx="160">
                  <c:v>-6.3071846150372242</c:v>
                </c:pt>
                <c:pt idx="161">
                  <c:v>-6.7820772193276051</c:v>
                </c:pt>
                <c:pt idx="162">
                  <c:v>-7.0627352551957063</c:v>
                </c:pt>
                <c:pt idx="163">
                  <c:v>-6.8135317502485719</c:v>
                </c:pt>
                <c:pt idx="164">
                  <c:v>-6.7442107322583125</c:v>
                </c:pt>
                <c:pt idx="165">
                  <c:v>-5.1344457954666511</c:v>
                </c:pt>
                <c:pt idx="166">
                  <c:v>-4.3630170058917805</c:v>
                </c:pt>
                <c:pt idx="167">
                  <c:v>-4.5551876971468666</c:v>
                </c:pt>
                <c:pt idx="168">
                  <c:v>-4.1019934616384823</c:v>
                </c:pt>
                <c:pt idx="169">
                  <c:v>-3.7116155059473104</c:v>
                </c:pt>
                <c:pt idx="170">
                  <c:v>-5.7770832937196017</c:v>
                </c:pt>
                <c:pt idx="171">
                  <c:v>-5.771335033587599</c:v>
                </c:pt>
                <c:pt idx="172">
                  <c:v>-5.7750483999470053</c:v>
                </c:pt>
                <c:pt idx="173">
                  <c:v>-5.4182855724986867</c:v>
                </c:pt>
                <c:pt idx="174">
                  <c:v>-5.0077623015287678</c:v>
                </c:pt>
                <c:pt idx="175">
                  <c:v>-5.0321659634466869</c:v>
                </c:pt>
                <c:pt idx="176">
                  <c:v>-4.9927740767862208</c:v>
                </c:pt>
                <c:pt idx="177">
                  <c:v>-5.3758809690823073</c:v>
                </c:pt>
                <c:pt idx="178">
                  <c:v>-5.5758184586998212</c:v>
                </c:pt>
                <c:pt idx="179">
                  <c:v>-5.6446183577270705</c:v>
                </c:pt>
                <c:pt idx="180">
                  <c:v>-4.9867194529528192</c:v>
                </c:pt>
                <c:pt idx="181">
                  <c:v>-5.0638430334077684</c:v>
                </c:pt>
                <c:pt idx="182">
                  <c:v>-4.8770130538813161</c:v>
                </c:pt>
                <c:pt idx="183">
                  <c:v>-4.4538202350866269</c:v>
                </c:pt>
                <c:pt idx="184">
                  <c:v>-4.4161240391161858</c:v>
                </c:pt>
                <c:pt idx="185">
                  <c:v>-4.5459784568819908</c:v>
                </c:pt>
                <c:pt idx="186">
                  <c:v>-4.5802899441491478</c:v>
                </c:pt>
                <c:pt idx="187">
                  <c:v>-4.2472584110929175</c:v>
                </c:pt>
                <c:pt idx="188">
                  <c:v>-4.322180449465014</c:v>
                </c:pt>
                <c:pt idx="189">
                  <c:v>-4.2964376177270793</c:v>
                </c:pt>
                <c:pt idx="190">
                  <c:v>-4.401611983783468</c:v>
                </c:pt>
                <c:pt idx="191">
                  <c:v>-4.35917530150701</c:v>
                </c:pt>
                <c:pt idx="192">
                  <c:v>-4.3212710339562754</c:v>
                </c:pt>
                <c:pt idx="193">
                  <c:v>-3.8212130430543487</c:v>
                </c:pt>
                <c:pt idx="194">
                  <c:v>-3.6338912465868569</c:v>
                </c:pt>
                <c:pt idx="195">
                  <c:v>-3.8768679506619512</c:v>
                </c:pt>
                <c:pt idx="196">
                  <c:v>-3.9199698999496544</c:v>
                </c:pt>
                <c:pt idx="197">
                  <c:v>-4.7903481076619547</c:v>
                </c:pt>
                <c:pt idx="198">
                  <c:v>-4.6083346495077633</c:v>
                </c:pt>
                <c:pt idx="199">
                  <c:v>-4.5268428369635165</c:v>
                </c:pt>
                <c:pt idx="200">
                  <c:v>-4.1988901704513104</c:v>
                </c:pt>
                <c:pt idx="201">
                  <c:v>-4.6668782901700414</c:v>
                </c:pt>
                <c:pt idx="202">
                  <c:v>-4.7669312207021619</c:v>
                </c:pt>
                <c:pt idx="203">
                  <c:v>-4.9782653601753104</c:v>
                </c:pt>
                <c:pt idx="204">
                  <c:v>-5.2230798311516704</c:v>
                </c:pt>
                <c:pt idx="205">
                  <c:v>-3.9292515975902784</c:v>
                </c:pt>
                <c:pt idx="206">
                  <c:v>-4.613439184017583</c:v>
                </c:pt>
                <c:pt idx="207">
                  <c:v>-4.1550129857340954</c:v>
                </c:pt>
                <c:pt idx="208">
                  <c:v>-4.251333563087103</c:v>
                </c:pt>
                <c:pt idx="209">
                  <c:v>-4.0504408625984558</c:v>
                </c:pt>
                <c:pt idx="210">
                  <c:v>-3.9511711784534507</c:v>
                </c:pt>
                <c:pt idx="211">
                  <c:v>-3.8284209725782059</c:v>
                </c:pt>
                <c:pt idx="212">
                  <c:v>-3.7032692827516929</c:v>
                </c:pt>
                <c:pt idx="213">
                  <c:v>-3.6698940207205077</c:v>
                </c:pt>
                <c:pt idx="214">
                  <c:v>-3.6432749761616376</c:v>
                </c:pt>
                <c:pt idx="215">
                  <c:v>-3.6518193400558752</c:v>
                </c:pt>
                <c:pt idx="216">
                  <c:v>-3.8581066961665313</c:v>
                </c:pt>
                <c:pt idx="217">
                  <c:v>-3.5983583681401572</c:v>
                </c:pt>
                <c:pt idx="218">
                  <c:v>-3.8149395337959811</c:v>
                </c:pt>
                <c:pt idx="219">
                  <c:v>-4.9937849749550161</c:v>
                </c:pt>
                <c:pt idx="220">
                  <c:v>-4.2189081713990984</c:v>
                </c:pt>
                <c:pt idx="221">
                  <c:v>-4.7090350457086112</c:v>
                </c:pt>
                <c:pt idx="222">
                  <c:v>-4.5548260695022185</c:v>
                </c:pt>
                <c:pt idx="223">
                  <c:v>-4.2606878201980569</c:v>
                </c:pt>
                <c:pt idx="224">
                  <c:v>-3.5456888050884761</c:v>
                </c:pt>
                <c:pt idx="225">
                  <c:v>-3.3626696827689817</c:v>
                </c:pt>
                <c:pt idx="226">
                  <c:v>-3.3692422070592567</c:v>
                </c:pt>
                <c:pt idx="227">
                  <c:v>-3.4344743327069098</c:v>
                </c:pt>
                <c:pt idx="228">
                  <c:v>-3.6149233941581054</c:v>
                </c:pt>
                <c:pt idx="229">
                  <c:v>-3.8054926866559526</c:v>
                </c:pt>
                <c:pt idx="230">
                  <c:v>-2.9299634864906134</c:v>
                </c:pt>
                <c:pt idx="231">
                  <c:v>-2.9925949717315858</c:v>
                </c:pt>
                <c:pt idx="232">
                  <c:v>-2.9867756977588908</c:v>
                </c:pt>
                <c:pt idx="233">
                  <c:v>-2.8979092680280036</c:v>
                </c:pt>
                <c:pt idx="234">
                  <c:v>-3.0596101685107833</c:v>
                </c:pt>
                <c:pt idx="235">
                  <c:v>-3.0165233999368164</c:v>
                </c:pt>
                <c:pt idx="236">
                  <c:v>-3.2153187760454753</c:v>
                </c:pt>
                <c:pt idx="237">
                  <c:v>-3.4739027931170652</c:v>
                </c:pt>
                <c:pt idx="238">
                  <c:v>-3.6224551191514931</c:v>
                </c:pt>
                <c:pt idx="239">
                  <c:v>-3.0467788606578305</c:v>
                </c:pt>
                <c:pt idx="240">
                  <c:v>-3.0079489956586123</c:v>
                </c:pt>
                <c:pt idx="241">
                  <c:v>-2.9353746697863383</c:v>
                </c:pt>
                <c:pt idx="242">
                  <c:v>-2.5345355524695958</c:v>
                </c:pt>
                <c:pt idx="243">
                  <c:v>-2.735733367025218</c:v>
                </c:pt>
                <c:pt idx="244">
                  <c:v>-2.7583191913958065</c:v>
                </c:pt>
                <c:pt idx="245">
                  <c:v>-2.5038383006927885</c:v>
                </c:pt>
                <c:pt idx="246">
                  <c:v>-2.4477676034977014</c:v>
                </c:pt>
                <c:pt idx="247">
                  <c:v>-2.4440218187627392</c:v>
                </c:pt>
                <c:pt idx="248">
                  <c:v>-2.1494632303752201</c:v>
                </c:pt>
                <c:pt idx="249">
                  <c:v>-2.4764324228599301</c:v>
                </c:pt>
                <c:pt idx="250">
                  <c:v>-1.8877389362345853</c:v>
                </c:pt>
                <c:pt idx="251">
                  <c:v>-2.1694747465844535</c:v>
                </c:pt>
                <c:pt idx="252">
                  <c:v>-2.23638633931209</c:v>
                </c:pt>
                <c:pt idx="253">
                  <c:v>-2.2422127776700127</c:v>
                </c:pt>
                <c:pt idx="254">
                  <c:v>-1.8194770459460103</c:v>
                </c:pt>
                <c:pt idx="255">
                  <c:v>-2.0108319414985996</c:v>
                </c:pt>
                <c:pt idx="256">
                  <c:v>-2.0698942827936424</c:v>
                </c:pt>
                <c:pt idx="257">
                  <c:v>-1.8085406506657515</c:v>
                </c:pt>
                <c:pt idx="258">
                  <c:v>-1.6085592888523146</c:v>
                </c:pt>
                <c:pt idx="259">
                  <c:v>-1.4426240736205569</c:v>
                </c:pt>
                <c:pt idx="260">
                  <c:v>-1.7475893056449476</c:v>
                </c:pt>
                <c:pt idx="261">
                  <c:v>-1.8703494603454704</c:v>
                </c:pt>
                <c:pt idx="262">
                  <c:v>-2.0467965026304591</c:v>
                </c:pt>
                <c:pt idx="263">
                  <c:v>-1.6889643051768828</c:v>
                </c:pt>
                <c:pt idx="264">
                  <c:v>-1.527652188014069</c:v>
                </c:pt>
                <c:pt idx="265">
                  <c:v>-1.8988244254063549</c:v>
                </c:pt>
                <c:pt idx="266">
                  <c:v>-1.6207142488776625</c:v>
                </c:pt>
                <c:pt idx="267">
                  <c:v>-1.862037972718918</c:v>
                </c:pt>
                <c:pt idx="268">
                  <c:v>-1.5801804080434818</c:v>
                </c:pt>
                <c:pt idx="269">
                  <c:v>-1.441702174906049</c:v>
                </c:pt>
                <c:pt idx="270">
                  <c:v>-1.0306573058467929</c:v>
                </c:pt>
                <c:pt idx="271">
                  <c:v>-0.96028044109576904</c:v>
                </c:pt>
                <c:pt idx="272">
                  <c:v>-1.2860932131639884</c:v>
                </c:pt>
                <c:pt idx="273">
                  <c:v>-1.0671292109602919</c:v>
                </c:pt>
                <c:pt idx="274">
                  <c:v>-1.1400982822151817</c:v>
                </c:pt>
                <c:pt idx="275">
                  <c:v>-1.2701975464600688</c:v>
                </c:pt>
                <c:pt idx="276">
                  <c:v>-2.3393925272536995</c:v>
                </c:pt>
                <c:pt idx="277">
                  <c:v>-2.2792680862416113</c:v>
                </c:pt>
                <c:pt idx="278">
                  <c:v>-2.3630255722535844</c:v>
                </c:pt>
                <c:pt idx="279">
                  <c:v>-2.2644009266875322</c:v>
                </c:pt>
                <c:pt idx="280">
                  <c:v>-2.2911841869485339</c:v>
                </c:pt>
                <c:pt idx="281">
                  <c:v>-2.2115301109920162</c:v>
                </c:pt>
                <c:pt idx="282">
                  <c:v>-1.9759523824700513</c:v>
                </c:pt>
                <c:pt idx="283">
                  <c:v>-2.0041969239096327</c:v>
                </c:pt>
                <c:pt idx="284">
                  <c:v>-1.6586859144925925</c:v>
                </c:pt>
                <c:pt idx="285">
                  <c:v>-1.2972516909803185</c:v>
                </c:pt>
                <c:pt idx="286">
                  <c:v>-1.3059152960774785</c:v>
                </c:pt>
                <c:pt idx="287">
                  <c:v>-0.77703401498128788</c:v>
                </c:pt>
                <c:pt idx="288">
                  <c:v>-0.96409315802458928</c:v>
                </c:pt>
                <c:pt idx="289">
                  <c:v>-0.59770002808928446</c:v>
                </c:pt>
                <c:pt idx="290">
                  <c:v>-0.96922597679948186</c:v>
                </c:pt>
                <c:pt idx="291">
                  <c:v>-0.45949120461949283</c:v>
                </c:pt>
                <c:pt idx="292">
                  <c:v>-3.6713154568754014E-2</c:v>
                </c:pt>
                <c:pt idx="293">
                  <c:v>-0.77724369045087249</c:v>
                </c:pt>
                <c:pt idx="294">
                  <c:v>-1.1677473590043124</c:v>
                </c:pt>
                <c:pt idx="295">
                  <c:v>-0.50397278195645256</c:v>
                </c:pt>
                <c:pt idx="296">
                  <c:v>-1.2751281101601066</c:v>
                </c:pt>
                <c:pt idx="297">
                  <c:v>-0.43310160656891694</c:v>
                </c:pt>
                <c:pt idx="298">
                  <c:v>-1.3036074474831163</c:v>
                </c:pt>
                <c:pt idx="299">
                  <c:v>-1.4924945589760679</c:v>
                </c:pt>
                <c:pt idx="300">
                  <c:v>-1.348457489853625</c:v>
                </c:pt>
                <c:pt idx="301">
                  <c:v>-1.850212295636799</c:v>
                </c:pt>
                <c:pt idx="302">
                  <c:v>-1.378132247164221</c:v>
                </c:pt>
                <c:pt idx="303">
                  <c:v>-1.4928520505968466</c:v>
                </c:pt>
                <c:pt idx="304">
                  <c:v>-0.15633562900104761</c:v>
                </c:pt>
                <c:pt idx="305">
                  <c:v>8.7799970843360151E-2</c:v>
                </c:pt>
                <c:pt idx="306">
                  <c:v>0.16382797232906773</c:v>
                </c:pt>
                <c:pt idx="307">
                  <c:v>0.69766653794383726</c:v>
                </c:pt>
                <c:pt idx="308">
                  <c:v>0.44397771090048355</c:v>
                </c:pt>
                <c:pt idx="309">
                  <c:v>0.66029306045343505</c:v>
                </c:pt>
                <c:pt idx="310">
                  <c:v>0.51514403298865119</c:v>
                </c:pt>
                <c:pt idx="311">
                  <c:v>0.51932683592605522</c:v>
                </c:pt>
                <c:pt idx="312">
                  <c:v>0.5501235653050216</c:v>
                </c:pt>
                <c:pt idx="313">
                  <c:v>0.88266626419898686</c:v>
                </c:pt>
                <c:pt idx="314">
                  <c:v>0.66760056063497664</c:v>
                </c:pt>
                <c:pt idx="315">
                  <c:v>0.91567742321126433</c:v>
                </c:pt>
                <c:pt idx="316">
                  <c:v>0.5787687068898133</c:v>
                </c:pt>
                <c:pt idx="317">
                  <c:v>-5.7715763477640299E-2</c:v>
                </c:pt>
                <c:pt idx="318">
                  <c:v>0.60998199872111869</c:v>
                </c:pt>
                <c:pt idx="319">
                  <c:v>0.67334966059816981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39-FE49-BB75-3EEA3DE4A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4C3B49-6214-CE49-8D2A-2612E1A53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748BB-20A2-B54C-8D40-FE8FFA555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F89D85A-0622-274D-869A-837BC21D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0C3E0-5CC9-7A4F-935B-F3D89E19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ABF8AFD-9C6F-564F-A7FD-2BD28D8D0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3DEC2F-2D42-4745-B20B-3F28C2562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zoomScale="44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1152.0735080058</v>
      </c>
      <c r="E2">
        <v>375.79548762736999</v>
      </c>
      <c r="F2">
        <v>144.68205128205</v>
      </c>
      <c r="G2">
        <v>117.47399267399</v>
      </c>
      <c r="H2" s="4"/>
      <c r="I2" s="5">
        <f>E2-G2</f>
        <v>258.32149495338001</v>
      </c>
      <c r="J2" s="5">
        <f>D2-F2</f>
        <v>1007.39145672375</v>
      </c>
      <c r="K2" s="9">
        <f>I2*1</f>
        <v>258.32149495338001</v>
      </c>
      <c r="L2" s="6">
        <f t="shared" ref="L2:L65" si="0">K2/J2</f>
        <v>0.2564261322936926</v>
      </c>
      <c r="M2" s="6">
        <f>L2+ABS($N$2)*A2</f>
        <v>0.2564261322936926</v>
      </c>
      <c r="N2" s="4">
        <f>LINEST(V64:V103,U64:U103)</f>
        <v>5.2876251632584933E-5</v>
      </c>
      <c r="O2" s="7">
        <f>AVERAGE(M62:M81)</f>
        <v>0.19332060162348438</v>
      </c>
      <c r="P2" s="4">
        <f>(M2-$O$2)/$O$2*100</f>
        <v>32.642941383512756</v>
      </c>
    </row>
    <row r="3" spans="1:16" x14ac:dyDescent="0.2">
      <c r="A3" s="8">
        <v>0.5</v>
      </c>
      <c r="B3" s="8">
        <v>1</v>
      </c>
      <c r="D3">
        <v>1164.058224163</v>
      </c>
      <c r="E3">
        <v>373.81222707424001</v>
      </c>
      <c r="F3">
        <v>144.75457875458</v>
      </c>
      <c r="G3">
        <v>116.78681318680999</v>
      </c>
      <c r="I3" s="9">
        <f t="shared" ref="I3:I66" si="1">E3-G3</f>
        <v>257.02541388743003</v>
      </c>
      <c r="J3" s="9">
        <f t="shared" ref="J3:J66" si="2">D3-F3</f>
        <v>1019.3036454084199</v>
      </c>
      <c r="K3" s="9">
        <f t="shared" ref="K3:K66" si="3">I3*1</f>
        <v>257.02541388743003</v>
      </c>
      <c r="L3" s="10">
        <f t="shared" si="0"/>
        <v>0.25215784819884929</v>
      </c>
      <c r="M3" s="10">
        <f t="shared" ref="M3:M66" si="4">L3+ABS($N$2)*A3</f>
        <v>0.25218428632466561</v>
      </c>
      <c r="P3" s="8">
        <f t="shared" ref="P3:P66" si="5">(M3-$O$2)/$O$2*100</f>
        <v>30.448738627363408</v>
      </c>
    </row>
    <row r="4" spans="1:16" ht="16" x14ac:dyDescent="0.2">
      <c r="A4" s="8">
        <v>1</v>
      </c>
      <c r="B4" s="8">
        <v>2</v>
      </c>
      <c r="D4">
        <v>1047.9898033503</v>
      </c>
      <c r="E4">
        <v>343.78514202475998</v>
      </c>
      <c r="F4">
        <v>144.32234432234</v>
      </c>
      <c r="G4">
        <v>117.03663003663</v>
      </c>
      <c r="I4" s="9">
        <f t="shared" si="1"/>
        <v>226.74851198812996</v>
      </c>
      <c r="J4" s="9">
        <f t="shared" si="2"/>
        <v>903.66745902796004</v>
      </c>
      <c r="K4" s="9">
        <f t="shared" si="3"/>
        <v>226.74851198812996</v>
      </c>
      <c r="L4" s="10">
        <f t="shared" si="0"/>
        <v>0.25092030228911255</v>
      </c>
      <c r="M4" s="10">
        <f t="shared" si="4"/>
        <v>0.25097317854074513</v>
      </c>
      <c r="N4" s="1" t="s">
        <v>7</v>
      </c>
      <c r="P4" s="8">
        <f t="shared" si="5"/>
        <v>29.82226231094926</v>
      </c>
    </row>
    <row r="5" spans="1:16" x14ac:dyDescent="0.2">
      <c r="A5" s="8">
        <v>1.5</v>
      </c>
      <c r="B5" s="8">
        <v>3</v>
      </c>
      <c r="D5">
        <v>1112.5553145336</v>
      </c>
      <c r="E5">
        <v>352.62617498191997</v>
      </c>
      <c r="F5">
        <v>144.67619047618999</v>
      </c>
      <c r="G5">
        <v>116.97289377289</v>
      </c>
      <c r="I5" s="9">
        <f t="shared" si="1"/>
        <v>235.65328120902996</v>
      </c>
      <c r="J5" s="9">
        <f t="shared" si="2"/>
        <v>967.87912405741008</v>
      </c>
      <c r="K5" s="9">
        <f t="shared" si="3"/>
        <v>235.65328120902996</v>
      </c>
      <c r="L5" s="10">
        <f t="shared" si="0"/>
        <v>0.24347387535455522</v>
      </c>
      <c r="M5" s="10">
        <f t="shared" si="4"/>
        <v>0.2435531897320041</v>
      </c>
      <c r="N5" s="8">
        <f>RSQ(V64:V83,U64:U83)</f>
        <v>1.6116765612297506E-3</v>
      </c>
      <c r="P5" s="8">
        <f t="shared" si="5"/>
        <v>25.984084306934786</v>
      </c>
    </row>
    <row r="6" spans="1:16" x14ac:dyDescent="0.2">
      <c r="A6" s="8">
        <v>2</v>
      </c>
      <c r="B6" s="8">
        <v>4</v>
      </c>
      <c r="D6">
        <v>1081.5292841649</v>
      </c>
      <c r="E6">
        <v>343.27910339840997</v>
      </c>
      <c r="F6">
        <v>144.08644688645001</v>
      </c>
      <c r="G6">
        <v>116.47252747253</v>
      </c>
      <c r="I6" s="9">
        <f t="shared" si="1"/>
        <v>226.80657592587997</v>
      </c>
      <c r="J6" s="9">
        <f t="shared" si="2"/>
        <v>937.44283727845004</v>
      </c>
      <c r="K6" s="9">
        <f t="shared" si="3"/>
        <v>226.80657592587997</v>
      </c>
      <c r="L6" s="10">
        <f t="shared" si="0"/>
        <v>0.24194176637408268</v>
      </c>
      <c r="M6" s="10">
        <f t="shared" si="4"/>
        <v>0.24204751887734785</v>
      </c>
      <c r="P6" s="8">
        <f t="shared" si="5"/>
        <v>25.205237747379417</v>
      </c>
    </row>
    <row r="7" spans="1:16" x14ac:dyDescent="0.2">
      <c r="A7" s="8">
        <v>2.5</v>
      </c>
      <c r="B7" s="8">
        <v>5</v>
      </c>
      <c r="D7">
        <v>1091.1139971140001</v>
      </c>
      <c r="E7">
        <v>339.60533910534002</v>
      </c>
      <c r="F7">
        <v>144.27472527473</v>
      </c>
      <c r="G7">
        <v>116.70402930403</v>
      </c>
      <c r="I7" s="9">
        <f t="shared" si="1"/>
        <v>222.90130980131002</v>
      </c>
      <c r="J7" s="9">
        <f t="shared" si="2"/>
        <v>946.83927183927005</v>
      </c>
      <c r="K7" s="9">
        <f t="shared" si="3"/>
        <v>222.90130980131002</v>
      </c>
      <c r="L7" s="10">
        <f t="shared" si="0"/>
        <v>0.23541620677426703</v>
      </c>
      <c r="M7" s="10">
        <f t="shared" si="4"/>
        <v>0.23554839740334849</v>
      </c>
      <c r="P7" s="8">
        <f t="shared" si="5"/>
        <v>21.843401802622115</v>
      </c>
    </row>
    <row r="8" spans="1:16" x14ac:dyDescent="0.2">
      <c r="A8" s="8">
        <v>3</v>
      </c>
      <c r="B8" s="8">
        <v>6</v>
      </c>
      <c r="D8">
        <v>1057.1673881674001</v>
      </c>
      <c r="E8">
        <v>327.65223665223999</v>
      </c>
      <c r="F8">
        <v>143.95970695970999</v>
      </c>
      <c r="G8">
        <v>116.61904761904999</v>
      </c>
      <c r="I8" s="9">
        <f t="shared" si="1"/>
        <v>211.03318903319001</v>
      </c>
      <c r="J8" s="9">
        <f t="shared" si="2"/>
        <v>913.20768120769003</v>
      </c>
      <c r="K8" s="9">
        <f t="shared" si="3"/>
        <v>211.03318903319001</v>
      </c>
      <c r="L8" s="10">
        <f t="shared" si="0"/>
        <v>0.23109002845235038</v>
      </c>
      <c r="M8" s="10">
        <f t="shared" si="4"/>
        <v>0.23124865720724813</v>
      </c>
      <c r="P8" s="8">
        <f t="shared" si="5"/>
        <v>19.619251784470077</v>
      </c>
    </row>
    <row r="9" spans="1:16" x14ac:dyDescent="0.2">
      <c r="A9" s="8">
        <v>3.5</v>
      </c>
      <c r="B9" s="8">
        <v>7</v>
      </c>
      <c r="D9">
        <v>1048.3607503608</v>
      </c>
      <c r="E9">
        <v>320.17243867244002</v>
      </c>
      <c r="F9">
        <v>143.90036630037</v>
      </c>
      <c r="G9">
        <v>116.7978021978</v>
      </c>
      <c r="I9" s="9">
        <f t="shared" si="1"/>
        <v>203.37463647464003</v>
      </c>
      <c r="J9" s="9">
        <f t="shared" si="2"/>
        <v>904.46038406042999</v>
      </c>
      <c r="K9" s="9">
        <f t="shared" si="3"/>
        <v>203.37463647464003</v>
      </c>
      <c r="L9" s="10">
        <f t="shared" si="0"/>
        <v>0.22485742887004312</v>
      </c>
      <c r="M9" s="10">
        <f t="shared" si="4"/>
        <v>0.22504249575075716</v>
      </c>
      <c r="P9" s="8">
        <f t="shared" si="5"/>
        <v>16.408956862784372</v>
      </c>
    </row>
    <row r="10" spans="1:16" x14ac:dyDescent="0.2">
      <c r="A10" s="8">
        <v>4</v>
      </c>
      <c r="B10" s="8">
        <v>8</v>
      </c>
      <c r="D10">
        <v>998.2351233672</v>
      </c>
      <c r="E10">
        <v>309.34978229318</v>
      </c>
      <c r="F10">
        <v>143.19853479854001</v>
      </c>
      <c r="G10">
        <v>116.81025641026</v>
      </c>
      <c r="I10" s="9">
        <f t="shared" si="1"/>
        <v>192.53952588292</v>
      </c>
      <c r="J10" s="9">
        <f t="shared" si="2"/>
        <v>855.03658856866002</v>
      </c>
      <c r="K10" s="9">
        <f t="shared" si="3"/>
        <v>192.53952588292</v>
      </c>
      <c r="L10" s="10">
        <f t="shared" si="0"/>
        <v>0.22518279154022303</v>
      </c>
      <c r="M10" s="10">
        <f t="shared" si="4"/>
        <v>0.22539429654675336</v>
      </c>
      <c r="P10" s="8">
        <f t="shared" si="5"/>
        <v>16.590934775661641</v>
      </c>
    </row>
    <row r="11" spans="1:16" x14ac:dyDescent="0.2">
      <c r="A11" s="8">
        <v>4.5</v>
      </c>
      <c r="B11" s="8">
        <v>9</v>
      </c>
      <c r="D11">
        <v>1100.6702977487</v>
      </c>
      <c r="E11">
        <v>326.87218591139998</v>
      </c>
      <c r="F11">
        <v>143.72527472528</v>
      </c>
      <c r="G11">
        <v>116.64908424908</v>
      </c>
      <c r="I11" s="9">
        <f t="shared" si="1"/>
        <v>210.22310166231998</v>
      </c>
      <c r="J11" s="9">
        <f t="shared" si="2"/>
        <v>956.94502302342005</v>
      </c>
      <c r="K11" s="9">
        <f t="shared" si="3"/>
        <v>210.22310166231998</v>
      </c>
      <c r="L11" s="10">
        <f t="shared" si="0"/>
        <v>0.21968148284854502</v>
      </c>
      <c r="M11" s="10">
        <f t="shared" si="4"/>
        <v>0.21991942598089165</v>
      </c>
      <c r="P11" s="8">
        <f t="shared" si="5"/>
        <v>13.758918673971305</v>
      </c>
    </row>
    <row r="12" spans="1:16" x14ac:dyDescent="0.2">
      <c r="A12" s="8">
        <v>5</v>
      </c>
      <c r="B12" s="8">
        <v>10</v>
      </c>
      <c r="D12">
        <v>1154.1190994916999</v>
      </c>
      <c r="E12">
        <v>332.49237472766998</v>
      </c>
      <c r="F12">
        <v>143.56849816850001</v>
      </c>
      <c r="G12">
        <v>116.61098901099</v>
      </c>
      <c r="I12" s="9">
        <f t="shared" si="1"/>
        <v>215.88138571667997</v>
      </c>
      <c r="J12" s="9">
        <f t="shared" si="2"/>
        <v>1010.5506013231999</v>
      </c>
      <c r="K12" s="9">
        <f t="shared" si="3"/>
        <v>215.88138571667997</v>
      </c>
      <c r="L12" s="10">
        <f t="shared" si="0"/>
        <v>0.21362748726685046</v>
      </c>
      <c r="M12" s="10">
        <f t="shared" si="4"/>
        <v>0.21389186852501338</v>
      </c>
      <c r="P12" s="8">
        <f t="shared" si="5"/>
        <v>10.641011215966554</v>
      </c>
    </row>
    <row r="13" spans="1:16" x14ac:dyDescent="0.2">
      <c r="A13" s="8">
        <v>5.5</v>
      </c>
      <c r="B13" s="8">
        <v>11</v>
      </c>
      <c r="D13">
        <v>1123.7241877255999</v>
      </c>
      <c r="E13">
        <v>324.99061371840997</v>
      </c>
      <c r="F13">
        <v>144.03003663004</v>
      </c>
      <c r="G13">
        <v>116.34285714286</v>
      </c>
      <c r="I13" s="9">
        <f t="shared" si="1"/>
        <v>208.64775657554998</v>
      </c>
      <c r="J13" s="9">
        <f t="shared" si="2"/>
        <v>979.69415109555985</v>
      </c>
      <c r="K13" s="9">
        <f t="shared" si="3"/>
        <v>208.64775657554998</v>
      </c>
      <c r="L13" s="10">
        <f t="shared" si="0"/>
        <v>0.21297234074759561</v>
      </c>
      <c r="M13" s="10">
        <f t="shared" si="4"/>
        <v>0.21326316013157481</v>
      </c>
      <c r="P13" s="8">
        <f t="shared" si="5"/>
        <v>10.315795802731367</v>
      </c>
    </row>
    <row r="14" spans="1:16" x14ac:dyDescent="0.2">
      <c r="A14" s="8">
        <v>6</v>
      </c>
      <c r="B14" s="8">
        <v>12</v>
      </c>
      <c r="D14">
        <v>1085.2938628159</v>
      </c>
      <c r="E14">
        <v>314.38700361011001</v>
      </c>
      <c r="F14">
        <v>143.53992673993</v>
      </c>
      <c r="G14">
        <v>116.39120879121</v>
      </c>
      <c r="I14" s="9">
        <f t="shared" si="1"/>
        <v>197.99579481890001</v>
      </c>
      <c r="J14" s="9">
        <f t="shared" si="2"/>
        <v>941.75393607596993</v>
      </c>
      <c r="K14" s="9">
        <f t="shared" si="3"/>
        <v>197.99579481890001</v>
      </c>
      <c r="L14" s="10">
        <f t="shared" si="0"/>
        <v>0.21024153681150951</v>
      </c>
      <c r="M14" s="10">
        <f t="shared" si="4"/>
        <v>0.210558794321305</v>
      </c>
      <c r="P14" s="8">
        <f t="shared" si="5"/>
        <v>8.9168937780330921</v>
      </c>
    </row>
    <row r="15" spans="1:16" x14ac:dyDescent="0.2">
      <c r="A15" s="8">
        <v>6.5</v>
      </c>
      <c r="B15" s="8">
        <v>13</v>
      </c>
      <c r="D15">
        <v>1152.5057636888</v>
      </c>
      <c r="E15">
        <v>323.56123919307998</v>
      </c>
      <c r="F15">
        <v>143.51355311354999</v>
      </c>
      <c r="G15">
        <v>116.22710622711</v>
      </c>
      <c r="I15" s="9">
        <f t="shared" si="1"/>
        <v>207.33413296596999</v>
      </c>
      <c r="J15" s="9">
        <f t="shared" si="2"/>
        <v>1008.9922105752501</v>
      </c>
      <c r="K15" s="9">
        <f t="shared" si="3"/>
        <v>207.33413296596999</v>
      </c>
      <c r="L15" s="10">
        <f t="shared" si="0"/>
        <v>0.20548635637906854</v>
      </c>
      <c r="M15" s="10">
        <f t="shared" si="4"/>
        <v>0.20583005201468033</v>
      </c>
      <c r="P15" s="8">
        <f t="shared" si="5"/>
        <v>6.4708315027694949</v>
      </c>
    </row>
    <row r="16" spans="1:16" x14ac:dyDescent="0.2">
      <c r="A16" s="8">
        <v>7</v>
      </c>
      <c r="B16" s="8">
        <v>14</v>
      </c>
      <c r="D16">
        <v>1121.0857348703</v>
      </c>
      <c r="E16">
        <v>316.45172910663001</v>
      </c>
      <c r="F16">
        <v>143.50769230769001</v>
      </c>
      <c r="G16">
        <v>116.15824175824</v>
      </c>
      <c r="I16" s="9">
        <f t="shared" si="1"/>
        <v>200.29348734839002</v>
      </c>
      <c r="J16" s="9">
        <f t="shared" si="2"/>
        <v>977.57804256260999</v>
      </c>
      <c r="K16" s="9">
        <f t="shared" si="3"/>
        <v>200.29348734839002</v>
      </c>
      <c r="L16" s="10">
        <f t="shared" si="0"/>
        <v>0.204887465376517</v>
      </c>
      <c r="M16" s="10">
        <f t="shared" si="4"/>
        <v>0.20525759913794508</v>
      </c>
      <c r="P16" s="8">
        <f t="shared" si="5"/>
        <v>6.1747156869030801</v>
      </c>
    </row>
    <row r="17" spans="1:16" x14ac:dyDescent="0.2">
      <c r="A17" s="8">
        <v>7.5</v>
      </c>
      <c r="B17" s="8">
        <v>15</v>
      </c>
      <c r="D17">
        <v>1045.3054755042999</v>
      </c>
      <c r="E17">
        <v>300.08933717578998</v>
      </c>
      <c r="F17">
        <v>143.09084249084</v>
      </c>
      <c r="G17">
        <v>116.23296703297</v>
      </c>
      <c r="I17" s="9">
        <f t="shared" si="1"/>
        <v>183.85637014281997</v>
      </c>
      <c r="J17" s="9">
        <f t="shared" si="2"/>
        <v>902.21463301345989</v>
      </c>
      <c r="K17" s="9">
        <f t="shared" si="3"/>
        <v>183.85637014281997</v>
      </c>
      <c r="L17" s="10">
        <f t="shared" si="0"/>
        <v>0.20378340520672653</v>
      </c>
      <c r="M17" s="10">
        <f t="shared" si="4"/>
        <v>0.2041799770939709</v>
      </c>
      <c r="P17" s="8">
        <f t="shared" si="5"/>
        <v>5.6172882658602949</v>
      </c>
    </row>
    <row r="18" spans="1:16" x14ac:dyDescent="0.2">
      <c r="A18" s="8">
        <v>8</v>
      </c>
      <c r="B18" s="8">
        <v>16</v>
      </c>
      <c r="D18">
        <v>1050.1988472623</v>
      </c>
      <c r="E18">
        <v>298.67219020173002</v>
      </c>
      <c r="F18">
        <v>143.31575091574999</v>
      </c>
      <c r="G18">
        <v>116.52820512821</v>
      </c>
      <c r="I18" s="9">
        <f t="shared" si="1"/>
        <v>182.14398507352001</v>
      </c>
      <c r="J18" s="9">
        <f t="shared" si="2"/>
        <v>906.88309634655002</v>
      </c>
      <c r="K18" s="9">
        <f t="shared" si="3"/>
        <v>182.14398507352001</v>
      </c>
      <c r="L18" s="10">
        <f t="shared" si="0"/>
        <v>0.20084615735732797</v>
      </c>
      <c r="M18" s="10">
        <f t="shared" si="4"/>
        <v>0.20126916737038866</v>
      </c>
      <c r="P18" s="8">
        <f t="shared" si="5"/>
        <v>4.1115978742840289</v>
      </c>
    </row>
    <row r="19" spans="1:16" x14ac:dyDescent="0.2">
      <c r="A19" s="8">
        <v>8.5</v>
      </c>
      <c r="B19" s="8">
        <v>17</v>
      </c>
      <c r="D19">
        <v>1250.4164859002001</v>
      </c>
      <c r="E19">
        <v>330.44830079537002</v>
      </c>
      <c r="F19">
        <v>142.87472527473</v>
      </c>
      <c r="G19">
        <v>116.23956043955999</v>
      </c>
      <c r="I19" s="9">
        <f t="shared" si="1"/>
        <v>214.20874035581002</v>
      </c>
      <c r="J19" s="9">
        <f t="shared" si="2"/>
        <v>1107.54176062547</v>
      </c>
      <c r="K19" s="9">
        <f t="shared" si="3"/>
        <v>214.20874035581002</v>
      </c>
      <c r="L19" s="10">
        <f t="shared" si="0"/>
        <v>0.19340917694592244</v>
      </c>
      <c r="M19" s="10">
        <f t="shared" si="4"/>
        <v>0.19385862508479942</v>
      </c>
      <c r="P19" s="8">
        <f t="shared" si="5"/>
        <v>0.27830632472523908</v>
      </c>
    </row>
    <row r="20" spans="1:16" x14ac:dyDescent="0.2">
      <c r="A20" s="8">
        <v>9</v>
      </c>
      <c r="B20" s="8">
        <v>18</v>
      </c>
      <c r="D20">
        <v>1276.4685466377</v>
      </c>
      <c r="E20">
        <v>337.65220535069</v>
      </c>
      <c r="F20">
        <v>142.68205128205</v>
      </c>
      <c r="G20">
        <v>116.11208791209</v>
      </c>
      <c r="I20" s="9">
        <f t="shared" si="1"/>
        <v>221.54011743859999</v>
      </c>
      <c r="J20" s="9">
        <f t="shared" si="2"/>
        <v>1133.78649535565</v>
      </c>
      <c r="K20" s="9">
        <f t="shared" si="3"/>
        <v>221.54011743859999</v>
      </c>
      <c r="L20" s="10">
        <f t="shared" si="0"/>
        <v>0.19539844436858153</v>
      </c>
      <c r="M20" s="10">
        <f t="shared" si="4"/>
        <v>0.19587433063327481</v>
      </c>
      <c r="P20" s="8">
        <f t="shared" si="5"/>
        <v>1.3209813068780554</v>
      </c>
    </row>
    <row r="21" spans="1:16" x14ac:dyDescent="0.2">
      <c r="A21" s="8">
        <v>9.5</v>
      </c>
      <c r="B21" s="8">
        <v>19</v>
      </c>
      <c r="D21">
        <v>1127.3799126638</v>
      </c>
      <c r="E21">
        <v>306.12954876274</v>
      </c>
      <c r="F21">
        <v>142.55384615385</v>
      </c>
      <c r="G21">
        <v>116.02564102564</v>
      </c>
      <c r="I21" s="9">
        <f t="shared" si="1"/>
        <v>190.1039077371</v>
      </c>
      <c r="J21" s="9">
        <f t="shared" si="2"/>
        <v>984.82606650995001</v>
      </c>
      <c r="K21" s="9">
        <f t="shared" si="3"/>
        <v>190.1039077371</v>
      </c>
      <c r="L21" s="10">
        <f t="shared" si="0"/>
        <v>0.19303297729597546</v>
      </c>
      <c r="M21" s="10">
        <f t="shared" si="4"/>
        <v>0.19353530168648503</v>
      </c>
      <c r="P21" s="8">
        <f t="shared" si="5"/>
        <v>0.11105907037202342</v>
      </c>
    </row>
    <row r="22" spans="1:16" x14ac:dyDescent="0.2">
      <c r="A22" s="8">
        <v>10</v>
      </c>
      <c r="B22" s="8">
        <v>20</v>
      </c>
      <c r="D22">
        <v>1147.4541484716001</v>
      </c>
      <c r="E22">
        <v>308.87409024745</v>
      </c>
      <c r="F22">
        <v>142.60952380952</v>
      </c>
      <c r="G22">
        <v>116.27252747253</v>
      </c>
      <c r="I22" s="9">
        <f t="shared" si="1"/>
        <v>192.60156277492001</v>
      </c>
      <c r="J22" s="9">
        <f t="shared" si="2"/>
        <v>1004.8446246620802</v>
      </c>
      <c r="K22" s="9">
        <f t="shared" si="3"/>
        <v>192.60156277492001</v>
      </c>
      <c r="L22" s="10">
        <f t="shared" si="0"/>
        <v>0.19167297913315715</v>
      </c>
      <c r="M22" s="10">
        <f t="shared" si="4"/>
        <v>0.192201741649483</v>
      </c>
      <c r="P22" s="8">
        <f t="shared" si="5"/>
        <v>-0.5787587895988946</v>
      </c>
    </row>
    <row r="23" spans="1:16" x14ac:dyDescent="0.2">
      <c r="A23" s="8">
        <v>10.5</v>
      </c>
      <c r="B23" s="8">
        <v>21</v>
      </c>
      <c r="D23">
        <v>1155.2285298398999</v>
      </c>
      <c r="E23">
        <v>311.59534206695997</v>
      </c>
      <c r="F23">
        <v>141.84835164834999</v>
      </c>
      <c r="G23">
        <v>116.04468864469</v>
      </c>
      <c r="I23" s="9">
        <f t="shared" si="1"/>
        <v>195.55065342226999</v>
      </c>
      <c r="J23" s="9">
        <f t="shared" si="2"/>
        <v>1013.3801781915499</v>
      </c>
      <c r="K23" s="9">
        <f t="shared" si="3"/>
        <v>195.55065342226999</v>
      </c>
      <c r="L23" s="10">
        <f t="shared" si="0"/>
        <v>0.19296869785951828</v>
      </c>
      <c r="M23" s="10">
        <f t="shared" si="4"/>
        <v>0.19352389850166044</v>
      </c>
      <c r="P23" s="8">
        <f t="shared" si="5"/>
        <v>0.10516048288117631</v>
      </c>
    </row>
    <row r="24" spans="1:16" x14ac:dyDescent="0.2">
      <c r="A24" s="8">
        <v>11</v>
      </c>
      <c r="B24" s="8">
        <v>22</v>
      </c>
      <c r="D24">
        <v>1018.2634643377</v>
      </c>
      <c r="E24">
        <v>288.28020378457001</v>
      </c>
      <c r="F24">
        <v>142.08498168497999</v>
      </c>
      <c r="G24">
        <v>116.12673992674</v>
      </c>
      <c r="I24" s="9">
        <f t="shared" si="1"/>
        <v>172.15346385782999</v>
      </c>
      <c r="J24" s="9">
        <f t="shared" si="2"/>
        <v>876.17848265272005</v>
      </c>
      <c r="K24" s="9">
        <f t="shared" si="3"/>
        <v>172.15346385782999</v>
      </c>
      <c r="L24" s="10">
        <f t="shared" si="0"/>
        <v>0.19648218629681222</v>
      </c>
      <c r="M24" s="10">
        <f t="shared" si="4"/>
        <v>0.19706382506477066</v>
      </c>
      <c r="P24" s="8">
        <f t="shared" si="5"/>
        <v>1.9362775668248036</v>
      </c>
    </row>
    <row r="25" spans="1:16" x14ac:dyDescent="0.2">
      <c r="A25" s="8">
        <v>11.5</v>
      </c>
      <c r="B25" s="8">
        <v>23</v>
      </c>
      <c r="D25">
        <v>998.31525668836002</v>
      </c>
      <c r="E25">
        <v>281.74403470715998</v>
      </c>
      <c r="F25">
        <v>141.64835164835</v>
      </c>
      <c r="G25">
        <v>115.98534798535</v>
      </c>
      <c r="I25" s="9">
        <f t="shared" si="1"/>
        <v>165.75868672180997</v>
      </c>
      <c r="J25" s="9">
        <f t="shared" si="2"/>
        <v>856.66690504001008</v>
      </c>
      <c r="K25" s="9">
        <f t="shared" si="3"/>
        <v>165.75868672180997</v>
      </c>
      <c r="L25" s="10">
        <f t="shared" si="0"/>
        <v>0.1934925765739349</v>
      </c>
      <c r="M25" s="10">
        <f t="shared" si="4"/>
        <v>0.19410065346770963</v>
      </c>
      <c r="P25" s="8">
        <f t="shared" si="5"/>
        <v>0.40350166390672415</v>
      </c>
    </row>
    <row r="26" spans="1:16" x14ac:dyDescent="0.2">
      <c r="A26" s="8">
        <v>12</v>
      </c>
      <c r="B26" s="8">
        <v>24</v>
      </c>
      <c r="D26">
        <v>1087.8156182212999</v>
      </c>
      <c r="E26">
        <v>295.13087490961999</v>
      </c>
      <c r="F26">
        <v>142.09377289376999</v>
      </c>
      <c r="G26">
        <v>115.88058608059001</v>
      </c>
      <c r="I26" s="9">
        <f t="shared" si="1"/>
        <v>179.25028882902998</v>
      </c>
      <c r="J26" s="9">
        <f t="shared" si="2"/>
        <v>945.72184532752999</v>
      </c>
      <c r="K26" s="9">
        <f t="shared" si="3"/>
        <v>179.25028882902998</v>
      </c>
      <c r="L26" s="10">
        <f t="shared" si="0"/>
        <v>0.18953806525104702</v>
      </c>
      <c r="M26" s="10">
        <f t="shared" si="4"/>
        <v>0.19017258027063805</v>
      </c>
      <c r="P26" s="8">
        <f t="shared" si="5"/>
        <v>-1.628394142377797</v>
      </c>
    </row>
    <row r="27" spans="1:16" x14ac:dyDescent="0.2">
      <c r="A27" s="8">
        <v>12.5</v>
      </c>
      <c r="B27" s="8">
        <v>25</v>
      </c>
      <c r="D27">
        <v>1068.6225596529</v>
      </c>
      <c r="E27">
        <v>291.46420824295001</v>
      </c>
      <c r="F27">
        <v>141.92893772894001</v>
      </c>
      <c r="G27">
        <v>116.02857142857</v>
      </c>
      <c r="I27" s="9">
        <f t="shared" si="1"/>
        <v>175.43563681438002</v>
      </c>
      <c r="J27" s="9">
        <f t="shared" si="2"/>
        <v>926.69362192396</v>
      </c>
      <c r="K27" s="9">
        <f t="shared" si="3"/>
        <v>175.43563681438002</v>
      </c>
      <c r="L27" s="10">
        <f t="shared" si="0"/>
        <v>0.1893135257045887</v>
      </c>
      <c r="M27" s="10">
        <f t="shared" si="4"/>
        <v>0.18997447884999602</v>
      </c>
      <c r="P27" s="8">
        <f t="shared" si="5"/>
        <v>-1.7308671426573299</v>
      </c>
    </row>
    <row r="28" spans="1:16" x14ac:dyDescent="0.2">
      <c r="A28" s="8">
        <v>13</v>
      </c>
      <c r="B28" s="8">
        <v>26</v>
      </c>
      <c r="D28">
        <v>1105.5865800866</v>
      </c>
      <c r="E28">
        <v>296.83477633477997</v>
      </c>
      <c r="F28">
        <v>141.72454212453999</v>
      </c>
      <c r="G28">
        <v>115.45641025641</v>
      </c>
      <c r="I28" s="9">
        <f t="shared" si="1"/>
        <v>181.37836607836999</v>
      </c>
      <c r="J28" s="9">
        <f t="shared" si="2"/>
        <v>963.86203796205996</v>
      </c>
      <c r="K28" s="9">
        <f t="shared" si="3"/>
        <v>181.37836607836999</v>
      </c>
      <c r="L28" s="10">
        <f t="shared" si="0"/>
        <v>0.1881787630747104</v>
      </c>
      <c r="M28" s="10">
        <f t="shared" si="4"/>
        <v>0.18886615434593401</v>
      </c>
      <c r="P28" s="8">
        <f t="shared" si="5"/>
        <v>-2.3041761923677204</v>
      </c>
    </row>
    <row r="29" spans="1:16" x14ac:dyDescent="0.2">
      <c r="A29" s="8">
        <v>13.5</v>
      </c>
      <c r="B29" s="8">
        <v>27</v>
      </c>
      <c r="D29">
        <v>1126.8015873016</v>
      </c>
      <c r="E29">
        <v>299.81818181817999</v>
      </c>
      <c r="F29">
        <v>141.66813186812999</v>
      </c>
      <c r="G29">
        <v>116.03150183149999</v>
      </c>
      <c r="I29" s="9">
        <f t="shared" si="1"/>
        <v>183.78667998667999</v>
      </c>
      <c r="J29" s="9">
        <f t="shared" si="2"/>
        <v>985.13345543346998</v>
      </c>
      <c r="K29" s="9">
        <f t="shared" si="3"/>
        <v>183.78667998667999</v>
      </c>
      <c r="L29" s="10">
        <f t="shared" si="0"/>
        <v>0.18656018529571888</v>
      </c>
      <c r="M29" s="10">
        <f t="shared" si="4"/>
        <v>0.18727401469275878</v>
      </c>
      <c r="P29" s="8">
        <f t="shared" si="5"/>
        <v>-3.1277509380516362</v>
      </c>
    </row>
    <row r="30" spans="1:16" x14ac:dyDescent="0.2">
      <c r="A30" s="8">
        <v>14</v>
      </c>
      <c r="B30" s="8">
        <v>28</v>
      </c>
      <c r="D30">
        <v>1065.5483405483001</v>
      </c>
      <c r="E30">
        <v>289.86291486291998</v>
      </c>
      <c r="F30">
        <v>141.61831501832</v>
      </c>
      <c r="G30">
        <v>115.71135531135999</v>
      </c>
      <c r="I30" s="9">
        <f t="shared" si="1"/>
        <v>174.15155955155998</v>
      </c>
      <c r="J30" s="9">
        <f t="shared" si="2"/>
        <v>923.93002552998007</v>
      </c>
      <c r="K30" s="9">
        <f t="shared" si="3"/>
        <v>174.15155955155998</v>
      </c>
      <c r="L30" s="10">
        <f t="shared" si="0"/>
        <v>0.18848998813699561</v>
      </c>
      <c r="M30" s="10">
        <f t="shared" si="4"/>
        <v>0.1892302556598518</v>
      </c>
      <c r="P30" s="8">
        <f t="shared" si="5"/>
        <v>-2.115835523623621</v>
      </c>
    </row>
    <row r="31" spans="1:16" x14ac:dyDescent="0.2">
      <c r="A31" s="8">
        <v>14.5</v>
      </c>
      <c r="B31" s="8">
        <v>29</v>
      </c>
      <c r="D31">
        <v>1130.0836940837</v>
      </c>
      <c r="E31">
        <v>298.96897546897998</v>
      </c>
      <c r="F31">
        <v>142.02124542125</v>
      </c>
      <c r="G31">
        <v>115.76336996337</v>
      </c>
      <c r="I31" s="9">
        <f t="shared" si="1"/>
        <v>183.20560550560998</v>
      </c>
      <c r="J31" s="9">
        <f t="shared" si="2"/>
        <v>988.06244866245004</v>
      </c>
      <c r="K31" s="9">
        <f t="shared" si="3"/>
        <v>183.20560550560998</v>
      </c>
      <c r="L31" s="10">
        <f t="shared" si="0"/>
        <v>0.18541905499355554</v>
      </c>
      <c r="M31" s="10">
        <f t="shared" si="4"/>
        <v>0.18618576064222803</v>
      </c>
      <c r="P31" s="8">
        <f t="shared" si="5"/>
        <v>-3.6906780350044306</v>
      </c>
    </row>
    <row r="32" spans="1:16" x14ac:dyDescent="0.2">
      <c r="A32" s="8">
        <v>15</v>
      </c>
      <c r="B32" s="8">
        <v>30</v>
      </c>
      <c r="D32">
        <v>1112.3607503608</v>
      </c>
      <c r="E32">
        <v>295.17460317460001</v>
      </c>
      <c r="F32">
        <v>141.74725274725</v>
      </c>
      <c r="G32">
        <v>115.50256410256</v>
      </c>
      <c r="I32" s="9">
        <f t="shared" si="1"/>
        <v>179.67203907204001</v>
      </c>
      <c r="J32" s="9">
        <f t="shared" si="2"/>
        <v>970.61349761354995</v>
      </c>
      <c r="K32" s="9">
        <f t="shared" si="3"/>
        <v>179.67203907204001</v>
      </c>
      <c r="L32" s="10">
        <f t="shared" si="0"/>
        <v>0.18511182825481012</v>
      </c>
      <c r="M32" s="10">
        <f t="shared" si="4"/>
        <v>0.1859049720292989</v>
      </c>
      <c r="P32" s="8">
        <f t="shared" si="5"/>
        <v>-3.835923089370648</v>
      </c>
    </row>
    <row r="33" spans="1:16" x14ac:dyDescent="0.2">
      <c r="A33" s="8">
        <v>15.5</v>
      </c>
      <c r="B33" s="8">
        <v>31</v>
      </c>
      <c r="D33">
        <v>1059.6219336219001</v>
      </c>
      <c r="E33">
        <v>283.59595959595998</v>
      </c>
      <c r="F33">
        <v>142.37142857142999</v>
      </c>
      <c r="G33">
        <v>115.79267399267</v>
      </c>
      <c r="I33" s="9">
        <f t="shared" si="1"/>
        <v>167.80328560328996</v>
      </c>
      <c r="J33" s="9">
        <f t="shared" si="2"/>
        <v>917.25050505047011</v>
      </c>
      <c r="K33" s="9">
        <f t="shared" si="3"/>
        <v>167.80328560328996</v>
      </c>
      <c r="L33" s="10">
        <f t="shared" si="0"/>
        <v>0.18294161156559613</v>
      </c>
      <c r="M33" s="10">
        <f t="shared" si="4"/>
        <v>0.1837611934659012</v>
      </c>
      <c r="P33" s="8">
        <f t="shared" si="5"/>
        <v>-4.9448470971558995</v>
      </c>
    </row>
    <row r="34" spans="1:16" x14ac:dyDescent="0.2">
      <c r="A34" s="8">
        <v>16</v>
      </c>
      <c r="B34" s="8">
        <v>32</v>
      </c>
      <c r="D34">
        <v>1106.7647907648</v>
      </c>
      <c r="E34">
        <v>291.40043290043002</v>
      </c>
      <c r="F34">
        <v>142.15750915750999</v>
      </c>
      <c r="G34">
        <v>115.90915750916</v>
      </c>
      <c r="I34" s="9">
        <f t="shared" si="1"/>
        <v>175.49127539127002</v>
      </c>
      <c r="J34" s="9">
        <f t="shared" si="2"/>
        <v>964.60728160728991</v>
      </c>
      <c r="K34" s="9">
        <f t="shared" si="3"/>
        <v>175.49127539127002</v>
      </c>
      <c r="L34" s="10">
        <f t="shared" si="0"/>
        <v>0.18193028265228861</v>
      </c>
      <c r="M34" s="10">
        <f t="shared" si="4"/>
        <v>0.18277630267840997</v>
      </c>
      <c r="P34" s="8">
        <f t="shared" si="5"/>
        <v>-5.4543069163475568</v>
      </c>
    </row>
    <row r="35" spans="1:16" x14ac:dyDescent="0.2">
      <c r="A35" s="8">
        <v>16.5</v>
      </c>
      <c r="B35" s="8">
        <v>33</v>
      </c>
      <c r="D35">
        <v>1097.7106782107001</v>
      </c>
      <c r="E35">
        <v>289.87662337661999</v>
      </c>
      <c r="F35">
        <v>141.83003663004001</v>
      </c>
      <c r="G35">
        <v>115.94798534799</v>
      </c>
      <c r="I35" s="9">
        <f t="shared" si="1"/>
        <v>173.92863802862999</v>
      </c>
      <c r="J35" s="9">
        <f t="shared" si="2"/>
        <v>955.88064158066004</v>
      </c>
      <c r="K35" s="9">
        <f t="shared" si="3"/>
        <v>173.92863802862999</v>
      </c>
      <c r="L35" s="10">
        <f t="shared" si="0"/>
        <v>0.18195643939500514</v>
      </c>
      <c r="M35" s="10">
        <f t="shared" si="4"/>
        <v>0.18282889754694279</v>
      </c>
      <c r="P35" s="8">
        <f t="shared" si="5"/>
        <v>-5.4271008823857683</v>
      </c>
    </row>
    <row r="36" spans="1:16" x14ac:dyDescent="0.2">
      <c r="A36" s="8">
        <v>17</v>
      </c>
      <c r="B36" s="8">
        <v>34</v>
      </c>
      <c r="D36">
        <v>1089.6291486292</v>
      </c>
      <c r="E36">
        <v>288.32756132755998</v>
      </c>
      <c r="F36">
        <v>141.9010989011</v>
      </c>
      <c r="G36">
        <v>115.72234432234001</v>
      </c>
      <c r="I36" s="9">
        <f t="shared" si="1"/>
        <v>172.60521700521997</v>
      </c>
      <c r="J36" s="9">
        <f t="shared" si="2"/>
        <v>947.72804972810002</v>
      </c>
      <c r="K36" s="9">
        <f t="shared" si="3"/>
        <v>172.60521700521997</v>
      </c>
      <c r="L36" s="10">
        <f t="shared" si="0"/>
        <v>0.18212525951378122</v>
      </c>
      <c r="M36" s="10">
        <f t="shared" si="4"/>
        <v>0.18302415579153516</v>
      </c>
      <c r="P36" s="8">
        <f t="shared" si="5"/>
        <v>-5.3260985872591124</v>
      </c>
    </row>
    <row r="37" spans="1:16" x14ac:dyDescent="0.2">
      <c r="A37" s="8">
        <v>17.5</v>
      </c>
      <c r="B37" s="8">
        <v>35</v>
      </c>
      <c r="D37">
        <v>1042.6313131313</v>
      </c>
      <c r="E37">
        <v>281.35714285713999</v>
      </c>
      <c r="F37">
        <v>142.18021978022</v>
      </c>
      <c r="G37">
        <v>115.75531135531</v>
      </c>
      <c r="I37" s="9">
        <f t="shared" si="1"/>
        <v>165.60183150182999</v>
      </c>
      <c r="J37" s="9">
        <f t="shared" si="2"/>
        <v>900.45109335107998</v>
      </c>
      <c r="K37" s="9">
        <f t="shared" si="3"/>
        <v>165.60183150182999</v>
      </c>
      <c r="L37" s="10">
        <f t="shared" si="0"/>
        <v>0.18390985665366161</v>
      </c>
      <c r="M37" s="10">
        <f t="shared" si="4"/>
        <v>0.18483519105723184</v>
      </c>
      <c r="P37" s="8">
        <f t="shared" si="5"/>
        <v>-4.389294516462825</v>
      </c>
    </row>
    <row r="38" spans="1:16" x14ac:dyDescent="0.2">
      <c r="A38" s="8">
        <v>18</v>
      </c>
      <c r="B38" s="8">
        <v>36</v>
      </c>
      <c r="D38">
        <v>1112.8743682311001</v>
      </c>
      <c r="E38">
        <v>294.50036101082998</v>
      </c>
      <c r="F38">
        <v>141.34798534799</v>
      </c>
      <c r="G38">
        <v>115.75970695971</v>
      </c>
      <c r="I38" s="9">
        <f t="shared" si="1"/>
        <v>178.74065405111998</v>
      </c>
      <c r="J38" s="9">
        <f t="shared" si="2"/>
        <v>971.52638288311005</v>
      </c>
      <c r="K38" s="9">
        <f t="shared" si="3"/>
        <v>178.74065405111998</v>
      </c>
      <c r="L38" s="10">
        <f t="shared" si="0"/>
        <v>0.18397920756478858</v>
      </c>
      <c r="M38" s="10">
        <f t="shared" si="4"/>
        <v>0.18493098009417511</v>
      </c>
      <c r="P38" s="8">
        <f t="shared" si="5"/>
        <v>-4.339745199867056</v>
      </c>
    </row>
    <row r="39" spans="1:16" x14ac:dyDescent="0.2">
      <c r="A39" s="8">
        <v>18.5</v>
      </c>
      <c r="B39" s="8">
        <v>37</v>
      </c>
      <c r="D39">
        <v>1112.8454873646001</v>
      </c>
      <c r="E39">
        <v>294.13862815885</v>
      </c>
      <c r="F39">
        <v>141.45860805861</v>
      </c>
      <c r="G39">
        <v>115.72087912088</v>
      </c>
      <c r="I39" s="9">
        <f t="shared" si="1"/>
        <v>178.41774903797</v>
      </c>
      <c r="J39" s="9">
        <f t="shared" si="2"/>
        <v>971.38687930599008</v>
      </c>
      <c r="K39" s="9">
        <f t="shared" si="3"/>
        <v>178.41774903797</v>
      </c>
      <c r="L39" s="10">
        <f t="shared" si="0"/>
        <v>0.18367321284537116</v>
      </c>
      <c r="M39" s="10">
        <f t="shared" si="4"/>
        <v>0.18465142350057398</v>
      </c>
      <c r="P39" s="8">
        <f t="shared" si="5"/>
        <v>-4.4843529608886135</v>
      </c>
    </row>
    <row r="40" spans="1:16" x14ac:dyDescent="0.2">
      <c r="A40" s="8">
        <v>19</v>
      </c>
      <c r="B40" s="8">
        <v>38</v>
      </c>
      <c r="D40">
        <v>1050.7249097473</v>
      </c>
      <c r="E40">
        <v>283.60361010830002</v>
      </c>
      <c r="F40">
        <v>141.74871794872001</v>
      </c>
      <c r="G40">
        <v>115.55897435897</v>
      </c>
      <c r="I40" s="9">
        <f t="shared" si="1"/>
        <v>168.04463574933001</v>
      </c>
      <c r="J40" s="9">
        <f t="shared" si="2"/>
        <v>908.97619179857998</v>
      </c>
      <c r="K40" s="9">
        <f t="shared" si="3"/>
        <v>168.04463574933001</v>
      </c>
      <c r="L40" s="10">
        <f t="shared" si="0"/>
        <v>0.18487242819509075</v>
      </c>
      <c r="M40" s="10">
        <f t="shared" si="4"/>
        <v>0.18587707697610986</v>
      </c>
      <c r="P40" s="8">
        <f t="shared" si="5"/>
        <v>-3.8503525153887637</v>
      </c>
    </row>
    <row r="41" spans="1:16" x14ac:dyDescent="0.2">
      <c r="A41" s="8">
        <v>19.5</v>
      </c>
      <c r="B41" s="8">
        <v>39</v>
      </c>
      <c r="D41">
        <v>1146.1323636364</v>
      </c>
      <c r="E41">
        <v>299.94690909091003</v>
      </c>
      <c r="F41">
        <v>141.35750915751001</v>
      </c>
      <c r="G41">
        <v>115.28791208791</v>
      </c>
      <c r="I41" s="9">
        <f t="shared" si="1"/>
        <v>184.65899700300002</v>
      </c>
      <c r="J41" s="9">
        <f t="shared" si="2"/>
        <v>1004.77485447889</v>
      </c>
      <c r="K41" s="9">
        <f t="shared" si="3"/>
        <v>184.65899700300002</v>
      </c>
      <c r="L41" s="10">
        <f t="shared" si="0"/>
        <v>0.18378146724100733</v>
      </c>
      <c r="M41" s="10">
        <f t="shared" si="4"/>
        <v>0.18481255414784273</v>
      </c>
      <c r="P41" s="8">
        <f t="shared" si="5"/>
        <v>-4.4010040338132832</v>
      </c>
    </row>
    <row r="42" spans="1:16" x14ac:dyDescent="0.2">
      <c r="A42" s="8">
        <v>20</v>
      </c>
      <c r="B42" s="8">
        <v>40</v>
      </c>
      <c r="D42">
        <v>1128.5816326531001</v>
      </c>
      <c r="E42">
        <v>297.54154518950003</v>
      </c>
      <c r="F42">
        <v>141.65274725275</v>
      </c>
      <c r="G42">
        <v>115.24835164835</v>
      </c>
      <c r="I42" s="9">
        <f t="shared" si="1"/>
        <v>182.29319354115003</v>
      </c>
      <c r="J42" s="9">
        <f t="shared" si="2"/>
        <v>986.92888540035005</v>
      </c>
      <c r="K42" s="9">
        <f t="shared" si="3"/>
        <v>182.29319354115003</v>
      </c>
      <c r="L42" s="10">
        <f t="shared" si="0"/>
        <v>0.18470752679125646</v>
      </c>
      <c r="M42" s="10">
        <f t="shared" si="4"/>
        <v>0.18576505182390815</v>
      </c>
      <c r="P42" s="8">
        <f t="shared" si="5"/>
        <v>-3.9083003757103931</v>
      </c>
    </row>
    <row r="43" spans="1:16" x14ac:dyDescent="0.2">
      <c r="A43" s="8">
        <v>20.5</v>
      </c>
      <c r="B43" s="8">
        <v>41</v>
      </c>
      <c r="D43">
        <v>1152.5072886297</v>
      </c>
      <c r="E43">
        <v>300.27623906705998</v>
      </c>
      <c r="F43">
        <v>141.27252747252999</v>
      </c>
      <c r="G43">
        <v>115.52087912088</v>
      </c>
      <c r="I43" s="9">
        <f t="shared" si="1"/>
        <v>184.75535994617996</v>
      </c>
      <c r="J43" s="9">
        <f t="shared" si="2"/>
        <v>1011.2347611571701</v>
      </c>
      <c r="K43" s="9">
        <f t="shared" si="3"/>
        <v>184.75535994617996</v>
      </c>
      <c r="L43" s="10">
        <f t="shared" si="0"/>
        <v>0.18270273831841166</v>
      </c>
      <c r="M43" s="10">
        <f t="shared" si="4"/>
        <v>0.18378670147687964</v>
      </c>
      <c r="P43" s="8">
        <f t="shared" si="5"/>
        <v>-4.93165242945663</v>
      </c>
    </row>
    <row r="44" spans="1:16" x14ac:dyDescent="0.2">
      <c r="A44" s="8">
        <v>21</v>
      </c>
      <c r="B44" s="8">
        <v>42</v>
      </c>
      <c r="D44">
        <v>1179.6690962099001</v>
      </c>
      <c r="E44">
        <v>304.55393586005999</v>
      </c>
      <c r="F44">
        <v>141.0989010989</v>
      </c>
      <c r="G44">
        <v>115.62564102563999</v>
      </c>
      <c r="I44" s="9">
        <f t="shared" si="1"/>
        <v>188.92829483442</v>
      </c>
      <c r="J44" s="9">
        <f t="shared" si="2"/>
        <v>1038.570195111</v>
      </c>
      <c r="K44" s="9">
        <f t="shared" si="3"/>
        <v>188.92829483442</v>
      </c>
      <c r="L44" s="10">
        <f t="shared" si="0"/>
        <v>0.18191191671375451</v>
      </c>
      <c r="M44" s="10">
        <f t="shared" si="4"/>
        <v>0.18302231799803878</v>
      </c>
      <c r="P44" s="8">
        <f t="shared" si="5"/>
        <v>-5.3270492327055639</v>
      </c>
    </row>
    <row r="45" spans="1:16" x14ac:dyDescent="0.2">
      <c r="A45" s="8">
        <v>21.5</v>
      </c>
      <c r="B45" s="8">
        <v>43</v>
      </c>
      <c r="D45">
        <v>1144.7951895044</v>
      </c>
      <c r="E45">
        <v>300.27696793003003</v>
      </c>
      <c r="F45">
        <v>141.54871794872</v>
      </c>
      <c r="G45">
        <v>115.31941391941</v>
      </c>
      <c r="I45" s="9">
        <f t="shared" si="1"/>
        <v>184.95755401062002</v>
      </c>
      <c r="J45" s="9">
        <f t="shared" si="2"/>
        <v>1003.24647155568</v>
      </c>
      <c r="K45" s="9">
        <f t="shared" si="3"/>
        <v>184.95755401062002</v>
      </c>
      <c r="L45" s="10">
        <f t="shared" si="0"/>
        <v>0.1843590376388928</v>
      </c>
      <c r="M45" s="10">
        <f t="shared" si="4"/>
        <v>0.18549587704899337</v>
      </c>
      <c r="P45" s="8">
        <f t="shared" si="5"/>
        <v>-4.0475378768635464</v>
      </c>
    </row>
    <row r="46" spans="1:16" x14ac:dyDescent="0.2">
      <c r="A46" s="8">
        <v>22</v>
      </c>
      <c r="B46" s="8">
        <v>44</v>
      </c>
      <c r="D46">
        <v>1105.3593294461</v>
      </c>
      <c r="E46">
        <v>293.94679300292</v>
      </c>
      <c r="F46">
        <v>141.49010989011001</v>
      </c>
      <c r="G46">
        <v>115.44615384615</v>
      </c>
      <c r="I46" s="9">
        <f t="shared" si="1"/>
        <v>178.50063915677001</v>
      </c>
      <c r="J46" s="9">
        <f t="shared" si="2"/>
        <v>963.86921955598996</v>
      </c>
      <c r="K46" s="9">
        <f t="shared" si="3"/>
        <v>178.50063915677001</v>
      </c>
      <c r="L46" s="10">
        <f t="shared" si="0"/>
        <v>0.18519176205149182</v>
      </c>
      <c r="M46" s="10">
        <f t="shared" si="4"/>
        <v>0.18635503958740868</v>
      </c>
      <c r="P46" s="8">
        <f t="shared" si="5"/>
        <v>-3.603114193510526</v>
      </c>
    </row>
    <row r="47" spans="1:16" x14ac:dyDescent="0.2">
      <c r="A47" s="8">
        <v>22.5</v>
      </c>
      <c r="B47" s="8">
        <v>45</v>
      </c>
      <c r="D47">
        <v>1252.7910014514</v>
      </c>
      <c r="E47">
        <v>315.93033381713002</v>
      </c>
      <c r="F47">
        <v>140.97948717949001</v>
      </c>
      <c r="G47">
        <v>115.50695970696</v>
      </c>
      <c r="I47" s="9">
        <f t="shared" si="1"/>
        <v>200.42337411017002</v>
      </c>
      <c r="J47" s="9">
        <f t="shared" si="2"/>
        <v>1111.81151427191</v>
      </c>
      <c r="K47" s="9">
        <f t="shared" si="3"/>
        <v>200.42337411017002</v>
      </c>
      <c r="L47" s="10">
        <f t="shared" si="0"/>
        <v>0.18026740282629733</v>
      </c>
      <c r="M47" s="10">
        <f t="shared" si="4"/>
        <v>0.18145711848803048</v>
      </c>
      <c r="P47" s="8">
        <f t="shared" si="5"/>
        <v>-6.1366885038768384</v>
      </c>
    </row>
    <row r="48" spans="1:16" x14ac:dyDescent="0.2">
      <c r="A48" s="8">
        <v>23</v>
      </c>
      <c r="B48" s="8">
        <v>46</v>
      </c>
      <c r="D48">
        <v>1252.7111756167999</v>
      </c>
      <c r="E48">
        <v>316.22496371553001</v>
      </c>
      <c r="F48">
        <v>141.34432234432001</v>
      </c>
      <c r="G48">
        <v>115.38901098901</v>
      </c>
      <c r="I48" s="9">
        <f t="shared" si="1"/>
        <v>200.83595272652002</v>
      </c>
      <c r="J48" s="9">
        <f t="shared" si="2"/>
        <v>1111.3668532724798</v>
      </c>
      <c r="K48" s="9">
        <f t="shared" si="3"/>
        <v>200.83595272652002</v>
      </c>
      <c r="L48" s="10">
        <f t="shared" si="0"/>
        <v>0.18071076362872232</v>
      </c>
      <c r="M48" s="10">
        <f t="shared" si="4"/>
        <v>0.18192691741627176</v>
      </c>
      <c r="P48" s="8">
        <f t="shared" si="5"/>
        <v>-5.893673054775209</v>
      </c>
    </row>
    <row r="49" spans="1:25" x14ac:dyDescent="0.2">
      <c r="A49" s="8">
        <v>23.5</v>
      </c>
      <c r="B49" s="8">
        <v>47</v>
      </c>
      <c r="D49">
        <v>1257.320754717</v>
      </c>
      <c r="E49">
        <v>315.34687953555999</v>
      </c>
      <c r="F49">
        <v>141.05201465202001</v>
      </c>
      <c r="G49">
        <v>115.16703296703</v>
      </c>
      <c r="I49" s="9">
        <f t="shared" si="1"/>
        <v>200.17984656853</v>
      </c>
      <c r="J49" s="9">
        <f t="shared" si="2"/>
        <v>1116.26874006498</v>
      </c>
      <c r="K49" s="9">
        <f t="shared" si="3"/>
        <v>200.17984656853</v>
      </c>
      <c r="L49" s="10">
        <f t="shared" si="0"/>
        <v>0.17932943867699563</v>
      </c>
      <c r="M49" s="10">
        <f t="shared" si="4"/>
        <v>0.18057203059036139</v>
      </c>
      <c r="P49" s="8">
        <f t="shared" si="5"/>
        <v>-6.5945227389434677</v>
      </c>
    </row>
    <row r="50" spans="1:25" x14ac:dyDescent="0.2">
      <c r="A50" s="8">
        <v>24</v>
      </c>
      <c r="B50" s="8">
        <v>48</v>
      </c>
      <c r="D50">
        <v>1285.7205240175001</v>
      </c>
      <c r="E50">
        <v>321.90611353712001</v>
      </c>
      <c r="F50">
        <v>141.10402930403001</v>
      </c>
      <c r="G50">
        <v>115.18021978022</v>
      </c>
      <c r="I50" s="9">
        <f t="shared" si="1"/>
        <v>206.72589375690001</v>
      </c>
      <c r="J50" s="9">
        <f t="shared" si="2"/>
        <v>1144.61649471347</v>
      </c>
      <c r="K50" s="9">
        <f t="shared" si="3"/>
        <v>206.72589375690001</v>
      </c>
      <c r="L50" s="10">
        <f t="shared" si="0"/>
        <v>0.18060712449251343</v>
      </c>
      <c r="M50" s="10">
        <f t="shared" si="4"/>
        <v>0.18187615453169548</v>
      </c>
      <c r="P50" s="8">
        <f t="shared" si="5"/>
        <v>-5.91993144842285</v>
      </c>
    </row>
    <row r="51" spans="1:25" x14ac:dyDescent="0.2">
      <c r="A51" s="8">
        <v>24.5</v>
      </c>
      <c r="B51" s="8">
        <v>49</v>
      </c>
      <c r="D51">
        <v>1300.5473071325</v>
      </c>
      <c r="E51">
        <v>326.04366812226999</v>
      </c>
      <c r="F51">
        <v>140.53772893773001</v>
      </c>
      <c r="G51">
        <v>115.24322344322</v>
      </c>
      <c r="I51" s="9">
        <f t="shared" si="1"/>
        <v>210.80044467904997</v>
      </c>
      <c r="J51" s="9">
        <f t="shared" si="2"/>
        <v>1160.00957819477</v>
      </c>
      <c r="K51" s="9">
        <f t="shared" si="3"/>
        <v>210.80044467904997</v>
      </c>
      <c r="L51" s="10">
        <f t="shared" si="0"/>
        <v>0.18172302077634722</v>
      </c>
      <c r="M51" s="10">
        <f t="shared" si="4"/>
        <v>0.18301848894134556</v>
      </c>
      <c r="P51" s="8">
        <f t="shared" si="5"/>
        <v>-5.3290299097058726</v>
      </c>
    </row>
    <row r="52" spans="1:25" x14ac:dyDescent="0.2">
      <c r="A52" s="8">
        <v>25</v>
      </c>
      <c r="B52" s="8">
        <v>50</v>
      </c>
      <c r="D52">
        <v>1258.3379260334</v>
      </c>
      <c r="E52">
        <v>321.19289340102</v>
      </c>
      <c r="F52">
        <v>140.85494505495001</v>
      </c>
      <c r="G52">
        <v>115.27472527473</v>
      </c>
      <c r="I52" s="9">
        <f t="shared" si="1"/>
        <v>205.91816812629</v>
      </c>
      <c r="J52" s="9">
        <f t="shared" si="2"/>
        <v>1117.4829809784501</v>
      </c>
      <c r="K52" s="9">
        <f t="shared" si="3"/>
        <v>205.91816812629</v>
      </c>
      <c r="L52" s="10">
        <f t="shared" si="0"/>
        <v>0.18426962345859743</v>
      </c>
      <c r="M52" s="10">
        <f t="shared" si="4"/>
        <v>0.18559152974941207</v>
      </c>
      <c r="P52" s="8">
        <f t="shared" si="5"/>
        <v>-3.99805908380403</v>
      </c>
    </row>
    <row r="53" spans="1:25" x14ac:dyDescent="0.2">
      <c r="A53" s="8">
        <v>25.5</v>
      </c>
      <c r="B53" s="8">
        <v>51</v>
      </c>
      <c r="D53">
        <v>1276.6420289855</v>
      </c>
      <c r="E53">
        <v>322.78188405796999</v>
      </c>
      <c r="F53">
        <v>140.51501831502</v>
      </c>
      <c r="G53">
        <v>115.18168498169</v>
      </c>
      <c r="I53" s="9">
        <f t="shared" si="1"/>
        <v>207.60019907627998</v>
      </c>
      <c r="J53" s="9">
        <f t="shared" si="2"/>
        <v>1136.1270106704801</v>
      </c>
      <c r="K53" s="9">
        <f t="shared" si="3"/>
        <v>207.60019907627998</v>
      </c>
      <c r="L53" s="10">
        <f t="shared" si="0"/>
        <v>0.18272622438028799</v>
      </c>
      <c r="M53" s="10">
        <f t="shared" si="4"/>
        <v>0.18407456879691891</v>
      </c>
      <c r="P53" s="8">
        <f t="shared" si="5"/>
        <v>-4.7827457337285013</v>
      </c>
      <c r="S53" s="11"/>
      <c r="U53" s="12"/>
    </row>
    <row r="54" spans="1:25" x14ac:dyDescent="0.2">
      <c r="A54" s="8">
        <v>26</v>
      </c>
      <c r="B54" s="8">
        <v>52</v>
      </c>
      <c r="D54">
        <v>1286.5885341073999</v>
      </c>
      <c r="E54">
        <v>324.37880986938001</v>
      </c>
      <c r="F54">
        <v>140.49450549451001</v>
      </c>
      <c r="G54">
        <v>114.87912087911999</v>
      </c>
      <c r="I54" s="9">
        <f t="shared" si="1"/>
        <v>209.49968899026001</v>
      </c>
      <c r="J54" s="9">
        <f t="shared" si="2"/>
        <v>1146.0940286128898</v>
      </c>
      <c r="K54" s="9">
        <f t="shared" si="3"/>
        <v>209.49968899026001</v>
      </c>
      <c r="L54" s="10">
        <f t="shared" si="0"/>
        <v>0.18279450355728327</v>
      </c>
      <c r="M54" s="10">
        <f t="shared" si="4"/>
        <v>0.18416928609973049</v>
      </c>
      <c r="P54" s="8">
        <f t="shared" si="5"/>
        <v>-4.7337507988813341</v>
      </c>
      <c r="S54" s="11"/>
    </row>
    <row r="55" spans="1:25" x14ac:dyDescent="0.2">
      <c r="A55" s="8">
        <v>26.5</v>
      </c>
      <c r="B55" s="8">
        <v>53</v>
      </c>
      <c r="D55">
        <v>1243.4768451519999</v>
      </c>
      <c r="E55">
        <v>320.07163531114003</v>
      </c>
      <c r="F55">
        <v>140.77655677656</v>
      </c>
      <c r="G55">
        <v>115.11428571429001</v>
      </c>
      <c r="I55" s="9">
        <f t="shared" si="1"/>
        <v>204.95734959685001</v>
      </c>
      <c r="J55" s="9">
        <f t="shared" si="2"/>
        <v>1102.7002883754399</v>
      </c>
      <c r="K55" s="9">
        <f t="shared" si="3"/>
        <v>204.95734959685001</v>
      </c>
      <c r="L55" s="10">
        <f t="shared" si="0"/>
        <v>0.18586859163590563</v>
      </c>
      <c r="M55" s="10">
        <f t="shared" si="4"/>
        <v>0.18726981230416914</v>
      </c>
      <c r="P55" s="8">
        <f t="shared" si="5"/>
        <v>-3.1299247304743529</v>
      </c>
      <c r="S55" s="11"/>
    </row>
    <row r="56" spans="1:25" x14ac:dyDescent="0.2">
      <c r="A56" s="8">
        <v>27</v>
      </c>
      <c r="B56" s="8">
        <v>54</v>
      </c>
      <c r="D56">
        <v>1231.0269482884</v>
      </c>
      <c r="E56">
        <v>315.51565914056999</v>
      </c>
      <c r="F56">
        <v>140.72820512820999</v>
      </c>
      <c r="G56">
        <v>115.12673992674</v>
      </c>
      <c r="I56" s="9">
        <f t="shared" si="1"/>
        <v>200.38891921382998</v>
      </c>
      <c r="J56" s="9">
        <f t="shared" si="2"/>
        <v>1090.29874316019</v>
      </c>
      <c r="K56" s="9">
        <f t="shared" si="3"/>
        <v>200.38891921382998</v>
      </c>
      <c r="L56" s="10">
        <f t="shared" si="0"/>
        <v>0.18379267193595969</v>
      </c>
      <c r="M56" s="10">
        <f t="shared" si="4"/>
        <v>0.18522033073003949</v>
      </c>
      <c r="P56" s="8">
        <f t="shared" si="5"/>
        <v>-4.1900712212871998</v>
      </c>
      <c r="S56" s="11"/>
    </row>
    <row r="57" spans="1:25" x14ac:dyDescent="0.2">
      <c r="A57" s="8">
        <v>27.5</v>
      </c>
      <c r="B57" s="8">
        <v>55</v>
      </c>
      <c r="D57">
        <v>1114.8550619082</v>
      </c>
      <c r="E57">
        <v>296.42170429715998</v>
      </c>
      <c r="F57">
        <v>140.16556776556999</v>
      </c>
      <c r="G57">
        <v>115.1326007326</v>
      </c>
      <c r="I57" s="9">
        <f t="shared" si="1"/>
        <v>181.28910356455998</v>
      </c>
      <c r="J57" s="9">
        <f t="shared" si="2"/>
        <v>974.68949414263</v>
      </c>
      <c r="K57" s="9">
        <f t="shared" si="3"/>
        <v>181.28910356455998</v>
      </c>
      <c r="L57" s="10">
        <f t="shared" si="0"/>
        <v>0.18599677605433518</v>
      </c>
      <c r="M57" s="10">
        <f t="shared" si="4"/>
        <v>0.18745087297423127</v>
      </c>
      <c r="P57" s="8">
        <f t="shared" si="5"/>
        <v>-3.0362664920136817</v>
      </c>
      <c r="S57" s="11"/>
    </row>
    <row r="58" spans="1:25" x14ac:dyDescent="0.2">
      <c r="A58" s="8">
        <v>28</v>
      </c>
      <c r="B58" s="8">
        <v>56</v>
      </c>
      <c r="D58">
        <v>1077.5462490896</v>
      </c>
      <c r="E58">
        <v>291.29060451565999</v>
      </c>
      <c r="F58">
        <v>140.26739926740001</v>
      </c>
      <c r="G58">
        <v>114.87472527473</v>
      </c>
      <c r="I58" s="9">
        <f t="shared" si="1"/>
        <v>176.41587924093</v>
      </c>
      <c r="J58" s="9">
        <f t="shared" si="2"/>
        <v>937.27884982219996</v>
      </c>
      <c r="K58" s="9">
        <f t="shared" si="3"/>
        <v>176.41587924093</v>
      </c>
      <c r="L58" s="10">
        <f t="shared" si="0"/>
        <v>0.18822133805152624</v>
      </c>
      <c r="M58" s="10">
        <f t="shared" si="4"/>
        <v>0.18970187309723863</v>
      </c>
      <c r="P58" s="8">
        <f t="shared" si="5"/>
        <v>-1.8718794043966795</v>
      </c>
      <c r="S58" s="11"/>
    </row>
    <row r="59" spans="1:25" x14ac:dyDescent="0.2">
      <c r="A59" s="8">
        <v>28.5</v>
      </c>
      <c r="B59" s="8">
        <v>57</v>
      </c>
      <c r="D59">
        <v>1088.835396941</v>
      </c>
      <c r="E59">
        <v>291.25273124544998</v>
      </c>
      <c r="F59">
        <v>139.86007326007001</v>
      </c>
      <c r="G59">
        <v>114.94212454213</v>
      </c>
      <c r="I59" s="9">
        <f t="shared" si="1"/>
        <v>176.31060670331999</v>
      </c>
      <c r="J59" s="9">
        <f t="shared" si="2"/>
        <v>948.97532368092993</v>
      </c>
      <c r="K59" s="9">
        <f t="shared" si="3"/>
        <v>176.31060670331999</v>
      </c>
      <c r="L59" s="10">
        <f t="shared" si="0"/>
        <v>0.18579050719615992</v>
      </c>
      <c r="M59" s="10">
        <f t="shared" si="4"/>
        <v>0.18729748036768859</v>
      </c>
      <c r="P59" s="8">
        <f t="shared" si="5"/>
        <v>-3.1156127206383113</v>
      </c>
      <c r="R59" s="1"/>
      <c r="S59" s="11"/>
    </row>
    <row r="60" spans="1:25" x14ac:dyDescent="0.2">
      <c r="A60" s="8">
        <v>29</v>
      </c>
      <c r="B60" s="8">
        <v>58</v>
      </c>
      <c r="D60">
        <v>1104.1966496723001</v>
      </c>
      <c r="E60">
        <v>294.79898033503002</v>
      </c>
      <c r="F60">
        <v>140.25787545788</v>
      </c>
      <c r="G60">
        <v>114.76996336996</v>
      </c>
      <c r="I60" s="9">
        <f t="shared" si="1"/>
        <v>180.02901696507001</v>
      </c>
      <c r="J60" s="9">
        <f t="shared" si="2"/>
        <v>963.93877421442005</v>
      </c>
      <c r="K60" s="9">
        <f t="shared" si="3"/>
        <v>180.02901696507001</v>
      </c>
      <c r="L60" s="10">
        <f t="shared" si="0"/>
        <v>0.18676395408182228</v>
      </c>
      <c r="M60" s="10">
        <f t="shared" si="4"/>
        <v>0.18829736537916725</v>
      </c>
      <c r="P60" s="8">
        <f t="shared" si="5"/>
        <v>-2.5983967575791564</v>
      </c>
      <c r="S60" s="11"/>
    </row>
    <row r="61" spans="1:25" x14ac:dyDescent="0.2">
      <c r="A61" s="8">
        <v>29.5</v>
      </c>
      <c r="B61" s="8">
        <v>59</v>
      </c>
      <c r="C61" s="2"/>
      <c r="D61">
        <v>1005.125</v>
      </c>
      <c r="E61">
        <v>278.02616279070003</v>
      </c>
      <c r="F61">
        <v>140.32014652014999</v>
      </c>
      <c r="G61">
        <v>115.07106227106</v>
      </c>
      <c r="I61" s="9">
        <f t="shared" si="1"/>
        <v>162.95510051964004</v>
      </c>
      <c r="J61" s="9">
        <f t="shared" si="2"/>
        <v>864.80485347984995</v>
      </c>
      <c r="K61" s="9">
        <f t="shared" si="3"/>
        <v>162.95510051964004</v>
      </c>
      <c r="L61" s="10">
        <f t="shared" si="0"/>
        <v>0.18842990978130178</v>
      </c>
      <c r="M61" s="10">
        <f t="shared" si="4"/>
        <v>0.18998975920446304</v>
      </c>
      <c r="P61" s="8">
        <f t="shared" si="5"/>
        <v>-1.7229629905190189</v>
      </c>
      <c r="S61" s="11"/>
    </row>
    <row r="62" spans="1:25" x14ac:dyDescent="0.2">
      <c r="A62" s="8">
        <v>30</v>
      </c>
      <c r="B62" s="8">
        <v>60</v>
      </c>
      <c r="D62">
        <v>996.22529069766995</v>
      </c>
      <c r="E62">
        <v>277.03779069767</v>
      </c>
      <c r="F62">
        <v>140.08205128205</v>
      </c>
      <c r="G62">
        <v>114.88937728937999</v>
      </c>
      <c r="I62" s="9">
        <f t="shared" si="1"/>
        <v>162.14841340829003</v>
      </c>
      <c r="J62" s="9">
        <f t="shared" si="2"/>
        <v>856.14323941561997</v>
      </c>
      <c r="K62" s="9">
        <f t="shared" si="3"/>
        <v>162.14841340829003</v>
      </c>
      <c r="L62" s="10">
        <f t="shared" si="0"/>
        <v>0.1893940242043704</v>
      </c>
      <c r="M62" s="10">
        <f t="shared" si="4"/>
        <v>0.19098031175334795</v>
      </c>
      <c r="P62" s="8">
        <f t="shared" si="5"/>
        <v>-1.2105744811897661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999.83175528040999</v>
      </c>
      <c r="E63">
        <v>280.99126001457</v>
      </c>
      <c r="F63">
        <v>140.52673992673999</v>
      </c>
      <c r="G63">
        <v>115.25274725275</v>
      </c>
      <c r="I63" s="9">
        <f t="shared" si="1"/>
        <v>165.73851276182</v>
      </c>
      <c r="J63" s="9">
        <f t="shared" si="2"/>
        <v>859.30501535367</v>
      </c>
      <c r="K63" s="9">
        <f t="shared" si="3"/>
        <v>165.73851276182</v>
      </c>
      <c r="L63" s="10">
        <f t="shared" si="0"/>
        <v>0.19287506740968557</v>
      </c>
      <c r="M63" s="10">
        <f t="shared" si="4"/>
        <v>0.19448779308447942</v>
      </c>
      <c r="P63" s="8">
        <f t="shared" si="5"/>
        <v>0.60375948098293242</v>
      </c>
    </row>
    <row r="64" spans="1:25" x14ac:dyDescent="0.2">
      <c r="A64" s="8">
        <v>31</v>
      </c>
      <c r="B64" s="8">
        <v>62</v>
      </c>
      <c r="D64">
        <v>1144.7581937363</v>
      </c>
      <c r="E64">
        <v>304.164603059</v>
      </c>
      <c r="F64">
        <v>140.00952380952</v>
      </c>
      <c r="G64">
        <v>114.66666666667</v>
      </c>
      <c r="I64" s="9">
        <f t="shared" si="1"/>
        <v>189.49793639233002</v>
      </c>
      <c r="J64" s="9">
        <f t="shared" si="2"/>
        <v>1004.7486699267799</v>
      </c>
      <c r="K64" s="9">
        <f t="shared" si="3"/>
        <v>189.49793639233002</v>
      </c>
      <c r="L64" s="10">
        <f t="shared" si="0"/>
        <v>0.18860232619779382</v>
      </c>
      <c r="M64" s="10">
        <f t="shared" si="4"/>
        <v>0.19024148999840396</v>
      </c>
      <c r="P64" s="8">
        <f t="shared" si="5"/>
        <v>-1.5927488323657175</v>
      </c>
      <c r="U64" s="8">
        <v>30.5</v>
      </c>
      <c r="V64" s="10">
        <f>L62</f>
        <v>0.1893940242043704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1087.1132897604</v>
      </c>
      <c r="E65">
        <v>295.46550472041002</v>
      </c>
      <c r="F65">
        <v>140.24395604396</v>
      </c>
      <c r="G65">
        <v>114.62710622711</v>
      </c>
      <c r="I65" s="9">
        <f t="shared" si="1"/>
        <v>180.83839849330002</v>
      </c>
      <c r="J65" s="9">
        <f t="shared" si="2"/>
        <v>946.86933371644</v>
      </c>
      <c r="K65" s="9">
        <f t="shared" si="3"/>
        <v>180.83839849330002</v>
      </c>
      <c r="L65" s="10">
        <f t="shared" si="0"/>
        <v>0.19098559014844585</v>
      </c>
      <c r="M65" s="10">
        <f t="shared" si="4"/>
        <v>0.19265119207487227</v>
      </c>
      <c r="P65" s="8">
        <f t="shared" si="5"/>
        <v>-0.34626912134065629</v>
      </c>
      <c r="U65" s="8">
        <v>31</v>
      </c>
      <c r="V65" s="10">
        <f t="shared" ref="V65:V83" si="6">L63</f>
        <v>0.19287506740968557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1101.6942628903</v>
      </c>
      <c r="E66">
        <v>299.20697167755998</v>
      </c>
      <c r="F66">
        <v>139.53186813187</v>
      </c>
      <c r="G66">
        <v>114.60879120879</v>
      </c>
      <c r="I66" s="9">
        <f t="shared" si="1"/>
        <v>184.59818046876998</v>
      </c>
      <c r="J66" s="9">
        <f t="shared" si="2"/>
        <v>962.16239475843008</v>
      </c>
      <c r="K66" s="9">
        <f t="shared" si="3"/>
        <v>184.59818046876998</v>
      </c>
      <c r="L66" s="10">
        <f t="shared" ref="L66:L129" si="7">K66/J66</f>
        <v>0.19185761309567395</v>
      </c>
      <c r="M66" s="10">
        <f t="shared" si="4"/>
        <v>0.19354965314791667</v>
      </c>
      <c r="P66" s="8">
        <f t="shared" si="5"/>
        <v>0.11848272895321796</v>
      </c>
      <c r="U66" s="8">
        <v>31.5</v>
      </c>
      <c r="V66" s="10">
        <f t="shared" si="6"/>
        <v>0.18860232619779382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1143.3916184970999</v>
      </c>
      <c r="E67">
        <v>306.17341040461997</v>
      </c>
      <c r="F67">
        <v>139.92087912087999</v>
      </c>
      <c r="G67">
        <v>114.69597069597</v>
      </c>
      <c r="I67" s="9">
        <f t="shared" ref="I67:I130" si="8">E67-G67</f>
        <v>191.47743970864997</v>
      </c>
      <c r="J67" s="9">
        <f t="shared" ref="J67:J130" si="9">D67-F67</f>
        <v>1003.4707393762199</v>
      </c>
      <c r="K67" s="9">
        <f t="shared" ref="K67:K130" si="10">I67*1</f>
        <v>191.47743970864997</v>
      </c>
      <c r="L67" s="10">
        <f t="shared" si="7"/>
        <v>0.19081516998460432</v>
      </c>
      <c r="M67" s="10">
        <f t="shared" ref="M67:M130" si="11">L67+ABS($N$2)*A67</f>
        <v>0.19253364816266333</v>
      </c>
      <c r="P67" s="8">
        <f t="shared" ref="P67:P130" si="12">(M67-$O$2)/$O$2*100</f>
        <v>-0.4070717006942402</v>
      </c>
      <c r="U67" s="8">
        <v>32</v>
      </c>
      <c r="V67" s="10">
        <f t="shared" si="6"/>
        <v>0.19098559014844585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1147.9552023121</v>
      </c>
      <c r="E68">
        <v>308.48410404624002</v>
      </c>
      <c r="F68">
        <v>140.13113553113999</v>
      </c>
      <c r="G68">
        <v>114.69523809524</v>
      </c>
      <c r="I68" s="9">
        <f t="shared" si="8"/>
        <v>193.78886595100002</v>
      </c>
      <c r="J68" s="9">
        <f t="shared" si="9"/>
        <v>1007.82406678096</v>
      </c>
      <c r="K68" s="9">
        <f t="shared" si="10"/>
        <v>193.78886595100002</v>
      </c>
      <c r="L68" s="10">
        <f t="shared" si="7"/>
        <v>0.19228441980947256</v>
      </c>
      <c r="M68" s="10">
        <f t="shared" si="11"/>
        <v>0.19402933611334786</v>
      </c>
      <c r="P68" s="8">
        <f t="shared" si="12"/>
        <v>0.36661094777876763</v>
      </c>
      <c r="U68" s="8">
        <v>32.5</v>
      </c>
      <c r="V68" s="10">
        <f t="shared" si="6"/>
        <v>0.19185761309567395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1132.149566474</v>
      </c>
      <c r="E69">
        <v>306.49855491329998</v>
      </c>
      <c r="F69">
        <v>139.78388278387999</v>
      </c>
      <c r="G69">
        <v>114.5684981685</v>
      </c>
      <c r="I69" s="9">
        <f t="shared" si="8"/>
        <v>191.93005674479997</v>
      </c>
      <c r="J69" s="9">
        <f t="shared" si="9"/>
        <v>992.36568369012002</v>
      </c>
      <c r="K69" s="9">
        <f t="shared" si="10"/>
        <v>191.93005674479997</v>
      </c>
      <c r="L69" s="10">
        <f t="shared" si="7"/>
        <v>0.19340658378180356</v>
      </c>
      <c r="M69" s="10">
        <f t="shared" si="11"/>
        <v>0.19517793821149515</v>
      </c>
      <c r="P69" s="8">
        <f t="shared" si="12"/>
        <v>0.96075460784472277</v>
      </c>
      <c r="U69" s="8">
        <v>33</v>
      </c>
      <c r="V69" s="10">
        <f t="shared" si="6"/>
        <v>0.19081516998460432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1155.3641618496999</v>
      </c>
      <c r="E70">
        <v>310.06141618497003</v>
      </c>
      <c r="F70">
        <v>139.39194139194001</v>
      </c>
      <c r="G70">
        <v>114.62710622711</v>
      </c>
      <c r="I70" s="9">
        <f t="shared" si="8"/>
        <v>195.43430995786002</v>
      </c>
      <c r="J70" s="9">
        <f t="shared" si="9"/>
        <v>1015.9722204577599</v>
      </c>
      <c r="K70" s="9">
        <f t="shared" si="10"/>
        <v>195.43430995786002</v>
      </c>
      <c r="L70" s="10">
        <f t="shared" si="7"/>
        <v>0.19236186386061271</v>
      </c>
      <c r="M70" s="10">
        <f t="shared" si="11"/>
        <v>0.1941596564161206</v>
      </c>
      <c r="P70" s="8">
        <f t="shared" si="12"/>
        <v>0.43402244023136999</v>
      </c>
      <c r="U70" s="8">
        <v>33.5</v>
      </c>
      <c r="V70" s="10">
        <f t="shared" si="6"/>
        <v>0.19228441980947256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1137.1988388970001</v>
      </c>
      <c r="E71">
        <v>305.68432510884998</v>
      </c>
      <c r="F71">
        <v>139.73553113553001</v>
      </c>
      <c r="G71">
        <v>114.72087912088</v>
      </c>
      <c r="I71" s="9">
        <f t="shared" si="8"/>
        <v>190.96344598796998</v>
      </c>
      <c r="J71" s="9">
        <f t="shared" si="9"/>
        <v>997.46330776147011</v>
      </c>
      <c r="K71" s="9">
        <f t="shared" si="10"/>
        <v>190.96344598796998</v>
      </c>
      <c r="L71" s="10">
        <f t="shared" si="7"/>
        <v>0.19144909341731525</v>
      </c>
      <c r="M71" s="10">
        <f t="shared" si="11"/>
        <v>0.19327332409863943</v>
      </c>
      <c r="P71" s="8">
        <f t="shared" si="12"/>
        <v>-2.4455502645825765E-2</v>
      </c>
      <c r="U71" s="8">
        <v>34</v>
      </c>
      <c r="V71" s="10">
        <f t="shared" si="6"/>
        <v>0.19340658378180356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1118.2194062274</v>
      </c>
      <c r="E72">
        <v>302.73569876901001</v>
      </c>
      <c r="F72">
        <v>139.28205128204999</v>
      </c>
      <c r="G72">
        <v>114.67692307692</v>
      </c>
      <c r="I72" s="9">
        <f t="shared" si="8"/>
        <v>188.05877569209002</v>
      </c>
      <c r="J72" s="9">
        <f t="shared" si="9"/>
        <v>978.93735494534997</v>
      </c>
      <c r="K72" s="9">
        <f t="shared" si="10"/>
        <v>188.05877569209002</v>
      </c>
      <c r="L72" s="10">
        <f t="shared" si="7"/>
        <v>0.1921050154456396</v>
      </c>
      <c r="M72" s="10">
        <f t="shared" si="11"/>
        <v>0.19395568425278006</v>
      </c>
      <c r="P72" s="8">
        <f t="shared" si="12"/>
        <v>0.3285126489170469</v>
      </c>
      <c r="U72" s="8">
        <v>34.5</v>
      </c>
      <c r="V72" s="10">
        <f t="shared" si="6"/>
        <v>0.19236186386061271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1133.4920520231001</v>
      </c>
      <c r="E73">
        <v>303.01445086705002</v>
      </c>
      <c r="F73">
        <v>139.96483516484</v>
      </c>
      <c r="G73">
        <v>114.21172161171999</v>
      </c>
      <c r="I73" s="9">
        <f t="shared" si="8"/>
        <v>188.80272925533001</v>
      </c>
      <c r="J73" s="9">
        <f t="shared" si="9"/>
        <v>993.52721685826009</v>
      </c>
      <c r="K73" s="9">
        <f t="shared" si="10"/>
        <v>188.80272925533001</v>
      </c>
      <c r="L73" s="10">
        <f t="shared" si="7"/>
        <v>0.19003277016644149</v>
      </c>
      <c r="M73" s="10">
        <f t="shared" si="11"/>
        <v>0.19190987709939825</v>
      </c>
      <c r="P73" s="8">
        <f t="shared" si="12"/>
        <v>-0.72973315427276453</v>
      </c>
      <c r="U73" s="8">
        <v>35</v>
      </c>
      <c r="V73" s="10">
        <f t="shared" si="6"/>
        <v>0.19144909341731525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1121.3634377276001</v>
      </c>
      <c r="E74">
        <v>302.26584122359998</v>
      </c>
      <c r="F74">
        <v>139.24102564103001</v>
      </c>
      <c r="G74">
        <v>114.44542124541999</v>
      </c>
      <c r="I74" s="9">
        <f t="shared" si="8"/>
        <v>187.82041997817998</v>
      </c>
      <c r="J74" s="9">
        <f t="shared" si="9"/>
        <v>982.12241208657008</v>
      </c>
      <c r="K74" s="9">
        <f t="shared" si="10"/>
        <v>187.82041997817998</v>
      </c>
      <c r="L74" s="10">
        <f t="shared" si="7"/>
        <v>0.19123931769273622</v>
      </c>
      <c r="M74" s="10">
        <f t="shared" si="11"/>
        <v>0.19314286275150927</v>
      </c>
      <c r="P74" s="8">
        <f t="shared" si="12"/>
        <v>-9.1939953881005468E-2</v>
      </c>
      <c r="U74" s="8">
        <v>35.5</v>
      </c>
      <c r="V74" s="10">
        <f t="shared" si="6"/>
        <v>0.1921050154456396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1038.5615440641</v>
      </c>
      <c r="E75">
        <v>289.6365622724</v>
      </c>
      <c r="F75">
        <v>139.77728937729</v>
      </c>
      <c r="G75">
        <v>114.73113553114</v>
      </c>
      <c r="I75" s="9">
        <f t="shared" si="8"/>
        <v>174.90542674125999</v>
      </c>
      <c r="J75" s="9">
        <f t="shared" si="9"/>
        <v>898.78425468680996</v>
      </c>
      <c r="K75" s="9">
        <f t="shared" si="10"/>
        <v>174.90542674125999</v>
      </c>
      <c r="L75" s="10">
        <f t="shared" si="7"/>
        <v>0.19460223722121997</v>
      </c>
      <c r="M75" s="10">
        <f t="shared" si="11"/>
        <v>0.19653222040580931</v>
      </c>
      <c r="P75" s="8">
        <f t="shared" si="12"/>
        <v>1.6612915309357192</v>
      </c>
      <c r="U75" s="8">
        <v>36</v>
      </c>
      <c r="V75" s="10">
        <f t="shared" si="6"/>
        <v>0.19003277016644149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1090.5615050650999</v>
      </c>
      <c r="E76">
        <v>297.60274963821001</v>
      </c>
      <c r="F76">
        <v>138.81098901099</v>
      </c>
      <c r="G76">
        <v>114.50915750916</v>
      </c>
      <c r="I76" s="9">
        <f t="shared" si="8"/>
        <v>183.09359212905002</v>
      </c>
      <c r="J76" s="9">
        <f t="shared" si="9"/>
        <v>951.75051605410999</v>
      </c>
      <c r="K76" s="9">
        <f t="shared" si="10"/>
        <v>183.09359212905002</v>
      </c>
      <c r="L76" s="10">
        <f t="shared" si="7"/>
        <v>0.19237561634128977</v>
      </c>
      <c r="M76" s="10">
        <f t="shared" si="11"/>
        <v>0.19433203765169541</v>
      </c>
      <c r="P76" s="8">
        <f t="shared" si="12"/>
        <v>0.52319102036570175</v>
      </c>
      <c r="U76" s="8">
        <v>36.5</v>
      </c>
      <c r="V76" s="10">
        <f t="shared" si="6"/>
        <v>0.19123931769273622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1088.8733719248</v>
      </c>
      <c r="E77">
        <v>298.05137481909998</v>
      </c>
      <c r="F77">
        <v>139.47106227105999</v>
      </c>
      <c r="G77">
        <v>114.75897435896999</v>
      </c>
      <c r="I77" s="9">
        <f t="shared" si="8"/>
        <v>183.29240046012998</v>
      </c>
      <c r="J77" s="9">
        <f t="shared" si="9"/>
        <v>949.40230965374008</v>
      </c>
      <c r="K77" s="9">
        <f t="shared" si="10"/>
        <v>183.29240046012998</v>
      </c>
      <c r="L77" s="10">
        <f t="shared" si="7"/>
        <v>0.19306083269060006</v>
      </c>
      <c r="M77" s="10">
        <f t="shared" si="11"/>
        <v>0.19504369212682199</v>
      </c>
      <c r="P77" s="8">
        <f t="shared" si="12"/>
        <v>0.89131240481732754</v>
      </c>
      <c r="U77" s="8">
        <v>37</v>
      </c>
      <c r="V77" s="10">
        <f t="shared" si="6"/>
        <v>0.19460223722121997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1057.4392185239001</v>
      </c>
      <c r="E78">
        <v>291.33140376265999</v>
      </c>
      <c r="F78">
        <v>139.00512820513001</v>
      </c>
      <c r="G78">
        <v>114.57509157509</v>
      </c>
      <c r="I78" s="9">
        <f t="shared" si="8"/>
        <v>176.75631218756999</v>
      </c>
      <c r="J78" s="9">
        <f t="shared" si="9"/>
        <v>918.43409031877013</v>
      </c>
      <c r="K78" s="9">
        <f t="shared" si="10"/>
        <v>176.75631218756999</v>
      </c>
      <c r="L78" s="10">
        <f t="shared" si="7"/>
        <v>0.19245399757125892</v>
      </c>
      <c r="M78" s="10">
        <f t="shared" si="11"/>
        <v>0.19446329513329713</v>
      </c>
      <c r="P78" s="8">
        <f t="shared" si="12"/>
        <v>0.59108729241298541</v>
      </c>
      <c r="U78" s="8">
        <v>37.5</v>
      </c>
      <c r="V78" s="10">
        <f t="shared" si="6"/>
        <v>0.19237561634128977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1144.1722141823</v>
      </c>
      <c r="E79">
        <v>307.95875542691999</v>
      </c>
      <c r="F79">
        <v>139.53113553114</v>
      </c>
      <c r="G79">
        <v>114.17509157508999</v>
      </c>
      <c r="I79" s="9">
        <f t="shared" si="8"/>
        <v>193.78366385183</v>
      </c>
      <c r="J79" s="9">
        <f t="shared" si="9"/>
        <v>1004.64107865116</v>
      </c>
      <c r="K79" s="9">
        <f t="shared" si="10"/>
        <v>193.78366385183</v>
      </c>
      <c r="L79" s="10">
        <f t="shared" si="7"/>
        <v>0.19288845336884458</v>
      </c>
      <c r="M79" s="10">
        <f t="shared" si="11"/>
        <v>0.19492418905669909</v>
      </c>
      <c r="P79" s="8">
        <f t="shared" si="12"/>
        <v>0.82949640118433288</v>
      </c>
      <c r="U79" s="8">
        <v>38</v>
      </c>
      <c r="V79" s="10">
        <f t="shared" si="6"/>
        <v>0.19306083269060006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1254.7790697674</v>
      </c>
      <c r="E80">
        <v>324.80959302325999</v>
      </c>
      <c r="F80">
        <v>138.99633699634001</v>
      </c>
      <c r="G80">
        <v>114.36117216117</v>
      </c>
      <c r="I80" s="9">
        <f t="shared" si="8"/>
        <v>210.44842086208999</v>
      </c>
      <c r="J80" s="9">
        <f t="shared" si="9"/>
        <v>1115.78273277106</v>
      </c>
      <c r="K80" s="9">
        <f t="shared" si="10"/>
        <v>210.44842086208999</v>
      </c>
      <c r="L80" s="10">
        <f t="shared" si="7"/>
        <v>0.18861057326047589</v>
      </c>
      <c r="M80" s="10">
        <f t="shared" si="11"/>
        <v>0.19067274707414672</v>
      </c>
      <c r="P80" s="8">
        <f t="shared" si="12"/>
        <v>-1.3696701371200393</v>
      </c>
      <c r="U80" s="8">
        <v>38.5</v>
      </c>
      <c r="V80" s="10">
        <f t="shared" si="6"/>
        <v>0.19245399757125892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1261.1780523256</v>
      </c>
      <c r="E81">
        <v>325.71947674418999</v>
      </c>
      <c r="F81">
        <v>138.98168498168999</v>
      </c>
      <c r="G81">
        <v>114.45201465202</v>
      </c>
      <c r="I81" s="9">
        <f t="shared" si="8"/>
        <v>211.26746209216998</v>
      </c>
      <c r="J81" s="9">
        <f t="shared" si="9"/>
        <v>1122.19636734391</v>
      </c>
      <c r="K81" s="9">
        <f t="shared" si="10"/>
        <v>211.26746209216998</v>
      </c>
      <c r="L81" s="10">
        <f t="shared" si="7"/>
        <v>0.18826247191675735</v>
      </c>
      <c r="M81" s="10">
        <f t="shared" si="11"/>
        <v>0.19035108385624447</v>
      </c>
      <c r="P81" s="8">
        <f t="shared" si="12"/>
        <v>-1.5360586209137792</v>
      </c>
      <c r="U81" s="8">
        <v>39</v>
      </c>
      <c r="V81" s="10">
        <f t="shared" si="6"/>
        <v>0.19288845336884458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1268.6002906977001</v>
      </c>
      <c r="E82">
        <v>328.12572674418999</v>
      </c>
      <c r="F82">
        <v>138.60293040293001</v>
      </c>
      <c r="G82">
        <v>114.46666666666999</v>
      </c>
      <c r="H82" s="13"/>
      <c r="I82" s="14">
        <f t="shared" si="8"/>
        <v>213.65906007752</v>
      </c>
      <c r="J82" s="14">
        <f t="shared" si="9"/>
        <v>1129.99736029477</v>
      </c>
      <c r="K82" s="9">
        <f t="shared" si="10"/>
        <v>213.65906007752</v>
      </c>
      <c r="L82" s="15">
        <f t="shared" si="7"/>
        <v>0.18907925592125729</v>
      </c>
      <c r="M82" s="15">
        <f t="shared" si="11"/>
        <v>0.1911943059865607</v>
      </c>
      <c r="N82" s="13"/>
      <c r="O82" s="13"/>
      <c r="P82" s="13">
        <f t="shared" si="12"/>
        <v>-1.0998805192345216</v>
      </c>
      <c r="U82" s="8">
        <v>39.5</v>
      </c>
      <c r="V82" s="10">
        <f t="shared" si="6"/>
        <v>0.18861057326047589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1191.7534646244001</v>
      </c>
      <c r="E83">
        <v>315.56892778993</v>
      </c>
      <c r="F83">
        <v>138.86886446886001</v>
      </c>
      <c r="G83">
        <v>114.16703296703</v>
      </c>
      <c r="I83" s="9">
        <f t="shared" si="8"/>
        <v>201.4018948229</v>
      </c>
      <c r="J83" s="9">
        <f t="shared" si="9"/>
        <v>1052.8846001555401</v>
      </c>
      <c r="K83" s="9">
        <f t="shared" si="10"/>
        <v>201.4018948229</v>
      </c>
      <c r="L83" s="10">
        <f t="shared" si="7"/>
        <v>0.19128582068077299</v>
      </c>
      <c r="M83" s="10">
        <f t="shared" si="11"/>
        <v>0.19342730887189269</v>
      </c>
      <c r="P83" s="8">
        <f t="shared" si="12"/>
        <v>5.5197039276823082E-2</v>
      </c>
      <c r="U83" s="8">
        <v>40</v>
      </c>
      <c r="V83" s="10">
        <f t="shared" si="6"/>
        <v>0.18826247191675735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1226.4615942029</v>
      </c>
      <c r="E84">
        <v>323.88260869564999</v>
      </c>
      <c r="F84">
        <v>138.98021978022001</v>
      </c>
      <c r="G84">
        <v>114.28791208791</v>
      </c>
      <c r="I84" s="9">
        <f t="shared" si="8"/>
        <v>209.59469660773999</v>
      </c>
      <c r="J84" s="9">
        <f t="shared" si="9"/>
        <v>1087.4813744226799</v>
      </c>
      <c r="K84" s="9">
        <f t="shared" si="10"/>
        <v>209.59469660773999</v>
      </c>
      <c r="L84" s="10">
        <f t="shared" si="7"/>
        <v>0.19273405645132013</v>
      </c>
      <c r="M84" s="10">
        <f t="shared" si="11"/>
        <v>0.19490198276825613</v>
      </c>
      <c r="P84" s="8">
        <f t="shared" si="12"/>
        <v>0.81800963347490352</v>
      </c>
      <c r="U84" s="8">
        <v>150.5</v>
      </c>
      <c r="V84" s="10">
        <f>L302</f>
        <v>0.19811117347973065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1203.1202898551001</v>
      </c>
      <c r="E85">
        <v>317.68188405797002</v>
      </c>
      <c r="F85">
        <v>138.41904761904999</v>
      </c>
      <c r="G85">
        <v>114.09010989011</v>
      </c>
      <c r="I85" s="9">
        <f t="shared" si="8"/>
        <v>203.59177416786002</v>
      </c>
      <c r="J85" s="9">
        <f t="shared" si="9"/>
        <v>1064.7012422360501</v>
      </c>
      <c r="K85" s="9">
        <f t="shared" si="10"/>
        <v>203.59177416786002</v>
      </c>
      <c r="L85" s="10">
        <f t="shared" si="7"/>
        <v>0.19121962677556698</v>
      </c>
      <c r="M85" s="10">
        <f t="shared" si="11"/>
        <v>0.19341399121831926</v>
      </c>
      <c r="P85" s="8">
        <f t="shared" si="12"/>
        <v>4.8308144114284718E-2</v>
      </c>
      <c r="U85" s="8">
        <v>151</v>
      </c>
      <c r="V85" s="10">
        <f t="shared" ref="V85:V103" si="13">L303</f>
        <v>0.19655563844596269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1081.7021121631999</v>
      </c>
      <c r="E86">
        <v>299.62272396213001</v>
      </c>
      <c r="F86">
        <v>138.62930402929999</v>
      </c>
      <c r="G86">
        <v>114.17435897436</v>
      </c>
      <c r="I86" s="9">
        <f t="shared" si="8"/>
        <v>185.44836498776999</v>
      </c>
      <c r="J86" s="9">
        <f t="shared" si="9"/>
        <v>943.07280813389991</v>
      </c>
      <c r="K86" s="9">
        <f t="shared" si="10"/>
        <v>185.44836498776999</v>
      </c>
      <c r="L86" s="10">
        <f t="shared" si="7"/>
        <v>0.19664268059506976</v>
      </c>
      <c r="M86" s="10">
        <f t="shared" si="11"/>
        <v>0.19886348316363833</v>
      </c>
      <c r="P86" s="8">
        <f t="shared" si="12"/>
        <v>2.8671965086004603</v>
      </c>
      <c r="U86" s="8">
        <v>151.5</v>
      </c>
      <c r="V86" s="10">
        <f t="shared" si="13"/>
        <v>0.19747517522294653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1088.3211944647001</v>
      </c>
      <c r="E87">
        <v>299.50619082302001</v>
      </c>
      <c r="F87">
        <v>138.66813186812999</v>
      </c>
      <c r="G87">
        <v>114.13186813186999</v>
      </c>
      <c r="I87" s="9">
        <f t="shared" si="8"/>
        <v>185.37432269115001</v>
      </c>
      <c r="J87" s="9">
        <f t="shared" si="9"/>
        <v>949.65306259657007</v>
      </c>
      <c r="K87" s="9">
        <f t="shared" si="10"/>
        <v>185.37432269115001</v>
      </c>
      <c r="L87" s="10">
        <f t="shared" si="7"/>
        <v>0.19520215328353066</v>
      </c>
      <c r="M87" s="10">
        <f t="shared" si="11"/>
        <v>0.19744939397791553</v>
      </c>
      <c r="P87" s="8">
        <f t="shared" si="12"/>
        <v>2.1357228974863598</v>
      </c>
      <c r="U87" s="8">
        <v>152</v>
      </c>
      <c r="V87" s="10">
        <f t="shared" si="13"/>
        <v>0.19774542731406503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1080.4668608886</v>
      </c>
      <c r="E88">
        <v>296.66423889293998</v>
      </c>
      <c r="F88">
        <v>138.55677655677999</v>
      </c>
      <c r="G88">
        <v>114.28424908425001</v>
      </c>
      <c r="I88" s="9">
        <f t="shared" si="8"/>
        <v>182.37998980868997</v>
      </c>
      <c r="J88" s="9">
        <f t="shared" si="9"/>
        <v>941.91008433181992</v>
      </c>
      <c r="K88" s="9">
        <f t="shared" si="10"/>
        <v>182.37998980868997</v>
      </c>
      <c r="L88" s="10">
        <f t="shared" si="7"/>
        <v>0.19362781314531546</v>
      </c>
      <c r="M88" s="10">
        <f t="shared" si="11"/>
        <v>0.19590149196551662</v>
      </c>
      <c r="P88" s="8">
        <f t="shared" si="12"/>
        <v>1.3350311970675734</v>
      </c>
      <c r="U88" s="8">
        <v>152.5</v>
      </c>
      <c r="V88" s="10">
        <f t="shared" si="13"/>
        <v>0.19903523027565176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1138.2155297533</v>
      </c>
      <c r="E89">
        <v>309.98330914369001</v>
      </c>
      <c r="F89">
        <v>138.34432234432001</v>
      </c>
      <c r="G89">
        <v>114.49304029304</v>
      </c>
      <c r="I89" s="9">
        <f t="shared" si="8"/>
        <v>195.49026885065001</v>
      </c>
      <c r="J89" s="9">
        <f t="shared" si="9"/>
        <v>999.8712074089799</v>
      </c>
      <c r="K89" s="9">
        <f t="shared" si="10"/>
        <v>195.49026885065001</v>
      </c>
      <c r="L89" s="10">
        <f t="shared" si="7"/>
        <v>0.19551544979201319</v>
      </c>
      <c r="M89" s="10">
        <f t="shared" si="11"/>
        <v>0.19781556673803063</v>
      </c>
      <c r="P89" s="8">
        <f t="shared" si="12"/>
        <v>2.3251350744814809</v>
      </c>
      <c r="U89" s="8">
        <v>153</v>
      </c>
      <c r="V89" s="10">
        <f t="shared" si="13"/>
        <v>0.19964689943464797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1303.1758321274001</v>
      </c>
      <c r="E90">
        <v>335.90810419681998</v>
      </c>
      <c r="F90">
        <v>138.75164835165</v>
      </c>
      <c r="G90">
        <v>114.02197802198</v>
      </c>
      <c r="I90" s="9">
        <f t="shared" si="8"/>
        <v>221.88612617483997</v>
      </c>
      <c r="J90" s="9">
        <f t="shared" si="9"/>
        <v>1164.4241837757502</v>
      </c>
      <c r="K90" s="9">
        <f t="shared" si="10"/>
        <v>221.88612617483997</v>
      </c>
      <c r="L90" s="10">
        <f t="shared" si="7"/>
        <v>0.19055437809214357</v>
      </c>
      <c r="M90" s="10">
        <f t="shared" si="11"/>
        <v>0.19288093316397731</v>
      </c>
      <c r="P90" s="8">
        <f t="shared" si="12"/>
        <v>-0.22742969751531386</v>
      </c>
      <c r="U90" s="8">
        <v>153.5</v>
      </c>
      <c r="V90" s="10">
        <f t="shared" si="13"/>
        <v>0.20107866898926441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1317.3560057887</v>
      </c>
      <c r="E91">
        <v>338.64978292329999</v>
      </c>
      <c r="F91">
        <v>137.83150183149999</v>
      </c>
      <c r="G91">
        <v>114.21465201465</v>
      </c>
      <c r="I91" s="9">
        <f t="shared" si="8"/>
        <v>224.43513090865</v>
      </c>
      <c r="J91" s="9">
        <f t="shared" si="9"/>
        <v>1179.5245039572001</v>
      </c>
      <c r="K91" s="9">
        <f t="shared" si="10"/>
        <v>224.43513090865</v>
      </c>
      <c r="L91" s="10">
        <f t="shared" si="7"/>
        <v>0.19027593759662478</v>
      </c>
      <c r="M91" s="10">
        <f t="shared" si="11"/>
        <v>0.19262893079427482</v>
      </c>
      <c r="P91" s="8">
        <f t="shared" si="12"/>
        <v>-0.35778433514120822</v>
      </c>
      <c r="U91" s="8">
        <v>154</v>
      </c>
      <c r="V91" s="10">
        <f t="shared" si="13"/>
        <v>0.20050144016968066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1168.0325850833001</v>
      </c>
      <c r="E92">
        <v>314.52208544532999</v>
      </c>
      <c r="F92">
        <v>138.31941391941001</v>
      </c>
      <c r="G92">
        <v>114.09230769231</v>
      </c>
      <c r="I92" s="9">
        <f t="shared" si="8"/>
        <v>200.42977775302001</v>
      </c>
      <c r="J92" s="9">
        <f t="shared" si="9"/>
        <v>1029.7131711638901</v>
      </c>
      <c r="K92" s="9">
        <f t="shared" si="10"/>
        <v>200.42977775302001</v>
      </c>
      <c r="L92" s="10">
        <f t="shared" si="7"/>
        <v>0.19464622126419262</v>
      </c>
      <c r="M92" s="10">
        <f t="shared" si="11"/>
        <v>0.19702565258765894</v>
      </c>
      <c r="P92" s="8">
        <f t="shared" si="12"/>
        <v>1.9165318817859891</v>
      </c>
      <c r="U92" s="8">
        <v>154.5</v>
      </c>
      <c r="V92" s="10">
        <f t="shared" si="13"/>
        <v>0.20014875915995972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1105.8421433743999</v>
      </c>
      <c r="E93">
        <v>304.05358435916003</v>
      </c>
      <c r="F93">
        <v>138.27985347985</v>
      </c>
      <c r="G93">
        <v>114.26373626374</v>
      </c>
      <c r="I93" s="9">
        <f t="shared" si="8"/>
        <v>189.78984809542004</v>
      </c>
      <c r="J93" s="9">
        <f t="shared" si="9"/>
        <v>967.56228989454996</v>
      </c>
      <c r="K93" s="9">
        <f t="shared" si="10"/>
        <v>189.78984809542004</v>
      </c>
      <c r="L93" s="10">
        <f t="shared" si="7"/>
        <v>0.19615258891094683</v>
      </c>
      <c r="M93" s="10">
        <f t="shared" si="11"/>
        <v>0.19855845836022945</v>
      </c>
      <c r="P93" s="8">
        <f t="shared" si="12"/>
        <v>2.7094146680478657</v>
      </c>
      <c r="U93" s="8">
        <v>155</v>
      </c>
      <c r="V93" s="10">
        <f t="shared" si="13"/>
        <v>0.19941244472601852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1141.8608695651999</v>
      </c>
      <c r="E94">
        <v>310.16521739130002</v>
      </c>
      <c r="F94">
        <v>138.13406593407001</v>
      </c>
      <c r="G94">
        <v>113.85421245421</v>
      </c>
      <c r="I94" s="9">
        <f t="shared" si="8"/>
        <v>196.31100493709002</v>
      </c>
      <c r="J94" s="9">
        <f t="shared" si="9"/>
        <v>1003.7268036311299</v>
      </c>
      <c r="K94" s="9">
        <f t="shared" si="10"/>
        <v>196.31100493709002</v>
      </c>
      <c r="L94" s="10">
        <f t="shared" si="7"/>
        <v>0.19558210882374166</v>
      </c>
      <c r="M94" s="10">
        <f t="shared" si="11"/>
        <v>0.19801441639884057</v>
      </c>
      <c r="P94" s="8">
        <f t="shared" si="12"/>
        <v>2.4279951210259356</v>
      </c>
      <c r="U94" s="8">
        <v>155.5</v>
      </c>
      <c r="V94" s="10">
        <f t="shared" si="13"/>
        <v>0.19741319434413182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1152.3536231884</v>
      </c>
      <c r="E95">
        <v>312.61086956522001</v>
      </c>
      <c r="F95">
        <v>138.46666666666999</v>
      </c>
      <c r="G95">
        <v>113.80586080585999</v>
      </c>
      <c r="I95" s="9">
        <f t="shared" si="8"/>
        <v>198.80500875936002</v>
      </c>
      <c r="J95" s="9">
        <f t="shared" si="9"/>
        <v>1013.88695652173</v>
      </c>
      <c r="K95" s="9">
        <f t="shared" si="10"/>
        <v>198.80500875936002</v>
      </c>
      <c r="L95" s="10">
        <f t="shared" si="7"/>
        <v>0.19608202618700832</v>
      </c>
      <c r="M95" s="10">
        <f t="shared" si="11"/>
        <v>0.19854077188792352</v>
      </c>
      <c r="P95" s="8">
        <f t="shared" si="12"/>
        <v>2.7002658902366012</v>
      </c>
      <c r="U95" s="8">
        <v>156</v>
      </c>
      <c r="V95" s="10">
        <f t="shared" si="13"/>
        <v>0.1990830232940469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1129.4829090909</v>
      </c>
      <c r="E96">
        <v>309.26909090908998</v>
      </c>
      <c r="F96">
        <v>138.11794871794999</v>
      </c>
      <c r="G96">
        <v>113.82417582418</v>
      </c>
      <c r="I96" s="9">
        <f t="shared" si="8"/>
        <v>195.44491508490998</v>
      </c>
      <c r="J96" s="9">
        <f t="shared" si="9"/>
        <v>991.36496037295001</v>
      </c>
      <c r="K96" s="9">
        <f t="shared" si="10"/>
        <v>195.44491508490998</v>
      </c>
      <c r="L96" s="10">
        <f t="shared" si="7"/>
        <v>0.1971472897442168</v>
      </c>
      <c r="M96" s="10">
        <f t="shared" si="11"/>
        <v>0.19963247357094829</v>
      </c>
      <c r="P96" s="8">
        <f t="shared" si="12"/>
        <v>3.2649763628177899</v>
      </c>
      <c r="U96" s="8">
        <v>156.5</v>
      </c>
      <c r="V96" s="10">
        <f t="shared" si="13"/>
        <v>0.19514342698693946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1124.9243636363999</v>
      </c>
      <c r="E97">
        <v>304.37527272726999</v>
      </c>
      <c r="F97">
        <v>137.97142857143001</v>
      </c>
      <c r="G97">
        <v>113.72234432234001</v>
      </c>
      <c r="I97" s="9">
        <f t="shared" si="8"/>
        <v>190.65292840492998</v>
      </c>
      <c r="J97" s="9">
        <f t="shared" si="9"/>
        <v>986.95293506496989</v>
      </c>
      <c r="K97" s="9">
        <f t="shared" si="10"/>
        <v>190.65292840492998</v>
      </c>
      <c r="L97" s="10">
        <f t="shared" si="7"/>
        <v>0.19317327263673373</v>
      </c>
      <c r="M97" s="10">
        <f t="shared" si="11"/>
        <v>0.19568489458928151</v>
      </c>
      <c r="P97" s="8">
        <f t="shared" si="12"/>
        <v>1.222990693150168</v>
      </c>
      <c r="U97" s="8">
        <v>157</v>
      </c>
      <c r="V97" s="10">
        <f t="shared" si="13"/>
        <v>0.19602597886597586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1238.2106803219001</v>
      </c>
      <c r="E98">
        <v>323.57059253840998</v>
      </c>
      <c r="F98">
        <v>138.47399267399001</v>
      </c>
      <c r="G98">
        <v>113.83736263736</v>
      </c>
      <c r="I98" s="9">
        <f t="shared" si="8"/>
        <v>209.73322990104998</v>
      </c>
      <c r="J98" s="9">
        <f t="shared" si="9"/>
        <v>1099.73668764791</v>
      </c>
      <c r="K98" s="9">
        <f t="shared" si="10"/>
        <v>209.73322990104998</v>
      </c>
      <c r="L98" s="10">
        <f t="shared" si="7"/>
        <v>0.19071222435037818</v>
      </c>
      <c r="M98" s="10">
        <f t="shared" si="11"/>
        <v>0.19325028442874226</v>
      </c>
      <c r="P98" s="8">
        <f t="shared" si="12"/>
        <v>-3.6373358116832712E-2</v>
      </c>
      <c r="U98" s="8">
        <v>157.5</v>
      </c>
      <c r="V98" s="10">
        <f t="shared" si="13"/>
        <v>0.19640829039192989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1311.1924473493</v>
      </c>
      <c r="E99">
        <v>335.93536673928998</v>
      </c>
      <c r="F99">
        <v>138.29157509158</v>
      </c>
      <c r="G99">
        <v>114.09157509158</v>
      </c>
      <c r="I99" s="9">
        <f t="shared" si="8"/>
        <v>221.84379164770996</v>
      </c>
      <c r="J99" s="9">
        <f t="shared" si="9"/>
        <v>1172.90087225772</v>
      </c>
      <c r="K99" s="9">
        <f t="shared" si="10"/>
        <v>221.84379164770996</v>
      </c>
      <c r="L99" s="10">
        <f t="shared" si="7"/>
        <v>0.18914112598508198</v>
      </c>
      <c r="M99" s="10">
        <f t="shared" si="11"/>
        <v>0.19170562418926235</v>
      </c>
      <c r="P99" s="8">
        <f t="shared" si="12"/>
        <v>-0.8353881690102557</v>
      </c>
      <c r="U99" s="8">
        <v>158</v>
      </c>
      <c r="V99" s="10">
        <f t="shared" si="13"/>
        <v>0.19586216139293097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1113.8104575162999</v>
      </c>
      <c r="E100">
        <v>303.57153231663</v>
      </c>
      <c r="F100">
        <v>137.68205128205</v>
      </c>
      <c r="G100">
        <v>113.68937728938</v>
      </c>
      <c r="I100" s="9">
        <f t="shared" si="8"/>
        <v>189.88215502725001</v>
      </c>
      <c r="J100" s="9">
        <f t="shared" si="9"/>
        <v>976.12840623424995</v>
      </c>
      <c r="K100" s="9">
        <f t="shared" si="10"/>
        <v>189.88215502725001</v>
      </c>
      <c r="L100" s="10">
        <f t="shared" si="7"/>
        <v>0.19452579580158469</v>
      </c>
      <c r="M100" s="10">
        <f t="shared" si="11"/>
        <v>0.19711673213158135</v>
      </c>
      <c r="P100" s="8">
        <f t="shared" si="12"/>
        <v>1.963645093289329</v>
      </c>
      <c r="U100" s="8">
        <v>158.5</v>
      </c>
      <c r="V100" s="10">
        <f t="shared" si="13"/>
        <v>0.19621787892342651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1140.0188816267</v>
      </c>
      <c r="E101">
        <v>307.09876543209998</v>
      </c>
      <c r="F101">
        <v>137.77875457875999</v>
      </c>
      <c r="G101">
        <v>113.7032967033</v>
      </c>
      <c r="I101" s="9">
        <f t="shared" si="8"/>
        <v>193.39546872879998</v>
      </c>
      <c r="J101" s="9">
        <f t="shared" si="9"/>
        <v>1002.2401270479401</v>
      </c>
      <c r="K101" s="9">
        <f t="shared" si="10"/>
        <v>193.39546872879998</v>
      </c>
      <c r="L101" s="10">
        <f t="shared" si="7"/>
        <v>0.19296320663037003</v>
      </c>
      <c r="M101" s="10">
        <f t="shared" si="11"/>
        <v>0.19558058108618298</v>
      </c>
      <c r="P101" s="8">
        <f t="shared" si="12"/>
        <v>1.1690318795407975</v>
      </c>
      <c r="U101" s="8">
        <v>159</v>
      </c>
      <c r="V101" s="10">
        <f t="shared" si="13"/>
        <v>0.19826593385099178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1135.5417574436999</v>
      </c>
      <c r="E102">
        <v>305.41612200435998</v>
      </c>
      <c r="F102">
        <v>137.34212454212999</v>
      </c>
      <c r="G102">
        <v>113.88205128205</v>
      </c>
      <c r="I102" s="9">
        <f t="shared" si="8"/>
        <v>191.53407072230999</v>
      </c>
      <c r="J102" s="9">
        <f t="shared" si="9"/>
        <v>998.19963290156988</v>
      </c>
      <c r="K102" s="9">
        <f t="shared" si="10"/>
        <v>191.53407072230999</v>
      </c>
      <c r="L102" s="10">
        <f t="shared" si="7"/>
        <v>0.19187952430473065</v>
      </c>
      <c r="M102" s="10">
        <f t="shared" si="11"/>
        <v>0.19452333688635989</v>
      </c>
      <c r="P102" s="8">
        <f t="shared" si="12"/>
        <v>0.62214541687490921</v>
      </c>
      <c r="U102" s="8">
        <v>159.5</v>
      </c>
      <c r="V102" s="10">
        <f t="shared" si="13"/>
        <v>0.19604832704025785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1092.7175018155001</v>
      </c>
      <c r="E103">
        <v>299.19680464778997</v>
      </c>
      <c r="F103">
        <v>137.58388278388</v>
      </c>
      <c r="G103">
        <v>113.79120879121</v>
      </c>
      <c r="I103" s="9">
        <f t="shared" si="8"/>
        <v>185.40559585657996</v>
      </c>
      <c r="J103" s="9">
        <f t="shared" si="9"/>
        <v>955.13361903162013</v>
      </c>
      <c r="K103" s="9">
        <f t="shared" si="10"/>
        <v>185.40559585657996</v>
      </c>
      <c r="L103" s="10">
        <f t="shared" si="7"/>
        <v>0.19411482557231821</v>
      </c>
      <c r="M103" s="10">
        <f t="shared" si="11"/>
        <v>0.19678507627976374</v>
      </c>
      <c r="P103" s="8">
        <f t="shared" si="12"/>
        <v>1.7920876653523192</v>
      </c>
      <c r="U103" s="8">
        <v>160</v>
      </c>
      <c r="V103" s="10">
        <f t="shared" si="13"/>
        <v>0.19729581536570739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1061.1038771031999</v>
      </c>
      <c r="E104">
        <v>294.20921726408</v>
      </c>
      <c r="F104">
        <v>137.26520146519999</v>
      </c>
      <c r="G104">
        <v>113.73919413919</v>
      </c>
      <c r="I104" s="9">
        <f t="shared" si="8"/>
        <v>180.47002312488999</v>
      </c>
      <c r="J104" s="9">
        <f t="shared" si="9"/>
        <v>923.83867563799993</v>
      </c>
      <c r="K104" s="9">
        <f t="shared" si="10"/>
        <v>180.47002312488999</v>
      </c>
      <c r="L104" s="10">
        <f t="shared" si="7"/>
        <v>0.19534798432232553</v>
      </c>
      <c r="M104" s="10">
        <f t="shared" si="11"/>
        <v>0.19804467315558735</v>
      </c>
      <c r="P104" s="8">
        <f t="shared" si="12"/>
        <v>2.4436461983000024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1145.8302986162</v>
      </c>
      <c r="E105">
        <v>309.72541879097002</v>
      </c>
      <c r="F105">
        <v>137.4717948718</v>
      </c>
      <c r="G105">
        <v>113.75457875458</v>
      </c>
      <c r="I105" s="9">
        <f t="shared" si="8"/>
        <v>195.97084003639003</v>
      </c>
      <c r="J105" s="9">
        <f t="shared" si="9"/>
        <v>1008.3585037444</v>
      </c>
      <c r="K105" s="9">
        <f t="shared" si="10"/>
        <v>195.97084003639003</v>
      </c>
      <c r="L105" s="10">
        <f t="shared" si="7"/>
        <v>0.19434639496635314</v>
      </c>
      <c r="M105" s="10">
        <f t="shared" si="11"/>
        <v>0.19706952192543126</v>
      </c>
      <c r="P105" s="8">
        <f t="shared" si="12"/>
        <v>1.9392244129512675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1269.5591240875999</v>
      </c>
      <c r="E106">
        <v>327.92116788320999</v>
      </c>
      <c r="F106">
        <v>137.71428571429001</v>
      </c>
      <c r="G106">
        <v>113.71575091574999</v>
      </c>
      <c r="I106" s="9">
        <f t="shared" si="8"/>
        <v>214.20541696746</v>
      </c>
      <c r="J106" s="9">
        <f t="shared" si="9"/>
        <v>1131.8448383733098</v>
      </c>
      <c r="K106" s="9">
        <f t="shared" si="10"/>
        <v>214.20541696746</v>
      </c>
      <c r="L106" s="10">
        <f t="shared" si="7"/>
        <v>0.18925334083363984</v>
      </c>
      <c r="M106" s="10">
        <f t="shared" si="11"/>
        <v>0.19200290591853425</v>
      </c>
      <c r="P106" s="8">
        <f t="shared" si="12"/>
        <v>-0.6816116305682246</v>
      </c>
      <c r="X106" s="8">
        <v>-13</v>
      </c>
    </row>
    <row r="107" spans="1:25" x14ac:dyDescent="0.2">
      <c r="A107" s="8">
        <v>52.5</v>
      </c>
      <c r="B107" s="8">
        <v>105</v>
      </c>
      <c r="D107">
        <v>1297.4963503649999</v>
      </c>
      <c r="E107">
        <v>333.84087591241001</v>
      </c>
      <c r="F107">
        <v>137.7978021978</v>
      </c>
      <c r="G107">
        <v>113.88058608059001</v>
      </c>
      <c r="I107" s="9">
        <f t="shared" si="8"/>
        <v>219.96028983182001</v>
      </c>
      <c r="J107" s="9">
        <f t="shared" si="9"/>
        <v>1159.6985481672</v>
      </c>
      <c r="K107" s="9">
        <f t="shared" si="10"/>
        <v>219.96028983182001</v>
      </c>
      <c r="L107" s="10">
        <f t="shared" si="7"/>
        <v>0.18967022954322707</v>
      </c>
      <c r="M107" s="10">
        <f t="shared" si="11"/>
        <v>0.19244623275393777</v>
      </c>
      <c r="P107" s="8">
        <f t="shared" si="12"/>
        <v>-0.45228954503750013</v>
      </c>
      <c r="X107" s="8">
        <v>-13</v>
      </c>
    </row>
    <row r="108" spans="1:25" x14ac:dyDescent="0.2">
      <c r="A108" s="8">
        <v>53</v>
      </c>
      <c r="B108" s="8">
        <v>106</v>
      </c>
      <c r="D108">
        <v>1240.5916305916001</v>
      </c>
      <c r="E108">
        <v>323.50577200576998</v>
      </c>
      <c r="F108">
        <v>137.86007326007001</v>
      </c>
      <c r="G108">
        <v>113.51282051282</v>
      </c>
      <c r="I108" s="9">
        <f t="shared" si="8"/>
        <v>209.99295149295</v>
      </c>
      <c r="J108" s="9">
        <f t="shared" si="9"/>
        <v>1102.73155733153</v>
      </c>
      <c r="K108" s="9">
        <f t="shared" si="10"/>
        <v>209.99295149295</v>
      </c>
      <c r="L108" s="10">
        <f t="shared" si="7"/>
        <v>0.19042980142973889</v>
      </c>
      <c r="M108" s="10">
        <f t="shared" si="11"/>
        <v>0.19323224276626588</v>
      </c>
      <c r="P108" s="8">
        <f t="shared" si="12"/>
        <v>-4.5705867081145837E-2</v>
      </c>
      <c r="X108" s="8">
        <v>-13</v>
      </c>
    </row>
    <row r="109" spans="1:25" x14ac:dyDescent="0.2">
      <c r="A109" s="8">
        <v>53.5</v>
      </c>
      <c r="B109" s="8">
        <v>107</v>
      </c>
      <c r="D109">
        <v>1207.6277056276999</v>
      </c>
      <c r="E109">
        <v>316.55916305916003</v>
      </c>
      <c r="F109">
        <v>137.52161172160999</v>
      </c>
      <c r="G109">
        <v>113.52161172161</v>
      </c>
      <c r="I109" s="9">
        <f t="shared" si="8"/>
        <v>203.03755133755004</v>
      </c>
      <c r="J109" s="9">
        <f t="shared" si="9"/>
        <v>1070.1060939060899</v>
      </c>
      <c r="K109" s="9">
        <f t="shared" si="10"/>
        <v>203.03755133755004</v>
      </c>
      <c r="L109" s="10">
        <f t="shared" si="7"/>
        <v>0.18973590795696205</v>
      </c>
      <c r="M109" s="10">
        <f t="shared" si="11"/>
        <v>0.19256478741930533</v>
      </c>
      <c r="P109" s="8">
        <f t="shared" si="12"/>
        <v>-0.39096412789522406</v>
      </c>
      <c r="X109" s="8">
        <v>-13</v>
      </c>
    </row>
    <row r="110" spans="1:25" x14ac:dyDescent="0.2">
      <c r="A110" s="8">
        <v>54</v>
      </c>
      <c r="B110" s="8">
        <v>108</v>
      </c>
      <c r="D110">
        <v>1269.3799567412</v>
      </c>
      <c r="E110">
        <v>330.58255227108998</v>
      </c>
      <c r="F110">
        <v>137.10476190476001</v>
      </c>
      <c r="G110">
        <v>113.29743589744</v>
      </c>
      <c r="I110" s="9">
        <f t="shared" si="8"/>
        <v>217.28511637365</v>
      </c>
      <c r="J110" s="9">
        <f t="shared" si="9"/>
        <v>1132.2751948364401</v>
      </c>
      <c r="K110" s="9">
        <f t="shared" si="10"/>
        <v>217.28511637365</v>
      </c>
      <c r="L110" s="10">
        <f t="shared" si="7"/>
        <v>0.1919013304932794</v>
      </c>
      <c r="M110" s="10">
        <f t="shared" si="11"/>
        <v>0.194756648081439</v>
      </c>
      <c r="P110" s="8">
        <f t="shared" si="12"/>
        <v>0.74283156885239365</v>
      </c>
      <c r="X110" s="8">
        <v>-13</v>
      </c>
    </row>
    <row r="111" spans="1:25" x14ac:dyDescent="0.2">
      <c r="A111" s="8">
        <v>54.5</v>
      </c>
      <c r="B111" s="8">
        <v>109</v>
      </c>
      <c r="D111">
        <v>1295.6373467916001</v>
      </c>
      <c r="E111">
        <v>335.82552271089003</v>
      </c>
      <c r="F111">
        <v>137.48424908425</v>
      </c>
      <c r="G111">
        <v>113.79853479854</v>
      </c>
      <c r="I111" s="9">
        <f t="shared" si="8"/>
        <v>222.02698791235002</v>
      </c>
      <c r="J111" s="9">
        <f t="shared" si="9"/>
        <v>1158.1530977073501</v>
      </c>
      <c r="K111" s="9">
        <f t="shared" si="10"/>
        <v>222.02698791235002</v>
      </c>
      <c r="L111" s="10">
        <f t="shared" si="7"/>
        <v>0.19170780473831042</v>
      </c>
      <c r="M111" s="10">
        <f t="shared" si="11"/>
        <v>0.19458956045228631</v>
      </c>
      <c r="P111" s="8">
        <f t="shared" si="12"/>
        <v>0.65640124132935596</v>
      </c>
      <c r="X111" s="8">
        <v>-13</v>
      </c>
    </row>
    <row r="112" spans="1:25" x14ac:dyDescent="0.2">
      <c r="A112" s="8">
        <v>55</v>
      </c>
      <c r="B112" s="8">
        <v>110</v>
      </c>
      <c r="D112">
        <v>1195.6085075702999</v>
      </c>
      <c r="E112">
        <v>318.96611391492002</v>
      </c>
      <c r="F112">
        <v>137.09523809524001</v>
      </c>
      <c r="G112">
        <v>113.14725274724999</v>
      </c>
      <c r="I112" s="9">
        <f t="shared" si="8"/>
        <v>205.81886116767004</v>
      </c>
      <c r="J112" s="9">
        <f t="shared" si="9"/>
        <v>1058.51326947506</v>
      </c>
      <c r="K112" s="9">
        <f t="shared" si="10"/>
        <v>205.81886116767004</v>
      </c>
      <c r="L112" s="10">
        <f t="shared" si="7"/>
        <v>0.1944414558636002</v>
      </c>
      <c r="M112" s="10">
        <f t="shared" si="11"/>
        <v>0.19734964970339239</v>
      </c>
      <c r="P112" s="8">
        <f t="shared" si="12"/>
        <v>2.084127633616137</v>
      </c>
      <c r="X112" s="8">
        <v>-13</v>
      </c>
    </row>
    <row r="113" spans="1:24" x14ac:dyDescent="0.2">
      <c r="A113" s="8">
        <v>55.5</v>
      </c>
      <c r="B113" s="8">
        <v>111</v>
      </c>
      <c r="D113">
        <v>1028.3128167994</v>
      </c>
      <c r="E113">
        <v>288.54163649528999</v>
      </c>
      <c r="F113">
        <v>136.42490842491</v>
      </c>
      <c r="G113">
        <v>113.49523809524</v>
      </c>
      <c r="I113" s="9">
        <f t="shared" si="8"/>
        <v>175.04639840005001</v>
      </c>
      <c r="J113" s="9">
        <f t="shared" si="9"/>
        <v>891.88790837449005</v>
      </c>
      <c r="K113" s="9">
        <f t="shared" si="10"/>
        <v>175.04639840005001</v>
      </c>
      <c r="L113" s="10">
        <f t="shared" si="7"/>
        <v>0.19626502025246731</v>
      </c>
      <c r="M113" s="10">
        <f t="shared" si="11"/>
        <v>0.19919965221807578</v>
      </c>
      <c r="P113" s="8">
        <f t="shared" si="12"/>
        <v>3.0410885054256003</v>
      </c>
      <c r="X113" s="8">
        <v>-13</v>
      </c>
    </row>
    <row r="114" spans="1:24" x14ac:dyDescent="0.2">
      <c r="A114" s="8">
        <v>56</v>
      </c>
      <c r="B114" s="8">
        <v>112</v>
      </c>
      <c r="D114">
        <v>1030.5698769008</v>
      </c>
      <c r="E114">
        <v>289.27588703838001</v>
      </c>
      <c r="F114">
        <v>137.10989010988999</v>
      </c>
      <c r="G114">
        <v>113.57216117215999</v>
      </c>
      <c r="I114" s="9">
        <f t="shared" si="8"/>
        <v>175.70372586622</v>
      </c>
      <c r="J114" s="9">
        <f t="shared" si="9"/>
        <v>893.45998679090997</v>
      </c>
      <c r="K114" s="9">
        <f t="shared" si="10"/>
        <v>175.70372586622</v>
      </c>
      <c r="L114" s="10">
        <f t="shared" si="7"/>
        <v>0.19665539415738678</v>
      </c>
      <c r="M114" s="10">
        <f t="shared" si="11"/>
        <v>0.19961646424881155</v>
      </c>
      <c r="P114" s="8">
        <f t="shared" si="12"/>
        <v>3.2566951336046071</v>
      </c>
      <c r="X114" s="8">
        <v>-13</v>
      </c>
    </row>
    <row r="115" spans="1:24" x14ac:dyDescent="0.2">
      <c r="A115" s="8">
        <v>56.5</v>
      </c>
      <c r="B115" s="8">
        <v>113</v>
      </c>
      <c r="D115">
        <v>1065.5578034682001</v>
      </c>
      <c r="E115">
        <v>294.03973988438997</v>
      </c>
      <c r="F115">
        <v>137.48278388278001</v>
      </c>
      <c r="G115">
        <v>113.41465201465</v>
      </c>
      <c r="I115" s="9">
        <f t="shared" si="8"/>
        <v>180.62508786973996</v>
      </c>
      <c r="J115" s="9">
        <f t="shared" si="9"/>
        <v>928.07501958542002</v>
      </c>
      <c r="K115" s="9">
        <f t="shared" si="10"/>
        <v>180.62508786973996</v>
      </c>
      <c r="L115" s="10">
        <f t="shared" si="7"/>
        <v>0.1946233699409633</v>
      </c>
      <c r="M115" s="10">
        <f t="shared" si="11"/>
        <v>0.19761087815820436</v>
      </c>
      <c r="P115" s="8">
        <f t="shared" si="12"/>
        <v>2.2192546985115498</v>
      </c>
      <c r="X115" s="8">
        <v>-13</v>
      </c>
    </row>
    <row r="116" spans="1:24" x14ac:dyDescent="0.2">
      <c r="A116" s="8">
        <v>57</v>
      </c>
      <c r="B116" s="8">
        <v>114</v>
      </c>
      <c r="D116">
        <v>1103.8856518573</v>
      </c>
      <c r="E116">
        <v>304.54187909686999</v>
      </c>
      <c r="F116">
        <v>137.06886446886</v>
      </c>
      <c r="G116">
        <v>113.4673992674</v>
      </c>
      <c r="I116" s="9">
        <f t="shared" si="8"/>
        <v>191.07447982946999</v>
      </c>
      <c r="J116" s="9">
        <f t="shared" si="9"/>
        <v>966.81678738843993</v>
      </c>
      <c r="K116" s="9">
        <f t="shared" si="10"/>
        <v>191.07447982946999</v>
      </c>
      <c r="L116" s="10">
        <f t="shared" si="7"/>
        <v>0.19763256319286646</v>
      </c>
      <c r="M116" s="10">
        <f t="shared" si="11"/>
        <v>0.20064650953592381</v>
      </c>
      <c r="P116" s="8">
        <f t="shared" si="12"/>
        <v>3.7895122666271894</v>
      </c>
      <c r="X116" s="8">
        <v>-13</v>
      </c>
    </row>
    <row r="117" spans="1:24" x14ac:dyDescent="0.2">
      <c r="A117" s="8">
        <v>57.5</v>
      </c>
      <c r="B117" s="8">
        <v>115</v>
      </c>
      <c r="D117">
        <v>1078.1085214858001</v>
      </c>
      <c r="E117">
        <v>301.67807720321002</v>
      </c>
      <c r="F117">
        <v>136.81465201464999</v>
      </c>
      <c r="G117">
        <v>113.17582417582</v>
      </c>
      <c r="I117" s="9">
        <f t="shared" si="8"/>
        <v>188.50225302739003</v>
      </c>
      <c r="J117" s="9">
        <f t="shared" si="9"/>
        <v>941.29386947115017</v>
      </c>
      <c r="K117" s="9">
        <f t="shared" si="10"/>
        <v>188.50225302739003</v>
      </c>
      <c r="L117" s="10">
        <f t="shared" si="7"/>
        <v>0.20025866431414963</v>
      </c>
      <c r="M117" s="10">
        <f t="shared" si="11"/>
        <v>0.20329904878302327</v>
      </c>
      <c r="P117" s="8">
        <f t="shared" si="12"/>
        <v>5.16160568286102</v>
      </c>
      <c r="X117" s="8">
        <v>-13</v>
      </c>
    </row>
    <row r="118" spans="1:24" x14ac:dyDescent="0.2">
      <c r="A118" s="8">
        <v>58</v>
      </c>
      <c r="B118" s="8">
        <v>116</v>
      </c>
      <c r="D118">
        <v>1168.5370101597</v>
      </c>
      <c r="E118">
        <v>315.33889695211002</v>
      </c>
      <c r="F118">
        <v>137.19120879120999</v>
      </c>
      <c r="G118">
        <v>113.59780219779999</v>
      </c>
      <c r="I118" s="9">
        <f t="shared" si="8"/>
        <v>201.74109475431004</v>
      </c>
      <c r="J118" s="9">
        <f t="shared" si="9"/>
        <v>1031.3458013684899</v>
      </c>
      <c r="K118" s="9">
        <f t="shared" si="10"/>
        <v>201.74109475431004</v>
      </c>
      <c r="L118" s="10">
        <f t="shared" si="7"/>
        <v>0.19560955645198763</v>
      </c>
      <c r="M118" s="10">
        <f t="shared" si="11"/>
        <v>0.19867637904667756</v>
      </c>
      <c r="P118" s="8">
        <f t="shared" si="12"/>
        <v>2.7704121434632278</v>
      </c>
      <c r="X118" s="8">
        <v>-13</v>
      </c>
    </row>
    <row r="119" spans="1:24" x14ac:dyDescent="0.2">
      <c r="A119" s="8">
        <v>58.5</v>
      </c>
      <c r="B119" s="8">
        <v>117</v>
      </c>
      <c r="D119">
        <v>1197.9397677794</v>
      </c>
      <c r="E119">
        <v>322.15021770682</v>
      </c>
      <c r="F119">
        <v>137.47032967032999</v>
      </c>
      <c r="G119">
        <v>113.27326007326</v>
      </c>
      <c r="I119" s="9">
        <f t="shared" si="8"/>
        <v>208.87695763355998</v>
      </c>
      <c r="J119" s="9">
        <f t="shared" si="9"/>
        <v>1060.4694381090699</v>
      </c>
      <c r="K119" s="9">
        <f t="shared" si="10"/>
        <v>208.87695763355998</v>
      </c>
      <c r="L119" s="10">
        <f t="shared" si="7"/>
        <v>0.19696650382118497</v>
      </c>
      <c r="M119" s="10">
        <f t="shared" si="11"/>
        <v>0.20005976454169119</v>
      </c>
      <c r="P119" s="8">
        <f t="shared" si="12"/>
        <v>3.4860034893395153</v>
      </c>
      <c r="X119" s="8">
        <v>-13</v>
      </c>
    </row>
    <row r="120" spans="1:24" x14ac:dyDescent="0.2">
      <c r="A120" s="8">
        <v>59</v>
      </c>
      <c r="B120" s="8">
        <v>118</v>
      </c>
      <c r="D120">
        <v>1253.4155749636</v>
      </c>
      <c r="E120">
        <v>331.08296943230999</v>
      </c>
      <c r="F120">
        <v>136.59633699634</v>
      </c>
      <c r="G120">
        <v>113.64029304029</v>
      </c>
      <c r="I120" s="9">
        <f t="shared" si="8"/>
        <v>217.44267639201999</v>
      </c>
      <c r="J120" s="9">
        <f t="shared" si="9"/>
        <v>1116.8192379672601</v>
      </c>
      <c r="K120" s="9">
        <f t="shared" si="10"/>
        <v>217.44267639201999</v>
      </c>
      <c r="L120" s="10">
        <f t="shared" si="7"/>
        <v>0.19469818301822125</v>
      </c>
      <c r="M120" s="10">
        <f t="shared" si="11"/>
        <v>0.19781788186454377</v>
      </c>
      <c r="P120" s="8">
        <f t="shared" si="12"/>
        <v>2.326332632576011</v>
      </c>
      <c r="X120" s="8">
        <v>-13</v>
      </c>
    </row>
    <row r="121" spans="1:24" x14ac:dyDescent="0.2">
      <c r="A121" s="8">
        <v>59.5</v>
      </c>
      <c r="B121" s="8">
        <v>119</v>
      </c>
      <c r="D121">
        <v>1137.679245283</v>
      </c>
      <c r="E121">
        <v>306.39042089985998</v>
      </c>
      <c r="F121">
        <v>136.46080586081001</v>
      </c>
      <c r="G121">
        <v>113.34358974359</v>
      </c>
      <c r="I121" s="9">
        <f t="shared" si="8"/>
        <v>193.04683115626997</v>
      </c>
      <c r="J121" s="9">
        <f t="shared" si="9"/>
        <v>1001.2184394221899</v>
      </c>
      <c r="K121" s="9">
        <f t="shared" si="10"/>
        <v>193.04683115626997</v>
      </c>
      <c r="L121" s="10">
        <f t="shared" si="7"/>
        <v>0.19281190153437308</v>
      </c>
      <c r="M121" s="10">
        <f t="shared" si="11"/>
        <v>0.19595803850651189</v>
      </c>
      <c r="P121" s="8">
        <f t="shared" si="12"/>
        <v>1.3642813341561171</v>
      </c>
      <c r="X121" s="8">
        <v>-13</v>
      </c>
    </row>
    <row r="122" spans="1:24" x14ac:dyDescent="0.2">
      <c r="A122" s="8">
        <v>60</v>
      </c>
      <c r="B122" s="8">
        <v>120</v>
      </c>
      <c r="D122">
        <v>1069.4989090909</v>
      </c>
      <c r="E122">
        <v>294.59054545455001</v>
      </c>
      <c r="F122">
        <v>136.82417582418</v>
      </c>
      <c r="G122">
        <v>113.44615384615</v>
      </c>
      <c r="I122" s="9">
        <f t="shared" si="8"/>
        <v>181.14439160840001</v>
      </c>
      <c r="J122" s="9">
        <f t="shared" si="9"/>
        <v>932.67473326672007</v>
      </c>
      <c r="K122" s="9">
        <f t="shared" si="10"/>
        <v>181.14439160840001</v>
      </c>
      <c r="L122" s="10">
        <f t="shared" si="7"/>
        <v>0.19422032692355307</v>
      </c>
      <c r="M122" s="10">
        <f t="shared" si="11"/>
        <v>0.19739290202150817</v>
      </c>
      <c r="P122" s="8">
        <f t="shared" si="12"/>
        <v>2.1065009956647489</v>
      </c>
      <c r="X122" s="8">
        <v>-13</v>
      </c>
    </row>
    <row r="123" spans="1:24" x14ac:dyDescent="0.2">
      <c r="A123" s="8">
        <v>60.5</v>
      </c>
      <c r="B123" s="8">
        <v>121</v>
      </c>
      <c r="D123">
        <v>1076.6363636363999</v>
      </c>
      <c r="E123">
        <v>296.40363636363998</v>
      </c>
      <c r="F123">
        <v>136.98461538462001</v>
      </c>
      <c r="G123">
        <v>113.67912087912001</v>
      </c>
      <c r="I123" s="9">
        <f t="shared" si="8"/>
        <v>182.72451548451997</v>
      </c>
      <c r="J123" s="9">
        <f t="shared" si="9"/>
        <v>939.65174825177985</v>
      </c>
      <c r="K123" s="9">
        <f t="shared" si="10"/>
        <v>182.72451548451997</v>
      </c>
      <c r="L123" s="10">
        <f t="shared" si="7"/>
        <v>0.19445982602009579</v>
      </c>
      <c r="M123" s="10">
        <f t="shared" si="11"/>
        <v>0.19765883924386718</v>
      </c>
      <c r="P123" s="8">
        <f t="shared" si="12"/>
        <v>2.2440637903827994</v>
      </c>
      <c r="X123" s="8">
        <v>-13</v>
      </c>
    </row>
    <row r="124" spans="1:24" x14ac:dyDescent="0.2">
      <c r="A124" s="8">
        <v>61</v>
      </c>
      <c r="B124" s="8">
        <v>122</v>
      </c>
      <c r="D124">
        <v>1056.769622093</v>
      </c>
      <c r="E124">
        <v>292.50072674418999</v>
      </c>
      <c r="F124">
        <v>136.73626373626001</v>
      </c>
      <c r="G124">
        <v>113.57948717949</v>
      </c>
      <c r="I124" s="9">
        <f t="shared" si="8"/>
        <v>178.92123956469999</v>
      </c>
      <c r="J124" s="9">
        <f t="shared" si="9"/>
        <v>920.03335835673988</v>
      </c>
      <c r="K124" s="9">
        <f t="shared" si="10"/>
        <v>178.92123956469999</v>
      </c>
      <c r="L124" s="10">
        <f t="shared" si="7"/>
        <v>0.19447255682584053</v>
      </c>
      <c r="M124" s="10">
        <f t="shared" si="11"/>
        <v>0.19769800817542821</v>
      </c>
      <c r="P124" s="8">
        <f t="shared" si="12"/>
        <v>2.2643249168391071</v>
      </c>
      <c r="X124" s="8">
        <v>-13</v>
      </c>
    </row>
    <row r="125" spans="1:24" x14ac:dyDescent="0.2">
      <c r="A125" s="8">
        <v>61.5</v>
      </c>
      <c r="B125" s="8">
        <v>123</v>
      </c>
      <c r="D125">
        <v>1114.5879360465001</v>
      </c>
      <c r="E125">
        <v>302.82921511628001</v>
      </c>
      <c r="F125">
        <v>136.73406593407</v>
      </c>
      <c r="G125">
        <v>113.23443223443</v>
      </c>
      <c r="I125" s="9">
        <f t="shared" si="8"/>
        <v>189.59478288184999</v>
      </c>
      <c r="J125" s="9">
        <f t="shared" si="9"/>
        <v>977.85387011243006</v>
      </c>
      <c r="K125" s="9">
        <f t="shared" si="10"/>
        <v>189.59478288184999</v>
      </c>
      <c r="L125" s="10">
        <f t="shared" si="7"/>
        <v>0.19388866647329531</v>
      </c>
      <c r="M125" s="10">
        <f t="shared" si="11"/>
        <v>0.19714055594869928</v>
      </c>
      <c r="P125" s="8">
        <f t="shared" si="12"/>
        <v>1.9759685688619608</v>
      </c>
      <c r="X125" s="8">
        <v>-13</v>
      </c>
    </row>
    <row r="126" spans="1:24" x14ac:dyDescent="0.2">
      <c r="A126" s="8">
        <v>62</v>
      </c>
      <c r="B126" s="8">
        <v>124</v>
      </c>
      <c r="D126">
        <v>1124.2652616278999</v>
      </c>
      <c r="E126">
        <v>305.41569767442002</v>
      </c>
      <c r="F126">
        <v>137.02417582417999</v>
      </c>
      <c r="G126">
        <v>113.19194139194001</v>
      </c>
      <c r="I126" s="9">
        <f t="shared" si="8"/>
        <v>192.22375628248</v>
      </c>
      <c r="J126" s="9">
        <f t="shared" si="9"/>
        <v>987.2410858037199</v>
      </c>
      <c r="K126" s="9">
        <f t="shared" si="10"/>
        <v>192.22375628248</v>
      </c>
      <c r="L126" s="10">
        <f t="shared" si="7"/>
        <v>0.19470801919268715</v>
      </c>
      <c r="M126" s="10">
        <f t="shared" si="11"/>
        <v>0.19798634679390742</v>
      </c>
      <c r="P126" s="8">
        <f t="shared" si="12"/>
        <v>2.4134754036769177</v>
      </c>
      <c r="X126" s="8">
        <v>-13</v>
      </c>
    </row>
    <row r="127" spans="1:24" x14ac:dyDescent="0.2">
      <c r="A127" s="8">
        <v>62.5</v>
      </c>
      <c r="B127" s="8">
        <v>125</v>
      </c>
      <c r="D127">
        <v>1089.0574127907</v>
      </c>
      <c r="E127">
        <v>300.25799418604998</v>
      </c>
      <c r="F127">
        <v>136.9054945055</v>
      </c>
      <c r="G127">
        <v>113.46886446886</v>
      </c>
      <c r="I127" s="9">
        <f t="shared" si="8"/>
        <v>186.78912971718998</v>
      </c>
      <c r="J127" s="9">
        <f t="shared" si="9"/>
        <v>952.15191828520005</v>
      </c>
      <c r="K127" s="9">
        <f t="shared" si="10"/>
        <v>186.78912971718998</v>
      </c>
      <c r="L127" s="10">
        <f t="shared" si="7"/>
        <v>0.19617576368862666</v>
      </c>
      <c r="M127" s="10">
        <f t="shared" si="11"/>
        <v>0.19948052941566322</v>
      </c>
      <c r="P127" s="8">
        <f t="shared" si="12"/>
        <v>3.1863793824602555</v>
      </c>
      <c r="X127" s="8">
        <v>-13</v>
      </c>
    </row>
    <row r="128" spans="1:24" x14ac:dyDescent="0.2">
      <c r="A128" s="8">
        <v>63</v>
      </c>
      <c r="B128" s="8">
        <v>126</v>
      </c>
      <c r="D128">
        <v>1065.7505407353999</v>
      </c>
      <c r="E128">
        <v>293.11175198270001</v>
      </c>
      <c r="F128">
        <v>136.52967032967001</v>
      </c>
      <c r="G128">
        <v>113.40879120879001</v>
      </c>
      <c r="I128" s="9">
        <f t="shared" si="8"/>
        <v>179.70296077391001</v>
      </c>
      <c r="J128" s="9">
        <f t="shared" si="9"/>
        <v>929.2208704057299</v>
      </c>
      <c r="K128" s="9">
        <f t="shared" si="10"/>
        <v>179.70296077391001</v>
      </c>
      <c r="L128" s="10">
        <f t="shared" si="7"/>
        <v>0.19339100799086173</v>
      </c>
      <c r="M128" s="10">
        <f t="shared" si="11"/>
        <v>0.19672221184371458</v>
      </c>
      <c r="P128" s="8">
        <f t="shared" si="12"/>
        <v>1.759569436295904</v>
      </c>
      <c r="X128" s="8">
        <v>-13</v>
      </c>
    </row>
    <row r="129" spans="1:24" x14ac:dyDescent="0.2">
      <c r="A129" s="8">
        <v>63.5</v>
      </c>
      <c r="B129" s="8">
        <v>127</v>
      </c>
      <c r="D129">
        <v>1071.9606700656</v>
      </c>
      <c r="E129">
        <v>295.96868171886001</v>
      </c>
      <c r="F129">
        <v>136.52234432233999</v>
      </c>
      <c r="G129">
        <v>113.37875457876</v>
      </c>
      <c r="I129" s="9">
        <f t="shared" si="8"/>
        <v>182.58992714010003</v>
      </c>
      <c r="J129" s="9">
        <f t="shared" si="9"/>
        <v>935.43832574325995</v>
      </c>
      <c r="K129" s="9">
        <f t="shared" si="10"/>
        <v>182.58992714010003</v>
      </c>
      <c r="L129" s="10">
        <f t="shared" si="7"/>
        <v>0.19519183907182952</v>
      </c>
      <c r="M129" s="10">
        <f t="shared" si="11"/>
        <v>0.19854948105049866</v>
      </c>
      <c r="P129" s="8">
        <f t="shared" si="12"/>
        <v>2.7047709261727637</v>
      </c>
      <c r="X129" s="8">
        <v>-13</v>
      </c>
    </row>
    <row r="130" spans="1:24" x14ac:dyDescent="0.2">
      <c r="A130" s="8">
        <v>64</v>
      </c>
      <c r="B130" s="8">
        <v>128</v>
      </c>
      <c r="D130">
        <v>1072.8040786598999</v>
      </c>
      <c r="E130">
        <v>295.57683903859999</v>
      </c>
      <c r="F130">
        <v>136.83516483516999</v>
      </c>
      <c r="G130">
        <v>113.35457875458</v>
      </c>
      <c r="I130" s="9">
        <f t="shared" si="8"/>
        <v>182.22226028401997</v>
      </c>
      <c r="J130" s="9">
        <f t="shared" si="9"/>
        <v>935.96891382472995</v>
      </c>
      <c r="K130" s="9">
        <f t="shared" si="10"/>
        <v>182.22226028401997</v>
      </c>
      <c r="L130" s="10">
        <f t="shared" ref="L130:L193" si="14">K130/J130</f>
        <v>0.19468836794951824</v>
      </c>
      <c r="M130" s="10">
        <f t="shared" si="11"/>
        <v>0.19807244805400367</v>
      </c>
      <c r="P130" s="8">
        <f t="shared" si="12"/>
        <v>2.4580134712047377</v>
      </c>
      <c r="X130" s="8">
        <v>-13</v>
      </c>
    </row>
    <row r="131" spans="1:24" x14ac:dyDescent="0.2">
      <c r="A131" s="8">
        <v>64.5</v>
      </c>
      <c r="B131" s="8">
        <v>129</v>
      </c>
      <c r="D131">
        <v>1067.8317552804001</v>
      </c>
      <c r="E131">
        <v>294.27385287690998</v>
      </c>
      <c r="F131">
        <v>136.38901098900999</v>
      </c>
      <c r="G131">
        <v>113.42051282051</v>
      </c>
      <c r="I131" s="9">
        <f t="shared" ref="I131:I194" si="15">E131-G131</f>
        <v>180.85334005639999</v>
      </c>
      <c r="J131" s="9">
        <f t="shared" ref="J131:J194" si="16">D131-F131</f>
        <v>931.44274429139011</v>
      </c>
      <c r="K131" s="9">
        <f t="shared" ref="K131:K194" si="17">I131*1</f>
        <v>180.85334005639999</v>
      </c>
      <c r="L131" s="10">
        <f t="shared" si="14"/>
        <v>0.19416474191764416</v>
      </c>
      <c r="M131" s="10">
        <f t="shared" ref="M131:M181" si="18">L131+ABS($N$2)*A131</f>
        <v>0.19757526014794588</v>
      </c>
      <c r="P131" s="8">
        <f t="shared" ref="P131:P194" si="19">(M131-$O$2)/$O$2*100</f>
        <v>2.2008303764479105</v>
      </c>
      <c r="X131" s="8">
        <v>-13</v>
      </c>
    </row>
    <row r="132" spans="1:24" x14ac:dyDescent="0.2">
      <c r="A132" s="8">
        <v>65</v>
      </c>
      <c r="B132" s="8">
        <v>130</v>
      </c>
      <c r="D132">
        <v>1007.3852876912</v>
      </c>
      <c r="E132">
        <v>282.90750182083002</v>
      </c>
      <c r="F132">
        <v>136.21098901099</v>
      </c>
      <c r="G132">
        <v>113.31208791209001</v>
      </c>
      <c r="I132" s="9">
        <f t="shared" si="15"/>
        <v>169.59541390874</v>
      </c>
      <c r="J132" s="9">
        <f t="shared" si="16"/>
        <v>871.17429868020997</v>
      </c>
      <c r="K132" s="9">
        <f t="shared" si="17"/>
        <v>169.59541390874</v>
      </c>
      <c r="L132" s="10">
        <f t="shared" si="14"/>
        <v>0.19467449185044766</v>
      </c>
      <c r="M132" s="10">
        <f t="shared" si="18"/>
        <v>0.19811144820656568</v>
      </c>
      <c r="P132" s="8">
        <f t="shared" si="19"/>
        <v>2.4781872924294199</v>
      </c>
      <c r="X132" s="8">
        <v>-13</v>
      </c>
    </row>
    <row r="133" spans="1:24" x14ac:dyDescent="0.2">
      <c r="A133" s="8">
        <v>65.5</v>
      </c>
      <c r="B133" s="8">
        <v>131</v>
      </c>
      <c r="D133">
        <v>1026.1369264385</v>
      </c>
      <c r="E133">
        <v>287.84923525127999</v>
      </c>
      <c r="F133">
        <v>135.88058608059001</v>
      </c>
      <c r="G133">
        <v>113.3956043956</v>
      </c>
      <c r="I133" s="9">
        <f t="shared" si="15"/>
        <v>174.45363085567999</v>
      </c>
      <c r="J133" s="9">
        <f t="shared" si="16"/>
        <v>890.25634035791006</v>
      </c>
      <c r="K133" s="9">
        <f t="shared" si="17"/>
        <v>174.45363085567999</v>
      </c>
      <c r="L133" s="10">
        <f t="shared" si="14"/>
        <v>0.19595887492982564</v>
      </c>
      <c r="M133" s="10">
        <f t="shared" si="18"/>
        <v>0.19942226941175994</v>
      </c>
      <c r="P133" s="8">
        <f t="shared" si="19"/>
        <v>3.1562429130855425</v>
      </c>
      <c r="X133" s="8">
        <v>-13</v>
      </c>
    </row>
    <row r="134" spans="1:24" x14ac:dyDescent="0.2">
      <c r="A134" s="8">
        <v>66</v>
      </c>
      <c r="B134" s="8">
        <v>132</v>
      </c>
      <c r="D134">
        <v>1039.2855061908001</v>
      </c>
      <c r="E134">
        <v>288.43699927167</v>
      </c>
      <c r="F134">
        <v>135.97802197802</v>
      </c>
      <c r="G134">
        <v>113.21172161171999</v>
      </c>
      <c r="I134" s="9">
        <f t="shared" si="15"/>
        <v>175.22527765995</v>
      </c>
      <c r="J134" s="9">
        <f t="shared" si="16"/>
        <v>903.30748421278008</v>
      </c>
      <c r="K134" s="9">
        <f t="shared" si="17"/>
        <v>175.22527765995</v>
      </c>
      <c r="L134" s="10">
        <f t="shared" si="14"/>
        <v>0.19398187297502179</v>
      </c>
      <c r="M134" s="10">
        <f t="shared" si="18"/>
        <v>0.19747170558277238</v>
      </c>
      <c r="P134" s="8">
        <f t="shared" si="19"/>
        <v>2.1472641427905259</v>
      </c>
      <c r="X134" s="8">
        <v>-13</v>
      </c>
    </row>
    <row r="135" spans="1:24" x14ac:dyDescent="0.2">
      <c r="A135" s="8">
        <v>66.5</v>
      </c>
      <c r="B135" s="8">
        <v>133</v>
      </c>
      <c r="D135">
        <v>1122.8392727273001</v>
      </c>
      <c r="E135">
        <v>309.21890909091002</v>
      </c>
      <c r="F135">
        <v>136.38754578755001</v>
      </c>
      <c r="G135">
        <v>113.38754578755</v>
      </c>
      <c r="I135" s="9">
        <f t="shared" si="15"/>
        <v>195.83136330336004</v>
      </c>
      <c r="J135" s="9">
        <f t="shared" si="16"/>
        <v>986.45172693975007</v>
      </c>
      <c r="K135" s="9">
        <f t="shared" si="17"/>
        <v>195.83136330336004</v>
      </c>
      <c r="L135" s="10">
        <f t="shared" si="14"/>
        <v>0.19852097974513547</v>
      </c>
      <c r="M135" s="10">
        <f t="shared" si="18"/>
        <v>0.20203725047870236</v>
      </c>
      <c r="P135" s="8">
        <f t="shared" si="19"/>
        <v>4.5089084050104073</v>
      </c>
      <c r="X135" s="8">
        <v>-13</v>
      </c>
    </row>
    <row r="136" spans="1:24" x14ac:dyDescent="0.2">
      <c r="A136" s="8">
        <v>67</v>
      </c>
      <c r="B136" s="8">
        <v>134</v>
      </c>
      <c r="D136">
        <v>1239.5253991292</v>
      </c>
      <c r="E136">
        <v>328.56095791002002</v>
      </c>
      <c r="F136">
        <v>136.20366300366001</v>
      </c>
      <c r="G136">
        <v>113.34578754579</v>
      </c>
      <c r="I136" s="9">
        <f t="shared" si="15"/>
        <v>215.21517036423</v>
      </c>
      <c r="J136" s="9">
        <f t="shared" si="16"/>
        <v>1103.3217361255399</v>
      </c>
      <c r="K136" s="9">
        <f t="shared" si="17"/>
        <v>215.21517036423</v>
      </c>
      <c r="L136" s="10">
        <f t="shared" si="14"/>
        <v>0.19506111709535109</v>
      </c>
      <c r="M136" s="10">
        <f t="shared" si="18"/>
        <v>0.19860382595473428</v>
      </c>
      <c r="P136" s="8">
        <f t="shared" si="19"/>
        <v>2.7328822106293771</v>
      </c>
      <c r="X136" s="8">
        <v>-13</v>
      </c>
    </row>
    <row r="137" spans="1:24" x14ac:dyDescent="0.2">
      <c r="A137" s="8">
        <v>67.5</v>
      </c>
      <c r="B137" s="8">
        <v>135</v>
      </c>
      <c r="D137">
        <v>1316.6681096681</v>
      </c>
      <c r="E137">
        <v>342.70923520923998</v>
      </c>
      <c r="F137">
        <v>136.26520146519999</v>
      </c>
      <c r="G137">
        <v>113.10036630037</v>
      </c>
      <c r="I137" s="9">
        <f t="shared" si="15"/>
        <v>229.60886890886997</v>
      </c>
      <c r="J137" s="9">
        <f t="shared" si="16"/>
        <v>1180.4029082029001</v>
      </c>
      <c r="K137" s="9">
        <f t="shared" si="17"/>
        <v>229.60886890886997</v>
      </c>
      <c r="L137" s="10">
        <f t="shared" si="14"/>
        <v>0.19451736971610575</v>
      </c>
      <c r="M137" s="10">
        <f t="shared" si="18"/>
        <v>0.19808651670130523</v>
      </c>
      <c r="P137" s="8">
        <f t="shared" si="19"/>
        <v>2.4652908369812794</v>
      </c>
      <c r="X137" s="8">
        <v>-13</v>
      </c>
    </row>
    <row r="138" spans="1:24" x14ac:dyDescent="0.2">
      <c r="A138" s="8">
        <v>68</v>
      </c>
      <c r="B138" s="8">
        <v>136</v>
      </c>
      <c r="D138">
        <v>1283.7359307359</v>
      </c>
      <c r="E138">
        <v>340.89971139970999</v>
      </c>
      <c r="F138">
        <v>136.32454212453999</v>
      </c>
      <c r="G138">
        <v>113.20366300366</v>
      </c>
      <c r="I138" s="9">
        <f t="shared" si="15"/>
        <v>227.69604839605</v>
      </c>
      <c r="J138" s="9">
        <f t="shared" si="16"/>
        <v>1147.4113886113601</v>
      </c>
      <c r="K138" s="9">
        <f t="shared" si="17"/>
        <v>227.69604839605</v>
      </c>
      <c r="L138" s="10">
        <f t="shared" si="14"/>
        <v>0.19844325292222892</v>
      </c>
      <c r="M138" s="10">
        <f t="shared" si="18"/>
        <v>0.20203883803324468</v>
      </c>
      <c r="P138" s="8">
        <f t="shared" si="19"/>
        <v>4.5097296079908418</v>
      </c>
      <c r="X138" s="8">
        <v>-13</v>
      </c>
    </row>
    <row r="139" spans="1:24" x14ac:dyDescent="0.2">
      <c r="A139" s="8">
        <v>68.5</v>
      </c>
      <c r="B139" s="8">
        <v>137</v>
      </c>
      <c r="D139">
        <v>1145.3408266859999</v>
      </c>
      <c r="E139">
        <v>314.35968092821003</v>
      </c>
      <c r="F139">
        <v>136.21172161172001</v>
      </c>
      <c r="G139">
        <v>113.29523809523999</v>
      </c>
      <c r="I139" s="9">
        <f t="shared" si="15"/>
        <v>201.06444283297003</v>
      </c>
      <c r="J139" s="9">
        <f t="shared" si="16"/>
        <v>1009.1291050742799</v>
      </c>
      <c r="K139" s="9">
        <f t="shared" si="17"/>
        <v>201.06444283297003</v>
      </c>
      <c r="L139" s="10">
        <f t="shared" si="14"/>
        <v>0.19924550963988905</v>
      </c>
      <c r="M139" s="10">
        <f t="shared" si="18"/>
        <v>0.2028675328767211</v>
      </c>
      <c r="P139" s="8">
        <f t="shared" si="19"/>
        <v>4.9383931009228599</v>
      </c>
      <c r="X139" s="8">
        <v>-13</v>
      </c>
    </row>
    <row r="140" spans="1:24" x14ac:dyDescent="0.2">
      <c r="A140" s="8">
        <v>69</v>
      </c>
      <c r="B140" s="8">
        <v>138</v>
      </c>
      <c r="D140">
        <v>1153.6258158086</v>
      </c>
      <c r="E140">
        <v>315.50543872370997</v>
      </c>
      <c r="F140">
        <v>135.58754578755</v>
      </c>
      <c r="G140">
        <v>113.30842490843</v>
      </c>
      <c r="I140" s="9">
        <f t="shared" si="15"/>
        <v>202.19701381527997</v>
      </c>
      <c r="J140" s="9">
        <f t="shared" si="16"/>
        <v>1018.03827002105</v>
      </c>
      <c r="K140" s="9">
        <f t="shared" si="17"/>
        <v>202.19701381527997</v>
      </c>
      <c r="L140" s="10">
        <f t="shared" si="14"/>
        <v>0.19861435445948328</v>
      </c>
      <c r="M140" s="10">
        <f t="shared" si="18"/>
        <v>0.20226281582213163</v>
      </c>
      <c r="P140" s="8">
        <f t="shared" si="19"/>
        <v>4.6255878181381318</v>
      </c>
      <c r="X140" s="8">
        <v>-13</v>
      </c>
    </row>
    <row r="141" spans="1:24" x14ac:dyDescent="0.2">
      <c r="A141" s="8">
        <v>69.5</v>
      </c>
      <c r="B141" s="8">
        <v>139</v>
      </c>
      <c r="D141">
        <v>1217.4243301955</v>
      </c>
      <c r="E141">
        <v>328.16727009414001</v>
      </c>
      <c r="F141">
        <v>136.26153846154</v>
      </c>
      <c r="G141">
        <v>113.15824175824</v>
      </c>
      <c r="I141" s="9">
        <f t="shared" si="15"/>
        <v>215.00902833590001</v>
      </c>
      <c r="J141" s="9">
        <f t="shared" si="16"/>
        <v>1081.1627917339601</v>
      </c>
      <c r="K141" s="9">
        <f t="shared" si="17"/>
        <v>215.00902833590001</v>
      </c>
      <c r="L141" s="10">
        <f t="shared" si="14"/>
        <v>0.19886832027494239</v>
      </c>
      <c r="M141" s="10">
        <f t="shared" si="18"/>
        <v>0.20254321976340706</v>
      </c>
      <c r="P141" s="8">
        <f t="shared" si="19"/>
        <v>4.7706338913039668</v>
      </c>
      <c r="X141" s="8">
        <v>-13</v>
      </c>
    </row>
    <row r="142" spans="1:24" x14ac:dyDescent="0.2">
      <c r="A142" s="8">
        <v>70</v>
      </c>
      <c r="B142" s="8">
        <v>140</v>
      </c>
      <c r="D142">
        <v>1205.6097031137001</v>
      </c>
      <c r="E142">
        <v>326.34612599565997</v>
      </c>
      <c r="F142">
        <v>136.07765567766</v>
      </c>
      <c r="G142">
        <v>113.21318681319001</v>
      </c>
      <c r="I142" s="9">
        <f t="shared" si="15"/>
        <v>213.13293918246995</v>
      </c>
      <c r="J142" s="9">
        <f t="shared" si="16"/>
        <v>1069.5320474360401</v>
      </c>
      <c r="K142" s="9">
        <f t="shared" si="17"/>
        <v>213.13293918246995</v>
      </c>
      <c r="L142" s="10">
        <f t="shared" si="14"/>
        <v>0.19927681427911179</v>
      </c>
      <c r="M142" s="10">
        <f t="shared" si="18"/>
        <v>0.20297815189339274</v>
      </c>
      <c r="P142" s="8">
        <f t="shared" si="19"/>
        <v>4.9956136018641333</v>
      </c>
      <c r="X142" s="8">
        <v>-13</v>
      </c>
    </row>
    <row r="143" spans="1:24" x14ac:dyDescent="0.2">
      <c r="A143" s="8">
        <v>70.5</v>
      </c>
      <c r="B143" s="8">
        <v>141</v>
      </c>
      <c r="D143">
        <v>1193.7038377987001</v>
      </c>
      <c r="E143">
        <v>324.45474293989997</v>
      </c>
      <c r="F143">
        <v>136.20732600733001</v>
      </c>
      <c r="G143">
        <v>113.16483516484</v>
      </c>
      <c r="I143" s="9">
        <f t="shared" si="15"/>
        <v>211.28990777505999</v>
      </c>
      <c r="J143" s="9">
        <f t="shared" si="16"/>
        <v>1057.49651179137</v>
      </c>
      <c r="K143" s="9">
        <f t="shared" si="17"/>
        <v>211.28990777505999</v>
      </c>
      <c r="L143" s="10">
        <f t="shared" si="14"/>
        <v>0.19980199028471562</v>
      </c>
      <c r="M143" s="10">
        <f t="shared" si="18"/>
        <v>0.20352976602481287</v>
      </c>
      <c r="P143" s="8">
        <f t="shared" si="19"/>
        <v>5.2809500464994894</v>
      </c>
      <c r="X143" s="8">
        <v>-13</v>
      </c>
    </row>
    <row r="144" spans="1:24" x14ac:dyDescent="0.2">
      <c r="A144" s="8">
        <v>71</v>
      </c>
      <c r="B144" s="8">
        <v>142</v>
      </c>
      <c r="D144">
        <v>1319.4286754003001</v>
      </c>
      <c r="E144">
        <v>347.09606986900002</v>
      </c>
      <c r="F144">
        <v>135.67399267399</v>
      </c>
      <c r="G144">
        <v>112.99633699634001</v>
      </c>
      <c r="I144" s="9">
        <f t="shared" si="15"/>
        <v>234.09973287266001</v>
      </c>
      <c r="J144" s="9">
        <f t="shared" si="16"/>
        <v>1183.7546827263102</v>
      </c>
      <c r="K144" s="9">
        <f t="shared" si="17"/>
        <v>234.09973287266001</v>
      </c>
      <c r="L144" s="10">
        <f t="shared" si="14"/>
        <v>0.19776034366639544</v>
      </c>
      <c r="M144" s="10">
        <f t="shared" si="18"/>
        <v>0.20151455753230899</v>
      </c>
      <c r="P144" s="8">
        <f t="shared" si="19"/>
        <v>4.2385321791949195</v>
      </c>
    </row>
    <row r="145" spans="1:16" x14ac:dyDescent="0.2">
      <c r="A145" s="8">
        <v>71.5</v>
      </c>
      <c r="B145" s="8">
        <v>143</v>
      </c>
      <c r="D145">
        <v>1296.0858806404999</v>
      </c>
      <c r="E145">
        <v>342.79112081514</v>
      </c>
      <c r="F145">
        <v>135.82124542125001</v>
      </c>
      <c r="G145">
        <v>112.85860805861</v>
      </c>
      <c r="I145" s="9">
        <f t="shared" si="15"/>
        <v>229.93251275653</v>
      </c>
      <c r="J145" s="9">
        <f t="shared" si="16"/>
        <v>1160.2646352192498</v>
      </c>
      <c r="K145" s="9">
        <f t="shared" si="17"/>
        <v>229.93251275653</v>
      </c>
      <c r="L145" s="10">
        <f t="shared" si="14"/>
        <v>0.19817247356942902</v>
      </c>
      <c r="M145" s="10">
        <f t="shared" si="18"/>
        <v>0.20195312556115885</v>
      </c>
      <c r="P145" s="8">
        <f t="shared" si="19"/>
        <v>4.4653926509536577</v>
      </c>
    </row>
    <row r="146" spans="1:16" x14ac:dyDescent="0.2">
      <c r="A146" s="8">
        <v>72</v>
      </c>
      <c r="B146" s="8">
        <v>144</v>
      </c>
      <c r="D146">
        <v>1315.4002911207999</v>
      </c>
      <c r="E146">
        <v>345.65938864628998</v>
      </c>
      <c r="F146">
        <v>136.24395604396</v>
      </c>
      <c r="G146">
        <v>112.8967032967</v>
      </c>
      <c r="I146" s="9">
        <f t="shared" si="15"/>
        <v>232.76268534958999</v>
      </c>
      <c r="J146" s="9">
        <f t="shared" si="16"/>
        <v>1179.1563350768399</v>
      </c>
      <c r="K146" s="9">
        <f t="shared" si="17"/>
        <v>232.76268534958999</v>
      </c>
      <c r="L146" s="10">
        <f t="shared" si="14"/>
        <v>0.19739764645747501</v>
      </c>
      <c r="M146" s="10">
        <f t="shared" si="18"/>
        <v>0.20120473657502114</v>
      </c>
      <c r="P146" s="8">
        <f t="shared" si="19"/>
        <v>4.0782694060160614</v>
      </c>
    </row>
    <row r="147" spans="1:16" x14ac:dyDescent="0.2">
      <c r="A147" s="8">
        <v>72.5</v>
      </c>
      <c r="B147" s="8">
        <v>145</v>
      </c>
      <c r="D147">
        <v>1267.2649199417999</v>
      </c>
      <c r="E147">
        <v>334.72852983988003</v>
      </c>
      <c r="F147">
        <v>135.4673992674</v>
      </c>
      <c r="G147">
        <v>112.74285714286</v>
      </c>
      <c r="I147" s="9">
        <f t="shared" si="15"/>
        <v>221.98567269702002</v>
      </c>
      <c r="J147" s="9">
        <f t="shared" si="16"/>
        <v>1131.7975206743999</v>
      </c>
      <c r="K147" s="9">
        <f t="shared" si="17"/>
        <v>221.98567269702002</v>
      </c>
      <c r="L147" s="10">
        <f t="shared" si="14"/>
        <v>0.19613550007137873</v>
      </c>
      <c r="M147" s="10">
        <f t="shared" si="18"/>
        <v>0.19996902831474114</v>
      </c>
      <c r="P147" s="8">
        <f t="shared" si="19"/>
        <v>3.4390678672754116</v>
      </c>
    </row>
    <row r="148" spans="1:16" x14ac:dyDescent="0.2">
      <c r="A148" s="8">
        <v>73</v>
      </c>
      <c r="B148" s="8">
        <v>146</v>
      </c>
      <c r="D148">
        <v>1319.7627365357</v>
      </c>
      <c r="E148">
        <v>351.16957787481999</v>
      </c>
      <c r="F148">
        <v>135.38388278388001</v>
      </c>
      <c r="G148">
        <v>112.82857142857</v>
      </c>
      <c r="I148" s="9">
        <f t="shared" si="15"/>
        <v>238.34100644624999</v>
      </c>
      <c r="J148" s="9">
        <f t="shared" si="16"/>
        <v>1184.3788537518201</v>
      </c>
      <c r="K148" s="9">
        <f t="shared" si="17"/>
        <v>238.34100644624999</v>
      </c>
      <c r="L148" s="10">
        <f t="shared" si="14"/>
        <v>0.20123713429300469</v>
      </c>
      <c r="M148" s="10">
        <f t="shared" si="18"/>
        <v>0.2050971006621834</v>
      </c>
      <c r="P148" s="8">
        <f t="shared" si="19"/>
        <v>6.09169376662462</v>
      </c>
    </row>
    <row r="149" spans="1:16" x14ac:dyDescent="0.2">
      <c r="A149" s="8">
        <v>73.5</v>
      </c>
      <c r="B149" s="8">
        <v>147</v>
      </c>
      <c r="D149">
        <v>1287.8835516739</v>
      </c>
      <c r="E149">
        <v>337.32314410480001</v>
      </c>
      <c r="F149">
        <v>135.95677655678</v>
      </c>
      <c r="G149">
        <v>113.11062271062001</v>
      </c>
      <c r="I149" s="9">
        <f t="shared" si="15"/>
        <v>224.21252139417999</v>
      </c>
      <c r="J149" s="9">
        <f t="shared" si="16"/>
        <v>1151.9267751171201</v>
      </c>
      <c r="K149" s="9">
        <f t="shared" si="17"/>
        <v>224.21252139417999</v>
      </c>
      <c r="L149" s="10">
        <f t="shared" si="14"/>
        <v>0.19464129685793924</v>
      </c>
      <c r="M149" s="10">
        <f t="shared" si="18"/>
        <v>0.19852770135293424</v>
      </c>
      <c r="P149" s="8">
        <f t="shared" si="19"/>
        <v>2.6935048234493499</v>
      </c>
    </row>
    <row r="150" spans="1:16" x14ac:dyDescent="0.2">
      <c r="A150" s="8">
        <v>74</v>
      </c>
      <c r="B150" s="8">
        <v>148</v>
      </c>
      <c r="D150">
        <v>1299.6328011610999</v>
      </c>
      <c r="E150">
        <v>343.96952104499002</v>
      </c>
      <c r="F150">
        <v>135.86227106227</v>
      </c>
      <c r="G150">
        <v>113.15384615385</v>
      </c>
      <c r="I150" s="9">
        <f t="shared" si="15"/>
        <v>230.81567489114002</v>
      </c>
      <c r="J150" s="9">
        <f t="shared" si="16"/>
        <v>1163.77053009883</v>
      </c>
      <c r="K150" s="9">
        <f t="shared" si="17"/>
        <v>230.81567489114002</v>
      </c>
      <c r="L150" s="10">
        <f t="shared" si="14"/>
        <v>0.19833435279679976</v>
      </c>
      <c r="M150" s="10">
        <f t="shared" si="18"/>
        <v>0.20224719541761105</v>
      </c>
      <c r="P150" s="8">
        <f t="shared" si="19"/>
        <v>4.6175077664574529</v>
      </c>
    </row>
    <row r="151" spans="1:16" x14ac:dyDescent="0.2">
      <c r="A151" s="8">
        <v>74.5</v>
      </c>
      <c r="B151" s="8">
        <v>149</v>
      </c>
      <c r="D151">
        <v>1288.4419448476001</v>
      </c>
      <c r="E151">
        <v>343.67271407837001</v>
      </c>
      <c r="F151">
        <v>135.89743589744</v>
      </c>
      <c r="G151">
        <v>113.05494505495</v>
      </c>
      <c r="I151" s="9">
        <f t="shared" si="15"/>
        <v>230.61776902342001</v>
      </c>
      <c r="J151" s="9">
        <f t="shared" si="16"/>
        <v>1152.54450895016</v>
      </c>
      <c r="K151" s="9">
        <f t="shared" si="17"/>
        <v>230.61776902342001</v>
      </c>
      <c r="L151" s="10">
        <f t="shared" si="14"/>
        <v>0.20009445815978696</v>
      </c>
      <c r="M151" s="10">
        <f t="shared" si="18"/>
        <v>0.20403373890641455</v>
      </c>
      <c r="P151" s="8">
        <f t="shared" si="19"/>
        <v>5.5416428424919308</v>
      </c>
    </row>
    <row r="152" spans="1:16" x14ac:dyDescent="0.2">
      <c r="A152" s="8">
        <v>75</v>
      </c>
      <c r="B152" s="8">
        <v>150</v>
      </c>
      <c r="D152">
        <v>1288.0631349782</v>
      </c>
      <c r="E152">
        <v>342.33526850508002</v>
      </c>
      <c r="F152">
        <v>135.95164835164999</v>
      </c>
      <c r="G152">
        <v>112.77509157509</v>
      </c>
      <c r="I152" s="9">
        <f t="shared" si="15"/>
        <v>229.56017692999001</v>
      </c>
      <c r="J152" s="9">
        <f t="shared" si="16"/>
        <v>1152.11148662655</v>
      </c>
      <c r="K152" s="9">
        <f t="shared" si="17"/>
        <v>229.56017692999001</v>
      </c>
      <c r="L152" s="10">
        <f t="shared" si="14"/>
        <v>0.19925170401881476</v>
      </c>
      <c r="M152" s="10">
        <f t="shared" si="18"/>
        <v>0.20321742289125863</v>
      </c>
      <c r="P152" s="8">
        <f t="shared" si="19"/>
        <v>5.1193826134730962</v>
      </c>
    </row>
    <row r="153" spans="1:16" x14ac:dyDescent="0.2">
      <c r="A153" s="8">
        <v>75.5</v>
      </c>
      <c r="B153" s="8">
        <v>151</v>
      </c>
      <c r="D153">
        <v>1279.1349782293</v>
      </c>
      <c r="E153">
        <v>341.58853410739999</v>
      </c>
      <c r="F153">
        <v>136.15531135531</v>
      </c>
      <c r="G153">
        <v>113.05201465202001</v>
      </c>
      <c r="I153" s="9">
        <f t="shared" si="15"/>
        <v>228.53651945537999</v>
      </c>
      <c r="J153" s="9">
        <f t="shared" si="16"/>
        <v>1142.97966687399</v>
      </c>
      <c r="K153" s="9">
        <f t="shared" si="17"/>
        <v>228.53651945537999</v>
      </c>
      <c r="L153" s="10">
        <f t="shared" si="14"/>
        <v>0.19994801839338008</v>
      </c>
      <c r="M153" s="10">
        <f t="shared" si="18"/>
        <v>0.20394017539164025</v>
      </c>
      <c r="P153" s="8">
        <f t="shared" si="19"/>
        <v>5.4932447338637971</v>
      </c>
    </row>
    <row r="154" spans="1:16" x14ac:dyDescent="0.2">
      <c r="A154" s="8">
        <v>76</v>
      </c>
      <c r="B154" s="8">
        <v>152</v>
      </c>
      <c r="D154">
        <v>1262.0283224401001</v>
      </c>
      <c r="E154">
        <v>336.90777051561003</v>
      </c>
      <c r="F154">
        <v>135.49597069596999</v>
      </c>
      <c r="G154">
        <v>112.92820512821</v>
      </c>
      <c r="I154" s="9">
        <f t="shared" si="15"/>
        <v>223.97956538740004</v>
      </c>
      <c r="J154" s="9">
        <f t="shared" si="16"/>
        <v>1126.53235174413</v>
      </c>
      <c r="K154" s="9">
        <f t="shared" si="17"/>
        <v>223.97956538740004</v>
      </c>
      <c r="L154" s="10">
        <f t="shared" si="14"/>
        <v>0.19882213328416926</v>
      </c>
      <c r="M154" s="10">
        <f t="shared" si="18"/>
        <v>0.20284072840824571</v>
      </c>
      <c r="P154" s="8">
        <f t="shared" si="19"/>
        <v>4.9245278075964949</v>
      </c>
    </row>
    <row r="155" spans="1:16" x14ac:dyDescent="0.2">
      <c r="A155" s="8">
        <v>76.5</v>
      </c>
      <c r="B155" s="8">
        <v>153</v>
      </c>
      <c r="D155">
        <v>1264.6332607116999</v>
      </c>
      <c r="E155">
        <v>337.44952795933</v>
      </c>
      <c r="F155">
        <v>135.51648351648001</v>
      </c>
      <c r="G155">
        <v>112.83150183150001</v>
      </c>
      <c r="I155" s="9">
        <f t="shared" si="15"/>
        <v>224.61802612782998</v>
      </c>
      <c r="J155" s="9">
        <f t="shared" si="16"/>
        <v>1129.1167771952198</v>
      </c>
      <c r="K155" s="9">
        <f t="shared" si="17"/>
        <v>224.61802612782998</v>
      </c>
      <c r="L155" s="10">
        <f t="shared" si="14"/>
        <v>0.19893250252271685</v>
      </c>
      <c r="M155" s="10">
        <f t="shared" si="18"/>
        <v>0.2029775357726096</v>
      </c>
      <c r="P155" s="8">
        <f t="shared" si="19"/>
        <v>4.9952948977126006</v>
      </c>
    </row>
    <row r="156" spans="1:16" x14ac:dyDescent="0.2">
      <c r="A156" s="8">
        <v>77</v>
      </c>
      <c r="B156" s="8">
        <v>154</v>
      </c>
      <c r="D156">
        <v>1271.6623093682001</v>
      </c>
      <c r="E156">
        <v>339.38562091503002</v>
      </c>
      <c r="F156">
        <v>135.59633699634</v>
      </c>
      <c r="G156">
        <v>112.90622710623001</v>
      </c>
      <c r="I156" s="9">
        <f t="shared" si="15"/>
        <v>226.47939380880001</v>
      </c>
      <c r="J156" s="9">
        <f t="shared" si="16"/>
        <v>1136.0659723718602</v>
      </c>
      <c r="K156" s="9">
        <f t="shared" si="17"/>
        <v>226.47939380880001</v>
      </c>
      <c r="L156" s="10">
        <f t="shared" si="14"/>
        <v>0.19935408622085563</v>
      </c>
      <c r="M156" s="10">
        <f t="shared" si="18"/>
        <v>0.20342555759656467</v>
      </c>
      <c r="P156" s="8">
        <f t="shared" si="19"/>
        <v>5.2270455855299502</v>
      </c>
    </row>
    <row r="157" spans="1:16" x14ac:dyDescent="0.2">
      <c r="A157" s="8">
        <v>77.5</v>
      </c>
      <c r="B157" s="8">
        <v>155</v>
      </c>
      <c r="D157">
        <v>1266.9011544012001</v>
      </c>
      <c r="E157">
        <v>338.1608946609</v>
      </c>
      <c r="F157">
        <v>136.07985347984999</v>
      </c>
      <c r="G157">
        <v>113.13846153846001</v>
      </c>
      <c r="I157" s="9">
        <f t="shared" si="15"/>
        <v>225.02243312243999</v>
      </c>
      <c r="J157" s="9">
        <f t="shared" si="16"/>
        <v>1130.82130092135</v>
      </c>
      <c r="K157" s="9">
        <f t="shared" si="17"/>
        <v>225.02243312243999</v>
      </c>
      <c r="L157" s="10">
        <f t="shared" si="14"/>
        <v>0.19899026746233053</v>
      </c>
      <c r="M157" s="10">
        <f t="shared" si="18"/>
        <v>0.20308817696385587</v>
      </c>
      <c r="P157" s="8">
        <f t="shared" si="19"/>
        <v>5.0525268690168028</v>
      </c>
    </row>
    <row r="158" spans="1:16" x14ac:dyDescent="0.2">
      <c r="A158" s="8">
        <v>78</v>
      </c>
      <c r="B158" s="8">
        <v>156</v>
      </c>
      <c r="D158">
        <v>1276.8441558442</v>
      </c>
      <c r="E158">
        <v>341.24603174602998</v>
      </c>
      <c r="F158">
        <v>135.96043956043999</v>
      </c>
      <c r="G158">
        <v>112.76703296703</v>
      </c>
      <c r="I158" s="9">
        <f t="shared" si="15"/>
        <v>228.47899877899999</v>
      </c>
      <c r="J158" s="9">
        <f t="shared" si="16"/>
        <v>1140.8837162837601</v>
      </c>
      <c r="K158" s="9">
        <f t="shared" si="17"/>
        <v>228.47899877899999</v>
      </c>
      <c r="L158" s="10">
        <f t="shared" si="14"/>
        <v>0.20026493105119644</v>
      </c>
      <c r="M158" s="10">
        <f t="shared" si="18"/>
        <v>0.20438927867853807</v>
      </c>
      <c r="P158" s="8">
        <f t="shared" si="19"/>
        <v>5.7255548359048101</v>
      </c>
    </row>
    <row r="159" spans="1:16" x14ac:dyDescent="0.2">
      <c r="A159" s="8">
        <v>78.5</v>
      </c>
      <c r="B159" s="8">
        <v>157</v>
      </c>
      <c r="D159">
        <v>1277.2979797979999</v>
      </c>
      <c r="E159">
        <v>341.62409812409999</v>
      </c>
      <c r="F159">
        <v>135.83369963370001</v>
      </c>
      <c r="G159">
        <v>112.83150183150001</v>
      </c>
      <c r="I159" s="9">
        <f t="shared" si="15"/>
        <v>228.79259629259997</v>
      </c>
      <c r="J159" s="9">
        <f t="shared" si="16"/>
        <v>1141.4642801642999</v>
      </c>
      <c r="K159" s="9">
        <f t="shared" si="17"/>
        <v>228.79259629259997</v>
      </c>
      <c r="L159" s="10">
        <f t="shared" si="14"/>
        <v>0.20043780630583383</v>
      </c>
      <c r="M159" s="10">
        <f t="shared" si="18"/>
        <v>0.20458859205899174</v>
      </c>
      <c r="P159" s="8">
        <f t="shared" si="19"/>
        <v>5.8286547532337778</v>
      </c>
    </row>
    <row r="160" spans="1:16" x14ac:dyDescent="0.2">
      <c r="A160" s="8">
        <v>79</v>
      </c>
      <c r="B160" s="8">
        <v>158</v>
      </c>
      <c r="D160">
        <v>1272.5367965368</v>
      </c>
      <c r="E160">
        <v>341.85497835498001</v>
      </c>
      <c r="F160">
        <v>135.27106227106</v>
      </c>
      <c r="G160">
        <v>112.66227106226999</v>
      </c>
      <c r="I160" s="9">
        <f t="shared" si="15"/>
        <v>229.19270729271</v>
      </c>
      <c r="J160" s="9">
        <f t="shared" si="16"/>
        <v>1137.2657342657401</v>
      </c>
      <c r="K160" s="9">
        <f t="shared" si="17"/>
        <v>229.19270729271</v>
      </c>
      <c r="L160" s="10">
        <f t="shared" si="14"/>
        <v>0.20152959892059449</v>
      </c>
      <c r="M160" s="10">
        <f t="shared" si="18"/>
        <v>0.2057068227995687</v>
      </c>
      <c r="P160" s="8">
        <f t="shared" si="19"/>
        <v>6.4070880558338024</v>
      </c>
    </row>
    <row r="161" spans="1:16" x14ac:dyDescent="0.2">
      <c r="A161" s="8">
        <v>79.5</v>
      </c>
      <c r="B161" s="8">
        <v>159</v>
      </c>
      <c r="D161">
        <v>1301.6554744525999</v>
      </c>
      <c r="E161">
        <v>346.01751824818001</v>
      </c>
      <c r="F161">
        <v>135.75970695971</v>
      </c>
      <c r="G161">
        <v>112.79706959707001</v>
      </c>
      <c r="I161" s="9">
        <f t="shared" si="15"/>
        <v>233.22044865111002</v>
      </c>
      <c r="J161" s="9">
        <f t="shared" si="16"/>
        <v>1165.8957674928899</v>
      </c>
      <c r="K161" s="9">
        <f t="shared" si="17"/>
        <v>233.22044865111002</v>
      </c>
      <c r="L161" s="10">
        <f t="shared" si="14"/>
        <v>0.20003541924903015</v>
      </c>
      <c r="M161" s="10">
        <f t="shared" si="18"/>
        <v>0.20423908125382065</v>
      </c>
      <c r="P161" s="8">
        <f t="shared" si="19"/>
        <v>5.6478613963768565</v>
      </c>
    </row>
    <row r="162" spans="1:16" x14ac:dyDescent="0.2">
      <c r="A162" s="8">
        <v>80</v>
      </c>
      <c r="B162" s="4">
        <v>160</v>
      </c>
      <c r="C162" s="4" t="s">
        <v>6</v>
      </c>
      <c r="D162">
        <v>1297.5868613139</v>
      </c>
      <c r="E162">
        <v>345.33065693431001</v>
      </c>
      <c r="F162">
        <v>135.07619047618999</v>
      </c>
      <c r="G162">
        <v>112.61978021978</v>
      </c>
      <c r="H162" s="4"/>
      <c r="I162" s="5">
        <f t="shared" si="15"/>
        <v>232.71087671453</v>
      </c>
      <c r="J162" s="5">
        <f t="shared" si="16"/>
        <v>1162.51067083771</v>
      </c>
      <c r="K162" s="9">
        <f t="shared" si="17"/>
        <v>232.71087671453</v>
      </c>
      <c r="L162" s="6">
        <f t="shared" si="14"/>
        <v>0.20017956183304328</v>
      </c>
      <c r="M162" s="6">
        <f t="shared" si="18"/>
        <v>0.20440966196365007</v>
      </c>
      <c r="N162" s="4"/>
      <c r="O162" s="4"/>
      <c r="P162" s="4">
        <f t="shared" si="19"/>
        <v>5.7360986087571728</v>
      </c>
    </row>
    <row r="163" spans="1:16" x14ac:dyDescent="0.2">
      <c r="A163" s="8">
        <v>80.5</v>
      </c>
      <c r="B163" s="8">
        <v>161</v>
      </c>
      <c r="D163">
        <v>1290.0277372262999</v>
      </c>
      <c r="E163">
        <v>344.79051094891003</v>
      </c>
      <c r="F163">
        <v>135.45934065934</v>
      </c>
      <c r="G163">
        <v>112.51794871795001</v>
      </c>
      <c r="I163" s="9">
        <f t="shared" si="15"/>
        <v>232.27256223096003</v>
      </c>
      <c r="J163" s="9">
        <f t="shared" si="16"/>
        <v>1154.56839656696</v>
      </c>
      <c r="K163" s="9">
        <f t="shared" si="17"/>
        <v>232.27256223096003</v>
      </c>
      <c r="L163" s="10">
        <f t="shared" si="14"/>
        <v>0.20117696181673481</v>
      </c>
      <c r="M163" s="10">
        <f t="shared" si="18"/>
        <v>0.20543350007315789</v>
      </c>
      <c r="P163" s="8">
        <f t="shared" si="19"/>
        <v>6.2657049212296894</v>
      </c>
    </row>
    <row r="164" spans="1:16" x14ac:dyDescent="0.2">
      <c r="A164" s="8">
        <v>81</v>
      </c>
      <c r="B164" s="8">
        <v>162</v>
      </c>
      <c r="D164">
        <v>1291.4446870451</v>
      </c>
      <c r="E164">
        <v>341.39082969432002</v>
      </c>
      <c r="F164">
        <v>135.3010989011</v>
      </c>
      <c r="G164">
        <v>112.42490842491</v>
      </c>
      <c r="I164" s="9">
        <f t="shared" si="15"/>
        <v>228.96592126941002</v>
      </c>
      <c r="J164" s="9">
        <f t="shared" si="16"/>
        <v>1156.143588144</v>
      </c>
      <c r="K164" s="9">
        <f t="shared" si="17"/>
        <v>228.96592126941002</v>
      </c>
      <c r="L164" s="10">
        <f t="shared" si="14"/>
        <v>0.19804280680825942</v>
      </c>
      <c r="M164" s="10">
        <f t="shared" si="18"/>
        <v>0.20232578319049879</v>
      </c>
      <c r="P164" s="8">
        <f t="shared" si="19"/>
        <v>4.6581592915550232</v>
      </c>
    </row>
    <row r="165" spans="1:16" x14ac:dyDescent="0.2">
      <c r="A165" s="8">
        <v>81.5</v>
      </c>
      <c r="B165" s="8">
        <v>163</v>
      </c>
      <c r="D165">
        <v>1304.5327510917</v>
      </c>
      <c r="E165">
        <v>343.40174672489002</v>
      </c>
      <c r="F165">
        <v>135.61538461539001</v>
      </c>
      <c r="G165">
        <v>112.37582417582</v>
      </c>
      <c r="I165" s="9">
        <f t="shared" si="15"/>
        <v>231.02592254907</v>
      </c>
      <c r="J165" s="9">
        <f t="shared" si="16"/>
        <v>1168.91736647631</v>
      </c>
      <c r="K165" s="9">
        <f t="shared" si="17"/>
        <v>231.02592254907</v>
      </c>
      <c r="L165" s="10">
        <f t="shared" si="14"/>
        <v>0.19764093611295672</v>
      </c>
      <c r="M165" s="10">
        <f t="shared" si="18"/>
        <v>0.20195035062101238</v>
      </c>
      <c r="P165" s="8">
        <f t="shared" si="19"/>
        <v>4.4639572425578793</v>
      </c>
    </row>
    <row r="166" spans="1:16" x14ac:dyDescent="0.2">
      <c r="A166" s="8">
        <v>82</v>
      </c>
      <c r="B166" s="8">
        <v>164</v>
      </c>
      <c r="D166">
        <v>1304.4330422124999</v>
      </c>
      <c r="E166">
        <v>343.22197962154002</v>
      </c>
      <c r="F166">
        <v>134.91575091575001</v>
      </c>
      <c r="G166">
        <v>112.72893772894</v>
      </c>
      <c r="I166" s="9">
        <f t="shared" si="15"/>
        <v>230.49304189260002</v>
      </c>
      <c r="J166" s="9">
        <f t="shared" si="16"/>
        <v>1169.5172912967498</v>
      </c>
      <c r="K166" s="9">
        <f t="shared" si="17"/>
        <v>230.49304189260002</v>
      </c>
      <c r="L166" s="10">
        <f t="shared" si="14"/>
        <v>0.19708391112116991</v>
      </c>
      <c r="M166" s="10">
        <f t="shared" si="18"/>
        <v>0.20141976375504186</v>
      </c>
      <c r="P166" s="8">
        <f t="shared" si="19"/>
        <v>4.1894976859898216</v>
      </c>
    </row>
    <row r="167" spans="1:16" x14ac:dyDescent="0.2">
      <c r="A167" s="8">
        <v>82.5</v>
      </c>
      <c r="B167" s="8">
        <v>165</v>
      </c>
      <c r="D167">
        <v>1306.7292576418999</v>
      </c>
      <c r="E167">
        <v>343.06914119359999</v>
      </c>
      <c r="F167">
        <v>134.99194139194</v>
      </c>
      <c r="G167">
        <v>112.68058608059</v>
      </c>
      <c r="I167" s="9">
        <f t="shared" si="15"/>
        <v>230.38855511301</v>
      </c>
      <c r="J167" s="9">
        <f t="shared" si="16"/>
        <v>1171.73731624996</v>
      </c>
      <c r="K167" s="9">
        <f t="shared" si="17"/>
        <v>230.38855511301</v>
      </c>
      <c r="L167" s="10">
        <f t="shared" si="14"/>
        <v>0.19662133476327942</v>
      </c>
      <c r="M167" s="10">
        <f t="shared" si="18"/>
        <v>0.20098362552296767</v>
      </c>
      <c r="P167" s="8">
        <f t="shared" si="19"/>
        <v>3.963894088436557</v>
      </c>
    </row>
    <row r="168" spans="1:16" x14ac:dyDescent="0.2">
      <c r="A168" s="8">
        <v>83</v>
      </c>
      <c r="B168" s="8">
        <v>166</v>
      </c>
      <c r="D168">
        <v>1307.5050946143001</v>
      </c>
      <c r="E168">
        <v>342.66521106259</v>
      </c>
      <c r="F168">
        <v>135.65274725275</v>
      </c>
      <c r="G168">
        <v>112.53333333333001</v>
      </c>
      <c r="I168" s="9">
        <f t="shared" si="15"/>
        <v>230.13187772926</v>
      </c>
      <c r="J168" s="9">
        <f t="shared" si="16"/>
        <v>1171.8523473615501</v>
      </c>
      <c r="K168" s="9">
        <f t="shared" si="17"/>
        <v>230.13187772926</v>
      </c>
      <c r="L168" s="10">
        <f t="shared" si="14"/>
        <v>0.19638299846171467</v>
      </c>
      <c r="M168" s="10">
        <f t="shared" si="18"/>
        <v>0.20077172734721921</v>
      </c>
      <c r="P168" s="8">
        <f t="shared" si="19"/>
        <v>3.8542843655363783</v>
      </c>
    </row>
    <row r="169" spans="1:16" x14ac:dyDescent="0.2">
      <c r="A169" s="8">
        <v>83.5</v>
      </c>
      <c r="B169" s="8">
        <v>167</v>
      </c>
      <c r="D169">
        <v>1305.922852984</v>
      </c>
      <c r="E169">
        <v>343.77292576419001</v>
      </c>
      <c r="F169">
        <v>134.90989010989</v>
      </c>
      <c r="G169">
        <v>112.73406593407</v>
      </c>
      <c r="I169" s="9">
        <f t="shared" si="15"/>
        <v>231.03885983012</v>
      </c>
      <c r="J169" s="9">
        <f t="shared" si="16"/>
        <v>1171.0129628741099</v>
      </c>
      <c r="K169" s="9">
        <f t="shared" si="17"/>
        <v>231.03885983012</v>
      </c>
      <c r="L169" s="10">
        <f t="shared" si="14"/>
        <v>0.19729829400270943</v>
      </c>
      <c r="M169" s="10">
        <f t="shared" si="18"/>
        <v>0.20171346101403026</v>
      </c>
      <c r="P169" s="8">
        <f t="shared" si="19"/>
        <v>4.3414200659751723</v>
      </c>
    </row>
    <row r="170" spans="1:16" x14ac:dyDescent="0.2">
      <c r="A170" s="8">
        <v>84</v>
      </c>
      <c r="B170" s="8">
        <v>168</v>
      </c>
      <c r="D170">
        <v>1310.1608442504</v>
      </c>
      <c r="E170">
        <v>343.32241630277002</v>
      </c>
      <c r="F170">
        <v>134.88351648352</v>
      </c>
      <c r="G170">
        <v>112.61025641026001</v>
      </c>
      <c r="I170" s="9">
        <f t="shared" si="15"/>
        <v>230.71215989251002</v>
      </c>
      <c r="J170" s="9">
        <f t="shared" si="16"/>
        <v>1175.27732776688</v>
      </c>
      <c r="K170" s="9">
        <f t="shared" si="17"/>
        <v>230.71215989251002</v>
      </c>
      <c r="L170" s="10">
        <f t="shared" si="14"/>
        <v>0.1963044418893721</v>
      </c>
      <c r="M170" s="10">
        <f t="shared" si="18"/>
        <v>0.20074604702650922</v>
      </c>
      <c r="P170" s="8">
        <f t="shared" si="19"/>
        <v>3.8410005662442561</v>
      </c>
    </row>
    <row r="171" spans="1:16" x14ac:dyDescent="0.2">
      <c r="A171" s="8">
        <v>84.5</v>
      </c>
      <c r="B171" s="8">
        <v>169</v>
      </c>
      <c r="D171">
        <v>1305.1775836971999</v>
      </c>
      <c r="E171">
        <v>344.88064046579001</v>
      </c>
      <c r="F171">
        <v>135.39853479854</v>
      </c>
      <c r="G171">
        <v>112.48937728938</v>
      </c>
      <c r="I171" s="9">
        <f t="shared" si="15"/>
        <v>232.39126317641001</v>
      </c>
      <c r="J171" s="9">
        <f t="shared" si="16"/>
        <v>1169.77904889866</v>
      </c>
      <c r="K171" s="9">
        <f t="shared" si="17"/>
        <v>232.39126317641001</v>
      </c>
      <c r="L171" s="10">
        <f t="shared" si="14"/>
        <v>0.19866252810323881</v>
      </c>
      <c r="M171" s="10">
        <f t="shared" si="18"/>
        <v>0.20313057136619223</v>
      </c>
      <c r="P171" s="8">
        <f t="shared" si="19"/>
        <v>5.0744564522998754</v>
      </c>
    </row>
    <row r="172" spans="1:16" x14ac:dyDescent="0.2">
      <c r="A172" s="8">
        <v>85</v>
      </c>
      <c r="B172" s="8">
        <v>170</v>
      </c>
      <c r="D172">
        <v>1315.9010189229</v>
      </c>
      <c r="E172">
        <v>346.06695778748002</v>
      </c>
      <c r="F172">
        <v>134.90842490842999</v>
      </c>
      <c r="G172">
        <v>112.47326007325999</v>
      </c>
      <c r="I172" s="9">
        <f t="shared" si="15"/>
        <v>233.59369771422001</v>
      </c>
      <c r="J172" s="9">
        <f t="shared" si="16"/>
        <v>1180.9925940144699</v>
      </c>
      <c r="K172" s="9">
        <f t="shared" si="17"/>
        <v>233.59369771422001</v>
      </c>
      <c r="L172" s="10">
        <f t="shared" si="14"/>
        <v>0.197794379827718</v>
      </c>
      <c r="M172" s="10">
        <f t="shared" si="18"/>
        <v>0.2022888612164877</v>
      </c>
      <c r="P172" s="8">
        <f t="shared" si="19"/>
        <v>4.6390604610625541</v>
      </c>
    </row>
    <row r="173" spans="1:16" x14ac:dyDescent="0.2">
      <c r="A173" s="8">
        <v>85.5</v>
      </c>
      <c r="B173" s="8">
        <v>171</v>
      </c>
      <c r="D173">
        <v>1303.4556040757</v>
      </c>
      <c r="E173">
        <v>342.91775836971999</v>
      </c>
      <c r="F173">
        <v>134.92380952381001</v>
      </c>
      <c r="G173">
        <v>112.43076923077</v>
      </c>
      <c r="I173" s="9">
        <f t="shared" si="15"/>
        <v>230.48698913894998</v>
      </c>
      <c r="J173" s="9">
        <f t="shared" si="16"/>
        <v>1168.53179455189</v>
      </c>
      <c r="K173" s="9">
        <f t="shared" si="17"/>
        <v>230.48698913894998</v>
      </c>
      <c r="L173" s="10">
        <f t="shared" si="14"/>
        <v>0.19724494465068226</v>
      </c>
      <c r="M173" s="10">
        <f t="shared" si="18"/>
        <v>0.20176586416526829</v>
      </c>
      <c r="P173" s="8">
        <f t="shared" si="19"/>
        <v>4.3685269292882145</v>
      </c>
    </row>
    <row r="174" spans="1:16" x14ac:dyDescent="0.2">
      <c r="A174" s="8">
        <v>86</v>
      </c>
      <c r="B174" s="8">
        <v>172</v>
      </c>
      <c r="D174">
        <v>1296.4425036390001</v>
      </c>
      <c r="E174">
        <v>343.00800582241999</v>
      </c>
      <c r="F174">
        <v>135.05128205128</v>
      </c>
      <c r="G174">
        <v>112.78021978021999</v>
      </c>
      <c r="I174" s="9">
        <f t="shared" si="15"/>
        <v>230.22778604219999</v>
      </c>
      <c r="J174" s="9">
        <f t="shared" si="16"/>
        <v>1161.3912215877201</v>
      </c>
      <c r="K174" s="9">
        <f t="shared" si="17"/>
        <v>230.22778604219999</v>
      </c>
      <c r="L174" s="10">
        <f t="shared" si="14"/>
        <v>0.19823448099380253</v>
      </c>
      <c r="M174" s="10">
        <f t="shared" si="18"/>
        <v>0.20278183863420485</v>
      </c>
      <c r="P174" s="8">
        <f t="shared" si="19"/>
        <v>4.894065573594367</v>
      </c>
    </row>
    <row r="175" spans="1:16" x14ac:dyDescent="0.2">
      <c r="A175" s="8">
        <v>86.5</v>
      </c>
      <c r="B175" s="8">
        <v>173</v>
      </c>
      <c r="D175">
        <v>1298.3944687045</v>
      </c>
      <c r="E175">
        <v>343.62299854439999</v>
      </c>
      <c r="F175">
        <v>135.44029304028999</v>
      </c>
      <c r="G175">
        <v>112.39926739927</v>
      </c>
      <c r="I175" s="9">
        <f t="shared" si="15"/>
        <v>231.22373114512999</v>
      </c>
      <c r="J175" s="9">
        <f t="shared" si="16"/>
        <v>1162.95417566421</v>
      </c>
      <c r="K175" s="9">
        <f t="shared" si="17"/>
        <v>231.22373114512999</v>
      </c>
      <c r="L175" s="10">
        <f t="shared" si="14"/>
        <v>0.19882445584158018</v>
      </c>
      <c r="M175" s="10">
        <f t="shared" si="18"/>
        <v>0.20339825160779879</v>
      </c>
      <c r="P175" s="8">
        <f t="shared" si="19"/>
        <v>5.2129208680727483</v>
      </c>
    </row>
    <row r="176" spans="1:16" x14ac:dyDescent="0.2">
      <c r="A176" s="8">
        <v>87</v>
      </c>
      <c r="B176" s="8">
        <v>174</v>
      </c>
      <c r="D176">
        <v>1279.2612809315999</v>
      </c>
      <c r="E176">
        <v>340.52620087335998</v>
      </c>
      <c r="F176">
        <v>135.34798534799</v>
      </c>
      <c r="G176">
        <v>112.34358974359</v>
      </c>
      <c r="I176" s="9">
        <f t="shared" si="15"/>
        <v>228.18261112976998</v>
      </c>
      <c r="J176" s="9">
        <f t="shared" si="16"/>
        <v>1143.9132955836099</v>
      </c>
      <c r="K176" s="9">
        <f t="shared" si="17"/>
        <v>228.18261112976998</v>
      </c>
      <c r="L176" s="10">
        <f t="shared" si="14"/>
        <v>0.19947544277239487</v>
      </c>
      <c r="M176" s="10">
        <f t="shared" si="18"/>
        <v>0.20407567666442977</v>
      </c>
      <c r="P176" s="8">
        <f t="shared" si="19"/>
        <v>5.5633362148811321</v>
      </c>
    </row>
    <row r="177" spans="1:16" x14ac:dyDescent="0.2">
      <c r="A177" s="8">
        <v>87.5</v>
      </c>
      <c r="B177" s="8">
        <v>175</v>
      </c>
      <c r="D177">
        <v>1286.1572052402</v>
      </c>
      <c r="E177">
        <v>343.50873362444997</v>
      </c>
      <c r="F177">
        <v>135.10622710622999</v>
      </c>
      <c r="G177">
        <v>112.52747252747</v>
      </c>
      <c r="I177" s="9">
        <f t="shared" si="15"/>
        <v>230.98126109697998</v>
      </c>
      <c r="J177" s="9">
        <f t="shared" si="16"/>
        <v>1151.0509781339701</v>
      </c>
      <c r="K177" s="9">
        <f t="shared" si="17"/>
        <v>230.98126109697998</v>
      </c>
      <c r="L177" s="10">
        <f t="shared" si="14"/>
        <v>0.20066987951431653</v>
      </c>
      <c r="M177" s="10">
        <f t="shared" si="18"/>
        <v>0.20529655153216772</v>
      </c>
      <c r="P177" s="8">
        <f t="shared" si="19"/>
        <v>6.1948648039115719</v>
      </c>
    </row>
    <row r="178" spans="1:16" x14ac:dyDescent="0.2">
      <c r="A178" s="8">
        <v>88</v>
      </c>
      <c r="B178" s="8">
        <v>176</v>
      </c>
      <c r="D178">
        <v>1241.4898107715001</v>
      </c>
      <c r="E178">
        <v>336.71615720523999</v>
      </c>
      <c r="F178">
        <v>134.79194139193999</v>
      </c>
      <c r="G178">
        <v>112.75897435896999</v>
      </c>
      <c r="I178" s="9">
        <f t="shared" si="15"/>
        <v>223.95718284627</v>
      </c>
      <c r="J178" s="9">
        <f t="shared" si="16"/>
        <v>1106.69786937956</v>
      </c>
      <c r="K178" s="9">
        <f t="shared" si="17"/>
        <v>223.95718284627</v>
      </c>
      <c r="L178" s="10">
        <f t="shared" si="14"/>
        <v>0.20236524262202249</v>
      </c>
      <c r="M178" s="10">
        <f t="shared" si="18"/>
        <v>0.20701835276568997</v>
      </c>
      <c r="P178" s="8">
        <f t="shared" si="19"/>
        <v>7.0855103011129881</v>
      </c>
    </row>
    <row r="179" spans="1:16" x14ac:dyDescent="0.2">
      <c r="A179" s="8">
        <v>88.5</v>
      </c>
      <c r="B179" s="8">
        <v>177</v>
      </c>
      <c r="D179">
        <v>1243.8937409025</v>
      </c>
      <c r="E179">
        <v>334.14992721980002</v>
      </c>
      <c r="F179">
        <v>134.96996336996</v>
      </c>
      <c r="G179">
        <v>112.8021978022</v>
      </c>
      <c r="I179" s="9">
        <f t="shared" si="15"/>
        <v>221.34772941760002</v>
      </c>
      <c r="J179" s="9">
        <f t="shared" si="16"/>
        <v>1108.92377753254</v>
      </c>
      <c r="K179" s="9">
        <f t="shared" si="17"/>
        <v>221.34772941760002</v>
      </c>
      <c r="L179" s="10">
        <f t="shared" si="14"/>
        <v>0.19960590069600598</v>
      </c>
      <c r="M179" s="10">
        <f t="shared" si="18"/>
        <v>0.20428544896548975</v>
      </c>
      <c r="P179" s="8">
        <f t="shared" si="19"/>
        <v>5.6718462750083694</v>
      </c>
    </row>
    <row r="180" spans="1:16" x14ac:dyDescent="0.2">
      <c r="A180" s="8">
        <v>89</v>
      </c>
      <c r="B180" s="8">
        <v>178</v>
      </c>
      <c r="D180">
        <v>1221.9716157205</v>
      </c>
      <c r="E180">
        <v>327.00509461426998</v>
      </c>
      <c r="F180">
        <v>134.94139194139001</v>
      </c>
      <c r="G180">
        <v>112.78168498169001</v>
      </c>
      <c r="I180" s="9">
        <f t="shared" si="15"/>
        <v>214.22340963257997</v>
      </c>
      <c r="J180" s="9">
        <f t="shared" si="16"/>
        <v>1087.03022377911</v>
      </c>
      <c r="K180" s="9">
        <f t="shared" si="17"/>
        <v>214.22340963257997</v>
      </c>
      <c r="L180" s="10">
        <f t="shared" si="14"/>
        <v>0.19707217421041207</v>
      </c>
      <c r="M180" s="10">
        <f t="shared" si="18"/>
        <v>0.20177816060571213</v>
      </c>
      <c r="P180" s="8">
        <f t="shared" si="19"/>
        <v>4.3748875759759338</v>
      </c>
    </row>
    <row r="181" spans="1:16" x14ac:dyDescent="0.2">
      <c r="A181" s="8">
        <v>89.5</v>
      </c>
      <c r="B181" s="8">
        <v>179</v>
      </c>
      <c r="D181">
        <v>1215.1703056768999</v>
      </c>
      <c r="E181">
        <v>326.74017467249001</v>
      </c>
      <c r="F181">
        <v>134.80439560440001</v>
      </c>
      <c r="G181">
        <v>112.60586080586</v>
      </c>
      <c r="I181" s="9">
        <f t="shared" si="15"/>
        <v>214.13431386663001</v>
      </c>
      <c r="J181" s="9">
        <f t="shared" si="16"/>
        <v>1080.3659100724999</v>
      </c>
      <c r="K181" s="9">
        <f t="shared" si="17"/>
        <v>214.13431386663001</v>
      </c>
      <c r="L181" s="10">
        <f t="shared" si="14"/>
        <v>0.19820535974914291</v>
      </c>
      <c r="M181" s="10">
        <f t="shared" si="18"/>
        <v>0.20293778427025927</v>
      </c>
      <c r="P181" s="8">
        <f t="shared" si="19"/>
        <v>4.9747324216927122</v>
      </c>
    </row>
    <row r="182" spans="1:16" x14ac:dyDescent="0.2">
      <c r="A182" s="8">
        <v>90</v>
      </c>
      <c r="B182" s="8">
        <v>180</v>
      </c>
      <c r="D182">
        <v>1218.9781659389</v>
      </c>
      <c r="E182">
        <v>327.67540029112001</v>
      </c>
      <c r="F182">
        <v>135.02637362637</v>
      </c>
      <c r="G182">
        <v>112.67912087912001</v>
      </c>
      <c r="I182" s="9">
        <f t="shared" si="15"/>
        <v>214.99627941200001</v>
      </c>
      <c r="J182" s="9">
        <f t="shared" si="16"/>
        <v>1083.95179231253</v>
      </c>
      <c r="K182" s="9">
        <f t="shared" si="17"/>
        <v>214.99627941200001</v>
      </c>
      <c r="L182" s="10">
        <f t="shared" si="14"/>
        <v>0.19834487191844719</v>
      </c>
      <c r="M182" s="10">
        <f>L182+ABS($N$2)*A182</f>
        <v>0.20310373456537983</v>
      </c>
      <c r="P182" s="8">
        <f t="shared" si="19"/>
        <v>5.0605744342495393</v>
      </c>
    </row>
    <row r="183" spans="1:16" x14ac:dyDescent="0.2">
      <c r="A183" s="8">
        <v>90.5</v>
      </c>
      <c r="B183" s="8">
        <v>181</v>
      </c>
      <c r="D183">
        <v>1203.6149927219999</v>
      </c>
      <c r="E183">
        <v>326.08951965066001</v>
      </c>
      <c r="F183">
        <v>134.75018315017999</v>
      </c>
      <c r="G183">
        <v>112.38901098901</v>
      </c>
      <c r="I183" s="9">
        <f t="shared" si="15"/>
        <v>213.70050866165002</v>
      </c>
      <c r="J183" s="9">
        <f t="shared" si="16"/>
        <v>1068.8648095718199</v>
      </c>
      <c r="K183" s="9">
        <f t="shared" si="17"/>
        <v>213.70050866165002</v>
      </c>
      <c r="L183" s="10">
        <f t="shared" si="14"/>
        <v>0.19993221476461276</v>
      </c>
      <c r="M183" s="10">
        <f t="shared" ref="M183:M241" si="20">L183+ABS($N$2)*A183</f>
        <v>0.2047175155373617</v>
      </c>
      <c r="P183" s="8">
        <f t="shared" si="19"/>
        <v>5.8953437027235234</v>
      </c>
    </row>
    <row r="184" spans="1:16" x14ac:dyDescent="0.2">
      <c r="A184" s="8">
        <v>91</v>
      </c>
      <c r="B184" s="8">
        <v>182</v>
      </c>
      <c r="D184">
        <v>1202.5829694322999</v>
      </c>
      <c r="E184">
        <v>322.90611353712001</v>
      </c>
      <c r="F184">
        <v>134.68864468864999</v>
      </c>
      <c r="G184">
        <v>112.6695970696</v>
      </c>
      <c r="I184" s="9">
        <f t="shared" si="15"/>
        <v>210.23651646752</v>
      </c>
      <c r="J184" s="9">
        <f t="shared" si="16"/>
        <v>1067.89432474365</v>
      </c>
      <c r="K184" s="9">
        <f t="shared" si="17"/>
        <v>210.23651646752</v>
      </c>
      <c r="L184" s="10">
        <f t="shared" si="14"/>
        <v>0.19687015053478035</v>
      </c>
      <c r="M184" s="10">
        <f t="shared" si="20"/>
        <v>0.20168188943334558</v>
      </c>
      <c r="P184" s="8">
        <f t="shared" si="19"/>
        <v>4.3250888625651163</v>
      </c>
    </row>
    <row r="185" spans="1:16" x14ac:dyDescent="0.2">
      <c r="A185" s="8">
        <v>91.5</v>
      </c>
      <c r="B185" s="8">
        <v>183</v>
      </c>
      <c r="D185">
        <v>1223.0902474526999</v>
      </c>
      <c r="E185">
        <v>326.48107714702002</v>
      </c>
      <c r="F185">
        <v>135.21978021978001</v>
      </c>
      <c r="G185">
        <v>112.71868131868</v>
      </c>
      <c r="I185" s="9">
        <f t="shared" si="15"/>
        <v>213.76239582834</v>
      </c>
      <c r="J185" s="9">
        <f t="shared" si="16"/>
        <v>1087.87046723292</v>
      </c>
      <c r="K185" s="9">
        <f t="shared" si="17"/>
        <v>213.76239582834</v>
      </c>
      <c r="L185" s="10">
        <f t="shared" si="14"/>
        <v>0.1964961843040566</v>
      </c>
      <c r="M185" s="10">
        <f t="shared" si="20"/>
        <v>0.20133436132843813</v>
      </c>
      <c r="P185" s="8">
        <f t="shared" si="19"/>
        <v>4.1453211078669856</v>
      </c>
    </row>
    <row r="186" spans="1:16" x14ac:dyDescent="0.2">
      <c r="A186" s="8">
        <v>92</v>
      </c>
      <c r="B186" s="8">
        <v>184</v>
      </c>
      <c r="D186">
        <v>1209.0087336245001</v>
      </c>
      <c r="E186">
        <v>323.02474526929001</v>
      </c>
      <c r="F186">
        <v>134.47399267399001</v>
      </c>
      <c r="G186">
        <v>112.67472527472999</v>
      </c>
      <c r="I186" s="9">
        <f t="shared" si="15"/>
        <v>210.35001999456</v>
      </c>
      <c r="J186" s="9">
        <f t="shared" si="16"/>
        <v>1074.53474095051</v>
      </c>
      <c r="K186" s="9">
        <f t="shared" si="17"/>
        <v>210.35001999456</v>
      </c>
      <c r="L186" s="10">
        <f t="shared" si="14"/>
        <v>0.19575916159629139</v>
      </c>
      <c r="M186" s="10">
        <f t="shared" si="20"/>
        <v>0.20062377674648921</v>
      </c>
      <c r="P186" s="8">
        <f t="shared" si="19"/>
        <v>3.7777531528836503</v>
      </c>
    </row>
    <row r="187" spans="1:16" x14ac:dyDescent="0.2">
      <c r="A187" s="8">
        <v>92.5</v>
      </c>
      <c r="B187" s="8">
        <v>185</v>
      </c>
      <c r="D187">
        <v>1190.3791848617</v>
      </c>
      <c r="E187">
        <v>321.67758369722998</v>
      </c>
      <c r="F187">
        <v>134.88058608059001</v>
      </c>
      <c r="G187">
        <v>112.76556776557</v>
      </c>
      <c r="I187" s="9">
        <f t="shared" si="15"/>
        <v>208.91201593165999</v>
      </c>
      <c r="J187" s="9">
        <f t="shared" si="16"/>
        <v>1055.4985987811099</v>
      </c>
      <c r="K187" s="9">
        <f t="shared" si="17"/>
        <v>208.91201593165999</v>
      </c>
      <c r="L187" s="10">
        <f t="shared" si="14"/>
        <v>0.19792732664250967</v>
      </c>
      <c r="M187" s="10">
        <f t="shared" si="20"/>
        <v>0.20281837991852378</v>
      </c>
      <c r="P187" s="8">
        <f t="shared" si="19"/>
        <v>4.9129674826573755</v>
      </c>
    </row>
    <row r="188" spans="1:16" x14ac:dyDescent="0.2">
      <c r="A188" s="8">
        <v>93</v>
      </c>
      <c r="B188" s="8">
        <v>186</v>
      </c>
      <c r="D188">
        <v>1173.9410480348999</v>
      </c>
      <c r="E188">
        <v>315.43085880641001</v>
      </c>
      <c r="F188">
        <v>135.14945054944999</v>
      </c>
      <c r="G188">
        <v>112.48937728938</v>
      </c>
      <c r="I188" s="9">
        <f t="shared" si="15"/>
        <v>202.94148151703001</v>
      </c>
      <c r="J188" s="9">
        <f t="shared" si="16"/>
        <v>1038.79159748545</v>
      </c>
      <c r="K188" s="9">
        <f t="shared" si="17"/>
        <v>202.94148151703001</v>
      </c>
      <c r="L188" s="10">
        <f t="shared" si="14"/>
        <v>0.19536303721389367</v>
      </c>
      <c r="M188" s="10">
        <f t="shared" si="20"/>
        <v>0.20028052861572407</v>
      </c>
      <c r="P188" s="8">
        <f t="shared" si="19"/>
        <v>3.600199323709429</v>
      </c>
    </row>
    <row r="189" spans="1:16" x14ac:dyDescent="0.2">
      <c r="A189" s="8">
        <v>93.5</v>
      </c>
      <c r="B189" s="8">
        <v>187</v>
      </c>
      <c r="D189">
        <v>1162.7896652111001</v>
      </c>
      <c r="E189">
        <v>312.65065502183</v>
      </c>
      <c r="F189">
        <v>134.78754578754999</v>
      </c>
      <c r="G189">
        <v>112.16849816849999</v>
      </c>
      <c r="I189" s="9">
        <f t="shared" si="15"/>
        <v>200.48215685333003</v>
      </c>
      <c r="J189" s="9">
        <f t="shared" si="16"/>
        <v>1028.0021194235501</v>
      </c>
      <c r="K189" s="9">
        <f t="shared" si="17"/>
        <v>200.48215685333003</v>
      </c>
      <c r="L189" s="10">
        <f t="shared" si="14"/>
        <v>0.19502115128493117</v>
      </c>
      <c r="M189" s="10">
        <f t="shared" si="20"/>
        <v>0.19996508081257786</v>
      </c>
      <c r="P189" s="8">
        <f t="shared" si="19"/>
        <v>3.4370259213420051</v>
      </c>
    </row>
    <row r="190" spans="1:16" x14ac:dyDescent="0.2">
      <c r="A190" s="8">
        <v>94</v>
      </c>
      <c r="B190" s="8">
        <v>188</v>
      </c>
      <c r="D190">
        <v>1251.8519855596001</v>
      </c>
      <c r="E190">
        <v>331.41010830325001</v>
      </c>
      <c r="F190">
        <v>134.85054945055001</v>
      </c>
      <c r="G190">
        <v>112.6695970696</v>
      </c>
      <c r="I190" s="9">
        <f t="shared" si="15"/>
        <v>218.74051123365001</v>
      </c>
      <c r="J190" s="9">
        <f t="shared" si="16"/>
        <v>1117.00143610905</v>
      </c>
      <c r="K190" s="9">
        <f t="shared" si="17"/>
        <v>218.74051123365001</v>
      </c>
      <c r="L190" s="10">
        <f t="shared" si="14"/>
        <v>0.19582831692285749</v>
      </c>
      <c r="M190" s="10">
        <f t="shared" si="20"/>
        <v>0.20079868457632047</v>
      </c>
      <c r="P190" s="8">
        <f t="shared" si="19"/>
        <v>3.8682286781832853</v>
      </c>
    </row>
    <row r="191" spans="1:16" x14ac:dyDescent="0.2">
      <c r="A191" s="8">
        <v>94.5</v>
      </c>
      <c r="B191" s="8">
        <v>189</v>
      </c>
      <c r="D191">
        <v>1235.4750902527001</v>
      </c>
      <c r="E191">
        <v>328.70830324910003</v>
      </c>
      <c r="F191">
        <v>135.10183150182999</v>
      </c>
      <c r="G191">
        <v>112.71208791209</v>
      </c>
      <c r="I191" s="9">
        <f t="shared" si="15"/>
        <v>215.99621533701003</v>
      </c>
      <c r="J191" s="9">
        <f t="shared" si="16"/>
        <v>1100.37325875087</v>
      </c>
      <c r="K191" s="9">
        <f t="shared" si="17"/>
        <v>215.99621533701003</v>
      </c>
      <c r="L191" s="10">
        <f t="shared" si="14"/>
        <v>0.19629358821588069</v>
      </c>
      <c r="M191" s="10">
        <f t="shared" si="20"/>
        <v>0.20129039399515997</v>
      </c>
      <c r="P191" s="8">
        <f t="shared" si="19"/>
        <v>4.1225778860329294</v>
      </c>
    </row>
    <row r="192" spans="1:16" x14ac:dyDescent="0.2">
      <c r="A192" s="8">
        <v>95</v>
      </c>
      <c r="B192" s="8">
        <v>190</v>
      </c>
      <c r="D192">
        <v>1189.2483754513</v>
      </c>
      <c r="E192">
        <v>318.74873646208999</v>
      </c>
      <c r="F192">
        <v>135.04395604396001</v>
      </c>
      <c r="G192">
        <v>112.38168498169</v>
      </c>
      <c r="I192" s="9">
        <f t="shared" si="15"/>
        <v>206.36705148039999</v>
      </c>
      <c r="J192" s="9">
        <f t="shared" si="16"/>
        <v>1054.2044194073401</v>
      </c>
      <c r="K192" s="9">
        <f t="shared" si="17"/>
        <v>206.36705148039999</v>
      </c>
      <c r="L192" s="10">
        <f t="shared" si="14"/>
        <v>0.19575620029786714</v>
      </c>
      <c r="M192" s="10">
        <f t="shared" si="20"/>
        <v>0.2007794442029627</v>
      </c>
      <c r="P192" s="8">
        <f t="shared" si="19"/>
        <v>3.8582761055158161</v>
      </c>
    </row>
    <row r="193" spans="1:16" x14ac:dyDescent="0.2">
      <c r="A193" s="8">
        <v>95.5</v>
      </c>
      <c r="B193" s="8">
        <v>191</v>
      </c>
      <c r="D193">
        <v>1188.6945848375999</v>
      </c>
      <c r="E193">
        <v>321.00794223827</v>
      </c>
      <c r="F193">
        <v>134.94065934066001</v>
      </c>
      <c r="G193">
        <v>112.73699633699999</v>
      </c>
      <c r="I193" s="9">
        <f t="shared" si="15"/>
        <v>208.27094590127001</v>
      </c>
      <c r="J193" s="9">
        <f t="shared" si="16"/>
        <v>1053.7539254969399</v>
      </c>
      <c r="K193" s="9">
        <f t="shared" si="17"/>
        <v>208.27094590127001</v>
      </c>
      <c r="L193" s="10">
        <f t="shared" si="14"/>
        <v>0.19764666195957609</v>
      </c>
      <c r="M193" s="10">
        <f t="shared" si="20"/>
        <v>0.20269634399048794</v>
      </c>
      <c r="P193" s="8">
        <f t="shared" si="19"/>
        <v>4.849841293823391</v>
      </c>
    </row>
    <row r="194" spans="1:16" x14ac:dyDescent="0.2">
      <c r="A194" s="8">
        <v>96</v>
      </c>
      <c r="B194" s="8">
        <v>192</v>
      </c>
      <c r="D194">
        <v>1254.2945007236001</v>
      </c>
      <c r="E194">
        <v>334.78726483358002</v>
      </c>
      <c r="F194">
        <v>134.65054945054999</v>
      </c>
      <c r="G194">
        <v>112.50036630037</v>
      </c>
      <c r="I194" s="9">
        <f t="shared" si="15"/>
        <v>222.28689853321004</v>
      </c>
      <c r="J194" s="9">
        <f t="shared" si="16"/>
        <v>1119.6439512730501</v>
      </c>
      <c r="K194" s="9">
        <f t="shared" si="17"/>
        <v>222.28689853321004</v>
      </c>
      <c r="L194" s="10">
        <f t="shared" ref="L194:L257" si="21">K194/J194</f>
        <v>0.19853355906622536</v>
      </c>
      <c r="M194" s="10">
        <f t="shared" si="20"/>
        <v>0.2036096792229535</v>
      </c>
      <c r="P194" s="8">
        <f t="shared" si="19"/>
        <v>5.3222871815329666</v>
      </c>
    </row>
    <row r="195" spans="1:16" x14ac:dyDescent="0.2">
      <c r="A195" s="8">
        <v>96.5</v>
      </c>
      <c r="B195" s="8">
        <v>193</v>
      </c>
      <c r="D195">
        <v>1282.0246020261</v>
      </c>
      <c r="E195">
        <v>341.12807525326002</v>
      </c>
      <c r="F195">
        <v>134.84542124542</v>
      </c>
      <c r="G195">
        <v>112.73772893773</v>
      </c>
      <c r="I195" s="9">
        <f t="shared" ref="I195:I241" si="22">E195-G195</f>
        <v>228.39034631553002</v>
      </c>
      <c r="J195" s="9">
        <f t="shared" ref="J195:J241" si="23">D195-F195</f>
        <v>1147.1791807806799</v>
      </c>
      <c r="K195" s="9">
        <f t="shared" ref="K195:K258" si="24">I195*1</f>
        <v>228.39034631553002</v>
      </c>
      <c r="L195" s="10">
        <f t="shared" si="21"/>
        <v>0.19908864294425699</v>
      </c>
      <c r="M195" s="10">
        <f t="shared" si="20"/>
        <v>0.20419120122680143</v>
      </c>
      <c r="P195" s="8">
        <f t="shared" ref="P195:P241" si="25">(M195-$O$2)/$O$2*100</f>
        <v>5.6230942341514494</v>
      </c>
    </row>
    <row r="196" spans="1:16" x14ac:dyDescent="0.2">
      <c r="A196" s="8">
        <v>97</v>
      </c>
      <c r="B196" s="8">
        <v>194</v>
      </c>
      <c r="D196">
        <v>1233.6287988423001</v>
      </c>
      <c r="E196">
        <v>329.67438494934999</v>
      </c>
      <c r="F196">
        <v>134.27106227106</v>
      </c>
      <c r="G196">
        <v>112.6673992674</v>
      </c>
      <c r="I196" s="9">
        <f t="shared" si="22"/>
        <v>217.00698568194997</v>
      </c>
      <c r="J196" s="9">
        <f t="shared" si="23"/>
        <v>1099.3577365712401</v>
      </c>
      <c r="K196" s="9">
        <f t="shared" si="24"/>
        <v>217.00698568194997</v>
      </c>
      <c r="L196" s="10">
        <f t="shared" si="21"/>
        <v>0.19739433167475379</v>
      </c>
      <c r="M196" s="10">
        <f t="shared" si="20"/>
        <v>0.20252332808311452</v>
      </c>
      <c r="P196" s="8">
        <f t="shared" si="25"/>
        <v>4.7603444135527644</v>
      </c>
    </row>
    <row r="197" spans="1:16" x14ac:dyDescent="0.2">
      <c r="A197" s="8">
        <v>97.5</v>
      </c>
      <c r="B197" s="8">
        <v>195</v>
      </c>
      <c r="D197">
        <v>1250.9124457308001</v>
      </c>
      <c r="E197">
        <v>333.74167872648002</v>
      </c>
      <c r="F197">
        <v>134.41978021977999</v>
      </c>
      <c r="G197">
        <v>112.63296703297</v>
      </c>
      <c r="I197" s="9">
        <f t="shared" si="22"/>
        <v>221.10871169351003</v>
      </c>
      <c r="J197" s="9">
        <f t="shared" si="23"/>
        <v>1116.49266551102</v>
      </c>
      <c r="K197" s="9">
        <f t="shared" si="24"/>
        <v>221.10871169351003</v>
      </c>
      <c r="L197" s="10">
        <f t="shared" si="21"/>
        <v>0.19803866028292116</v>
      </c>
      <c r="M197" s="10">
        <f t="shared" si="20"/>
        <v>0.20319409481709819</v>
      </c>
      <c r="P197" s="8">
        <f t="shared" si="25"/>
        <v>5.1073155735588092</v>
      </c>
    </row>
    <row r="198" spans="1:16" x14ac:dyDescent="0.2">
      <c r="A198" s="8">
        <v>98</v>
      </c>
      <c r="B198" s="8">
        <v>196</v>
      </c>
      <c r="D198">
        <v>1260.1968162083999</v>
      </c>
      <c r="E198">
        <v>336.66208393632002</v>
      </c>
      <c r="F198">
        <v>134.57802197801999</v>
      </c>
      <c r="G198">
        <v>112.49304029304</v>
      </c>
      <c r="I198" s="9">
        <f t="shared" si="22"/>
        <v>224.16904364328002</v>
      </c>
      <c r="J198" s="9">
        <f t="shared" si="23"/>
        <v>1125.61879423038</v>
      </c>
      <c r="K198" s="9">
        <f t="shared" si="24"/>
        <v>224.16904364328002</v>
      </c>
      <c r="L198" s="10">
        <f t="shared" si="21"/>
        <v>0.19915183079059307</v>
      </c>
      <c r="M198" s="10">
        <f t="shared" si="20"/>
        <v>0.20433370345058638</v>
      </c>
      <c r="P198" s="8">
        <f t="shared" si="25"/>
        <v>5.6968071352019498</v>
      </c>
    </row>
    <row r="199" spans="1:16" x14ac:dyDescent="0.2">
      <c r="A199" s="8">
        <v>98.5</v>
      </c>
      <c r="B199" s="8">
        <v>197</v>
      </c>
      <c r="D199">
        <v>1278.3248914617</v>
      </c>
      <c r="E199">
        <v>341.08393632417</v>
      </c>
      <c r="F199">
        <v>134.11941391940999</v>
      </c>
      <c r="G199">
        <v>112.27912087912</v>
      </c>
      <c r="I199" s="9">
        <f t="shared" si="22"/>
        <v>228.80481544505</v>
      </c>
      <c r="J199" s="9">
        <f t="shared" si="23"/>
        <v>1144.2054775422901</v>
      </c>
      <c r="K199" s="9">
        <f t="shared" si="24"/>
        <v>228.80481544505</v>
      </c>
      <c r="L199" s="10">
        <f t="shared" si="21"/>
        <v>0.19996829235297323</v>
      </c>
      <c r="M199" s="10">
        <f t="shared" si="20"/>
        <v>0.20517660313878283</v>
      </c>
      <c r="P199" s="8">
        <f t="shared" si="25"/>
        <v>6.1328184454905985</v>
      </c>
    </row>
    <row r="200" spans="1:16" x14ac:dyDescent="0.2">
      <c r="A200" s="8">
        <v>99</v>
      </c>
      <c r="B200" s="8">
        <v>198</v>
      </c>
      <c r="D200">
        <v>1250.6380323054</v>
      </c>
      <c r="E200">
        <v>334.53671071952999</v>
      </c>
      <c r="F200">
        <v>134.61465201465001</v>
      </c>
      <c r="G200">
        <v>112.29816849817</v>
      </c>
      <c r="I200" s="9">
        <f t="shared" si="22"/>
        <v>222.23854222135998</v>
      </c>
      <c r="J200" s="9">
        <f t="shared" si="23"/>
        <v>1116.0233802907501</v>
      </c>
      <c r="K200" s="9">
        <f t="shared" si="24"/>
        <v>222.23854222135998</v>
      </c>
      <c r="L200" s="10">
        <f t="shared" si="21"/>
        <v>0.19913430681305411</v>
      </c>
      <c r="M200" s="10">
        <f t="shared" si="20"/>
        <v>0.20436905572468</v>
      </c>
      <c r="P200" s="8">
        <f t="shared" si="25"/>
        <v>5.7150939984729829</v>
      </c>
    </row>
    <row r="201" spans="1:16" x14ac:dyDescent="0.2">
      <c r="A201" s="8">
        <v>99.5</v>
      </c>
      <c r="B201" s="8">
        <v>199</v>
      </c>
      <c r="D201">
        <v>1186.2958883993999</v>
      </c>
      <c r="E201">
        <v>321.03083700440999</v>
      </c>
      <c r="F201">
        <v>134.19194139193999</v>
      </c>
      <c r="G201">
        <v>112.22637362637001</v>
      </c>
      <c r="I201" s="9">
        <f t="shared" si="22"/>
        <v>208.80446337804</v>
      </c>
      <c r="J201" s="9">
        <f t="shared" si="23"/>
        <v>1052.10394700746</v>
      </c>
      <c r="K201" s="9">
        <f t="shared" si="24"/>
        <v>208.80446337804</v>
      </c>
      <c r="L201" s="10">
        <f t="shared" si="21"/>
        <v>0.19846372021695255</v>
      </c>
      <c r="M201" s="10">
        <f t="shared" si="20"/>
        <v>0.20372490725439474</v>
      </c>
      <c r="P201" s="8">
        <f t="shared" si="25"/>
        <v>5.3818918126346507</v>
      </c>
    </row>
    <row r="202" spans="1:16" x14ac:dyDescent="0.2">
      <c r="A202" s="8">
        <v>100</v>
      </c>
      <c r="B202" s="8">
        <v>200</v>
      </c>
      <c r="D202">
        <v>1171.0635838149999</v>
      </c>
      <c r="E202">
        <v>317.63367052023</v>
      </c>
      <c r="F202">
        <v>134.24102564103001</v>
      </c>
      <c r="G202">
        <v>112.26886446886</v>
      </c>
      <c r="I202" s="9">
        <f t="shared" si="22"/>
        <v>205.36480605137001</v>
      </c>
      <c r="J202" s="9">
        <f t="shared" si="23"/>
        <v>1036.8225581739698</v>
      </c>
      <c r="K202" s="9">
        <f t="shared" si="24"/>
        <v>205.36480605137001</v>
      </c>
      <c r="L202" s="10">
        <f t="shared" si="21"/>
        <v>0.19807131358431687</v>
      </c>
      <c r="M202" s="10">
        <f t="shared" si="20"/>
        <v>0.20335893874757535</v>
      </c>
      <c r="P202" s="8">
        <f t="shared" si="25"/>
        <v>5.19258529085372</v>
      </c>
    </row>
    <row r="203" spans="1:16" x14ac:dyDescent="0.2">
      <c r="A203" s="8">
        <v>100.5</v>
      </c>
      <c r="B203" s="8">
        <v>201</v>
      </c>
      <c r="D203">
        <v>1214.4125722542999</v>
      </c>
      <c r="E203">
        <v>325.68280346821001</v>
      </c>
      <c r="F203">
        <v>134.36190476191001</v>
      </c>
      <c r="G203">
        <v>112.34285714286</v>
      </c>
      <c r="I203" s="9">
        <f t="shared" si="22"/>
        <v>213.33994632535001</v>
      </c>
      <c r="J203" s="9">
        <f t="shared" si="23"/>
        <v>1080.0506674923899</v>
      </c>
      <c r="K203" s="9">
        <f t="shared" si="24"/>
        <v>213.33994632535001</v>
      </c>
      <c r="L203" s="10">
        <f t="shared" si="21"/>
        <v>0.19752772045470099</v>
      </c>
      <c r="M203" s="10">
        <f t="shared" si="20"/>
        <v>0.20284178374377576</v>
      </c>
      <c r="P203" s="8">
        <f t="shared" si="25"/>
        <v>4.9250737067511556</v>
      </c>
    </row>
    <row r="204" spans="1:16" x14ac:dyDescent="0.2">
      <c r="A204" s="8">
        <v>101</v>
      </c>
      <c r="B204" s="8">
        <v>202</v>
      </c>
      <c r="D204">
        <v>1280.8892128279999</v>
      </c>
      <c r="E204">
        <v>339.64358600583</v>
      </c>
      <c r="F204">
        <v>134.02564102564</v>
      </c>
      <c r="G204">
        <v>112.24102564103001</v>
      </c>
      <c r="I204" s="9">
        <f t="shared" si="22"/>
        <v>227.4025603648</v>
      </c>
      <c r="J204" s="9">
        <f t="shared" si="23"/>
        <v>1146.86357180236</v>
      </c>
      <c r="K204" s="9">
        <f t="shared" si="24"/>
        <v>227.4025603648</v>
      </c>
      <c r="L204" s="10">
        <f t="shared" si="21"/>
        <v>0.19828213743629874</v>
      </c>
      <c r="M204" s="10">
        <f t="shared" si="20"/>
        <v>0.20362263885118984</v>
      </c>
      <c r="P204" s="8">
        <f t="shared" si="25"/>
        <v>5.3289908789803659</v>
      </c>
    </row>
    <row r="205" spans="1:16" x14ac:dyDescent="0.2">
      <c r="A205" s="8">
        <v>101.5</v>
      </c>
      <c r="B205" s="8">
        <v>203</v>
      </c>
      <c r="D205">
        <v>1282.2718658891999</v>
      </c>
      <c r="E205">
        <v>342.30903790088001</v>
      </c>
      <c r="F205">
        <v>134.34212454212999</v>
      </c>
      <c r="G205">
        <v>112.48498168498</v>
      </c>
      <c r="I205" s="9">
        <f t="shared" si="22"/>
        <v>229.82405621590001</v>
      </c>
      <c r="J205" s="9">
        <f t="shared" si="23"/>
        <v>1147.9297413470699</v>
      </c>
      <c r="K205" s="9">
        <f t="shared" si="24"/>
        <v>229.82405621590001</v>
      </c>
      <c r="L205" s="10">
        <f t="shared" si="21"/>
        <v>0.20020742379773748</v>
      </c>
      <c r="M205" s="10">
        <f t="shared" si="20"/>
        <v>0.20557436333844487</v>
      </c>
      <c r="P205" s="8">
        <f t="shared" si="25"/>
        <v>6.3385700292957843</v>
      </c>
    </row>
    <row r="206" spans="1:16" x14ac:dyDescent="0.2">
      <c r="A206" s="8">
        <v>102</v>
      </c>
      <c r="B206" s="8">
        <v>204</v>
      </c>
      <c r="D206">
        <v>1264.8948513416001</v>
      </c>
      <c r="E206">
        <v>334.53589557650997</v>
      </c>
      <c r="F206">
        <v>134.11062271061999</v>
      </c>
      <c r="G206">
        <v>112.67985347985</v>
      </c>
      <c r="I206" s="9">
        <f t="shared" si="22"/>
        <v>221.85604209665996</v>
      </c>
      <c r="J206" s="9">
        <f t="shared" si="23"/>
        <v>1130.7842286309801</v>
      </c>
      <c r="K206" s="9">
        <f t="shared" si="24"/>
        <v>221.85604209665996</v>
      </c>
      <c r="L206" s="10">
        <f t="shared" si="21"/>
        <v>0.19619661866460328</v>
      </c>
      <c r="M206" s="10">
        <f t="shared" si="20"/>
        <v>0.20158999633112695</v>
      </c>
      <c r="P206" s="8">
        <f t="shared" si="25"/>
        <v>4.2775548173330389</v>
      </c>
    </row>
    <row r="207" spans="1:16" x14ac:dyDescent="0.2">
      <c r="A207" s="8">
        <v>102.5</v>
      </c>
      <c r="B207" s="8">
        <v>205</v>
      </c>
      <c r="D207">
        <v>1250.8687454676999</v>
      </c>
      <c r="E207">
        <v>330.29804205945999</v>
      </c>
      <c r="F207">
        <v>134.21611721612001</v>
      </c>
      <c r="G207">
        <v>112.51208791209</v>
      </c>
      <c r="I207" s="9">
        <f t="shared" si="22"/>
        <v>217.78595414736998</v>
      </c>
      <c r="J207" s="9">
        <f t="shared" si="23"/>
        <v>1116.6526282515799</v>
      </c>
      <c r="K207" s="9">
        <f t="shared" si="24"/>
        <v>217.78595414736998</v>
      </c>
      <c r="L207" s="10">
        <f t="shared" si="21"/>
        <v>0.19503464966394471</v>
      </c>
      <c r="M207" s="10">
        <f t="shared" si="20"/>
        <v>0.20045446545628468</v>
      </c>
      <c r="P207" s="8">
        <f t="shared" si="25"/>
        <v>3.6901725801031633</v>
      </c>
    </row>
    <row r="208" spans="1:16" x14ac:dyDescent="0.2">
      <c r="A208" s="8">
        <v>103</v>
      </c>
      <c r="B208" s="8">
        <v>206</v>
      </c>
      <c r="D208">
        <v>1245.1696881798</v>
      </c>
      <c r="E208">
        <v>330.94053662073998</v>
      </c>
      <c r="F208">
        <v>134.50989010988999</v>
      </c>
      <c r="G208">
        <v>112.53626373626</v>
      </c>
      <c r="I208" s="9">
        <f t="shared" si="22"/>
        <v>218.40427288447998</v>
      </c>
      <c r="J208" s="9">
        <f t="shared" si="23"/>
        <v>1110.65979806991</v>
      </c>
      <c r="K208" s="9">
        <f t="shared" si="24"/>
        <v>218.40427288447998</v>
      </c>
      <c r="L208" s="10">
        <f t="shared" si="21"/>
        <v>0.19664371868327282</v>
      </c>
      <c r="M208" s="10">
        <f t="shared" si="20"/>
        <v>0.20208997260142908</v>
      </c>
      <c r="P208" s="8">
        <f t="shared" si="25"/>
        <v>4.536180264441823</v>
      </c>
    </row>
    <row r="209" spans="1:16" x14ac:dyDescent="0.2">
      <c r="A209" s="8">
        <v>103.5</v>
      </c>
      <c r="B209" s="8">
        <v>207</v>
      </c>
      <c r="D209">
        <v>1277.3251088534</v>
      </c>
      <c r="E209">
        <v>337.10595065311998</v>
      </c>
      <c r="F209">
        <v>134.39706959706999</v>
      </c>
      <c r="G209">
        <v>112.33186813187</v>
      </c>
      <c r="I209" s="9">
        <f t="shared" si="22"/>
        <v>224.77408252124997</v>
      </c>
      <c r="J209" s="9">
        <f t="shared" si="23"/>
        <v>1142.9280392563301</v>
      </c>
      <c r="K209" s="9">
        <f t="shared" si="24"/>
        <v>224.77408252124997</v>
      </c>
      <c r="L209" s="10">
        <f t="shared" si="21"/>
        <v>0.19666512221320942</v>
      </c>
      <c r="M209" s="10">
        <f t="shared" si="20"/>
        <v>0.20213781425718197</v>
      </c>
      <c r="P209" s="8">
        <f t="shared" si="25"/>
        <v>4.5609275781534082</v>
      </c>
    </row>
    <row r="210" spans="1:16" x14ac:dyDescent="0.2">
      <c r="A210" s="8">
        <v>104</v>
      </c>
      <c r="B210" s="8">
        <v>208</v>
      </c>
      <c r="D210">
        <v>1257.1520637219</v>
      </c>
      <c r="E210">
        <v>333.98117306300003</v>
      </c>
      <c r="F210">
        <v>133.96043956043999</v>
      </c>
      <c r="G210">
        <v>112.49743589744</v>
      </c>
      <c r="I210" s="9">
        <f t="shared" si="22"/>
        <v>221.48373716556003</v>
      </c>
      <c r="J210" s="9">
        <f t="shared" si="23"/>
        <v>1123.1916241614601</v>
      </c>
      <c r="K210" s="9">
        <f t="shared" si="24"/>
        <v>221.48373716556003</v>
      </c>
      <c r="L210" s="10">
        <f t="shared" si="21"/>
        <v>0.19719140741537569</v>
      </c>
      <c r="M210" s="10">
        <f t="shared" si="20"/>
        <v>0.20269053758516453</v>
      </c>
      <c r="P210" s="8">
        <f t="shared" si="25"/>
        <v>4.8468377829328553</v>
      </c>
    </row>
    <row r="211" spans="1:16" x14ac:dyDescent="0.2">
      <c r="A211" s="8">
        <v>104.5</v>
      </c>
      <c r="B211" s="8">
        <v>209</v>
      </c>
      <c r="D211">
        <v>1219.0318609702999</v>
      </c>
      <c r="E211">
        <v>326.0905141202</v>
      </c>
      <c r="F211">
        <v>134.71721611722</v>
      </c>
      <c r="G211">
        <v>112.65860805861</v>
      </c>
      <c r="I211" s="9">
        <f t="shared" si="22"/>
        <v>213.43190606158998</v>
      </c>
      <c r="J211" s="9">
        <f t="shared" si="23"/>
        <v>1084.3146448530799</v>
      </c>
      <c r="K211" s="9">
        <f t="shared" si="24"/>
        <v>213.43190606158998</v>
      </c>
      <c r="L211" s="10">
        <f t="shared" si="21"/>
        <v>0.19683576817364587</v>
      </c>
      <c r="M211" s="10">
        <f t="shared" si="20"/>
        <v>0.202361336469251</v>
      </c>
      <c r="P211" s="8">
        <f t="shared" si="25"/>
        <v>4.6765501296000309</v>
      </c>
    </row>
    <row r="212" spans="1:16" x14ac:dyDescent="0.2">
      <c r="A212" s="8">
        <v>105</v>
      </c>
      <c r="B212" s="8">
        <v>210</v>
      </c>
      <c r="D212">
        <v>1315.4030612245001</v>
      </c>
      <c r="E212">
        <v>346.04956268222003</v>
      </c>
      <c r="F212">
        <v>133.48058608059</v>
      </c>
      <c r="G212">
        <v>112.25567765568</v>
      </c>
      <c r="I212" s="9">
        <f t="shared" si="22"/>
        <v>233.79388502654001</v>
      </c>
      <c r="J212" s="9">
        <f t="shared" si="23"/>
        <v>1181.9224751439101</v>
      </c>
      <c r="K212" s="9">
        <f t="shared" si="24"/>
        <v>233.79388502654001</v>
      </c>
      <c r="L212" s="10">
        <f t="shared" si="21"/>
        <v>0.19780813881052006</v>
      </c>
      <c r="M212" s="10">
        <f t="shared" si="20"/>
        <v>0.20336014523194149</v>
      </c>
      <c r="P212" s="8">
        <f t="shared" si="25"/>
        <v>5.1932093755896469</v>
      </c>
    </row>
    <row r="213" spans="1:16" x14ac:dyDescent="0.2">
      <c r="A213" s="8">
        <v>105.5</v>
      </c>
      <c r="B213" s="8">
        <v>211</v>
      </c>
      <c r="D213">
        <v>1327.0495626822001</v>
      </c>
      <c r="E213">
        <v>347.13265306122997</v>
      </c>
      <c r="F213">
        <v>134.00073260073</v>
      </c>
      <c r="G213">
        <v>112.23956043955999</v>
      </c>
      <c r="I213" s="9">
        <f t="shared" si="22"/>
        <v>234.89309262166998</v>
      </c>
      <c r="J213" s="9">
        <f t="shared" si="23"/>
        <v>1193.04883008147</v>
      </c>
      <c r="K213" s="9">
        <f t="shared" si="24"/>
        <v>234.89309262166998</v>
      </c>
      <c r="L213" s="10">
        <f t="shared" si="21"/>
        <v>0.19688472650832722</v>
      </c>
      <c r="M213" s="10">
        <f t="shared" si="20"/>
        <v>0.20246317105556494</v>
      </c>
      <c r="P213" s="8">
        <f t="shared" si="25"/>
        <v>4.7292266604295143</v>
      </c>
    </row>
    <row r="214" spans="1:16" x14ac:dyDescent="0.2">
      <c r="A214" s="8">
        <v>106</v>
      </c>
      <c r="B214" s="8">
        <v>212</v>
      </c>
      <c r="D214">
        <v>1252.7096307024001</v>
      </c>
      <c r="E214">
        <v>336.06444605358001</v>
      </c>
      <c r="F214">
        <v>134.19340659341</v>
      </c>
      <c r="G214">
        <v>112.15677655678</v>
      </c>
      <c r="I214" s="9">
        <f t="shared" si="22"/>
        <v>223.9076694968</v>
      </c>
      <c r="J214" s="9">
        <f t="shared" si="23"/>
        <v>1118.5162241089902</v>
      </c>
      <c r="K214" s="9">
        <f t="shared" si="24"/>
        <v>223.9076694968</v>
      </c>
      <c r="L214" s="10">
        <f t="shared" si="21"/>
        <v>0.20018276415718941</v>
      </c>
      <c r="M214" s="10">
        <f t="shared" si="20"/>
        <v>0.20578764683024342</v>
      </c>
      <c r="P214" s="8">
        <f t="shared" si="25"/>
        <v>6.4488963421705767</v>
      </c>
    </row>
    <row r="215" spans="1:16" x14ac:dyDescent="0.2">
      <c r="A215" s="8">
        <v>106.5</v>
      </c>
      <c r="B215" s="8">
        <v>213</v>
      </c>
      <c r="D215">
        <v>1240.2976104272</v>
      </c>
      <c r="E215">
        <v>336.77552498189999</v>
      </c>
      <c r="F215">
        <v>133.70989010989001</v>
      </c>
      <c r="G215">
        <v>112.26300366300001</v>
      </c>
      <c r="I215" s="9">
        <f t="shared" si="22"/>
        <v>224.51252131889999</v>
      </c>
      <c r="J215" s="9">
        <f t="shared" si="23"/>
        <v>1106.58772031731</v>
      </c>
      <c r="K215" s="9">
        <f t="shared" si="24"/>
        <v>224.51252131889999</v>
      </c>
      <c r="L215" s="10">
        <f t="shared" si="21"/>
        <v>0.2028872336072208</v>
      </c>
      <c r="M215" s="10">
        <f t="shared" si="20"/>
        <v>0.2085185544060911</v>
      </c>
      <c r="P215" s="8">
        <f t="shared" si="25"/>
        <v>7.8615277704373154</v>
      </c>
    </row>
    <row r="216" spans="1:16" x14ac:dyDescent="0.2">
      <c r="A216" s="8">
        <v>107</v>
      </c>
      <c r="B216" s="8">
        <v>214</v>
      </c>
      <c r="D216">
        <v>1223.3884476533999</v>
      </c>
      <c r="E216">
        <v>327.75884476533997</v>
      </c>
      <c r="F216">
        <v>134.38534798534999</v>
      </c>
      <c r="G216">
        <v>112.30769230769</v>
      </c>
      <c r="I216" s="9">
        <f t="shared" si="22"/>
        <v>215.45115245764998</v>
      </c>
      <c r="J216" s="9">
        <f t="shared" si="23"/>
        <v>1089.0030996680498</v>
      </c>
      <c r="K216" s="9">
        <f t="shared" si="24"/>
        <v>215.45115245764998</v>
      </c>
      <c r="L216" s="10">
        <f t="shared" si="21"/>
        <v>0.19784255207659543</v>
      </c>
      <c r="M216" s="10">
        <f t="shared" si="20"/>
        <v>0.20350031100128202</v>
      </c>
      <c r="P216" s="8">
        <f t="shared" si="25"/>
        <v>5.2657136861304989</v>
      </c>
    </row>
    <row r="217" spans="1:16" x14ac:dyDescent="0.2">
      <c r="A217" s="8">
        <v>107.5</v>
      </c>
      <c r="B217" s="8">
        <v>215</v>
      </c>
      <c r="D217">
        <v>1225.6989169675001</v>
      </c>
      <c r="E217">
        <v>328.83465703971001</v>
      </c>
      <c r="F217">
        <v>133.78315018315001</v>
      </c>
      <c r="G217">
        <v>112.24761904762001</v>
      </c>
      <c r="I217" s="9">
        <f t="shared" si="22"/>
        <v>216.58703799209002</v>
      </c>
      <c r="J217" s="9">
        <f t="shared" si="23"/>
        <v>1091.9157667843501</v>
      </c>
      <c r="K217" s="9">
        <f t="shared" si="24"/>
        <v>216.58703799209002</v>
      </c>
      <c r="L217" s="10">
        <f t="shared" si="21"/>
        <v>0.19835507882620881</v>
      </c>
      <c r="M217" s="10">
        <f t="shared" si="20"/>
        <v>0.2040392758767117</v>
      </c>
      <c r="P217" s="8">
        <f t="shared" si="25"/>
        <v>5.5445069812596826</v>
      </c>
    </row>
    <row r="218" spans="1:16" x14ac:dyDescent="0.2">
      <c r="A218" s="8">
        <v>108</v>
      </c>
      <c r="B218" s="8">
        <v>216</v>
      </c>
      <c r="D218">
        <v>1214.8794223827001</v>
      </c>
      <c r="E218">
        <v>322.43898916967999</v>
      </c>
      <c r="F218">
        <v>133.61684981684999</v>
      </c>
      <c r="G218">
        <v>112.29010989011</v>
      </c>
      <c r="I218" s="9">
        <f t="shared" si="22"/>
        <v>210.14887927957</v>
      </c>
      <c r="J218" s="9">
        <f t="shared" si="23"/>
        <v>1081.2625725658502</v>
      </c>
      <c r="K218" s="9">
        <f t="shared" si="24"/>
        <v>210.14887927957</v>
      </c>
      <c r="L218" s="10">
        <f t="shared" si="21"/>
        <v>0.19435508507511173</v>
      </c>
      <c r="M218" s="10">
        <f t="shared" si="20"/>
        <v>0.20006572025143091</v>
      </c>
      <c r="P218" s="8">
        <f t="shared" si="25"/>
        <v>3.4890842317382549</v>
      </c>
    </row>
    <row r="219" spans="1:16" x14ac:dyDescent="0.2">
      <c r="A219" s="8">
        <v>108.5</v>
      </c>
      <c r="B219" s="8">
        <v>217</v>
      </c>
      <c r="D219">
        <v>1231.4397111912999</v>
      </c>
      <c r="E219">
        <v>329.47509025271</v>
      </c>
      <c r="F219">
        <v>133.70915750916001</v>
      </c>
      <c r="G219">
        <v>112.41025641026</v>
      </c>
      <c r="I219" s="9">
        <f t="shared" si="22"/>
        <v>217.06483384245001</v>
      </c>
      <c r="J219" s="9">
        <f t="shared" si="23"/>
        <v>1097.73055368214</v>
      </c>
      <c r="K219" s="9">
        <f t="shared" si="24"/>
        <v>217.06483384245001</v>
      </c>
      <c r="L219" s="10">
        <f t="shared" si="21"/>
        <v>0.19773963028936839</v>
      </c>
      <c r="M219" s="10">
        <f t="shared" si="20"/>
        <v>0.20347670359150385</v>
      </c>
      <c r="P219" s="8">
        <f t="shared" si="25"/>
        <v>5.2535021527605874</v>
      </c>
    </row>
    <row r="220" spans="1:16" x14ac:dyDescent="0.2">
      <c r="A220" s="8">
        <v>109</v>
      </c>
      <c r="B220" s="8">
        <v>218</v>
      </c>
      <c r="D220">
        <v>1228.6649819495001</v>
      </c>
      <c r="E220">
        <v>333.51480144404002</v>
      </c>
      <c r="F220">
        <v>133.98608058607999</v>
      </c>
      <c r="G220">
        <v>112.25714285714</v>
      </c>
      <c r="I220" s="9">
        <f t="shared" si="22"/>
        <v>221.25765858690002</v>
      </c>
      <c r="J220" s="9">
        <f t="shared" si="23"/>
        <v>1094.6789013634202</v>
      </c>
      <c r="K220" s="9">
        <f t="shared" si="24"/>
        <v>221.25765858690002</v>
      </c>
      <c r="L220" s="10">
        <f t="shared" si="21"/>
        <v>0.20212105879753789</v>
      </c>
      <c r="M220" s="10">
        <f t="shared" si="20"/>
        <v>0.20788457022548965</v>
      </c>
      <c r="P220" s="8">
        <f t="shared" si="25"/>
        <v>7.5335833220560628</v>
      </c>
    </row>
    <row r="221" spans="1:16" x14ac:dyDescent="0.2">
      <c r="A221" s="8">
        <v>109.5</v>
      </c>
      <c r="B221" s="8">
        <v>219</v>
      </c>
      <c r="D221">
        <v>1183.5899490167999</v>
      </c>
      <c r="E221">
        <v>320.50473415878002</v>
      </c>
      <c r="F221">
        <v>133.70476190476001</v>
      </c>
      <c r="G221">
        <v>112.07399267399001</v>
      </c>
      <c r="I221" s="9">
        <f t="shared" si="22"/>
        <v>208.43074148479002</v>
      </c>
      <c r="J221" s="9">
        <f t="shared" si="23"/>
        <v>1049.8851871120398</v>
      </c>
      <c r="K221" s="9">
        <f t="shared" si="24"/>
        <v>208.43074148479002</v>
      </c>
      <c r="L221" s="10">
        <f t="shared" si="21"/>
        <v>0.19852717615545049</v>
      </c>
      <c r="M221" s="10">
        <f t="shared" si="20"/>
        <v>0.20431712570921853</v>
      </c>
      <c r="P221" s="8">
        <f t="shared" si="25"/>
        <v>5.6882318766787368</v>
      </c>
    </row>
    <row r="222" spans="1:16" x14ac:dyDescent="0.2">
      <c r="A222" s="8">
        <v>110</v>
      </c>
      <c r="B222" s="8">
        <v>220</v>
      </c>
      <c r="D222">
        <v>1208.6372906045001</v>
      </c>
      <c r="E222">
        <v>325.01602330663002</v>
      </c>
      <c r="F222">
        <v>133.49157509157999</v>
      </c>
      <c r="G222">
        <v>112.12454212454</v>
      </c>
      <c r="I222" s="9">
        <f t="shared" si="22"/>
        <v>212.89148118209002</v>
      </c>
      <c r="J222" s="9">
        <f t="shared" si="23"/>
        <v>1075.1457155129201</v>
      </c>
      <c r="K222" s="9">
        <f t="shared" si="24"/>
        <v>212.89148118209002</v>
      </c>
      <c r="L222" s="10">
        <f t="shared" si="21"/>
        <v>0.1980117467896208</v>
      </c>
      <c r="M222" s="10">
        <f t="shared" si="20"/>
        <v>0.20382813446920514</v>
      </c>
      <c r="P222" s="8">
        <f t="shared" si="25"/>
        <v>5.4352887159876877</v>
      </c>
    </row>
    <row r="223" spans="1:16" x14ac:dyDescent="0.2">
      <c r="A223" s="8">
        <v>110.5</v>
      </c>
      <c r="B223" s="8">
        <v>221</v>
      </c>
      <c r="D223">
        <v>1192.5498907501999</v>
      </c>
      <c r="E223">
        <v>323.27749453750999</v>
      </c>
      <c r="F223">
        <v>133.62051282050999</v>
      </c>
      <c r="G223">
        <v>112.32380952381</v>
      </c>
      <c r="I223" s="9">
        <f t="shared" si="22"/>
        <v>210.95368501370001</v>
      </c>
      <c r="J223" s="9">
        <f t="shared" si="23"/>
        <v>1058.92937792969</v>
      </c>
      <c r="K223" s="9">
        <f t="shared" si="24"/>
        <v>210.95368501370001</v>
      </c>
      <c r="L223" s="10">
        <f t="shared" si="21"/>
        <v>0.19921412080013778</v>
      </c>
      <c r="M223" s="10">
        <f t="shared" si="20"/>
        <v>0.20505694660553841</v>
      </c>
      <c r="P223" s="8">
        <f t="shared" si="25"/>
        <v>6.0709230591533148</v>
      </c>
    </row>
    <row r="224" spans="1:16" x14ac:dyDescent="0.2">
      <c r="A224" s="8">
        <v>111</v>
      </c>
      <c r="B224" s="8">
        <v>222</v>
      </c>
      <c r="D224">
        <v>1165.6637554585</v>
      </c>
      <c r="E224">
        <v>314.30494905386001</v>
      </c>
      <c r="F224">
        <v>133.32380952381001</v>
      </c>
      <c r="G224">
        <v>112.27252747253</v>
      </c>
      <c r="I224" s="9">
        <f t="shared" si="22"/>
        <v>202.03242158133003</v>
      </c>
      <c r="J224" s="9">
        <f t="shared" si="23"/>
        <v>1032.3399459346899</v>
      </c>
      <c r="K224" s="9">
        <f t="shared" si="24"/>
        <v>202.03242158133003</v>
      </c>
      <c r="L224" s="10">
        <f t="shared" si="21"/>
        <v>0.19570338470086812</v>
      </c>
      <c r="M224" s="10">
        <f t="shared" si="20"/>
        <v>0.20157264863208504</v>
      </c>
      <c r="P224" s="8">
        <f t="shared" si="25"/>
        <v>4.2685812786122694</v>
      </c>
    </row>
    <row r="225" spans="1:16" x14ac:dyDescent="0.2">
      <c r="A225" s="8">
        <v>111.5</v>
      </c>
      <c r="B225" s="8">
        <v>223</v>
      </c>
      <c r="D225">
        <v>1168.1717612809</v>
      </c>
      <c r="E225">
        <v>316.08588064047001</v>
      </c>
      <c r="F225">
        <v>133.84542124542</v>
      </c>
      <c r="G225">
        <v>111.97728937729001</v>
      </c>
      <c r="I225" s="9">
        <f t="shared" si="22"/>
        <v>204.10859126318002</v>
      </c>
      <c r="J225" s="9">
        <f t="shared" si="23"/>
        <v>1034.3263400354799</v>
      </c>
      <c r="K225" s="9">
        <f t="shared" si="24"/>
        <v>204.10859126318002</v>
      </c>
      <c r="L225" s="10">
        <f t="shared" si="21"/>
        <v>0.19733480949173024</v>
      </c>
      <c r="M225" s="10">
        <f t="shared" si="20"/>
        <v>0.20323051154876345</v>
      </c>
      <c r="P225" s="8">
        <f t="shared" si="25"/>
        <v>5.1261530545926171</v>
      </c>
    </row>
    <row r="226" spans="1:16" x14ac:dyDescent="0.2">
      <c r="A226" s="8">
        <v>112</v>
      </c>
      <c r="B226" s="8">
        <v>224</v>
      </c>
      <c r="D226">
        <v>1159.5029112082</v>
      </c>
      <c r="E226">
        <v>315.79184861717999</v>
      </c>
      <c r="F226">
        <v>133.61611721611999</v>
      </c>
      <c r="G226">
        <v>112.11428571429001</v>
      </c>
      <c r="I226" s="9">
        <f t="shared" si="22"/>
        <v>203.67756290288997</v>
      </c>
      <c r="J226" s="9">
        <f t="shared" si="23"/>
        <v>1025.8867939920799</v>
      </c>
      <c r="K226" s="9">
        <f t="shared" si="24"/>
        <v>203.67756290288997</v>
      </c>
      <c r="L226" s="10">
        <f t="shared" si="21"/>
        <v>0.19853804932053976</v>
      </c>
      <c r="M226" s="10">
        <f t="shared" si="20"/>
        <v>0.20446018950338926</v>
      </c>
      <c r="P226" s="8">
        <f t="shared" si="25"/>
        <v>5.762235264299763</v>
      </c>
    </row>
    <row r="227" spans="1:16" x14ac:dyDescent="0.2">
      <c r="A227" s="8">
        <v>112.5</v>
      </c>
      <c r="B227" s="8">
        <v>225</v>
      </c>
      <c r="D227">
        <v>1157.5982532751</v>
      </c>
      <c r="E227">
        <v>314.70378457060002</v>
      </c>
      <c r="F227">
        <v>133.66593406593</v>
      </c>
      <c r="G227">
        <v>111.98315018315</v>
      </c>
      <c r="I227" s="9">
        <f t="shared" si="22"/>
        <v>202.72063438745002</v>
      </c>
      <c r="J227" s="9">
        <f t="shared" si="23"/>
        <v>1023.9323192091699</v>
      </c>
      <c r="K227" s="9">
        <f t="shared" si="24"/>
        <v>202.72063438745002</v>
      </c>
      <c r="L227" s="10">
        <f t="shared" si="21"/>
        <v>0.19798245507478512</v>
      </c>
      <c r="M227" s="10">
        <f t="shared" si="20"/>
        <v>0.20393103338345092</v>
      </c>
      <c r="P227" s="8">
        <f t="shared" si="25"/>
        <v>5.4885157975204617</v>
      </c>
    </row>
    <row r="228" spans="1:16" x14ac:dyDescent="0.2">
      <c r="A228" s="8">
        <v>113</v>
      </c>
      <c r="B228" s="8">
        <v>226</v>
      </c>
      <c r="D228">
        <v>1177.1026200873</v>
      </c>
      <c r="E228">
        <v>316.33551673944999</v>
      </c>
      <c r="F228">
        <v>133.72967032967</v>
      </c>
      <c r="G228">
        <v>112.35604395604</v>
      </c>
      <c r="I228" s="9">
        <f t="shared" si="22"/>
        <v>203.97947278340999</v>
      </c>
      <c r="J228" s="9">
        <f t="shared" si="23"/>
        <v>1043.3729497576301</v>
      </c>
      <c r="K228" s="9">
        <f t="shared" si="24"/>
        <v>203.97947278340999</v>
      </c>
      <c r="L228" s="10">
        <f t="shared" si="21"/>
        <v>0.19550005856562921</v>
      </c>
      <c r="M228" s="10">
        <f t="shared" si="20"/>
        <v>0.2014750750001113</v>
      </c>
      <c r="P228" s="8">
        <f t="shared" si="25"/>
        <v>4.2181088348301117</v>
      </c>
    </row>
    <row r="229" spans="1:16" x14ac:dyDescent="0.2">
      <c r="A229" s="8">
        <v>113.5</v>
      </c>
      <c r="B229" s="8">
        <v>227</v>
      </c>
      <c r="D229">
        <v>1189.3857350800999</v>
      </c>
      <c r="E229">
        <v>315.31295487627</v>
      </c>
      <c r="F229">
        <v>133.3304029304</v>
      </c>
      <c r="G229">
        <v>112.11062271062001</v>
      </c>
      <c r="I229" s="9">
        <f t="shared" si="22"/>
        <v>203.20233216564998</v>
      </c>
      <c r="J229" s="9">
        <f t="shared" si="23"/>
        <v>1056.0553321497</v>
      </c>
      <c r="K229" s="9">
        <f t="shared" si="24"/>
        <v>203.20233216564998</v>
      </c>
      <c r="L229" s="10">
        <f t="shared" si="21"/>
        <v>0.19241636870675374</v>
      </c>
      <c r="M229" s="10">
        <f t="shared" si="20"/>
        <v>0.19841782326705212</v>
      </c>
      <c r="P229" s="8">
        <f t="shared" si="25"/>
        <v>2.6366675878110524</v>
      </c>
    </row>
    <row r="230" spans="1:16" x14ac:dyDescent="0.2">
      <c r="A230" s="8">
        <v>114</v>
      </c>
      <c r="B230" s="8">
        <v>228</v>
      </c>
      <c r="D230">
        <v>1209.7026831037001</v>
      </c>
      <c r="E230">
        <v>323.99347353155002</v>
      </c>
      <c r="F230">
        <v>133.68571428570999</v>
      </c>
      <c r="G230">
        <v>112.04395604395999</v>
      </c>
      <c r="I230" s="9">
        <f t="shared" si="22"/>
        <v>211.94951748759001</v>
      </c>
      <c r="J230" s="9">
        <f t="shared" si="23"/>
        <v>1076.0169688179901</v>
      </c>
      <c r="K230" s="9">
        <f t="shared" si="24"/>
        <v>211.94951748759001</v>
      </c>
      <c r="L230" s="10">
        <f t="shared" si="21"/>
        <v>0.196975999105681</v>
      </c>
      <c r="M230" s="10">
        <f t="shared" si="20"/>
        <v>0.20300389179179568</v>
      </c>
      <c r="P230" s="8">
        <f t="shared" si="25"/>
        <v>5.0089282192338143</v>
      </c>
    </row>
    <row r="231" spans="1:16" x14ac:dyDescent="0.2">
      <c r="A231" s="8">
        <v>114.5</v>
      </c>
      <c r="B231" s="8">
        <v>229</v>
      </c>
      <c r="D231">
        <v>1209.8912255257001</v>
      </c>
      <c r="E231">
        <v>324.34445250181</v>
      </c>
      <c r="F231">
        <v>133.48424908425</v>
      </c>
      <c r="G231">
        <v>112.09523809524001</v>
      </c>
      <c r="I231" s="9">
        <f t="shared" si="22"/>
        <v>212.24921440656999</v>
      </c>
      <c r="J231" s="9">
        <f t="shared" si="23"/>
        <v>1076.4069764414501</v>
      </c>
      <c r="K231" s="9">
        <f t="shared" si="24"/>
        <v>212.24921440656999</v>
      </c>
      <c r="L231" s="10">
        <f t="shared" si="21"/>
        <v>0.19718305348433893</v>
      </c>
      <c r="M231" s="10">
        <f t="shared" si="20"/>
        <v>0.20323738429626989</v>
      </c>
      <c r="P231" s="8">
        <f t="shared" si="25"/>
        <v>5.1297081581091186</v>
      </c>
    </row>
    <row r="232" spans="1:16" x14ac:dyDescent="0.2">
      <c r="A232" s="8">
        <v>115</v>
      </c>
      <c r="B232" s="8">
        <v>230</v>
      </c>
      <c r="D232">
        <v>1198.6990572878999</v>
      </c>
      <c r="E232">
        <v>320.52211747643003</v>
      </c>
      <c r="F232">
        <v>133.75457875458</v>
      </c>
      <c r="G232">
        <v>112.30915750916</v>
      </c>
      <c r="I232" s="9">
        <f t="shared" si="22"/>
        <v>208.21295996727002</v>
      </c>
      <c r="J232" s="9">
        <f t="shared" si="23"/>
        <v>1064.9444785333199</v>
      </c>
      <c r="K232" s="9">
        <f t="shared" si="24"/>
        <v>208.21295996727002</v>
      </c>
      <c r="L232" s="10">
        <f t="shared" si="21"/>
        <v>0.19551531949724596</v>
      </c>
      <c r="M232" s="10">
        <f t="shared" si="20"/>
        <v>0.20159608843499321</v>
      </c>
      <c r="P232" s="8">
        <f t="shared" si="25"/>
        <v>4.2807061130641202</v>
      </c>
    </row>
    <row r="233" spans="1:16" x14ac:dyDescent="0.2">
      <c r="A233" s="8">
        <v>115.5</v>
      </c>
      <c r="B233" s="8">
        <v>231</v>
      </c>
      <c r="D233">
        <v>1236.2385454545999</v>
      </c>
      <c r="E233">
        <v>329.11854545454997</v>
      </c>
      <c r="F233">
        <v>133.42637362637001</v>
      </c>
      <c r="G233">
        <v>112.15311355311</v>
      </c>
      <c r="I233" s="9">
        <f t="shared" si="22"/>
        <v>216.96543190143996</v>
      </c>
      <c r="J233" s="9">
        <f t="shared" si="23"/>
        <v>1102.81217182823</v>
      </c>
      <c r="K233" s="9">
        <f t="shared" si="24"/>
        <v>216.96543190143996</v>
      </c>
      <c r="L233" s="10">
        <f t="shared" si="21"/>
        <v>0.19673833626786782</v>
      </c>
      <c r="M233" s="10">
        <f t="shared" si="20"/>
        <v>0.20284554333143137</v>
      </c>
      <c r="P233" s="8">
        <f t="shared" si="25"/>
        <v>4.9270184491242075</v>
      </c>
    </row>
    <row r="234" spans="1:16" x14ac:dyDescent="0.2">
      <c r="A234" s="8">
        <v>116</v>
      </c>
      <c r="B234" s="8">
        <v>232</v>
      </c>
      <c r="D234">
        <v>1214.2996363636</v>
      </c>
      <c r="E234">
        <v>325.21454545454998</v>
      </c>
      <c r="F234">
        <v>133.85347985348</v>
      </c>
      <c r="G234">
        <v>111.77142857142999</v>
      </c>
      <c r="I234" s="9">
        <f t="shared" si="22"/>
        <v>213.44311688311998</v>
      </c>
      <c r="J234" s="9">
        <f t="shared" si="23"/>
        <v>1080.4461565101201</v>
      </c>
      <c r="K234" s="9">
        <f t="shared" si="24"/>
        <v>213.44311688311998</v>
      </c>
      <c r="L234" s="10">
        <f t="shared" si="21"/>
        <v>0.19755090579668397</v>
      </c>
      <c r="M234" s="10">
        <f t="shared" si="20"/>
        <v>0.20368455098606381</v>
      </c>
      <c r="P234" s="8">
        <f t="shared" si="25"/>
        <v>5.3610165060237529</v>
      </c>
    </row>
    <row r="235" spans="1:16" x14ac:dyDescent="0.2">
      <c r="A235" s="8">
        <v>116.5</v>
      </c>
      <c r="B235" s="8">
        <v>233</v>
      </c>
      <c r="D235">
        <v>1239.3621818182</v>
      </c>
      <c r="E235">
        <v>330.96945454546</v>
      </c>
      <c r="F235">
        <v>134.06593406593001</v>
      </c>
      <c r="G235">
        <v>112.2</v>
      </c>
      <c r="I235" s="9">
        <f t="shared" si="22"/>
        <v>218.76945454546001</v>
      </c>
      <c r="J235" s="9">
        <f t="shared" si="23"/>
        <v>1105.2962477522701</v>
      </c>
      <c r="K235" s="9">
        <f t="shared" si="24"/>
        <v>218.76945454546001</v>
      </c>
      <c r="L235" s="10">
        <f t="shared" si="21"/>
        <v>0.19792834273195939</v>
      </c>
      <c r="M235" s="10">
        <f t="shared" si="20"/>
        <v>0.20408842604715555</v>
      </c>
      <c r="P235" s="8">
        <f t="shared" si="25"/>
        <v>5.5699311574887522</v>
      </c>
    </row>
    <row r="236" spans="1:16" x14ac:dyDescent="0.2">
      <c r="A236" s="8">
        <v>117</v>
      </c>
      <c r="B236" s="8">
        <v>234</v>
      </c>
      <c r="D236">
        <v>1235.0196363636001</v>
      </c>
      <c r="E236">
        <v>329.60072727273001</v>
      </c>
      <c r="F236">
        <v>133.01611721611999</v>
      </c>
      <c r="G236">
        <v>112.34578754579</v>
      </c>
      <c r="I236" s="9">
        <f t="shared" si="22"/>
        <v>217.25493972693999</v>
      </c>
      <c r="J236" s="9">
        <f t="shared" si="23"/>
        <v>1102.0035191474801</v>
      </c>
      <c r="K236" s="9">
        <f t="shared" si="24"/>
        <v>217.25493972693999</v>
      </c>
      <c r="L236" s="10">
        <f t="shared" si="21"/>
        <v>0.19714541374151906</v>
      </c>
      <c r="M236" s="10">
        <f t="shared" si="20"/>
        <v>0.20333193518253151</v>
      </c>
      <c r="P236" s="8">
        <f t="shared" si="25"/>
        <v>5.1786170097615498</v>
      </c>
    </row>
    <row r="237" spans="1:16" x14ac:dyDescent="0.2">
      <c r="A237" s="8">
        <v>117.5</v>
      </c>
      <c r="B237" s="8">
        <v>235</v>
      </c>
      <c r="D237">
        <v>1183.1825454545999</v>
      </c>
      <c r="E237">
        <v>319.96800000000002</v>
      </c>
      <c r="F237">
        <v>133.55384615385</v>
      </c>
      <c r="G237">
        <v>112.12307692308001</v>
      </c>
      <c r="I237" s="9">
        <f t="shared" si="22"/>
        <v>207.84492307692</v>
      </c>
      <c r="J237" s="9">
        <f t="shared" si="23"/>
        <v>1049.62869930075</v>
      </c>
      <c r="K237" s="9">
        <f t="shared" si="24"/>
        <v>207.84492307692</v>
      </c>
      <c r="L237" s="10">
        <f t="shared" si="21"/>
        <v>0.1980175687034699</v>
      </c>
      <c r="M237" s="10">
        <f t="shared" si="20"/>
        <v>0.20423052827029864</v>
      </c>
      <c r="P237" s="8">
        <f t="shared" si="25"/>
        <v>5.6434371480297152</v>
      </c>
    </row>
    <row r="238" spans="1:16" x14ac:dyDescent="0.2">
      <c r="A238" s="8">
        <v>118</v>
      </c>
      <c r="B238" s="8">
        <v>236</v>
      </c>
      <c r="D238">
        <v>1180.7003636364</v>
      </c>
      <c r="E238">
        <v>319.27854545455</v>
      </c>
      <c r="F238">
        <v>133.32307692308001</v>
      </c>
      <c r="G238">
        <v>112.17362637363</v>
      </c>
      <c r="I238" s="9">
        <f t="shared" si="22"/>
        <v>207.10491908092001</v>
      </c>
      <c r="J238" s="9">
        <f t="shared" si="23"/>
        <v>1047.37728671332</v>
      </c>
      <c r="K238" s="9">
        <f t="shared" si="24"/>
        <v>207.10491908092001</v>
      </c>
      <c r="L238" s="10">
        <f t="shared" si="21"/>
        <v>0.19773669116963308</v>
      </c>
      <c r="M238" s="10">
        <f t="shared" si="20"/>
        <v>0.20397608886227811</v>
      </c>
      <c r="P238" s="8">
        <f t="shared" si="25"/>
        <v>5.5118218903263072</v>
      </c>
    </row>
    <row r="239" spans="1:16" x14ac:dyDescent="0.2">
      <c r="A239" s="8">
        <v>118.5</v>
      </c>
      <c r="B239" s="8">
        <v>237</v>
      </c>
      <c r="D239">
        <v>1207.5920000000001</v>
      </c>
      <c r="E239">
        <v>323.35854545454998</v>
      </c>
      <c r="F239">
        <v>133.61831501832</v>
      </c>
      <c r="G239">
        <v>112.00732600732999</v>
      </c>
      <c r="I239" s="9">
        <f t="shared" si="22"/>
        <v>211.35121944721999</v>
      </c>
      <c r="J239" s="9">
        <f t="shared" si="23"/>
        <v>1073.97368498168</v>
      </c>
      <c r="K239" s="9">
        <f t="shared" si="24"/>
        <v>211.35121944721999</v>
      </c>
      <c r="L239" s="10">
        <f t="shared" si="21"/>
        <v>0.19679366673758422</v>
      </c>
      <c r="M239" s="10">
        <f t="shared" si="20"/>
        <v>0.20305950255604555</v>
      </c>
      <c r="P239" s="8">
        <f t="shared" si="25"/>
        <v>5.0376943019910874</v>
      </c>
    </row>
    <row r="240" spans="1:16" x14ac:dyDescent="0.2">
      <c r="A240" s="8">
        <v>119</v>
      </c>
      <c r="B240" s="8">
        <v>238</v>
      </c>
      <c r="D240">
        <v>1184.4669090908999</v>
      </c>
      <c r="E240">
        <v>317.11709090909</v>
      </c>
      <c r="F240">
        <v>133.87619047619</v>
      </c>
      <c r="G240">
        <v>112.07619047619001</v>
      </c>
      <c r="I240" s="9">
        <f t="shared" si="22"/>
        <v>205.0409004329</v>
      </c>
      <c r="J240" s="9">
        <f t="shared" si="23"/>
        <v>1050.5907186147099</v>
      </c>
      <c r="K240" s="9">
        <f t="shared" si="24"/>
        <v>205.0409004329</v>
      </c>
      <c r="L240" s="10">
        <f t="shared" si="21"/>
        <v>0.19516724905324051</v>
      </c>
      <c r="M240" s="10">
        <f t="shared" si="20"/>
        <v>0.20145952299751813</v>
      </c>
      <c r="P240" s="8">
        <f t="shared" si="25"/>
        <v>4.2100641657867852</v>
      </c>
    </row>
    <row r="241" spans="1:16" x14ac:dyDescent="0.2">
      <c r="A241" s="8">
        <v>119.5</v>
      </c>
      <c r="B241" s="8">
        <v>239</v>
      </c>
      <c r="D241">
        <v>1175.7025454546001</v>
      </c>
      <c r="E241">
        <v>315.68218181818003</v>
      </c>
      <c r="F241">
        <v>133.31355311355</v>
      </c>
      <c r="G241">
        <v>112.12014652015</v>
      </c>
      <c r="I241" s="9">
        <f t="shared" si="22"/>
        <v>203.56203529803003</v>
      </c>
      <c r="J241" s="9">
        <f t="shared" si="23"/>
        <v>1042.3889923410502</v>
      </c>
      <c r="K241" s="9">
        <f t="shared" si="24"/>
        <v>203.56203529803003</v>
      </c>
      <c r="L241" s="10">
        <f t="shared" si="21"/>
        <v>0.19528413748965254</v>
      </c>
      <c r="M241" s="10">
        <f t="shared" si="20"/>
        <v>0.20160284955974644</v>
      </c>
      <c r="P241" s="8">
        <f t="shared" si="25"/>
        <v>4.2842034768714177</v>
      </c>
    </row>
    <row r="242" spans="1:16" x14ac:dyDescent="0.2">
      <c r="A242" s="8">
        <v>120</v>
      </c>
      <c r="B242" s="8">
        <v>240</v>
      </c>
      <c r="D242">
        <v>1218.1464829587001</v>
      </c>
      <c r="E242">
        <v>324.86947063089002</v>
      </c>
      <c r="F242">
        <v>133.36190476191001</v>
      </c>
      <c r="G242">
        <v>111.82051282051</v>
      </c>
      <c r="I242" s="9">
        <f>E242-G242</f>
        <v>213.04895781038002</v>
      </c>
      <c r="J242" s="9">
        <f>D242-F242</f>
        <v>1084.7845781967901</v>
      </c>
      <c r="K242" s="9">
        <f t="shared" si="24"/>
        <v>213.04895781038002</v>
      </c>
      <c r="L242" s="10">
        <f t="shared" si="21"/>
        <v>0.1963974802854645</v>
      </c>
      <c r="M242" s="10">
        <f>L242+ABS($N$2)*A242</f>
        <v>0.2027426304813747</v>
      </c>
      <c r="O242" s="11"/>
      <c r="P242" s="8">
        <f>(M242-$O$2)/$O$2*100</f>
        <v>4.873784158938669</v>
      </c>
    </row>
    <row r="243" spans="1:16" x14ac:dyDescent="0.2">
      <c r="A243" s="8">
        <v>120.5</v>
      </c>
      <c r="B243" s="8">
        <v>241</v>
      </c>
      <c r="D243">
        <v>1222.3222060958001</v>
      </c>
      <c r="E243">
        <v>325.29317851959001</v>
      </c>
      <c r="F243">
        <v>133.21758241757999</v>
      </c>
      <c r="G243">
        <v>112.09230769231</v>
      </c>
      <c r="I243" s="9">
        <f t="shared" ref="I243:I274" si="26">E243-G243</f>
        <v>213.20087082728003</v>
      </c>
      <c r="J243" s="9">
        <f t="shared" ref="J243:J274" si="27">D243-F243</f>
        <v>1089.1046236782202</v>
      </c>
      <c r="K243" s="9">
        <f t="shared" si="24"/>
        <v>213.20087082728003</v>
      </c>
      <c r="L243" s="10">
        <f t="shared" si="21"/>
        <v>0.19575793380367743</v>
      </c>
      <c r="M243" s="10">
        <f t="shared" ref="M243:M274" si="28">L243+ABS($N$2)*A243</f>
        <v>0.20212952212540392</v>
      </c>
      <c r="P243" s="8">
        <f t="shared" ref="P243:P274" si="29">(M243-$O$2)/$O$2*100</f>
        <v>4.5566382620078878</v>
      </c>
    </row>
    <row r="244" spans="1:16" x14ac:dyDescent="0.2">
      <c r="A244" s="8">
        <v>121</v>
      </c>
      <c r="B244" s="8">
        <v>242</v>
      </c>
      <c r="D244">
        <v>1217.1233671988</v>
      </c>
      <c r="E244">
        <v>327.21552975327</v>
      </c>
      <c r="F244">
        <v>133.12307692307999</v>
      </c>
      <c r="G244">
        <v>112.19853479854</v>
      </c>
      <c r="I244" s="9">
        <f t="shared" si="26"/>
        <v>215.01699495473002</v>
      </c>
      <c r="J244" s="9">
        <f t="shared" si="27"/>
        <v>1084.0002902757201</v>
      </c>
      <c r="K244" s="9">
        <f t="shared" si="24"/>
        <v>215.01699495473002</v>
      </c>
      <c r="L244" s="10">
        <f t="shared" si="21"/>
        <v>0.19835510828141895</v>
      </c>
      <c r="M244" s="10">
        <f t="shared" si="28"/>
        <v>0.20475313472896173</v>
      </c>
      <c r="N244" s="1"/>
      <c r="P244" s="8">
        <f t="shared" si="29"/>
        <v>5.9137686358661377</v>
      </c>
    </row>
    <row r="245" spans="1:16" x14ac:dyDescent="0.2">
      <c r="A245" s="8">
        <v>121.5</v>
      </c>
      <c r="B245" s="8">
        <v>243</v>
      </c>
      <c r="D245">
        <v>1242.9482884194999</v>
      </c>
      <c r="E245">
        <v>332.23816460306</v>
      </c>
      <c r="F245">
        <v>133.48791208790999</v>
      </c>
      <c r="G245">
        <v>112.15238095238</v>
      </c>
      <c r="I245" s="9">
        <f t="shared" si="26"/>
        <v>220.08578365068001</v>
      </c>
      <c r="J245" s="9">
        <f t="shared" si="27"/>
        <v>1109.4603763315899</v>
      </c>
      <c r="K245" s="9">
        <f t="shared" si="24"/>
        <v>220.08578365068001</v>
      </c>
      <c r="L245" s="10">
        <f t="shared" si="21"/>
        <v>0.1983719187686446</v>
      </c>
      <c r="M245" s="10">
        <f t="shared" si="28"/>
        <v>0.20479638334200367</v>
      </c>
      <c r="P245" s="8">
        <f t="shared" si="29"/>
        <v>5.9361400813710397</v>
      </c>
    </row>
    <row r="246" spans="1:16" x14ac:dyDescent="0.2">
      <c r="A246" s="8">
        <v>122</v>
      </c>
      <c r="B246" s="8">
        <v>244</v>
      </c>
      <c r="D246">
        <v>1156.7611070647999</v>
      </c>
      <c r="E246">
        <v>315.68390386016</v>
      </c>
      <c r="F246">
        <v>133.06227106227001</v>
      </c>
      <c r="G246">
        <v>111.96483516484</v>
      </c>
      <c r="I246" s="9">
        <f t="shared" si="26"/>
        <v>203.71906869532</v>
      </c>
      <c r="J246" s="9">
        <f t="shared" si="27"/>
        <v>1023.6988360025299</v>
      </c>
      <c r="K246" s="9">
        <f t="shared" si="24"/>
        <v>203.71906869532</v>
      </c>
      <c r="L246" s="10">
        <f t="shared" si="21"/>
        <v>0.19900293087254867</v>
      </c>
      <c r="M246" s="10">
        <f t="shared" si="28"/>
        <v>0.20545383357172403</v>
      </c>
      <c r="P246" s="8">
        <f t="shared" si="29"/>
        <v>6.2762229407244492</v>
      </c>
    </row>
    <row r="247" spans="1:16" x14ac:dyDescent="0.2">
      <c r="A247" s="8">
        <v>122.5</v>
      </c>
      <c r="B247" s="8">
        <v>245</v>
      </c>
      <c r="D247">
        <v>1218.2412790697999</v>
      </c>
      <c r="E247">
        <v>326.76453488371999</v>
      </c>
      <c r="F247">
        <v>133.81684981685001</v>
      </c>
      <c r="G247">
        <v>111.91428571429</v>
      </c>
      <c r="I247" s="9">
        <f t="shared" si="26"/>
        <v>214.85024916942999</v>
      </c>
      <c r="J247" s="9">
        <f t="shared" si="27"/>
        <v>1084.4244292529499</v>
      </c>
      <c r="K247" s="9">
        <f t="shared" si="24"/>
        <v>214.85024916942999</v>
      </c>
      <c r="L247" s="10">
        <f t="shared" si="21"/>
        <v>0.1981237635133675</v>
      </c>
      <c r="M247" s="10">
        <f t="shared" si="28"/>
        <v>0.20460110433835915</v>
      </c>
      <c r="P247" s="8">
        <f t="shared" si="29"/>
        <v>5.8351270480964734</v>
      </c>
    </row>
    <row r="248" spans="1:16" x14ac:dyDescent="0.2">
      <c r="A248" s="8">
        <v>123</v>
      </c>
      <c r="B248" s="8">
        <v>246</v>
      </c>
      <c r="D248">
        <v>1202.1867732558001</v>
      </c>
      <c r="E248">
        <v>323.85247093023003</v>
      </c>
      <c r="F248">
        <v>133.28717948718</v>
      </c>
      <c r="G248">
        <v>111.9663003663</v>
      </c>
      <c r="I248" s="9">
        <f t="shared" si="26"/>
        <v>211.88617056393002</v>
      </c>
      <c r="J248" s="9">
        <f t="shared" si="27"/>
        <v>1068.89959376862</v>
      </c>
      <c r="K248" s="9">
        <f t="shared" si="24"/>
        <v>211.88617056393002</v>
      </c>
      <c r="L248" s="10">
        <f t="shared" si="21"/>
        <v>0.19822831985264661</v>
      </c>
      <c r="M248" s="10">
        <f t="shared" si="28"/>
        <v>0.20473209880345455</v>
      </c>
      <c r="P248" s="8">
        <f t="shared" si="29"/>
        <v>5.9028872681637221</v>
      </c>
    </row>
    <row r="249" spans="1:16" x14ac:dyDescent="0.2">
      <c r="A249" s="8">
        <v>123.5</v>
      </c>
      <c r="B249" s="8">
        <v>247</v>
      </c>
      <c r="D249">
        <v>1176.7142857143001</v>
      </c>
      <c r="E249">
        <v>319.97474747475002</v>
      </c>
      <c r="F249">
        <v>133.28205128204999</v>
      </c>
      <c r="G249">
        <v>112.00366300365999</v>
      </c>
      <c r="I249" s="9">
        <f t="shared" si="26"/>
        <v>207.97108447109002</v>
      </c>
      <c r="J249" s="9">
        <f t="shared" si="27"/>
        <v>1043.4322344322502</v>
      </c>
      <c r="K249" s="9">
        <f t="shared" si="24"/>
        <v>207.97108447109002</v>
      </c>
      <c r="L249" s="10">
        <f t="shared" si="21"/>
        <v>0.19931441411166556</v>
      </c>
      <c r="M249" s="10">
        <f t="shared" si="28"/>
        <v>0.2058446311882898</v>
      </c>
      <c r="P249" s="8">
        <f t="shared" si="29"/>
        <v>6.4783729512685362</v>
      </c>
    </row>
    <row r="250" spans="1:16" x14ac:dyDescent="0.2">
      <c r="A250" s="8">
        <v>124</v>
      </c>
      <c r="B250" s="8">
        <v>248</v>
      </c>
      <c r="D250">
        <v>1122.9636627907</v>
      </c>
      <c r="E250">
        <v>306.50581395349002</v>
      </c>
      <c r="F250">
        <v>133.40732600733</v>
      </c>
      <c r="G250">
        <v>112.15604395603999</v>
      </c>
      <c r="I250" s="9">
        <f t="shared" si="26"/>
        <v>194.34976999745004</v>
      </c>
      <c r="J250" s="9">
        <f t="shared" si="27"/>
        <v>989.55633678337006</v>
      </c>
      <c r="K250" s="9">
        <f t="shared" si="24"/>
        <v>194.34976999745004</v>
      </c>
      <c r="L250" s="10">
        <f t="shared" si="21"/>
        <v>0.19640091500924456</v>
      </c>
      <c r="M250" s="10">
        <f t="shared" si="28"/>
        <v>0.20295757021168509</v>
      </c>
      <c r="P250" s="8">
        <f t="shared" si="29"/>
        <v>4.9849672033247066</v>
      </c>
    </row>
    <row r="251" spans="1:16" x14ac:dyDescent="0.2">
      <c r="A251" s="8">
        <v>124.5</v>
      </c>
      <c r="B251" s="8">
        <v>249</v>
      </c>
      <c r="D251">
        <v>1145.199127907</v>
      </c>
      <c r="E251">
        <v>315.74491279070003</v>
      </c>
      <c r="F251">
        <v>133.29304029304001</v>
      </c>
      <c r="G251">
        <v>112.01025641026</v>
      </c>
      <c r="I251" s="9">
        <f t="shared" si="26"/>
        <v>203.73465638044001</v>
      </c>
      <c r="J251" s="9">
        <f t="shared" si="27"/>
        <v>1011.90608761396</v>
      </c>
      <c r="K251" s="9">
        <f t="shared" si="24"/>
        <v>203.73465638044001</v>
      </c>
      <c r="L251" s="10">
        <f t="shared" si="21"/>
        <v>0.20133751429526367</v>
      </c>
      <c r="M251" s="10">
        <f t="shared" si="28"/>
        <v>0.20792060762352049</v>
      </c>
      <c r="P251" s="8">
        <f t="shared" si="29"/>
        <v>7.5522245831157786</v>
      </c>
    </row>
    <row r="252" spans="1:16" x14ac:dyDescent="0.2">
      <c r="A252" s="8">
        <v>125</v>
      </c>
      <c r="B252" s="8">
        <v>250</v>
      </c>
      <c r="D252">
        <v>1161.6628075253</v>
      </c>
      <c r="E252">
        <v>318.15484804631001</v>
      </c>
      <c r="F252">
        <v>133.34212454212999</v>
      </c>
      <c r="G252">
        <v>111.70549450548999</v>
      </c>
      <c r="I252" s="9">
        <f t="shared" si="26"/>
        <v>206.44935354082003</v>
      </c>
      <c r="J252" s="9">
        <f t="shared" si="27"/>
        <v>1028.3206829831699</v>
      </c>
      <c r="K252" s="9">
        <f t="shared" si="24"/>
        <v>206.44935354082003</v>
      </c>
      <c r="L252" s="10">
        <f t="shared" si="21"/>
        <v>0.20076359151107231</v>
      </c>
      <c r="M252" s="10">
        <f t="shared" si="28"/>
        <v>0.20737312296514543</v>
      </c>
      <c r="P252" s="8">
        <f t="shared" si="29"/>
        <v>7.2690242134824601</v>
      </c>
    </row>
    <row r="253" spans="1:16" x14ac:dyDescent="0.2">
      <c r="A253" s="8">
        <v>125.5</v>
      </c>
      <c r="B253" s="8">
        <v>251</v>
      </c>
      <c r="D253">
        <v>1197.2243125904999</v>
      </c>
      <c r="E253">
        <v>329.13820549927999</v>
      </c>
      <c r="F253">
        <v>132.95457875458001</v>
      </c>
      <c r="G253">
        <v>111.86227106227</v>
      </c>
      <c r="I253" s="9">
        <f t="shared" si="26"/>
        <v>217.27593443700999</v>
      </c>
      <c r="J253" s="9">
        <f t="shared" si="27"/>
        <v>1064.2697338359199</v>
      </c>
      <c r="K253" s="9">
        <f t="shared" si="24"/>
        <v>217.27593443700999</v>
      </c>
      <c r="L253" s="10">
        <f t="shared" si="21"/>
        <v>0.20415495013081691</v>
      </c>
      <c r="M253" s="10">
        <f t="shared" si="28"/>
        <v>0.21079091971070632</v>
      </c>
      <c r="P253" s="8">
        <f t="shared" si="29"/>
        <v>9.0369665418523404</v>
      </c>
    </row>
    <row r="254" spans="1:16" x14ac:dyDescent="0.2">
      <c r="A254" s="8">
        <v>126</v>
      </c>
      <c r="B254" s="8">
        <v>252</v>
      </c>
      <c r="D254">
        <v>1199.2727930536</v>
      </c>
      <c r="E254">
        <v>329.28581765556999</v>
      </c>
      <c r="F254">
        <v>133.40293040293</v>
      </c>
      <c r="G254">
        <v>111.82271062271001</v>
      </c>
      <c r="I254" s="9">
        <f t="shared" si="26"/>
        <v>217.46310703285997</v>
      </c>
      <c r="J254" s="9">
        <f t="shared" si="27"/>
        <v>1065.86986265067</v>
      </c>
      <c r="K254" s="9">
        <f t="shared" si="24"/>
        <v>217.46310703285997</v>
      </c>
      <c r="L254" s="10">
        <f t="shared" si="21"/>
        <v>0.20402406959144101</v>
      </c>
      <c r="M254" s="10">
        <f t="shared" si="28"/>
        <v>0.21068647729714671</v>
      </c>
      <c r="P254" s="8">
        <f t="shared" si="29"/>
        <v>8.9829410460270029</v>
      </c>
    </row>
    <row r="255" spans="1:16" x14ac:dyDescent="0.2">
      <c r="A255" s="8">
        <v>126.5</v>
      </c>
      <c r="B255" s="8">
        <v>253</v>
      </c>
      <c r="D255">
        <v>1176.5492040521001</v>
      </c>
      <c r="E255">
        <v>322.46454413893002</v>
      </c>
      <c r="F255">
        <v>133.44908424907999</v>
      </c>
      <c r="G255">
        <v>112.21172161171999</v>
      </c>
      <c r="I255" s="9">
        <f t="shared" si="26"/>
        <v>210.25282252721001</v>
      </c>
      <c r="J255" s="9">
        <f t="shared" si="27"/>
        <v>1043.1001198030201</v>
      </c>
      <c r="K255" s="9">
        <f t="shared" si="24"/>
        <v>210.25282252721001</v>
      </c>
      <c r="L255" s="10">
        <f t="shared" si="21"/>
        <v>0.20156533254632769</v>
      </c>
      <c r="M255" s="10">
        <f t="shared" si="28"/>
        <v>0.20825417837784968</v>
      </c>
      <c r="P255" s="8">
        <f t="shared" si="29"/>
        <v>7.7247725430992977</v>
      </c>
    </row>
    <row r="256" spans="1:16" x14ac:dyDescent="0.2">
      <c r="A256" s="8">
        <v>127</v>
      </c>
      <c r="B256" s="8">
        <v>254</v>
      </c>
      <c r="D256">
        <v>1181.7206946454</v>
      </c>
      <c r="E256">
        <v>326.1975397974</v>
      </c>
      <c r="F256">
        <v>133.30769230768999</v>
      </c>
      <c r="G256">
        <v>111.63736263736</v>
      </c>
      <c r="I256" s="9">
        <f t="shared" si="26"/>
        <v>214.56017716003998</v>
      </c>
      <c r="J256" s="9">
        <f t="shared" si="27"/>
        <v>1048.4130023377102</v>
      </c>
      <c r="K256" s="9">
        <f t="shared" si="24"/>
        <v>214.56017716003998</v>
      </c>
      <c r="L256" s="10">
        <f t="shared" si="21"/>
        <v>0.2046523428092003</v>
      </c>
      <c r="M256" s="10">
        <f t="shared" si="28"/>
        <v>0.21136762676653859</v>
      </c>
      <c r="P256" s="8">
        <f t="shared" si="29"/>
        <v>9.3352829400991624</v>
      </c>
    </row>
    <row r="257" spans="1:16" x14ac:dyDescent="0.2">
      <c r="A257" s="8">
        <v>127.5</v>
      </c>
      <c r="B257" s="8">
        <v>255</v>
      </c>
      <c r="D257">
        <v>1194.1230101302999</v>
      </c>
      <c r="E257">
        <v>322.85745296672002</v>
      </c>
      <c r="F257">
        <v>132.53553113552999</v>
      </c>
      <c r="G257">
        <v>111.81904761905</v>
      </c>
      <c r="I257" s="9">
        <f t="shared" si="26"/>
        <v>211.03840534767002</v>
      </c>
      <c r="J257" s="9">
        <f t="shared" si="27"/>
        <v>1061.58747899477</v>
      </c>
      <c r="K257" s="9">
        <f t="shared" si="24"/>
        <v>211.03840534767002</v>
      </c>
      <c r="L257" s="10">
        <f t="shared" si="21"/>
        <v>0.19879511535639516</v>
      </c>
      <c r="M257" s="10">
        <f t="shared" si="28"/>
        <v>0.20553683743954973</v>
      </c>
      <c r="P257" s="8">
        <f t="shared" si="29"/>
        <v>6.3191588032909012</v>
      </c>
    </row>
    <row r="258" spans="1:16" x14ac:dyDescent="0.2">
      <c r="A258" s="8">
        <v>128</v>
      </c>
      <c r="B258" s="8">
        <v>256</v>
      </c>
      <c r="D258">
        <v>1193.3560057887</v>
      </c>
      <c r="E258">
        <v>320.74240231548998</v>
      </c>
      <c r="F258">
        <v>133.13040293040001</v>
      </c>
      <c r="G258">
        <v>112.07252747253</v>
      </c>
      <c r="I258" s="9">
        <f t="shared" si="26"/>
        <v>208.66987484295998</v>
      </c>
      <c r="J258" s="9">
        <f t="shared" si="27"/>
        <v>1060.2256028583001</v>
      </c>
      <c r="K258" s="9">
        <f t="shared" si="24"/>
        <v>208.66987484295998</v>
      </c>
      <c r="L258" s="10">
        <f t="shared" ref="L258:L321" si="30">K258/J258</f>
        <v>0.19681648347332814</v>
      </c>
      <c r="M258" s="10">
        <f t="shared" si="28"/>
        <v>0.203584643682299</v>
      </c>
      <c r="P258" s="8">
        <f t="shared" si="29"/>
        <v>5.309336911130198</v>
      </c>
    </row>
    <row r="259" spans="1:16" x14ac:dyDescent="0.2">
      <c r="A259" s="8">
        <v>128.5</v>
      </c>
      <c r="B259" s="8">
        <v>257</v>
      </c>
      <c r="D259">
        <v>1233.2404055033001</v>
      </c>
      <c r="E259">
        <v>332.15351194786001</v>
      </c>
      <c r="F259">
        <v>133.11868131867999</v>
      </c>
      <c r="G259">
        <v>112.01904761905</v>
      </c>
      <c r="I259" s="9">
        <f t="shared" si="26"/>
        <v>220.13446432881</v>
      </c>
      <c r="J259" s="9">
        <f t="shared" si="27"/>
        <v>1100.12172418462</v>
      </c>
      <c r="K259" s="9">
        <f t="shared" ref="K259:K321" si="31">I259*1</f>
        <v>220.13446432881</v>
      </c>
      <c r="L259" s="10">
        <f t="shared" si="30"/>
        <v>0.20010009755235733</v>
      </c>
      <c r="M259" s="10">
        <f t="shared" si="28"/>
        <v>0.20689469588714449</v>
      </c>
      <c r="P259" s="8">
        <f t="shared" si="29"/>
        <v>7.0215456343847498</v>
      </c>
    </row>
    <row r="260" spans="1:16" x14ac:dyDescent="0.2">
      <c r="A260" s="8">
        <v>129</v>
      </c>
      <c r="B260" s="8">
        <v>258</v>
      </c>
      <c r="D260">
        <v>1247.0007241129999</v>
      </c>
      <c r="E260">
        <v>334.81679942071003</v>
      </c>
      <c r="F260">
        <v>132.52527472528001</v>
      </c>
      <c r="G260">
        <v>111.73186813187</v>
      </c>
      <c r="I260" s="9">
        <f t="shared" si="26"/>
        <v>223.08493128884004</v>
      </c>
      <c r="J260" s="9">
        <f t="shared" si="27"/>
        <v>1114.4754493877199</v>
      </c>
      <c r="K260" s="9">
        <f t="shared" si="31"/>
        <v>223.08493128884004</v>
      </c>
      <c r="L260" s="10">
        <f t="shared" si="30"/>
        <v>0.20017034149240376</v>
      </c>
      <c r="M260" s="10">
        <f t="shared" si="28"/>
        <v>0.20699137795300721</v>
      </c>
      <c r="P260" s="8">
        <f t="shared" si="29"/>
        <v>7.0715568929111532</v>
      </c>
    </row>
    <row r="261" spans="1:16" x14ac:dyDescent="0.2">
      <c r="A261" s="8">
        <v>129.5</v>
      </c>
      <c r="B261" s="8">
        <v>259</v>
      </c>
      <c r="D261">
        <v>1240.2360608255001</v>
      </c>
      <c r="E261">
        <v>330.99058653150001</v>
      </c>
      <c r="F261">
        <v>132.98315018315</v>
      </c>
      <c r="G261">
        <v>111.63076923077</v>
      </c>
      <c r="I261" s="9">
        <f t="shared" si="26"/>
        <v>219.35981730073001</v>
      </c>
      <c r="J261" s="9">
        <f t="shared" si="27"/>
        <v>1107.2529106423501</v>
      </c>
      <c r="K261" s="9">
        <f t="shared" si="31"/>
        <v>219.35981730073001</v>
      </c>
      <c r="L261" s="10">
        <f t="shared" si="30"/>
        <v>0.19811175494989028</v>
      </c>
      <c r="M261" s="10">
        <f t="shared" si="28"/>
        <v>0.20495922953631002</v>
      </c>
      <c r="P261" s="8">
        <f t="shared" si="29"/>
        <v>6.0203764188015976</v>
      </c>
    </row>
    <row r="262" spans="1:16" x14ac:dyDescent="0.2">
      <c r="A262" s="8">
        <v>130</v>
      </c>
      <c r="B262" s="8">
        <v>260</v>
      </c>
      <c r="D262">
        <v>1248.9377262853</v>
      </c>
      <c r="E262">
        <v>332.48153511947999</v>
      </c>
      <c r="F262">
        <v>133.14578754579</v>
      </c>
      <c r="G262">
        <v>111.83443223443</v>
      </c>
      <c r="I262" s="9">
        <f t="shared" si="26"/>
        <v>220.64710288505</v>
      </c>
      <c r="J262" s="9">
        <f t="shared" si="27"/>
        <v>1115.79193873951</v>
      </c>
      <c r="K262" s="9">
        <f t="shared" si="31"/>
        <v>220.64710288505</v>
      </c>
      <c r="L262" s="10">
        <f t="shared" si="30"/>
        <v>0.19774932514238366</v>
      </c>
      <c r="M262" s="10">
        <f t="shared" si="28"/>
        <v>0.20462323785461969</v>
      </c>
      <c r="P262" s="8">
        <f t="shared" si="29"/>
        <v>5.8465761725429468</v>
      </c>
    </row>
    <row r="263" spans="1:16" x14ac:dyDescent="0.2">
      <c r="A263" s="8">
        <v>130.5</v>
      </c>
      <c r="B263" s="8">
        <v>261</v>
      </c>
      <c r="D263">
        <v>1222.6463768116</v>
      </c>
      <c r="E263">
        <v>327.16956521739002</v>
      </c>
      <c r="F263">
        <v>132.92014652015001</v>
      </c>
      <c r="G263">
        <v>112.08131868132</v>
      </c>
      <c r="I263" s="9">
        <f t="shared" si="26"/>
        <v>215.08824653607002</v>
      </c>
      <c r="J263" s="9">
        <f t="shared" si="27"/>
        <v>1089.7262302914501</v>
      </c>
      <c r="K263" s="9">
        <f t="shared" si="31"/>
        <v>215.08824653607002</v>
      </c>
      <c r="L263" s="10">
        <f t="shared" si="30"/>
        <v>0.19737824102714691</v>
      </c>
      <c r="M263" s="10">
        <f t="shared" si="28"/>
        <v>0.20427859186519923</v>
      </c>
      <c r="P263" s="8">
        <f t="shared" si="29"/>
        <v>5.6682992654124238</v>
      </c>
    </row>
    <row r="264" spans="1:16" x14ac:dyDescent="0.2">
      <c r="A264" s="8">
        <v>131</v>
      </c>
      <c r="B264" s="8">
        <v>262</v>
      </c>
      <c r="D264">
        <v>1278.7064821558999</v>
      </c>
      <c r="E264">
        <v>334.60087399854001</v>
      </c>
      <c r="F264">
        <v>133.12527472528001</v>
      </c>
      <c r="G264">
        <v>111.93772893773</v>
      </c>
      <c r="I264" s="9">
        <f t="shared" si="26"/>
        <v>222.66314506081</v>
      </c>
      <c r="J264" s="9">
        <f t="shared" si="27"/>
        <v>1145.58120743062</v>
      </c>
      <c r="K264" s="9">
        <f t="shared" si="31"/>
        <v>222.66314506081</v>
      </c>
      <c r="L264" s="10">
        <f t="shared" si="30"/>
        <v>0.19436696727961572</v>
      </c>
      <c r="M264" s="10">
        <f t="shared" si="28"/>
        <v>0.20129375624348433</v>
      </c>
      <c r="P264" s="8">
        <f t="shared" si="29"/>
        <v>4.1243170945270737</v>
      </c>
    </row>
    <row r="265" spans="1:16" x14ac:dyDescent="0.2">
      <c r="A265" s="8">
        <v>131.5</v>
      </c>
      <c r="B265" s="8">
        <v>263</v>
      </c>
      <c r="D265">
        <v>1274.1791697014</v>
      </c>
      <c r="E265">
        <v>331.90021849964</v>
      </c>
      <c r="F265">
        <v>133.25714285714</v>
      </c>
      <c r="G265">
        <v>111.63663003663</v>
      </c>
      <c r="I265" s="9">
        <f t="shared" si="26"/>
        <v>220.26358846301002</v>
      </c>
      <c r="J265" s="9">
        <f t="shared" si="27"/>
        <v>1140.92202684426</v>
      </c>
      <c r="K265" s="9">
        <f t="shared" si="31"/>
        <v>220.26358846301002</v>
      </c>
      <c r="L265" s="10">
        <f t="shared" si="30"/>
        <v>0.19305753003318674</v>
      </c>
      <c r="M265" s="10">
        <f t="shared" si="28"/>
        <v>0.20001075712287164</v>
      </c>
      <c r="P265" s="8">
        <f t="shared" si="29"/>
        <v>3.4606531550202582</v>
      </c>
    </row>
    <row r="266" spans="1:16" x14ac:dyDescent="0.2">
      <c r="A266" s="8">
        <v>132</v>
      </c>
      <c r="B266" s="8">
        <v>264</v>
      </c>
      <c r="D266">
        <v>1279.2741818182001</v>
      </c>
      <c r="E266">
        <v>335.06909090908999</v>
      </c>
      <c r="F266">
        <v>132.97142857143001</v>
      </c>
      <c r="G266">
        <v>111.74871794872</v>
      </c>
      <c r="I266" s="9">
        <f t="shared" si="26"/>
        <v>223.32037296036998</v>
      </c>
      <c r="J266" s="9">
        <f t="shared" si="27"/>
        <v>1146.30275324677</v>
      </c>
      <c r="K266" s="9">
        <f t="shared" si="31"/>
        <v>223.32037296036998</v>
      </c>
      <c r="L266" s="10">
        <f t="shared" si="30"/>
        <v>0.19481796787789338</v>
      </c>
      <c r="M266" s="10">
        <f t="shared" si="28"/>
        <v>0.2017976330933946</v>
      </c>
      <c r="P266" s="8">
        <f t="shared" si="29"/>
        <v>4.3849602156837264</v>
      </c>
    </row>
    <row r="267" spans="1:16" x14ac:dyDescent="0.2">
      <c r="A267" s="8">
        <v>132.5</v>
      </c>
      <c r="B267" s="8">
        <v>265</v>
      </c>
      <c r="D267">
        <v>1265.1643636363999</v>
      </c>
      <c r="E267">
        <v>336.46981818182002</v>
      </c>
      <c r="F267">
        <v>132.70989010989001</v>
      </c>
      <c r="G267">
        <v>111.71575091574999</v>
      </c>
      <c r="I267" s="9">
        <f t="shared" si="26"/>
        <v>224.75406726607002</v>
      </c>
      <c r="J267" s="9">
        <f t="shared" si="27"/>
        <v>1132.4544735265099</v>
      </c>
      <c r="K267" s="9">
        <f t="shared" si="31"/>
        <v>224.75406726607002</v>
      </c>
      <c r="L267" s="10">
        <f t="shared" si="30"/>
        <v>0.19846631588303643</v>
      </c>
      <c r="M267" s="10">
        <f t="shared" si="28"/>
        <v>0.20547241922435394</v>
      </c>
      <c r="P267" s="8">
        <f t="shared" si="29"/>
        <v>6.2858368424368525</v>
      </c>
    </row>
    <row r="268" spans="1:16" x14ac:dyDescent="0.2">
      <c r="A268" s="8">
        <v>133</v>
      </c>
      <c r="B268" s="8">
        <v>266</v>
      </c>
      <c r="D268">
        <v>1245.3771802326</v>
      </c>
      <c r="E268">
        <v>327.50290697674001</v>
      </c>
      <c r="F268">
        <v>133.14139194139</v>
      </c>
      <c r="G268">
        <v>111.41758241757999</v>
      </c>
      <c r="I268" s="9">
        <f t="shared" si="26"/>
        <v>216.08532455916003</v>
      </c>
      <c r="J268" s="9">
        <f t="shared" si="27"/>
        <v>1112.2357882912102</v>
      </c>
      <c r="K268" s="9">
        <f t="shared" si="31"/>
        <v>216.08532455916003</v>
      </c>
      <c r="L268" s="10">
        <f t="shared" si="30"/>
        <v>0.19428013990733381</v>
      </c>
      <c r="M268" s="10">
        <f t="shared" si="28"/>
        <v>0.20131268137446762</v>
      </c>
      <c r="P268" s="8">
        <f t="shared" si="29"/>
        <v>4.1341066000553779</v>
      </c>
    </row>
    <row r="269" spans="1:16" x14ac:dyDescent="0.2">
      <c r="A269" s="8">
        <v>133.5</v>
      </c>
      <c r="B269" s="8">
        <v>267</v>
      </c>
      <c r="D269">
        <v>1221.4215116278999</v>
      </c>
      <c r="E269">
        <v>321.2398255814</v>
      </c>
      <c r="F269">
        <v>132.65347985348001</v>
      </c>
      <c r="G269">
        <v>112.06593406592999</v>
      </c>
      <c r="I269" s="9">
        <f t="shared" si="26"/>
        <v>209.17389151547002</v>
      </c>
      <c r="J269" s="9">
        <f t="shared" si="27"/>
        <v>1088.7680317744198</v>
      </c>
      <c r="K269" s="9">
        <f t="shared" si="31"/>
        <v>209.17389151547002</v>
      </c>
      <c r="L269" s="10">
        <f t="shared" si="30"/>
        <v>0.19211979541185539</v>
      </c>
      <c r="M269" s="10">
        <f t="shared" si="28"/>
        <v>0.19917877500480549</v>
      </c>
      <c r="P269" s="8">
        <f t="shared" si="29"/>
        <v>3.0302892356659537</v>
      </c>
    </row>
    <row r="270" spans="1:16" x14ac:dyDescent="0.2">
      <c r="A270" s="8">
        <v>134</v>
      </c>
      <c r="B270" s="8">
        <v>268</v>
      </c>
      <c r="D270">
        <v>1240.3859522084999</v>
      </c>
      <c r="E270">
        <v>324.58942795076001</v>
      </c>
      <c r="F270">
        <v>133.17216117216</v>
      </c>
      <c r="G270">
        <v>111.42417582418</v>
      </c>
      <c r="I270" s="9">
        <f t="shared" si="26"/>
        <v>213.16525212658001</v>
      </c>
      <c r="J270" s="9">
        <f t="shared" si="27"/>
        <v>1107.2137910363399</v>
      </c>
      <c r="K270" s="9">
        <f t="shared" si="31"/>
        <v>213.16525212658001</v>
      </c>
      <c r="L270" s="10">
        <f t="shared" si="30"/>
        <v>0.19252402187572076</v>
      </c>
      <c r="M270" s="10">
        <f t="shared" si="28"/>
        <v>0.19960943959448715</v>
      </c>
      <c r="P270" s="8">
        <f t="shared" si="29"/>
        <v>3.2530614524214312</v>
      </c>
    </row>
    <row r="271" spans="1:16" x14ac:dyDescent="0.2">
      <c r="A271" s="8">
        <v>134.5</v>
      </c>
      <c r="B271" s="8">
        <v>269</v>
      </c>
      <c r="D271">
        <v>1287.7112727273</v>
      </c>
      <c r="E271">
        <v>335.95418181818002</v>
      </c>
      <c r="F271">
        <v>132.73699633699999</v>
      </c>
      <c r="G271">
        <v>111.59633699634</v>
      </c>
      <c r="I271" s="9">
        <f t="shared" si="26"/>
        <v>224.35784482184002</v>
      </c>
      <c r="J271" s="9">
        <f t="shared" si="27"/>
        <v>1154.9742763903</v>
      </c>
      <c r="K271" s="9">
        <f t="shared" si="31"/>
        <v>224.35784482184002</v>
      </c>
      <c r="L271" s="10">
        <f t="shared" si="30"/>
        <v>0.19425354261831443</v>
      </c>
      <c r="M271" s="10">
        <f t="shared" si="28"/>
        <v>0.20136539846289711</v>
      </c>
      <c r="P271" s="8">
        <f t="shared" si="29"/>
        <v>4.161375855368461</v>
      </c>
    </row>
    <row r="272" spans="1:16" x14ac:dyDescent="0.2">
      <c r="A272" s="8">
        <v>135</v>
      </c>
      <c r="B272" s="8">
        <v>270</v>
      </c>
      <c r="D272">
        <v>1275.8669090909</v>
      </c>
      <c r="E272">
        <v>333.17672727272998</v>
      </c>
      <c r="F272">
        <v>133.20366300366001</v>
      </c>
      <c r="G272">
        <v>111.57142857143</v>
      </c>
      <c r="I272" s="9">
        <f t="shared" si="26"/>
        <v>221.60529870129997</v>
      </c>
      <c r="J272" s="9">
        <f t="shared" si="27"/>
        <v>1142.6632460872399</v>
      </c>
      <c r="K272" s="9">
        <f t="shared" si="31"/>
        <v>221.60529870129997</v>
      </c>
      <c r="L272" s="10">
        <f t="shared" si="30"/>
        <v>0.19393753974334174</v>
      </c>
      <c r="M272" s="10">
        <f t="shared" si="28"/>
        <v>0.20107583371374071</v>
      </c>
      <c r="P272" s="8">
        <f t="shared" si="29"/>
        <v>4.0115911212404551</v>
      </c>
    </row>
    <row r="273" spans="1:16" x14ac:dyDescent="0.2">
      <c r="A273" s="8">
        <v>135.5</v>
      </c>
      <c r="B273" s="8">
        <v>271</v>
      </c>
      <c r="D273">
        <v>1276.6421818182</v>
      </c>
      <c r="E273">
        <v>334.07563636364</v>
      </c>
      <c r="F273">
        <v>132.34505494506001</v>
      </c>
      <c r="G273">
        <v>111.83516483517</v>
      </c>
      <c r="I273" s="9">
        <f t="shared" si="26"/>
        <v>222.24047152846998</v>
      </c>
      <c r="J273" s="9">
        <f t="shared" si="27"/>
        <v>1144.2971268731401</v>
      </c>
      <c r="K273" s="9">
        <f t="shared" si="31"/>
        <v>222.24047152846998</v>
      </c>
      <c r="L273" s="10">
        <f t="shared" si="30"/>
        <v>0.19421570351728076</v>
      </c>
      <c r="M273" s="10">
        <f t="shared" si="28"/>
        <v>0.20138043561349603</v>
      </c>
      <c r="P273" s="8">
        <f t="shared" si="29"/>
        <v>4.1691542041179659</v>
      </c>
    </row>
    <row r="274" spans="1:16" x14ac:dyDescent="0.2">
      <c r="A274" s="8">
        <v>136</v>
      </c>
      <c r="B274" s="8">
        <v>272</v>
      </c>
      <c r="D274">
        <v>1268.8720000000001</v>
      </c>
      <c r="E274">
        <v>335.29163636364001</v>
      </c>
      <c r="F274">
        <v>132.35238095238</v>
      </c>
      <c r="G274">
        <v>111.92820512821</v>
      </c>
      <c r="I274" s="9">
        <f t="shared" si="26"/>
        <v>223.36343123543003</v>
      </c>
      <c r="J274" s="9">
        <f t="shared" si="27"/>
        <v>1136.5196190476202</v>
      </c>
      <c r="K274" s="9">
        <f t="shared" si="31"/>
        <v>223.36343123543003</v>
      </c>
      <c r="L274" s="10">
        <f t="shared" si="30"/>
        <v>0.1965328424533524</v>
      </c>
      <c r="M274" s="10">
        <f t="shared" si="28"/>
        <v>0.20372401267538395</v>
      </c>
      <c r="P274" s="8">
        <f t="shared" si="29"/>
        <v>5.3814290688798341</v>
      </c>
    </row>
    <row r="275" spans="1:16" x14ac:dyDescent="0.2">
      <c r="A275" s="8">
        <v>136.5</v>
      </c>
      <c r="B275" s="8">
        <v>273</v>
      </c>
      <c r="D275">
        <v>1243.0036363636</v>
      </c>
      <c r="E275">
        <v>330.04654545455003</v>
      </c>
      <c r="F275">
        <v>133.0043956044</v>
      </c>
      <c r="G275">
        <v>111.55531135531</v>
      </c>
      <c r="I275" s="9">
        <f>E275-G275</f>
        <v>218.49123409924005</v>
      </c>
      <c r="J275" s="9">
        <f>D275-F275</f>
        <v>1109.9992407591999</v>
      </c>
      <c r="K275" s="9">
        <f t="shared" si="31"/>
        <v>218.49123409924005</v>
      </c>
      <c r="L275" s="10">
        <f t="shared" si="30"/>
        <v>0.19683908427703053</v>
      </c>
      <c r="M275" s="10">
        <f>L275+ABS($N$2)*A275</f>
        <v>0.20405669262487838</v>
      </c>
      <c r="O275" s="11"/>
      <c r="P275" s="8">
        <f>(M275-$O$2)/$O$2*100</f>
        <v>5.5535162373971163</v>
      </c>
    </row>
    <row r="276" spans="1:16" x14ac:dyDescent="0.2">
      <c r="A276" s="8">
        <v>137</v>
      </c>
      <c r="B276" s="8">
        <v>274</v>
      </c>
      <c r="D276">
        <v>1191.8567272727</v>
      </c>
      <c r="E276">
        <v>319.40509090909001</v>
      </c>
      <c r="F276">
        <v>132.7304029304</v>
      </c>
      <c r="G276">
        <v>111.6673992674</v>
      </c>
      <c r="I276" s="9">
        <f t="shared" ref="I276:I291" si="32">E276-G276</f>
        <v>207.73769164168999</v>
      </c>
      <c r="J276" s="9">
        <f t="shared" ref="J276:J291" si="33">D276-F276</f>
        <v>1059.1263243423</v>
      </c>
      <c r="K276" s="9">
        <f t="shared" si="31"/>
        <v>207.73769164168999</v>
      </c>
      <c r="L276" s="10">
        <f t="shared" si="30"/>
        <v>0.19614061785376893</v>
      </c>
      <c r="M276" s="10">
        <f t="shared" ref="M276:M291" si="34">L276+ABS($N$2)*A276</f>
        <v>0.20338466432743307</v>
      </c>
      <c r="P276" s="8">
        <f t="shared" ref="P276:P291" si="35">(M276-$O$2)/$O$2*100</f>
        <v>5.2058925015915722</v>
      </c>
    </row>
    <row r="277" spans="1:16" x14ac:dyDescent="0.2">
      <c r="A277" s="8">
        <v>137.5</v>
      </c>
      <c r="B277" s="8">
        <v>275</v>
      </c>
      <c r="D277">
        <v>1268.0800582242</v>
      </c>
      <c r="E277">
        <v>337.35662299853999</v>
      </c>
      <c r="F277">
        <v>133.09743589743999</v>
      </c>
      <c r="G277">
        <v>111.70915750915999</v>
      </c>
      <c r="I277" s="9">
        <f t="shared" si="32"/>
        <v>225.64746548938001</v>
      </c>
      <c r="J277" s="9">
        <f t="shared" si="33"/>
        <v>1134.9826223267601</v>
      </c>
      <c r="K277" s="9">
        <f t="shared" si="31"/>
        <v>225.64746548938001</v>
      </c>
      <c r="L277" s="10">
        <f t="shared" si="30"/>
        <v>0.19881138358470513</v>
      </c>
      <c r="M277" s="10">
        <f t="shared" si="34"/>
        <v>0.20608186818418556</v>
      </c>
      <c r="N277" s="1"/>
      <c r="P277" s="8">
        <f t="shared" si="35"/>
        <v>6.6010898236057161</v>
      </c>
    </row>
    <row r="278" spans="1:16" x14ac:dyDescent="0.2">
      <c r="A278" s="8">
        <v>138</v>
      </c>
      <c r="B278" s="8">
        <v>276</v>
      </c>
      <c r="D278">
        <v>1309.2780203785001</v>
      </c>
      <c r="E278">
        <v>347.31441048034998</v>
      </c>
      <c r="F278">
        <v>132.63003663004</v>
      </c>
      <c r="G278">
        <v>111.75457875458</v>
      </c>
      <c r="I278" s="9">
        <f t="shared" si="32"/>
        <v>235.55983172576998</v>
      </c>
      <c r="J278" s="9">
        <f t="shared" si="33"/>
        <v>1176.6479837484601</v>
      </c>
      <c r="K278" s="9">
        <f t="shared" si="31"/>
        <v>235.55983172576998</v>
      </c>
      <c r="L278" s="10">
        <f t="shared" si="30"/>
        <v>0.20019567022529924</v>
      </c>
      <c r="M278" s="10">
        <f t="shared" si="34"/>
        <v>0.20749259295059597</v>
      </c>
      <c r="P278" s="8">
        <f t="shared" si="35"/>
        <v>7.3308231032268747</v>
      </c>
    </row>
    <row r="279" spans="1:16" x14ac:dyDescent="0.2">
      <c r="A279" s="8">
        <v>138.5</v>
      </c>
      <c r="B279" s="8">
        <v>277</v>
      </c>
      <c r="D279">
        <v>1268.9565846599</v>
      </c>
      <c r="E279">
        <v>340.19247467438998</v>
      </c>
      <c r="F279">
        <v>132.863003663</v>
      </c>
      <c r="G279">
        <v>111.94212454213</v>
      </c>
      <c r="I279" s="9">
        <f t="shared" si="32"/>
        <v>228.25035013226</v>
      </c>
      <c r="J279" s="9">
        <f t="shared" si="33"/>
        <v>1136.0935809969001</v>
      </c>
      <c r="K279" s="9">
        <f t="shared" si="31"/>
        <v>228.25035013226</v>
      </c>
      <c r="L279" s="10">
        <f t="shared" si="30"/>
        <v>0.20090805365872655</v>
      </c>
      <c r="M279" s="10">
        <f t="shared" si="34"/>
        <v>0.20823141450983956</v>
      </c>
      <c r="P279" s="8">
        <f t="shared" si="35"/>
        <v>7.712997353171815</v>
      </c>
    </row>
    <row r="280" spans="1:16" x14ac:dyDescent="0.2">
      <c r="A280" s="8">
        <v>139</v>
      </c>
      <c r="B280" s="8">
        <v>278</v>
      </c>
      <c r="D280">
        <v>1252.1085383502</v>
      </c>
      <c r="E280">
        <v>335.44790159190001</v>
      </c>
      <c r="F280">
        <v>132.78241758242001</v>
      </c>
      <c r="G280">
        <v>111.48131868132</v>
      </c>
      <c r="I280" s="9">
        <f t="shared" si="32"/>
        <v>223.96658291058</v>
      </c>
      <c r="J280" s="9">
        <f t="shared" si="33"/>
        <v>1119.3261207677799</v>
      </c>
      <c r="K280" s="9">
        <f t="shared" si="31"/>
        <v>223.96658291058</v>
      </c>
      <c r="L280" s="10">
        <f t="shared" si="30"/>
        <v>0.20009055337416273</v>
      </c>
      <c r="M280" s="10">
        <f t="shared" si="34"/>
        <v>0.20744035235109204</v>
      </c>
      <c r="P280" s="8">
        <f t="shared" si="35"/>
        <v>7.3038003239342304</v>
      </c>
    </row>
    <row r="281" spans="1:16" x14ac:dyDescent="0.2">
      <c r="A281" s="8">
        <v>139.5</v>
      </c>
      <c r="B281" s="8">
        <v>279</v>
      </c>
      <c r="D281">
        <v>1250.7930535456001</v>
      </c>
      <c r="E281">
        <v>337.15484804631001</v>
      </c>
      <c r="F281">
        <v>133.01904761905001</v>
      </c>
      <c r="G281">
        <v>111.61465201465001</v>
      </c>
      <c r="I281" s="9">
        <f t="shared" si="32"/>
        <v>225.54019603166</v>
      </c>
      <c r="J281" s="9">
        <f t="shared" si="33"/>
        <v>1117.77400592655</v>
      </c>
      <c r="K281" s="9">
        <f t="shared" si="31"/>
        <v>225.54019603166</v>
      </c>
      <c r="L281" s="10">
        <f t="shared" si="30"/>
        <v>0.20177620416633707</v>
      </c>
      <c r="M281" s="10">
        <f t="shared" si="34"/>
        <v>0.20915244126908267</v>
      </c>
      <c r="P281" s="8">
        <f t="shared" si="35"/>
        <v>8.1894218788087247</v>
      </c>
    </row>
    <row r="282" spans="1:16" x14ac:dyDescent="0.2">
      <c r="A282" s="8">
        <v>140</v>
      </c>
      <c r="B282" s="8">
        <v>280</v>
      </c>
      <c r="D282">
        <v>1238.9883636364</v>
      </c>
      <c r="E282">
        <v>333.98690909090999</v>
      </c>
      <c r="F282">
        <v>132.57509157509</v>
      </c>
      <c r="G282">
        <v>111.77289377289</v>
      </c>
      <c r="I282" s="9">
        <f t="shared" si="32"/>
        <v>222.21401531801999</v>
      </c>
      <c r="J282" s="9">
        <f t="shared" si="33"/>
        <v>1106.41327206131</v>
      </c>
      <c r="K282" s="9">
        <f t="shared" si="31"/>
        <v>222.21401531801999</v>
      </c>
      <c r="L282" s="10">
        <f t="shared" si="30"/>
        <v>0.20084178392403304</v>
      </c>
      <c r="M282" s="10">
        <f t="shared" si="34"/>
        <v>0.20824445915259493</v>
      </c>
      <c r="P282" s="8">
        <f t="shared" si="35"/>
        <v>7.7197450265422782</v>
      </c>
    </row>
    <row r="283" spans="1:16" x14ac:dyDescent="0.2">
      <c r="A283" s="8">
        <v>140.5</v>
      </c>
      <c r="B283" s="8">
        <v>281</v>
      </c>
      <c r="D283">
        <v>1213.0225947521999</v>
      </c>
      <c r="E283">
        <v>326.37536443149003</v>
      </c>
      <c r="F283">
        <v>132.88131868132001</v>
      </c>
      <c r="G283">
        <v>111.66593406593</v>
      </c>
      <c r="I283" s="9">
        <f t="shared" si="32"/>
        <v>214.70943036556002</v>
      </c>
      <c r="J283" s="9">
        <f t="shared" si="33"/>
        <v>1080.1412760708799</v>
      </c>
      <c r="K283" s="9">
        <f t="shared" si="31"/>
        <v>214.70943036556002</v>
      </c>
      <c r="L283" s="10">
        <f t="shared" si="30"/>
        <v>0.19877902559800945</v>
      </c>
      <c r="M283" s="10">
        <f t="shared" si="34"/>
        <v>0.20620813895238763</v>
      </c>
      <c r="P283" s="8">
        <f t="shared" si="35"/>
        <v>6.6664065912660995</v>
      </c>
    </row>
    <row r="284" spans="1:16" x14ac:dyDescent="0.2">
      <c r="A284" s="8">
        <v>141</v>
      </c>
      <c r="B284" s="8">
        <v>282</v>
      </c>
      <c r="D284">
        <v>1200.056122449</v>
      </c>
      <c r="E284">
        <v>321.20772594751998</v>
      </c>
      <c r="F284">
        <v>132.55384615385</v>
      </c>
      <c r="G284">
        <v>111.4380952381</v>
      </c>
      <c r="I284" s="9">
        <f t="shared" si="32"/>
        <v>209.76963070941997</v>
      </c>
      <c r="J284" s="9">
        <f t="shared" si="33"/>
        <v>1067.5022762951501</v>
      </c>
      <c r="K284" s="9">
        <f t="shared" si="31"/>
        <v>209.76963070941997</v>
      </c>
      <c r="L284" s="10">
        <f t="shared" si="30"/>
        <v>0.1965050898415335</v>
      </c>
      <c r="M284" s="10">
        <f t="shared" si="34"/>
        <v>0.20396064132172798</v>
      </c>
      <c r="P284" s="8">
        <f t="shared" si="35"/>
        <v>5.5038312569326546</v>
      </c>
    </row>
    <row r="285" spans="1:16" x14ac:dyDescent="0.2">
      <c r="A285" s="8">
        <v>141.5</v>
      </c>
      <c r="B285" s="8">
        <v>283</v>
      </c>
      <c r="D285">
        <v>1171.4249271137001</v>
      </c>
      <c r="E285">
        <v>316.04373177843001</v>
      </c>
      <c r="F285">
        <v>132.98388278388001</v>
      </c>
      <c r="G285">
        <v>111.63003663004</v>
      </c>
      <c r="I285" s="9">
        <f t="shared" si="32"/>
        <v>204.41369514839002</v>
      </c>
      <c r="J285" s="9">
        <f t="shared" si="33"/>
        <v>1038.44104432982</v>
      </c>
      <c r="K285" s="9">
        <f t="shared" si="31"/>
        <v>204.41369514839002</v>
      </c>
      <c r="L285" s="10">
        <f t="shared" si="30"/>
        <v>0.19684670233764956</v>
      </c>
      <c r="M285" s="10">
        <f t="shared" si="34"/>
        <v>0.20432869194366032</v>
      </c>
      <c r="P285" s="8">
        <f t="shared" si="35"/>
        <v>5.6942148057326802</v>
      </c>
    </row>
    <row r="286" spans="1:16" x14ac:dyDescent="0.2">
      <c r="A286" s="8">
        <v>142</v>
      </c>
      <c r="B286" s="8">
        <v>284</v>
      </c>
      <c r="D286">
        <v>1235.4996363636001</v>
      </c>
      <c r="E286">
        <v>332.69672727273002</v>
      </c>
      <c r="F286">
        <v>132.84102564103</v>
      </c>
      <c r="G286">
        <v>111.53626373626</v>
      </c>
      <c r="I286" s="9">
        <f t="shared" si="32"/>
        <v>221.16046353647002</v>
      </c>
      <c r="J286" s="9">
        <f t="shared" si="33"/>
        <v>1102.6586107225701</v>
      </c>
      <c r="K286" s="9">
        <f t="shared" si="31"/>
        <v>221.16046353647002</v>
      </c>
      <c r="L286" s="10">
        <f t="shared" si="30"/>
        <v>0.20057020494452402</v>
      </c>
      <c r="M286" s="10">
        <f t="shared" si="34"/>
        <v>0.20807863267635107</v>
      </c>
      <c r="P286" s="8">
        <f t="shared" si="35"/>
        <v>7.6339670624498508</v>
      </c>
    </row>
    <row r="287" spans="1:16" x14ac:dyDescent="0.2">
      <c r="A287" s="8">
        <v>142.5</v>
      </c>
      <c r="B287" s="8">
        <v>285</v>
      </c>
      <c r="D287">
        <v>1234.2945454546</v>
      </c>
      <c r="E287">
        <v>339.44872727273003</v>
      </c>
      <c r="F287">
        <v>132.16263736264</v>
      </c>
      <c r="G287">
        <v>111.62344322344001</v>
      </c>
      <c r="I287" s="9">
        <f t="shared" si="32"/>
        <v>227.82528404929002</v>
      </c>
      <c r="J287" s="9">
        <f t="shared" si="33"/>
        <v>1102.13190809196</v>
      </c>
      <c r="K287" s="9">
        <f t="shared" si="31"/>
        <v>227.82528404929002</v>
      </c>
      <c r="L287" s="10">
        <f t="shared" si="30"/>
        <v>0.20671326397192075</v>
      </c>
      <c r="M287" s="10">
        <f t="shared" si="34"/>
        <v>0.21424812982956409</v>
      </c>
      <c r="P287" s="8">
        <f t="shared" si="35"/>
        <v>10.825296440385925</v>
      </c>
    </row>
    <row r="288" spans="1:16" x14ac:dyDescent="0.2">
      <c r="A288" s="8">
        <v>143</v>
      </c>
      <c r="B288" s="8">
        <v>286</v>
      </c>
      <c r="D288">
        <v>1269.9985496736999</v>
      </c>
      <c r="E288">
        <v>344.42059463379002</v>
      </c>
      <c r="F288">
        <v>132.41831501831999</v>
      </c>
      <c r="G288">
        <v>111.65421245421</v>
      </c>
      <c r="I288" s="9">
        <f t="shared" si="32"/>
        <v>232.76638217958003</v>
      </c>
      <c r="J288" s="9">
        <f t="shared" si="33"/>
        <v>1137.5802346553799</v>
      </c>
      <c r="K288" s="9">
        <f t="shared" si="31"/>
        <v>232.76638217958003</v>
      </c>
      <c r="L288" s="10">
        <f t="shared" si="30"/>
        <v>0.20461535379093027</v>
      </c>
      <c r="M288" s="10">
        <f t="shared" si="34"/>
        <v>0.2121766577743899</v>
      </c>
      <c r="P288" s="8">
        <f t="shared" si="35"/>
        <v>9.7537748137314431</v>
      </c>
    </row>
    <row r="289" spans="1:16" x14ac:dyDescent="0.2">
      <c r="A289" s="8">
        <v>143.5</v>
      </c>
      <c r="B289" s="8">
        <v>287</v>
      </c>
      <c r="D289">
        <v>1264.9775199420001</v>
      </c>
      <c r="E289">
        <v>341.67730239304001</v>
      </c>
      <c r="F289">
        <v>132.95457875458001</v>
      </c>
      <c r="G289">
        <v>111.6717948718</v>
      </c>
      <c r="I289" s="9">
        <f t="shared" si="32"/>
        <v>230.00550752124002</v>
      </c>
      <c r="J289" s="9">
        <f t="shared" si="33"/>
        <v>1132.02294118742</v>
      </c>
      <c r="K289" s="9">
        <f t="shared" si="31"/>
        <v>230.00550752124002</v>
      </c>
      <c r="L289" s="10">
        <f t="shared" si="30"/>
        <v>0.20318095963671803</v>
      </c>
      <c r="M289" s="10">
        <f t="shared" si="34"/>
        <v>0.21076870174599396</v>
      </c>
      <c r="P289" s="8">
        <f t="shared" si="35"/>
        <v>9.0254737342954776</v>
      </c>
    </row>
    <row r="290" spans="1:16" x14ac:dyDescent="0.2">
      <c r="A290" s="8">
        <v>144</v>
      </c>
      <c r="B290" s="8">
        <v>288</v>
      </c>
      <c r="D290">
        <v>1260.9050036258</v>
      </c>
      <c r="E290">
        <v>342.26613488035002</v>
      </c>
      <c r="F290">
        <v>132.53699633700001</v>
      </c>
      <c r="G290">
        <v>111.76117216116999</v>
      </c>
      <c r="I290" s="9">
        <f t="shared" si="32"/>
        <v>230.50496271918001</v>
      </c>
      <c r="J290" s="9">
        <f t="shared" si="33"/>
        <v>1128.3680072888001</v>
      </c>
      <c r="K290" s="9">
        <f t="shared" si="31"/>
        <v>230.50496271918001</v>
      </c>
      <c r="L290" s="10">
        <f t="shared" si="30"/>
        <v>0.20428172478323681</v>
      </c>
      <c r="M290" s="10">
        <f t="shared" si="34"/>
        <v>0.21189590501832903</v>
      </c>
      <c r="P290" s="8">
        <f t="shared" si="35"/>
        <v>9.6085483072426641</v>
      </c>
    </row>
    <row r="291" spans="1:16" x14ac:dyDescent="0.2">
      <c r="A291" s="8">
        <v>144.5</v>
      </c>
      <c r="B291" s="8">
        <v>289</v>
      </c>
      <c r="D291">
        <v>1218.0123010130001</v>
      </c>
      <c r="E291">
        <v>328.66063675831998</v>
      </c>
      <c r="F291">
        <v>132.41245421245</v>
      </c>
      <c r="G291">
        <v>111.77582417582001</v>
      </c>
      <c r="I291" s="9">
        <f t="shared" si="32"/>
        <v>216.88481258249999</v>
      </c>
      <c r="J291" s="9">
        <f t="shared" si="33"/>
        <v>1085.59984680055</v>
      </c>
      <c r="K291" s="9">
        <f t="shared" si="31"/>
        <v>216.88481258249999</v>
      </c>
      <c r="L291" s="10">
        <f t="shared" si="30"/>
        <v>0.19978338539904639</v>
      </c>
      <c r="M291" s="10">
        <f t="shared" si="34"/>
        <v>0.2074240037599549</v>
      </c>
      <c r="P291" s="8">
        <f t="shared" si="35"/>
        <v>7.2953435991983024</v>
      </c>
    </row>
    <row r="292" spans="1:16" x14ac:dyDescent="0.2">
      <c r="A292" s="8">
        <v>145</v>
      </c>
      <c r="B292" s="8">
        <v>290</v>
      </c>
      <c r="D292">
        <v>1191.8661360347</v>
      </c>
      <c r="E292">
        <v>322.73806078147999</v>
      </c>
      <c r="F292">
        <v>132.38315018315001</v>
      </c>
      <c r="G292">
        <v>111.92307692308</v>
      </c>
      <c r="I292" s="9">
        <f>E292-G292</f>
        <v>210.81498385839998</v>
      </c>
      <c r="J292" s="9">
        <f>D292-F292</f>
        <v>1059.48298585155</v>
      </c>
      <c r="K292" s="9">
        <f t="shared" si="31"/>
        <v>210.81498385839998</v>
      </c>
      <c r="L292" s="10">
        <f t="shared" si="30"/>
        <v>0.19897911214587305</v>
      </c>
      <c r="M292" s="10">
        <f>L292+ABS($N$2)*A292</f>
        <v>0.20664616863259785</v>
      </c>
      <c r="O292" s="11"/>
      <c r="P292" s="8">
        <f>(M292-$O$2)/$O$2*100</f>
        <v>6.8929885884933508</v>
      </c>
    </row>
    <row r="293" spans="1:16" x14ac:dyDescent="0.2">
      <c r="A293" s="8">
        <v>145.5</v>
      </c>
      <c r="B293" s="8">
        <v>291</v>
      </c>
      <c r="D293">
        <v>1161.3777134587999</v>
      </c>
      <c r="E293">
        <v>313.53183791606</v>
      </c>
      <c r="F293">
        <v>132.46080586081001</v>
      </c>
      <c r="G293">
        <v>111.91355311354999</v>
      </c>
      <c r="I293" s="9">
        <f t="shared" ref="I293:I301" si="36">E293-G293</f>
        <v>201.61828480251</v>
      </c>
      <c r="J293" s="9">
        <f t="shared" ref="J293:J301" si="37">D293-F293</f>
        <v>1028.9169075979898</v>
      </c>
      <c r="K293" s="9">
        <f t="shared" si="31"/>
        <v>201.61828480251</v>
      </c>
      <c r="L293" s="10">
        <f t="shared" si="30"/>
        <v>0.19595196007925325</v>
      </c>
      <c r="M293" s="10">
        <f t="shared" ref="M293:M301" si="38">L293+ABS($N$2)*A293</f>
        <v>0.20364545469179435</v>
      </c>
      <c r="P293" s="8">
        <f t="shared" ref="P293:P301" si="39">(M293-$O$2)/$O$2*100</f>
        <v>5.3407929530546792</v>
      </c>
    </row>
    <row r="294" spans="1:16" x14ac:dyDescent="0.2">
      <c r="A294" s="8">
        <v>146</v>
      </c>
      <c r="B294" s="8">
        <v>292</v>
      </c>
      <c r="D294">
        <v>1206.4804913295</v>
      </c>
      <c r="E294">
        <v>326.02167630058</v>
      </c>
      <c r="F294">
        <v>132.61831501832</v>
      </c>
      <c r="G294">
        <v>111.64468864469001</v>
      </c>
      <c r="I294" s="9">
        <f t="shared" si="36"/>
        <v>214.37698765588999</v>
      </c>
      <c r="J294" s="9">
        <f t="shared" si="37"/>
        <v>1073.8621763111801</v>
      </c>
      <c r="K294" s="9">
        <f t="shared" si="31"/>
        <v>214.37698765588999</v>
      </c>
      <c r="L294" s="10">
        <f t="shared" si="30"/>
        <v>0.19963175199288197</v>
      </c>
      <c r="M294" s="10">
        <f t="shared" si="38"/>
        <v>0.20735168473123936</v>
      </c>
      <c r="N294" s="1"/>
      <c r="P294" s="8">
        <f t="shared" si="39"/>
        <v>7.2579347415244593</v>
      </c>
    </row>
    <row r="295" spans="1:16" x14ac:dyDescent="0.2">
      <c r="A295" s="8">
        <v>146.5</v>
      </c>
      <c r="B295" s="8">
        <v>293</v>
      </c>
      <c r="D295">
        <v>1194.3533236994001</v>
      </c>
      <c r="E295">
        <v>323.68930635838001</v>
      </c>
      <c r="F295">
        <v>132.52600732600999</v>
      </c>
      <c r="G295">
        <v>111.60366300366</v>
      </c>
      <c r="I295" s="9">
        <f t="shared" si="36"/>
        <v>212.08564335471999</v>
      </c>
      <c r="J295" s="9">
        <f t="shared" si="37"/>
        <v>1061.8273163733902</v>
      </c>
      <c r="K295" s="9">
        <f t="shared" si="31"/>
        <v>212.08564335471999</v>
      </c>
      <c r="L295" s="10">
        <f t="shared" si="30"/>
        <v>0.19973647323284754</v>
      </c>
      <c r="M295" s="10">
        <f t="shared" si="38"/>
        <v>0.20748284409702122</v>
      </c>
      <c r="P295" s="8">
        <f t="shared" si="39"/>
        <v>7.3257802606674831</v>
      </c>
    </row>
    <row r="296" spans="1:16" x14ac:dyDescent="0.2">
      <c r="A296" s="8">
        <v>147</v>
      </c>
      <c r="B296" s="8">
        <v>294</v>
      </c>
      <c r="D296">
        <v>1202.1170520231001</v>
      </c>
      <c r="E296">
        <v>323.39234104046</v>
      </c>
      <c r="F296">
        <v>131.83443223443001</v>
      </c>
      <c r="G296">
        <v>111.81098901099</v>
      </c>
      <c r="I296" s="9">
        <f t="shared" si="36"/>
        <v>211.58135202947</v>
      </c>
      <c r="J296" s="9">
        <f t="shared" si="37"/>
        <v>1070.28261978867</v>
      </c>
      <c r="K296" s="9">
        <f t="shared" si="31"/>
        <v>211.58135202947</v>
      </c>
      <c r="L296" s="10">
        <f t="shared" si="30"/>
        <v>0.19768736604472495</v>
      </c>
      <c r="M296" s="10">
        <f t="shared" si="38"/>
        <v>0.20546017503471492</v>
      </c>
      <c r="P296" s="8">
        <f t="shared" si="39"/>
        <v>6.2795032238073869</v>
      </c>
    </row>
    <row r="297" spans="1:16" x14ac:dyDescent="0.2">
      <c r="A297" s="8">
        <v>147.5</v>
      </c>
      <c r="B297" s="8">
        <v>295</v>
      </c>
      <c r="D297">
        <v>1200.873015873</v>
      </c>
      <c r="E297">
        <v>325.07864357864003</v>
      </c>
      <c r="F297">
        <v>132.35384615384999</v>
      </c>
      <c r="G297">
        <v>111.72454212453999</v>
      </c>
      <c r="I297" s="9">
        <f t="shared" si="36"/>
        <v>213.35410145410003</v>
      </c>
      <c r="J297" s="9">
        <f t="shared" si="37"/>
        <v>1068.5191697191499</v>
      </c>
      <c r="K297" s="9">
        <f t="shared" si="31"/>
        <v>213.35410145410003</v>
      </c>
      <c r="L297" s="10">
        <f t="shared" si="30"/>
        <v>0.19967269422988276</v>
      </c>
      <c r="M297" s="10">
        <f t="shared" si="38"/>
        <v>0.20747194134568905</v>
      </c>
      <c r="P297" s="8">
        <f t="shared" si="39"/>
        <v>7.3201405351335191</v>
      </c>
    </row>
    <row r="298" spans="1:16" x14ac:dyDescent="0.2">
      <c r="A298" s="8">
        <v>148</v>
      </c>
      <c r="B298" s="8">
        <v>296</v>
      </c>
      <c r="D298">
        <v>1170.8246753246999</v>
      </c>
      <c r="E298">
        <v>318.91269841270002</v>
      </c>
      <c r="F298">
        <v>132.38681318681</v>
      </c>
      <c r="G298">
        <v>111.50915750916</v>
      </c>
      <c r="I298" s="9">
        <f t="shared" si="36"/>
        <v>207.40354090354003</v>
      </c>
      <c r="J298" s="9">
        <f t="shared" si="37"/>
        <v>1038.4378621378899</v>
      </c>
      <c r="K298" s="9">
        <f t="shared" si="31"/>
        <v>207.40354090354003</v>
      </c>
      <c r="L298" s="10">
        <f t="shared" si="30"/>
        <v>0.19972648192598333</v>
      </c>
      <c r="M298" s="10">
        <f t="shared" si="38"/>
        <v>0.20755216716760591</v>
      </c>
      <c r="P298" s="8">
        <f t="shared" si="39"/>
        <v>7.361639382769587</v>
      </c>
    </row>
    <row r="299" spans="1:16" x14ac:dyDescent="0.2">
      <c r="A299" s="8">
        <v>148.5</v>
      </c>
      <c r="B299" s="8">
        <v>297</v>
      </c>
      <c r="D299">
        <v>1158.5490620491</v>
      </c>
      <c r="E299">
        <v>314.66666666666998</v>
      </c>
      <c r="F299">
        <v>131.7032967033</v>
      </c>
      <c r="G299">
        <v>112.00732600732999</v>
      </c>
      <c r="I299" s="9">
        <f t="shared" si="36"/>
        <v>202.65934065933999</v>
      </c>
      <c r="J299" s="9">
        <f t="shared" si="37"/>
        <v>1026.8457653457999</v>
      </c>
      <c r="K299" s="9">
        <f t="shared" si="31"/>
        <v>202.65934065933999</v>
      </c>
      <c r="L299" s="10">
        <f t="shared" si="30"/>
        <v>0.19736103268740907</v>
      </c>
      <c r="M299" s="10">
        <f t="shared" si="38"/>
        <v>0.20521315605484794</v>
      </c>
      <c r="P299" s="8">
        <f t="shared" si="39"/>
        <v>6.1517263713702723</v>
      </c>
    </row>
    <row r="300" spans="1:16" x14ac:dyDescent="0.2">
      <c r="A300" s="8">
        <v>149</v>
      </c>
      <c r="B300" s="8">
        <v>298</v>
      </c>
      <c r="D300">
        <v>1174.1305916306001</v>
      </c>
      <c r="E300">
        <v>318.34271284271</v>
      </c>
      <c r="F300">
        <v>132.05494505495</v>
      </c>
      <c r="G300">
        <v>111.63663003663</v>
      </c>
      <c r="I300" s="9">
        <f t="shared" si="36"/>
        <v>206.70608280608002</v>
      </c>
      <c r="J300" s="9">
        <f t="shared" si="37"/>
        <v>1042.0756465756501</v>
      </c>
      <c r="K300" s="9">
        <f t="shared" si="31"/>
        <v>206.70608280608002</v>
      </c>
      <c r="L300" s="10">
        <f t="shared" si="30"/>
        <v>0.198359959265274</v>
      </c>
      <c r="M300" s="10">
        <f t="shared" si="38"/>
        <v>0.20623852075852916</v>
      </c>
      <c r="P300" s="8">
        <f t="shared" si="39"/>
        <v>6.6821223535213363</v>
      </c>
    </row>
    <row r="301" spans="1:16" x14ac:dyDescent="0.2">
      <c r="A301" s="8">
        <v>149.5</v>
      </c>
      <c r="B301" s="8">
        <v>299</v>
      </c>
      <c r="D301">
        <v>1186.29586657</v>
      </c>
      <c r="E301">
        <v>320.26831036982998</v>
      </c>
      <c r="F301">
        <v>132.08424908424999</v>
      </c>
      <c r="G301">
        <v>111.69157509158001</v>
      </c>
      <c r="I301" s="9">
        <f t="shared" si="36"/>
        <v>208.57673527824997</v>
      </c>
      <c r="J301" s="9">
        <f t="shared" si="37"/>
        <v>1054.2116174857501</v>
      </c>
      <c r="K301" s="9">
        <f t="shared" si="31"/>
        <v>208.57673527824997</v>
      </c>
      <c r="L301" s="10">
        <f t="shared" si="30"/>
        <v>0.1978509170442426</v>
      </c>
      <c r="M301" s="10">
        <f t="shared" si="38"/>
        <v>0.20575591666331405</v>
      </c>
      <c r="P301" s="8">
        <f t="shared" si="39"/>
        <v>6.4324831059904177</v>
      </c>
    </row>
    <row r="302" spans="1:16" x14ac:dyDescent="0.2">
      <c r="A302" s="8">
        <v>150</v>
      </c>
      <c r="B302" s="8">
        <v>300</v>
      </c>
      <c r="D302">
        <v>1203.9586656997999</v>
      </c>
      <c r="E302">
        <v>323.95503988397002</v>
      </c>
      <c r="F302">
        <v>132.18974358974</v>
      </c>
      <c r="G302">
        <v>111.62564102563999</v>
      </c>
      <c r="I302" s="9">
        <f>E302-G302</f>
        <v>212.32939885833002</v>
      </c>
      <c r="J302" s="9">
        <f>D302-F302</f>
        <v>1071.76892211006</v>
      </c>
      <c r="K302" s="9">
        <f t="shared" si="31"/>
        <v>212.32939885833002</v>
      </c>
      <c r="L302" s="10">
        <f t="shared" si="30"/>
        <v>0.19811117347973065</v>
      </c>
      <c r="M302" s="10">
        <f>L302+ABS($N$2)*A302</f>
        <v>0.20604261122461839</v>
      </c>
      <c r="O302" s="11"/>
      <c r="P302" s="8">
        <f>(M302-$O$2)/$O$2*100</f>
        <v>6.5807831624234678</v>
      </c>
    </row>
    <row r="303" spans="1:16" x14ac:dyDescent="0.2">
      <c r="A303" s="8">
        <v>150.5</v>
      </c>
      <c r="B303" s="8">
        <v>301</v>
      </c>
      <c r="D303">
        <v>1202.7440174039</v>
      </c>
      <c r="E303">
        <v>321.86584481507998</v>
      </c>
      <c r="F303">
        <v>132.45128205128</v>
      </c>
      <c r="G303">
        <v>111.49377289377</v>
      </c>
      <c r="I303" s="9">
        <f t="shared" ref="I303:I309" si="40">E303-G303</f>
        <v>210.37207192130998</v>
      </c>
      <c r="J303" s="9">
        <f t="shared" ref="J303:J309" si="41">D303-F303</f>
        <v>1070.29273535262</v>
      </c>
      <c r="K303" s="9">
        <f t="shared" si="31"/>
        <v>210.37207192130998</v>
      </c>
      <c r="L303" s="10">
        <f t="shared" si="30"/>
        <v>0.19655563844596269</v>
      </c>
      <c r="M303" s="10">
        <f t="shared" ref="M303:M309" si="42">L303+ABS($N$2)*A303</f>
        <v>0.20451351431666673</v>
      </c>
      <c r="P303" s="8">
        <f t="shared" ref="P303:P309" si="43">(M303-$O$2)/$O$2*100</f>
        <v>5.7898188807532867</v>
      </c>
    </row>
    <row r="304" spans="1:16" x14ac:dyDescent="0.2">
      <c r="A304" s="8">
        <v>151</v>
      </c>
      <c r="B304" s="8">
        <v>302</v>
      </c>
      <c r="D304">
        <v>1192.5250181291001</v>
      </c>
      <c r="E304">
        <v>321.04786076866998</v>
      </c>
      <c r="F304">
        <v>132.69010989010999</v>
      </c>
      <c r="G304">
        <v>111.75677655678</v>
      </c>
      <c r="I304" s="9">
        <f t="shared" si="40"/>
        <v>209.29108421189</v>
      </c>
      <c r="J304" s="9">
        <f t="shared" si="41"/>
        <v>1059.83490823899</v>
      </c>
      <c r="K304" s="9">
        <f t="shared" si="31"/>
        <v>209.29108421189</v>
      </c>
      <c r="L304" s="10">
        <f t="shared" si="30"/>
        <v>0.19747517522294653</v>
      </c>
      <c r="M304" s="10">
        <f t="shared" si="42"/>
        <v>0.20545948921946686</v>
      </c>
      <c r="N304" s="1"/>
      <c r="P304" s="8">
        <f t="shared" si="43"/>
        <v>6.2791484684205816</v>
      </c>
    </row>
    <row r="305" spans="1:16" x14ac:dyDescent="0.2">
      <c r="A305" s="8">
        <v>151.5</v>
      </c>
      <c r="B305" s="8">
        <v>303</v>
      </c>
      <c r="D305">
        <v>1183.1631617114001</v>
      </c>
      <c r="E305">
        <v>319.30166787527003</v>
      </c>
      <c r="F305">
        <v>132.18827838828</v>
      </c>
      <c r="G305">
        <v>111.47619047619</v>
      </c>
      <c r="I305" s="9">
        <f t="shared" si="40"/>
        <v>207.82547739908003</v>
      </c>
      <c r="J305" s="9">
        <f t="shared" si="41"/>
        <v>1050.9748833231201</v>
      </c>
      <c r="K305" s="9">
        <f t="shared" si="31"/>
        <v>207.82547739908003</v>
      </c>
      <c r="L305" s="10">
        <f t="shared" si="30"/>
        <v>0.19774542731406503</v>
      </c>
      <c r="M305" s="10">
        <f t="shared" si="42"/>
        <v>0.20575617943640165</v>
      </c>
      <c r="P305" s="8">
        <f t="shared" si="43"/>
        <v>6.4326190320559213</v>
      </c>
    </row>
    <row r="306" spans="1:16" x14ac:dyDescent="0.2">
      <c r="A306" s="8">
        <v>152</v>
      </c>
      <c r="B306" s="8">
        <v>304</v>
      </c>
      <c r="D306">
        <v>1200.5906773489</v>
      </c>
      <c r="E306">
        <v>323.93809176985002</v>
      </c>
      <c r="F306">
        <v>132.21172161172001</v>
      </c>
      <c r="G306">
        <v>111.29304029303999</v>
      </c>
      <c r="I306" s="9">
        <f t="shared" si="40"/>
        <v>212.64505147681001</v>
      </c>
      <c r="J306" s="9">
        <f t="shared" si="41"/>
        <v>1068.3789557371801</v>
      </c>
      <c r="K306" s="9">
        <f t="shared" si="31"/>
        <v>212.64505147681001</v>
      </c>
      <c r="L306" s="10">
        <f t="shared" si="30"/>
        <v>0.19903523027565176</v>
      </c>
      <c r="M306" s="10">
        <f t="shared" si="42"/>
        <v>0.20707242052380467</v>
      </c>
      <c r="P306" s="8">
        <f t="shared" si="43"/>
        <v>7.1134782246869088</v>
      </c>
    </row>
    <row r="307" spans="1:16" x14ac:dyDescent="0.2">
      <c r="A307" s="8">
        <v>152.5</v>
      </c>
      <c r="B307" s="8">
        <v>305</v>
      </c>
      <c r="D307">
        <v>1222.1187181355001</v>
      </c>
      <c r="E307">
        <v>329.40932265113003</v>
      </c>
      <c r="F307">
        <v>131.86153846153999</v>
      </c>
      <c r="G307">
        <v>111.74285714286</v>
      </c>
      <c r="I307" s="9">
        <f t="shared" si="40"/>
        <v>217.66646550827002</v>
      </c>
      <c r="J307" s="9">
        <f t="shared" si="41"/>
        <v>1090.2571796739601</v>
      </c>
      <c r="K307" s="9">
        <f t="shared" si="31"/>
        <v>217.66646550827002</v>
      </c>
      <c r="L307" s="10">
        <f t="shared" si="30"/>
        <v>0.19964689943464797</v>
      </c>
      <c r="M307" s="10">
        <f t="shared" si="42"/>
        <v>0.20771052780861718</v>
      </c>
      <c r="P307" s="8">
        <f t="shared" si="43"/>
        <v>7.4435554536287567</v>
      </c>
    </row>
    <row r="308" spans="1:16" x14ac:dyDescent="0.2">
      <c r="A308" s="8">
        <v>153</v>
      </c>
      <c r="B308" s="8">
        <v>306</v>
      </c>
      <c r="D308">
        <v>1241.4806991988</v>
      </c>
      <c r="E308">
        <v>334.46904588491998</v>
      </c>
      <c r="F308">
        <v>132.11135531136</v>
      </c>
      <c r="G308">
        <v>111.39853479854</v>
      </c>
      <c r="I308" s="9">
        <f t="shared" si="40"/>
        <v>223.07051108637998</v>
      </c>
      <c r="J308" s="9">
        <f t="shared" si="41"/>
        <v>1109.36934388744</v>
      </c>
      <c r="K308" s="9">
        <f t="shared" si="31"/>
        <v>223.07051108637998</v>
      </c>
      <c r="L308" s="10">
        <f t="shared" si="30"/>
        <v>0.20107866898926441</v>
      </c>
      <c r="M308" s="10">
        <f t="shared" si="42"/>
        <v>0.20916873548904991</v>
      </c>
      <c r="P308" s="8">
        <f t="shared" si="43"/>
        <v>8.1978504786736135</v>
      </c>
    </row>
    <row r="309" spans="1:16" x14ac:dyDescent="0.2">
      <c r="A309" s="8">
        <v>153.5</v>
      </c>
      <c r="B309" s="8">
        <v>307</v>
      </c>
      <c r="D309">
        <v>1229.9519300801001</v>
      </c>
      <c r="E309">
        <v>331.53459577567003</v>
      </c>
      <c r="F309">
        <v>132.38608058608</v>
      </c>
      <c r="G309">
        <v>111.47106227106001</v>
      </c>
      <c r="I309" s="9">
        <f t="shared" si="40"/>
        <v>220.06353350461001</v>
      </c>
      <c r="J309" s="9">
        <f t="shared" si="41"/>
        <v>1097.5658494940201</v>
      </c>
      <c r="K309" s="9">
        <f t="shared" si="31"/>
        <v>220.06353350461001</v>
      </c>
      <c r="L309" s="10">
        <f t="shared" si="30"/>
        <v>0.20050144016968066</v>
      </c>
      <c r="M309" s="10">
        <f t="shared" si="42"/>
        <v>0.20861794479528245</v>
      </c>
      <c r="P309" s="8">
        <f t="shared" si="43"/>
        <v>7.9129399781154834</v>
      </c>
    </row>
    <row r="310" spans="1:16" x14ac:dyDescent="0.2">
      <c r="A310" s="8">
        <v>154</v>
      </c>
      <c r="B310" s="8">
        <v>308</v>
      </c>
      <c r="D310">
        <v>1210.1779230211</v>
      </c>
      <c r="E310">
        <v>327.24255628177002</v>
      </c>
      <c r="F310">
        <v>132.07106227105999</v>
      </c>
      <c r="G310">
        <v>111.46080586081</v>
      </c>
      <c r="I310" s="9">
        <f>E310-G310</f>
        <v>215.78175042096001</v>
      </c>
      <c r="J310" s="9">
        <f>D310-F310</f>
        <v>1078.1068607500401</v>
      </c>
      <c r="K310" s="9">
        <f t="shared" si="31"/>
        <v>215.78175042096001</v>
      </c>
      <c r="L310" s="10">
        <f t="shared" si="30"/>
        <v>0.20014875915995972</v>
      </c>
      <c r="M310" s="10">
        <f>L310+ABS($N$2)*A310</f>
        <v>0.2082917019113778</v>
      </c>
      <c r="O310" s="11"/>
      <c r="P310" s="8">
        <f>(M310-$O$2)/$O$2*100</f>
        <v>7.7441825455579094</v>
      </c>
    </row>
    <row r="311" spans="1:16" x14ac:dyDescent="0.2">
      <c r="A311" s="8">
        <v>154.5</v>
      </c>
      <c r="B311" s="8">
        <v>309</v>
      </c>
      <c r="D311">
        <v>1201.3572984750001</v>
      </c>
      <c r="E311">
        <v>324.55047204067</v>
      </c>
      <c r="F311">
        <v>132.36190476191001</v>
      </c>
      <c r="G311">
        <v>111.37948717949</v>
      </c>
      <c r="I311" s="9">
        <f t="shared" ref="I311:I319" si="44">E311-G311</f>
        <v>213.17098486117999</v>
      </c>
      <c r="J311" s="9">
        <f t="shared" ref="J311:J319" si="45">D311-F311</f>
        <v>1068.9953937130902</v>
      </c>
      <c r="K311" s="9">
        <f t="shared" si="31"/>
        <v>213.17098486117999</v>
      </c>
      <c r="L311" s="10">
        <f t="shared" si="30"/>
        <v>0.19941244472601852</v>
      </c>
      <c r="M311" s="10">
        <f t="shared" ref="M311:M319" si="46">L311+ABS($N$2)*A311</f>
        <v>0.20758182560325289</v>
      </c>
      <c r="P311" s="8">
        <f t="shared" ref="P311:P319" si="47">(M311-$O$2)/$O$2*100</f>
        <v>7.3769809632312198</v>
      </c>
    </row>
    <row r="312" spans="1:16" x14ac:dyDescent="0.2">
      <c r="A312" s="8">
        <v>155</v>
      </c>
      <c r="B312" s="8">
        <v>310</v>
      </c>
      <c r="D312">
        <v>1193.4117647058999</v>
      </c>
      <c r="E312">
        <v>321.04647785039998</v>
      </c>
      <c r="F312">
        <v>131.84835164834999</v>
      </c>
      <c r="G312">
        <v>111.47985347984999</v>
      </c>
      <c r="I312" s="9">
        <f t="shared" si="44"/>
        <v>209.56662437054999</v>
      </c>
      <c r="J312" s="9">
        <f t="shared" si="45"/>
        <v>1061.56341305755</v>
      </c>
      <c r="K312" s="9">
        <f t="shared" si="31"/>
        <v>209.56662437054999</v>
      </c>
      <c r="L312" s="10">
        <f t="shared" si="30"/>
        <v>0.19741319434413182</v>
      </c>
      <c r="M312" s="10">
        <f t="shared" si="46"/>
        <v>0.20560901334718248</v>
      </c>
      <c r="N312" s="1"/>
      <c r="P312" s="8">
        <f t="shared" si="47"/>
        <v>6.3564936279431254</v>
      </c>
    </row>
    <row r="313" spans="1:16" x14ac:dyDescent="0.2">
      <c r="A313" s="8">
        <v>155.5</v>
      </c>
      <c r="B313" s="8">
        <v>311</v>
      </c>
      <c r="D313">
        <v>1198.5860566449001</v>
      </c>
      <c r="E313">
        <v>323.99564270153002</v>
      </c>
      <c r="F313">
        <v>132.22051282051001</v>
      </c>
      <c r="G313">
        <v>111.70036630037001</v>
      </c>
      <c r="I313" s="9">
        <f t="shared" si="44"/>
        <v>212.29527640116001</v>
      </c>
      <c r="J313" s="9">
        <f t="shared" si="45"/>
        <v>1066.36554382439</v>
      </c>
      <c r="K313" s="9">
        <f t="shared" si="31"/>
        <v>212.29527640116001</v>
      </c>
      <c r="L313" s="10">
        <f t="shared" si="30"/>
        <v>0.1990830232940469</v>
      </c>
      <c r="M313" s="10">
        <f t="shared" si="46"/>
        <v>0.20730528042291385</v>
      </c>
      <c r="P313" s="8">
        <f t="shared" si="47"/>
        <v>7.2339309323412646</v>
      </c>
    </row>
    <row r="314" spans="1:16" x14ac:dyDescent="0.2">
      <c r="A314" s="8">
        <v>156</v>
      </c>
      <c r="B314" s="8">
        <v>312</v>
      </c>
      <c r="D314">
        <v>1183.6078431373001</v>
      </c>
      <c r="E314">
        <v>316.63616557734002</v>
      </c>
      <c r="F314">
        <v>131.63296703296999</v>
      </c>
      <c r="G314">
        <v>111.35018315018</v>
      </c>
      <c r="I314" s="9">
        <f t="shared" si="44"/>
        <v>205.28598242716004</v>
      </c>
      <c r="J314" s="9">
        <f t="shared" si="45"/>
        <v>1051.9748761043302</v>
      </c>
      <c r="K314" s="9">
        <f t="shared" si="31"/>
        <v>205.28598242716004</v>
      </c>
      <c r="L314" s="10">
        <f t="shared" si="30"/>
        <v>0.19514342698693946</v>
      </c>
      <c r="M314" s="10">
        <f t="shared" si="46"/>
        <v>0.2033921222416227</v>
      </c>
      <c r="P314" s="8">
        <f t="shared" si="47"/>
        <v>5.2097502974638177</v>
      </c>
    </row>
    <row r="315" spans="1:16" x14ac:dyDescent="0.2">
      <c r="A315" s="8">
        <v>156.5</v>
      </c>
      <c r="B315" s="8">
        <v>313</v>
      </c>
      <c r="D315">
        <v>1207.9607843137001</v>
      </c>
      <c r="E315">
        <v>322.20551924474</v>
      </c>
      <c r="F315">
        <v>132.37435897436001</v>
      </c>
      <c r="G315">
        <v>111.36263736264</v>
      </c>
      <c r="I315" s="9">
        <f t="shared" si="44"/>
        <v>210.84288188210002</v>
      </c>
      <c r="J315" s="9">
        <f t="shared" si="45"/>
        <v>1075.5864253393402</v>
      </c>
      <c r="K315" s="9">
        <f t="shared" si="31"/>
        <v>210.84288188210002</v>
      </c>
      <c r="L315" s="10">
        <f t="shared" si="30"/>
        <v>0.19602597886597586</v>
      </c>
      <c r="M315" s="10">
        <f t="shared" si="46"/>
        <v>0.2043011122464754</v>
      </c>
      <c r="P315" s="8">
        <f t="shared" si="47"/>
        <v>5.6799485056315477</v>
      </c>
    </row>
    <row r="316" spans="1:16" x14ac:dyDescent="0.2">
      <c r="A316" s="8">
        <v>157</v>
      </c>
      <c r="B316" s="8">
        <v>314</v>
      </c>
      <c r="D316">
        <v>1204.7806826434</v>
      </c>
      <c r="E316">
        <v>322.04429920116002</v>
      </c>
      <c r="F316">
        <v>132.25421245421001</v>
      </c>
      <c r="G316">
        <v>111.39120879121</v>
      </c>
      <c r="I316" s="9">
        <f t="shared" si="44"/>
        <v>210.65309040995001</v>
      </c>
      <c r="J316" s="9">
        <f t="shared" si="45"/>
        <v>1072.5264701891901</v>
      </c>
      <c r="K316" s="9">
        <f t="shared" si="31"/>
        <v>210.65309040995001</v>
      </c>
      <c r="L316" s="10">
        <f t="shared" si="30"/>
        <v>0.19640829039192989</v>
      </c>
      <c r="M316" s="10">
        <f t="shared" si="46"/>
        <v>0.20470986189824572</v>
      </c>
      <c r="P316" s="8">
        <f t="shared" si="47"/>
        <v>5.891384663153139</v>
      </c>
    </row>
    <row r="317" spans="1:16" x14ac:dyDescent="0.2">
      <c r="A317" s="8">
        <v>157.5</v>
      </c>
      <c r="B317" s="8">
        <v>315</v>
      </c>
      <c r="D317">
        <v>1207.1321713871</v>
      </c>
      <c r="E317">
        <v>321.83079157588998</v>
      </c>
      <c r="F317">
        <v>132.08058608059</v>
      </c>
      <c r="G317">
        <v>111.26886446886</v>
      </c>
      <c r="I317" s="9">
        <f t="shared" si="44"/>
        <v>210.56192710702999</v>
      </c>
      <c r="J317" s="9">
        <f t="shared" si="45"/>
        <v>1075.0515853065101</v>
      </c>
      <c r="K317" s="9">
        <f t="shared" si="31"/>
        <v>210.56192710702999</v>
      </c>
      <c r="L317" s="10">
        <f t="shared" si="30"/>
        <v>0.19586216139293097</v>
      </c>
      <c r="M317" s="10">
        <f t="shared" si="46"/>
        <v>0.20419017102506309</v>
      </c>
      <c r="P317" s="8">
        <f t="shared" si="47"/>
        <v>5.6225613360900519</v>
      </c>
    </row>
    <row r="318" spans="1:16" x14ac:dyDescent="0.2">
      <c r="A318" s="8">
        <v>158</v>
      </c>
      <c r="B318" s="8">
        <v>316</v>
      </c>
      <c r="D318">
        <v>1201.0014524328001</v>
      </c>
      <c r="E318">
        <v>321.32897603485998</v>
      </c>
      <c r="F318">
        <v>131.86007326007001</v>
      </c>
      <c r="G318">
        <v>111.54432234431999</v>
      </c>
      <c r="I318" s="9">
        <f t="shared" si="44"/>
        <v>209.78465369053998</v>
      </c>
      <c r="J318" s="9">
        <f t="shared" si="45"/>
        <v>1069.14137917273</v>
      </c>
      <c r="K318" s="9">
        <f t="shared" si="31"/>
        <v>209.78465369053998</v>
      </c>
      <c r="L318" s="10">
        <f t="shared" si="30"/>
        <v>0.19621787892342651</v>
      </c>
      <c r="M318" s="10">
        <f t="shared" si="46"/>
        <v>0.20457232668137493</v>
      </c>
      <c r="P318" s="8">
        <f t="shared" si="47"/>
        <v>5.8202410728085052</v>
      </c>
    </row>
    <row r="319" spans="1:16" x14ac:dyDescent="0.2">
      <c r="A319" s="8">
        <v>158.5</v>
      </c>
      <c r="B319" s="8">
        <v>317</v>
      </c>
      <c r="D319">
        <v>1233.2095721537</v>
      </c>
      <c r="E319">
        <v>329.76939811457999</v>
      </c>
      <c r="F319">
        <v>132.07545787545999</v>
      </c>
      <c r="G319">
        <v>111.45201465202</v>
      </c>
      <c r="I319" s="9">
        <f t="shared" si="44"/>
        <v>218.31738346255997</v>
      </c>
      <c r="J319" s="9">
        <f t="shared" si="45"/>
        <v>1101.1341142782401</v>
      </c>
      <c r="K319" s="9">
        <f t="shared" si="31"/>
        <v>218.31738346255997</v>
      </c>
      <c r="L319" s="10">
        <f t="shared" si="30"/>
        <v>0.19826593385099178</v>
      </c>
      <c r="M319" s="10">
        <f t="shared" si="46"/>
        <v>0.20664681973475649</v>
      </c>
      <c r="P319" s="8">
        <f t="shared" si="47"/>
        <v>6.8933253876514149</v>
      </c>
    </row>
    <row r="320" spans="1:16" x14ac:dyDescent="0.2">
      <c r="A320" s="8">
        <v>159</v>
      </c>
      <c r="B320" s="8">
        <v>318</v>
      </c>
      <c r="D320">
        <v>1238.0812182740999</v>
      </c>
      <c r="E320">
        <v>328.19506889050001</v>
      </c>
      <c r="F320">
        <v>131.58021978022001</v>
      </c>
      <c r="G320">
        <v>111.26739926739999</v>
      </c>
      <c r="I320" s="9">
        <f>E320-G320</f>
        <v>216.92766962310003</v>
      </c>
      <c r="J320" s="9">
        <f>D320-F320</f>
        <v>1106.5009984938799</v>
      </c>
      <c r="K320" s="9">
        <f t="shared" si="31"/>
        <v>216.92766962310003</v>
      </c>
      <c r="L320" s="10">
        <f t="shared" si="30"/>
        <v>0.19604832704025785</v>
      </c>
      <c r="M320" s="10">
        <f>L320+ABS($N$2)*A320</f>
        <v>0.20445565104983884</v>
      </c>
      <c r="O320" s="11"/>
      <c r="P320" s="8">
        <f>(M320-$O$2)/$O$2*100</f>
        <v>5.7598876337253166</v>
      </c>
    </row>
    <row r="321" spans="1:16" x14ac:dyDescent="0.2">
      <c r="A321" s="8">
        <v>159.5</v>
      </c>
      <c r="B321" s="8">
        <v>319</v>
      </c>
      <c r="D321">
        <v>1210.3756345178001</v>
      </c>
      <c r="E321">
        <v>324.03915881072999</v>
      </c>
      <c r="F321">
        <v>132.22124542124999</v>
      </c>
      <c r="G321">
        <v>111.32380952381</v>
      </c>
      <c r="I321" s="9">
        <f t="shared" ref="I321:I322" si="48">E321-G321</f>
        <v>212.71534928692</v>
      </c>
      <c r="J321" s="9">
        <f t="shared" ref="J321:J322" si="49">D321-F321</f>
        <v>1078.1543890965502</v>
      </c>
      <c r="K321" s="9">
        <f t="shared" si="31"/>
        <v>212.71534928692</v>
      </c>
      <c r="L321" s="10">
        <f t="shared" si="30"/>
        <v>0.19729581536570739</v>
      </c>
      <c r="M321" s="10">
        <f t="shared" ref="M321:M322" si="50">L321+ABS($N$2)*A321</f>
        <v>0.20572957750110468</v>
      </c>
      <c r="P321" s="8">
        <f t="shared" ref="P321:P322" si="51">(M321-$O$2)/$O$2*100</f>
        <v>6.4188585041693083</v>
      </c>
    </row>
    <row r="322" spans="1:16" x14ac:dyDescent="0.2">
      <c r="A322" s="8">
        <v>160</v>
      </c>
      <c r="B322" s="8">
        <v>320</v>
      </c>
      <c r="D322">
        <v>1218.8629441624</v>
      </c>
      <c r="E322">
        <v>325.08629441623998</v>
      </c>
      <c r="F322">
        <v>131.47912087911999</v>
      </c>
      <c r="G322">
        <v>111.67619047619</v>
      </c>
      <c r="I322" s="9">
        <f t="shared" si="48"/>
        <v>213.41010394004996</v>
      </c>
      <c r="J322" s="9">
        <f t="shared" si="49"/>
        <v>1087.38382328328</v>
      </c>
      <c r="K322" s="9">
        <f t="shared" ref="K322" si="52">I322*1</f>
        <v>213.41010394004996</v>
      </c>
      <c r="L322" s="10">
        <f t="shared" ref="L322" si="53">K322/J322</f>
        <v>0.1962601423439177</v>
      </c>
      <c r="M322" s="10">
        <f t="shared" si="50"/>
        <v>0.20472034260513128</v>
      </c>
      <c r="P322" s="8">
        <f t="shared" si="51"/>
        <v>5.8968060754586782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E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633.24761904761999</v>
      </c>
      <c r="E2">
        <v>270.6255952381</v>
      </c>
      <c r="F2">
        <v>168.64674556213001</v>
      </c>
      <c r="G2">
        <v>126.89230769231</v>
      </c>
      <c r="H2" s="4"/>
      <c r="I2" s="5">
        <f>E2-G2</f>
        <v>143.73328754579001</v>
      </c>
      <c r="J2" s="5">
        <f>D2-F2</f>
        <v>464.60087348548996</v>
      </c>
      <c r="K2" s="9">
        <f>I2*1</f>
        <v>143.73328754579001</v>
      </c>
      <c r="L2" s="6">
        <f t="shared" ref="L2:L65" si="0">K2/J2</f>
        <v>0.30936938724950325</v>
      </c>
      <c r="M2" s="6">
        <f>L2+ABS($N$2)*A2</f>
        <v>0.30936938724950325</v>
      </c>
      <c r="N2" s="4">
        <f>LINEST(V64:V103,U64:U103)</f>
        <v>1.2426073283088092E-4</v>
      </c>
      <c r="O2" s="7">
        <f>AVERAGE(M62:M81)</f>
        <v>0.29554446048909389</v>
      </c>
      <c r="P2" s="4">
        <f>(M2-$O$2)/$O$2*100</f>
        <v>4.6777824011759899</v>
      </c>
    </row>
    <row r="3" spans="1:16" x14ac:dyDescent="0.2">
      <c r="A3" s="8">
        <v>0.5</v>
      </c>
      <c r="B3" s="8">
        <v>1</v>
      </c>
      <c r="D3">
        <v>633.96428571428999</v>
      </c>
      <c r="E3">
        <v>269.79821428571</v>
      </c>
      <c r="F3">
        <v>169.42071005917001</v>
      </c>
      <c r="G3">
        <v>126.99526627218999</v>
      </c>
      <c r="I3" s="9">
        <f t="shared" ref="I3:I66" si="1">E3-G3</f>
        <v>142.80294801351999</v>
      </c>
      <c r="J3" s="9">
        <f t="shared" ref="J3:J66" si="2">D3-F3</f>
        <v>464.54357565511998</v>
      </c>
      <c r="K3" s="9">
        <f t="shared" ref="K3:K66" si="3">I3*1</f>
        <v>142.80294801351999</v>
      </c>
      <c r="L3" s="10">
        <f t="shared" si="0"/>
        <v>0.30740484961423248</v>
      </c>
      <c r="M3" s="10">
        <f t="shared" ref="M3:M66" si="4">L3+ABS($N$2)*A3</f>
        <v>0.30746697998064793</v>
      </c>
      <c r="P3" s="8">
        <f t="shared" ref="P3:P66" si="5">(M3-$O$2)/$O$2*100</f>
        <v>4.0340866047103603</v>
      </c>
    </row>
    <row r="4" spans="1:16" ht="16" x14ac:dyDescent="0.2">
      <c r="A4" s="8">
        <v>1</v>
      </c>
      <c r="B4" s="8">
        <v>2</v>
      </c>
      <c r="D4">
        <v>630.23333333333005</v>
      </c>
      <c r="E4">
        <v>268.21488095237999</v>
      </c>
      <c r="F4">
        <v>169.07159763313999</v>
      </c>
      <c r="G4">
        <v>126.84970414201</v>
      </c>
      <c r="I4" s="9">
        <f t="shared" si="1"/>
        <v>141.36517681036997</v>
      </c>
      <c r="J4" s="9">
        <f t="shared" si="2"/>
        <v>461.16173570019009</v>
      </c>
      <c r="K4" s="9">
        <f t="shared" si="3"/>
        <v>141.36517681036997</v>
      </c>
      <c r="L4" s="10">
        <f t="shared" si="0"/>
        <v>0.30654142758772623</v>
      </c>
      <c r="M4" s="10">
        <f t="shared" si="4"/>
        <v>0.30666568832055713</v>
      </c>
      <c r="N4" s="1" t="s">
        <v>7</v>
      </c>
      <c r="P4" s="8">
        <f t="shared" si="5"/>
        <v>3.7629627072213845</v>
      </c>
    </row>
    <row r="5" spans="1:16" x14ac:dyDescent="0.2">
      <c r="A5" s="8">
        <v>1.5</v>
      </c>
      <c r="B5" s="8">
        <v>3</v>
      </c>
      <c r="D5">
        <v>632.41964285714005</v>
      </c>
      <c r="E5">
        <v>267.32916666667001</v>
      </c>
      <c r="F5">
        <v>169.08165680472999</v>
      </c>
      <c r="G5">
        <v>126.51834319527001</v>
      </c>
      <c r="I5" s="9">
        <f t="shared" si="1"/>
        <v>140.8108234714</v>
      </c>
      <c r="J5" s="9">
        <f t="shared" si="2"/>
        <v>463.33798605241009</v>
      </c>
      <c r="K5" s="9">
        <f t="shared" si="3"/>
        <v>140.8108234714</v>
      </c>
      <c r="L5" s="10">
        <f t="shared" si="0"/>
        <v>0.30390520032923074</v>
      </c>
      <c r="M5" s="10">
        <f t="shared" si="4"/>
        <v>0.30409159142847708</v>
      </c>
      <c r="N5" s="8">
        <f>RSQ(V64:V83,U64:U83)</f>
        <v>0.7867977426059064</v>
      </c>
      <c r="P5" s="8">
        <f t="shared" si="5"/>
        <v>2.8919949726814793</v>
      </c>
    </row>
    <row r="6" spans="1:16" x14ac:dyDescent="0.2">
      <c r="A6" s="8">
        <v>2</v>
      </c>
      <c r="B6" s="8">
        <v>4</v>
      </c>
      <c r="D6">
        <v>633.05535714285998</v>
      </c>
      <c r="E6">
        <v>266.67321428571</v>
      </c>
      <c r="F6">
        <v>169.00828402367</v>
      </c>
      <c r="G6">
        <v>126.54142011834</v>
      </c>
      <c r="I6" s="9">
        <f t="shared" si="1"/>
        <v>140.13179416737</v>
      </c>
      <c r="J6" s="9">
        <f t="shared" si="2"/>
        <v>464.04707311918997</v>
      </c>
      <c r="K6" s="9">
        <f t="shared" si="3"/>
        <v>140.13179416737</v>
      </c>
      <c r="L6" s="10">
        <f t="shared" si="0"/>
        <v>0.30197754125555559</v>
      </c>
      <c r="M6" s="10">
        <f t="shared" si="4"/>
        <v>0.30222606272121738</v>
      </c>
      <c r="P6" s="8">
        <f t="shared" si="5"/>
        <v>2.2607773534534097</v>
      </c>
    </row>
    <row r="7" spans="1:16" x14ac:dyDescent="0.2">
      <c r="A7" s="8">
        <v>2.5</v>
      </c>
      <c r="B7" s="8">
        <v>5</v>
      </c>
      <c r="D7">
        <v>632.42261904761995</v>
      </c>
      <c r="E7">
        <v>264.33571428571003</v>
      </c>
      <c r="F7">
        <v>169.39881656804999</v>
      </c>
      <c r="G7">
        <v>126.88579881657</v>
      </c>
      <c r="I7" s="9">
        <f t="shared" si="1"/>
        <v>137.44991546914002</v>
      </c>
      <c r="J7" s="9">
        <f t="shared" si="2"/>
        <v>463.02380247956995</v>
      </c>
      <c r="K7" s="9">
        <f t="shared" si="3"/>
        <v>137.44991546914002</v>
      </c>
      <c r="L7" s="10">
        <f t="shared" si="0"/>
        <v>0.29685280698977617</v>
      </c>
      <c r="M7" s="10">
        <f t="shared" si="4"/>
        <v>0.29716345882185335</v>
      </c>
      <c r="P7" s="8">
        <f t="shared" si="5"/>
        <v>0.54780195510354124</v>
      </c>
    </row>
    <row r="8" spans="1:16" x14ac:dyDescent="0.2">
      <c r="A8" s="8">
        <v>3</v>
      </c>
      <c r="B8" s="8">
        <v>6</v>
      </c>
      <c r="D8">
        <v>633.00357142857001</v>
      </c>
      <c r="E8">
        <v>263.80297619048002</v>
      </c>
      <c r="F8">
        <v>169.63550295857999</v>
      </c>
      <c r="G8">
        <v>127.1449704142</v>
      </c>
      <c r="I8" s="9">
        <f t="shared" si="1"/>
        <v>136.65800577628002</v>
      </c>
      <c r="J8" s="9">
        <f t="shared" si="2"/>
        <v>463.36806846999002</v>
      </c>
      <c r="K8" s="9">
        <f t="shared" si="3"/>
        <v>136.65800577628002</v>
      </c>
      <c r="L8" s="10">
        <f t="shared" si="0"/>
        <v>0.29492322642670543</v>
      </c>
      <c r="M8" s="10">
        <f t="shared" si="4"/>
        <v>0.29529600862519806</v>
      </c>
      <c r="P8" s="8">
        <f t="shared" si="5"/>
        <v>-8.4065816522044048E-2</v>
      </c>
    </row>
    <row r="9" spans="1:16" x14ac:dyDescent="0.2">
      <c r="A9" s="8">
        <v>3.5</v>
      </c>
      <c r="B9" s="8">
        <v>7</v>
      </c>
      <c r="D9">
        <v>640.50419161676996</v>
      </c>
      <c r="E9">
        <v>265.26287425150002</v>
      </c>
      <c r="F9">
        <v>169.69467455621</v>
      </c>
      <c r="G9">
        <v>126.99467455621</v>
      </c>
      <c r="I9" s="9">
        <f t="shared" si="1"/>
        <v>138.26819969529004</v>
      </c>
      <c r="J9" s="9">
        <f t="shared" si="2"/>
        <v>470.80951706055998</v>
      </c>
      <c r="K9" s="9">
        <f t="shared" si="3"/>
        <v>138.26819969529004</v>
      </c>
      <c r="L9" s="10">
        <f t="shared" si="0"/>
        <v>0.29368182818085359</v>
      </c>
      <c r="M9" s="10">
        <f t="shared" si="4"/>
        <v>0.29411674074576166</v>
      </c>
      <c r="P9" s="8">
        <f t="shared" si="5"/>
        <v>-0.48308120577509805</v>
      </c>
    </row>
    <row r="10" spans="1:16" x14ac:dyDescent="0.2">
      <c r="A10" s="8">
        <v>4</v>
      </c>
      <c r="B10" s="8">
        <v>8</v>
      </c>
      <c r="D10">
        <v>639.18203592813995</v>
      </c>
      <c r="E10">
        <v>263.02754491017998</v>
      </c>
      <c r="F10">
        <v>169.16923076923001</v>
      </c>
      <c r="G10">
        <v>127.0875739645</v>
      </c>
      <c r="I10" s="9">
        <f t="shared" si="1"/>
        <v>135.93997094567999</v>
      </c>
      <c r="J10" s="9">
        <f t="shared" si="2"/>
        <v>470.01280515890994</v>
      </c>
      <c r="K10" s="9">
        <f t="shared" si="3"/>
        <v>135.93997094567999</v>
      </c>
      <c r="L10" s="10">
        <f t="shared" si="0"/>
        <v>0.28922610076489103</v>
      </c>
      <c r="M10" s="10">
        <f t="shared" si="4"/>
        <v>0.28972314369621455</v>
      </c>
      <c r="P10" s="8">
        <f t="shared" si="5"/>
        <v>-1.9696924054153118</v>
      </c>
    </row>
    <row r="11" spans="1:16" x14ac:dyDescent="0.2">
      <c r="A11" s="8">
        <v>4.5</v>
      </c>
      <c r="B11" s="8">
        <v>9</v>
      </c>
      <c r="D11">
        <v>637.01437125748998</v>
      </c>
      <c r="E11">
        <v>262.29161676646999</v>
      </c>
      <c r="F11">
        <v>169.28402366864</v>
      </c>
      <c r="G11">
        <v>127.44023668638999</v>
      </c>
      <c r="I11" s="9">
        <f t="shared" si="1"/>
        <v>134.85138008007999</v>
      </c>
      <c r="J11" s="9">
        <f t="shared" si="2"/>
        <v>467.73034758885001</v>
      </c>
      <c r="K11" s="9">
        <f t="shared" si="3"/>
        <v>134.85138008007999</v>
      </c>
      <c r="L11" s="10">
        <f t="shared" si="0"/>
        <v>0.28831009314499023</v>
      </c>
      <c r="M11" s="10">
        <f t="shared" si="4"/>
        <v>0.2888692664427292</v>
      </c>
      <c r="P11" s="8">
        <f t="shared" si="5"/>
        <v>-2.2586090889059354</v>
      </c>
    </row>
    <row r="12" spans="1:16" x14ac:dyDescent="0.2">
      <c r="A12" s="8">
        <v>5</v>
      </c>
      <c r="B12" s="8">
        <v>10</v>
      </c>
      <c r="D12">
        <v>637.81197604789998</v>
      </c>
      <c r="E12">
        <v>262.32814371258002</v>
      </c>
      <c r="F12">
        <v>169.56272189348999</v>
      </c>
      <c r="G12">
        <v>127.32485207101</v>
      </c>
      <c r="I12" s="9">
        <f t="shared" si="1"/>
        <v>135.00329164157</v>
      </c>
      <c r="J12" s="9">
        <f t="shared" si="2"/>
        <v>468.24925415440998</v>
      </c>
      <c r="K12" s="9">
        <f t="shared" si="3"/>
        <v>135.00329164157</v>
      </c>
      <c r="L12" s="10">
        <f t="shared" si="0"/>
        <v>0.28831501693551292</v>
      </c>
      <c r="M12" s="10">
        <f t="shared" si="4"/>
        <v>0.28893632059966734</v>
      </c>
      <c r="P12" s="8">
        <f t="shared" si="5"/>
        <v>-2.2359207404837815</v>
      </c>
    </row>
    <row r="13" spans="1:16" x14ac:dyDescent="0.2">
      <c r="A13" s="8">
        <v>5.5</v>
      </c>
      <c r="B13" s="8">
        <v>11</v>
      </c>
      <c r="D13">
        <v>640.17964071855999</v>
      </c>
      <c r="E13">
        <v>261.99700598802002</v>
      </c>
      <c r="F13">
        <v>169.02958579881999</v>
      </c>
      <c r="G13">
        <v>127.08934911243</v>
      </c>
      <c r="I13" s="9">
        <f t="shared" si="1"/>
        <v>134.90765687559002</v>
      </c>
      <c r="J13" s="9">
        <f t="shared" si="2"/>
        <v>471.15005491974</v>
      </c>
      <c r="K13" s="9">
        <f t="shared" si="3"/>
        <v>134.90765687559002</v>
      </c>
      <c r="L13" s="10">
        <f t="shared" si="0"/>
        <v>0.28633692274231282</v>
      </c>
      <c r="M13" s="10">
        <f t="shared" si="4"/>
        <v>0.28702035677288268</v>
      </c>
      <c r="P13" s="8">
        <f t="shared" si="5"/>
        <v>-2.8842035144576026</v>
      </c>
    </row>
    <row r="14" spans="1:16" x14ac:dyDescent="0.2">
      <c r="A14" s="8">
        <v>6</v>
      </c>
      <c r="B14" s="8">
        <v>12</v>
      </c>
      <c r="D14">
        <v>637.64491017963996</v>
      </c>
      <c r="E14">
        <v>261.76467065868002</v>
      </c>
      <c r="F14">
        <v>170.87278106509001</v>
      </c>
      <c r="G14">
        <v>127.15088757396001</v>
      </c>
      <c r="I14" s="9">
        <f t="shared" si="1"/>
        <v>134.61378308472001</v>
      </c>
      <c r="J14" s="9">
        <f t="shared" si="2"/>
        <v>466.77212911454995</v>
      </c>
      <c r="K14" s="9">
        <f t="shared" si="3"/>
        <v>134.61378308472001</v>
      </c>
      <c r="L14" s="10">
        <f t="shared" si="0"/>
        <v>0.28839293241453284</v>
      </c>
      <c r="M14" s="10">
        <f t="shared" si="4"/>
        <v>0.28913849681151815</v>
      </c>
      <c r="P14" s="8">
        <f t="shared" si="5"/>
        <v>-2.1675126872534034</v>
      </c>
    </row>
    <row r="15" spans="1:16" x14ac:dyDescent="0.2">
      <c r="A15" s="8">
        <v>6.5</v>
      </c>
      <c r="B15" s="8">
        <v>13</v>
      </c>
      <c r="D15">
        <v>637.79700598802003</v>
      </c>
      <c r="E15">
        <v>261.16946107784003</v>
      </c>
      <c r="F15">
        <v>170.26390532543999</v>
      </c>
      <c r="G15">
        <v>126.91893491124</v>
      </c>
      <c r="I15" s="9">
        <f t="shared" si="1"/>
        <v>134.25052616660003</v>
      </c>
      <c r="J15" s="9">
        <f t="shared" si="2"/>
        <v>467.53310066258007</v>
      </c>
      <c r="K15" s="9">
        <f t="shared" si="3"/>
        <v>134.25052616660003</v>
      </c>
      <c r="L15" s="10">
        <f t="shared" si="0"/>
        <v>0.28714656989278925</v>
      </c>
      <c r="M15" s="10">
        <f t="shared" si="4"/>
        <v>0.28795426465618995</v>
      </c>
      <c r="P15" s="8">
        <f t="shared" si="5"/>
        <v>-2.5682077817811191</v>
      </c>
    </row>
    <row r="16" spans="1:16" x14ac:dyDescent="0.2">
      <c r="A16" s="8">
        <v>7</v>
      </c>
      <c r="B16" s="8">
        <v>14</v>
      </c>
      <c r="D16">
        <v>637.71017964071996</v>
      </c>
      <c r="E16">
        <v>261.12095808382998</v>
      </c>
      <c r="F16">
        <v>169.90828402367001</v>
      </c>
      <c r="G16">
        <v>127.08165680473</v>
      </c>
      <c r="I16" s="9">
        <f t="shared" si="1"/>
        <v>134.03930127909996</v>
      </c>
      <c r="J16" s="9">
        <f t="shared" si="2"/>
        <v>467.80189561704992</v>
      </c>
      <c r="K16" s="9">
        <f t="shared" si="3"/>
        <v>134.03930127909996</v>
      </c>
      <c r="L16" s="10">
        <f t="shared" si="0"/>
        <v>0.28653005157727418</v>
      </c>
      <c r="M16" s="10">
        <f t="shared" si="4"/>
        <v>0.28739987670709033</v>
      </c>
      <c r="P16" s="8">
        <f t="shared" si="5"/>
        <v>-2.7557896935456538</v>
      </c>
    </row>
    <row r="17" spans="1:16" x14ac:dyDescent="0.2">
      <c r="A17" s="8">
        <v>7.5</v>
      </c>
      <c r="B17" s="8">
        <v>15</v>
      </c>
      <c r="D17">
        <v>635.15029940119996</v>
      </c>
      <c r="E17">
        <v>259.45329341317</v>
      </c>
      <c r="F17">
        <v>170.06686390533</v>
      </c>
      <c r="G17">
        <v>126.81834319527</v>
      </c>
      <c r="I17" s="9">
        <f t="shared" si="1"/>
        <v>132.63495021789998</v>
      </c>
      <c r="J17" s="9">
        <f t="shared" si="2"/>
        <v>465.08343549586994</v>
      </c>
      <c r="K17" s="9">
        <f t="shared" si="3"/>
        <v>132.63495021789998</v>
      </c>
      <c r="L17" s="10">
        <f t="shared" si="0"/>
        <v>0.28518528095176121</v>
      </c>
      <c r="M17" s="10">
        <f t="shared" si="4"/>
        <v>0.28611723644799281</v>
      </c>
      <c r="P17" s="8">
        <f t="shared" si="5"/>
        <v>-3.1897820130007006</v>
      </c>
    </row>
    <row r="18" spans="1:16" x14ac:dyDescent="0.2">
      <c r="A18" s="8">
        <v>8</v>
      </c>
      <c r="B18" s="8">
        <v>16</v>
      </c>
      <c r="D18">
        <v>636.59760479041995</v>
      </c>
      <c r="E18">
        <v>260.93353293413003</v>
      </c>
      <c r="F18">
        <v>169.78698224851999</v>
      </c>
      <c r="G18">
        <v>127.01479289941</v>
      </c>
      <c r="I18" s="9">
        <f t="shared" si="1"/>
        <v>133.91874003472003</v>
      </c>
      <c r="J18" s="9">
        <f t="shared" si="2"/>
        <v>466.81062254189999</v>
      </c>
      <c r="K18" s="9">
        <f t="shared" si="3"/>
        <v>133.91874003472003</v>
      </c>
      <c r="L18" s="10">
        <f t="shared" si="0"/>
        <v>0.28688023272799401</v>
      </c>
      <c r="M18" s="10">
        <f t="shared" si="4"/>
        <v>0.28787431859064105</v>
      </c>
      <c r="P18" s="8">
        <f t="shared" si="5"/>
        <v>-2.5952582179207764</v>
      </c>
    </row>
    <row r="19" spans="1:16" x14ac:dyDescent="0.2">
      <c r="A19" s="8">
        <v>8.5</v>
      </c>
      <c r="B19" s="8">
        <v>17</v>
      </c>
      <c r="D19">
        <v>638.16227544909998</v>
      </c>
      <c r="E19">
        <v>259.52335329341003</v>
      </c>
      <c r="F19">
        <v>170.16568047337</v>
      </c>
      <c r="G19">
        <v>127.35147928994</v>
      </c>
      <c r="I19" s="9">
        <f t="shared" si="1"/>
        <v>132.17187400347001</v>
      </c>
      <c r="J19" s="9">
        <f t="shared" si="2"/>
        <v>467.99659497572998</v>
      </c>
      <c r="K19" s="9">
        <f t="shared" si="3"/>
        <v>132.17187400347001</v>
      </c>
      <c r="L19" s="10">
        <f t="shared" si="0"/>
        <v>0.2824205890009186</v>
      </c>
      <c r="M19" s="10">
        <f t="shared" si="4"/>
        <v>0.28347680522998109</v>
      </c>
      <c r="P19" s="8">
        <f t="shared" si="5"/>
        <v>-4.0831945349752594</v>
      </c>
    </row>
    <row r="20" spans="1:16" x14ac:dyDescent="0.2">
      <c r="A20" s="8">
        <v>9</v>
      </c>
      <c r="B20" s="8">
        <v>18</v>
      </c>
      <c r="D20">
        <v>637.94730538921999</v>
      </c>
      <c r="E20">
        <v>258.54730538922001</v>
      </c>
      <c r="F20">
        <v>169.99467455620999</v>
      </c>
      <c r="G20">
        <v>127.10295857988</v>
      </c>
      <c r="I20" s="9">
        <f t="shared" si="1"/>
        <v>131.44434680934</v>
      </c>
      <c r="J20" s="9">
        <f t="shared" si="2"/>
        <v>467.95263083301001</v>
      </c>
      <c r="K20" s="9">
        <f t="shared" si="3"/>
        <v>131.44434680934</v>
      </c>
      <c r="L20" s="10">
        <f t="shared" si="0"/>
        <v>0.28089241976341456</v>
      </c>
      <c r="M20" s="10">
        <f t="shared" si="4"/>
        <v>0.2820107663588925</v>
      </c>
      <c r="P20" s="8">
        <f t="shared" si="5"/>
        <v>-4.5792413458890753</v>
      </c>
    </row>
    <row r="21" spans="1:16" x14ac:dyDescent="0.2">
      <c r="A21" s="8">
        <v>9.5</v>
      </c>
      <c r="B21" s="8">
        <v>19</v>
      </c>
      <c r="D21">
        <v>635.74730538921995</v>
      </c>
      <c r="E21">
        <v>259.28502994012001</v>
      </c>
      <c r="F21">
        <v>170.83668639052999</v>
      </c>
      <c r="G21">
        <v>127.07692307692</v>
      </c>
      <c r="I21" s="9">
        <f t="shared" si="1"/>
        <v>132.20810686320002</v>
      </c>
      <c r="J21" s="9">
        <f t="shared" si="2"/>
        <v>464.91061899868998</v>
      </c>
      <c r="K21" s="9">
        <f t="shared" si="3"/>
        <v>132.20810686320002</v>
      </c>
      <c r="L21" s="10">
        <f t="shared" si="0"/>
        <v>0.28437317079989638</v>
      </c>
      <c r="M21" s="10">
        <f t="shared" si="4"/>
        <v>0.28555364776178976</v>
      </c>
      <c r="P21" s="8">
        <f t="shared" si="5"/>
        <v>-3.3804770729826621</v>
      </c>
    </row>
    <row r="22" spans="1:16" x14ac:dyDescent="0.2">
      <c r="A22" s="8">
        <v>10</v>
      </c>
      <c r="B22" s="8">
        <v>20</v>
      </c>
      <c r="D22">
        <v>636.69880239521001</v>
      </c>
      <c r="E22">
        <v>259.63592814370998</v>
      </c>
      <c r="F22">
        <v>170.34437869823</v>
      </c>
      <c r="G22">
        <v>126.82662721894</v>
      </c>
      <c r="I22" s="9">
        <f t="shared" si="1"/>
        <v>132.80930092476996</v>
      </c>
      <c r="J22" s="9">
        <f t="shared" si="2"/>
        <v>466.35442369698001</v>
      </c>
      <c r="K22" s="9">
        <f t="shared" si="3"/>
        <v>132.80930092476996</v>
      </c>
      <c r="L22" s="10">
        <f t="shared" si="0"/>
        <v>0.28478190444069762</v>
      </c>
      <c r="M22" s="10">
        <f t="shared" si="4"/>
        <v>0.28602451176900645</v>
      </c>
      <c r="P22" s="8">
        <f t="shared" si="5"/>
        <v>-3.2211562024654286</v>
      </c>
    </row>
    <row r="23" spans="1:16" x14ac:dyDescent="0.2">
      <c r="A23" s="8">
        <v>10.5</v>
      </c>
      <c r="B23" s="8">
        <v>21</v>
      </c>
      <c r="D23">
        <v>629.83113772454999</v>
      </c>
      <c r="E23">
        <v>257.83952095808002</v>
      </c>
      <c r="F23">
        <v>170.26390532543999</v>
      </c>
      <c r="G23">
        <v>127.15266272189</v>
      </c>
      <c r="I23" s="9">
        <f t="shared" si="1"/>
        <v>130.68685823619001</v>
      </c>
      <c r="J23" s="9">
        <f t="shared" si="2"/>
        <v>459.56723239911003</v>
      </c>
      <c r="K23" s="9">
        <f t="shared" si="3"/>
        <v>130.68685823619001</v>
      </c>
      <c r="L23" s="10">
        <f t="shared" si="0"/>
        <v>0.28436940021584334</v>
      </c>
      <c r="M23" s="10">
        <f t="shared" si="4"/>
        <v>0.28567413791056756</v>
      </c>
      <c r="P23" s="8">
        <f t="shared" si="5"/>
        <v>-3.3397081989599862</v>
      </c>
    </row>
    <row r="24" spans="1:16" x14ac:dyDescent="0.2">
      <c r="A24" s="8">
        <v>11</v>
      </c>
      <c r="B24" s="8">
        <v>22</v>
      </c>
      <c r="D24">
        <v>631.33293413173999</v>
      </c>
      <c r="E24">
        <v>257.79041916168001</v>
      </c>
      <c r="F24">
        <v>170.64260355030001</v>
      </c>
      <c r="G24">
        <v>127.00236686391</v>
      </c>
      <c r="I24" s="9">
        <f t="shared" si="1"/>
        <v>130.78805229777001</v>
      </c>
      <c r="J24" s="9">
        <f t="shared" si="2"/>
        <v>460.69033058143998</v>
      </c>
      <c r="K24" s="9">
        <f t="shared" si="3"/>
        <v>130.78805229777001</v>
      </c>
      <c r="L24" s="10">
        <f t="shared" si="0"/>
        <v>0.28389580509037737</v>
      </c>
      <c r="M24" s="10">
        <f t="shared" si="4"/>
        <v>0.28526267315151704</v>
      </c>
      <c r="P24" s="8">
        <f t="shared" si="5"/>
        <v>-3.4789308250141469</v>
      </c>
    </row>
    <row r="25" spans="1:16" x14ac:dyDescent="0.2">
      <c r="A25" s="8">
        <v>11.5</v>
      </c>
      <c r="B25" s="8">
        <v>23</v>
      </c>
      <c r="D25">
        <v>631.02035928144005</v>
      </c>
      <c r="E25">
        <v>257.37125748503001</v>
      </c>
      <c r="F25">
        <v>170.76627218934999</v>
      </c>
      <c r="G25">
        <v>127.54792899408</v>
      </c>
      <c r="I25" s="9">
        <f t="shared" si="1"/>
        <v>129.82332849095002</v>
      </c>
      <c r="J25" s="9">
        <f t="shared" si="2"/>
        <v>460.25408709209006</v>
      </c>
      <c r="K25" s="9">
        <f t="shared" si="3"/>
        <v>129.82332849095002</v>
      </c>
      <c r="L25" s="10">
        <f t="shared" si="0"/>
        <v>0.28206882270439088</v>
      </c>
      <c r="M25" s="10">
        <f t="shared" si="4"/>
        <v>0.28349782113194599</v>
      </c>
      <c r="P25" s="8">
        <f t="shared" si="5"/>
        <v>-4.0760836245118641</v>
      </c>
    </row>
    <row r="26" spans="1:16" x14ac:dyDescent="0.2">
      <c r="A26" s="8">
        <v>12</v>
      </c>
      <c r="B26" s="8">
        <v>24</v>
      </c>
      <c r="D26">
        <v>634.64790419162</v>
      </c>
      <c r="E26">
        <v>258.06167664671</v>
      </c>
      <c r="F26">
        <v>170.83491124259999</v>
      </c>
      <c r="G26">
        <v>127.0201183432</v>
      </c>
      <c r="I26" s="9">
        <f t="shared" si="1"/>
        <v>131.04155830350999</v>
      </c>
      <c r="J26" s="9">
        <f t="shared" si="2"/>
        <v>463.81299294901999</v>
      </c>
      <c r="K26" s="9">
        <f t="shared" si="3"/>
        <v>131.04155830350999</v>
      </c>
      <c r="L26" s="10">
        <f t="shared" si="0"/>
        <v>0.282531020682108</v>
      </c>
      <c r="M26" s="10">
        <f t="shared" si="4"/>
        <v>0.28402214947607857</v>
      </c>
      <c r="P26" s="8">
        <f t="shared" si="5"/>
        <v>-3.8986726375947458</v>
      </c>
    </row>
    <row r="27" spans="1:16" x14ac:dyDescent="0.2">
      <c r="A27" s="8">
        <v>12.5</v>
      </c>
      <c r="B27" s="8">
        <v>25</v>
      </c>
      <c r="D27">
        <v>635.00778443113995</v>
      </c>
      <c r="E27">
        <v>259.03473053891997</v>
      </c>
      <c r="F27">
        <v>170.70710059172001</v>
      </c>
      <c r="G27">
        <v>127.41952662721999</v>
      </c>
      <c r="I27" s="9">
        <f t="shared" si="1"/>
        <v>131.61520391169998</v>
      </c>
      <c r="J27" s="9">
        <f t="shared" si="2"/>
        <v>464.30068383941995</v>
      </c>
      <c r="K27" s="9">
        <f t="shared" si="3"/>
        <v>131.61520391169998</v>
      </c>
      <c r="L27" s="10">
        <f t="shared" si="0"/>
        <v>0.28346976106806587</v>
      </c>
      <c r="M27" s="10">
        <f t="shared" si="4"/>
        <v>0.28502302022845188</v>
      </c>
      <c r="P27" s="8">
        <f t="shared" si="5"/>
        <v>-3.5600194445296531</v>
      </c>
    </row>
    <row r="28" spans="1:16" x14ac:dyDescent="0.2">
      <c r="A28" s="8">
        <v>13</v>
      </c>
      <c r="B28" s="8">
        <v>26</v>
      </c>
      <c r="D28">
        <v>636.74610778443002</v>
      </c>
      <c r="E28">
        <v>258.20479041916002</v>
      </c>
      <c r="F28">
        <v>170.42603550295999</v>
      </c>
      <c r="G28">
        <v>127.15088757396001</v>
      </c>
      <c r="I28" s="9">
        <f t="shared" si="1"/>
        <v>131.05390284520001</v>
      </c>
      <c r="J28" s="9">
        <f t="shared" si="2"/>
        <v>466.32007228147006</v>
      </c>
      <c r="K28" s="9">
        <f t="shared" si="3"/>
        <v>131.05390284520001</v>
      </c>
      <c r="L28" s="10">
        <f t="shared" si="0"/>
        <v>0.28103851975322236</v>
      </c>
      <c r="M28" s="10">
        <f t="shared" si="4"/>
        <v>0.28265390928002382</v>
      </c>
      <c r="P28" s="8">
        <f t="shared" si="5"/>
        <v>-4.3616284290145755</v>
      </c>
    </row>
    <row r="29" spans="1:16" x14ac:dyDescent="0.2">
      <c r="A29" s="8">
        <v>13.5</v>
      </c>
      <c r="B29" s="8">
        <v>27</v>
      </c>
      <c r="D29">
        <v>634.70538922156004</v>
      </c>
      <c r="E29">
        <v>257.90958083831998</v>
      </c>
      <c r="F29">
        <v>170.39644970414</v>
      </c>
      <c r="G29">
        <v>127.54556213018</v>
      </c>
      <c r="I29" s="9">
        <f t="shared" si="1"/>
        <v>130.36401870813998</v>
      </c>
      <c r="J29" s="9">
        <f t="shared" si="2"/>
        <v>464.30893951742007</v>
      </c>
      <c r="K29" s="9">
        <f t="shared" si="3"/>
        <v>130.36401870813998</v>
      </c>
      <c r="L29" s="10">
        <f t="shared" si="0"/>
        <v>0.28076999517526829</v>
      </c>
      <c r="M29" s="10">
        <f t="shared" si="4"/>
        <v>0.2824475150684852</v>
      </c>
      <c r="P29" s="8">
        <f t="shared" si="5"/>
        <v>-4.4314636785729862</v>
      </c>
    </row>
    <row r="30" spans="1:16" x14ac:dyDescent="0.2">
      <c r="A30" s="8">
        <v>14</v>
      </c>
      <c r="B30" s="8">
        <v>28</v>
      </c>
      <c r="D30">
        <v>637.45269461077999</v>
      </c>
      <c r="E30">
        <v>258.20119760479002</v>
      </c>
      <c r="F30">
        <v>170.54260355029999</v>
      </c>
      <c r="G30">
        <v>127.09349112426</v>
      </c>
      <c r="I30" s="9">
        <f t="shared" si="1"/>
        <v>131.10770648053003</v>
      </c>
      <c r="J30" s="9">
        <f t="shared" si="2"/>
        <v>466.91009106048</v>
      </c>
      <c r="K30" s="9">
        <f t="shared" si="3"/>
        <v>131.10770648053003</v>
      </c>
      <c r="L30" s="10">
        <f t="shared" si="0"/>
        <v>0.28079861410308932</v>
      </c>
      <c r="M30" s="10">
        <f t="shared" si="4"/>
        <v>0.28253826436272167</v>
      </c>
      <c r="P30" s="8">
        <f t="shared" si="5"/>
        <v>-4.4007578774605953</v>
      </c>
    </row>
    <row r="31" spans="1:16" x14ac:dyDescent="0.2">
      <c r="A31" s="8">
        <v>14.5</v>
      </c>
      <c r="B31" s="8">
        <v>29</v>
      </c>
      <c r="D31">
        <v>637.38742514969999</v>
      </c>
      <c r="E31">
        <v>257.73652694611002</v>
      </c>
      <c r="F31">
        <v>170.95325443786999</v>
      </c>
      <c r="G31">
        <v>127.46153846154</v>
      </c>
      <c r="I31" s="9">
        <f t="shared" si="1"/>
        <v>130.27498848457003</v>
      </c>
      <c r="J31" s="9">
        <f t="shared" si="2"/>
        <v>466.43417071183001</v>
      </c>
      <c r="K31" s="9">
        <f t="shared" si="3"/>
        <v>130.27498848457003</v>
      </c>
      <c r="L31" s="10">
        <f t="shared" si="0"/>
        <v>0.2792998383582318</v>
      </c>
      <c r="M31" s="10">
        <f t="shared" si="4"/>
        <v>0.2811016189842796</v>
      </c>
      <c r="P31" s="8">
        <f t="shared" si="5"/>
        <v>-4.8868591483369226</v>
      </c>
    </row>
    <row r="32" spans="1:16" x14ac:dyDescent="0.2">
      <c r="A32" s="8">
        <v>15</v>
      </c>
      <c r="B32" s="8">
        <v>30</v>
      </c>
      <c r="D32">
        <v>637.41317365270004</v>
      </c>
      <c r="E32">
        <v>257.77964071856002</v>
      </c>
      <c r="F32">
        <v>170.44911242603999</v>
      </c>
      <c r="G32">
        <v>127.5550295858</v>
      </c>
      <c r="I32" s="9">
        <f t="shared" si="1"/>
        <v>130.22461113276</v>
      </c>
      <c r="J32" s="9">
        <f t="shared" si="2"/>
        <v>466.96406122666008</v>
      </c>
      <c r="K32" s="9">
        <f t="shared" si="3"/>
        <v>130.22461113276</v>
      </c>
      <c r="L32" s="10">
        <f t="shared" si="0"/>
        <v>0.2788750183272673</v>
      </c>
      <c r="M32" s="10">
        <f t="shared" si="4"/>
        <v>0.28073892931973049</v>
      </c>
      <c r="P32" s="8">
        <f t="shared" si="5"/>
        <v>-5.009578303332721</v>
      </c>
    </row>
    <row r="33" spans="1:16" x14ac:dyDescent="0.2">
      <c r="A33" s="8">
        <v>15.5</v>
      </c>
      <c r="B33" s="8">
        <v>31</v>
      </c>
      <c r="D33">
        <v>635.34790419162005</v>
      </c>
      <c r="E33">
        <v>257.51676646707</v>
      </c>
      <c r="F33">
        <v>171.02958579881999</v>
      </c>
      <c r="G33">
        <v>127.58934911243</v>
      </c>
      <c r="I33" s="9">
        <f t="shared" si="1"/>
        <v>129.92741735464</v>
      </c>
      <c r="J33" s="9">
        <f t="shared" si="2"/>
        <v>464.31831839280005</v>
      </c>
      <c r="K33" s="9">
        <f t="shared" si="3"/>
        <v>129.92741735464</v>
      </c>
      <c r="L33" s="10">
        <f t="shared" si="0"/>
        <v>0.27982401772209448</v>
      </c>
      <c r="M33" s="10">
        <f t="shared" si="4"/>
        <v>0.28175005908097311</v>
      </c>
      <c r="P33" s="8">
        <f t="shared" si="5"/>
        <v>-4.6674538867324866</v>
      </c>
    </row>
    <row r="34" spans="1:16" x14ac:dyDescent="0.2">
      <c r="A34" s="8">
        <v>16</v>
      </c>
      <c r="B34" s="8">
        <v>32</v>
      </c>
      <c r="D34">
        <v>635.70958083831999</v>
      </c>
      <c r="E34">
        <v>256.71497005987999</v>
      </c>
      <c r="F34">
        <v>170.64437869823001</v>
      </c>
      <c r="G34">
        <v>127.60828402367</v>
      </c>
      <c r="I34" s="9">
        <f t="shared" si="1"/>
        <v>129.10668603620999</v>
      </c>
      <c r="J34" s="9">
        <f t="shared" si="2"/>
        <v>465.06520214008998</v>
      </c>
      <c r="K34" s="9">
        <f t="shared" si="3"/>
        <v>129.10668603620999</v>
      </c>
      <c r="L34" s="10">
        <f t="shared" si="0"/>
        <v>0.27760986081542954</v>
      </c>
      <c r="M34" s="10">
        <f t="shared" si="4"/>
        <v>0.27959803254072363</v>
      </c>
      <c r="P34" s="8">
        <f t="shared" si="5"/>
        <v>-5.3956105020478669</v>
      </c>
    </row>
    <row r="35" spans="1:16" x14ac:dyDescent="0.2">
      <c r="A35" s="8">
        <v>16.5</v>
      </c>
      <c r="B35" s="8">
        <v>33</v>
      </c>
      <c r="D35">
        <v>636.59820359281002</v>
      </c>
      <c r="E35">
        <v>259.11856287425002</v>
      </c>
      <c r="F35">
        <v>171.05798816568</v>
      </c>
      <c r="G35">
        <v>127.6426035503</v>
      </c>
      <c r="I35" s="9">
        <f t="shared" si="1"/>
        <v>131.47595932395001</v>
      </c>
      <c r="J35" s="9">
        <f t="shared" si="2"/>
        <v>465.54021542713002</v>
      </c>
      <c r="K35" s="9">
        <f t="shared" si="3"/>
        <v>131.47595932395001</v>
      </c>
      <c r="L35" s="10">
        <f t="shared" si="0"/>
        <v>0.28241590085471285</v>
      </c>
      <c r="M35" s="10">
        <f t="shared" si="4"/>
        <v>0.28446620294642239</v>
      </c>
      <c r="P35" s="8">
        <f t="shared" si="5"/>
        <v>-3.7484233419019901</v>
      </c>
    </row>
    <row r="36" spans="1:16" x14ac:dyDescent="0.2">
      <c r="A36" s="8">
        <v>17</v>
      </c>
      <c r="B36" s="8">
        <v>34</v>
      </c>
      <c r="D36">
        <v>637.21736526945995</v>
      </c>
      <c r="E36">
        <v>257.99880239521002</v>
      </c>
      <c r="F36">
        <v>170.93313609468001</v>
      </c>
      <c r="G36">
        <v>127.30414201183</v>
      </c>
      <c r="I36" s="9">
        <f t="shared" si="1"/>
        <v>130.69466038338004</v>
      </c>
      <c r="J36" s="9">
        <f t="shared" si="2"/>
        <v>466.28422917477997</v>
      </c>
      <c r="K36" s="9">
        <f t="shared" si="3"/>
        <v>130.69466038338004</v>
      </c>
      <c r="L36" s="10">
        <f t="shared" si="0"/>
        <v>0.28028968643155849</v>
      </c>
      <c r="M36" s="10">
        <f t="shared" si="4"/>
        <v>0.28240211888968347</v>
      </c>
      <c r="P36" s="8">
        <f t="shared" si="5"/>
        <v>-4.446823864558743</v>
      </c>
    </row>
    <row r="37" spans="1:16" x14ac:dyDescent="0.2">
      <c r="A37" s="8">
        <v>17.5</v>
      </c>
      <c r="B37" s="8">
        <v>35</v>
      </c>
      <c r="D37">
        <v>638.78443113773005</v>
      </c>
      <c r="E37">
        <v>258.28622754490999</v>
      </c>
      <c r="F37">
        <v>171.14733727811</v>
      </c>
      <c r="G37">
        <v>127.71656804734</v>
      </c>
      <c r="I37" s="9">
        <f t="shared" si="1"/>
        <v>130.56965949757</v>
      </c>
      <c r="J37" s="9">
        <f t="shared" si="2"/>
        <v>467.63709385962005</v>
      </c>
      <c r="K37" s="9">
        <f t="shared" si="3"/>
        <v>130.56965949757</v>
      </c>
      <c r="L37" s="10">
        <f t="shared" si="0"/>
        <v>0.27921151083187107</v>
      </c>
      <c r="M37" s="10">
        <f t="shared" si="4"/>
        <v>0.2813860736564115</v>
      </c>
      <c r="P37" s="8">
        <f t="shared" si="5"/>
        <v>-4.7906114732286991</v>
      </c>
    </row>
    <row r="38" spans="1:16" x14ac:dyDescent="0.2">
      <c r="A38" s="8">
        <v>18</v>
      </c>
      <c r="B38" s="8">
        <v>36</v>
      </c>
      <c r="D38">
        <v>636.27544910179995</v>
      </c>
      <c r="E38">
        <v>259.13473053892</v>
      </c>
      <c r="F38">
        <v>170.94911242603999</v>
      </c>
      <c r="G38">
        <v>127.61479289941001</v>
      </c>
      <c r="I38" s="9">
        <f t="shared" si="1"/>
        <v>131.51993763950998</v>
      </c>
      <c r="J38" s="9">
        <f t="shared" si="2"/>
        <v>465.32633667575999</v>
      </c>
      <c r="K38" s="9">
        <f t="shared" si="3"/>
        <v>131.51993763950998</v>
      </c>
      <c r="L38" s="10">
        <f t="shared" si="0"/>
        <v>0.28264021886032475</v>
      </c>
      <c r="M38" s="10">
        <f t="shared" si="4"/>
        <v>0.28487691205128063</v>
      </c>
      <c r="P38" s="8">
        <f t="shared" si="5"/>
        <v>-3.6094563979171275</v>
      </c>
    </row>
    <row r="39" spans="1:16" x14ac:dyDescent="0.2">
      <c r="A39" s="8">
        <v>18.5</v>
      </c>
      <c r="B39" s="8">
        <v>37</v>
      </c>
      <c r="D39">
        <v>638.08143712574997</v>
      </c>
      <c r="E39">
        <v>257.80958083832002</v>
      </c>
      <c r="F39">
        <v>171.18579881657001</v>
      </c>
      <c r="G39">
        <v>127.07278106509</v>
      </c>
      <c r="I39" s="9">
        <f t="shared" si="1"/>
        <v>130.73679977323002</v>
      </c>
      <c r="J39" s="9">
        <f t="shared" si="2"/>
        <v>466.89563830917996</v>
      </c>
      <c r="K39" s="9">
        <f t="shared" si="3"/>
        <v>130.73679977323002</v>
      </c>
      <c r="L39" s="10">
        <f t="shared" si="0"/>
        <v>0.28001289591541578</v>
      </c>
      <c r="M39" s="10">
        <f t="shared" si="4"/>
        <v>0.2823117194727871</v>
      </c>
      <c r="P39" s="8">
        <f t="shared" si="5"/>
        <v>-4.4774112816758729</v>
      </c>
    </row>
    <row r="40" spans="1:16" x14ac:dyDescent="0.2">
      <c r="A40" s="8">
        <v>19</v>
      </c>
      <c r="B40" s="8">
        <v>38</v>
      </c>
      <c r="D40">
        <v>636.82215568862</v>
      </c>
      <c r="E40">
        <v>258.64670658683002</v>
      </c>
      <c r="F40">
        <v>171.10591715976</v>
      </c>
      <c r="G40">
        <v>127.8550295858</v>
      </c>
      <c r="I40" s="9">
        <f t="shared" si="1"/>
        <v>130.79167700103002</v>
      </c>
      <c r="J40" s="9">
        <f t="shared" si="2"/>
        <v>465.71623852886</v>
      </c>
      <c r="K40" s="9">
        <f t="shared" si="3"/>
        <v>130.79167700103002</v>
      </c>
      <c r="L40" s="10">
        <f t="shared" si="0"/>
        <v>0.28083984662889305</v>
      </c>
      <c r="M40" s="10">
        <f t="shared" si="4"/>
        <v>0.28320080055267977</v>
      </c>
      <c r="P40" s="8">
        <f t="shared" si="5"/>
        <v>-4.1765830819453384</v>
      </c>
    </row>
    <row r="41" spans="1:16" x14ac:dyDescent="0.2">
      <c r="A41" s="8">
        <v>19.5</v>
      </c>
      <c r="B41" s="8">
        <v>39</v>
      </c>
      <c r="D41">
        <v>636.36407185629002</v>
      </c>
      <c r="E41">
        <v>258.39580838323002</v>
      </c>
      <c r="F41">
        <v>171.61479289940999</v>
      </c>
      <c r="G41">
        <v>127.74556213018001</v>
      </c>
      <c r="I41" s="9">
        <f t="shared" si="1"/>
        <v>130.65024625305</v>
      </c>
      <c r="J41" s="9">
        <f t="shared" si="2"/>
        <v>464.74927895688006</v>
      </c>
      <c r="K41" s="9">
        <f t="shared" si="3"/>
        <v>130.65024625305</v>
      </c>
      <c r="L41" s="10">
        <f t="shared" si="0"/>
        <v>0.28111984712766358</v>
      </c>
      <c r="M41" s="10">
        <f t="shared" si="4"/>
        <v>0.28354293141786574</v>
      </c>
      <c r="P41" s="8">
        <f t="shared" si="5"/>
        <v>-4.0608201728318383</v>
      </c>
    </row>
    <row r="42" spans="1:16" x14ac:dyDescent="0.2">
      <c r="A42" s="8">
        <v>20</v>
      </c>
      <c r="B42" s="8">
        <v>40</v>
      </c>
      <c r="D42">
        <v>636.12455089820003</v>
      </c>
      <c r="E42">
        <v>258.56886227544999</v>
      </c>
      <c r="F42">
        <v>170.89822485207</v>
      </c>
      <c r="G42">
        <v>127.3573964497</v>
      </c>
      <c r="I42" s="9">
        <f t="shared" si="1"/>
        <v>131.21146582575</v>
      </c>
      <c r="J42" s="9">
        <f t="shared" si="2"/>
        <v>465.22632604613</v>
      </c>
      <c r="K42" s="9">
        <f t="shared" si="3"/>
        <v>131.21146582575</v>
      </c>
      <c r="L42" s="10">
        <f t="shared" si="0"/>
        <v>0.2820379210714305</v>
      </c>
      <c r="M42" s="10">
        <f t="shared" si="4"/>
        <v>0.2845231357280481</v>
      </c>
      <c r="P42" s="8">
        <f t="shared" si="5"/>
        <v>-3.7291596475219633</v>
      </c>
    </row>
    <row r="43" spans="1:16" x14ac:dyDescent="0.2">
      <c r="A43" s="8">
        <v>20.5</v>
      </c>
      <c r="B43" s="8">
        <v>41</v>
      </c>
      <c r="D43">
        <v>637.10299401197994</v>
      </c>
      <c r="E43">
        <v>259.08443113773001</v>
      </c>
      <c r="F43">
        <v>171.42426035502999</v>
      </c>
      <c r="G43">
        <v>127.97633136095</v>
      </c>
      <c r="I43" s="9">
        <f t="shared" si="1"/>
        <v>131.10809977678002</v>
      </c>
      <c r="J43" s="9">
        <f t="shared" si="2"/>
        <v>465.67873365694993</v>
      </c>
      <c r="K43" s="9">
        <f t="shared" si="3"/>
        <v>131.10809977678002</v>
      </c>
      <c r="L43" s="10">
        <f t="shared" si="0"/>
        <v>0.28154195221069084</v>
      </c>
      <c r="M43" s="10">
        <f t="shared" si="4"/>
        <v>0.28408929723372389</v>
      </c>
      <c r="P43" s="8">
        <f t="shared" si="5"/>
        <v>-3.8759526185714819</v>
      </c>
    </row>
    <row r="44" spans="1:16" x14ac:dyDescent="0.2">
      <c r="A44" s="8">
        <v>21</v>
      </c>
      <c r="B44" s="8">
        <v>42</v>
      </c>
      <c r="D44">
        <v>637.57544910180002</v>
      </c>
      <c r="E44">
        <v>259.31497005988001</v>
      </c>
      <c r="F44">
        <v>171.55029585798999</v>
      </c>
      <c r="G44">
        <v>127.64201183432</v>
      </c>
      <c r="I44" s="9">
        <f t="shared" si="1"/>
        <v>131.67295822556002</v>
      </c>
      <c r="J44" s="9">
        <f t="shared" si="2"/>
        <v>466.02515324381</v>
      </c>
      <c r="K44" s="9">
        <f t="shared" si="3"/>
        <v>131.67295822556002</v>
      </c>
      <c r="L44" s="10">
        <f t="shared" si="0"/>
        <v>0.2825447452976273</v>
      </c>
      <c r="M44" s="10">
        <f t="shared" si="4"/>
        <v>0.2851542206870758</v>
      </c>
      <c r="P44" s="8">
        <f t="shared" si="5"/>
        <v>-3.5156266454202432</v>
      </c>
    </row>
    <row r="45" spans="1:16" x14ac:dyDescent="0.2">
      <c r="A45" s="8">
        <v>21.5</v>
      </c>
      <c r="B45" s="8">
        <v>43</v>
      </c>
      <c r="D45">
        <v>638.50898203592999</v>
      </c>
      <c r="E45">
        <v>258.94431137725002</v>
      </c>
      <c r="F45">
        <v>171.20355029586</v>
      </c>
      <c r="G45">
        <v>127.81183431953001</v>
      </c>
      <c r="I45" s="9">
        <f t="shared" si="1"/>
        <v>131.13247705772</v>
      </c>
      <c r="J45" s="9">
        <f t="shared" si="2"/>
        <v>467.30543174006999</v>
      </c>
      <c r="K45" s="9">
        <f t="shared" si="3"/>
        <v>131.13247705772</v>
      </c>
      <c r="L45" s="10">
        <f t="shared" si="0"/>
        <v>0.28061406555757734</v>
      </c>
      <c r="M45" s="10">
        <f t="shared" si="4"/>
        <v>0.28328567131344129</v>
      </c>
      <c r="P45" s="8">
        <f t="shared" si="5"/>
        <v>-4.1478663329928889</v>
      </c>
    </row>
    <row r="46" spans="1:16" x14ac:dyDescent="0.2">
      <c r="A46" s="8">
        <v>22</v>
      </c>
      <c r="B46" s="8">
        <v>44</v>
      </c>
      <c r="D46">
        <v>638.23592814371</v>
      </c>
      <c r="E46">
        <v>259.68922155689</v>
      </c>
      <c r="F46">
        <v>171.15443786981999</v>
      </c>
      <c r="G46">
        <v>127.66627218935</v>
      </c>
      <c r="I46" s="9">
        <f t="shared" si="1"/>
        <v>132.02294936754001</v>
      </c>
      <c r="J46" s="9">
        <f t="shared" si="2"/>
        <v>467.08149027389004</v>
      </c>
      <c r="K46" s="9">
        <f t="shared" si="3"/>
        <v>132.02294936754001</v>
      </c>
      <c r="L46" s="10">
        <f t="shared" si="0"/>
        <v>0.28265506580045296</v>
      </c>
      <c r="M46" s="10">
        <f t="shared" si="4"/>
        <v>0.28538880192273236</v>
      </c>
      <c r="P46" s="8">
        <f t="shared" si="5"/>
        <v>-3.4362540747862491</v>
      </c>
    </row>
    <row r="47" spans="1:16" x14ac:dyDescent="0.2">
      <c r="A47" s="8">
        <v>22.5</v>
      </c>
      <c r="B47" s="8">
        <v>45</v>
      </c>
      <c r="D47">
        <v>637.29580838323</v>
      </c>
      <c r="E47">
        <v>259.28622754490999</v>
      </c>
      <c r="F47">
        <v>170.98402366863999</v>
      </c>
      <c r="G47">
        <v>127.92781065089</v>
      </c>
      <c r="I47" s="9">
        <f t="shared" si="1"/>
        <v>131.35841689402</v>
      </c>
      <c r="J47" s="9">
        <f t="shared" si="2"/>
        <v>466.31178471458998</v>
      </c>
      <c r="K47" s="9">
        <f t="shared" si="3"/>
        <v>131.35841689402</v>
      </c>
      <c r="L47" s="10">
        <f t="shared" si="0"/>
        <v>0.28169654124100468</v>
      </c>
      <c r="M47" s="10">
        <f t="shared" si="4"/>
        <v>0.28449240772969953</v>
      </c>
      <c r="P47" s="8">
        <f t="shared" si="5"/>
        <v>-3.7395567289958396</v>
      </c>
    </row>
    <row r="48" spans="1:16" x14ac:dyDescent="0.2">
      <c r="A48" s="8">
        <v>23</v>
      </c>
      <c r="B48" s="8">
        <v>46</v>
      </c>
      <c r="D48">
        <v>636.85688622755004</v>
      </c>
      <c r="E48">
        <v>259.26706586825998</v>
      </c>
      <c r="F48">
        <v>171.16508875740001</v>
      </c>
      <c r="G48">
        <v>127.92721893491</v>
      </c>
      <c r="I48" s="9">
        <f t="shared" si="1"/>
        <v>131.33984693334997</v>
      </c>
      <c r="J48" s="9">
        <f t="shared" si="2"/>
        <v>465.69179747015005</v>
      </c>
      <c r="K48" s="9">
        <f t="shared" si="3"/>
        <v>131.33984693334997</v>
      </c>
      <c r="L48" s="10">
        <f t="shared" si="0"/>
        <v>0.28203169488242619</v>
      </c>
      <c r="M48" s="10">
        <f t="shared" si="4"/>
        <v>0.28488969173753642</v>
      </c>
      <c r="P48" s="8">
        <f t="shared" si="5"/>
        <v>-3.6051322815947833</v>
      </c>
    </row>
    <row r="49" spans="1:25" x14ac:dyDescent="0.2">
      <c r="A49" s="8">
        <v>23.5</v>
      </c>
      <c r="B49" s="8">
        <v>47</v>
      </c>
      <c r="D49">
        <v>638.22634730539005</v>
      </c>
      <c r="E49">
        <v>260.21257485029997</v>
      </c>
      <c r="F49">
        <v>171.66982248521001</v>
      </c>
      <c r="G49">
        <v>127.92662721894</v>
      </c>
      <c r="I49" s="9">
        <f t="shared" si="1"/>
        <v>132.28594763135999</v>
      </c>
      <c r="J49" s="9">
        <f t="shared" si="2"/>
        <v>466.55652482018002</v>
      </c>
      <c r="K49" s="9">
        <f t="shared" si="3"/>
        <v>132.28594763135999</v>
      </c>
      <c r="L49" s="10">
        <f t="shared" si="0"/>
        <v>0.28353680764050093</v>
      </c>
      <c r="M49" s="10">
        <f t="shared" si="4"/>
        <v>0.28645693486202661</v>
      </c>
      <c r="P49" s="8">
        <f t="shared" si="5"/>
        <v>-3.0748421445722269</v>
      </c>
    </row>
    <row r="50" spans="1:25" x14ac:dyDescent="0.2">
      <c r="A50" s="8">
        <v>24</v>
      </c>
      <c r="B50" s="8">
        <v>48</v>
      </c>
      <c r="D50">
        <v>638.70538922156004</v>
      </c>
      <c r="E50">
        <v>259.45928143713002</v>
      </c>
      <c r="F50">
        <v>171.49349112426</v>
      </c>
      <c r="G50">
        <v>127.67396449704</v>
      </c>
      <c r="I50" s="9">
        <f t="shared" si="1"/>
        <v>131.78531694009001</v>
      </c>
      <c r="J50" s="9">
        <f t="shared" si="2"/>
        <v>467.21189809730004</v>
      </c>
      <c r="K50" s="9">
        <f t="shared" si="3"/>
        <v>131.78531694009001</v>
      </c>
      <c r="L50" s="10">
        <f t="shared" si="0"/>
        <v>0.28206755323822003</v>
      </c>
      <c r="M50" s="10">
        <f t="shared" si="4"/>
        <v>0.28504981082616115</v>
      </c>
      <c r="P50" s="8">
        <f t="shared" si="5"/>
        <v>-3.5509546162919881</v>
      </c>
    </row>
    <row r="51" spans="1:25" x14ac:dyDescent="0.2">
      <c r="A51" s="8">
        <v>24.5</v>
      </c>
      <c r="B51" s="8">
        <v>49</v>
      </c>
      <c r="D51">
        <v>637.8502994012</v>
      </c>
      <c r="E51">
        <v>259.84131736527002</v>
      </c>
      <c r="F51">
        <v>172.07041420118</v>
      </c>
      <c r="G51">
        <v>128.1</v>
      </c>
      <c r="I51" s="9">
        <f t="shared" si="1"/>
        <v>131.74131736527002</v>
      </c>
      <c r="J51" s="9">
        <f t="shared" si="2"/>
        <v>465.77988520001998</v>
      </c>
      <c r="K51" s="9">
        <f t="shared" si="3"/>
        <v>131.74131736527002</v>
      </c>
      <c r="L51" s="10">
        <f t="shared" si="0"/>
        <v>0.28284028905347924</v>
      </c>
      <c r="M51" s="10">
        <f t="shared" si="4"/>
        <v>0.28588467700783582</v>
      </c>
      <c r="P51" s="8">
        <f t="shared" si="5"/>
        <v>-3.2684704918076206</v>
      </c>
    </row>
    <row r="52" spans="1:25" x14ac:dyDescent="0.2">
      <c r="A52" s="8">
        <v>25</v>
      </c>
      <c r="B52" s="8">
        <v>50</v>
      </c>
      <c r="D52">
        <v>636.93652694611001</v>
      </c>
      <c r="E52">
        <v>259.91736526945999</v>
      </c>
      <c r="F52">
        <v>171.75621301775001</v>
      </c>
      <c r="G52">
        <v>127.71479289941</v>
      </c>
      <c r="I52" s="9">
        <f t="shared" si="1"/>
        <v>132.20257237005001</v>
      </c>
      <c r="J52" s="9">
        <f t="shared" si="2"/>
        <v>465.18031392835996</v>
      </c>
      <c r="K52" s="9">
        <f t="shared" si="3"/>
        <v>132.20257237005001</v>
      </c>
      <c r="L52" s="10">
        <f t="shared" si="0"/>
        <v>0.2841964038710586</v>
      </c>
      <c r="M52" s="10">
        <f t="shared" si="4"/>
        <v>0.28730292219183062</v>
      </c>
      <c r="P52" s="8">
        <f t="shared" si="5"/>
        <v>-2.7885950843485321</v>
      </c>
    </row>
    <row r="53" spans="1:25" x14ac:dyDescent="0.2">
      <c r="A53" s="8">
        <v>25.5</v>
      </c>
      <c r="B53" s="8">
        <v>51</v>
      </c>
      <c r="D53">
        <v>638.38982035927995</v>
      </c>
      <c r="E53">
        <v>259.41137724550998</v>
      </c>
      <c r="F53">
        <v>172.04674556213001</v>
      </c>
      <c r="G53">
        <v>127.88579881657</v>
      </c>
      <c r="I53" s="9">
        <f t="shared" si="1"/>
        <v>131.52557842893998</v>
      </c>
      <c r="J53" s="9">
        <f t="shared" si="2"/>
        <v>466.34307479714994</v>
      </c>
      <c r="K53" s="9">
        <f t="shared" si="3"/>
        <v>131.52557842893998</v>
      </c>
      <c r="L53" s="10">
        <f t="shared" si="0"/>
        <v>0.28203609217559628</v>
      </c>
      <c r="M53" s="10">
        <f t="shared" si="4"/>
        <v>0.28520474086278375</v>
      </c>
      <c r="P53" s="8">
        <f t="shared" si="5"/>
        <v>-3.4985327111863405</v>
      </c>
      <c r="S53" s="11"/>
      <c r="U53" s="12"/>
    </row>
    <row r="54" spans="1:25" x14ac:dyDescent="0.2">
      <c r="A54" s="8">
        <v>26</v>
      </c>
      <c r="B54" s="8">
        <v>52</v>
      </c>
      <c r="D54">
        <v>636.70718562874004</v>
      </c>
      <c r="E54">
        <v>260.90359281436997</v>
      </c>
      <c r="F54">
        <v>171.48994082839999</v>
      </c>
      <c r="G54">
        <v>128</v>
      </c>
      <c r="I54" s="9">
        <f t="shared" si="1"/>
        <v>132.90359281436997</v>
      </c>
      <c r="J54" s="9">
        <f t="shared" si="2"/>
        <v>465.21724480034004</v>
      </c>
      <c r="K54" s="9">
        <f t="shared" si="3"/>
        <v>132.90359281436997</v>
      </c>
      <c r="L54" s="10">
        <f t="shared" si="0"/>
        <v>0.28568071003345752</v>
      </c>
      <c r="M54" s="10">
        <f t="shared" si="4"/>
        <v>0.28891148908706044</v>
      </c>
      <c r="P54" s="8">
        <f t="shared" si="5"/>
        <v>-2.2443226954944797</v>
      </c>
      <c r="S54" s="11"/>
    </row>
    <row r="55" spans="1:25" x14ac:dyDescent="0.2">
      <c r="A55" s="8">
        <v>26.5</v>
      </c>
      <c r="B55" s="8">
        <v>53</v>
      </c>
      <c r="D55">
        <v>639.88323353293003</v>
      </c>
      <c r="E55">
        <v>261.30958083832002</v>
      </c>
      <c r="F55">
        <v>171.95384615385001</v>
      </c>
      <c r="G55">
        <v>127.87988165681</v>
      </c>
      <c r="I55" s="9">
        <f t="shared" si="1"/>
        <v>133.42969918151002</v>
      </c>
      <c r="J55" s="9">
        <f t="shared" si="2"/>
        <v>467.92938737908003</v>
      </c>
      <c r="K55" s="9">
        <f t="shared" si="3"/>
        <v>133.42969918151002</v>
      </c>
      <c r="L55" s="10">
        <f t="shared" si="0"/>
        <v>0.28514921862220133</v>
      </c>
      <c r="M55" s="10">
        <f t="shared" si="4"/>
        <v>0.28844212804221969</v>
      </c>
      <c r="P55" s="8">
        <f t="shared" si="5"/>
        <v>-2.4031350258166255</v>
      </c>
      <c r="S55" s="11"/>
    </row>
    <row r="56" spans="1:25" x14ac:dyDescent="0.2">
      <c r="A56" s="8">
        <v>27</v>
      </c>
      <c r="B56" s="8">
        <v>54</v>
      </c>
      <c r="D56">
        <v>638.39940119761002</v>
      </c>
      <c r="E56">
        <v>260.74970059880002</v>
      </c>
      <c r="F56">
        <v>171.51893491124</v>
      </c>
      <c r="G56">
        <v>128.39171597633</v>
      </c>
      <c r="I56" s="9">
        <f t="shared" si="1"/>
        <v>132.35798462247001</v>
      </c>
      <c r="J56" s="9">
        <f t="shared" si="2"/>
        <v>466.88046628637005</v>
      </c>
      <c r="K56" s="9">
        <f t="shared" si="3"/>
        <v>132.35798462247001</v>
      </c>
      <c r="L56" s="10">
        <f t="shared" si="0"/>
        <v>0.2834943720718564</v>
      </c>
      <c r="M56" s="10">
        <f t="shared" si="4"/>
        <v>0.28684941185829022</v>
      </c>
      <c r="P56" s="8">
        <f t="shared" si="5"/>
        <v>-2.9420441907164534</v>
      </c>
      <c r="S56" s="11"/>
    </row>
    <row r="57" spans="1:25" x14ac:dyDescent="0.2">
      <c r="A57" s="8">
        <v>27.5</v>
      </c>
      <c r="B57" s="8">
        <v>55</v>
      </c>
      <c r="D57">
        <v>639.37844311377</v>
      </c>
      <c r="E57">
        <v>260.35688622754998</v>
      </c>
      <c r="F57">
        <v>172.07810650888001</v>
      </c>
      <c r="G57">
        <v>127.61124260355</v>
      </c>
      <c r="I57" s="9">
        <f t="shared" si="1"/>
        <v>132.74564362399997</v>
      </c>
      <c r="J57" s="9">
        <f t="shared" si="2"/>
        <v>467.30033660488999</v>
      </c>
      <c r="K57" s="9">
        <f t="shared" si="3"/>
        <v>132.74564362399997</v>
      </c>
      <c r="L57" s="10">
        <f t="shared" si="0"/>
        <v>0.28406922320759753</v>
      </c>
      <c r="M57" s="10">
        <f t="shared" si="4"/>
        <v>0.28748639336044673</v>
      </c>
      <c r="P57" s="8">
        <f t="shared" si="5"/>
        <v>-2.7265160427341213</v>
      </c>
      <c r="S57" s="11"/>
    </row>
    <row r="58" spans="1:25" x14ac:dyDescent="0.2">
      <c r="A58" s="8">
        <v>28</v>
      </c>
      <c r="B58" s="8">
        <v>56</v>
      </c>
      <c r="D58">
        <v>639.21916167664995</v>
      </c>
      <c r="E58">
        <v>261.49760479041998</v>
      </c>
      <c r="F58">
        <v>172.79526627218999</v>
      </c>
      <c r="G58">
        <v>127.96982248521</v>
      </c>
      <c r="I58" s="9">
        <f t="shared" si="1"/>
        <v>133.52778230521</v>
      </c>
      <c r="J58" s="9">
        <f t="shared" si="2"/>
        <v>466.42389540445993</v>
      </c>
      <c r="K58" s="9">
        <f t="shared" si="3"/>
        <v>133.52778230521</v>
      </c>
      <c r="L58" s="10">
        <f t="shared" si="0"/>
        <v>0.28627989179118118</v>
      </c>
      <c r="M58" s="10">
        <f t="shared" si="4"/>
        <v>0.28975919231044583</v>
      </c>
      <c r="P58" s="8">
        <f t="shared" si="5"/>
        <v>-1.9574950479782509</v>
      </c>
      <c r="S58" s="11"/>
    </row>
    <row r="59" spans="1:25" x14ac:dyDescent="0.2">
      <c r="A59" s="8">
        <v>28.5</v>
      </c>
      <c r="B59" s="8">
        <v>57</v>
      </c>
      <c r="D59">
        <v>638.47185628743</v>
      </c>
      <c r="E59">
        <v>261.50898203592999</v>
      </c>
      <c r="F59">
        <v>172.27692307692001</v>
      </c>
      <c r="G59">
        <v>127.84023668639</v>
      </c>
      <c r="I59" s="9">
        <f t="shared" si="1"/>
        <v>133.66874534953999</v>
      </c>
      <c r="J59" s="9">
        <f t="shared" si="2"/>
        <v>466.19493321050999</v>
      </c>
      <c r="K59" s="9">
        <f t="shared" si="3"/>
        <v>133.66874534953999</v>
      </c>
      <c r="L59" s="10">
        <f t="shared" si="0"/>
        <v>0.28672286167722455</v>
      </c>
      <c r="M59" s="10">
        <f t="shared" si="4"/>
        <v>0.29026429256290465</v>
      </c>
      <c r="P59" s="8">
        <f t="shared" si="5"/>
        <v>-1.786590050597171</v>
      </c>
      <c r="R59" s="1"/>
      <c r="S59" s="11"/>
    </row>
    <row r="60" spans="1:25" x14ac:dyDescent="0.2">
      <c r="A60" s="8">
        <v>29</v>
      </c>
      <c r="B60" s="8">
        <v>58</v>
      </c>
      <c r="D60">
        <v>638.83353293412995</v>
      </c>
      <c r="E60">
        <v>261.95029940120003</v>
      </c>
      <c r="F60">
        <v>171.59230769230999</v>
      </c>
      <c r="G60">
        <v>128.13431952663001</v>
      </c>
      <c r="I60" s="9">
        <f t="shared" si="1"/>
        <v>133.81597987457002</v>
      </c>
      <c r="J60" s="9">
        <f t="shared" si="2"/>
        <v>467.24122524181996</v>
      </c>
      <c r="K60" s="9">
        <f t="shared" si="3"/>
        <v>133.81597987457002</v>
      </c>
      <c r="L60" s="10">
        <f t="shared" si="0"/>
        <v>0.28639591852220181</v>
      </c>
      <c r="M60" s="10">
        <f t="shared" si="4"/>
        <v>0.28999947977429735</v>
      </c>
      <c r="P60" s="8">
        <f t="shared" si="5"/>
        <v>-1.8761917261518601</v>
      </c>
      <c r="S60" s="11"/>
    </row>
    <row r="61" spans="1:25" x14ac:dyDescent="0.2">
      <c r="A61" s="8">
        <v>29.5</v>
      </c>
      <c r="B61" s="8">
        <v>59</v>
      </c>
      <c r="C61" s="2"/>
      <c r="D61">
        <v>639.33532934131995</v>
      </c>
      <c r="E61">
        <v>262.43532934132003</v>
      </c>
      <c r="F61">
        <v>171.99881656804999</v>
      </c>
      <c r="G61">
        <v>127.61360946745999</v>
      </c>
      <c r="I61" s="9">
        <f t="shared" si="1"/>
        <v>134.82171987386005</v>
      </c>
      <c r="J61" s="9">
        <f t="shared" si="2"/>
        <v>467.33651277326999</v>
      </c>
      <c r="K61" s="9">
        <f t="shared" si="3"/>
        <v>134.82171987386005</v>
      </c>
      <c r="L61" s="10">
        <f t="shared" si="0"/>
        <v>0.2884895919512056</v>
      </c>
      <c r="M61" s="10">
        <f t="shared" si="4"/>
        <v>0.2921552835697166</v>
      </c>
      <c r="P61" s="8">
        <f t="shared" si="5"/>
        <v>-1.1467570441917847</v>
      </c>
      <c r="S61" s="11"/>
    </row>
    <row r="62" spans="1:25" x14ac:dyDescent="0.2">
      <c r="A62" s="8">
        <v>30</v>
      </c>
      <c r="B62" s="8">
        <v>60</v>
      </c>
      <c r="D62">
        <v>638.33053892216003</v>
      </c>
      <c r="E62">
        <v>262.87005988023998</v>
      </c>
      <c r="F62">
        <v>172.47396449703999</v>
      </c>
      <c r="G62">
        <v>127.95325443787</v>
      </c>
      <c r="I62" s="9">
        <f t="shared" si="1"/>
        <v>134.91680544236999</v>
      </c>
      <c r="J62" s="9">
        <f t="shared" si="2"/>
        <v>465.85657442512002</v>
      </c>
      <c r="K62" s="9">
        <f t="shared" si="3"/>
        <v>134.91680544236999</v>
      </c>
      <c r="L62" s="10">
        <f t="shared" si="0"/>
        <v>0.2896101780013754</v>
      </c>
      <c r="M62" s="10">
        <f t="shared" si="4"/>
        <v>0.29333799998630183</v>
      </c>
      <c r="P62" s="8">
        <f t="shared" si="5"/>
        <v>-0.74657481285238769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638.42994011975998</v>
      </c>
      <c r="E63">
        <v>262.29640718563002</v>
      </c>
      <c r="F63">
        <v>172.36035502959001</v>
      </c>
      <c r="G63">
        <v>128.47692307692</v>
      </c>
      <c r="I63" s="9">
        <f t="shared" si="1"/>
        <v>133.81948410871001</v>
      </c>
      <c r="J63" s="9">
        <f t="shared" si="2"/>
        <v>466.06958509016999</v>
      </c>
      <c r="K63" s="9">
        <f t="shared" si="3"/>
        <v>133.81948410871001</v>
      </c>
      <c r="L63" s="10">
        <f t="shared" si="0"/>
        <v>0.28712340043133278</v>
      </c>
      <c r="M63" s="10">
        <f t="shared" si="4"/>
        <v>0.29091335278267466</v>
      </c>
      <c r="P63" s="8">
        <f t="shared" si="5"/>
        <v>-1.5669749650374925</v>
      </c>
    </row>
    <row r="64" spans="1:25" x14ac:dyDescent="0.2">
      <c r="A64" s="8">
        <v>31</v>
      </c>
      <c r="B64" s="8">
        <v>62</v>
      </c>
      <c r="D64">
        <v>639.33353293412995</v>
      </c>
      <c r="E64">
        <v>262.53892215568999</v>
      </c>
      <c r="F64">
        <v>172.59349112426</v>
      </c>
      <c r="G64">
        <v>128.41656804734001</v>
      </c>
      <c r="I64" s="9">
        <f t="shared" si="1"/>
        <v>134.12235410834998</v>
      </c>
      <c r="J64" s="9">
        <f t="shared" si="2"/>
        <v>466.74004180986992</v>
      </c>
      <c r="K64" s="9">
        <f t="shared" si="3"/>
        <v>134.12235410834998</v>
      </c>
      <c r="L64" s="10">
        <f t="shared" si="0"/>
        <v>0.28735986222280396</v>
      </c>
      <c r="M64" s="10">
        <f t="shared" si="4"/>
        <v>0.2912119449405613</v>
      </c>
      <c r="P64" s="8">
        <f t="shared" si="5"/>
        <v>-1.4659437505148121</v>
      </c>
      <c r="U64" s="8">
        <v>30.5</v>
      </c>
      <c r="V64" s="10">
        <f>L62</f>
        <v>0.2896101780013754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639.13892215569001</v>
      </c>
      <c r="E65">
        <v>263.23952095807999</v>
      </c>
      <c r="F65">
        <v>172.46686390533</v>
      </c>
      <c r="G65">
        <v>128.15976331361</v>
      </c>
      <c r="I65" s="9">
        <f t="shared" si="1"/>
        <v>135.07975764446999</v>
      </c>
      <c r="J65" s="9">
        <f t="shared" si="2"/>
        <v>466.67205825036001</v>
      </c>
      <c r="K65" s="9">
        <f t="shared" si="3"/>
        <v>135.07975764446999</v>
      </c>
      <c r="L65" s="10">
        <f t="shared" si="0"/>
        <v>0.28945327935619081</v>
      </c>
      <c r="M65" s="10">
        <f t="shared" si="4"/>
        <v>0.29336749244036353</v>
      </c>
      <c r="P65" s="8">
        <f t="shared" si="5"/>
        <v>-0.73659578837231787</v>
      </c>
      <c r="U65" s="8">
        <v>31</v>
      </c>
      <c r="V65" s="10">
        <f t="shared" ref="V65:V83" si="6">L63</f>
        <v>0.28712340043133278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638.55209580838005</v>
      </c>
      <c r="E66">
        <v>263.19760479041997</v>
      </c>
      <c r="F66">
        <v>172.28639053254</v>
      </c>
      <c r="G66">
        <v>128.4124260355</v>
      </c>
      <c r="I66" s="9">
        <f t="shared" si="1"/>
        <v>134.78517875491997</v>
      </c>
      <c r="J66" s="9">
        <f t="shared" si="2"/>
        <v>466.26570527584005</v>
      </c>
      <c r="K66" s="9">
        <f t="shared" si="3"/>
        <v>134.78517875491997</v>
      </c>
      <c r="L66" s="10">
        <f t="shared" ref="L66:L129" si="7">K66/J66</f>
        <v>0.28907375607901903</v>
      </c>
      <c r="M66" s="10">
        <f t="shared" si="4"/>
        <v>0.2930500995296072</v>
      </c>
      <c r="P66" s="8">
        <f t="shared" si="5"/>
        <v>-0.84398839868586617</v>
      </c>
      <c r="U66" s="8">
        <v>31.5</v>
      </c>
      <c r="V66" s="10">
        <f t="shared" si="6"/>
        <v>0.28735986222280396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639.13473053892005</v>
      </c>
      <c r="E67">
        <v>264.25808383233999</v>
      </c>
      <c r="F67">
        <v>172.04852071005999</v>
      </c>
      <c r="G67">
        <v>128.27278106508999</v>
      </c>
      <c r="I67" s="9">
        <f t="shared" ref="I67:I130" si="8">E67-G67</f>
        <v>135.98530276725</v>
      </c>
      <c r="J67" s="9">
        <f t="shared" ref="J67:J130" si="9">D67-F67</f>
        <v>467.08620982886009</v>
      </c>
      <c r="K67" s="9">
        <f t="shared" ref="K67:K130" si="10">I67*1</f>
        <v>135.98530276725</v>
      </c>
      <c r="L67" s="10">
        <f t="shared" si="7"/>
        <v>0.2911353405553867</v>
      </c>
      <c r="M67" s="10">
        <f t="shared" ref="M67:M130" si="11">L67+ABS($N$2)*A67</f>
        <v>0.29517381437239032</v>
      </c>
      <c r="P67" s="8">
        <f t="shared" ref="P67:P130" si="12">(M67-$O$2)/$O$2*100</f>
        <v>-0.12541128874152702</v>
      </c>
      <c r="U67" s="8">
        <v>32</v>
      </c>
      <c r="V67" s="10">
        <f t="shared" si="6"/>
        <v>0.28945327935619081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638.99221556886005</v>
      </c>
      <c r="E68">
        <v>262.88622754491001</v>
      </c>
      <c r="F68">
        <v>172.34142011834001</v>
      </c>
      <c r="G68">
        <v>128.23076923076999</v>
      </c>
      <c r="I68" s="9">
        <f t="shared" si="8"/>
        <v>134.65545831414002</v>
      </c>
      <c r="J68" s="9">
        <f t="shared" si="9"/>
        <v>466.65079545052004</v>
      </c>
      <c r="K68" s="9">
        <f t="shared" si="10"/>
        <v>134.65545831414002</v>
      </c>
      <c r="L68" s="10">
        <f t="shared" si="7"/>
        <v>0.28855722443189924</v>
      </c>
      <c r="M68" s="10">
        <f t="shared" si="11"/>
        <v>0.29265782861531831</v>
      </c>
      <c r="P68" s="8">
        <f t="shared" si="12"/>
        <v>-0.97671662294008788</v>
      </c>
      <c r="U68" s="8">
        <v>32.5</v>
      </c>
      <c r="V68" s="10">
        <f t="shared" si="6"/>
        <v>0.28907375607901903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639.26646706586996</v>
      </c>
      <c r="E69">
        <v>263.89341317365</v>
      </c>
      <c r="F69">
        <v>172.00414201183</v>
      </c>
      <c r="G69">
        <v>128.17218934911</v>
      </c>
      <c r="I69" s="9">
        <f t="shared" si="8"/>
        <v>135.72122382454</v>
      </c>
      <c r="J69" s="9">
        <f t="shared" si="9"/>
        <v>467.26232505403993</v>
      </c>
      <c r="K69" s="9">
        <f t="shared" si="10"/>
        <v>135.72122382454</v>
      </c>
      <c r="L69" s="10">
        <f t="shared" si="7"/>
        <v>0.29046044704940321</v>
      </c>
      <c r="M69" s="10">
        <f t="shared" si="11"/>
        <v>0.29462318159923773</v>
      </c>
      <c r="P69" s="8">
        <f t="shared" si="12"/>
        <v>-0.31172260455551842</v>
      </c>
      <c r="U69" s="8">
        <v>33</v>
      </c>
      <c r="V69" s="10">
        <f t="shared" si="6"/>
        <v>0.2911353405553867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639.99401197605005</v>
      </c>
      <c r="E70">
        <v>264.77485029939999</v>
      </c>
      <c r="F70">
        <v>172.39526627219001</v>
      </c>
      <c r="G70">
        <v>127.93491124259999</v>
      </c>
      <c r="I70" s="9">
        <f t="shared" si="8"/>
        <v>136.83993905680001</v>
      </c>
      <c r="J70" s="9">
        <f t="shared" si="9"/>
        <v>467.59874570386</v>
      </c>
      <c r="K70" s="9">
        <f t="shared" si="10"/>
        <v>136.83993905680001</v>
      </c>
      <c r="L70" s="10">
        <f t="shared" si="7"/>
        <v>0.29264393951874196</v>
      </c>
      <c r="M70" s="10">
        <f t="shared" si="11"/>
        <v>0.29686880443499192</v>
      </c>
      <c r="P70" s="8">
        <f t="shared" si="12"/>
        <v>0.44810311914031054</v>
      </c>
      <c r="U70" s="8">
        <v>33.5</v>
      </c>
      <c r="V70" s="10">
        <f t="shared" si="6"/>
        <v>0.28855722443189924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638.56467065868003</v>
      </c>
      <c r="E71">
        <v>263.78562874251998</v>
      </c>
      <c r="F71">
        <v>171.67218934911</v>
      </c>
      <c r="G71">
        <v>128.43846153845999</v>
      </c>
      <c r="I71" s="9">
        <f t="shared" si="8"/>
        <v>135.34716720405999</v>
      </c>
      <c r="J71" s="9">
        <f t="shared" si="9"/>
        <v>466.89248130957003</v>
      </c>
      <c r="K71" s="9">
        <f t="shared" si="10"/>
        <v>135.34716720405999</v>
      </c>
      <c r="L71" s="10">
        <f t="shared" si="7"/>
        <v>0.28988936987040259</v>
      </c>
      <c r="M71" s="10">
        <f t="shared" si="11"/>
        <v>0.294176365153068</v>
      </c>
      <c r="P71" s="8">
        <f t="shared" si="12"/>
        <v>-0.46290677678811465</v>
      </c>
      <c r="U71" s="8">
        <v>34</v>
      </c>
      <c r="V71" s="10">
        <f t="shared" si="6"/>
        <v>0.29046044704940321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640.00179640719</v>
      </c>
      <c r="E72">
        <v>263.84191616766998</v>
      </c>
      <c r="F72">
        <v>172.04615384614999</v>
      </c>
      <c r="G72">
        <v>128.18461538462</v>
      </c>
      <c r="I72" s="9">
        <f t="shared" si="8"/>
        <v>135.65730078304998</v>
      </c>
      <c r="J72" s="9">
        <f t="shared" si="9"/>
        <v>467.95564256104001</v>
      </c>
      <c r="K72" s="9">
        <f t="shared" si="10"/>
        <v>135.65730078304998</v>
      </c>
      <c r="L72" s="10">
        <f t="shared" si="7"/>
        <v>0.28989350366761496</v>
      </c>
      <c r="M72" s="10">
        <f t="shared" si="11"/>
        <v>0.29424262931669581</v>
      </c>
      <c r="P72" s="8">
        <f t="shared" si="12"/>
        <v>-0.44048572937001845</v>
      </c>
      <c r="U72" s="8">
        <v>34.5</v>
      </c>
      <c r="V72" s="10">
        <f t="shared" si="6"/>
        <v>0.29264393951874196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640.37185628742998</v>
      </c>
      <c r="E73">
        <v>264.16467065868</v>
      </c>
      <c r="F73">
        <v>172.81301775148</v>
      </c>
      <c r="G73">
        <v>128.23195266272</v>
      </c>
      <c r="I73" s="9">
        <f t="shared" si="8"/>
        <v>135.93271799595999</v>
      </c>
      <c r="J73" s="9">
        <f t="shared" si="9"/>
        <v>467.55883853594997</v>
      </c>
      <c r="K73" s="9">
        <f t="shared" si="10"/>
        <v>135.93271799595999</v>
      </c>
      <c r="L73" s="10">
        <f t="shared" si="7"/>
        <v>0.29072858171519372</v>
      </c>
      <c r="M73" s="10">
        <f t="shared" si="11"/>
        <v>0.29513983773068997</v>
      </c>
      <c r="P73" s="8">
        <f t="shared" si="12"/>
        <v>-0.13690757652310917</v>
      </c>
      <c r="U73" s="8">
        <v>35</v>
      </c>
      <c r="V73" s="10">
        <f t="shared" si="6"/>
        <v>0.28988936987040259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638.88203592814</v>
      </c>
      <c r="E74">
        <v>264.28562874251998</v>
      </c>
      <c r="F74">
        <v>173.08402366863999</v>
      </c>
      <c r="G74">
        <v>128.40769230769001</v>
      </c>
      <c r="I74" s="9">
        <f t="shared" si="8"/>
        <v>135.87793643482996</v>
      </c>
      <c r="J74" s="9">
        <f t="shared" si="9"/>
        <v>465.79801225950001</v>
      </c>
      <c r="K74" s="9">
        <f t="shared" si="10"/>
        <v>135.87793643482996</v>
      </c>
      <c r="L74" s="10">
        <f t="shared" si="7"/>
        <v>0.29170999630443079</v>
      </c>
      <c r="M74" s="10">
        <f t="shared" si="11"/>
        <v>0.29618338268634248</v>
      </c>
      <c r="P74" s="8">
        <f t="shared" si="12"/>
        <v>0.21618479879177768</v>
      </c>
      <c r="U74" s="8">
        <v>35.5</v>
      </c>
      <c r="V74" s="10">
        <f t="shared" si="6"/>
        <v>0.28989350366761496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638.98742514970002</v>
      </c>
      <c r="E75">
        <v>264.88263473054002</v>
      </c>
      <c r="F75">
        <v>172.49289940828001</v>
      </c>
      <c r="G75">
        <v>128.16863905324999</v>
      </c>
      <c r="I75" s="9">
        <f t="shared" si="8"/>
        <v>136.71399567729003</v>
      </c>
      <c r="J75" s="9">
        <f t="shared" si="9"/>
        <v>466.49452574142003</v>
      </c>
      <c r="K75" s="9">
        <f t="shared" si="10"/>
        <v>136.71399567729003</v>
      </c>
      <c r="L75" s="10">
        <f t="shared" si="7"/>
        <v>0.29306666666667636</v>
      </c>
      <c r="M75" s="10">
        <f t="shared" si="11"/>
        <v>0.2976021834150035</v>
      </c>
      <c r="P75" s="8">
        <f t="shared" si="12"/>
        <v>0.69624817954777551</v>
      </c>
      <c r="U75" s="8">
        <v>36</v>
      </c>
      <c r="V75" s="10">
        <f t="shared" si="6"/>
        <v>0.29072858171519372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640.08502994011997</v>
      </c>
      <c r="E76">
        <v>265.21796407186002</v>
      </c>
      <c r="F76">
        <v>172.45857988166</v>
      </c>
      <c r="G76">
        <v>128.15502958580001</v>
      </c>
      <c r="I76" s="9">
        <f t="shared" si="8"/>
        <v>137.06293448606002</v>
      </c>
      <c r="J76" s="9">
        <f t="shared" si="9"/>
        <v>467.62645005845997</v>
      </c>
      <c r="K76" s="9">
        <f t="shared" si="10"/>
        <v>137.06293448606002</v>
      </c>
      <c r="L76" s="10">
        <f t="shared" si="7"/>
        <v>0.29310346852477054</v>
      </c>
      <c r="M76" s="10">
        <f t="shared" si="11"/>
        <v>0.29770111563951313</v>
      </c>
      <c r="P76" s="8">
        <f t="shared" si="12"/>
        <v>0.72972274521749136</v>
      </c>
      <c r="U76" s="8">
        <v>36.5</v>
      </c>
      <c r="V76" s="10">
        <f t="shared" si="6"/>
        <v>0.29170999630443079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639.37844311377</v>
      </c>
      <c r="E77">
        <v>265.64311377246003</v>
      </c>
      <c r="F77">
        <v>173.12189349112001</v>
      </c>
      <c r="G77">
        <v>128.44201183432</v>
      </c>
      <c r="I77" s="9">
        <f t="shared" si="8"/>
        <v>137.20110193814003</v>
      </c>
      <c r="J77" s="9">
        <f t="shared" si="9"/>
        <v>466.25654962265003</v>
      </c>
      <c r="K77" s="9">
        <f t="shared" si="10"/>
        <v>137.20110193814003</v>
      </c>
      <c r="L77" s="10">
        <f t="shared" si="7"/>
        <v>0.29426096437504073</v>
      </c>
      <c r="M77" s="10">
        <f t="shared" si="11"/>
        <v>0.29892074185619877</v>
      </c>
      <c r="P77" s="8">
        <f t="shared" si="12"/>
        <v>1.1423937236101482</v>
      </c>
      <c r="U77" s="8">
        <v>37</v>
      </c>
      <c r="V77" s="10">
        <f t="shared" si="6"/>
        <v>0.29306666666667636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640.19281437126006</v>
      </c>
      <c r="E78">
        <v>265.85329341316998</v>
      </c>
      <c r="F78">
        <v>172.90177514793001</v>
      </c>
      <c r="G78">
        <v>128.32426035502999</v>
      </c>
      <c r="I78" s="9">
        <f t="shared" si="8"/>
        <v>137.52903305813999</v>
      </c>
      <c r="J78" s="9">
        <f t="shared" si="9"/>
        <v>467.29103922333002</v>
      </c>
      <c r="K78" s="9">
        <f t="shared" si="10"/>
        <v>137.52903305813999</v>
      </c>
      <c r="L78" s="10">
        <f t="shared" si="7"/>
        <v>0.29431129962757846</v>
      </c>
      <c r="M78" s="10">
        <f t="shared" si="11"/>
        <v>0.29903320747515194</v>
      </c>
      <c r="P78" s="8">
        <f t="shared" si="12"/>
        <v>1.1804474292242053</v>
      </c>
      <c r="U78" s="8">
        <v>37.5</v>
      </c>
      <c r="V78" s="10">
        <f t="shared" si="6"/>
        <v>0.29310346852477054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640.28622754491005</v>
      </c>
      <c r="E79">
        <v>265.82035928144001</v>
      </c>
      <c r="F79">
        <v>172.71952662722001</v>
      </c>
      <c r="G79">
        <v>128.57633136095001</v>
      </c>
      <c r="I79" s="9">
        <f t="shared" si="8"/>
        <v>137.24402792049</v>
      </c>
      <c r="J79" s="9">
        <f t="shared" si="9"/>
        <v>467.56670091769001</v>
      </c>
      <c r="K79" s="9">
        <f t="shared" si="10"/>
        <v>137.24402792049</v>
      </c>
      <c r="L79" s="10">
        <f t="shared" si="7"/>
        <v>0.29352823383513427</v>
      </c>
      <c r="M79" s="10">
        <f t="shared" si="11"/>
        <v>0.29831227204912319</v>
      </c>
      <c r="P79" s="8">
        <f t="shared" si="12"/>
        <v>0.93651275190503769</v>
      </c>
      <c r="U79" s="8">
        <v>38</v>
      </c>
      <c r="V79" s="10">
        <f t="shared" si="6"/>
        <v>0.29426096437504073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639.94910179640999</v>
      </c>
      <c r="E80">
        <v>265.32395209581</v>
      </c>
      <c r="F80">
        <v>173.28106508875999</v>
      </c>
      <c r="G80">
        <v>128.49585798817</v>
      </c>
      <c r="I80" s="9">
        <f t="shared" si="8"/>
        <v>136.82809410764</v>
      </c>
      <c r="J80" s="9">
        <f t="shared" si="9"/>
        <v>466.66803670765</v>
      </c>
      <c r="K80" s="9">
        <f t="shared" si="10"/>
        <v>136.82809410764</v>
      </c>
      <c r="L80" s="10">
        <f t="shared" si="7"/>
        <v>0.29320219801845493</v>
      </c>
      <c r="M80" s="10">
        <f t="shared" si="11"/>
        <v>0.2980483665988593</v>
      </c>
      <c r="P80" s="8">
        <f t="shared" si="12"/>
        <v>0.84721808205158955</v>
      </c>
      <c r="U80" s="8">
        <v>38.5</v>
      </c>
      <c r="V80" s="10">
        <f t="shared" si="6"/>
        <v>0.29431129962757846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638.95988023951998</v>
      </c>
      <c r="E81">
        <v>265.95508982036</v>
      </c>
      <c r="F81">
        <v>172.79171597633001</v>
      </c>
      <c r="G81">
        <v>128.24142011833999</v>
      </c>
      <c r="I81" s="9">
        <f t="shared" si="8"/>
        <v>137.71366970202001</v>
      </c>
      <c r="J81" s="9">
        <f t="shared" si="9"/>
        <v>466.16816426318996</v>
      </c>
      <c r="K81" s="9">
        <f t="shared" si="10"/>
        <v>137.71366970202001</v>
      </c>
      <c r="L81" s="10">
        <f t="shared" si="7"/>
        <v>0.29541629021296573</v>
      </c>
      <c r="M81" s="10">
        <f t="shared" si="11"/>
        <v>0.30032458915978555</v>
      </c>
      <c r="P81" s="8">
        <f t="shared" si="12"/>
        <v>1.6173974848931598</v>
      </c>
      <c r="U81" s="8">
        <v>39</v>
      </c>
      <c r="V81" s="10">
        <f t="shared" si="6"/>
        <v>0.29352823383513427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640.42574850299002</v>
      </c>
      <c r="E82">
        <v>266.34790419161999</v>
      </c>
      <c r="F82">
        <v>172.81242603550001</v>
      </c>
      <c r="G82">
        <v>128.17751479290001</v>
      </c>
      <c r="H82" s="13"/>
      <c r="I82" s="14">
        <f t="shared" si="8"/>
        <v>138.17038939871998</v>
      </c>
      <c r="J82" s="14">
        <f t="shared" si="9"/>
        <v>467.61332246748998</v>
      </c>
      <c r="K82" s="9">
        <f t="shared" si="10"/>
        <v>138.17038939871998</v>
      </c>
      <c r="L82" s="15">
        <f t="shared" si="7"/>
        <v>0.29548001042747457</v>
      </c>
      <c r="M82" s="15">
        <f t="shared" si="11"/>
        <v>0.30045043974070978</v>
      </c>
      <c r="N82" s="13"/>
      <c r="O82" s="13"/>
      <c r="P82" s="13">
        <f t="shared" si="12"/>
        <v>1.6599801070529416</v>
      </c>
      <c r="U82" s="8">
        <v>39.5</v>
      </c>
      <c r="V82" s="10">
        <f t="shared" si="6"/>
        <v>0.29320219801845493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642.12874251496999</v>
      </c>
      <c r="E83">
        <v>266.74550898204001</v>
      </c>
      <c r="F83">
        <v>173.29940828401999</v>
      </c>
      <c r="G83">
        <v>128.21893491124001</v>
      </c>
      <c r="I83" s="9">
        <f t="shared" si="8"/>
        <v>138.5265740708</v>
      </c>
      <c r="J83" s="9">
        <f t="shared" si="9"/>
        <v>468.82933423095</v>
      </c>
      <c r="K83" s="9">
        <f t="shared" si="10"/>
        <v>138.5265740708</v>
      </c>
      <c r="L83" s="10">
        <f t="shared" si="7"/>
        <v>0.29547335022889254</v>
      </c>
      <c r="M83" s="10">
        <f t="shared" si="11"/>
        <v>0.3005059099085432</v>
      </c>
      <c r="P83" s="8">
        <f t="shared" si="12"/>
        <v>1.6787489135268032</v>
      </c>
      <c r="U83" s="8">
        <v>40</v>
      </c>
      <c r="V83" s="10">
        <f t="shared" si="6"/>
        <v>0.29541629021296573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639.92095808382999</v>
      </c>
      <c r="E84">
        <v>266.70958083831999</v>
      </c>
      <c r="F84">
        <v>172.85384615384999</v>
      </c>
      <c r="G84">
        <v>128.92603550295999</v>
      </c>
      <c r="I84" s="9">
        <f t="shared" si="8"/>
        <v>137.78354533536</v>
      </c>
      <c r="J84" s="9">
        <f t="shared" si="9"/>
        <v>467.06711192998</v>
      </c>
      <c r="K84" s="9">
        <f t="shared" si="10"/>
        <v>137.78354533536</v>
      </c>
      <c r="L84" s="10">
        <f t="shared" si="7"/>
        <v>0.2949973179786114</v>
      </c>
      <c r="M84" s="10">
        <f t="shared" si="11"/>
        <v>0.3000920080246775</v>
      </c>
      <c r="P84" s="8">
        <f t="shared" si="12"/>
        <v>1.5387016654136987</v>
      </c>
      <c r="U84" s="8">
        <v>150.5</v>
      </c>
      <c r="V84" s="10">
        <f>L302</f>
        <v>0.30678454048464454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640.45988023951998</v>
      </c>
      <c r="E85">
        <v>266.40359281436997</v>
      </c>
      <c r="F85">
        <v>172.80355029585999</v>
      </c>
      <c r="G85">
        <v>128.53550295858</v>
      </c>
      <c r="I85" s="9">
        <f t="shared" si="8"/>
        <v>137.86808985578998</v>
      </c>
      <c r="J85" s="9">
        <f t="shared" si="9"/>
        <v>467.65632994366001</v>
      </c>
      <c r="K85" s="9">
        <f t="shared" si="10"/>
        <v>137.86808985578998</v>
      </c>
      <c r="L85" s="10">
        <f t="shared" si="7"/>
        <v>0.29480642306798105</v>
      </c>
      <c r="M85" s="10">
        <f t="shared" si="11"/>
        <v>0.2999632434804626</v>
      </c>
      <c r="P85" s="8">
        <f t="shared" si="12"/>
        <v>1.4951330788119375</v>
      </c>
      <c r="U85" s="8">
        <v>151</v>
      </c>
      <c r="V85" s="10">
        <f t="shared" ref="V85:V103" si="13">L303</f>
        <v>0.30764144733619508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641.04970059879997</v>
      </c>
      <c r="E86">
        <v>267.19341317365001</v>
      </c>
      <c r="F86">
        <v>172.65798816568</v>
      </c>
      <c r="G86">
        <v>128.75917159763</v>
      </c>
      <c r="I86" s="9">
        <f t="shared" si="8"/>
        <v>138.43424157602001</v>
      </c>
      <c r="J86" s="9">
        <f t="shared" si="9"/>
        <v>468.39171243312001</v>
      </c>
      <c r="K86" s="9">
        <f t="shared" si="10"/>
        <v>138.43424157602001</v>
      </c>
      <c r="L86" s="10">
        <f t="shared" si="7"/>
        <v>0.29555228647600496</v>
      </c>
      <c r="M86" s="10">
        <f t="shared" si="11"/>
        <v>0.30077123725490196</v>
      </c>
      <c r="P86" s="8">
        <f t="shared" si="12"/>
        <v>1.7685246941046791</v>
      </c>
      <c r="U86" s="8">
        <v>151.5</v>
      </c>
      <c r="V86" s="10">
        <f t="shared" si="13"/>
        <v>0.3035284624866636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640.03473053892003</v>
      </c>
      <c r="E87">
        <v>269.94850299401003</v>
      </c>
      <c r="F87">
        <v>172.82307692308001</v>
      </c>
      <c r="G87">
        <v>128.66035502958999</v>
      </c>
      <c r="I87" s="9">
        <f t="shared" si="8"/>
        <v>141.28814796442003</v>
      </c>
      <c r="J87" s="9">
        <f t="shared" si="9"/>
        <v>467.21165361584002</v>
      </c>
      <c r="K87" s="9">
        <f t="shared" si="10"/>
        <v>141.28814796442003</v>
      </c>
      <c r="L87" s="10">
        <f t="shared" si="7"/>
        <v>0.30240715716520367</v>
      </c>
      <c r="M87" s="10">
        <f t="shared" si="11"/>
        <v>0.30768823831051612</v>
      </c>
      <c r="P87" s="8">
        <f t="shared" si="12"/>
        <v>4.1089512560396502</v>
      </c>
      <c r="U87" s="8">
        <v>152</v>
      </c>
      <c r="V87" s="10">
        <f t="shared" si="13"/>
        <v>0.3081149090135254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643.66706586826001</v>
      </c>
      <c r="E88">
        <v>285.12095808382998</v>
      </c>
      <c r="F88">
        <v>172.77988165681001</v>
      </c>
      <c r="G88">
        <v>128.56923076922999</v>
      </c>
      <c r="I88" s="9">
        <f t="shared" si="8"/>
        <v>156.55172731459999</v>
      </c>
      <c r="J88" s="9">
        <f t="shared" si="9"/>
        <v>470.88718421145001</v>
      </c>
      <c r="K88" s="9">
        <f t="shared" si="10"/>
        <v>156.55172731459999</v>
      </c>
      <c r="L88" s="10">
        <f t="shared" si="7"/>
        <v>0.33246121908533627</v>
      </c>
      <c r="M88" s="10">
        <f t="shared" si="11"/>
        <v>0.33780443059706416</v>
      </c>
      <c r="P88" s="8">
        <f t="shared" si="12"/>
        <v>14.299022907766442</v>
      </c>
      <c r="U88" s="8">
        <v>152.5</v>
      </c>
      <c r="V88" s="10">
        <f t="shared" si="13"/>
        <v>0.30454727694940836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644.02574850299004</v>
      </c>
      <c r="E89">
        <v>289.40299401198001</v>
      </c>
      <c r="F89">
        <v>172.87810650887999</v>
      </c>
      <c r="G89">
        <v>128.4650887574</v>
      </c>
      <c r="I89" s="9">
        <f t="shared" si="8"/>
        <v>160.93790525458002</v>
      </c>
      <c r="J89" s="9">
        <f t="shared" si="9"/>
        <v>471.14764199411002</v>
      </c>
      <c r="K89" s="9">
        <f t="shared" si="10"/>
        <v>160.93790525458002</v>
      </c>
      <c r="L89" s="10">
        <f t="shared" si="7"/>
        <v>0.34158699080699623</v>
      </c>
      <c r="M89" s="10">
        <f t="shared" si="11"/>
        <v>0.34699233268513957</v>
      </c>
      <c r="P89" s="8">
        <f t="shared" si="12"/>
        <v>17.407828287799767</v>
      </c>
      <c r="U89" s="8">
        <v>153</v>
      </c>
      <c r="V89" s="10">
        <f t="shared" si="13"/>
        <v>0.30588098266306751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645.71796407186002</v>
      </c>
      <c r="E90">
        <v>289.11197604789999</v>
      </c>
      <c r="F90">
        <v>172.62603550296001</v>
      </c>
      <c r="G90">
        <v>128.0124260355</v>
      </c>
      <c r="I90" s="9">
        <f t="shared" si="8"/>
        <v>161.09955001239999</v>
      </c>
      <c r="J90" s="9">
        <f t="shared" si="9"/>
        <v>473.09192856890002</v>
      </c>
      <c r="K90" s="9">
        <f t="shared" si="10"/>
        <v>161.09955001239999</v>
      </c>
      <c r="L90" s="10">
        <f t="shared" si="7"/>
        <v>0.34052483309052656</v>
      </c>
      <c r="M90" s="10">
        <f t="shared" si="11"/>
        <v>0.34599230533508529</v>
      </c>
      <c r="P90" s="8">
        <f t="shared" si="12"/>
        <v>17.069460467134359</v>
      </c>
      <c r="U90" s="8">
        <v>153.5</v>
      </c>
      <c r="V90" s="10">
        <f t="shared" si="13"/>
        <v>0.30700648479162396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645.22814371258005</v>
      </c>
      <c r="E91">
        <v>282.0748502994</v>
      </c>
      <c r="F91">
        <v>173.14142011833999</v>
      </c>
      <c r="G91">
        <v>128.04733727811001</v>
      </c>
      <c r="I91" s="9">
        <f t="shared" si="8"/>
        <v>154.02751302128999</v>
      </c>
      <c r="J91" s="9">
        <f t="shared" si="9"/>
        <v>472.08672359424008</v>
      </c>
      <c r="K91" s="9">
        <f t="shared" si="10"/>
        <v>154.02751302128999</v>
      </c>
      <c r="L91" s="10">
        <f t="shared" si="7"/>
        <v>0.32626952914201646</v>
      </c>
      <c r="M91" s="10">
        <f t="shared" si="11"/>
        <v>0.33179913175299064</v>
      </c>
      <c r="P91" s="8">
        <f t="shared" si="12"/>
        <v>12.267078599239932</v>
      </c>
      <c r="U91" s="8">
        <v>154</v>
      </c>
      <c r="V91" s="10">
        <f t="shared" si="13"/>
        <v>0.30560588543390238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643.05508982035997</v>
      </c>
      <c r="E92">
        <v>277.97664670658997</v>
      </c>
      <c r="F92">
        <v>172.67928994082999</v>
      </c>
      <c r="G92">
        <v>128.60591715976</v>
      </c>
      <c r="I92" s="9">
        <f t="shared" si="8"/>
        <v>149.37072954682998</v>
      </c>
      <c r="J92" s="9">
        <f t="shared" si="9"/>
        <v>470.37579987952995</v>
      </c>
      <c r="K92" s="9">
        <f t="shared" si="10"/>
        <v>149.37072954682998</v>
      </c>
      <c r="L92" s="10">
        <f t="shared" si="7"/>
        <v>0.31755615315474561</v>
      </c>
      <c r="M92" s="10">
        <f t="shared" si="11"/>
        <v>0.32314788613213524</v>
      </c>
      <c r="P92" s="8">
        <f t="shared" si="12"/>
        <v>9.3398555321797243</v>
      </c>
      <c r="U92" s="8">
        <v>154.5</v>
      </c>
      <c r="V92" s="10">
        <f t="shared" si="13"/>
        <v>0.30743301228050651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641.67604790419</v>
      </c>
      <c r="E93">
        <v>274.51197604790002</v>
      </c>
      <c r="F93">
        <v>173.51065088756999</v>
      </c>
      <c r="G93">
        <v>128.71893491124001</v>
      </c>
      <c r="I93" s="9">
        <f t="shared" si="8"/>
        <v>145.79304113666001</v>
      </c>
      <c r="J93" s="9">
        <f t="shared" si="9"/>
        <v>468.16539701661998</v>
      </c>
      <c r="K93" s="9">
        <f t="shared" si="10"/>
        <v>145.79304113666001</v>
      </c>
      <c r="L93" s="10">
        <f t="shared" si="7"/>
        <v>0.31141353475870903</v>
      </c>
      <c r="M93" s="10">
        <f t="shared" si="11"/>
        <v>0.31706739810251411</v>
      </c>
      <c r="P93" s="8">
        <f t="shared" si="12"/>
        <v>7.2824703186119972</v>
      </c>
      <c r="U93" s="8">
        <v>155</v>
      </c>
      <c r="V93" s="10">
        <f t="shared" si="13"/>
        <v>0.30685307642552467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640.89041916168003</v>
      </c>
      <c r="E94">
        <v>273.34191616766998</v>
      </c>
      <c r="F94">
        <v>173.27514792899001</v>
      </c>
      <c r="G94">
        <v>128.60473372780999</v>
      </c>
      <c r="I94" s="9">
        <f t="shared" si="8"/>
        <v>144.73718243985999</v>
      </c>
      <c r="J94" s="9">
        <f t="shared" si="9"/>
        <v>467.61527123269002</v>
      </c>
      <c r="K94" s="9">
        <f t="shared" si="10"/>
        <v>144.73718243985999</v>
      </c>
      <c r="L94" s="10">
        <f t="shared" si="7"/>
        <v>0.3095219325457772</v>
      </c>
      <c r="M94" s="10">
        <f t="shared" si="11"/>
        <v>0.31523792625599772</v>
      </c>
      <c r="P94" s="8">
        <f t="shared" si="12"/>
        <v>6.6634528470989771</v>
      </c>
      <c r="U94" s="8">
        <v>155.5</v>
      </c>
      <c r="V94" s="10">
        <f t="shared" si="13"/>
        <v>0.30600441793974414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640.91976047903995</v>
      </c>
      <c r="E95">
        <v>272.1497005988</v>
      </c>
      <c r="F95">
        <v>173.53786982248999</v>
      </c>
      <c r="G95">
        <v>128.69644970414001</v>
      </c>
      <c r="I95" s="9">
        <f t="shared" si="8"/>
        <v>143.45325089465999</v>
      </c>
      <c r="J95" s="9">
        <f t="shared" si="9"/>
        <v>467.38189065654996</v>
      </c>
      <c r="K95" s="9">
        <f t="shared" si="10"/>
        <v>143.45325089465999</v>
      </c>
      <c r="L95" s="10">
        <f t="shared" si="7"/>
        <v>0.30692941631338239</v>
      </c>
      <c r="M95" s="10">
        <f t="shared" si="11"/>
        <v>0.31270754039001836</v>
      </c>
      <c r="P95" s="8">
        <f t="shared" si="12"/>
        <v>5.8072751126925013</v>
      </c>
      <c r="U95" s="8">
        <v>156</v>
      </c>
      <c r="V95" s="10">
        <f t="shared" si="13"/>
        <v>0.30285456779536102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639.79760479042</v>
      </c>
      <c r="E96">
        <v>272.14131736527003</v>
      </c>
      <c r="F96">
        <v>172.81124260355</v>
      </c>
      <c r="G96">
        <v>128.91005917160001</v>
      </c>
      <c r="I96" s="9">
        <f t="shared" si="8"/>
        <v>143.23125819367002</v>
      </c>
      <c r="J96" s="9">
        <f t="shared" si="9"/>
        <v>466.98636218687</v>
      </c>
      <c r="K96" s="9">
        <f t="shared" si="10"/>
        <v>143.23125819367002</v>
      </c>
      <c r="L96" s="10">
        <f t="shared" si="7"/>
        <v>0.30671400664234894</v>
      </c>
      <c r="M96" s="10">
        <f t="shared" si="11"/>
        <v>0.31255426108540035</v>
      </c>
      <c r="P96" s="8">
        <f t="shared" si="12"/>
        <v>5.7554117469016681</v>
      </c>
      <c r="U96" s="8">
        <v>156.5</v>
      </c>
      <c r="V96" s="10">
        <f t="shared" si="13"/>
        <v>0.30552721169989344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641.38742514969999</v>
      </c>
      <c r="E97">
        <v>273.08023952095999</v>
      </c>
      <c r="F97">
        <v>173.46331360946999</v>
      </c>
      <c r="G97">
        <v>128.44142011834001</v>
      </c>
      <c r="I97" s="9">
        <f t="shared" si="8"/>
        <v>144.63881940261999</v>
      </c>
      <c r="J97" s="9">
        <f t="shared" si="9"/>
        <v>467.92411154023</v>
      </c>
      <c r="K97" s="9">
        <f t="shared" si="10"/>
        <v>144.63881940261999</v>
      </c>
      <c r="L97" s="10">
        <f t="shared" si="7"/>
        <v>0.30910742967812332</v>
      </c>
      <c r="M97" s="10">
        <f t="shared" si="11"/>
        <v>0.31500981448759019</v>
      </c>
      <c r="P97" s="8">
        <f t="shared" si="12"/>
        <v>6.5862692761296433</v>
      </c>
      <c r="U97" s="8">
        <v>157</v>
      </c>
      <c r="V97" s="10">
        <f t="shared" si="13"/>
        <v>0.30640413512773768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640.44131736527004</v>
      </c>
      <c r="E98">
        <v>272.88323353292998</v>
      </c>
      <c r="F98">
        <v>173.41715976331</v>
      </c>
      <c r="G98">
        <v>128.14733727811</v>
      </c>
      <c r="I98" s="9">
        <f t="shared" si="8"/>
        <v>144.73589625481998</v>
      </c>
      <c r="J98" s="9">
        <f t="shared" si="9"/>
        <v>467.02415760196004</v>
      </c>
      <c r="K98" s="9">
        <f t="shared" si="10"/>
        <v>144.73589625481998</v>
      </c>
      <c r="L98" s="10">
        <f t="shared" si="7"/>
        <v>0.30991094121982637</v>
      </c>
      <c r="M98" s="10">
        <f t="shared" si="11"/>
        <v>0.31587545639570869</v>
      </c>
      <c r="P98" s="8">
        <f t="shared" si="12"/>
        <v>6.8791666312977808</v>
      </c>
      <c r="U98" s="8">
        <v>157.5</v>
      </c>
      <c r="V98" s="10">
        <f t="shared" si="13"/>
        <v>0.30741986096722701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640.46347305388997</v>
      </c>
      <c r="E99">
        <v>272.37904191617002</v>
      </c>
      <c r="F99">
        <v>173.56094674555999</v>
      </c>
      <c r="G99">
        <v>128.93668639053001</v>
      </c>
      <c r="I99" s="9">
        <f t="shared" si="8"/>
        <v>143.44235552564001</v>
      </c>
      <c r="J99" s="9">
        <f t="shared" si="9"/>
        <v>466.90252630832998</v>
      </c>
      <c r="K99" s="9">
        <f t="shared" si="10"/>
        <v>143.44235552564001</v>
      </c>
      <c r="L99" s="10">
        <f t="shared" si="7"/>
        <v>0.30722120237771966</v>
      </c>
      <c r="M99" s="10">
        <f t="shared" si="11"/>
        <v>0.31324784792001736</v>
      </c>
      <c r="P99" s="8">
        <f t="shared" si="12"/>
        <v>5.990092794033866</v>
      </c>
      <c r="U99" s="8">
        <v>158</v>
      </c>
      <c r="V99" s="10">
        <f t="shared" si="13"/>
        <v>0.30382606147932989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639.31377245508997</v>
      </c>
      <c r="E100">
        <v>272.73473053892002</v>
      </c>
      <c r="F100">
        <v>173.60946745562001</v>
      </c>
      <c r="G100">
        <v>128.35739644969999</v>
      </c>
      <c r="I100" s="9">
        <f t="shared" si="8"/>
        <v>144.37733408922003</v>
      </c>
      <c r="J100" s="9">
        <f t="shared" si="9"/>
        <v>465.70430499946997</v>
      </c>
      <c r="K100" s="9">
        <f t="shared" si="10"/>
        <v>144.37733408922003</v>
      </c>
      <c r="L100" s="10">
        <f t="shared" si="7"/>
        <v>0.31001932457846693</v>
      </c>
      <c r="M100" s="10">
        <f t="shared" si="11"/>
        <v>0.31610810048718008</v>
      </c>
      <c r="P100" s="8">
        <f t="shared" si="12"/>
        <v>6.9578837526020978</v>
      </c>
      <c r="U100" s="8">
        <v>158.5</v>
      </c>
      <c r="V100" s="10">
        <f t="shared" si="13"/>
        <v>0.30629221872928186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640.49101796407001</v>
      </c>
      <c r="E101">
        <v>271.91916167664999</v>
      </c>
      <c r="F101">
        <v>173.32603550296</v>
      </c>
      <c r="G101">
        <v>128.56745562130001</v>
      </c>
      <c r="I101" s="9">
        <f t="shared" si="8"/>
        <v>143.35170605534998</v>
      </c>
      <c r="J101" s="9">
        <f t="shared" si="9"/>
        <v>467.16498246111001</v>
      </c>
      <c r="K101" s="9">
        <f t="shared" si="10"/>
        <v>143.35170605534998</v>
      </c>
      <c r="L101" s="10">
        <f t="shared" si="7"/>
        <v>0.30685456195827682</v>
      </c>
      <c r="M101" s="10">
        <f t="shared" si="11"/>
        <v>0.31300546823340542</v>
      </c>
      <c r="P101" s="8">
        <f t="shared" si="12"/>
        <v>5.9080815507133728</v>
      </c>
      <c r="U101" s="8">
        <v>159</v>
      </c>
      <c r="V101" s="10">
        <f t="shared" si="13"/>
        <v>0.30605235726964364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638.03892215568999</v>
      </c>
      <c r="E102">
        <v>271.06287425149998</v>
      </c>
      <c r="F102">
        <v>173.65976331361</v>
      </c>
      <c r="G102">
        <v>128.57337278106999</v>
      </c>
      <c r="I102" s="9">
        <f t="shared" si="8"/>
        <v>142.48950147042999</v>
      </c>
      <c r="J102" s="9">
        <f t="shared" si="9"/>
        <v>464.37915884207996</v>
      </c>
      <c r="K102" s="9">
        <f t="shared" si="10"/>
        <v>142.48950147042999</v>
      </c>
      <c r="L102" s="10">
        <f t="shared" si="7"/>
        <v>0.30683870875197045</v>
      </c>
      <c r="M102" s="10">
        <f t="shared" si="11"/>
        <v>0.31305174539351449</v>
      </c>
      <c r="P102" s="8">
        <f t="shared" si="12"/>
        <v>5.9237398242714328</v>
      </c>
      <c r="U102" s="8">
        <v>159.5</v>
      </c>
      <c r="V102" s="10">
        <f t="shared" si="13"/>
        <v>0.30645742368507445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639.20059880240001</v>
      </c>
      <c r="E103">
        <v>271.87844311377</v>
      </c>
      <c r="F103">
        <v>173.18579881657001</v>
      </c>
      <c r="G103">
        <v>128.64615384615001</v>
      </c>
      <c r="I103" s="9">
        <f t="shared" si="8"/>
        <v>143.23228926761999</v>
      </c>
      <c r="J103" s="9">
        <f t="shared" si="9"/>
        <v>466.01479998583</v>
      </c>
      <c r="K103" s="9">
        <f t="shared" si="10"/>
        <v>143.23228926761999</v>
      </c>
      <c r="L103" s="10">
        <f t="shared" si="7"/>
        <v>0.30735566611183857</v>
      </c>
      <c r="M103" s="10">
        <f t="shared" si="11"/>
        <v>0.31363083311979806</v>
      </c>
      <c r="P103" s="8">
        <f t="shared" si="12"/>
        <v>6.1196791172377907</v>
      </c>
      <c r="U103" s="8">
        <v>160</v>
      </c>
      <c r="V103" s="10">
        <f t="shared" si="13"/>
        <v>0.30726601469353937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638.44311377246004</v>
      </c>
      <c r="E104">
        <v>272.11317365270003</v>
      </c>
      <c r="F104">
        <v>172.84497041419999</v>
      </c>
      <c r="G104">
        <v>128.99349112426</v>
      </c>
      <c r="I104" s="9">
        <f t="shared" si="8"/>
        <v>143.11968252844002</v>
      </c>
      <c r="J104" s="9">
        <f t="shared" si="9"/>
        <v>465.59814335826002</v>
      </c>
      <c r="K104" s="9">
        <f t="shared" si="10"/>
        <v>143.11968252844002</v>
      </c>
      <c r="L104" s="10">
        <f t="shared" si="7"/>
        <v>0.30738886005031785</v>
      </c>
      <c r="M104" s="10">
        <f t="shared" si="11"/>
        <v>0.31372615742469279</v>
      </c>
      <c r="P104" s="8">
        <f t="shared" si="12"/>
        <v>6.1519329123984168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640.24550898203995</v>
      </c>
      <c r="E105">
        <v>270.55029940119999</v>
      </c>
      <c r="F105">
        <v>173.85562130177999</v>
      </c>
      <c r="G105">
        <v>128.52071005917</v>
      </c>
      <c r="I105" s="9">
        <f t="shared" si="8"/>
        <v>142.02958934202999</v>
      </c>
      <c r="J105" s="9">
        <f t="shared" si="9"/>
        <v>466.38988768025996</v>
      </c>
      <c r="K105" s="9">
        <f t="shared" si="10"/>
        <v>142.02958934202999</v>
      </c>
      <c r="L105" s="10">
        <f t="shared" si="7"/>
        <v>0.30452973594358962</v>
      </c>
      <c r="M105" s="10">
        <f t="shared" si="11"/>
        <v>0.31092916368438001</v>
      </c>
      <c r="P105" s="8">
        <f t="shared" si="12"/>
        <v>5.2055461198041453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638.62155688623</v>
      </c>
      <c r="E106">
        <v>272.27604790419002</v>
      </c>
      <c r="F106">
        <v>173.31479289941001</v>
      </c>
      <c r="G106">
        <v>128.69230769231001</v>
      </c>
      <c r="I106" s="9">
        <f t="shared" si="8"/>
        <v>143.58374021188001</v>
      </c>
      <c r="J106" s="9">
        <f t="shared" si="9"/>
        <v>465.30676398681999</v>
      </c>
      <c r="K106" s="9">
        <f t="shared" si="10"/>
        <v>143.58374021188001</v>
      </c>
      <c r="L106" s="10">
        <f t="shared" si="7"/>
        <v>0.30857866535537204</v>
      </c>
      <c r="M106" s="10">
        <f t="shared" si="11"/>
        <v>0.31504022346257787</v>
      </c>
      <c r="P106" s="8">
        <f t="shared" si="12"/>
        <v>6.5965584133164352</v>
      </c>
      <c r="X106" s="8">
        <v>-13</v>
      </c>
    </row>
    <row r="107" spans="1:25" x14ac:dyDescent="0.2">
      <c r="A107" s="8">
        <v>52.5</v>
      </c>
      <c r="B107" s="8">
        <v>105</v>
      </c>
      <c r="D107">
        <v>637.76047904192001</v>
      </c>
      <c r="E107">
        <v>271.07724550898001</v>
      </c>
      <c r="F107">
        <v>173.05621301775</v>
      </c>
      <c r="G107">
        <v>128.65917159763001</v>
      </c>
      <c r="I107" s="9">
        <f t="shared" si="8"/>
        <v>142.41807391135001</v>
      </c>
      <c r="J107" s="9">
        <f t="shared" si="9"/>
        <v>464.70426602417001</v>
      </c>
      <c r="K107" s="9">
        <f t="shared" si="10"/>
        <v>142.41807391135001</v>
      </c>
      <c r="L107" s="10">
        <f t="shared" si="7"/>
        <v>0.3064703389315187</v>
      </c>
      <c r="M107" s="10">
        <f t="shared" si="11"/>
        <v>0.31299402740513993</v>
      </c>
      <c r="P107" s="8">
        <f t="shared" si="12"/>
        <v>5.9042104484614297</v>
      </c>
      <c r="X107" s="8">
        <v>-13</v>
      </c>
    </row>
    <row r="108" spans="1:25" x14ac:dyDescent="0.2">
      <c r="A108" s="8">
        <v>53</v>
      </c>
      <c r="B108" s="8">
        <v>106</v>
      </c>
      <c r="D108">
        <v>638.85329341317004</v>
      </c>
      <c r="E108">
        <v>270.80958083832002</v>
      </c>
      <c r="F108">
        <v>173.66331360947001</v>
      </c>
      <c r="G108">
        <v>128.67337278106999</v>
      </c>
      <c r="I108" s="9">
        <f t="shared" si="8"/>
        <v>142.13620805725003</v>
      </c>
      <c r="J108" s="9">
        <f t="shared" si="9"/>
        <v>465.1899798037</v>
      </c>
      <c r="K108" s="9">
        <f t="shared" si="10"/>
        <v>142.13620805725003</v>
      </c>
      <c r="L108" s="10">
        <f t="shared" si="7"/>
        <v>0.30554443179801166</v>
      </c>
      <c r="M108" s="10">
        <f t="shared" si="11"/>
        <v>0.31213025063804833</v>
      </c>
      <c r="P108" s="8">
        <f t="shared" si="12"/>
        <v>5.6119441797375504</v>
      </c>
      <c r="X108" s="8">
        <v>-13</v>
      </c>
    </row>
    <row r="109" spans="1:25" x14ac:dyDescent="0.2">
      <c r="A109" s="8">
        <v>53.5</v>
      </c>
      <c r="B109" s="8">
        <v>107</v>
      </c>
      <c r="D109">
        <v>637.63413173652998</v>
      </c>
      <c r="E109">
        <v>270.18203592814001</v>
      </c>
      <c r="F109">
        <v>173.60650887573999</v>
      </c>
      <c r="G109">
        <v>128.33550295858001</v>
      </c>
      <c r="I109" s="9">
        <f t="shared" si="8"/>
        <v>141.84653296956</v>
      </c>
      <c r="J109" s="9">
        <f t="shared" si="9"/>
        <v>464.02762286078996</v>
      </c>
      <c r="K109" s="9">
        <f t="shared" si="10"/>
        <v>141.84653296956</v>
      </c>
      <c r="L109" s="10">
        <f t="shared" si="7"/>
        <v>0.30568553676838867</v>
      </c>
      <c r="M109" s="10">
        <f t="shared" si="11"/>
        <v>0.31233348597484079</v>
      </c>
      <c r="P109" s="8">
        <f t="shared" si="12"/>
        <v>5.6807105969649685</v>
      </c>
      <c r="X109" s="8">
        <v>-13</v>
      </c>
    </row>
    <row r="110" spans="1:25" x14ac:dyDescent="0.2">
      <c r="A110" s="8">
        <v>54</v>
      </c>
      <c r="B110" s="8">
        <v>108</v>
      </c>
      <c r="D110">
        <v>637.30838323352998</v>
      </c>
      <c r="E110">
        <v>271.42215568862002</v>
      </c>
      <c r="F110">
        <v>173.06508875739999</v>
      </c>
      <c r="G110">
        <v>128.47573964496999</v>
      </c>
      <c r="I110" s="9">
        <f t="shared" si="8"/>
        <v>142.94641604365003</v>
      </c>
      <c r="J110" s="9">
        <f t="shared" si="9"/>
        <v>464.24329447613002</v>
      </c>
      <c r="K110" s="9">
        <f t="shared" si="10"/>
        <v>142.94641604365003</v>
      </c>
      <c r="L110" s="10">
        <f t="shared" si="7"/>
        <v>0.30791272107646978</v>
      </c>
      <c r="M110" s="10">
        <f t="shared" si="11"/>
        <v>0.31462280064933734</v>
      </c>
      <c r="P110" s="8">
        <f t="shared" si="12"/>
        <v>6.4553198285871725</v>
      </c>
      <c r="X110" s="8">
        <v>-13</v>
      </c>
    </row>
    <row r="111" spans="1:25" x14ac:dyDescent="0.2">
      <c r="A111" s="8">
        <v>54.5</v>
      </c>
      <c r="B111" s="8">
        <v>109</v>
      </c>
      <c r="D111">
        <v>637.31437125749005</v>
      </c>
      <c r="E111">
        <v>272.14311377246003</v>
      </c>
      <c r="F111">
        <v>172.70887573965001</v>
      </c>
      <c r="G111">
        <v>128.15029585798999</v>
      </c>
      <c r="I111" s="9">
        <f t="shared" si="8"/>
        <v>143.99281791447004</v>
      </c>
      <c r="J111" s="9">
        <f t="shared" si="9"/>
        <v>464.60549551784004</v>
      </c>
      <c r="K111" s="9">
        <f t="shared" si="10"/>
        <v>143.99281791447004</v>
      </c>
      <c r="L111" s="10">
        <f t="shared" si="7"/>
        <v>0.30992491329440369</v>
      </c>
      <c r="M111" s="10">
        <f t="shared" si="11"/>
        <v>0.31669712323368671</v>
      </c>
      <c r="P111" s="8">
        <f t="shared" si="12"/>
        <v>7.1571846447696794</v>
      </c>
      <c r="X111" s="8">
        <v>-13</v>
      </c>
    </row>
    <row r="112" spans="1:25" x14ac:dyDescent="0.2">
      <c r="A112" s="8">
        <v>55</v>
      </c>
      <c r="B112" s="8">
        <v>110</v>
      </c>
      <c r="D112">
        <v>639.98203592814002</v>
      </c>
      <c r="E112">
        <v>271.56167664671</v>
      </c>
      <c r="F112">
        <v>172.61893491123999</v>
      </c>
      <c r="G112">
        <v>128.19822485207001</v>
      </c>
      <c r="I112" s="9">
        <f t="shared" si="8"/>
        <v>143.36345179463999</v>
      </c>
      <c r="J112" s="9">
        <f t="shared" si="9"/>
        <v>467.36310101690003</v>
      </c>
      <c r="K112" s="9">
        <f t="shared" si="10"/>
        <v>143.36345179463999</v>
      </c>
      <c r="L112" s="10">
        <f t="shared" si="7"/>
        <v>0.30674961605378409</v>
      </c>
      <c r="M112" s="10">
        <f t="shared" si="11"/>
        <v>0.31358395635948255</v>
      </c>
      <c r="P112" s="8">
        <f t="shared" si="12"/>
        <v>6.1038179638133858</v>
      </c>
      <c r="X112" s="8">
        <v>-13</v>
      </c>
    </row>
    <row r="113" spans="1:24" x14ac:dyDescent="0.2">
      <c r="A113" s="8">
        <v>55.5</v>
      </c>
      <c r="B113" s="8">
        <v>111</v>
      </c>
      <c r="D113">
        <v>637.09700598801999</v>
      </c>
      <c r="E113">
        <v>270.45089820358999</v>
      </c>
      <c r="F113">
        <v>172.46686390533</v>
      </c>
      <c r="G113">
        <v>128.46035502959</v>
      </c>
      <c r="I113" s="9">
        <f t="shared" si="8"/>
        <v>141.99054317399998</v>
      </c>
      <c r="J113" s="9">
        <f t="shared" si="9"/>
        <v>464.63014208268999</v>
      </c>
      <c r="K113" s="9">
        <f t="shared" si="10"/>
        <v>141.99054317399998</v>
      </c>
      <c r="L113" s="10">
        <f t="shared" si="7"/>
        <v>0.3055990783067406</v>
      </c>
      <c r="M113" s="10">
        <f t="shared" si="11"/>
        <v>0.31249554897885451</v>
      </c>
      <c r="P113" s="8">
        <f t="shared" si="12"/>
        <v>5.7355460026922582</v>
      </c>
      <c r="X113" s="8">
        <v>-13</v>
      </c>
    </row>
    <row r="114" spans="1:24" x14ac:dyDescent="0.2">
      <c r="A114" s="8">
        <v>56</v>
      </c>
      <c r="B114" s="8">
        <v>112</v>
      </c>
      <c r="D114">
        <v>638.51197604790002</v>
      </c>
      <c r="E114">
        <v>271.14311377246003</v>
      </c>
      <c r="F114">
        <v>172.60355029586</v>
      </c>
      <c r="G114">
        <v>128.33786982249001</v>
      </c>
      <c r="I114" s="9">
        <f t="shared" si="8"/>
        <v>142.80524394997002</v>
      </c>
      <c r="J114" s="9">
        <f t="shared" si="9"/>
        <v>465.90842575203999</v>
      </c>
      <c r="K114" s="9">
        <f t="shared" si="10"/>
        <v>142.80524394997002</v>
      </c>
      <c r="L114" s="10">
        <f t="shared" si="7"/>
        <v>0.30650925387207328</v>
      </c>
      <c r="M114" s="10">
        <f t="shared" si="11"/>
        <v>0.31346785491060264</v>
      </c>
      <c r="P114" s="8">
        <f t="shared" si="12"/>
        <v>6.0645340439971331</v>
      </c>
      <c r="X114" s="8">
        <v>-13</v>
      </c>
    </row>
    <row r="115" spans="1:24" x14ac:dyDescent="0.2">
      <c r="A115" s="8">
        <v>56.5</v>
      </c>
      <c r="B115" s="8">
        <v>113</v>
      </c>
      <c r="D115">
        <v>636.25928143712997</v>
      </c>
      <c r="E115">
        <v>270.58203592813999</v>
      </c>
      <c r="F115">
        <v>173.03372781064999</v>
      </c>
      <c r="G115">
        <v>128.60473372780999</v>
      </c>
      <c r="I115" s="9">
        <f t="shared" si="8"/>
        <v>141.97730220033</v>
      </c>
      <c r="J115" s="9">
        <f t="shared" si="9"/>
        <v>463.22555362647995</v>
      </c>
      <c r="K115" s="9">
        <f t="shared" si="10"/>
        <v>141.97730220033</v>
      </c>
      <c r="L115" s="10">
        <f t="shared" si="7"/>
        <v>0.30649712885833763</v>
      </c>
      <c r="M115" s="10">
        <f t="shared" si="11"/>
        <v>0.31351786026328238</v>
      </c>
      <c r="P115" s="8">
        <f t="shared" si="12"/>
        <v>6.0814537834491889</v>
      </c>
      <c r="X115" s="8">
        <v>-13</v>
      </c>
    </row>
    <row r="116" spans="1:24" x14ac:dyDescent="0.2">
      <c r="A116" s="8">
        <v>57</v>
      </c>
      <c r="B116" s="8">
        <v>114</v>
      </c>
      <c r="D116">
        <v>639.12574850298995</v>
      </c>
      <c r="E116">
        <v>271.22455089819999</v>
      </c>
      <c r="F116">
        <v>172.78579881657001</v>
      </c>
      <c r="G116">
        <v>128.09940828402</v>
      </c>
      <c r="I116" s="9">
        <f t="shared" si="8"/>
        <v>143.12514261417999</v>
      </c>
      <c r="J116" s="9">
        <f t="shared" si="9"/>
        <v>466.33994968641991</v>
      </c>
      <c r="K116" s="9">
        <f t="shared" si="10"/>
        <v>143.12514261417999</v>
      </c>
      <c r="L116" s="10">
        <f t="shared" si="7"/>
        <v>0.30691160538663126</v>
      </c>
      <c r="M116" s="10">
        <f t="shared" si="11"/>
        <v>0.31399446715799145</v>
      </c>
      <c r="P116" s="8">
        <f t="shared" si="12"/>
        <v>6.242717809146149</v>
      </c>
      <c r="X116" s="8">
        <v>-13</v>
      </c>
    </row>
    <row r="117" spans="1:24" x14ac:dyDescent="0.2">
      <c r="A117" s="8">
        <v>57.5</v>
      </c>
      <c r="B117" s="8">
        <v>115</v>
      </c>
      <c r="D117">
        <v>637.10898203593001</v>
      </c>
      <c r="E117">
        <v>270.45389221557002</v>
      </c>
      <c r="F117">
        <v>173.55798816568</v>
      </c>
      <c r="G117">
        <v>128.28994082840001</v>
      </c>
      <c r="I117" s="9">
        <f t="shared" si="8"/>
        <v>142.16395138717002</v>
      </c>
      <c r="J117" s="9">
        <f t="shared" si="9"/>
        <v>463.55099387025001</v>
      </c>
      <c r="K117" s="9">
        <f t="shared" si="10"/>
        <v>142.16395138717002</v>
      </c>
      <c r="L117" s="10">
        <f t="shared" si="7"/>
        <v>0.3066846005446433</v>
      </c>
      <c r="M117" s="10">
        <f t="shared" si="11"/>
        <v>0.31382959268241895</v>
      </c>
      <c r="P117" s="8">
        <f t="shared" si="12"/>
        <v>6.1869311179323612</v>
      </c>
      <c r="X117" s="8">
        <v>-13</v>
      </c>
    </row>
    <row r="118" spans="1:24" x14ac:dyDescent="0.2">
      <c r="A118" s="8">
        <v>58</v>
      </c>
      <c r="B118" s="8">
        <v>116</v>
      </c>
      <c r="D118">
        <v>636.93952095808004</v>
      </c>
      <c r="E118">
        <v>269.68562874252001</v>
      </c>
      <c r="F118">
        <v>173.69230769231001</v>
      </c>
      <c r="G118">
        <v>128.55857988165999</v>
      </c>
      <c r="I118" s="9">
        <f t="shared" si="8"/>
        <v>141.12704886086001</v>
      </c>
      <c r="J118" s="9">
        <f t="shared" si="9"/>
        <v>463.24721326577003</v>
      </c>
      <c r="K118" s="9">
        <f t="shared" si="10"/>
        <v>141.12704886086001</v>
      </c>
      <c r="L118" s="10">
        <f t="shared" si="7"/>
        <v>0.30464737794308949</v>
      </c>
      <c r="M118" s="10">
        <f t="shared" si="11"/>
        <v>0.31185450044728058</v>
      </c>
      <c r="P118" s="8">
        <f t="shared" si="12"/>
        <v>5.5186417404661743</v>
      </c>
      <c r="X118" s="8">
        <v>-13</v>
      </c>
    </row>
    <row r="119" spans="1:24" x14ac:dyDescent="0.2">
      <c r="A119" s="8">
        <v>58.5</v>
      </c>
      <c r="B119" s="8">
        <v>117</v>
      </c>
      <c r="D119">
        <v>637.98083832334999</v>
      </c>
      <c r="E119">
        <v>270.00239520958002</v>
      </c>
      <c r="F119">
        <v>173.00177514793</v>
      </c>
      <c r="G119">
        <v>128.59704142012001</v>
      </c>
      <c r="I119" s="9">
        <f t="shared" si="8"/>
        <v>141.40535378946001</v>
      </c>
      <c r="J119" s="9">
        <f t="shared" si="9"/>
        <v>464.97906317541998</v>
      </c>
      <c r="K119" s="9">
        <f t="shared" si="10"/>
        <v>141.40535378946001</v>
      </c>
      <c r="L119" s="10">
        <f t="shared" si="7"/>
        <v>0.30411122776965299</v>
      </c>
      <c r="M119" s="10">
        <f t="shared" si="11"/>
        <v>0.31138048064025953</v>
      </c>
      <c r="P119" s="8">
        <f t="shared" si="12"/>
        <v>5.3582530780508471</v>
      </c>
      <c r="X119" s="8">
        <v>-13</v>
      </c>
    </row>
    <row r="120" spans="1:24" x14ac:dyDescent="0.2">
      <c r="A120" s="8">
        <v>59</v>
      </c>
      <c r="B120" s="8">
        <v>118</v>
      </c>
      <c r="D120">
        <v>636.44610778442996</v>
      </c>
      <c r="E120">
        <v>270.92814371257998</v>
      </c>
      <c r="F120">
        <v>173.0224852071</v>
      </c>
      <c r="G120">
        <v>128.56272189348999</v>
      </c>
      <c r="I120" s="9">
        <f t="shared" si="8"/>
        <v>142.36542181908999</v>
      </c>
      <c r="J120" s="9">
        <f t="shared" si="9"/>
        <v>463.42362257732998</v>
      </c>
      <c r="K120" s="9">
        <f t="shared" si="10"/>
        <v>142.36542181908999</v>
      </c>
      <c r="L120" s="10">
        <f t="shared" si="7"/>
        <v>0.30720363590298838</v>
      </c>
      <c r="M120" s="10">
        <f t="shared" si="11"/>
        <v>0.31453501914001036</v>
      </c>
      <c r="P120" s="8">
        <f t="shared" si="12"/>
        <v>6.4256182029225561</v>
      </c>
      <c r="X120" s="8">
        <v>-13</v>
      </c>
    </row>
    <row r="121" spans="1:24" x14ac:dyDescent="0.2">
      <c r="A121" s="8">
        <v>59.5</v>
      </c>
      <c r="B121" s="8">
        <v>119</v>
      </c>
      <c r="D121">
        <v>638.52275449102001</v>
      </c>
      <c r="E121">
        <v>270.18502994011999</v>
      </c>
      <c r="F121">
        <v>172.34852071006</v>
      </c>
      <c r="G121">
        <v>128.51420118343</v>
      </c>
      <c r="I121" s="9">
        <f t="shared" si="8"/>
        <v>141.67082875668999</v>
      </c>
      <c r="J121" s="9">
        <f t="shared" si="9"/>
        <v>466.17423378095998</v>
      </c>
      <c r="K121" s="9">
        <f t="shared" si="10"/>
        <v>141.67082875668999</v>
      </c>
      <c r="L121" s="10">
        <f t="shared" si="7"/>
        <v>0.30390102775018768</v>
      </c>
      <c r="M121" s="10">
        <f t="shared" si="11"/>
        <v>0.31129454135362511</v>
      </c>
      <c r="P121" s="8">
        <f t="shared" si="12"/>
        <v>5.3291747842157333</v>
      </c>
      <c r="X121" s="8">
        <v>-13</v>
      </c>
    </row>
    <row r="122" spans="1:24" x14ac:dyDescent="0.2">
      <c r="A122" s="8">
        <v>60</v>
      </c>
      <c r="B122" s="8">
        <v>120</v>
      </c>
      <c r="D122">
        <v>635.76706586826003</v>
      </c>
      <c r="E122">
        <v>271.17604790419</v>
      </c>
      <c r="F122">
        <v>173.12426035503</v>
      </c>
      <c r="G122">
        <v>128.72426035503</v>
      </c>
      <c r="I122" s="9">
        <f t="shared" si="8"/>
        <v>142.45178754916</v>
      </c>
      <c r="J122" s="9">
        <f t="shared" si="9"/>
        <v>462.64280551323003</v>
      </c>
      <c r="K122" s="9">
        <f t="shared" si="10"/>
        <v>142.45178754916</v>
      </c>
      <c r="L122" s="10">
        <f t="shared" si="7"/>
        <v>0.30790879238061847</v>
      </c>
      <c r="M122" s="10">
        <f t="shared" si="11"/>
        <v>0.31536443635047134</v>
      </c>
      <c r="P122" s="8">
        <f t="shared" si="12"/>
        <v>6.7062586213179429</v>
      </c>
      <c r="X122" s="8">
        <v>-13</v>
      </c>
    </row>
    <row r="123" spans="1:24" x14ac:dyDescent="0.2">
      <c r="A123" s="8">
        <v>60.5</v>
      </c>
      <c r="B123" s="8">
        <v>121</v>
      </c>
      <c r="D123">
        <v>635.12215568861996</v>
      </c>
      <c r="E123">
        <v>270.70778443114</v>
      </c>
      <c r="F123">
        <v>172.75917159763</v>
      </c>
      <c r="G123">
        <v>128.14023668639001</v>
      </c>
      <c r="I123" s="9">
        <f t="shared" si="8"/>
        <v>142.56754774474999</v>
      </c>
      <c r="J123" s="9">
        <f t="shared" si="9"/>
        <v>462.36298409098993</v>
      </c>
      <c r="K123" s="9">
        <f t="shared" si="10"/>
        <v>142.56754774474999</v>
      </c>
      <c r="L123" s="10">
        <f t="shared" si="7"/>
        <v>0.30834550483109968</v>
      </c>
      <c r="M123" s="10">
        <f t="shared" si="11"/>
        <v>0.31586327916736801</v>
      </c>
      <c r="P123" s="8">
        <f t="shared" si="12"/>
        <v>6.8750463617719939</v>
      </c>
      <c r="X123" s="8">
        <v>-13</v>
      </c>
    </row>
    <row r="124" spans="1:24" x14ac:dyDescent="0.2">
      <c r="A124" s="8">
        <v>61</v>
      </c>
      <c r="B124" s="8">
        <v>122</v>
      </c>
      <c r="D124">
        <v>635.78083832335005</v>
      </c>
      <c r="E124">
        <v>270.13173652695002</v>
      </c>
      <c r="F124">
        <v>172.47337278107</v>
      </c>
      <c r="G124">
        <v>128.66863905324999</v>
      </c>
      <c r="I124" s="9">
        <f t="shared" si="8"/>
        <v>141.46309747370003</v>
      </c>
      <c r="J124" s="9">
        <f t="shared" si="9"/>
        <v>463.30746554228006</v>
      </c>
      <c r="K124" s="9">
        <f t="shared" si="10"/>
        <v>141.46309747370003</v>
      </c>
      <c r="L124" s="10">
        <f t="shared" si="7"/>
        <v>0.30533308438732792</v>
      </c>
      <c r="M124" s="10">
        <f t="shared" si="11"/>
        <v>0.31291298909001164</v>
      </c>
      <c r="P124" s="8">
        <f t="shared" si="12"/>
        <v>5.8767904403197857</v>
      </c>
      <c r="X124" s="8">
        <v>-13</v>
      </c>
    </row>
    <row r="125" spans="1:24" x14ac:dyDescent="0.2">
      <c r="A125" s="8">
        <v>61.5</v>
      </c>
      <c r="B125" s="8">
        <v>123</v>
      </c>
      <c r="D125">
        <v>637.0245508982</v>
      </c>
      <c r="E125">
        <v>269.82634730539002</v>
      </c>
      <c r="F125">
        <v>173.37810650887999</v>
      </c>
      <c r="G125">
        <v>128.42130177515</v>
      </c>
      <c r="I125" s="9">
        <f t="shared" si="8"/>
        <v>141.40504553024002</v>
      </c>
      <c r="J125" s="9">
        <f t="shared" si="9"/>
        <v>463.64644438931998</v>
      </c>
      <c r="K125" s="9">
        <f t="shared" si="10"/>
        <v>141.40504553024002</v>
      </c>
      <c r="L125" s="10">
        <f t="shared" si="7"/>
        <v>0.30498464345281034</v>
      </c>
      <c r="M125" s="10">
        <f t="shared" si="11"/>
        <v>0.31262667852190951</v>
      </c>
      <c r="P125" s="8">
        <f t="shared" si="12"/>
        <v>5.7799148069114246</v>
      </c>
      <c r="X125" s="8">
        <v>-13</v>
      </c>
    </row>
    <row r="126" spans="1:24" x14ac:dyDescent="0.2">
      <c r="A126" s="8">
        <v>62</v>
      </c>
      <c r="B126" s="8">
        <v>124</v>
      </c>
      <c r="D126">
        <v>636.73173652695004</v>
      </c>
      <c r="E126">
        <v>270.15928143713001</v>
      </c>
      <c r="F126">
        <v>173.06923076922999</v>
      </c>
      <c r="G126">
        <v>128.24201183432001</v>
      </c>
      <c r="I126" s="9">
        <f t="shared" si="8"/>
        <v>141.91726960280999</v>
      </c>
      <c r="J126" s="9">
        <f t="shared" si="9"/>
        <v>463.66250575772006</v>
      </c>
      <c r="K126" s="9">
        <f t="shared" si="10"/>
        <v>141.91726960280999</v>
      </c>
      <c r="L126" s="10">
        <f t="shared" si="7"/>
        <v>0.30607881344834631</v>
      </c>
      <c r="M126" s="10">
        <f t="shared" si="11"/>
        <v>0.31378297888386092</v>
      </c>
      <c r="P126" s="8">
        <f t="shared" si="12"/>
        <v>6.1711589398712716</v>
      </c>
      <c r="X126" s="8">
        <v>-13</v>
      </c>
    </row>
    <row r="127" spans="1:24" x14ac:dyDescent="0.2">
      <c r="A127" s="8">
        <v>62.5</v>
      </c>
      <c r="B127" s="8">
        <v>125</v>
      </c>
      <c r="D127">
        <v>633.77185628742996</v>
      </c>
      <c r="E127">
        <v>270.44790419162001</v>
      </c>
      <c r="F127">
        <v>172.26627218934999</v>
      </c>
      <c r="G127">
        <v>128.30355029585999</v>
      </c>
      <c r="I127" s="9">
        <f t="shared" si="8"/>
        <v>142.14435389576002</v>
      </c>
      <c r="J127" s="9">
        <f t="shared" si="9"/>
        <v>461.50558409807996</v>
      </c>
      <c r="K127" s="9">
        <f t="shared" si="10"/>
        <v>142.14435389576002</v>
      </c>
      <c r="L127" s="10">
        <f t="shared" si="7"/>
        <v>0.30800137375055303</v>
      </c>
      <c r="M127" s="10">
        <f t="shared" si="11"/>
        <v>0.31576766955248309</v>
      </c>
      <c r="P127" s="8">
        <f t="shared" si="12"/>
        <v>6.8426960295320693</v>
      </c>
      <c r="X127" s="8">
        <v>-13</v>
      </c>
    </row>
    <row r="128" spans="1:24" x14ac:dyDescent="0.2">
      <c r="A128" s="8">
        <v>63</v>
      </c>
      <c r="B128" s="8">
        <v>126</v>
      </c>
      <c r="D128">
        <v>636.29760479042</v>
      </c>
      <c r="E128">
        <v>269.63473053892</v>
      </c>
      <c r="F128">
        <v>172.49704142012001</v>
      </c>
      <c r="G128">
        <v>128.49467455620999</v>
      </c>
      <c r="I128" s="9">
        <f t="shared" si="8"/>
        <v>141.14005598271001</v>
      </c>
      <c r="J128" s="9">
        <f t="shared" si="9"/>
        <v>463.80056337029998</v>
      </c>
      <c r="K128" s="9">
        <f t="shared" si="10"/>
        <v>141.14005598271001</v>
      </c>
      <c r="L128" s="10">
        <f t="shared" si="7"/>
        <v>0.30431195459765603</v>
      </c>
      <c r="M128" s="10">
        <f t="shared" si="11"/>
        <v>0.31214038076600154</v>
      </c>
      <c r="P128" s="8">
        <f t="shared" si="12"/>
        <v>5.615371795310665</v>
      </c>
      <c r="X128" s="8">
        <v>-13</v>
      </c>
    </row>
    <row r="129" spans="1:24" x14ac:dyDescent="0.2">
      <c r="A129" s="8">
        <v>63.5</v>
      </c>
      <c r="B129" s="8">
        <v>127</v>
      </c>
      <c r="D129">
        <v>634.44910179640999</v>
      </c>
      <c r="E129">
        <v>270.50898203592999</v>
      </c>
      <c r="F129">
        <v>172.50887573964999</v>
      </c>
      <c r="G129">
        <v>128.35443786982</v>
      </c>
      <c r="I129" s="9">
        <f t="shared" si="8"/>
        <v>142.15454416610999</v>
      </c>
      <c r="J129" s="9">
        <f t="shared" si="9"/>
        <v>461.94022605676003</v>
      </c>
      <c r="K129" s="9">
        <f t="shared" si="10"/>
        <v>142.15454416610999</v>
      </c>
      <c r="L129" s="10">
        <f t="shared" si="7"/>
        <v>0.30773363337412191</v>
      </c>
      <c r="M129" s="10">
        <f t="shared" si="11"/>
        <v>0.31562418990888286</v>
      </c>
      <c r="P129" s="8">
        <f t="shared" si="12"/>
        <v>6.79414846299579</v>
      </c>
      <c r="X129" s="8">
        <v>-13</v>
      </c>
    </row>
    <row r="130" spans="1:24" x14ac:dyDescent="0.2">
      <c r="A130" s="8">
        <v>64</v>
      </c>
      <c r="B130" s="8">
        <v>128</v>
      </c>
      <c r="D130">
        <v>633.89520958083995</v>
      </c>
      <c r="E130">
        <v>270.20239520958</v>
      </c>
      <c r="F130">
        <v>172.74023668639001</v>
      </c>
      <c r="G130">
        <v>127.96923076922999</v>
      </c>
      <c r="I130" s="9">
        <f t="shared" si="8"/>
        <v>142.23316444035001</v>
      </c>
      <c r="J130" s="9">
        <f t="shared" si="9"/>
        <v>461.15497289444994</v>
      </c>
      <c r="K130" s="9">
        <f t="shared" si="10"/>
        <v>142.23316444035001</v>
      </c>
      <c r="L130" s="10">
        <f t="shared" ref="L130:L193" si="14">K130/J130</f>
        <v>0.30842812676966319</v>
      </c>
      <c r="M130" s="10">
        <f t="shared" si="11"/>
        <v>0.31638081367083959</v>
      </c>
      <c r="P130" s="8">
        <f t="shared" si="12"/>
        <v>7.0501585945017569</v>
      </c>
      <c r="X130" s="8">
        <v>-13</v>
      </c>
    </row>
    <row r="131" spans="1:24" x14ac:dyDescent="0.2">
      <c r="A131" s="8">
        <v>64.5</v>
      </c>
      <c r="B131" s="8">
        <v>129</v>
      </c>
      <c r="D131">
        <v>634.04131736526995</v>
      </c>
      <c r="E131">
        <v>270.33832335328998</v>
      </c>
      <c r="F131">
        <v>172.84733727810999</v>
      </c>
      <c r="G131">
        <v>128.45443786982</v>
      </c>
      <c r="I131" s="9">
        <f t="shared" ref="I131:I194" si="15">E131-G131</f>
        <v>141.88388548346998</v>
      </c>
      <c r="J131" s="9">
        <f t="shared" ref="J131:J194" si="16">D131-F131</f>
        <v>461.19398008715996</v>
      </c>
      <c r="K131" s="9">
        <f t="shared" ref="K131:K194" si="17">I131*1</f>
        <v>141.88388548346998</v>
      </c>
      <c r="L131" s="10">
        <f t="shared" si="14"/>
        <v>0.30764470398476512</v>
      </c>
      <c r="M131" s="10">
        <f t="shared" ref="M131:M181" si="18">L131+ABS($N$2)*A131</f>
        <v>0.31565952125235697</v>
      </c>
      <c r="P131" s="8">
        <f t="shared" ref="P131:P194" si="19">(M131-$O$2)/$O$2*100</f>
        <v>6.8061031257276303</v>
      </c>
      <c r="X131" s="8">
        <v>-13</v>
      </c>
    </row>
    <row r="132" spans="1:24" x14ac:dyDescent="0.2">
      <c r="A132" s="8">
        <v>65</v>
      </c>
      <c r="B132" s="8">
        <v>130</v>
      </c>
      <c r="D132">
        <v>633.69640718563005</v>
      </c>
      <c r="E132">
        <v>268.74910179641</v>
      </c>
      <c r="F132">
        <v>172.70177514792999</v>
      </c>
      <c r="G132">
        <v>128.32662721893999</v>
      </c>
      <c r="I132" s="9">
        <f t="shared" si="15"/>
        <v>140.42247457747001</v>
      </c>
      <c r="J132" s="9">
        <f t="shared" si="16"/>
        <v>460.99463203770006</v>
      </c>
      <c r="K132" s="9">
        <f t="shared" si="17"/>
        <v>140.42247457747001</v>
      </c>
      <c r="L132" s="10">
        <f t="shared" si="14"/>
        <v>0.30460761323135382</v>
      </c>
      <c r="M132" s="10">
        <f t="shared" si="18"/>
        <v>0.31268456086536106</v>
      </c>
      <c r="P132" s="8">
        <f t="shared" si="19"/>
        <v>5.7994997936696819</v>
      </c>
      <c r="X132" s="8">
        <v>-13</v>
      </c>
    </row>
    <row r="133" spans="1:24" x14ac:dyDescent="0.2">
      <c r="A133" s="8">
        <v>65.5</v>
      </c>
      <c r="B133" s="8">
        <v>131</v>
      </c>
      <c r="D133">
        <v>633.58443113773001</v>
      </c>
      <c r="E133">
        <v>268.04251497005998</v>
      </c>
      <c r="F133">
        <v>173.04082840237001</v>
      </c>
      <c r="G133">
        <v>128.25147928993999</v>
      </c>
      <c r="I133" s="9">
        <f t="shared" si="15"/>
        <v>139.79103568011999</v>
      </c>
      <c r="J133" s="9">
        <f t="shared" si="16"/>
        <v>460.54360273535997</v>
      </c>
      <c r="K133" s="9">
        <f t="shared" si="17"/>
        <v>139.79103568011999</v>
      </c>
      <c r="L133" s="10">
        <f t="shared" si="14"/>
        <v>0.30353485500578642</v>
      </c>
      <c r="M133" s="10">
        <f t="shared" si="18"/>
        <v>0.3116739330062091</v>
      </c>
      <c r="P133" s="8">
        <f t="shared" si="19"/>
        <v>5.4575451999413893</v>
      </c>
      <c r="X133" s="8">
        <v>-13</v>
      </c>
    </row>
    <row r="134" spans="1:24" x14ac:dyDescent="0.2">
      <c r="A134" s="8">
        <v>66</v>
      </c>
      <c r="B134" s="8">
        <v>132</v>
      </c>
      <c r="D134">
        <v>632.43712574849997</v>
      </c>
      <c r="E134">
        <v>268.72455089819999</v>
      </c>
      <c r="F134">
        <v>172.40414201183</v>
      </c>
      <c r="G134">
        <v>128.03254437870001</v>
      </c>
      <c r="I134" s="9">
        <f t="shared" si="15"/>
        <v>140.69200651949998</v>
      </c>
      <c r="J134" s="9">
        <f t="shared" si="16"/>
        <v>460.03298373666996</v>
      </c>
      <c r="K134" s="9">
        <f t="shared" si="17"/>
        <v>140.69200651949998</v>
      </c>
      <c r="L134" s="10">
        <f t="shared" si="14"/>
        <v>0.30583025890168403</v>
      </c>
      <c r="M134" s="10">
        <f t="shared" si="18"/>
        <v>0.31403146726852216</v>
      </c>
      <c r="P134" s="8">
        <f t="shared" si="19"/>
        <v>6.2552371135071487</v>
      </c>
      <c r="X134" s="8">
        <v>-13</v>
      </c>
    </row>
    <row r="135" spans="1:24" x14ac:dyDescent="0.2">
      <c r="A135" s="8">
        <v>66.5</v>
      </c>
      <c r="B135" s="8">
        <v>133</v>
      </c>
      <c r="D135">
        <v>633.91916167664999</v>
      </c>
      <c r="E135">
        <v>268.43113772455001</v>
      </c>
      <c r="F135">
        <v>172.91360946745999</v>
      </c>
      <c r="G135">
        <v>128.1449704142</v>
      </c>
      <c r="I135" s="9">
        <f t="shared" si="15"/>
        <v>140.28616731035001</v>
      </c>
      <c r="J135" s="9">
        <f t="shared" si="16"/>
        <v>461.00555220919</v>
      </c>
      <c r="K135" s="9">
        <f t="shared" si="17"/>
        <v>140.28616731035001</v>
      </c>
      <c r="L135" s="10">
        <f t="shared" si="14"/>
        <v>0.30430472396283093</v>
      </c>
      <c r="M135" s="10">
        <f t="shared" si="18"/>
        <v>0.3125680626960845</v>
      </c>
      <c r="P135" s="8">
        <f t="shared" si="19"/>
        <v>5.7600816401087034</v>
      </c>
      <c r="X135" s="8">
        <v>-13</v>
      </c>
    </row>
    <row r="136" spans="1:24" x14ac:dyDescent="0.2">
      <c r="A136" s="8">
        <v>67</v>
      </c>
      <c r="B136" s="8">
        <v>134</v>
      </c>
      <c r="D136">
        <v>632.44071856286996</v>
      </c>
      <c r="E136">
        <v>267.41676646706998</v>
      </c>
      <c r="F136">
        <v>172.32958579882001</v>
      </c>
      <c r="G136">
        <v>128.08224852071001</v>
      </c>
      <c r="I136" s="9">
        <f t="shared" si="15"/>
        <v>139.33451794635997</v>
      </c>
      <c r="J136" s="9">
        <f t="shared" si="16"/>
        <v>460.11113276404996</v>
      </c>
      <c r="K136" s="9">
        <f t="shared" si="17"/>
        <v>139.33451794635997</v>
      </c>
      <c r="L136" s="10">
        <f t="shared" si="14"/>
        <v>0.30282796486433256</v>
      </c>
      <c r="M136" s="10">
        <f t="shared" si="18"/>
        <v>0.31115343396400158</v>
      </c>
      <c r="P136" s="8">
        <f t="shared" si="19"/>
        <v>5.2814298901344809</v>
      </c>
      <c r="X136" s="8">
        <v>-13</v>
      </c>
    </row>
    <row r="137" spans="1:24" x14ac:dyDescent="0.2">
      <c r="A137" s="8">
        <v>67.5</v>
      </c>
      <c r="B137" s="8">
        <v>135</v>
      </c>
      <c r="D137">
        <v>631.75508982036001</v>
      </c>
      <c r="E137">
        <v>267.86047904191997</v>
      </c>
      <c r="F137">
        <v>172.42426035502999</v>
      </c>
      <c r="G137">
        <v>128.29053254438</v>
      </c>
      <c r="I137" s="9">
        <f t="shared" si="15"/>
        <v>139.56994649753997</v>
      </c>
      <c r="J137" s="9">
        <f t="shared" si="16"/>
        <v>459.33082946533</v>
      </c>
      <c r="K137" s="9">
        <f t="shared" si="17"/>
        <v>139.56994649753997</v>
      </c>
      <c r="L137" s="10">
        <f t="shared" si="14"/>
        <v>0.30385495060281953</v>
      </c>
      <c r="M137" s="10">
        <f t="shared" si="18"/>
        <v>0.312242550068904</v>
      </c>
      <c r="P137" s="8">
        <f t="shared" si="19"/>
        <v>5.6499416541851595</v>
      </c>
      <c r="X137" s="8">
        <v>-13</v>
      </c>
    </row>
    <row r="138" spans="1:24" x14ac:dyDescent="0.2">
      <c r="A138" s="8">
        <v>68</v>
      </c>
      <c r="B138" s="8">
        <v>136</v>
      </c>
      <c r="D138">
        <v>631.06107784431003</v>
      </c>
      <c r="E138">
        <v>267.66526946108002</v>
      </c>
      <c r="F138">
        <v>172.56863905325</v>
      </c>
      <c r="G138">
        <v>127.96331360947001</v>
      </c>
      <c r="I138" s="9">
        <f t="shared" si="15"/>
        <v>139.70195585161002</v>
      </c>
      <c r="J138" s="9">
        <f t="shared" si="16"/>
        <v>458.49243879106007</v>
      </c>
      <c r="K138" s="9">
        <f t="shared" si="17"/>
        <v>139.70195585161002</v>
      </c>
      <c r="L138" s="10">
        <f t="shared" si="14"/>
        <v>0.30469849452691566</v>
      </c>
      <c r="M138" s="10">
        <f t="shared" si="18"/>
        <v>0.31314822435941558</v>
      </c>
      <c r="P138" s="8">
        <f t="shared" si="19"/>
        <v>5.9563843088750126</v>
      </c>
      <c r="X138" s="8">
        <v>-13</v>
      </c>
    </row>
    <row r="139" spans="1:24" x14ac:dyDescent="0.2">
      <c r="A139" s="8">
        <v>68.5</v>
      </c>
      <c r="B139" s="8">
        <v>137</v>
      </c>
      <c r="D139">
        <v>632.40299401198001</v>
      </c>
      <c r="E139">
        <v>267.16107784431</v>
      </c>
      <c r="F139">
        <v>172.67041420117999</v>
      </c>
      <c r="G139">
        <v>128.36863905325001</v>
      </c>
      <c r="I139" s="9">
        <f t="shared" si="15"/>
        <v>138.79243879105999</v>
      </c>
      <c r="J139" s="9">
        <f t="shared" si="16"/>
        <v>459.73257981080002</v>
      </c>
      <c r="K139" s="9">
        <f t="shared" si="17"/>
        <v>138.79243879105999</v>
      </c>
      <c r="L139" s="10">
        <f t="shared" si="14"/>
        <v>0.30189820101107284</v>
      </c>
      <c r="M139" s="10">
        <f t="shared" si="18"/>
        <v>0.31041006120998821</v>
      </c>
      <c r="P139" s="8">
        <f t="shared" si="19"/>
        <v>5.0299033506814421</v>
      </c>
      <c r="X139" s="8">
        <v>-13</v>
      </c>
    </row>
    <row r="140" spans="1:24" x14ac:dyDescent="0.2">
      <c r="A140" s="8">
        <v>69</v>
      </c>
      <c r="B140" s="8">
        <v>138</v>
      </c>
      <c r="D140">
        <v>625.28742514969997</v>
      </c>
      <c r="E140">
        <v>266.89999999999998</v>
      </c>
      <c r="F140">
        <v>172.05739644970001</v>
      </c>
      <c r="G140">
        <v>128.26923076923001</v>
      </c>
      <c r="I140" s="9">
        <f t="shared" si="15"/>
        <v>138.63076923076997</v>
      </c>
      <c r="J140" s="9">
        <f t="shared" si="16"/>
        <v>453.23002869999993</v>
      </c>
      <c r="K140" s="9">
        <f t="shared" si="17"/>
        <v>138.63076923076997</v>
      </c>
      <c r="L140" s="10">
        <f t="shared" si="14"/>
        <v>0.30587286907799272</v>
      </c>
      <c r="M140" s="10">
        <f t="shared" si="18"/>
        <v>0.31444685964332347</v>
      </c>
      <c r="P140" s="8">
        <f t="shared" si="19"/>
        <v>6.3957886819966694</v>
      </c>
      <c r="X140" s="8">
        <v>-13</v>
      </c>
    </row>
    <row r="141" spans="1:24" x14ac:dyDescent="0.2">
      <c r="A141" s="8">
        <v>69.5</v>
      </c>
      <c r="B141" s="8">
        <v>139</v>
      </c>
      <c r="D141">
        <v>626.88203592814</v>
      </c>
      <c r="E141">
        <v>266.61856287425002</v>
      </c>
      <c r="F141">
        <v>172.82248520709999</v>
      </c>
      <c r="G141">
        <v>128.16449704141999</v>
      </c>
      <c r="I141" s="9">
        <f t="shared" si="15"/>
        <v>138.45406583283003</v>
      </c>
      <c r="J141" s="9">
        <f t="shared" si="16"/>
        <v>454.05955072104001</v>
      </c>
      <c r="K141" s="9">
        <f t="shared" si="17"/>
        <v>138.45406583283003</v>
      </c>
      <c r="L141" s="10">
        <f t="shared" si="14"/>
        <v>0.30492490602381772</v>
      </c>
      <c r="M141" s="10">
        <f t="shared" si="18"/>
        <v>0.31356102695556393</v>
      </c>
      <c r="P141" s="8">
        <f t="shared" si="19"/>
        <v>6.0960596035718577</v>
      </c>
      <c r="X141" s="8">
        <v>-13</v>
      </c>
    </row>
    <row r="142" spans="1:24" x14ac:dyDescent="0.2">
      <c r="A142" s="8">
        <v>70</v>
      </c>
      <c r="B142" s="8">
        <v>140</v>
      </c>
      <c r="D142">
        <v>627.49041916168005</v>
      </c>
      <c r="E142">
        <v>267.26826347305001</v>
      </c>
      <c r="F142">
        <v>172.29526627218999</v>
      </c>
      <c r="G142">
        <v>128.15029585798999</v>
      </c>
      <c r="I142" s="9">
        <f t="shared" si="15"/>
        <v>139.11796761506002</v>
      </c>
      <c r="J142" s="9">
        <f t="shared" si="16"/>
        <v>455.19515288949003</v>
      </c>
      <c r="K142" s="9">
        <f t="shared" si="17"/>
        <v>139.11796761506002</v>
      </c>
      <c r="L142" s="10">
        <f t="shared" si="14"/>
        <v>0.30562269112921414</v>
      </c>
      <c r="M142" s="10">
        <f t="shared" si="18"/>
        <v>0.31432094242737579</v>
      </c>
      <c r="P142" s="8">
        <f t="shared" si="19"/>
        <v>6.3531835133058756</v>
      </c>
      <c r="X142" s="8">
        <v>-13</v>
      </c>
    </row>
    <row r="143" spans="1:24" x14ac:dyDescent="0.2">
      <c r="A143" s="8">
        <v>70.5</v>
      </c>
      <c r="B143" s="8">
        <v>141</v>
      </c>
      <c r="D143">
        <v>629.29281437125996</v>
      </c>
      <c r="E143">
        <v>266.26706586825998</v>
      </c>
      <c r="F143">
        <v>172.12366863905001</v>
      </c>
      <c r="G143">
        <v>128.19940828402</v>
      </c>
      <c r="I143" s="9">
        <f t="shared" si="15"/>
        <v>138.06765758423998</v>
      </c>
      <c r="J143" s="9">
        <f t="shared" si="16"/>
        <v>457.16914573220993</v>
      </c>
      <c r="K143" s="9">
        <f t="shared" si="17"/>
        <v>138.06765758423998</v>
      </c>
      <c r="L143" s="10">
        <f t="shared" si="14"/>
        <v>0.30200563374220818</v>
      </c>
      <c r="M143" s="10">
        <f t="shared" si="18"/>
        <v>0.31076601540678528</v>
      </c>
      <c r="P143" s="8">
        <f t="shared" si="19"/>
        <v>5.1503435024636826</v>
      </c>
      <c r="X143" s="8">
        <v>-13</v>
      </c>
    </row>
    <row r="144" spans="1:24" x14ac:dyDescent="0.2">
      <c r="A144" s="8">
        <v>71</v>
      </c>
      <c r="B144" s="8">
        <v>142</v>
      </c>
      <c r="D144">
        <v>627.73892215569003</v>
      </c>
      <c r="E144">
        <v>267.67185628742999</v>
      </c>
      <c r="F144">
        <v>172.30355029585999</v>
      </c>
      <c r="G144">
        <v>128.04970414201</v>
      </c>
      <c r="I144" s="9">
        <f t="shared" si="15"/>
        <v>139.62215214541999</v>
      </c>
      <c r="J144" s="9">
        <f t="shared" si="16"/>
        <v>455.43537185983007</v>
      </c>
      <c r="K144" s="9">
        <f t="shared" si="17"/>
        <v>139.62215214541999</v>
      </c>
      <c r="L144" s="10">
        <f t="shared" si="14"/>
        <v>0.30656852930692363</v>
      </c>
      <c r="M144" s="10">
        <f t="shared" si="18"/>
        <v>0.31539104133791618</v>
      </c>
      <c r="P144" s="8">
        <f t="shared" si="19"/>
        <v>6.715260646732597</v>
      </c>
    </row>
    <row r="145" spans="1:16" x14ac:dyDescent="0.2">
      <c r="A145" s="8">
        <v>71.5</v>
      </c>
      <c r="B145" s="8">
        <v>143</v>
      </c>
      <c r="D145">
        <v>627.44850299401003</v>
      </c>
      <c r="E145">
        <v>266.77305389221999</v>
      </c>
      <c r="F145">
        <v>172.43491124260001</v>
      </c>
      <c r="G145">
        <v>128.00236686391</v>
      </c>
      <c r="I145" s="9">
        <f t="shared" si="15"/>
        <v>138.77068702830999</v>
      </c>
      <c r="J145" s="9">
        <f t="shared" si="16"/>
        <v>455.01359175140999</v>
      </c>
      <c r="K145" s="9">
        <f t="shared" si="17"/>
        <v>138.77068702830999</v>
      </c>
      <c r="L145" s="10">
        <f t="shared" si="14"/>
        <v>0.30498141054240269</v>
      </c>
      <c r="M145" s="10">
        <f t="shared" si="18"/>
        <v>0.31386605293981068</v>
      </c>
      <c r="P145" s="8">
        <f t="shared" si="19"/>
        <v>6.1992677583591167</v>
      </c>
    </row>
    <row r="146" spans="1:16" x14ac:dyDescent="0.2">
      <c r="A146" s="8">
        <v>72</v>
      </c>
      <c r="B146" s="8">
        <v>144</v>
      </c>
      <c r="D146">
        <v>630.60778443113998</v>
      </c>
      <c r="E146">
        <v>267.19281437126</v>
      </c>
      <c r="F146">
        <v>172.07633136095001</v>
      </c>
      <c r="G146">
        <v>128.18461538462</v>
      </c>
      <c r="I146" s="9">
        <f t="shared" si="15"/>
        <v>139.00819898664</v>
      </c>
      <c r="J146" s="9">
        <f t="shared" si="16"/>
        <v>458.53145307018997</v>
      </c>
      <c r="K146" s="9">
        <f t="shared" si="17"/>
        <v>139.00819898664</v>
      </c>
      <c r="L146" s="10">
        <f t="shared" si="14"/>
        <v>0.30315957183718262</v>
      </c>
      <c r="M146" s="10">
        <f t="shared" si="18"/>
        <v>0.31210634460100606</v>
      </c>
      <c r="P146" s="8">
        <f t="shared" si="19"/>
        <v>5.603855367312268</v>
      </c>
    </row>
    <row r="147" spans="1:16" x14ac:dyDescent="0.2">
      <c r="A147" s="8">
        <v>72.5</v>
      </c>
      <c r="B147" s="8">
        <v>145</v>
      </c>
      <c r="D147">
        <v>631.48982035927997</v>
      </c>
      <c r="E147">
        <v>267.69041916167998</v>
      </c>
      <c r="F147">
        <v>171.84378698225001</v>
      </c>
      <c r="G147">
        <v>127.67218934911</v>
      </c>
      <c r="I147" s="9">
        <f t="shared" si="15"/>
        <v>140.01822981256998</v>
      </c>
      <c r="J147" s="9">
        <f t="shared" si="16"/>
        <v>459.64603337702999</v>
      </c>
      <c r="K147" s="9">
        <f t="shared" si="17"/>
        <v>140.01822981256998</v>
      </c>
      <c r="L147" s="10">
        <f t="shared" si="14"/>
        <v>0.30462186039951833</v>
      </c>
      <c r="M147" s="10">
        <f t="shared" si="18"/>
        <v>0.31363076352975722</v>
      </c>
      <c r="P147" s="8">
        <f t="shared" si="19"/>
        <v>6.1196555708513269</v>
      </c>
    </row>
    <row r="148" spans="1:16" x14ac:dyDescent="0.2">
      <c r="A148" s="8">
        <v>73</v>
      </c>
      <c r="B148" s="8">
        <v>146</v>
      </c>
      <c r="D148">
        <v>631.25089820359005</v>
      </c>
      <c r="E148">
        <v>268.15568862275001</v>
      </c>
      <c r="F148">
        <v>172.13076923077</v>
      </c>
      <c r="G148">
        <v>127.89467455621001</v>
      </c>
      <c r="I148" s="9">
        <f t="shared" si="15"/>
        <v>140.26101406653999</v>
      </c>
      <c r="J148" s="9">
        <f t="shared" si="16"/>
        <v>459.12012897282005</v>
      </c>
      <c r="K148" s="9">
        <f t="shared" si="17"/>
        <v>140.26101406653999</v>
      </c>
      <c r="L148" s="10">
        <f t="shared" si="14"/>
        <v>0.30549959632644086</v>
      </c>
      <c r="M148" s="10">
        <f t="shared" si="18"/>
        <v>0.31457062982309514</v>
      </c>
      <c r="P148" s="8">
        <f t="shared" si="19"/>
        <v>6.4376673826046389</v>
      </c>
    </row>
    <row r="149" spans="1:16" x14ac:dyDescent="0.2">
      <c r="A149" s="8">
        <v>73.5</v>
      </c>
      <c r="B149" s="8">
        <v>147</v>
      </c>
      <c r="D149">
        <v>629.10598802394998</v>
      </c>
      <c r="E149">
        <v>266.72994011975999</v>
      </c>
      <c r="F149">
        <v>171.80473372781</v>
      </c>
      <c r="G149">
        <v>127.9224852071</v>
      </c>
      <c r="I149" s="9">
        <f t="shared" si="15"/>
        <v>138.80745491265998</v>
      </c>
      <c r="J149" s="9">
        <f t="shared" si="16"/>
        <v>457.30125429613997</v>
      </c>
      <c r="K149" s="9">
        <f t="shared" si="17"/>
        <v>138.80745491265998</v>
      </c>
      <c r="L149" s="10">
        <f t="shared" si="14"/>
        <v>0.30353613424110748</v>
      </c>
      <c r="M149" s="10">
        <f t="shared" si="18"/>
        <v>0.31266929810417721</v>
      </c>
      <c r="P149" s="8">
        <f t="shared" si="19"/>
        <v>5.7943355076740675</v>
      </c>
    </row>
    <row r="150" spans="1:16" x14ac:dyDescent="0.2">
      <c r="A150" s="8">
        <v>74</v>
      </c>
      <c r="B150" s="8">
        <v>148</v>
      </c>
      <c r="D150">
        <v>630.26347305389004</v>
      </c>
      <c r="E150">
        <v>266.74431137725003</v>
      </c>
      <c r="F150">
        <v>171.90769230769001</v>
      </c>
      <c r="G150">
        <v>127.72840236686</v>
      </c>
      <c r="I150" s="9">
        <f t="shared" si="15"/>
        <v>139.01590901039003</v>
      </c>
      <c r="J150" s="9">
        <f t="shared" si="16"/>
        <v>458.35578074620003</v>
      </c>
      <c r="K150" s="9">
        <f t="shared" si="17"/>
        <v>139.01590901039003</v>
      </c>
      <c r="L150" s="10">
        <f t="shared" si="14"/>
        <v>0.30329258373064066</v>
      </c>
      <c r="M150" s="10">
        <f t="shared" si="18"/>
        <v>0.31248787796012584</v>
      </c>
      <c r="P150" s="8">
        <f t="shared" si="19"/>
        <v>5.7329504477913211</v>
      </c>
    </row>
    <row r="151" spans="1:16" x14ac:dyDescent="0.2">
      <c r="A151" s="8">
        <v>74.5</v>
      </c>
      <c r="B151" s="8">
        <v>149</v>
      </c>
      <c r="D151">
        <v>630.23592814371</v>
      </c>
      <c r="E151">
        <v>267.24131736526999</v>
      </c>
      <c r="F151">
        <v>171.89289940827999</v>
      </c>
      <c r="G151">
        <v>127.87810650887999</v>
      </c>
      <c r="I151" s="9">
        <f t="shared" si="15"/>
        <v>139.36321085639</v>
      </c>
      <c r="J151" s="9">
        <f t="shared" si="16"/>
        <v>458.34302873543004</v>
      </c>
      <c r="K151" s="9">
        <f t="shared" si="17"/>
        <v>139.36321085639</v>
      </c>
      <c r="L151" s="10">
        <f t="shared" si="14"/>
        <v>0.30405875538435384</v>
      </c>
      <c r="M151" s="10">
        <f t="shared" si="18"/>
        <v>0.31331617998025446</v>
      </c>
      <c r="P151" s="8">
        <f t="shared" si="19"/>
        <v>6.013213531984432</v>
      </c>
    </row>
    <row r="152" spans="1:16" x14ac:dyDescent="0.2">
      <c r="A152" s="8">
        <v>75</v>
      </c>
      <c r="B152" s="8">
        <v>150</v>
      </c>
      <c r="D152">
        <v>630.19281437126006</v>
      </c>
      <c r="E152">
        <v>267.10239520957998</v>
      </c>
      <c r="F152">
        <v>171.53964497041</v>
      </c>
      <c r="G152">
        <v>127.73727810651</v>
      </c>
      <c r="I152" s="9">
        <f t="shared" si="15"/>
        <v>139.36511710306996</v>
      </c>
      <c r="J152" s="9">
        <f t="shared" si="16"/>
        <v>458.65316940085006</v>
      </c>
      <c r="K152" s="9">
        <f t="shared" si="17"/>
        <v>139.36511710306996</v>
      </c>
      <c r="L152" s="10">
        <f t="shared" si="14"/>
        <v>0.30385730744022993</v>
      </c>
      <c r="M152" s="10">
        <f t="shared" si="18"/>
        <v>0.313176862402546</v>
      </c>
      <c r="P152" s="8">
        <f t="shared" si="19"/>
        <v>5.9660742360971364</v>
      </c>
    </row>
    <row r="153" spans="1:16" x14ac:dyDescent="0.2">
      <c r="A153" s="8">
        <v>75.5</v>
      </c>
      <c r="B153" s="8">
        <v>151</v>
      </c>
      <c r="D153">
        <v>630.38143712575004</v>
      </c>
      <c r="E153">
        <v>266.72514970060001</v>
      </c>
      <c r="F153">
        <v>171.97988165680999</v>
      </c>
      <c r="G153">
        <v>127.73431952663</v>
      </c>
      <c r="I153" s="9">
        <f t="shared" si="15"/>
        <v>138.99083017397001</v>
      </c>
      <c r="J153" s="9">
        <f t="shared" si="16"/>
        <v>458.40155546894005</v>
      </c>
      <c r="K153" s="9">
        <f t="shared" si="17"/>
        <v>138.99083017397001</v>
      </c>
      <c r="L153" s="10">
        <f t="shared" si="14"/>
        <v>0.30320758844673601</v>
      </c>
      <c r="M153" s="10">
        <f t="shared" si="18"/>
        <v>0.31258927377546752</v>
      </c>
      <c r="P153" s="8">
        <f t="shared" si="19"/>
        <v>5.7672585905235136</v>
      </c>
    </row>
    <row r="154" spans="1:16" x14ac:dyDescent="0.2">
      <c r="A154" s="8">
        <v>76</v>
      </c>
      <c r="B154" s="8">
        <v>152</v>
      </c>
      <c r="D154">
        <v>629.25269461078005</v>
      </c>
      <c r="E154">
        <v>266.39041916167997</v>
      </c>
      <c r="F154">
        <v>171.73431952663</v>
      </c>
      <c r="G154">
        <v>127.28520710059</v>
      </c>
      <c r="I154" s="9">
        <f t="shared" si="15"/>
        <v>139.10521206108996</v>
      </c>
      <c r="J154" s="9">
        <f t="shared" si="16"/>
        <v>457.51837508415008</v>
      </c>
      <c r="K154" s="9">
        <f t="shared" si="17"/>
        <v>139.10521206108996</v>
      </c>
      <c r="L154" s="10">
        <f t="shared" si="14"/>
        <v>0.30404289671536083</v>
      </c>
      <c r="M154" s="10">
        <f t="shared" si="18"/>
        <v>0.3134867124105078</v>
      </c>
      <c r="P154" s="8">
        <f t="shared" si="19"/>
        <v>6.0709146406335739</v>
      </c>
    </row>
    <row r="155" spans="1:16" x14ac:dyDescent="0.2">
      <c r="A155" s="8">
        <v>76.5</v>
      </c>
      <c r="B155" s="8">
        <v>153</v>
      </c>
      <c r="D155">
        <v>629.47245508981996</v>
      </c>
      <c r="E155">
        <v>266.71736526946</v>
      </c>
      <c r="F155">
        <v>171.6349112426</v>
      </c>
      <c r="G155">
        <v>127.76272189349</v>
      </c>
      <c r="I155" s="9">
        <f t="shared" si="15"/>
        <v>138.95464337597002</v>
      </c>
      <c r="J155" s="9">
        <f t="shared" si="16"/>
        <v>457.83754384721999</v>
      </c>
      <c r="K155" s="9">
        <f t="shared" si="17"/>
        <v>138.95464337597002</v>
      </c>
      <c r="L155" s="10">
        <f t="shared" si="14"/>
        <v>0.30350207239085458</v>
      </c>
      <c r="M155" s="10">
        <f t="shared" si="18"/>
        <v>0.31300801845241699</v>
      </c>
      <c r="P155" s="8">
        <f t="shared" si="19"/>
        <v>5.9089444391624939</v>
      </c>
    </row>
    <row r="156" spans="1:16" x14ac:dyDescent="0.2">
      <c r="A156" s="8">
        <v>77</v>
      </c>
      <c r="B156" s="8">
        <v>154</v>
      </c>
      <c r="D156">
        <v>629.48443113772998</v>
      </c>
      <c r="E156">
        <v>267.58263473054001</v>
      </c>
      <c r="F156">
        <v>172.72426035503</v>
      </c>
      <c r="G156">
        <v>127.75621301775</v>
      </c>
      <c r="I156" s="9">
        <f t="shared" si="15"/>
        <v>139.82642171279002</v>
      </c>
      <c r="J156" s="9">
        <f t="shared" si="16"/>
        <v>456.76017078270002</v>
      </c>
      <c r="K156" s="9">
        <f t="shared" si="17"/>
        <v>139.82642171279002</v>
      </c>
      <c r="L156" s="10">
        <f t="shared" si="14"/>
        <v>0.30612656412923384</v>
      </c>
      <c r="M156" s="10">
        <f t="shared" si="18"/>
        <v>0.31569464055721169</v>
      </c>
      <c r="P156" s="8">
        <f t="shared" si="19"/>
        <v>6.8179860433761661</v>
      </c>
    </row>
    <row r="157" spans="1:16" x14ac:dyDescent="0.2">
      <c r="A157" s="8">
        <v>77.5</v>
      </c>
      <c r="B157" s="8">
        <v>155</v>
      </c>
      <c r="D157">
        <v>628.93652694611001</v>
      </c>
      <c r="E157">
        <v>267.57305389222</v>
      </c>
      <c r="F157">
        <v>171.67041420117999</v>
      </c>
      <c r="G157">
        <v>127.68284023669</v>
      </c>
      <c r="I157" s="9">
        <f t="shared" si="15"/>
        <v>139.89021365553</v>
      </c>
      <c r="J157" s="9">
        <f t="shared" si="16"/>
        <v>457.26611274493001</v>
      </c>
      <c r="K157" s="9">
        <f t="shared" si="17"/>
        <v>139.89021365553</v>
      </c>
      <c r="L157" s="10">
        <f t="shared" si="14"/>
        <v>0.30592735773875923</v>
      </c>
      <c r="M157" s="10">
        <f t="shared" si="18"/>
        <v>0.31555756453315248</v>
      </c>
      <c r="P157" s="8">
        <f t="shared" si="19"/>
        <v>6.7716051963684532</v>
      </c>
    </row>
    <row r="158" spans="1:16" x14ac:dyDescent="0.2">
      <c r="A158" s="8">
        <v>78</v>
      </c>
      <c r="B158" s="8">
        <v>156</v>
      </c>
      <c r="D158">
        <v>627.38982035927995</v>
      </c>
      <c r="E158">
        <v>268.13473053892</v>
      </c>
      <c r="F158">
        <v>172.15680473373001</v>
      </c>
      <c r="G158">
        <v>127.56627218935</v>
      </c>
      <c r="I158" s="9">
        <f t="shared" si="15"/>
        <v>140.56845834956999</v>
      </c>
      <c r="J158" s="9">
        <f t="shared" si="16"/>
        <v>455.23301562554991</v>
      </c>
      <c r="K158" s="9">
        <f t="shared" si="17"/>
        <v>140.56845834956999</v>
      </c>
      <c r="L158" s="10">
        <f t="shared" si="14"/>
        <v>0.30878353178406992</v>
      </c>
      <c r="M158" s="10">
        <f t="shared" si="18"/>
        <v>0.31847586894487862</v>
      </c>
      <c r="P158" s="8">
        <f t="shared" si="19"/>
        <v>7.7590384938481831</v>
      </c>
    </row>
    <row r="159" spans="1:16" x14ac:dyDescent="0.2">
      <c r="A159" s="8">
        <v>78.5</v>
      </c>
      <c r="B159" s="8">
        <v>157</v>
      </c>
      <c r="D159">
        <v>630.30538922155995</v>
      </c>
      <c r="E159">
        <v>266.9005988024</v>
      </c>
      <c r="F159">
        <v>171.42899408284001</v>
      </c>
      <c r="G159">
        <v>127.80118343194999</v>
      </c>
      <c r="I159" s="9">
        <f t="shared" si="15"/>
        <v>139.09941537045</v>
      </c>
      <c r="J159" s="9">
        <f t="shared" si="16"/>
        <v>458.87639513871994</v>
      </c>
      <c r="K159" s="9">
        <f t="shared" si="17"/>
        <v>139.09941537045</v>
      </c>
      <c r="L159" s="10">
        <f t="shared" si="14"/>
        <v>0.30313046572901131</v>
      </c>
      <c r="M159" s="10">
        <f t="shared" si="18"/>
        <v>0.31288493325623545</v>
      </c>
      <c r="P159" s="8">
        <f t="shared" si="19"/>
        <v>5.8672975086201831</v>
      </c>
    </row>
    <row r="160" spans="1:16" x14ac:dyDescent="0.2">
      <c r="A160" s="8">
        <v>79</v>
      </c>
      <c r="B160" s="8">
        <v>158</v>
      </c>
      <c r="D160">
        <v>629.64790419162</v>
      </c>
      <c r="E160">
        <v>267.57844311376999</v>
      </c>
      <c r="F160">
        <v>171.69763313609999</v>
      </c>
      <c r="G160">
        <v>127.87159763314</v>
      </c>
      <c r="I160" s="9">
        <f t="shared" si="15"/>
        <v>139.70684548062999</v>
      </c>
      <c r="J160" s="9">
        <f t="shared" si="16"/>
        <v>457.95027105552003</v>
      </c>
      <c r="K160" s="9">
        <f t="shared" si="17"/>
        <v>139.70684548062999</v>
      </c>
      <c r="L160" s="10">
        <f t="shared" si="14"/>
        <v>0.30506990455234934</v>
      </c>
      <c r="M160" s="10">
        <f t="shared" si="18"/>
        <v>0.31488650244598893</v>
      </c>
      <c r="P160" s="8">
        <f t="shared" si="19"/>
        <v>6.5445455904962886</v>
      </c>
    </row>
    <row r="161" spans="1:16" x14ac:dyDescent="0.2">
      <c r="A161" s="8">
        <v>79.5</v>
      </c>
      <c r="B161" s="8">
        <v>159</v>
      </c>
      <c r="D161">
        <v>629.03952095807995</v>
      </c>
      <c r="E161">
        <v>267.62574850299001</v>
      </c>
      <c r="F161">
        <v>171.57159763313999</v>
      </c>
      <c r="G161">
        <v>127.75088757396</v>
      </c>
      <c r="I161" s="9">
        <f t="shared" si="15"/>
        <v>139.87486092903001</v>
      </c>
      <c r="J161" s="9">
        <f t="shared" si="16"/>
        <v>457.46792332493999</v>
      </c>
      <c r="K161" s="9">
        <f t="shared" si="17"/>
        <v>139.87486092903001</v>
      </c>
      <c r="L161" s="10">
        <f t="shared" si="14"/>
        <v>0.30575883859222353</v>
      </c>
      <c r="M161" s="10">
        <f t="shared" si="18"/>
        <v>0.31563756685227856</v>
      </c>
      <c r="P161" s="8">
        <f t="shared" si="19"/>
        <v>6.7986746663878508</v>
      </c>
    </row>
    <row r="162" spans="1:16" x14ac:dyDescent="0.2">
      <c r="A162" s="8">
        <v>80</v>
      </c>
      <c r="B162" s="4">
        <v>160</v>
      </c>
      <c r="C162" s="4" t="s">
        <v>6</v>
      </c>
      <c r="D162">
        <v>628.98263473053998</v>
      </c>
      <c r="E162">
        <v>265.81736526946003</v>
      </c>
      <c r="F162">
        <v>171.52485207101</v>
      </c>
      <c r="G162">
        <v>127.26390532544001</v>
      </c>
      <c r="H162" s="4"/>
      <c r="I162" s="5">
        <f t="shared" si="15"/>
        <v>138.55345994402001</v>
      </c>
      <c r="J162" s="5">
        <f t="shared" si="16"/>
        <v>457.45778265952998</v>
      </c>
      <c r="K162" s="9">
        <f t="shared" si="17"/>
        <v>138.55345994402001</v>
      </c>
      <c r="L162" s="6">
        <f t="shared" si="14"/>
        <v>0.30287704176439939</v>
      </c>
      <c r="M162" s="6">
        <f t="shared" si="18"/>
        <v>0.31281790039086987</v>
      </c>
      <c r="N162" s="4"/>
      <c r="O162" s="4"/>
      <c r="P162" s="4">
        <f t="shared" si="19"/>
        <v>5.8446163643840015</v>
      </c>
    </row>
    <row r="163" spans="1:16" x14ac:dyDescent="0.2">
      <c r="A163" s="8">
        <v>80.5</v>
      </c>
      <c r="B163" s="8">
        <v>161</v>
      </c>
      <c r="D163">
        <v>627.69101796407006</v>
      </c>
      <c r="E163">
        <v>267.68023952096001</v>
      </c>
      <c r="F163">
        <v>171.39230769231</v>
      </c>
      <c r="G163">
        <v>127.56568047336999</v>
      </c>
      <c r="I163" s="9">
        <f t="shared" si="15"/>
        <v>140.11455904759003</v>
      </c>
      <c r="J163" s="9">
        <f t="shared" si="16"/>
        <v>456.29871027176006</v>
      </c>
      <c r="K163" s="9">
        <f t="shared" si="17"/>
        <v>140.11455904759003</v>
      </c>
      <c r="L163" s="10">
        <f t="shared" si="14"/>
        <v>0.30706762016517936</v>
      </c>
      <c r="M163" s="10">
        <f t="shared" si="18"/>
        <v>0.31707060915806529</v>
      </c>
      <c r="P163" s="8">
        <f t="shared" si="19"/>
        <v>7.2835568067653744</v>
      </c>
    </row>
    <row r="164" spans="1:16" x14ac:dyDescent="0.2">
      <c r="A164" s="8">
        <v>81</v>
      </c>
      <c r="B164" s="8">
        <v>162</v>
      </c>
      <c r="D164">
        <v>627.25568862275998</v>
      </c>
      <c r="E164">
        <v>266.00359281436999</v>
      </c>
      <c r="F164">
        <v>170.95502958579999</v>
      </c>
      <c r="G164">
        <v>127.74556213018001</v>
      </c>
      <c r="I164" s="9">
        <f t="shared" si="15"/>
        <v>138.25803068418998</v>
      </c>
      <c r="J164" s="9">
        <f t="shared" si="16"/>
        <v>456.30065903695998</v>
      </c>
      <c r="K164" s="9">
        <f t="shared" si="17"/>
        <v>138.25803068418998</v>
      </c>
      <c r="L164" s="10">
        <f t="shared" si="14"/>
        <v>0.30299765723763988</v>
      </c>
      <c r="M164" s="10">
        <f t="shared" si="18"/>
        <v>0.31306277659694126</v>
      </c>
      <c r="P164" s="8">
        <f t="shared" si="19"/>
        <v>5.927472326450129</v>
      </c>
    </row>
    <row r="165" spans="1:16" x14ac:dyDescent="0.2">
      <c r="A165" s="8">
        <v>81.5</v>
      </c>
      <c r="B165" s="8">
        <v>163</v>
      </c>
      <c r="D165">
        <v>629.49580838323004</v>
      </c>
      <c r="E165">
        <v>266.07724550898001</v>
      </c>
      <c r="F165">
        <v>171.81597633135999</v>
      </c>
      <c r="G165">
        <v>127.36390532544</v>
      </c>
      <c r="I165" s="9">
        <f t="shared" si="15"/>
        <v>138.71334018354003</v>
      </c>
      <c r="J165" s="9">
        <f t="shared" si="16"/>
        <v>457.67983205187005</v>
      </c>
      <c r="K165" s="9">
        <f t="shared" si="17"/>
        <v>138.71334018354003</v>
      </c>
      <c r="L165" s="10">
        <f t="shared" si="14"/>
        <v>0.30307942467480037</v>
      </c>
      <c r="M165" s="10">
        <f t="shared" si="18"/>
        <v>0.31320667440051714</v>
      </c>
      <c r="P165" s="8">
        <f t="shared" si="19"/>
        <v>5.9761613809963521</v>
      </c>
    </row>
    <row r="166" spans="1:16" x14ac:dyDescent="0.2">
      <c r="A166" s="8">
        <v>82</v>
      </c>
      <c r="B166" s="8">
        <v>164</v>
      </c>
      <c r="D166">
        <v>619.61424332343995</v>
      </c>
      <c r="E166">
        <v>264.02908011868999</v>
      </c>
      <c r="F166">
        <v>171.10059171597999</v>
      </c>
      <c r="G166">
        <v>127.5349112426</v>
      </c>
      <c r="I166" s="9">
        <f t="shared" si="15"/>
        <v>136.49416887608999</v>
      </c>
      <c r="J166" s="9">
        <f t="shared" si="16"/>
        <v>448.51365160745996</v>
      </c>
      <c r="K166" s="9">
        <f t="shared" si="17"/>
        <v>136.49416887608999</v>
      </c>
      <c r="L166" s="10">
        <f t="shared" si="14"/>
        <v>0.30432556152281837</v>
      </c>
      <c r="M166" s="10">
        <f t="shared" si="18"/>
        <v>0.31451494161495058</v>
      </c>
      <c r="P166" s="8">
        <f t="shared" si="19"/>
        <v>6.4188248003236525</v>
      </c>
    </row>
    <row r="167" spans="1:16" x14ac:dyDescent="0.2">
      <c r="A167" s="8">
        <v>82.5</v>
      </c>
      <c r="B167" s="8">
        <v>165</v>
      </c>
      <c r="D167">
        <v>620.98872403560995</v>
      </c>
      <c r="E167">
        <v>263.65816023739001</v>
      </c>
      <c r="F167">
        <v>171.61242603549999</v>
      </c>
      <c r="G167">
        <v>127.88698224852</v>
      </c>
      <c r="I167" s="9">
        <f t="shared" si="15"/>
        <v>135.77117798887002</v>
      </c>
      <c r="J167" s="9">
        <f t="shared" si="16"/>
        <v>449.37629800010995</v>
      </c>
      <c r="K167" s="9">
        <f t="shared" si="17"/>
        <v>135.77117798887002</v>
      </c>
      <c r="L167" s="10">
        <f t="shared" si="14"/>
        <v>0.30213248583225633</v>
      </c>
      <c r="M167" s="10">
        <f t="shared" si="18"/>
        <v>0.31238399629080399</v>
      </c>
      <c r="P167" s="8">
        <f t="shared" si="19"/>
        <v>5.6978011950697729</v>
      </c>
    </row>
    <row r="168" spans="1:16" x14ac:dyDescent="0.2">
      <c r="A168" s="8">
        <v>83</v>
      </c>
      <c r="B168" s="8">
        <v>166</v>
      </c>
      <c r="D168">
        <v>623.17922848665</v>
      </c>
      <c r="E168">
        <v>264.16201780415003</v>
      </c>
      <c r="F168">
        <v>172.28224852071</v>
      </c>
      <c r="G168">
        <v>127.29230769231</v>
      </c>
      <c r="I168" s="9">
        <f t="shared" si="15"/>
        <v>136.86971011184002</v>
      </c>
      <c r="J168" s="9">
        <f t="shared" si="16"/>
        <v>450.89697996593998</v>
      </c>
      <c r="K168" s="9">
        <f t="shared" si="17"/>
        <v>136.86971011184002</v>
      </c>
      <c r="L168" s="10">
        <f t="shared" si="14"/>
        <v>0.30354984884169978</v>
      </c>
      <c r="M168" s="10">
        <f t="shared" si="18"/>
        <v>0.31386348966666289</v>
      </c>
      <c r="P168" s="8">
        <f t="shared" si="19"/>
        <v>6.1984004529311774</v>
      </c>
    </row>
    <row r="169" spans="1:16" x14ac:dyDescent="0.2">
      <c r="A169" s="8">
        <v>83.5</v>
      </c>
      <c r="B169" s="8">
        <v>167</v>
      </c>
      <c r="D169">
        <v>620.79643916913994</v>
      </c>
      <c r="E169">
        <v>264.43560830860997</v>
      </c>
      <c r="F169">
        <v>172.12426035503</v>
      </c>
      <c r="G169">
        <v>127.88579881657</v>
      </c>
      <c r="I169" s="9">
        <f t="shared" si="15"/>
        <v>136.54980949203997</v>
      </c>
      <c r="J169" s="9">
        <f t="shared" si="16"/>
        <v>448.67217881410994</v>
      </c>
      <c r="K169" s="9">
        <f t="shared" si="17"/>
        <v>136.54980949203997</v>
      </c>
      <c r="L169" s="10">
        <f t="shared" si="14"/>
        <v>0.30434204735617032</v>
      </c>
      <c r="M169" s="10">
        <f t="shared" si="18"/>
        <v>0.31471781854754888</v>
      </c>
      <c r="P169" s="8">
        <f t="shared" si="19"/>
        <v>6.487469948421694</v>
      </c>
    </row>
    <row r="170" spans="1:16" x14ac:dyDescent="0.2">
      <c r="A170" s="8">
        <v>84</v>
      </c>
      <c r="B170" s="8">
        <v>168</v>
      </c>
      <c r="D170">
        <v>621.21839762611</v>
      </c>
      <c r="E170">
        <v>263.56023738872</v>
      </c>
      <c r="F170">
        <v>171.25207100591999</v>
      </c>
      <c r="G170">
        <v>127.81834319527</v>
      </c>
      <c r="I170" s="9">
        <f t="shared" si="15"/>
        <v>135.74189419344998</v>
      </c>
      <c r="J170" s="9">
        <f t="shared" si="16"/>
        <v>449.96632662018999</v>
      </c>
      <c r="K170" s="9">
        <f t="shared" si="17"/>
        <v>135.74189419344998</v>
      </c>
      <c r="L170" s="10">
        <f t="shared" si="14"/>
        <v>0.301671227740621</v>
      </c>
      <c r="M170" s="10">
        <f t="shared" si="18"/>
        <v>0.312109129298415</v>
      </c>
      <c r="P170" s="8">
        <f t="shared" si="19"/>
        <v>5.6047975935358059</v>
      </c>
    </row>
    <row r="171" spans="1:16" x14ac:dyDescent="0.2">
      <c r="A171" s="8">
        <v>84.5</v>
      </c>
      <c r="B171" s="8">
        <v>169</v>
      </c>
      <c r="D171">
        <v>620.57863501483996</v>
      </c>
      <c r="E171">
        <v>264.19881305638</v>
      </c>
      <c r="F171">
        <v>172.19171597632999</v>
      </c>
      <c r="G171">
        <v>127.87633136095</v>
      </c>
      <c r="I171" s="9">
        <f t="shared" si="15"/>
        <v>136.32248169542999</v>
      </c>
      <c r="J171" s="9">
        <f t="shared" si="16"/>
        <v>448.38691903850997</v>
      </c>
      <c r="K171" s="9">
        <f t="shared" si="17"/>
        <v>136.32248169542999</v>
      </c>
      <c r="L171" s="10">
        <f t="shared" si="14"/>
        <v>0.30402867681276369</v>
      </c>
      <c r="M171" s="10">
        <f t="shared" si="18"/>
        <v>0.31452870873697314</v>
      </c>
      <c r="P171" s="8">
        <f t="shared" si="19"/>
        <v>6.4234830239965905</v>
      </c>
    </row>
    <row r="172" spans="1:16" x14ac:dyDescent="0.2">
      <c r="A172" s="8">
        <v>85</v>
      </c>
      <c r="B172" s="8">
        <v>170</v>
      </c>
      <c r="D172">
        <v>620.10445103858001</v>
      </c>
      <c r="E172">
        <v>264.23857566765997</v>
      </c>
      <c r="F172">
        <v>172.13846153846001</v>
      </c>
      <c r="G172">
        <v>127.5899408284</v>
      </c>
      <c r="I172" s="9">
        <f t="shared" si="15"/>
        <v>136.64863483925996</v>
      </c>
      <c r="J172" s="9">
        <f t="shared" si="16"/>
        <v>447.96598950012003</v>
      </c>
      <c r="K172" s="9">
        <f t="shared" si="17"/>
        <v>136.64863483925996</v>
      </c>
      <c r="L172" s="10">
        <f t="shared" si="14"/>
        <v>0.30504243188583258</v>
      </c>
      <c r="M172" s="10">
        <f t="shared" si="18"/>
        <v>0.31560459417645748</v>
      </c>
      <c r="P172" s="8">
        <f t="shared" si="19"/>
        <v>6.7875180790620311</v>
      </c>
    </row>
    <row r="173" spans="1:16" x14ac:dyDescent="0.2">
      <c r="A173" s="8">
        <v>85.5</v>
      </c>
      <c r="B173" s="8">
        <v>171</v>
      </c>
      <c r="D173">
        <v>621.69080118694001</v>
      </c>
      <c r="E173">
        <v>264.65222551929003</v>
      </c>
      <c r="F173">
        <v>171.66568047337</v>
      </c>
      <c r="G173">
        <v>127.55325443787</v>
      </c>
      <c r="I173" s="9">
        <f t="shared" si="15"/>
        <v>137.09897108142002</v>
      </c>
      <c r="J173" s="9">
        <f t="shared" si="16"/>
        <v>450.02512071357</v>
      </c>
      <c r="K173" s="9">
        <f t="shared" si="17"/>
        <v>137.09897108142002</v>
      </c>
      <c r="L173" s="10">
        <f t="shared" si="14"/>
        <v>0.30464737360446187</v>
      </c>
      <c r="M173" s="10">
        <f t="shared" si="18"/>
        <v>0.31527166626150216</v>
      </c>
      <c r="P173" s="8">
        <f t="shared" si="19"/>
        <v>6.6748690669965178</v>
      </c>
    </row>
    <row r="174" spans="1:16" x14ac:dyDescent="0.2">
      <c r="A174" s="8">
        <v>86</v>
      </c>
      <c r="B174" s="8">
        <v>172</v>
      </c>
      <c r="D174">
        <v>621.49080118693996</v>
      </c>
      <c r="E174">
        <v>264.74302670623001</v>
      </c>
      <c r="F174">
        <v>171.90295857987999</v>
      </c>
      <c r="G174">
        <v>127.67810650888001</v>
      </c>
      <c r="I174" s="9">
        <f t="shared" si="15"/>
        <v>137.06492019735001</v>
      </c>
      <c r="J174" s="9">
        <f t="shared" si="16"/>
        <v>449.58784260706</v>
      </c>
      <c r="K174" s="9">
        <f t="shared" si="17"/>
        <v>137.06492019735001</v>
      </c>
      <c r="L174" s="10">
        <f t="shared" si="14"/>
        <v>0.3048679417186661</v>
      </c>
      <c r="M174" s="10">
        <f t="shared" si="18"/>
        <v>0.31555436474212184</v>
      </c>
      <c r="P174" s="8">
        <f t="shared" si="19"/>
        <v>6.7705225196620988</v>
      </c>
    </row>
    <row r="175" spans="1:16" x14ac:dyDescent="0.2">
      <c r="A175" s="8">
        <v>86.5</v>
      </c>
      <c r="B175" s="8">
        <v>173</v>
      </c>
      <c r="D175">
        <v>620.65044510385997</v>
      </c>
      <c r="E175">
        <v>264.78575667656003</v>
      </c>
      <c r="F175">
        <v>172.08520710059</v>
      </c>
      <c r="G175">
        <v>127.73491124260001</v>
      </c>
      <c r="I175" s="9">
        <f t="shared" si="15"/>
        <v>137.05084543396003</v>
      </c>
      <c r="J175" s="9">
        <f t="shared" si="16"/>
        <v>448.56523800327</v>
      </c>
      <c r="K175" s="9">
        <f t="shared" si="17"/>
        <v>137.05084543396003</v>
      </c>
      <c r="L175" s="10">
        <f t="shared" si="14"/>
        <v>0.30553157896056349</v>
      </c>
      <c r="M175" s="10">
        <f t="shared" si="18"/>
        <v>0.31628013235043467</v>
      </c>
      <c r="P175" s="8">
        <f t="shared" si="19"/>
        <v>7.0160922072521714</v>
      </c>
    </row>
    <row r="176" spans="1:16" x14ac:dyDescent="0.2">
      <c r="A176" s="8">
        <v>87</v>
      </c>
      <c r="B176" s="8">
        <v>174</v>
      </c>
      <c r="D176">
        <v>621.11632047477997</v>
      </c>
      <c r="E176">
        <v>263.72700296736002</v>
      </c>
      <c r="F176">
        <v>171.67218934911</v>
      </c>
      <c r="G176">
        <v>127.9100591716</v>
      </c>
      <c r="I176" s="9">
        <f t="shared" si="15"/>
        <v>135.81694379576004</v>
      </c>
      <c r="J176" s="9">
        <f t="shared" si="16"/>
        <v>449.44413112566997</v>
      </c>
      <c r="K176" s="9">
        <f t="shared" si="17"/>
        <v>135.81694379576004</v>
      </c>
      <c r="L176" s="10">
        <f t="shared" si="14"/>
        <v>0.30218871354620935</v>
      </c>
      <c r="M176" s="10">
        <f t="shared" si="18"/>
        <v>0.31299939730249599</v>
      </c>
      <c r="P176" s="8">
        <f t="shared" si="19"/>
        <v>5.9060273992332935</v>
      </c>
    </row>
    <row r="177" spans="1:16" x14ac:dyDescent="0.2">
      <c r="A177" s="8">
        <v>87.5</v>
      </c>
      <c r="B177" s="8">
        <v>175</v>
      </c>
      <c r="D177">
        <v>619.49792284866999</v>
      </c>
      <c r="E177">
        <v>263.76735905045001</v>
      </c>
      <c r="F177">
        <v>172.00295857987999</v>
      </c>
      <c r="G177">
        <v>127.95384615384999</v>
      </c>
      <c r="I177" s="9">
        <f t="shared" si="15"/>
        <v>135.8135128966</v>
      </c>
      <c r="J177" s="9">
        <f t="shared" si="16"/>
        <v>447.49496426879</v>
      </c>
      <c r="K177" s="9">
        <f t="shared" si="17"/>
        <v>135.8135128966</v>
      </c>
      <c r="L177" s="10">
        <f t="shared" si="14"/>
        <v>0.30349729883222321</v>
      </c>
      <c r="M177" s="10">
        <f t="shared" si="18"/>
        <v>0.31437011295492528</v>
      </c>
      <c r="P177" s="8">
        <f t="shared" si="19"/>
        <v>6.369820782523548</v>
      </c>
    </row>
    <row r="178" spans="1:16" x14ac:dyDescent="0.2">
      <c r="A178" s="8">
        <v>88</v>
      </c>
      <c r="B178" s="8">
        <v>176</v>
      </c>
      <c r="D178">
        <v>618.59169139465996</v>
      </c>
      <c r="E178">
        <v>263.84154302670999</v>
      </c>
      <c r="F178">
        <v>171.63846153846001</v>
      </c>
      <c r="G178">
        <v>127.74378698225</v>
      </c>
      <c r="I178" s="9">
        <f t="shared" si="15"/>
        <v>136.09775604445997</v>
      </c>
      <c r="J178" s="9">
        <f t="shared" si="16"/>
        <v>446.95322985619998</v>
      </c>
      <c r="K178" s="9">
        <f t="shared" si="17"/>
        <v>136.09775604445997</v>
      </c>
      <c r="L178" s="10">
        <f t="shared" si="14"/>
        <v>0.30450111321098905</v>
      </c>
      <c r="M178" s="10">
        <f t="shared" si="18"/>
        <v>0.31543605770010658</v>
      </c>
      <c r="P178" s="8">
        <f t="shared" si="19"/>
        <v>6.7304923185141972</v>
      </c>
    </row>
    <row r="179" spans="1:16" x14ac:dyDescent="0.2">
      <c r="A179" s="8">
        <v>88.5</v>
      </c>
      <c r="B179" s="8">
        <v>177</v>
      </c>
      <c r="D179">
        <v>621.11038575667999</v>
      </c>
      <c r="E179">
        <v>264.64569732938003</v>
      </c>
      <c r="F179">
        <v>171.72130177515001</v>
      </c>
      <c r="G179">
        <v>127.92899408284001</v>
      </c>
      <c r="I179" s="9">
        <f t="shared" si="15"/>
        <v>136.71670324654002</v>
      </c>
      <c r="J179" s="9">
        <f t="shared" si="16"/>
        <v>449.38908398153001</v>
      </c>
      <c r="K179" s="9">
        <f t="shared" si="17"/>
        <v>136.71670324654002</v>
      </c>
      <c r="L179" s="10">
        <f t="shared" si="14"/>
        <v>0.30422791322665754</v>
      </c>
      <c r="M179" s="10">
        <f t="shared" si="18"/>
        <v>0.31522498808219052</v>
      </c>
      <c r="P179" s="8">
        <f t="shared" si="19"/>
        <v>6.6590751051559218</v>
      </c>
    </row>
    <row r="180" spans="1:16" x14ac:dyDescent="0.2">
      <c r="A180" s="8">
        <v>89</v>
      </c>
      <c r="B180" s="8">
        <v>178</v>
      </c>
      <c r="D180">
        <v>620.71691394659001</v>
      </c>
      <c r="E180">
        <v>264.53887240355999</v>
      </c>
      <c r="F180">
        <v>171.46568047337001</v>
      </c>
      <c r="G180">
        <v>127.69763313609999</v>
      </c>
      <c r="I180" s="9">
        <f t="shared" si="15"/>
        <v>136.84123926746</v>
      </c>
      <c r="J180" s="9">
        <f t="shared" si="16"/>
        <v>449.25123347322</v>
      </c>
      <c r="K180" s="9">
        <f t="shared" si="17"/>
        <v>136.84123926746</v>
      </c>
      <c r="L180" s="10">
        <f t="shared" si="14"/>
        <v>0.30459847201647616</v>
      </c>
      <c r="M180" s="10">
        <f t="shared" si="18"/>
        <v>0.31565767723842458</v>
      </c>
      <c r="P180" s="8">
        <f t="shared" si="19"/>
        <v>6.8054791878167888</v>
      </c>
    </row>
    <row r="181" spans="1:16" x14ac:dyDescent="0.2">
      <c r="A181" s="8">
        <v>89.5</v>
      </c>
      <c r="B181" s="8">
        <v>179</v>
      </c>
      <c r="D181">
        <v>619.49020771513005</v>
      </c>
      <c r="E181">
        <v>264.35727002967002</v>
      </c>
      <c r="F181">
        <v>171.93431952662999</v>
      </c>
      <c r="G181">
        <v>127.72248520709999</v>
      </c>
      <c r="I181" s="9">
        <f t="shared" si="15"/>
        <v>136.63478482257003</v>
      </c>
      <c r="J181" s="9">
        <f t="shared" si="16"/>
        <v>447.55588818850003</v>
      </c>
      <c r="K181" s="9">
        <f t="shared" si="17"/>
        <v>136.63478482257003</v>
      </c>
      <c r="L181" s="10">
        <f t="shared" si="14"/>
        <v>0.30529100036110496</v>
      </c>
      <c r="M181" s="10">
        <f t="shared" si="18"/>
        <v>0.31641233594946883</v>
      </c>
      <c r="P181" s="8">
        <f t="shared" si="19"/>
        <v>7.060824427512828</v>
      </c>
    </row>
    <row r="182" spans="1:16" x14ac:dyDescent="0.2">
      <c r="A182" s="8">
        <v>90</v>
      </c>
      <c r="B182" s="8">
        <v>180</v>
      </c>
      <c r="D182">
        <v>619.20474777447998</v>
      </c>
      <c r="E182">
        <v>264.57685459941001</v>
      </c>
      <c r="F182">
        <v>171.90650887574</v>
      </c>
      <c r="G182">
        <v>127.62011834320001</v>
      </c>
      <c r="I182" s="9">
        <f t="shared" si="15"/>
        <v>136.95673625621001</v>
      </c>
      <c r="J182" s="9">
        <f t="shared" si="16"/>
        <v>447.29823889874001</v>
      </c>
      <c r="K182" s="9">
        <f t="shared" si="17"/>
        <v>136.95673625621001</v>
      </c>
      <c r="L182" s="10">
        <f t="shared" si="14"/>
        <v>0.30618662079555931</v>
      </c>
      <c r="M182" s="10">
        <f>L182+ABS($N$2)*A182</f>
        <v>0.31737008675033856</v>
      </c>
      <c r="P182" s="8">
        <f t="shared" si="19"/>
        <v>7.3848876155978846</v>
      </c>
    </row>
    <row r="183" spans="1:16" x14ac:dyDescent="0.2">
      <c r="A183" s="8">
        <v>90.5</v>
      </c>
      <c r="B183" s="8">
        <v>181</v>
      </c>
      <c r="D183">
        <v>619.10741839763</v>
      </c>
      <c r="E183">
        <v>263.19465875370997</v>
      </c>
      <c r="F183">
        <v>171.46272189349</v>
      </c>
      <c r="G183">
        <v>128.27928994083001</v>
      </c>
      <c r="I183" s="9">
        <f t="shared" si="15"/>
        <v>134.91536881287996</v>
      </c>
      <c r="J183" s="9">
        <f t="shared" si="16"/>
        <v>447.64469650414003</v>
      </c>
      <c r="K183" s="9">
        <f t="shared" si="17"/>
        <v>134.91536881287996</v>
      </c>
      <c r="L183" s="10">
        <f t="shared" si="14"/>
        <v>0.30138940518338564</v>
      </c>
      <c r="M183" s="10">
        <f t="shared" ref="M183:M241" si="20">L183+ABS($N$2)*A183</f>
        <v>0.31263500150458035</v>
      </c>
      <c r="P183" s="8">
        <f t="shared" si="19"/>
        <v>5.7827309593972682</v>
      </c>
    </row>
    <row r="184" spans="1:16" x14ac:dyDescent="0.2">
      <c r="A184" s="8">
        <v>91</v>
      </c>
      <c r="B184" s="8">
        <v>182</v>
      </c>
      <c r="D184">
        <v>618.98694362018</v>
      </c>
      <c r="E184">
        <v>263.43857566766002</v>
      </c>
      <c r="F184">
        <v>171.20355029586</v>
      </c>
      <c r="G184">
        <v>127.83254437870001</v>
      </c>
      <c r="I184" s="9">
        <f t="shared" si="15"/>
        <v>135.60603128896003</v>
      </c>
      <c r="J184" s="9">
        <f t="shared" si="16"/>
        <v>447.78339332432</v>
      </c>
      <c r="K184" s="9">
        <f t="shared" si="17"/>
        <v>135.60603128896003</v>
      </c>
      <c r="L184" s="10">
        <f t="shared" si="14"/>
        <v>0.3028384556252256</v>
      </c>
      <c r="M184" s="10">
        <f t="shared" si="20"/>
        <v>0.31414618231283575</v>
      </c>
      <c r="P184" s="8">
        <f t="shared" si="19"/>
        <v>6.2940519314616967</v>
      </c>
    </row>
    <row r="185" spans="1:16" x14ac:dyDescent="0.2">
      <c r="A185" s="8">
        <v>91.5</v>
      </c>
      <c r="B185" s="8">
        <v>183</v>
      </c>
      <c r="D185">
        <v>618.88189910978997</v>
      </c>
      <c r="E185">
        <v>265.05163204747998</v>
      </c>
      <c r="F185">
        <v>172.38579881657</v>
      </c>
      <c r="G185">
        <v>127.48698224851999</v>
      </c>
      <c r="I185" s="9">
        <f t="shared" si="15"/>
        <v>137.56464979895998</v>
      </c>
      <c r="J185" s="9">
        <f t="shared" si="16"/>
        <v>446.49610029321997</v>
      </c>
      <c r="K185" s="9">
        <f t="shared" si="17"/>
        <v>137.56464979895998</v>
      </c>
      <c r="L185" s="10">
        <f t="shared" si="14"/>
        <v>0.30809821117949165</v>
      </c>
      <c r="M185" s="10">
        <f t="shared" si="20"/>
        <v>0.31946806823351726</v>
      </c>
      <c r="P185" s="8">
        <f t="shared" si="19"/>
        <v>8.0947576228742051</v>
      </c>
    </row>
    <row r="186" spans="1:16" x14ac:dyDescent="0.2">
      <c r="A186" s="8">
        <v>92</v>
      </c>
      <c r="B186" s="8">
        <v>184</v>
      </c>
      <c r="D186">
        <v>618.04688427300005</v>
      </c>
      <c r="E186">
        <v>264.51810089021001</v>
      </c>
      <c r="F186">
        <v>171.92781065089</v>
      </c>
      <c r="G186">
        <v>127.66094674556</v>
      </c>
      <c r="I186" s="9">
        <f t="shared" si="15"/>
        <v>136.85715414465</v>
      </c>
      <c r="J186" s="9">
        <f t="shared" si="16"/>
        <v>446.11907362211002</v>
      </c>
      <c r="K186" s="9">
        <f t="shared" si="17"/>
        <v>136.85715414465</v>
      </c>
      <c r="L186" s="10">
        <f t="shared" si="14"/>
        <v>0.30677270315632443</v>
      </c>
      <c r="M186" s="10">
        <f t="shared" si="20"/>
        <v>0.31820469057676548</v>
      </c>
      <c r="P186" s="8">
        <f t="shared" si="19"/>
        <v>7.6672829699367009</v>
      </c>
    </row>
    <row r="187" spans="1:16" x14ac:dyDescent="0.2">
      <c r="A187" s="8">
        <v>92.5</v>
      </c>
      <c r="B187" s="8">
        <v>185</v>
      </c>
      <c r="D187">
        <v>619.40356083085999</v>
      </c>
      <c r="E187">
        <v>263.80534124629003</v>
      </c>
      <c r="F187">
        <v>172.27514792899001</v>
      </c>
      <c r="G187">
        <v>127.79940828402</v>
      </c>
      <c r="I187" s="9">
        <f t="shared" si="15"/>
        <v>136.00593296227004</v>
      </c>
      <c r="J187" s="9">
        <f t="shared" si="16"/>
        <v>447.12841290186998</v>
      </c>
      <c r="K187" s="9">
        <f t="shared" si="17"/>
        <v>136.00593296227004</v>
      </c>
      <c r="L187" s="10">
        <f t="shared" si="14"/>
        <v>0.30417644917617631</v>
      </c>
      <c r="M187" s="10">
        <f t="shared" si="20"/>
        <v>0.31567056696303281</v>
      </c>
      <c r="P187" s="8">
        <f t="shared" si="19"/>
        <v>6.8098405365583261</v>
      </c>
    </row>
    <row r="188" spans="1:16" x14ac:dyDescent="0.2">
      <c r="A188" s="8">
        <v>93</v>
      </c>
      <c r="B188" s="8">
        <v>186</v>
      </c>
      <c r="D188">
        <v>619.44569732937998</v>
      </c>
      <c r="E188">
        <v>263.14302670622999</v>
      </c>
      <c r="F188">
        <v>171.44319526627001</v>
      </c>
      <c r="G188">
        <v>127.39940828402</v>
      </c>
      <c r="I188" s="9">
        <f t="shared" si="15"/>
        <v>135.74361842220998</v>
      </c>
      <c r="J188" s="9">
        <f t="shared" si="16"/>
        <v>448.00250206311</v>
      </c>
      <c r="K188" s="9">
        <f t="shared" si="17"/>
        <v>135.74361842220998</v>
      </c>
      <c r="L188" s="10">
        <f t="shared" si="14"/>
        <v>0.30299745603449285</v>
      </c>
      <c r="M188" s="10">
        <f t="shared" si="20"/>
        <v>0.31455370418776479</v>
      </c>
      <c r="P188" s="8">
        <f t="shared" si="19"/>
        <v>6.4319404488964809</v>
      </c>
    </row>
    <row r="189" spans="1:16" x14ac:dyDescent="0.2">
      <c r="A189" s="8">
        <v>93.5</v>
      </c>
      <c r="B189" s="8">
        <v>187</v>
      </c>
      <c r="D189">
        <v>617.90919881306002</v>
      </c>
      <c r="E189">
        <v>262.25163204747997</v>
      </c>
      <c r="F189">
        <v>172.16213017752</v>
      </c>
      <c r="G189">
        <v>127.88461538462001</v>
      </c>
      <c r="I189" s="9">
        <f t="shared" si="15"/>
        <v>134.36701666285995</v>
      </c>
      <c r="J189" s="9">
        <f t="shared" si="16"/>
        <v>445.74706863554002</v>
      </c>
      <c r="K189" s="9">
        <f t="shared" si="17"/>
        <v>134.36701666285995</v>
      </c>
      <c r="L189" s="10">
        <f t="shared" si="14"/>
        <v>0.30144228895136854</v>
      </c>
      <c r="M189" s="10">
        <f t="shared" si="20"/>
        <v>0.31306066747105593</v>
      </c>
      <c r="P189" s="8">
        <f t="shared" si="19"/>
        <v>5.9267586856389158</v>
      </c>
    </row>
    <row r="190" spans="1:16" x14ac:dyDescent="0.2">
      <c r="A190" s="8">
        <v>94</v>
      </c>
      <c r="B190" s="8">
        <v>188</v>
      </c>
      <c r="D190">
        <v>618.45341246291002</v>
      </c>
      <c r="E190">
        <v>263.73709198812998</v>
      </c>
      <c r="F190">
        <v>172.50059171597999</v>
      </c>
      <c r="G190">
        <v>127.50769230768999</v>
      </c>
      <c r="I190" s="9">
        <f t="shared" si="15"/>
        <v>136.22939968044</v>
      </c>
      <c r="J190" s="9">
        <f t="shared" si="16"/>
        <v>445.95282074693</v>
      </c>
      <c r="K190" s="9">
        <f t="shared" si="17"/>
        <v>136.22939968044</v>
      </c>
      <c r="L190" s="10">
        <f t="shared" si="14"/>
        <v>0.30547939903658028</v>
      </c>
      <c r="M190" s="10">
        <f t="shared" si="20"/>
        <v>0.31715990792268306</v>
      </c>
      <c r="P190" s="8">
        <f t="shared" si="19"/>
        <v>7.3137718087552592</v>
      </c>
    </row>
    <row r="191" spans="1:16" x14ac:dyDescent="0.2">
      <c r="A191" s="8">
        <v>94.5</v>
      </c>
      <c r="B191" s="8">
        <v>189</v>
      </c>
      <c r="D191">
        <v>618.08308605341006</v>
      </c>
      <c r="E191">
        <v>262.41721068249001</v>
      </c>
      <c r="F191">
        <v>171.46568047337001</v>
      </c>
      <c r="G191">
        <v>127.7976331361</v>
      </c>
      <c r="I191" s="9">
        <f t="shared" si="15"/>
        <v>134.61957754639002</v>
      </c>
      <c r="J191" s="9">
        <f t="shared" si="16"/>
        <v>446.61740558004004</v>
      </c>
      <c r="K191" s="9">
        <f t="shared" si="17"/>
        <v>134.61957754639002</v>
      </c>
      <c r="L191" s="10">
        <f t="shared" si="14"/>
        <v>0.3014203563597217</v>
      </c>
      <c r="M191" s="10">
        <f t="shared" si="20"/>
        <v>0.31316299561223992</v>
      </c>
      <c r="P191" s="8">
        <f t="shared" si="19"/>
        <v>5.9613822888066599</v>
      </c>
    </row>
    <row r="192" spans="1:16" x14ac:dyDescent="0.2">
      <c r="A192" s="8">
        <v>95</v>
      </c>
      <c r="B192" s="8">
        <v>190</v>
      </c>
      <c r="D192">
        <v>618.31513353115997</v>
      </c>
      <c r="E192">
        <v>263.42729970326002</v>
      </c>
      <c r="F192">
        <v>171.66686390532999</v>
      </c>
      <c r="G192">
        <v>127.22366863905</v>
      </c>
      <c r="I192" s="9">
        <f t="shared" si="15"/>
        <v>136.20363106421001</v>
      </c>
      <c r="J192" s="9">
        <f t="shared" si="16"/>
        <v>446.64826962582998</v>
      </c>
      <c r="K192" s="9">
        <f t="shared" si="17"/>
        <v>136.20363106421001</v>
      </c>
      <c r="L192" s="10">
        <f t="shared" si="14"/>
        <v>0.3049460623194884</v>
      </c>
      <c r="M192" s="10">
        <f t="shared" si="20"/>
        <v>0.31675083193842207</v>
      </c>
      <c r="P192" s="8">
        <f t="shared" si="19"/>
        <v>7.1753574451146722</v>
      </c>
    </row>
    <row r="193" spans="1:16" x14ac:dyDescent="0.2">
      <c r="A193" s="8">
        <v>95.5</v>
      </c>
      <c r="B193" s="8">
        <v>191</v>
      </c>
      <c r="D193">
        <v>619.52759643917</v>
      </c>
      <c r="E193">
        <v>263.38991097923002</v>
      </c>
      <c r="F193">
        <v>172.34970414201001</v>
      </c>
      <c r="G193">
        <v>127.93372781065</v>
      </c>
      <c r="I193" s="9">
        <f t="shared" si="15"/>
        <v>135.45618316858003</v>
      </c>
      <c r="J193" s="9">
        <f t="shared" si="16"/>
        <v>447.17789229715999</v>
      </c>
      <c r="K193" s="9">
        <f t="shared" si="17"/>
        <v>135.45618316858003</v>
      </c>
      <c r="L193" s="10">
        <f t="shared" si="14"/>
        <v>0.30291341656614429</v>
      </c>
      <c r="M193" s="10">
        <f t="shared" si="20"/>
        <v>0.31478031655149341</v>
      </c>
      <c r="P193" s="8">
        <f t="shared" si="19"/>
        <v>6.5086166834479933</v>
      </c>
    </row>
    <row r="194" spans="1:16" x14ac:dyDescent="0.2">
      <c r="A194" s="8">
        <v>96</v>
      </c>
      <c r="B194" s="8">
        <v>192</v>
      </c>
      <c r="D194">
        <v>616.72403560831003</v>
      </c>
      <c r="E194">
        <v>262.50860534125002</v>
      </c>
      <c r="F194">
        <v>171.28579881657001</v>
      </c>
      <c r="G194">
        <v>128.00710059171999</v>
      </c>
      <c r="I194" s="9">
        <f t="shared" si="15"/>
        <v>134.50150474953003</v>
      </c>
      <c r="J194" s="9">
        <f t="shared" si="16"/>
        <v>445.43823679174</v>
      </c>
      <c r="K194" s="9">
        <f t="shared" si="17"/>
        <v>134.50150474953003</v>
      </c>
      <c r="L194" s="10">
        <f t="shared" ref="L194:L257" si="21">K194/J194</f>
        <v>0.30195320841397549</v>
      </c>
      <c r="M194" s="10">
        <f t="shared" si="20"/>
        <v>0.31388223876574006</v>
      </c>
      <c r="P194" s="8">
        <f t="shared" si="19"/>
        <v>6.2047443712188528</v>
      </c>
    </row>
    <row r="195" spans="1:16" x14ac:dyDescent="0.2">
      <c r="A195" s="8">
        <v>96.5</v>
      </c>
      <c r="B195" s="8">
        <v>193</v>
      </c>
      <c r="D195">
        <v>616.12225519287995</v>
      </c>
      <c r="E195">
        <v>263.54124629080002</v>
      </c>
      <c r="F195">
        <v>171.51834319527001</v>
      </c>
      <c r="G195">
        <v>127.93905325444</v>
      </c>
      <c r="I195" s="9">
        <f t="shared" ref="I195:I241" si="22">E195-G195</f>
        <v>135.60219303636001</v>
      </c>
      <c r="J195" s="9">
        <f t="shared" ref="J195:J241" si="23">D195-F195</f>
        <v>444.60391199760994</v>
      </c>
      <c r="K195" s="9">
        <f t="shared" ref="K195:K258" si="24">I195*1</f>
        <v>135.60219303636001</v>
      </c>
      <c r="L195" s="10">
        <f t="shared" si="21"/>
        <v>0.30499550133757924</v>
      </c>
      <c r="M195" s="10">
        <f t="shared" si="20"/>
        <v>0.31698666205575926</v>
      </c>
      <c r="P195" s="8">
        <f t="shared" ref="P195:P241" si="25">(M195-$O$2)/$O$2*100</f>
        <v>7.2551525855639012</v>
      </c>
    </row>
    <row r="196" spans="1:16" x14ac:dyDescent="0.2">
      <c r="A196" s="8">
        <v>97</v>
      </c>
      <c r="B196" s="8">
        <v>194</v>
      </c>
      <c r="D196">
        <v>615.91275964392003</v>
      </c>
      <c r="E196">
        <v>262.24747774481</v>
      </c>
      <c r="F196">
        <v>171.53254437870001</v>
      </c>
      <c r="G196">
        <v>127.52899408284</v>
      </c>
      <c r="I196" s="9">
        <f t="shared" si="22"/>
        <v>134.71848366197</v>
      </c>
      <c r="J196" s="9">
        <f t="shared" si="23"/>
        <v>444.38021526522004</v>
      </c>
      <c r="K196" s="9">
        <f t="shared" si="24"/>
        <v>134.71848366197</v>
      </c>
      <c r="L196" s="10">
        <f t="shared" si="21"/>
        <v>0.30316039966263075</v>
      </c>
      <c r="M196" s="10">
        <f t="shared" si="20"/>
        <v>0.31521369074722622</v>
      </c>
      <c r="P196" s="8">
        <f t="shared" si="25"/>
        <v>6.6552525550916757</v>
      </c>
    </row>
    <row r="197" spans="1:16" x14ac:dyDescent="0.2">
      <c r="A197" s="8">
        <v>97.5</v>
      </c>
      <c r="B197" s="8">
        <v>195</v>
      </c>
      <c r="D197">
        <v>617.59703264095003</v>
      </c>
      <c r="E197">
        <v>263.29080118693997</v>
      </c>
      <c r="F197">
        <v>171.50650887574</v>
      </c>
      <c r="G197">
        <v>127.86153846153999</v>
      </c>
      <c r="I197" s="9">
        <f t="shared" si="22"/>
        <v>135.42926272539998</v>
      </c>
      <c r="J197" s="9">
        <f t="shared" si="23"/>
        <v>446.09052376521004</v>
      </c>
      <c r="K197" s="9">
        <f t="shared" si="24"/>
        <v>135.42926272539998</v>
      </c>
      <c r="L197" s="10">
        <f t="shared" si="21"/>
        <v>0.30359143606619227</v>
      </c>
      <c r="M197" s="10">
        <f t="shared" si="20"/>
        <v>0.31570685751720318</v>
      </c>
      <c r="P197" s="8">
        <f t="shared" si="25"/>
        <v>6.822119756446364</v>
      </c>
    </row>
    <row r="198" spans="1:16" x14ac:dyDescent="0.2">
      <c r="A198" s="8">
        <v>98</v>
      </c>
      <c r="B198" s="8">
        <v>196</v>
      </c>
      <c r="D198">
        <v>617.31988130564002</v>
      </c>
      <c r="E198">
        <v>263.30741839762999</v>
      </c>
      <c r="F198">
        <v>171.27751479290001</v>
      </c>
      <c r="G198">
        <v>127.67869822485</v>
      </c>
      <c r="I198" s="9">
        <f t="shared" si="22"/>
        <v>135.62872017277999</v>
      </c>
      <c r="J198" s="9">
        <f t="shared" si="23"/>
        <v>446.04236651274005</v>
      </c>
      <c r="K198" s="9">
        <f t="shared" si="24"/>
        <v>135.62872017277999</v>
      </c>
      <c r="L198" s="10">
        <f t="shared" si="21"/>
        <v>0.30407138504164066</v>
      </c>
      <c r="M198" s="10">
        <f t="shared" si="20"/>
        <v>0.31624893685906696</v>
      </c>
      <c r="P198" s="8">
        <f t="shared" si="25"/>
        <v>7.0055369455104755</v>
      </c>
    </row>
    <row r="199" spans="1:16" x14ac:dyDescent="0.2">
      <c r="A199" s="8">
        <v>98.5</v>
      </c>
      <c r="B199" s="8">
        <v>197</v>
      </c>
      <c r="D199">
        <v>616.16676557864002</v>
      </c>
      <c r="E199">
        <v>263.75608308605001</v>
      </c>
      <c r="F199">
        <v>171.25443786982001</v>
      </c>
      <c r="G199">
        <v>127.66745562129999</v>
      </c>
      <c r="I199" s="9">
        <f t="shared" si="22"/>
        <v>136.08862746475</v>
      </c>
      <c r="J199" s="9">
        <f t="shared" si="23"/>
        <v>444.91232770882004</v>
      </c>
      <c r="K199" s="9">
        <f t="shared" si="24"/>
        <v>136.08862746475</v>
      </c>
      <c r="L199" s="10">
        <f t="shared" si="21"/>
        <v>0.30587740323036267</v>
      </c>
      <c r="M199" s="10">
        <f t="shared" si="20"/>
        <v>0.31811708541420441</v>
      </c>
      <c r="P199" s="8">
        <f t="shared" si="25"/>
        <v>7.637641012711013</v>
      </c>
    </row>
    <row r="200" spans="1:16" x14ac:dyDescent="0.2">
      <c r="A200" s="8">
        <v>99</v>
      </c>
      <c r="B200" s="8">
        <v>198</v>
      </c>
      <c r="D200">
        <v>617.14718100890002</v>
      </c>
      <c r="E200">
        <v>262.69792284866998</v>
      </c>
      <c r="F200">
        <v>172.20059171598001</v>
      </c>
      <c r="G200">
        <v>127.63076923077</v>
      </c>
      <c r="I200" s="9">
        <f t="shared" si="22"/>
        <v>135.06715361789998</v>
      </c>
      <c r="J200" s="9">
        <f t="shared" si="23"/>
        <v>444.94658929292001</v>
      </c>
      <c r="K200" s="9">
        <f t="shared" si="24"/>
        <v>135.06715361789998</v>
      </c>
      <c r="L200" s="10">
        <f t="shared" si="21"/>
        <v>0.3035581278025748</v>
      </c>
      <c r="M200" s="10">
        <f t="shared" si="20"/>
        <v>0.31585994035283199</v>
      </c>
      <c r="P200" s="8">
        <f t="shared" si="25"/>
        <v>6.8739166452716454</v>
      </c>
    </row>
    <row r="201" spans="1:16" x14ac:dyDescent="0.2">
      <c r="A201" s="8">
        <v>99.5</v>
      </c>
      <c r="B201" s="8">
        <v>199</v>
      </c>
      <c r="D201">
        <v>616.15786350148005</v>
      </c>
      <c r="E201">
        <v>263.21246290801002</v>
      </c>
      <c r="F201">
        <v>171.48934911243001</v>
      </c>
      <c r="G201">
        <v>127.98816568047</v>
      </c>
      <c r="I201" s="9">
        <f t="shared" si="22"/>
        <v>135.22429722754003</v>
      </c>
      <c r="J201" s="9">
        <f t="shared" si="23"/>
        <v>444.66851438905007</v>
      </c>
      <c r="K201" s="9">
        <f t="shared" si="24"/>
        <v>135.22429722754003</v>
      </c>
      <c r="L201" s="10">
        <f t="shared" si="21"/>
        <v>0.30410135382157816</v>
      </c>
      <c r="M201" s="10">
        <f t="shared" si="20"/>
        <v>0.3164652967382508</v>
      </c>
      <c r="P201" s="8">
        <f t="shared" si="25"/>
        <v>7.0787441640879383</v>
      </c>
    </row>
    <row r="202" spans="1:16" x14ac:dyDescent="0.2">
      <c r="A202" s="8">
        <v>100</v>
      </c>
      <c r="B202" s="8">
        <v>200</v>
      </c>
      <c r="D202">
        <v>616.04094955489995</v>
      </c>
      <c r="E202">
        <v>262.78635014836999</v>
      </c>
      <c r="F202">
        <v>171.84556213018001</v>
      </c>
      <c r="G202">
        <v>127.97514792899</v>
      </c>
      <c r="I202" s="9">
        <f t="shared" si="22"/>
        <v>134.81120221937999</v>
      </c>
      <c r="J202" s="9">
        <f t="shared" si="23"/>
        <v>444.19538742471991</v>
      </c>
      <c r="K202" s="9">
        <f t="shared" si="24"/>
        <v>134.81120221937999</v>
      </c>
      <c r="L202" s="10">
        <f t="shared" si="21"/>
        <v>0.30349527715937202</v>
      </c>
      <c r="M202" s="10">
        <f t="shared" si="20"/>
        <v>0.31592135044246011</v>
      </c>
      <c r="P202" s="8">
        <f t="shared" si="25"/>
        <v>6.8946952751693251</v>
      </c>
    </row>
    <row r="203" spans="1:16" x14ac:dyDescent="0.2">
      <c r="A203" s="8">
        <v>100.5</v>
      </c>
      <c r="B203" s="8">
        <v>201</v>
      </c>
      <c r="D203">
        <v>616.30148367952995</v>
      </c>
      <c r="E203">
        <v>263.38278931751</v>
      </c>
      <c r="F203">
        <v>171.43136094675</v>
      </c>
      <c r="G203">
        <v>127.64970414200999</v>
      </c>
      <c r="I203" s="9">
        <f t="shared" si="22"/>
        <v>135.73308517550001</v>
      </c>
      <c r="J203" s="9">
        <f t="shared" si="23"/>
        <v>444.87012273277992</v>
      </c>
      <c r="K203" s="9">
        <f t="shared" si="24"/>
        <v>135.73308517550001</v>
      </c>
      <c r="L203" s="10">
        <f t="shared" si="21"/>
        <v>0.30510721722939976</v>
      </c>
      <c r="M203" s="10">
        <f t="shared" si="20"/>
        <v>0.3175954208789033</v>
      </c>
      <c r="P203" s="8">
        <f t="shared" si="25"/>
        <v>7.4611313483316444</v>
      </c>
    </row>
    <row r="204" spans="1:16" x14ac:dyDescent="0.2">
      <c r="A204" s="8">
        <v>101</v>
      </c>
      <c r="B204" s="8">
        <v>202</v>
      </c>
      <c r="D204">
        <v>615.45875370919998</v>
      </c>
      <c r="E204">
        <v>261.91038575668</v>
      </c>
      <c r="F204">
        <v>171.69704142012</v>
      </c>
      <c r="G204">
        <v>127.94201183432</v>
      </c>
      <c r="I204" s="9">
        <f t="shared" si="22"/>
        <v>133.96837392236</v>
      </c>
      <c r="J204" s="9">
        <f t="shared" si="23"/>
        <v>443.76171228907998</v>
      </c>
      <c r="K204" s="9">
        <f t="shared" si="24"/>
        <v>133.96837392236</v>
      </c>
      <c r="L204" s="10">
        <f t="shared" si="21"/>
        <v>0.30189259283164316</v>
      </c>
      <c r="M204" s="10">
        <f t="shared" si="20"/>
        <v>0.31444292684756214</v>
      </c>
      <c r="P204" s="8">
        <f t="shared" si="25"/>
        <v>6.3944579868603704</v>
      </c>
    </row>
    <row r="205" spans="1:16" x14ac:dyDescent="0.2">
      <c r="A205" s="8">
        <v>101.5</v>
      </c>
      <c r="B205" s="8">
        <v>203</v>
      </c>
      <c r="D205">
        <v>615.12581602373996</v>
      </c>
      <c r="E205">
        <v>262.41127596438997</v>
      </c>
      <c r="F205">
        <v>171.74082840237</v>
      </c>
      <c r="G205">
        <v>127.43431952663001</v>
      </c>
      <c r="I205" s="9">
        <f t="shared" si="22"/>
        <v>134.97695643775995</v>
      </c>
      <c r="J205" s="9">
        <f t="shared" si="23"/>
        <v>443.38498762136999</v>
      </c>
      <c r="K205" s="9">
        <f t="shared" si="24"/>
        <v>134.97695643775995</v>
      </c>
      <c r="L205" s="10">
        <f t="shared" si="21"/>
        <v>0.30442383077034613</v>
      </c>
      <c r="M205" s="10">
        <f t="shared" si="20"/>
        <v>0.31703629515268056</v>
      </c>
      <c r="P205" s="8">
        <f t="shared" si="25"/>
        <v>7.2719463690911441</v>
      </c>
    </row>
    <row r="206" spans="1:16" x14ac:dyDescent="0.2">
      <c r="A206" s="8">
        <v>102</v>
      </c>
      <c r="B206" s="8">
        <v>204</v>
      </c>
      <c r="D206">
        <v>615.47477744806997</v>
      </c>
      <c r="E206">
        <v>262.36913946587998</v>
      </c>
      <c r="F206">
        <v>171.22366863905</v>
      </c>
      <c r="G206">
        <v>127.48047337278</v>
      </c>
      <c r="I206" s="9">
        <f t="shared" si="22"/>
        <v>134.88866609309997</v>
      </c>
      <c r="J206" s="9">
        <f t="shared" si="23"/>
        <v>444.25110880901997</v>
      </c>
      <c r="K206" s="9">
        <f t="shared" si="24"/>
        <v>134.88866609309997</v>
      </c>
      <c r="L206" s="10">
        <f t="shared" si="21"/>
        <v>0.30363158001950546</v>
      </c>
      <c r="M206" s="10">
        <f t="shared" si="20"/>
        <v>0.31630617476825534</v>
      </c>
      <c r="P206" s="8">
        <f t="shared" si="25"/>
        <v>7.0249038824152148</v>
      </c>
    </row>
    <row r="207" spans="1:16" x14ac:dyDescent="0.2">
      <c r="A207" s="8">
        <v>102.5</v>
      </c>
      <c r="B207" s="8">
        <v>205</v>
      </c>
      <c r="D207">
        <v>613.29198813055996</v>
      </c>
      <c r="E207">
        <v>262.10801186944002</v>
      </c>
      <c r="F207">
        <v>171.43786982249</v>
      </c>
      <c r="G207">
        <v>127.45917159763</v>
      </c>
      <c r="I207" s="9">
        <f t="shared" si="22"/>
        <v>134.64884027181</v>
      </c>
      <c r="J207" s="9">
        <f t="shared" si="23"/>
        <v>441.85411830806993</v>
      </c>
      <c r="K207" s="9">
        <f t="shared" si="24"/>
        <v>134.64884027181</v>
      </c>
      <c r="L207" s="10">
        <f t="shared" si="21"/>
        <v>0.30473596305360229</v>
      </c>
      <c r="M207" s="10">
        <f t="shared" si="20"/>
        <v>0.31747268816876756</v>
      </c>
      <c r="P207" s="8">
        <f t="shared" si="25"/>
        <v>7.4196036844625155</v>
      </c>
    </row>
    <row r="208" spans="1:16" x14ac:dyDescent="0.2">
      <c r="A208" s="8">
        <v>103</v>
      </c>
      <c r="B208" s="8">
        <v>206</v>
      </c>
      <c r="D208">
        <v>615.37507418398002</v>
      </c>
      <c r="E208">
        <v>262.12818991097998</v>
      </c>
      <c r="F208">
        <v>171.32899408284001</v>
      </c>
      <c r="G208">
        <v>127.50828402367</v>
      </c>
      <c r="I208" s="9">
        <f t="shared" si="22"/>
        <v>134.61990588730998</v>
      </c>
      <c r="J208" s="9">
        <f t="shared" si="23"/>
        <v>444.04608010113998</v>
      </c>
      <c r="K208" s="9">
        <f t="shared" si="24"/>
        <v>134.61990588730998</v>
      </c>
      <c r="L208" s="10">
        <f t="shared" si="21"/>
        <v>0.30316652239481029</v>
      </c>
      <c r="M208" s="10">
        <f t="shared" si="20"/>
        <v>0.31596537787639101</v>
      </c>
      <c r="P208" s="8">
        <f t="shared" si="25"/>
        <v>6.9095923346026265</v>
      </c>
    </row>
    <row r="209" spans="1:16" x14ac:dyDescent="0.2">
      <c r="A209" s="8">
        <v>103.5</v>
      </c>
      <c r="B209" s="8">
        <v>207</v>
      </c>
      <c r="D209">
        <v>615.88545994064998</v>
      </c>
      <c r="E209">
        <v>262.94896142432998</v>
      </c>
      <c r="F209">
        <v>171.87988165681</v>
      </c>
      <c r="G209">
        <v>127.63076923077</v>
      </c>
      <c r="I209" s="9">
        <f t="shared" si="22"/>
        <v>135.31819219355998</v>
      </c>
      <c r="J209" s="9">
        <f t="shared" si="23"/>
        <v>444.00557828384001</v>
      </c>
      <c r="K209" s="9">
        <f t="shared" si="24"/>
        <v>135.31819219355998</v>
      </c>
      <c r="L209" s="10">
        <f t="shared" si="21"/>
        <v>0.30476687413835812</v>
      </c>
      <c r="M209" s="10">
        <f t="shared" si="20"/>
        <v>0.31762785998635429</v>
      </c>
      <c r="P209" s="8">
        <f t="shared" si="25"/>
        <v>7.4721073982286059</v>
      </c>
    </row>
    <row r="210" spans="1:16" x14ac:dyDescent="0.2">
      <c r="A210" s="8">
        <v>104</v>
      </c>
      <c r="B210" s="8">
        <v>208</v>
      </c>
      <c r="D210">
        <v>614.01246290800998</v>
      </c>
      <c r="E210">
        <v>261.95964391691001</v>
      </c>
      <c r="F210">
        <v>170.93609467456</v>
      </c>
      <c r="G210">
        <v>127.44082840237</v>
      </c>
      <c r="I210" s="9">
        <f t="shared" si="22"/>
        <v>134.51881551453999</v>
      </c>
      <c r="J210" s="9">
        <f t="shared" si="23"/>
        <v>443.07636823345001</v>
      </c>
      <c r="K210" s="9">
        <f t="shared" si="24"/>
        <v>134.51881551453999</v>
      </c>
      <c r="L210" s="10">
        <f t="shared" si="21"/>
        <v>0.30360187353450574</v>
      </c>
      <c r="M210" s="10">
        <f t="shared" si="20"/>
        <v>0.31652498974891735</v>
      </c>
      <c r="P210" s="8">
        <f t="shared" si="25"/>
        <v>7.0989418056095435</v>
      </c>
    </row>
    <row r="211" spans="1:16" x14ac:dyDescent="0.2">
      <c r="A211" s="8">
        <v>104.5</v>
      </c>
      <c r="B211" s="8">
        <v>209</v>
      </c>
      <c r="D211">
        <v>615.49376854598995</v>
      </c>
      <c r="E211">
        <v>261.51394658753998</v>
      </c>
      <c r="F211">
        <v>171.40473372781</v>
      </c>
      <c r="G211">
        <v>127.56035502959</v>
      </c>
      <c r="I211" s="9">
        <f t="shared" si="22"/>
        <v>133.95359155794998</v>
      </c>
      <c r="J211" s="9">
        <f t="shared" si="23"/>
        <v>444.08903481817993</v>
      </c>
      <c r="K211" s="9">
        <f t="shared" si="24"/>
        <v>133.95359155794998</v>
      </c>
      <c r="L211" s="10">
        <f t="shared" si="21"/>
        <v>0.3016367913988095</v>
      </c>
      <c r="M211" s="10">
        <f t="shared" si="20"/>
        <v>0.31462203797963656</v>
      </c>
      <c r="P211" s="8">
        <f t="shared" si="25"/>
        <v>6.4550617727604713</v>
      </c>
    </row>
    <row r="212" spans="1:16" x14ac:dyDescent="0.2">
      <c r="A212" s="8">
        <v>105</v>
      </c>
      <c r="B212" s="8">
        <v>210</v>
      </c>
      <c r="D212">
        <v>613.95311572699995</v>
      </c>
      <c r="E212">
        <v>261.75074183976</v>
      </c>
      <c r="F212">
        <v>171.15443786981999</v>
      </c>
      <c r="G212">
        <v>127.36627218935</v>
      </c>
      <c r="I212" s="9">
        <f t="shared" si="22"/>
        <v>134.38446965040998</v>
      </c>
      <c r="J212" s="9">
        <f t="shared" si="23"/>
        <v>442.79867785718</v>
      </c>
      <c r="K212" s="9">
        <f t="shared" si="24"/>
        <v>134.38446965040998</v>
      </c>
      <c r="L212" s="10">
        <f t="shared" si="21"/>
        <v>0.30348886835148653</v>
      </c>
      <c r="M212" s="10">
        <f t="shared" si="20"/>
        <v>0.31653624529872904</v>
      </c>
      <c r="P212" s="8">
        <f t="shared" si="25"/>
        <v>7.1027502173094472</v>
      </c>
    </row>
    <row r="213" spans="1:16" x14ac:dyDescent="0.2">
      <c r="A213" s="8">
        <v>105.5</v>
      </c>
      <c r="B213" s="8">
        <v>211</v>
      </c>
      <c r="D213">
        <v>613.88545994064998</v>
      </c>
      <c r="E213">
        <v>262.48605341246002</v>
      </c>
      <c r="F213">
        <v>171.74970414200999</v>
      </c>
      <c r="G213">
        <v>127.39289940828</v>
      </c>
      <c r="I213" s="9">
        <f t="shared" si="22"/>
        <v>135.09315400418001</v>
      </c>
      <c r="J213" s="9">
        <f t="shared" si="23"/>
        <v>442.13575579863999</v>
      </c>
      <c r="K213" s="9">
        <f t="shared" si="24"/>
        <v>135.09315400418001</v>
      </c>
      <c r="L213" s="10">
        <f t="shared" si="21"/>
        <v>0.30554677433893157</v>
      </c>
      <c r="M213" s="10">
        <f t="shared" si="20"/>
        <v>0.31865628165258952</v>
      </c>
      <c r="P213" s="8">
        <f t="shared" si="25"/>
        <v>7.8200826790148907</v>
      </c>
    </row>
    <row r="214" spans="1:16" x14ac:dyDescent="0.2">
      <c r="A214" s="8">
        <v>106</v>
      </c>
      <c r="B214" s="8">
        <v>212</v>
      </c>
      <c r="D214">
        <v>613.63204747775001</v>
      </c>
      <c r="E214">
        <v>262.74124629080001</v>
      </c>
      <c r="F214">
        <v>171.29171597633001</v>
      </c>
      <c r="G214">
        <v>127.38343195266</v>
      </c>
      <c r="I214" s="9">
        <f t="shared" si="22"/>
        <v>135.35781433814</v>
      </c>
      <c r="J214" s="9">
        <f t="shared" si="23"/>
        <v>442.34033150142</v>
      </c>
      <c r="K214" s="9">
        <f t="shared" si="24"/>
        <v>135.35781433814</v>
      </c>
      <c r="L214" s="10">
        <f t="shared" si="21"/>
        <v>0.30600378192668937</v>
      </c>
      <c r="M214" s="10">
        <f t="shared" si="20"/>
        <v>0.31917541960676277</v>
      </c>
      <c r="P214" s="8">
        <f t="shared" si="25"/>
        <v>7.9957374530255851</v>
      </c>
    </row>
    <row r="215" spans="1:16" x14ac:dyDescent="0.2">
      <c r="A215" s="8">
        <v>106.5</v>
      </c>
      <c r="B215" s="8">
        <v>213</v>
      </c>
      <c r="D215">
        <v>615.30089020772004</v>
      </c>
      <c r="E215">
        <v>262.03560830860999</v>
      </c>
      <c r="F215">
        <v>171.52544378697999</v>
      </c>
      <c r="G215">
        <v>127.75798816568</v>
      </c>
      <c r="I215" s="9">
        <f t="shared" si="22"/>
        <v>134.27762014293</v>
      </c>
      <c r="J215" s="9">
        <f t="shared" si="23"/>
        <v>443.77544642074008</v>
      </c>
      <c r="K215" s="9">
        <f t="shared" si="24"/>
        <v>134.27762014293</v>
      </c>
      <c r="L215" s="10">
        <f t="shared" si="21"/>
        <v>0.30258010267567265</v>
      </c>
      <c r="M215" s="10">
        <f t="shared" si="20"/>
        <v>0.31581387072216144</v>
      </c>
      <c r="P215" s="8">
        <f t="shared" si="25"/>
        <v>6.8583285910769192</v>
      </c>
    </row>
    <row r="216" spans="1:16" x14ac:dyDescent="0.2">
      <c r="A216" s="8">
        <v>107</v>
      </c>
      <c r="B216" s="8">
        <v>214</v>
      </c>
      <c r="D216">
        <v>614.08071216616997</v>
      </c>
      <c r="E216">
        <v>262.24213649851998</v>
      </c>
      <c r="F216">
        <v>171.32899408284001</v>
      </c>
      <c r="G216">
        <v>127.48934911243001</v>
      </c>
      <c r="I216" s="9">
        <f t="shared" si="22"/>
        <v>134.75278738608998</v>
      </c>
      <c r="J216" s="9">
        <f t="shared" si="23"/>
        <v>442.75171808332993</v>
      </c>
      <c r="K216" s="9">
        <f t="shared" si="24"/>
        <v>134.75278738608998</v>
      </c>
      <c r="L216" s="10">
        <f t="shared" si="21"/>
        <v>0.30435294067165714</v>
      </c>
      <c r="M216" s="10">
        <f t="shared" si="20"/>
        <v>0.31764883908456137</v>
      </c>
      <c r="P216" s="8">
        <f t="shared" si="25"/>
        <v>7.4792058558252617</v>
      </c>
    </row>
    <row r="217" spans="1:16" x14ac:dyDescent="0.2">
      <c r="A217" s="8">
        <v>107.5</v>
      </c>
      <c r="B217" s="8">
        <v>215</v>
      </c>
      <c r="D217">
        <v>613.21839762611</v>
      </c>
      <c r="E217">
        <v>263.03204747774998</v>
      </c>
      <c r="F217">
        <v>171.34082840236999</v>
      </c>
      <c r="G217">
        <v>127.65029585799</v>
      </c>
      <c r="I217" s="9">
        <f t="shared" si="22"/>
        <v>135.38175161976</v>
      </c>
      <c r="J217" s="9">
        <f t="shared" si="23"/>
        <v>441.87756922374001</v>
      </c>
      <c r="K217" s="9">
        <f t="shared" si="24"/>
        <v>135.38175161976</v>
      </c>
      <c r="L217" s="10">
        <f t="shared" si="21"/>
        <v>0.30637842028865442</v>
      </c>
      <c r="M217" s="10">
        <f t="shared" si="20"/>
        <v>0.3197364490679741</v>
      </c>
      <c r="P217" s="8">
        <f t="shared" si="25"/>
        <v>8.1855665773078989</v>
      </c>
    </row>
    <row r="218" spans="1:16" x14ac:dyDescent="0.2">
      <c r="A218" s="8">
        <v>108</v>
      </c>
      <c r="B218" s="8">
        <v>216</v>
      </c>
      <c r="D218">
        <v>613.40178041543004</v>
      </c>
      <c r="E218">
        <v>262.35430267061997</v>
      </c>
      <c r="F218">
        <v>171.71005917159999</v>
      </c>
      <c r="G218">
        <v>127.42544378698</v>
      </c>
      <c r="I218" s="9">
        <f t="shared" si="22"/>
        <v>134.92885888363998</v>
      </c>
      <c r="J218" s="9">
        <f t="shared" si="23"/>
        <v>441.69172124383005</v>
      </c>
      <c r="K218" s="9">
        <f t="shared" si="24"/>
        <v>134.92885888363998</v>
      </c>
      <c r="L218" s="10">
        <f t="shared" si="21"/>
        <v>0.30548197395158849</v>
      </c>
      <c r="M218" s="10">
        <f t="shared" si="20"/>
        <v>0.31890213309732363</v>
      </c>
      <c r="P218" s="8">
        <f t="shared" si="25"/>
        <v>7.9032686214369692</v>
      </c>
    </row>
    <row r="219" spans="1:16" x14ac:dyDescent="0.2">
      <c r="A219" s="8">
        <v>108.5</v>
      </c>
      <c r="B219" s="8">
        <v>217</v>
      </c>
      <c r="D219">
        <v>613.49436201779997</v>
      </c>
      <c r="E219">
        <v>262.81721068248999</v>
      </c>
      <c r="F219">
        <v>171.17573964497001</v>
      </c>
      <c r="G219">
        <v>127.33017751478999</v>
      </c>
      <c r="I219" s="9">
        <f t="shared" si="22"/>
        <v>135.48703316769999</v>
      </c>
      <c r="J219" s="9">
        <f t="shared" si="23"/>
        <v>442.31862237282996</v>
      </c>
      <c r="K219" s="9">
        <f t="shared" si="24"/>
        <v>135.48703316769999</v>
      </c>
      <c r="L219" s="10">
        <f t="shared" si="21"/>
        <v>0.30631094038246959</v>
      </c>
      <c r="M219" s="10">
        <f t="shared" si="20"/>
        <v>0.31979322989462017</v>
      </c>
      <c r="P219" s="8">
        <f t="shared" si="25"/>
        <v>8.204778856418832</v>
      </c>
    </row>
    <row r="220" spans="1:16" x14ac:dyDescent="0.2">
      <c r="A220" s="8">
        <v>109</v>
      </c>
      <c r="B220" s="8">
        <v>218</v>
      </c>
      <c r="D220">
        <v>612.12700296736</v>
      </c>
      <c r="E220">
        <v>262.45934718101</v>
      </c>
      <c r="F220">
        <v>170.77218934910999</v>
      </c>
      <c r="G220">
        <v>127.31479289940999</v>
      </c>
      <c r="I220" s="9">
        <f t="shared" si="22"/>
        <v>135.14455428159999</v>
      </c>
      <c r="J220" s="9">
        <f t="shared" si="23"/>
        <v>441.35481361824998</v>
      </c>
      <c r="K220" s="9">
        <f t="shared" si="24"/>
        <v>135.14455428159999</v>
      </c>
      <c r="L220" s="10">
        <f t="shared" si="21"/>
        <v>0.3062038752306287</v>
      </c>
      <c r="M220" s="10">
        <f t="shared" si="20"/>
        <v>0.31974829510919472</v>
      </c>
      <c r="P220" s="8">
        <f t="shared" si="25"/>
        <v>8.1895747868344841</v>
      </c>
    </row>
    <row r="221" spans="1:16" x14ac:dyDescent="0.2">
      <c r="A221" s="8">
        <v>109.5</v>
      </c>
      <c r="B221" s="8">
        <v>219</v>
      </c>
      <c r="D221">
        <v>614.18635014837002</v>
      </c>
      <c r="E221">
        <v>262.02670623145002</v>
      </c>
      <c r="F221">
        <v>171.25680473373001</v>
      </c>
      <c r="G221">
        <v>127.41834319527</v>
      </c>
      <c r="I221" s="9">
        <f t="shared" si="22"/>
        <v>134.60836303618004</v>
      </c>
      <c r="J221" s="9">
        <f t="shared" si="23"/>
        <v>442.92954541464002</v>
      </c>
      <c r="K221" s="9">
        <f t="shared" si="24"/>
        <v>134.60836303618004</v>
      </c>
      <c r="L221" s="10">
        <f t="shared" si="21"/>
        <v>0.3039046828772034</v>
      </c>
      <c r="M221" s="10">
        <f t="shared" si="20"/>
        <v>0.31751123312218488</v>
      </c>
      <c r="P221" s="8">
        <f t="shared" si="25"/>
        <v>7.4326456996481607</v>
      </c>
    </row>
    <row r="222" spans="1:16" x14ac:dyDescent="0.2">
      <c r="A222" s="8">
        <v>110</v>
      </c>
      <c r="B222" s="8">
        <v>220</v>
      </c>
      <c r="D222">
        <v>612.38397626112999</v>
      </c>
      <c r="E222">
        <v>262.69376854599</v>
      </c>
      <c r="F222">
        <v>170.84201183432</v>
      </c>
      <c r="G222">
        <v>127.39349112426</v>
      </c>
      <c r="I222" s="9">
        <f t="shared" si="22"/>
        <v>135.30027742173002</v>
      </c>
      <c r="J222" s="9">
        <f t="shared" si="23"/>
        <v>441.54196442680995</v>
      </c>
      <c r="K222" s="9">
        <f t="shared" si="24"/>
        <v>135.30027742173002</v>
      </c>
      <c r="L222" s="10">
        <f t="shared" si="21"/>
        <v>0.30642676873843872</v>
      </c>
      <c r="M222" s="10">
        <f t="shared" si="20"/>
        <v>0.32009544934983564</v>
      </c>
      <c r="P222" s="8">
        <f t="shared" si="25"/>
        <v>8.307037398066111</v>
      </c>
    </row>
    <row r="223" spans="1:16" x14ac:dyDescent="0.2">
      <c r="A223" s="8">
        <v>110.5</v>
      </c>
      <c r="B223" s="8">
        <v>221</v>
      </c>
      <c r="D223">
        <v>613.33234421365</v>
      </c>
      <c r="E223">
        <v>263.64688427300001</v>
      </c>
      <c r="F223">
        <v>171.01124260354999</v>
      </c>
      <c r="G223">
        <v>127.33550295857999</v>
      </c>
      <c r="I223" s="9">
        <f t="shared" si="22"/>
        <v>136.31138131442003</v>
      </c>
      <c r="J223" s="9">
        <f t="shared" si="23"/>
        <v>442.32110161010002</v>
      </c>
      <c r="K223" s="9">
        <f t="shared" si="24"/>
        <v>136.31138131442003</v>
      </c>
      <c r="L223" s="10">
        <f t="shared" si="21"/>
        <v>0.30817291062585717</v>
      </c>
      <c r="M223" s="10">
        <f t="shared" si="20"/>
        <v>0.32190372160366953</v>
      </c>
      <c r="P223" s="8">
        <f t="shared" si="25"/>
        <v>8.9188818057878478</v>
      </c>
    </row>
    <row r="224" spans="1:16" x14ac:dyDescent="0.2">
      <c r="A224" s="8">
        <v>111</v>
      </c>
      <c r="B224" s="8">
        <v>222</v>
      </c>
      <c r="D224">
        <v>613.54658753708998</v>
      </c>
      <c r="E224">
        <v>263.23620178042</v>
      </c>
      <c r="F224">
        <v>171.26449704141999</v>
      </c>
      <c r="G224">
        <v>127.27278106509</v>
      </c>
      <c r="I224" s="9">
        <f t="shared" si="22"/>
        <v>135.96342071533002</v>
      </c>
      <c r="J224" s="9">
        <f t="shared" si="23"/>
        <v>442.28209049566999</v>
      </c>
      <c r="K224" s="9">
        <f t="shared" si="24"/>
        <v>135.96342071533002</v>
      </c>
      <c r="L224" s="10">
        <f t="shared" si="21"/>
        <v>0.30741335368781142</v>
      </c>
      <c r="M224" s="10">
        <f t="shared" si="20"/>
        <v>0.32120629503203918</v>
      </c>
      <c r="P224" s="8">
        <f t="shared" si="25"/>
        <v>8.6829015507439227</v>
      </c>
    </row>
    <row r="225" spans="1:16" x14ac:dyDescent="0.2">
      <c r="A225" s="8">
        <v>111.5</v>
      </c>
      <c r="B225" s="8">
        <v>223</v>
      </c>
      <c r="D225">
        <v>613.99287833827998</v>
      </c>
      <c r="E225">
        <v>263.21068249258002</v>
      </c>
      <c r="F225">
        <v>171.19053254438001</v>
      </c>
      <c r="G225">
        <v>127.29526627219001</v>
      </c>
      <c r="I225" s="9">
        <f t="shared" si="22"/>
        <v>135.91541622039</v>
      </c>
      <c r="J225" s="9">
        <f t="shared" si="23"/>
        <v>442.80234579389997</v>
      </c>
      <c r="K225" s="9">
        <f t="shared" si="24"/>
        <v>135.91541622039</v>
      </c>
      <c r="L225" s="10">
        <f t="shared" si="21"/>
        <v>0.30694375834144999</v>
      </c>
      <c r="M225" s="10">
        <f t="shared" si="20"/>
        <v>0.3207988300520932</v>
      </c>
      <c r="P225" s="8">
        <f t="shared" si="25"/>
        <v>8.5450322842140505</v>
      </c>
    </row>
    <row r="226" spans="1:16" x14ac:dyDescent="0.2">
      <c r="A226" s="8">
        <v>112</v>
      </c>
      <c r="B226" s="8">
        <v>224</v>
      </c>
      <c r="D226">
        <v>614.73115727003005</v>
      </c>
      <c r="E226">
        <v>263.82077151335</v>
      </c>
      <c r="F226">
        <v>170.53076923077001</v>
      </c>
      <c r="G226">
        <v>127.31775147929</v>
      </c>
      <c r="I226" s="9">
        <f t="shared" si="22"/>
        <v>136.50302003406</v>
      </c>
      <c r="J226" s="9">
        <f t="shared" si="23"/>
        <v>444.20038803926002</v>
      </c>
      <c r="K226" s="9">
        <f t="shared" si="24"/>
        <v>136.50302003406</v>
      </c>
      <c r="L226" s="10">
        <f t="shared" si="21"/>
        <v>0.30730054207425722</v>
      </c>
      <c r="M226" s="10">
        <f t="shared" si="20"/>
        <v>0.32121774415131588</v>
      </c>
      <c r="P226" s="8">
        <f t="shared" si="25"/>
        <v>8.6867754583305334</v>
      </c>
    </row>
    <row r="227" spans="1:16" x14ac:dyDescent="0.2">
      <c r="A227" s="8">
        <v>112.5</v>
      </c>
      <c r="B227" s="8">
        <v>225</v>
      </c>
      <c r="D227">
        <v>614.06112759643997</v>
      </c>
      <c r="E227">
        <v>263.97566765579001</v>
      </c>
      <c r="F227">
        <v>171.4650887574</v>
      </c>
      <c r="G227">
        <v>127.41360946746001</v>
      </c>
      <c r="I227" s="9">
        <f t="shared" si="22"/>
        <v>136.56205818833001</v>
      </c>
      <c r="J227" s="9">
        <f t="shared" si="23"/>
        <v>442.59603883903998</v>
      </c>
      <c r="K227" s="9">
        <f t="shared" si="24"/>
        <v>136.56205818833001</v>
      </c>
      <c r="L227" s="10">
        <f t="shared" si="21"/>
        <v>0.30854785448722438</v>
      </c>
      <c r="M227" s="10">
        <f t="shared" si="20"/>
        <v>0.32252718693069848</v>
      </c>
      <c r="P227" s="8">
        <f t="shared" si="25"/>
        <v>9.1298366401289091</v>
      </c>
    </row>
    <row r="228" spans="1:16" x14ac:dyDescent="0.2">
      <c r="A228" s="8">
        <v>113</v>
      </c>
      <c r="B228" s="8">
        <v>226</v>
      </c>
      <c r="D228">
        <v>611.71632047477999</v>
      </c>
      <c r="E228">
        <v>262.99940652818998</v>
      </c>
      <c r="F228">
        <v>170.67041420117999</v>
      </c>
      <c r="G228">
        <v>127.24378698225</v>
      </c>
      <c r="I228" s="9">
        <f t="shared" si="22"/>
        <v>135.75561954593996</v>
      </c>
      <c r="J228" s="9">
        <f t="shared" si="23"/>
        <v>441.0459062736</v>
      </c>
      <c r="K228" s="9">
        <f t="shared" si="24"/>
        <v>135.75561954593996</v>
      </c>
      <c r="L228" s="10">
        <f t="shared" si="21"/>
        <v>0.30780383088223212</v>
      </c>
      <c r="M228" s="10">
        <f t="shared" si="20"/>
        <v>0.32184529369212167</v>
      </c>
      <c r="P228" s="8">
        <f t="shared" si="25"/>
        <v>8.8991122213905722</v>
      </c>
    </row>
    <row r="229" spans="1:16" x14ac:dyDescent="0.2">
      <c r="A229" s="8">
        <v>113.5</v>
      </c>
      <c r="B229" s="8">
        <v>227</v>
      </c>
      <c r="D229">
        <v>612.65994065281996</v>
      </c>
      <c r="E229">
        <v>262.65281899109999</v>
      </c>
      <c r="F229">
        <v>170.58639053254001</v>
      </c>
      <c r="G229">
        <v>127.33786982249001</v>
      </c>
      <c r="I229" s="9">
        <f t="shared" si="22"/>
        <v>135.31494916860999</v>
      </c>
      <c r="J229" s="9">
        <f t="shared" si="23"/>
        <v>442.07355012027995</v>
      </c>
      <c r="K229" s="9">
        <f t="shared" si="24"/>
        <v>135.31494916860999</v>
      </c>
      <c r="L229" s="10">
        <f t="shared" si="21"/>
        <v>0.30609148439618999</v>
      </c>
      <c r="M229" s="10">
        <f t="shared" si="20"/>
        <v>0.32019507757249499</v>
      </c>
      <c r="P229" s="8">
        <f t="shared" si="25"/>
        <v>8.3407474606720822</v>
      </c>
    </row>
    <row r="230" spans="1:16" x14ac:dyDescent="0.2">
      <c r="A230" s="8">
        <v>114</v>
      </c>
      <c r="B230" s="8">
        <v>228</v>
      </c>
      <c r="D230">
        <v>610.72818991097995</v>
      </c>
      <c r="E230">
        <v>262.70385756677001</v>
      </c>
      <c r="F230">
        <v>170.66508875740001</v>
      </c>
      <c r="G230">
        <v>127.25680473372999</v>
      </c>
      <c r="I230" s="9">
        <f t="shared" si="22"/>
        <v>135.44705283304</v>
      </c>
      <c r="J230" s="9">
        <f t="shared" si="23"/>
        <v>440.06310115357996</v>
      </c>
      <c r="K230" s="9">
        <f t="shared" si="24"/>
        <v>135.44705283304</v>
      </c>
      <c r="L230" s="10">
        <f t="shared" si="21"/>
        <v>0.30779007028305611</v>
      </c>
      <c r="M230" s="10">
        <f t="shared" si="20"/>
        <v>0.32195579382577655</v>
      </c>
      <c r="P230" s="8">
        <f t="shared" si="25"/>
        <v>8.9365008882165426</v>
      </c>
    </row>
    <row r="231" spans="1:16" x14ac:dyDescent="0.2">
      <c r="A231" s="8">
        <v>114.5</v>
      </c>
      <c r="B231" s="8">
        <v>229</v>
      </c>
      <c r="D231">
        <v>611.76913946588002</v>
      </c>
      <c r="E231">
        <v>262.10504451038997</v>
      </c>
      <c r="F231">
        <v>170.72840236686</v>
      </c>
      <c r="G231">
        <v>127.4325443787</v>
      </c>
      <c r="I231" s="9">
        <f t="shared" si="22"/>
        <v>134.67250013168996</v>
      </c>
      <c r="J231" s="9">
        <f t="shared" si="23"/>
        <v>441.04073709902002</v>
      </c>
      <c r="K231" s="9">
        <f t="shared" si="24"/>
        <v>134.67250013168996</v>
      </c>
      <c r="L231" s="10">
        <f t="shared" si="21"/>
        <v>0.30535161222863194</v>
      </c>
      <c r="M231" s="10">
        <f t="shared" si="20"/>
        <v>0.31957946613776783</v>
      </c>
      <c r="P231" s="8">
        <f t="shared" si="25"/>
        <v>8.1324500580720169</v>
      </c>
    </row>
    <row r="232" spans="1:16" x14ac:dyDescent="0.2">
      <c r="A232" s="8">
        <v>115</v>
      </c>
      <c r="B232" s="8">
        <v>230</v>
      </c>
      <c r="D232">
        <v>612.90563798220001</v>
      </c>
      <c r="E232">
        <v>262.40474777447997</v>
      </c>
      <c r="F232">
        <v>170.55207100592</v>
      </c>
      <c r="G232">
        <v>127.43017751479</v>
      </c>
      <c r="I232" s="9">
        <f t="shared" si="22"/>
        <v>134.97457025968998</v>
      </c>
      <c r="J232" s="9">
        <f t="shared" si="23"/>
        <v>442.35356697628004</v>
      </c>
      <c r="K232" s="9">
        <f t="shared" si="24"/>
        <v>134.97457025968998</v>
      </c>
      <c r="L232" s="10">
        <f t="shared" si="21"/>
        <v>0.30512825110083858</v>
      </c>
      <c r="M232" s="10">
        <f t="shared" si="20"/>
        <v>0.31941823537638986</v>
      </c>
      <c r="P232" s="8">
        <f t="shared" si="25"/>
        <v>8.0778962487699744</v>
      </c>
    </row>
    <row r="233" spans="1:16" x14ac:dyDescent="0.2">
      <c r="A233" s="8">
        <v>115.5</v>
      </c>
      <c r="B233" s="8">
        <v>231</v>
      </c>
      <c r="D233">
        <v>612.37329376854996</v>
      </c>
      <c r="E233">
        <v>262.20415430267002</v>
      </c>
      <c r="F233">
        <v>170.99822485207</v>
      </c>
      <c r="G233">
        <v>127.13136094674999</v>
      </c>
      <c r="I233" s="9">
        <f t="shared" si="22"/>
        <v>135.07279335592003</v>
      </c>
      <c r="J233" s="9">
        <f t="shared" si="23"/>
        <v>441.37506891647996</v>
      </c>
      <c r="K233" s="9">
        <f t="shared" si="24"/>
        <v>135.07279335592003</v>
      </c>
      <c r="L233" s="10">
        <f t="shared" si="21"/>
        <v>0.30602723821149813</v>
      </c>
      <c r="M233" s="10">
        <f t="shared" si="20"/>
        <v>0.32037935285346486</v>
      </c>
      <c r="P233" s="8">
        <f t="shared" si="25"/>
        <v>8.4030985805898482</v>
      </c>
    </row>
    <row r="234" spans="1:16" x14ac:dyDescent="0.2">
      <c r="A234" s="8">
        <v>116</v>
      </c>
      <c r="B234" s="8">
        <v>232</v>
      </c>
      <c r="D234">
        <v>611.41780415430003</v>
      </c>
      <c r="E234">
        <v>263.70504451039</v>
      </c>
      <c r="F234">
        <v>170.90236686391</v>
      </c>
      <c r="G234">
        <v>127.33254437870001</v>
      </c>
      <c r="I234" s="9">
        <f t="shared" si="22"/>
        <v>136.37250013169</v>
      </c>
      <c r="J234" s="9">
        <f t="shared" si="23"/>
        <v>440.51543729039003</v>
      </c>
      <c r="K234" s="9">
        <f t="shared" si="24"/>
        <v>136.37250013169</v>
      </c>
      <c r="L234" s="10">
        <f t="shared" si="21"/>
        <v>0.30957484934130142</v>
      </c>
      <c r="M234" s="10">
        <f t="shared" si="20"/>
        <v>0.32398909434968359</v>
      </c>
      <c r="P234" s="8">
        <f t="shared" si="25"/>
        <v>9.6244855388312587</v>
      </c>
    </row>
    <row r="235" spans="1:16" x14ac:dyDescent="0.2">
      <c r="A235" s="8">
        <v>116.5</v>
      </c>
      <c r="B235" s="8">
        <v>233</v>
      </c>
      <c r="D235">
        <v>611.58100890208004</v>
      </c>
      <c r="E235">
        <v>262.62433234421002</v>
      </c>
      <c r="F235">
        <v>170.39289940827999</v>
      </c>
      <c r="G235">
        <v>127.01775147929</v>
      </c>
      <c r="I235" s="9">
        <f t="shared" si="22"/>
        <v>135.60658086492003</v>
      </c>
      <c r="J235" s="9">
        <f t="shared" si="23"/>
        <v>441.18810949380008</v>
      </c>
      <c r="K235" s="9">
        <f t="shared" si="24"/>
        <v>135.60658086492003</v>
      </c>
      <c r="L235" s="10">
        <f t="shared" si="21"/>
        <v>0.30736680782378539</v>
      </c>
      <c r="M235" s="10">
        <f t="shared" si="20"/>
        <v>0.32184318319858302</v>
      </c>
      <c r="P235" s="8">
        <f t="shared" si="25"/>
        <v>8.8983981178221416</v>
      </c>
    </row>
    <row r="236" spans="1:16" x14ac:dyDescent="0.2">
      <c r="A236" s="8">
        <v>117</v>
      </c>
      <c r="B236" s="8">
        <v>234</v>
      </c>
      <c r="D236">
        <v>612.74540059346998</v>
      </c>
      <c r="E236">
        <v>261.86706231454002</v>
      </c>
      <c r="F236">
        <v>170.10355029586</v>
      </c>
      <c r="G236">
        <v>126.92781065089</v>
      </c>
      <c r="I236" s="9">
        <f t="shared" si="22"/>
        <v>134.93925166365003</v>
      </c>
      <c r="J236" s="9">
        <f t="shared" si="23"/>
        <v>442.64185029760995</v>
      </c>
      <c r="K236" s="9">
        <f t="shared" si="24"/>
        <v>134.93925166365003</v>
      </c>
      <c r="L236" s="10">
        <f t="shared" si="21"/>
        <v>0.30484973703440765</v>
      </c>
      <c r="M236" s="10">
        <f t="shared" si="20"/>
        <v>0.31938824277562072</v>
      </c>
      <c r="P236" s="8">
        <f t="shared" si="25"/>
        <v>8.0677479953669149</v>
      </c>
    </row>
    <row r="237" spans="1:16" x14ac:dyDescent="0.2">
      <c r="A237" s="8">
        <v>117.5</v>
      </c>
      <c r="B237" s="8">
        <v>235</v>
      </c>
      <c r="D237">
        <v>612.18635014837002</v>
      </c>
      <c r="E237">
        <v>263.19347181008999</v>
      </c>
      <c r="F237">
        <v>170.71656804733999</v>
      </c>
      <c r="G237">
        <v>127.12840236686</v>
      </c>
      <c r="I237" s="9">
        <f t="shared" si="22"/>
        <v>136.06506944322999</v>
      </c>
      <c r="J237" s="9">
        <f t="shared" si="23"/>
        <v>441.46978210103003</v>
      </c>
      <c r="K237" s="9">
        <f t="shared" si="24"/>
        <v>136.06506944322999</v>
      </c>
      <c r="L237" s="10">
        <f t="shared" si="21"/>
        <v>0.30820924774437131</v>
      </c>
      <c r="M237" s="10">
        <f t="shared" si="20"/>
        <v>0.32280988385199982</v>
      </c>
      <c r="P237" s="8">
        <f t="shared" si="25"/>
        <v>9.2254895651857716</v>
      </c>
    </row>
    <row r="238" spans="1:16" x14ac:dyDescent="0.2">
      <c r="A238" s="8">
        <v>118</v>
      </c>
      <c r="B238" s="8">
        <v>236</v>
      </c>
      <c r="D238">
        <v>611.08961424332006</v>
      </c>
      <c r="E238">
        <v>263.43323442137</v>
      </c>
      <c r="F238">
        <v>170.20710059172001</v>
      </c>
      <c r="G238">
        <v>127.07455621302</v>
      </c>
      <c r="I238" s="9">
        <f t="shared" si="22"/>
        <v>136.35867820835</v>
      </c>
      <c r="J238" s="9">
        <f t="shared" si="23"/>
        <v>440.88251365160005</v>
      </c>
      <c r="K238" s="9">
        <f t="shared" si="24"/>
        <v>136.35867820835</v>
      </c>
      <c r="L238" s="10">
        <f t="shared" si="21"/>
        <v>0.30928574843888035</v>
      </c>
      <c r="M238" s="10">
        <f t="shared" si="20"/>
        <v>0.32394851491292431</v>
      </c>
      <c r="P238" s="8">
        <f t="shared" si="25"/>
        <v>9.6107551387783783</v>
      </c>
    </row>
    <row r="239" spans="1:16" x14ac:dyDescent="0.2">
      <c r="A239" s="8">
        <v>118.5</v>
      </c>
      <c r="B239" s="8">
        <v>237</v>
      </c>
      <c r="D239">
        <v>611.15014836795001</v>
      </c>
      <c r="E239">
        <v>261.87121661721</v>
      </c>
      <c r="F239">
        <v>170.43846153845999</v>
      </c>
      <c r="G239">
        <v>126.81301775148</v>
      </c>
      <c r="I239" s="9">
        <f t="shared" si="22"/>
        <v>135.05819886572999</v>
      </c>
      <c r="J239" s="9">
        <f t="shared" si="23"/>
        <v>440.71168682949002</v>
      </c>
      <c r="K239" s="9">
        <f t="shared" si="24"/>
        <v>135.05819886572999</v>
      </c>
      <c r="L239" s="10">
        <f t="shared" si="21"/>
        <v>0.30645477054930831</v>
      </c>
      <c r="M239" s="10">
        <f t="shared" si="20"/>
        <v>0.32117966738976772</v>
      </c>
      <c r="P239" s="8">
        <f t="shared" si="25"/>
        <v>8.6738918598746046</v>
      </c>
    </row>
    <row r="240" spans="1:16" x14ac:dyDescent="0.2">
      <c r="A240" s="8">
        <v>119</v>
      </c>
      <c r="B240" s="8">
        <v>238</v>
      </c>
      <c r="D240">
        <v>611.57448071217004</v>
      </c>
      <c r="E240">
        <v>263.18338278931998</v>
      </c>
      <c r="F240">
        <v>170.64319526627</v>
      </c>
      <c r="G240">
        <v>127.03609467456</v>
      </c>
      <c r="I240" s="9">
        <f t="shared" si="22"/>
        <v>136.14728811475999</v>
      </c>
      <c r="J240" s="9">
        <f t="shared" si="23"/>
        <v>440.93128544590002</v>
      </c>
      <c r="K240" s="9">
        <f t="shared" si="24"/>
        <v>136.14728811475999</v>
      </c>
      <c r="L240" s="10">
        <f t="shared" si="21"/>
        <v>0.30877212075590982</v>
      </c>
      <c r="M240" s="10">
        <f t="shared" si="20"/>
        <v>0.32355914796278462</v>
      </c>
      <c r="P240" s="8">
        <f t="shared" si="25"/>
        <v>9.479009495670967</v>
      </c>
    </row>
    <row r="241" spans="1:16" x14ac:dyDescent="0.2">
      <c r="A241" s="8">
        <v>119.5</v>
      </c>
      <c r="B241" s="8">
        <v>239</v>
      </c>
      <c r="D241">
        <v>610.50682492581996</v>
      </c>
      <c r="E241">
        <v>262.77804154302999</v>
      </c>
      <c r="F241">
        <v>170.67100591715999</v>
      </c>
      <c r="G241">
        <v>127.19408284024</v>
      </c>
      <c r="I241" s="9">
        <f t="shared" si="22"/>
        <v>135.58395870278997</v>
      </c>
      <c r="J241" s="9">
        <f t="shared" si="23"/>
        <v>439.83581900866</v>
      </c>
      <c r="K241" s="9">
        <f t="shared" si="24"/>
        <v>135.58395870278997</v>
      </c>
      <c r="L241" s="10">
        <f t="shared" si="21"/>
        <v>0.30826038454162469</v>
      </c>
      <c r="M241" s="10">
        <f t="shared" si="20"/>
        <v>0.32310954211491494</v>
      </c>
      <c r="P241" s="8">
        <f t="shared" si="25"/>
        <v>9.3268815054776688</v>
      </c>
    </row>
    <row r="242" spans="1:16" x14ac:dyDescent="0.2">
      <c r="A242" s="8">
        <v>120</v>
      </c>
      <c r="B242" s="8">
        <v>240</v>
      </c>
      <c r="D242">
        <v>609.57626112759999</v>
      </c>
      <c r="E242">
        <v>262.67062314539999</v>
      </c>
      <c r="F242">
        <v>171.21360946746</v>
      </c>
      <c r="G242">
        <v>127.15798816568</v>
      </c>
      <c r="I242" s="9">
        <f>E242-G242</f>
        <v>135.51263497971999</v>
      </c>
      <c r="J242" s="9">
        <f>D242-F242</f>
        <v>438.36265166013999</v>
      </c>
      <c r="K242" s="9">
        <f t="shared" si="24"/>
        <v>135.51263497971999</v>
      </c>
      <c r="L242" s="10">
        <f t="shared" si="21"/>
        <v>0.30913362364817099</v>
      </c>
      <c r="M242" s="10">
        <f>L242+ABS($N$2)*A242</f>
        <v>0.32404491158787668</v>
      </c>
      <c r="O242" s="11"/>
      <c r="P242" s="8">
        <f>(M242-$O$2)/$O$2*100</f>
        <v>9.64337177953451</v>
      </c>
    </row>
    <row r="243" spans="1:16" x14ac:dyDescent="0.2">
      <c r="A243" s="8">
        <v>120.5</v>
      </c>
      <c r="B243" s="8">
        <v>241</v>
      </c>
      <c r="D243">
        <v>609.53353115726998</v>
      </c>
      <c r="E243">
        <v>262.51691394659002</v>
      </c>
      <c r="F243">
        <v>170.50059171597999</v>
      </c>
      <c r="G243">
        <v>126.90591715975999</v>
      </c>
      <c r="I243" s="9">
        <f t="shared" ref="I243:I274" si="26">E243-G243</f>
        <v>135.61099678683001</v>
      </c>
      <c r="J243" s="9">
        <f t="shared" ref="J243:J274" si="27">D243-F243</f>
        <v>439.03293944128995</v>
      </c>
      <c r="K243" s="9">
        <f t="shared" si="24"/>
        <v>135.61099678683001</v>
      </c>
      <c r="L243" s="10">
        <f t="shared" si="21"/>
        <v>0.30888569991902559</v>
      </c>
      <c r="M243" s="10">
        <f t="shared" ref="M243:M274" si="28">L243+ABS($N$2)*A243</f>
        <v>0.32385911822514674</v>
      </c>
      <c r="P243" s="8">
        <f t="shared" ref="P243:P274" si="29">(M243-$O$2)/$O$2*100</f>
        <v>9.5805070036485134</v>
      </c>
    </row>
    <row r="244" spans="1:16" x14ac:dyDescent="0.2">
      <c r="A244" s="8">
        <v>121</v>
      </c>
      <c r="B244" s="8">
        <v>242</v>
      </c>
      <c r="D244">
        <v>607.94005934717995</v>
      </c>
      <c r="E244">
        <v>262.35074183976002</v>
      </c>
      <c r="F244">
        <v>170.49408284024</v>
      </c>
      <c r="G244">
        <v>126.91834319527</v>
      </c>
      <c r="I244" s="9">
        <f t="shared" si="26"/>
        <v>135.43239864449004</v>
      </c>
      <c r="J244" s="9">
        <f t="shared" si="27"/>
        <v>437.44597650693993</v>
      </c>
      <c r="K244" s="9">
        <f t="shared" si="24"/>
        <v>135.43239864449004</v>
      </c>
      <c r="L244" s="10">
        <f t="shared" si="21"/>
        <v>0.30959799819382144</v>
      </c>
      <c r="M244" s="10">
        <f t="shared" si="28"/>
        <v>0.32463354686635804</v>
      </c>
      <c r="N244" s="1"/>
      <c r="P244" s="8">
        <f t="shared" si="29"/>
        <v>9.8425415685764772</v>
      </c>
    </row>
    <row r="245" spans="1:16" x14ac:dyDescent="0.2">
      <c r="A245" s="8">
        <v>121.5</v>
      </c>
      <c r="B245" s="8">
        <v>243</v>
      </c>
      <c r="D245">
        <v>610.11275964391996</v>
      </c>
      <c r="E245">
        <v>262.27121661720997</v>
      </c>
      <c r="F245">
        <v>170.31183431952999</v>
      </c>
      <c r="G245">
        <v>126.95266272188999</v>
      </c>
      <c r="I245" s="9">
        <f t="shared" si="26"/>
        <v>135.31855389531998</v>
      </c>
      <c r="J245" s="9">
        <f t="shared" si="27"/>
        <v>439.80092532438994</v>
      </c>
      <c r="K245" s="9">
        <f t="shared" si="24"/>
        <v>135.31855389531998</v>
      </c>
      <c r="L245" s="10">
        <f t="shared" si="21"/>
        <v>0.30768137605784079</v>
      </c>
      <c r="M245" s="10">
        <f t="shared" si="28"/>
        <v>0.32277905509679283</v>
      </c>
      <c r="P245" s="8">
        <f t="shared" si="29"/>
        <v>9.2150583917657123</v>
      </c>
    </row>
    <row r="246" spans="1:16" x14ac:dyDescent="0.2">
      <c r="A246" s="8">
        <v>122</v>
      </c>
      <c r="B246" s="8">
        <v>244</v>
      </c>
      <c r="D246">
        <v>611.00593471809998</v>
      </c>
      <c r="E246">
        <v>264.56379821959001</v>
      </c>
      <c r="F246">
        <v>170.37396449703999</v>
      </c>
      <c r="G246">
        <v>126.80591715976</v>
      </c>
      <c r="I246" s="9">
        <f t="shared" si="26"/>
        <v>137.75788105983003</v>
      </c>
      <c r="J246" s="9">
        <f t="shared" si="27"/>
        <v>440.63197022105999</v>
      </c>
      <c r="K246" s="9">
        <f t="shared" si="24"/>
        <v>137.75788105983003</v>
      </c>
      <c r="L246" s="10">
        <f t="shared" si="21"/>
        <v>0.3126370539811682</v>
      </c>
      <c r="M246" s="10">
        <f t="shared" si="28"/>
        <v>0.32779686338653569</v>
      </c>
      <c r="P246" s="8">
        <f t="shared" si="29"/>
        <v>10.912876811856865</v>
      </c>
    </row>
    <row r="247" spans="1:16" x14ac:dyDescent="0.2">
      <c r="A247" s="8">
        <v>122.5</v>
      </c>
      <c r="B247" s="8">
        <v>245</v>
      </c>
      <c r="D247">
        <v>609.71869436201996</v>
      </c>
      <c r="E247">
        <v>262.89198813055998</v>
      </c>
      <c r="F247">
        <v>170.92011834319999</v>
      </c>
      <c r="G247">
        <v>127.06213017752</v>
      </c>
      <c r="I247" s="9">
        <f t="shared" si="26"/>
        <v>135.82985795303998</v>
      </c>
      <c r="J247" s="9">
        <f t="shared" si="27"/>
        <v>438.79857601881997</v>
      </c>
      <c r="K247" s="9">
        <f t="shared" si="24"/>
        <v>135.82985795303998</v>
      </c>
      <c r="L247" s="10">
        <f t="shared" si="21"/>
        <v>0.3095494501951489</v>
      </c>
      <c r="M247" s="10">
        <f t="shared" si="28"/>
        <v>0.32477138996693183</v>
      </c>
      <c r="P247" s="8">
        <f t="shared" si="29"/>
        <v>9.8891819624940904</v>
      </c>
    </row>
    <row r="248" spans="1:16" x14ac:dyDescent="0.2">
      <c r="A248" s="8">
        <v>123</v>
      </c>
      <c r="B248" s="8">
        <v>246</v>
      </c>
      <c r="D248">
        <v>608.79999999999995</v>
      </c>
      <c r="E248">
        <v>262.90682492581999</v>
      </c>
      <c r="F248">
        <v>169.93431952662999</v>
      </c>
      <c r="G248">
        <v>126.91360946746001</v>
      </c>
      <c r="I248" s="9">
        <f t="shared" si="26"/>
        <v>135.99321545836</v>
      </c>
      <c r="J248" s="9">
        <f t="shared" si="27"/>
        <v>438.86568047336993</v>
      </c>
      <c r="K248" s="9">
        <f t="shared" si="24"/>
        <v>135.99321545836</v>
      </c>
      <c r="L248" s="10">
        <f t="shared" si="21"/>
        <v>0.30987434540717518</v>
      </c>
      <c r="M248" s="10">
        <f t="shared" si="28"/>
        <v>0.3251584155453735</v>
      </c>
      <c r="P248" s="8">
        <f t="shared" si="29"/>
        <v>10.020135382430023</v>
      </c>
    </row>
    <row r="249" spans="1:16" x14ac:dyDescent="0.2">
      <c r="A249" s="8">
        <v>123.5</v>
      </c>
      <c r="B249" s="8">
        <v>247</v>
      </c>
      <c r="D249">
        <v>609.65400593471998</v>
      </c>
      <c r="E249">
        <v>262.94005934718001</v>
      </c>
      <c r="F249">
        <v>169.96804733728001</v>
      </c>
      <c r="G249">
        <v>127.33609467456</v>
      </c>
      <c r="I249" s="9">
        <f t="shared" si="26"/>
        <v>135.60396467262001</v>
      </c>
      <c r="J249" s="9">
        <f t="shared" si="27"/>
        <v>439.68595859743994</v>
      </c>
      <c r="K249" s="9">
        <f t="shared" si="24"/>
        <v>135.60396467262001</v>
      </c>
      <c r="L249" s="10">
        <f t="shared" si="21"/>
        <v>0.3084109510915129</v>
      </c>
      <c r="M249" s="10">
        <f t="shared" si="28"/>
        <v>0.32375715159612667</v>
      </c>
      <c r="P249" s="8">
        <f t="shared" si="29"/>
        <v>9.5460057212183411</v>
      </c>
    </row>
    <row r="250" spans="1:16" x14ac:dyDescent="0.2">
      <c r="A250" s="8">
        <v>124</v>
      </c>
      <c r="B250" s="8">
        <v>248</v>
      </c>
      <c r="D250">
        <v>608.11750741840001</v>
      </c>
      <c r="E250">
        <v>262.94777448071</v>
      </c>
      <c r="F250">
        <v>169.32071005917001</v>
      </c>
      <c r="G250">
        <v>126.49289940828</v>
      </c>
      <c r="I250" s="9">
        <f t="shared" si="26"/>
        <v>136.45487507243001</v>
      </c>
      <c r="J250" s="9">
        <f t="shared" si="27"/>
        <v>438.79679735923003</v>
      </c>
      <c r="K250" s="9">
        <f t="shared" si="24"/>
        <v>136.45487507243001</v>
      </c>
      <c r="L250" s="10">
        <f t="shared" si="21"/>
        <v>0.31097509346842023</v>
      </c>
      <c r="M250" s="10">
        <f t="shared" si="28"/>
        <v>0.32638342433944945</v>
      </c>
      <c r="P250" s="8">
        <f t="shared" si="29"/>
        <v>10.434627601992755</v>
      </c>
    </row>
    <row r="251" spans="1:16" x14ac:dyDescent="0.2">
      <c r="A251" s="8">
        <v>124.5</v>
      </c>
      <c r="B251" s="8">
        <v>249</v>
      </c>
      <c r="D251">
        <v>608.14302670622999</v>
      </c>
      <c r="E251">
        <v>263.66290801187</v>
      </c>
      <c r="F251">
        <v>170.46686390533</v>
      </c>
      <c r="G251">
        <v>126.89230769231</v>
      </c>
      <c r="I251" s="9">
        <f t="shared" si="26"/>
        <v>136.77060031956</v>
      </c>
      <c r="J251" s="9">
        <f t="shared" si="27"/>
        <v>437.67616280089999</v>
      </c>
      <c r="K251" s="9">
        <f t="shared" si="24"/>
        <v>136.77060031956</v>
      </c>
      <c r="L251" s="10">
        <f t="shared" si="21"/>
        <v>0.31249268738854602</v>
      </c>
      <c r="M251" s="10">
        <f t="shared" si="28"/>
        <v>0.32796314862599069</v>
      </c>
      <c r="P251" s="8">
        <f t="shared" si="29"/>
        <v>10.969140847115661</v>
      </c>
    </row>
    <row r="252" spans="1:16" x14ac:dyDescent="0.2">
      <c r="A252" s="8">
        <v>125</v>
      </c>
      <c r="B252" s="8">
        <v>250</v>
      </c>
      <c r="D252">
        <v>609.29673590505001</v>
      </c>
      <c r="E252">
        <v>263.29139465874999</v>
      </c>
      <c r="F252">
        <v>169.76508875740001</v>
      </c>
      <c r="G252">
        <v>126.77633136095</v>
      </c>
      <c r="I252" s="9">
        <f t="shared" si="26"/>
        <v>136.5150632978</v>
      </c>
      <c r="J252" s="9">
        <f t="shared" si="27"/>
        <v>439.53164714765001</v>
      </c>
      <c r="K252" s="9">
        <f t="shared" si="24"/>
        <v>136.5150632978</v>
      </c>
      <c r="L252" s="10">
        <f t="shared" si="21"/>
        <v>0.31059211363667988</v>
      </c>
      <c r="M252" s="10">
        <f t="shared" si="28"/>
        <v>0.32612470524053999</v>
      </c>
      <c r="P252" s="8">
        <f t="shared" si="29"/>
        <v>10.347087778549167</v>
      </c>
    </row>
    <row r="253" spans="1:16" x14ac:dyDescent="0.2">
      <c r="A253" s="8">
        <v>125.5</v>
      </c>
      <c r="B253" s="8">
        <v>251</v>
      </c>
      <c r="D253">
        <v>608.05756676557996</v>
      </c>
      <c r="E253">
        <v>262.21008902077</v>
      </c>
      <c r="F253">
        <v>169.80414201183001</v>
      </c>
      <c r="G253">
        <v>126.76213017752001</v>
      </c>
      <c r="I253" s="9">
        <f t="shared" si="26"/>
        <v>135.44795884324998</v>
      </c>
      <c r="J253" s="9">
        <f t="shared" si="27"/>
        <v>438.25342475374998</v>
      </c>
      <c r="K253" s="9">
        <f t="shared" si="24"/>
        <v>135.44795884324998</v>
      </c>
      <c r="L253" s="10">
        <f t="shared" si="21"/>
        <v>0.30906309270568</v>
      </c>
      <c r="M253" s="10">
        <f t="shared" si="28"/>
        <v>0.32465781467595556</v>
      </c>
      <c r="P253" s="8">
        <f t="shared" si="29"/>
        <v>9.850752789844968</v>
      </c>
    </row>
    <row r="254" spans="1:16" x14ac:dyDescent="0.2">
      <c r="A254" s="8">
        <v>126</v>
      </c>
      <c r="B254" s="8">
        <v>252</v>
      </c>
      <c r="D254">
        <v>607.56261127595997</v>
      </c>
      <c r="E254">
        <v>262.14718100890002</v>
      </c>
      <c r="F254">
        <v>169.77218934910999</v>
      </c>
      <c r="G254">
        <v>126.70769230769</v>
      </c>
      <c r="I254" s="9">
        <f t="shared" si="26"/>
        <v>135.43948870121002</v>
      </c>
      <c r="J254" s="9">
        <f t="shared" si="27"/>
        <v>437.79042192684994</v>
      </c>
      <c r="K254" s="9">
        <f t="shared" si="24"/>
        <v>135.43948870121002</v>
      </c>
      <c r="L254" s="10">
        <f t="shared" si="21"/>
        <v>0.30937060729903426</v>
      </c>
      <c r="M254" s="10">
        <f t="shared" si="28"/>
        <v>0.32502745963572527</v>
      </c>
      <c r="P254" s="8">
        <f t="shared" si="29"/>
        <v>9.9758253285614735</v>
      </c>
    </row>
    <row r="255" spans="1:16" x14ac:dyDescent="0.2">
      <c r="A255" s="8">
        <v>126.5</v>
      </c>
      <c r="B255" s="8">
        <v>253</v>
      </c>
      <c r="D255">
        <v>607.14599406527998</v>
      </c>
      <c r="E255">
        <v>263.01543026706003</v>
      </c>
      <c r="F255">
        <v>169.98224852070999</v>
      </c>
      <c r="G255">
        <v>126.89112426036</v>
      </c>
      <c r="I255" s="9">
        <f t="shared" si="26"/>
        <v>136.12430600670001</v>
      </c>
      <c r="J255" s="9">
        <f t="shared" si="27"/>
        <v>437.16374554457002</v>
      </c>
      <c r="K255" s="9">
        <f t="shared" si="24"/>
        <v>136.12430600670001</v>
      </c>
      <c r="L255" s="10">
        <f t="shared" si="21"/>
        <v>0.31138059227013776</v>
      </c>
      <c r="M255" s="10">
        <f t="shared" si="28"/>
        <v>0.32709957497324421</v>
      </c>
      <c r="P255" s="8">
        <f t="shared" si="29"/>
        <v>10.67694330387044</v>
      </c>
    </row>
    <row r="256" spans="1:16" x14ac:dyDescent="0.2">
      <c r="A256" s="8">
        <v>127</v>
      </c>
      <c r="B256" s="8">
        <v>254</v>
      </c>
      <c r="D256">
        <v>608.84094955490002</v>
      </c>
      <c r="E256">
        <v>262.45103857567</v>
      </c>
      <c r="F256">
        <v>170.40295857987999</v>
      </c>
      <c r="G256">
        <v>126.72189349112</v>
      </c>
      <c r="I256" s="9">
        <f t="shared" si="26"/>
        <v>135.72914508455</v>
      </c>
      <c r="J256" s="9">
        <f t="shared" si="27"/>
        <v>438.43799097502006</v>
      </c>
      <c r="K256" s="9">
        <f t="shared" si="24"/>
        <v>135.72914508455</v>
      </c>
      <c r="L256" s="10">
        <f t="shared" si="21"/>
        <v>0.3095743249409314</v>
      </c>
      <c r="M256" s="10">
        <f t="shared" si="28"/>
        <v>0.3253554380104533</v>
      </c>
      <c r="P256" s="8">
        <f t="shared" si="29"/>
        <v>10.08679962129065</v>
      </c>
    </row>
    <row r="257" spans="1:16" x14ac:dyDescent="0.2">
      <c r="A257" s="8">
        <v>127.5</v>
      </c>
      <c r="B257" s="8">
        <v>255</v>
      </c>
      <c r="D257">
        <v>606.50979228486995</v>
      </c>
      <c r="E257">
        <v>262.11454005935002</v>
      </c>
      <c r="F257">
        <v>170.33786982249001</v>
      </c>
      <c r="G257">
        <v>127.27041420118</v>
      </c>
      <c r="I257" s="9">
        <f t="shared" si="26"/>
        <v>134.84412585817</v>
      </c>
      <c r="J257" s="9">
        <f t="shared" si="27"/>
        <v>436.17192246237994</v>
      </c>
      <c r="K257" s="9">
        <f t="shared" si="24"/>
        <v>134.84412585817</v>
      </c>
      <c r="L257" s="10">
        <f t="shared" si="21"/>
        <v>0.30915361332044561</v>
      </c>
      <c r="M257" s="10">
        <f t="shared" si="28"/>
        <v>0.3249968567563829</v>
      </c>
      <c r="P257" s="8">
        <f t="shared" si="29"/>
        <v>9.9654705821751861</v>
      </c>
    </row>
    <row r="258" spans="1:16" x14ac:dyDescent="0.2">
      <c r="A258" s="8">
        <v>128</v>
      </c>
      <c r="B258" s="8">
        <v>256</v>
      </c>
      <c r="D258">
        <v>608.13234421364996</v>
      </c>
      <c r="E258">
        <v>262.98100890208002</v>
      </c>
      <c r="F258">
        <v>169.69289940828</v>
      </c>
      <c r="G258">
        <v>126.59940828402</v>
      </c>
      <c r="I258" s="9">
        <f t="shared" si="26"/>
        <v>136.38160061806002</v>
      </c>
      <c r="J258" s="9">
        <f t="shared" si="27"/>
        <v>438.43944480536993</v>
      </c>
      <c r="K258" s="9">
        <f t="shared" si="24"/>
        <v>136.38160061806002</v>
      </c>
      <c r="L258" s="10">
        <f t="shared" ref="L258:L321" si="30">K258/J258</f>
        <v>0.31106142988252783</v>
      </c>
      <c r="M258" s="10">
        <f t="shared" si="28"/>
        <v>0.32696680368488057</v>
      </c>
      <c r="P258" s="8">
        <f t="shared" si="29"/>
        <v>10.632019001062016</v>
      </c>
    </row>
    <row r="259" spans="1:16" x14ac:dyDescent="0.2">
      <c r="A259" s="8">
        <v>128.5</v>
      </c>
      <c r="B259" s="8">
        <v>257</v>
      </c>
      <c r="D259">
        <v>605.83738872404001</v>
      </c>
      <c r="E259">
        <v>262.48545994065</v>
      </c>
      <c r="F259">
        <v>170.90532544378999</v>
      </c>
      <c r="G259">
        <v>126.90118343195</v>
      </c>
      <c r="I259" s="9">
        <f t="shared" si="26"/>
        <v>135.58427650869999</v>
      </c>
      <c r="J259" s="9">
        <f t="shared" si="27"/>
        <v>434.93206328025002</v>
      </c>
      <c r="K259" s="9">
        <f t="shared" ref="K259:K321" si="31">I259*1</f>
        <v>135.58427650869999</v>
      </c>
      <c r="L259" s="10">
        <f t="shared" si="30"/>
        <v>0.31173667787590947</v>
      </c>
      <c r="M259" s="10">
        <f t="shared" si="28"/>
        <v>0.32770418204467766</v>
      </c>
      <c r="P259" s="8">
        <f t="shared" si="29"/>
        <v>10.881517285880756</v>
      </c>
    </row>
    <row r="260" spans="1:16" x14ac:dyDescent="0.2">
      <c r="A260" s="8">
        <v>129</v>
      </c>
      <c r="B260" s="8">
        <v>258</v>
      </c>
      <c r="D260">
        <v>605.82255192877994</v>
      </c>
      <c r="E260">
        <v>261.76379821959</v>
      </c>
      <c r="F260">
        <v>169.79881656805</v>
      </c>
      <c r="G260">
        <v>126.97396449704</v>
      </c>
      <c r="I260" s="9">
        <f t="shared" si="26"/>
        <v>134.78983372254999</v>
      </c>
      <c r="J260" s="9">
        <f t="shared" si="27"/>
        <v>436.02373536072992</v>
      </c>
      <c r="K260" s="9">
        <f t="shared" si="31"/>
        <v>134.78983372254999</v>
      </c>
      <c r="L260" s="10">
        <f t="shared" si="30"/>
        <v>0.30913416585231546</v>
      </c>
      <c r="M260" s="10">
        <f t="shared" si="28"/>
        <v>0.32516380038749909</v>
      </c>
      <c r="P260" s="8">
        <f t="shared" si="29"/>
        <v>10.021957389892682</v>
      </c>
    </row>
    <row r="261" spans="1:16" x14ac:dyDescent="0.2">
      <c r="A261" s="8">
        <v>129.5</v>
      </c>
      <c r="B261" s="8">
        <v>259</v>
      </c>
      <c r="D261">
        <v>605.68664688426998</v>
      </c>
      <c r="E261">
        <v>262.40949554896002</v>
      </c>
      <c r="F261">
        <v>169.24437869823001</v>
      </c>
      <c r="G261">
        <v>126.7426035503</v>
      </c>
      <c r="I261" s="9">
        <f t="shared" si="26"/>
        <v>135.66689199866002</v>
      </c>
      <c r="J261" s="9">
        <f t="shared" si="27"/>
        <v>436.44226818604</v>
      </c>
      <c r="K261" s="9">
        <f t="shared" si="31"/>
        <v>135.66689199866002</v>
      </c>
      <c r="L261" s="10">
        <f t="shared" si="30"/>
        <v>0.31084728012830781</v>
      </c>
      <c r="M261" s="10">
        <f t="shared" si="28"/>
        <v>0.32693904502990689</v>
      </c>
      <c r="P261" s="8">
        <f t="shared" si="29"/>
        <v>10.622626622356037</v>
      </c>
    </row>
    <row r="262" spans="1:16" x14ac:dyDescent="0.2">
      <c r="A262" s="8">
        <v>130</v>
      </c>
      <c r="B262" s="8">
        <v>260</v>
      </c>
      <c r="D262">
        <v>605.30385756677003</v>
      </c>
      <c r="E262">
        <v>261.95311572700001</v>
      </c>
      <c r="F262">
        <v>170.04497041420001</v>
      </c>
      <c r="G262">
        <v>126.45029585799</v>
      </c>
      <c r="I262" s="9">
        <f t="shared" si="26"/>
        <v>135.50281986901001</v>
      </c>
      <c r="J262" s="9">
        <f t="shared" si="27"/>
        <v>435.25888715257003</v>
      </c>
      <c r="K262" s="9">
        <f t="shared" si="31"/>
        <v>135.50281986901001</v>
      </c>
      <c r="L262" s="10">
        <f t="shared" si="30"/>
        <v>0.31131545815286848</v>
      </c>
      <c r="M262" s="10">
        <f t="shared" si="28"/>
        <v>0.32746935342088301</v>
      </c>
      <c r="P262" s="8">
        <f t="shared" si="29"/>
        <v>10.802061009350981</v>
      </c>
    </row>
    <row r="263" spans="1:16" x14ac:dyDescent="0.2">
      <c r="A263" s="8">
        <v>130.5</v>
      </c>
      <c r="B263" s="8">
        <v>261</v>
      </c>
      <c r="D263">
        <v>606.26112759644002</v>
      </c>
      <c r="E263">
        <v>262.43026706232001</v>
      </c>
      <c r="F263">
        <v>170.16982248521001</v>
      </c>
      <c r="G263">
        <v>126.84437869823</v>
      </c>
      <c r="I263" s="9">
        <f t="shared" si="26"/>
        <v>135.58588836409001</v>
      </c>
      <c r="J263" s="9">
        <f t="shared" si="27"/>
        <v>436.09130511122999</v>
      </c>
      <c r="K263" s="9">
        <f t="shared" si="31"/>
        <v>135.58588836409001</v>
      </c>
      <c r="L263" s="10">
        <f t="shared" si="30"/>
        <v>0.31091169847907724</v>
      </c>
      <c r="M263" s="10">
        <f t="shared" si="28"/>
        <v>0.32712772411350721</v>
      </c>
      <c r="P263" s="8">
        <f t="shared" si="29"/>
        <v>10.686467806619168</v>
      </c>
    </row>
    <row r="264" spans="1:16" x14ac:dyDescent="0.2">
      <c r="A264" s="8">
        <v>131</v>
      </c>
      <c r="B264" s="8">
        <v>262</v>
      </c>
      <c r="D264">
        <v>604.2118694362</v>
      </c>
      <c r="E264">
        <v>260.76854599407</v>
      </c>
      <c r="F264">
        <v>169.89408284024</v>
      </c>
      <c r="G264">
        <v>126.61360946745999</v>
      </c>
      <c r="I264" s="9">
        <f t="shared" si="26"/>
        <v>134.15493652661002</v>
      </c>
      <c r="J264" s="9">
        <f t="shared" si="27"/>
        <v>434.31778659596</v>
      </c>
      <c r="K264" s="9">
        <f t="shared" si="31"/>
        <v>134.15493652661002</v>
      </c>
      <c r="L264" s="10">
        <f t="shared" si="30"/>
        <v>0.30888658182312151</v>
      </c>
      <c r="M264" s="10">
        <f t="shared" si="28"/>
        <v>0.32516473782396693</v>
      </c>
      <c r="P264" s="8">
        <f t="shared" si="29"/>
        <v>10.022274579552164</v>
      </c>
    </row>
    <row r="265" spans="1:16" x14ac:dyDescent="0.2">
      <c r="A265" s="8">
        <v>131.5</v>
      </c>
      <c r="B265" s="8">
        <v>263</v>
      </c>
      <c r="D265">
        <v>605.29258160236998</v>
      </c>
      <c r="E265">
        <v>261.76735905045001</v>
      </c>
      <c r="F265">
        <v>170.13431952663001</v>
      </c>
      <c r="G265">
        <v>126.41538461539</v>
      </c>
      <c r="I265" s="9">
        <f t="shared" si="26"/>
        <v>135.35197443506001</v>
      </c>
      <c r="J265" s="9">
        <f t="shared" si="27"/>
        <v>435.15826207573997</v>
      </c>
      <c r="K265" s="9">
        <f t="shared" si="31"/>
        <v>135.35197443506001</v>
      </c>
      <c r="L265" s="10">
        <f t="shared" si="30"/>
        <v>0.31104080108561005</v>
      </c>
      <c r="M265" s="10">
        <f t="shared" si="28"/>
        <v>0.32738108745287087</v>
      </c>
      <c r="P265" s="8">
        <f t="shared" si="29"/>
        <v>10.772195462940104</v>
      </c>
    </row>
    <row r="266" spans="1:16" x14ac:dyDescent="0.2">
      <c r="A266" s="8">
        <v>132</v>
      </c>
      <c r="B266" s="8">
        <v>264</v>
      </c>
      <c r="D266">
        <v>603.45756676558005</v>
      </c>
      <c r="E266">
        <v>262.03264094956</v>
      </c>
      <c r="F266">
        <v>169.19881656805001</v>
      </c>
      <c r="G266">
        <v>126.66568047337</v>
      </c>
      <c r="I266" s="9">
        <f t="shared" si="26"/>
        <v>135.36696047619</v>
      </c>
      <c r="J266" s="9">
        <f t="shared" si="27"/>
        <v>434.25875019753005</v>
      </c>
      <c r="K266" s="9">
        <f t="shared" si="31"/>
        <v>135.36696047619</v>
      </c>
      <c r="L266" s="10">
        <f t="shared" si="30"/>
        <v>0.31171959209714489</v>
      </c>
      <c r="M266" s="10">
        <f t="shared" si="28"/>
        <v>0.32812200883082115</v>
      </c>
      <c r="P266" s="8">
        <f t="shared" si="29"/>
        <v>11.022892558302386</v>
      </c>
    </row>
    <row r="267" spans="1:16" x14ac:dyDescent="0.2">
      <c r="A267" s="8">
        <v>132.5</v>
      </c>
      <c r="B267" s="8">
        <v>265</v>
      </c>
      <c r="D267">
        <v>606.90029673591005</v>
      </c>
      <c r="E267">
        <v>261.17388724035999</v>
      </c>
      <c r="F267">
        <v>169.84970414201001</v>
      </c>
      <c r="G267">
        <v>126.95384615384999</v>
      </c>
      <c r="I267" s="9">
        <f t="shared" si="26"/>
        <v>134.22004108650998</v>
      </c>
      <c r="J267" s="9">
        <f t="shared" si="27"/>
        <v>437.05059259390003</v>
      </c>
      <c r="K267" s="9">
        <f t="shared" si="31"/>
        <v>134.22004108650998</v>
      </c>
      <c r="L267" s="10">
        <f t="shared" si="30"/>
        <v>0.30710412789950148</v>
      </c>
      <c r="M267" s="10">
        <f t="shared" si="28"/>
        <v>0.32356867499959319</v>
      </c>
      <c r="P267" s="8">
        <f t="shared" si="29"/>
        <v>9.4822330501888885</v>
      </c>
    </row>
    <row r="268" spans="1:16" x14ac:dyDescent="0.2">
      <c r="A268" s="8">
        <v>133</v>
      </c>
      <c r="B268" s="8">
        <v>266</v>
      </c>
      <c r="D268">
        <v>607.52284866468995</v>
      </c>
      <c r="E268">
        <v>261.90326409495998</v>
      </c>
      <c r="F268">
        <v>169.60295857988001</v>
      </c>
      <c r="G268">
        <v>126.56153846154</v>
      </c>
      <c r="I268" s="9">
        <f t="shared" si="26"/>
        <v>135.34172563341997</v>
      </c>
      <c r="J268" s="9">
        <f t="shared" si="27"/>
        <v>437.91989008480994</v>
      </c>
      <c r="K268" s="9">
        <f t="shared" si="31"/>
        <v>135.34172563341997</v>
      </c>
      <c r="L268" s="10">
        <f t="shared" si="30"/>
        <v>0.30905589971537706</v>
      </c>
      <c r="M268" s="10">
        <f t="shared" si="28"/>
        <v>0.32558257718188421</v>
      </c>
      <c r="P268" s="8">
        <f t="shared" si="29"/>
        <v>10.163654105741154</v>
      </c>
    </row>
    <row r="269" spans="1:16" x14ac:dyDescent="0.2">
      <c r="A269" s="8">
        <v>133.5</v>
      </c>
      <c r="B269" s="8">
        <v>267</v>
      </c>
      <c r="D269">
        <v>605.05578635015002</v>
      </c>
      <c r="E269">
        <v>260.98516320474999</v>
      </c>
      <c r="F269">
        <v>169.81360946746</v>
      </c>
      <c r="G269">
        <v>127.05266272189</v>
      </c>
      <c r="I269" s="9">
        <f t="shared" si="26"/>
        <v>133.93250048286001</v>
      </c>
      <c r="J269" s="9">
        <f t="shared" si="27"/>
        <v>435.24217688269005</v>
      </c>
      <c r="K269" s="9">
        <f t="shared" si="31"/>
        <v>133.93250048286001</v>
      </c>
      <c r="L269" s="10">
        <f t="shared" si="30"/>
        <v>0.30771948950838596</v>
      </c>
      <c r="M269" s="10">
        <f t="shared" si="28"/>
        <v>0.32430829734130856</v>
      </c>
      <c r="P269" s="8">
        <f t="shared" si="29"/>
        <v>9.732490605512842</v>
      </c>
    </row>
    <row r="270" spans="1:16" x14ac:dyDescent="0.2">
      <c r="A270" s="8">
        <v>134</v>
      </c>
      <c r="B270" s="8">
        <v>268</v>
      </c>
      <c r="D270">
        <v>606.41721068249001</v>
      </c>
      <c r="E270">
        <v>261.61483679525003</v>
      </c>
      <c r="F270">
        <v>169.03017751479001</v>
      </c>
      <c r="G270">
        <v>126.9875739645</v>
      </c>
      <c r="I270" s="9">
        <f t="shared" si="26"/>
        <v>134.62726283075003</v>
      </c>
      <c r="J270" s="9">
        <f t="shared" si="27"/>
        <v>437.3870331677</v>
      </c>
      <c r="K270" s="9">
        <f t="shared" si="31"/>
        <v>134.62726283075003</v>
      </c>
      <c r="L270" s="10">
        <f t="shared" si="30"/>
        <v>0.30779893463172731</v>
      </c>
      <c r="M270" s="10">
        <f t="shared" si="28"/>
        <v>0.32444987283106536</v>
      </c>
      <c r="P270" s="8">
        <f t="shared" si="29"/>
        <v>9.7803938852841839</v>
      </c>
    </row>
    <row r="271" spans="1:16" x14ac:dyDescent="0.2">
      <c r="A271" s="8">
        <v>134.5</v>
      </c>
      <c r="B271" s="8">
        <v>269</v>
      </c>
      <c r="D271">
        <v>606.07537091988002</v>
      </c>
      <c r="E271">
        <v>260.92581602374003</v>
      </c>
      <c r="F271">
        <v>169.09526627219</v>
      </c>
      <c r="G271">
        <v>126.31656804734</v>
      </c>
      <c r="I271" s="9">
        <f t="shared" si="26"/>
        <v>134.60924797640001</v>
      </c>
      <c r="J271" s="9">
        <f t="shared" si="27"/>
        <v>436.98010464769004</v>
      </c>
      <c r="K271" s="9">
        <f t="shared" si="31"/>
        <v>134.60924797640001</v>
      </c>
      <c r="L271" s="10">
        <f t="shared" si="30"/>
        <v>0.30804434010771981</v>
      </c>
      <c r="M271" s="10">
        <f t="shared" si="28"/>
        <v>0.3247574086734733</v>
      </c>
      <c r="P271" s="8">
        <f t="shared" si="29"/>
        <v>9.8844512720810833</v>
      </c>
    </row>
    <row r="272" spans="1:16" x14ac:dyDescent="0.2">
      <c r="A272" s="8">
        <v>135</v>
      </c>
      <c r="B272" s="8">
        <v>270</v>
      </c>
      <c r="D272">
        <v>603.88545994064998</v>
      </c>
      <c r="E272">
        <v>260.01721068248997</v>
      </c>
      <c r="F272">
        <v>169.19822485207001</v>
      </c>
      <c r="G272">
        <v>126.43076923077</v>
      </c>
      <c r="I272" s="9">
        <f t="shared" si="26"/>
        <v>133.58644145171996</v>
      </c>
      <c r="J272" s="9">
        <f t="shared" si="27"/>
        <v>434.68723508858</v>
      </c>
      <c r="K272" s="9">
        <f t="shared" si="31"/>
        <v>133.58644145171996</v>
      </c>
      <c r="L272" s="10">
        <f t="shared" si="30"/>
        <v>0.30731622801046343</v>
      </c>
      <c r="M272" s="10">
        <f t="shared" si="28"/>
        <v>0.32409142694263238</v>
      </c>
      <c r="P272" s="8">
        <f t="shared" si="29"/>
        <v>9.6591106482917564</v>
      </c>
    </row>
    <row r="273" spans="1:16" x14ac:dyDescent="0.2">
      <c r="A273" s="8">
        <v>135.5</v>
      </c>
      <c r="B273" s="8">
        <v>271</v>
      </c>
      <c r="D273">
        <v>605.12818991098004</v>
      </c>
      <c r="E273">
        <v>260.13827893174999</v>
      </c>
      <c r="F273">
        <v>169.84378698225001</v>
      </c>
      <c r="G273">
        <v>126.40177514793</v>
      </c>
      <c r="I273" s="9">
        <f t="shared" si="26"/>
        <v>133.73650378382001</v>
      </c>
      <c r="J273" s="9">
        <f t="shared" si="27"/>
        <v>435.28440292873006</v>
      </c>
      <c r="K273" s="9">
        <f t="shared" si="31"/>
        <v>133.73650378382001</v>
      </c>
      <c r="L273" s="10">
        <f t="shared" si="30"/>
        <v>0.30723936553664422</v>
      </c>
      <c r="M273" s="10">
        <f t="shared" si="28"/>
        <v>0.32407669483522861</v>
      </c>
      <c r="P273" s="8">
        <f t="shared" si="29"/>
        <v>9.6541259135484996</v>
      </c>
    </row>
    <row r="274" spans="1:16" x14ac:dyDescent="0.2">
      <c r="A274" s="8">
        <v>136</v>
      </c>
      <c r="B274" s="8">
        <v>272</v>
      </c>
      <c r="D274">
        <v>603.95192878338003</v>
      </c>
      <c r="E274">
        <v>261.10801186944002</v>
      </c>
      <c r="F274">
        <v>169.29881656805</v>
      </c>
      <c r="G274">
        <v>126.67396449704</v>
      </c>
      <c r="I274" s="9">
        <f t="shared" si="26"/>
        <v>134.43404737240002</v>
      </c>
      <c r="J274" s="9">
        <f t="shared" si="27"/>
        <v>434.65311221533</v>
      </c>
      <c r="K274" s="9">
        <f t="shared" si="31"/>
        <v>134.43404737240002</v>
      </c>
      <c r="L274" s="10">
        <f t="shared" si="30"/>
        <v>0.30929042860689449</v>
      </c>
      <c r="M274" s="10">
        <f t="shared" si="28"/>
        <v>0.32618988827189427</v>
      </c>
      <c r="P274" s="8">
        <f t="shared" si="29"/>
        <v>10.369143015600949</v>
      </c>
    </row>
    <row r="275" spans="1:16" x14ac:dyDescent="0.2">
      <c r="A275" s="8">
        <v>136.5</v>
      </c>
      <c r="B275" s="8">
        <v>273</v>
      </c>
      <c r="D275">
        <v>604.38456973294001</v>
      </c>
      <c r="E275">
        <v>260.58635014837</v>
      </c>
      <c r="F275">
        <v>169.45739644970001</v>
      </c>
      <c r="G275">
        <v>126.93786982249</v>
      </c>
      <c r="I275" s="9">
        <f>E275-G275</f>
        <v>133.64848032588</v>
      </c>
      <c r="J275" s="9">
        <f>D275-F275</f>
        <v>434.92717328323999</v>
      </c>
      <c r="K275" s="9">
        <f t="shared" si="31"/>
        <v>133.64848032588</v>
      </c>
      <c r="L275" s="10">
        <f t="shared" si="30"/>
        <v>0.30728933149192628</v>
      </c>
      <c r="M275" s="10">
        <f>L275+ABS($N$2)*A275</f>
        <v>0.32425092152334151</v>
      </c>
      <c r="O275" s="11"/>
      <c r="P275" s="8">
        <f>(M275-$O$2)/$O$2*100</f>
        <v>9.7130770059914351</v>
      </c>
    </row>
    <row r="276" spans="1:16" x14ac:dyDescent="0.2">
      <c r="A276" s="8">
        <v>137</v>
      </c>
      <c r="B276" s="8">
        <v>274</v>
      </c>
      <c r="D276">
        <v>603.79465875371</v>
      </c>
      <c r="E276">
        <v>260.58753709198999</v>
      </c>
      <c r="F276">
        <v>169.01183431953001</v>
      </c>
      <c r="G276">
        <v>126.64792899408</v>
      </c>
      <c r="I276" s="9">
        <f t="shared" ref="I276:I291" si="32">E276-G276</f>
        <v>133.93960809790997</v>
      </c>
      <c r="J276" s="9">
        <f t="shared" ref="J276:J291" si="33">D276-F276</f>
        <v>434.78282443417999</v>
      </c>
      <c r="K276" s="9">
        <f t="shared" si="31"/>
        <v>133.93960809790997</v>
      </c>
      <c r="L276" s="10">
        <f t="shared" si="30"/>
        <v>0.30806094576577864</v>
      </c>
      <c r="M276" s="10">
        <f t="shared" ref="M276:M291" si="34">L276+ABS($N$2)*A276</f>
        <v>0.32508466616360931</v>
      </c>
      <c r="P276" s="8">
        <f t="shared" ref="P276:P291" si="35">(M276-$O$2)/$O$2*100</f>
        <v>9.9951816473330641</v>
      </c>
    </row>
    <row r="277" spans="1:16" x14ac:dyDescent="0.2">
      <c r="A277" s="8">
        <v>137.5</v>
      </c>
      <c r="B277" s="8">
        <v>275</v>
      </c>
      <c r="D277">
        <v>603.81483679525002</v>
      </c>
      <c r="E277">
        <v>260.43264094955998</v>
      </c>
      <c r="F277">
        <v>168.93136094675</v>
      </c>
      <c r="G277">
        <v>126.77869822485</v>
      </c>
      <c r="I277" s="9">
        <f t="shared" si="32"/>
        <v>133.65394272470996</v>
      </c>
      <c r="J277" s="9">
        <f t="shared" si="33"/>
        <v>434.88347584849998</v>
      </c>
      <c r="K277" s="9">
        <f t="shared" si="31"/>
        <v>133.65394272470996</v>
      </c>
      <c r="L277" s="10">
        <f t="shared" si="30"/>
        <v>0.30733276876969884</v>
      </c>
      <c r="M277" s="10">
        <f t="shared" si="34"/>
        <v>0.32441861953394496</v>
      </c>
      <c r="N277" s="1"/>
      <c r="P277" s="8">
        <f t="shared" si="35"/>
        <v>9.7698190644708713</v>
      </c>
    </row>
    <row r="278" spans="1:16" x14ac:dyDescent="0.2">
      <c r="A278" s="8">
        <v>138</v>
      </c>
      <c r="B278" s="8">
        <v>276</v>
      </c>
      <c r="D278">
        <v>604.87418397626004</v>
      </c>
      <c r="E278">
        <v>260.50326409496</v>
      </c>
      <c r="F278">
        <v>169.11834319527</v>
      </c>
      <c r="G278">
        <v>126.58343195266001</v>
      </c>
      <c r="I278" s="9">
        <f t="shared" si="32"/>
        <v>133.91983214229998</v>
      </c>
      <c r="J278" s="9">
        <f t="shared" si="33"/>
        <v>435.75584078099007</v>
      </c>
      <c r="K278" s="9">
        <f t="shared" si="31"/>
        <v>133.91983214229998</v>
      </c>
      <c r="L278" s="10">
        <f t="shared" si="30"/>
        <v>0.30732768125902826</v>
      </c>
      <c r="M278" s="10">
        <f t="shared" si="34"/>
        <v>0.32447566238968983</v>
      </c>
      <c r="P278" s="8">
        <f t="shared" si="35"/>
        <v>9.7891200033720693</v>
      </c>
    </row>
    <row r="279" spans="1:16" x14ac:dyDescent="0.2">
      <c r="A279" s="8">
        <v>138.5</v>
      </c>
      <c r="B279" s="8">
        <v>277</v>
      </c>
      <c r="D279">
        <v>604.45163204747996</v>
      </c>
      <c r="E279">
        <v>260.40237388724</v>
      </c>
      <c r="F279">
        <v>169.61597633136</v>
      </c>
      <c r="G279">
        <v>126.51893491124</v>
      </c>
      <c r="I279" s="9">
        <f t="shared" si="32"/>
        <v>133.88343897600001</v>
      </c>
      <c r="J279" s="9">
        <f t="shared" si="33"/>
        <v>434.83565571611996</v>
      </c>
      <c r="K279" s="9">
        <f t="shared" si="31"/>
        <v>133.88343897600001</v>
      </c>
      <c r="L279" s="10">
        <f t="shared" si="30"/>
        <v>0.30789434402639021</v>
      </c>
      <c r="M279" s="10">
        <f t="shared" si="34"/>
        <v>0.32510445552346723</v>
      </c>
      <c r="P279" s="8">
        <f t="shared" si="35"/>
        <v>10.001877546767336</v>
      </c>
    </row>
    <row r="280" spans="1:16" x14ac:dyDescent="0.2">
      <c r="A280" s="8">
        <v>139</v>
      </c>
      <c r="B280" s="8">
        <v>278</v>
      </c>
      <c r="D280">
        <v>603.35786350147998</v>
      </c>
      <c r="E280">
        <v>260.2</v>
      </c>
      <c r="F280">
        <v>169.21775147929</v>
      </c>
      <c r="G280">
        <v>126.10946745562001</v>
      </c>
      <c r="I280" s="9">
        <f t="shared" si="32"/>
        <v>134.09053254437998</v>
      </c>
      <c r="J280" s="9">
        <f t="shared" si="33"/>
        <v>434.14011202219001</v>
      </c>
      <c r="K280" s="9">
        <f t="shared" si="31"/>
        <v>134.09053254437998</v>
      </c>
      <c r="L280" s="10">
        <f t="shared" si="30"/>
        <v>0.30886464722137047</v>
      </c>
      <c r="M280" s="10">
        <f t="shared" si="34"/>
        <v>0.32613688908486294</v>
      </c>
      <c r="P280" s="8">
        <f t="shared" si="35"/>
        <v>10.351210286649227</v>
      </c>
    </row>
    <row r="281" spans="1:16" x14ac:dyDescent="0.2">
      <c r="A281" s="8">
        <v>139.5</v>
      </c>
      <c r="B281" s="8">
        <v>279</v>
      </c>
      <c r="D281">
        <v>602.78753709198998</v>
      </c>
      <c r="E281">
        <v>259.97863501483999</v>
      </c>
      <c r="F281">
        <v>168.98106508876</v>
      </c>
      <c r="G281">
        <v>126.39408284024</v>
      </c>
      <c r="I281" s="9">
        <f t="shared" si="32"/>
        <v>133.58455217459999</v>
      </c>
      <c r="J281" s="9">
        <f t="shared" si="33"/>
        <v>433.80647200322994</v>
      </c>
      <c r="K281" s="9">
        <f t="shared" si="31"/>
        <v>133.58455217459999</v>
      </c>
      <c r="L281" s="10">
        <f t="shared" si="30"/>
        <v>0.30793582114562223</v>
      </c>
      <c r="M281" s="10">
        <f t="shared" si="34"/>
        <v>0.32527019337553015</v>
      </c>
      <c r="P281" s="8">
        <f t="shared" si="35"/>
        <v>10.057956368812805</v>
      </c>
    </row>
    <row r="282" spans="1:16" x14ac:dyDescent="0.2">
      <c r="A282" s="8">
        <v>140</v>
      </c>
      <c r="B282" s="8">
        <v>280</v>
      </c>
      <c r="D282">
        <v>602.23857566766003</v>
      </c>
      <c r="E282">
        <v>259.99228486647002</v>
      </c>
      <c r="F282">
        <v>168.70236686390999</v>
      </c>
      <c r="G282">
        <v>126.53846153846</v>
      </c>
      <c r="I282" s="9">
        <f t="shared" si="32"/>
        <v>133.45382332801</v>
      </c>
      <c r="J282" s="9">
        <f t="shared" si="33"/>
        <v>433.53620880375001</v>
      </c>
      <c r="K282" s="9">
        <f t="shared" si="31"/>
        <v>133.45382332801</v>
      </c>
      <c r="L282" s="10">
        <f t="shared" si="30"/>
        <v>0.30782624523162011</v>
      </c>
      <c r="M282" s="10">
        <f t="shared" si="34"/>
        <v>0.32522274782794341</v>
      </c>
      <c r="P282" s="8">
        <f t="shared" si="35"/>
        <v>10.041902761342641</v>
      </c>
    </row>
    <row r="283" spans="1:16" x14ac:dyDescent="0.2">
      <c r="A283" s="8">
        <v>140.5</v>
      </c>
      <c r="B283" s="8">
        <v>281</v>
      </c>
      <c r="D283">
        <v>601.54836795252004</v>
      </c>
      <c r="E283">
        <v>260.02077151334998</v>
      </c>
      <c r="F283">
        <v>168.88047337277999</v>
      </c>
      <c r="G283">
        <v>126.43017751479</v>
      </c>
      <c r="I283" s="9">
        <f t="shared" si="32"/>
        <v>133.59059399856</v>
      </c>
      <c r="J283" s="9">
        <f t="shared" si="33"/>
        <v>432.66789457974005</v>
      </c>
      <c r="K283" s="9">
        <f t="shared" si="31"/>
        <v>133.59059399856</v>
      </c>
      <c r="L283" s="10">
        <f t="shared" si="30"/>
        <v>0.30876012681347553</v>
      </c>
      <c r="M283" s="10">
        <f t="shared" si="34"/>
        <v>0.32621875977621428</v>
      </c>
      <c r="P283" s="8">
        <f t="shared" si="35"/>
        <v>10.378911936416529</v>
      </c>
    </row>
    <row r="284" spans="1:16" x14ac:dyDescent="0.2">
      <c r="A284" s="8">
        <v>141</v>
      </c>
      <c r="B284" s="8">
        <v>282</v>
      </c>
      <c r="D284">
        <v>602.83382789318</v>
      </c>
      <c r="E284">
        <v>259.64807121662</v>
      </c>
      <c r="F284">
        <v>169.20650887574001</v>
      </c>
      <c r="G284">
        <v>126.18816568046999</v>
      </c>
      <c r="I284" s="9">
        <f t="shared" si="32"/>
        <v>133.45990553615002</v>
      </c>
      <c r="J284" s="9">
        <f t="shared" si="33"/>
        <v>433.62731901743996</v>
      </c>
      <c r="K284" s="9">
        <f t="shared" si="31"/>
        <v>133.45990553615002</v>
      </c>
      <c r="L284" s="10">
        <f t="shared" si="30"/>
        <v>0.30777559365622537</v>
      </c>
      <c r="M284" s="10">
        <f t="shared" si="34"/>
        <v>0.32529635698537956</v>
      </c>
      <c r="P284" s="8">
        <f t="shared" si="35"/>
        <v>10.066809050336973</v>
      </c>
    </row>
    <row r="285" spans="1:16" x14ac:dyDescent="0.2">
      <c r="A285" s="8">
        <v>141.5</v>
      </c>
      <c r="B285" s="8">
        <v>283</v>
      </c>
      <c r="D285">
        <v>602.49317507418004</v>
      </c>
      <c r="E285">
        <v>259.49317507417999</v>
      </c>
      <c r="F285">
        <v>169.70532544379</v>
      </c>
      <c r="G285">
        <v>126.28639053254</v>
      </c>
      <c r="I285" s="9">
        <f t="shared" si="32"/>
        <v>133.20678454163999</v>
      </c>
      <c r="J285" s="9">
        <f t="shared" si="33"/>
        <v>432.78784963039004</v>
      </c>
      <c r="K285" s="9">
        <f t="shared" si="31"/>
        <v>133.20678454163999</v>
      </c>
      <c r="L285" s="10">
        <f t="shared" si="30"/>
        <v>0.30778771782849584</v>
      </c>
      <c r="M285" s="10">
        <f t="shared" si="34"/>
        <v>0.32537061152406549</v>
      </c>
      <c r="P285" s="8">
        <f t="shared" si="35"/>
        <v>10.091933709605849</v>
      </c>
    </row>
    <row r="286" spans="1:16" x14ac:dyDescent="0.2">
      <c r="A286" s="8">
        <v>142</v>
      </c>
      <c r="B286" s="8">
        <v>284</v>
      </c>
      <c r="D286">
        <v>601.28130563798004</v>
      </c>
      <c r="E286">
        <v>259.15845697329001</v>
      </c>
      <c r="F286">
        <v>169.46449704142</v>
      </c>
      <c r="G286">
        <v>126.23136094675</v>
      </c>
      <c r="I286" s="9">
        <f t="shared" si="32"/>
        <v>132.92709602654003</v>
      </c>
      <c r="J286" s="9">
        <f t="shared" si="33"/>
        <v>431.81680859656001</v>
      </c>
      <c r="K286" s="9">
        <f t="shared" si="31"/>
        <v>132.92709602654003</v>
      </c>
      <c r="L286" s="10">
        <f t="shared" si="30"/>
        <v>0.30783214868027942</v>
      </c>
      <c r="M286" s="10">
        <f t="shared" si="34"/>
        <v>0.32547717274226451</v>
      </c>
      <c r="P286" s="8">
        <f t="shared" si="35"/>
        <v>10.127989610644452</v>
      </c>
    </row>
    <row r="287" spans="1:16" x14ac:dyDescent="0.2">
      <c r="A287" s="8">
        <v>142.5</v>
      </c>
      <c r="B287" s="8">
        <v>285</v>
      </c>
      <c r="D287">
        <v>600.18694362018005</v>
      </c>
      <c r="E287">
        <v>259.68783382789002</v>
      </c>
      <c r="F287">
        <v>168.81360946746</v>
      </c>
      <c r="G287">
        <v>126.45917159763</v>
      </c>
      <c r="I287" s="9">
        <f t="shared" si="32"/>
        <v>133.22866223026</v>
      </c>
      <c r="J287" s="9">
        <f t="shared" si="33"/>
        <v>431.37333415272008</v>
      </c>
      <c r="K287" s="9">
        <f t="shared" si="31"/>
        <v>133.22866223026</v>
      </c>
      <c r="L287" s="10">
        <f t="shared" si="30"/>
        <v>0.30884770031494985</v>
      </c>
      <c r="M287" s="10">
        <f t="shared" si="34"/>
        <v>0.32655485474335039</v>
      </c>
      <c r="P287" s="8">
        <f t="shared" si="35"/>
        <v>10.492632547718092</v>
      </c>
    </row>
    <row r="288" spans="1:16" x14ac:dyDescent="0.2">
      <c r="A288" s="8">
        <v>143</v>
      </c>
      <c r="B288" s="8">
        <v>286</v>
      </c>
      <c r="D288">
        <v>603.90860534125</v>
      </c>
      <c r="E288">
        <v>260.37507418398002</v>
      </c>
      <c r="F288">
        <v>168.65798816568</v>
      </c>
      <c r="G288">
        <v>126.25147928993999</v>
      </c>
      <c r="I288" s="9">
        <f t="shared" si="32"/>
        <v>134.12359489404002</v>
      </c>
      <c r="J288" s="9">
        <f t="shared" si="33"/>
        <v>435.25061717557003</v>
      </c>
      <c r="K288" s="9">
        <f t="shared" si="31"/>
        <v>134.12359489404002</v>
      </c>
      <c r="L288" s="10">
        <f t="shared" si="30"/>
        <v>0.30815256682321412</v>
      </c>
      <c r="M288" s="10">
        <f t="shared" si="34"/>
        <v>0.32592185161803011</v>
      </c>
      <c r="P288" s="8">
        <f t="shared" si="35"/>
        <v>10.278450517619229</v>
      </c>
    </row>
    <row r="289" spans="1:16" x14ac:dyDescent="0.2">
      <c r="A289" s="8">
        <v>143.5</v>
      </c>
      <c r="B289" s="8">
        <v>287</v>
      </c>
      <c r="D289">
        <v>602.92344213649994</v>
      </c>
      <c r="E289">
        <v>259.65459940653</v>
      </c>
      <c r="F289">
        <v>168.80887573965001</v>
      </c>
      <c r="G289">
        <v>126.12958579882</v>
      </c>
      <c r="I289" s="9">
        <f t="shared" si="32"/>
        <v>133.52501360770998</v>
      </c>
      <c r="J289" s="9">
        <f t="shared" si="33"/>
        <v>434.11456639684991</v>
      </c>
      <c r="K289" s="9">
        <f t="shared" si="31"/>
        <v>133.52501360770998</v>
      </c>
      <c r="L289" s="10">
        <f t="shared" si="30"/>
        <v>0.30758012732898449</v>
      </c>
      <c r="M289" s="10">
        <f t="shared" si="34"/>
        <v>0.32541154249021592</v>
      </c>
      <c r="P289" s="8">
        <f t="shared" si="35"/>
        <v>10.105783052639616</v>
      </c>
    </row>
    <row r="290" spans="1:16" x14ac:dyDescent="0.2">
      <c r="A290" s="8">
        <v>144</v>
      </c>
      <c r="B290" s="8">
        <v>288</v>
      </c>
      <c r="D290">
        <v>603.18872403560999</v>
      </c>
      <c r="E290">
        <v>259.63026706232</v>
      </c>
      <c r="F290">
        <v>168.78698224851999</v>
      </c>
      <c r="G290">
        <v>126.0899408284</v>
      </c>
      <c r="I290" s="9">
        <f t="shared" si="32"/>
        <v>133.54032623391998</v>
      </c>
      <c r="J290" s="9">
        <f t="shared" si="33"/>
        <v>434.40174178709003</v>
      </c>
      <c r="K290" s="9">
        <f t="shared" si="31"/>
        <v>133.54032623391998</v>
      </c>
      <c r="L290" s="10">
        <f t="shared" si="30"/>
        <v>0.30741204140790734</v>
      </c>
      <c r="M290" s="10">
        <f t="shared" si="34"/>
        <v>0.32530558693555423</v>
      </c>
      <c r="P290" s="8">
        <f t="shared" si="35"/>
        <v>10.069932083047307</v>
      </c>
    </row>
    <row r="291" spans="1:16" x14ac:dyDescent="0.2">
      <c r="A291" s="8">
        <v>144.5</v>
      </c>
      <c r="B291" s="8">
        <v>289</v>
      </c>
      <c r="D291">
        <v>603.90741839762995</v>
      </c>
      <c r="E291">
        <v>259.70979228486999</v>
      </c>
      <c r="F291">
        <v>168.82544378698</v>
      </c>
      <c r="G291">
        <v>126.56094674556</v>
      </c>
      <c r="I291" s="9">
        <f t="shared" si="32"/>
        <v>133.14884553931</v>
      </c>
      <c r="J291" s="9">
        <f t="shared" si="33"/>
        <v>435.08197461064992</v>
      </c>
      <c r="K291" s="9">
        <f t="shared" si="31"/>
        <v>133.14884553931</v>
      </c>
      <c r="L291" s="10">
        <f t="shared" si="30"/>
        <v>0.30603162923139587</v>
      </c>
      <c r="M291" s="10">
        <f t="shared" si="34"/>
        <v>0.32398730512545815</v>
      </c>
      <c r="P291" s="8">
        <f t="shared" si="35"/>
        <v>9.6238801394871185</v>
      </c>
    </row>
    <row r="292" spans="1:16" x14ac:dyDescent="0.2">
      <c r="A292" s="8">
        <v>145</v>
      </c>
      <c r="B292" s="8">
        <v>290</v>
      </c>
      <c r="D292">
        <v>603.95252225519005</v>
      </c>
      <c r="E292">
        <v>259.10979228487003</v>
      </c>
      <c r="F292">
        <v>168.61479289940999</v>
      </c>
      <c r="G292">
        <v>126.29881656805</v>
      </c>
      <c r="I292" s="9">
        <f>E292-G292</f>
        <v>132.81097571682002</v>
      </c>
      <c r="J292" s="9">
        <f>D292-F292</f>
        <v>435.33772935578008</v>
      </c>
      <c r="K292" s="9">
        <f t="shared" si="31"/>
        <v>132.81097571682002</v>
      </c>
      <c r="L292" s="10">
        <f t="shared" si="30"/>
        <v>0.30507573031484286</v>
      </c>
      <c r="M292" s="10">
        <f>L292+ABS($N$2)*A292</f>
        <v>0.32309353657532058</v>
      </c>
      <c r="O292" s="11"/>
      <c r="P292" s="8">
        <f>(M292-$O$2)/$O$2*100</f>
        <v>9.3214658940438184</v>
      </c>
    </row>
    <row r="293" spans="1:16" x14ac:dyDescent="0.2">
      <c r="A293" s="8">
        <v>145.5</v>
      </c>
      <c r="B293" s="8">
        <v>291</v>
      </c>
      <c r="D293">
        <v>604.79465875371</v>
      </c>
      <c r="E293">
        <v>259.86409495548997</v>
      </c>
      <c r="F293">
        <v>168.43076923077001</v>
      </c>
      <c r="G293">
        <v>126.39112426036</v>
      </c>
      <c r="I293" s="9">
        <f t="shared" ref="I293:I301" si="36">E293-G293</f>
        <v>133.47297069512996</v>
      </c>
      <c r="J293" s="9">
        <f t="shared" ref="J293:J301" si="37">D293-F293</f>
        <v>436.36388952293998</v>
      </c>
      <c r="K293" s="9">
        <f t="shared" si="31"/>
        <v>133.47297069512996</v>
      </c>
      <c r="L293" s="10">
        <f t="shared" si="30"/>
        <v>0.30587538038734341</v>
      </c>
      <c r="M293" s="10">
        <f t="shared" ref="M293:M301" si="38">L293+ABS($N$2)*A293</f>
        <v>0.32395531701423658</v>
      </c>
      <c r="P293" s="8">
        <f t="shared" ref="P293:P301" si="39">(M293-$O$2)/$O$2*100</f>
        <v>9.613056688027859</v>
      </c>
    </row>
    <row r="294" spans="1:16" x14ac:dyDescent="0.2">
      <c r="A294" s="8">
        <v>146</v>
      </c>
      <c r="B294" s="8">
        <v>292</v>
      </c>
      <c r="D294">
        <v>603.85519287833995</v>
      </c>
      <c r="E294">
        <v>261.28427299702997</v>
      </c>
      <c r="F294">
        <v>169.10887573964999</v>
      </c>
      <c r="G294">
        <v>126.39112426036</v>
      </c>
      <c r="I294" s="9">
        <f t="shared" si="36"/>
        <v>134.89314873666996</v>
      </c>
      <c r="J294" s="9">
        <f t="shared" si="37"/>
        <v>434.74631713868996</v>
      </c>
      <c r="K294" s="9">
        <f t="shared" si="31"/>
        <v>134.89314873666996</v>
      </c>
      <c r="L294" s="10">
        <f t="shared" si="30"/>
        <v>0.3102801413580169</v>
      </c>
      <c r="M294" s="10">
        <f t="shared" si="38"/>
        <v>0.32842220835132552</v>
      </c>
      <c r="N294" s="1"/>
      <c r="P294" s="8">
        <f t="shared" si="39"/>
        <v>11.124467637736313</v>
      </c>
    </row>
    <row r="295" spans="1:16" x14ac:dyDescent="0.2">
      <c r="A295" s="8">
        <v>146.5</v>
      </c>
      <c r="B295" s="8">
        <v>293</v>
      </c>
      <c r="D295">
        <v>604.47893175074</v>
      </c>
      <c r="E295">
        <v>259.60059347180999</v>
      </c>
      <c r="F295">
        <v>168.32840236685999</v>
      </c>
      <c r="G295">
        <v>125.6573964497</v>
      </c>
      <c r="I295" s="9">
        <f t="shared" si="36"/>
        <v>133.94319702210998</v>
      </c>
      <c r="J295" s="9">
        <f t="shared" si="37"/>
        <v>436.15052938387998</v>
      </c>
      <c r="K295" s="9">
        <f t="shared" si="31"/>
        <v>133.94319702210998</v>
      </c>
      <c r="L295" s="10">
        <f t="shared" si="30"/>
        <v>0.30710313985247795</v>
      </c>
      <c r="M295" s="10">
        <f t="shared" si="38"/>
        <v>0.32530733721220201</v>
      </c>
      <c r="P295" s="8">
        <f t="shared" si="39"/>
        <v>10.0705243041449</v>
      </c>
    </row>
    <row r="296" spans="1:16" x14ac:dyDescent="0.2">
      <c r="A296" s="8">
        <v>147</v>
      </c>
      <c r="B296" s="8">
        <v>294</v>
      </c>
      <c r="D296">
        <v>602.03323442137003</v>
      </c>
      <c r="E296">
        <v>260.11750741840001</v>
      </c>
      <c r="F296">
        <v>168.84142011834001</v>
      </c>
      <c r="G296">
        <v>126.13136094674999</v>
      </c>
      <c r="I296" s="9">
        <f t="shared" si="36"/>
        <v>133.98614647165002</v>
      </c>
      <c r="J296" s="9">
        <f t="shared" si="37"/>
        <v>433.19181430303001</v>
      </c>
      <c r="K296" s="9">
        <f t="shared" si="31"/>
        <v>133.98614647165002</v>
      </c>
      <c r="L296" s="10">
        <f t="shared" si="30"/>
        <v>0.30929981141777274</v>
      </c>
      <c r="M296" s="10">
        <f t="shared" si="38"/>
        <v>0.32756613914391225</v>
      </c>
      <c r="P296" s="8">
        <f t="shared" si="39"/>
        <v>10.834809287856716</v>
      </c>
    </row>
    <row r="297" spans="1:16" x14ac:dyDescent="0.2">
      <c r="A297" s="8">
        <v>147.5</v>
      </c>
      <c r="B297" s="8">
        <v>295</v>
      </c>
      <c r="D297">
        <v>603.28308605340999</v>
      </c>
      <c r="E297">
        <v>259.20890207715001</v>
      </c>
      <c r="F297">
        <v>168.85443786982</v>
      </c>
      <c r="G297">
        <v>126.19349112426001</v>
      </c>
      <c r="I297" s="9">
        <f t="shared" si="36"/>
        <v>133.01541095289002</v>
      </c>
      <c r="J297" s="9">
        <f t="shared" si="37"/>
        <v>434.42864818358998</v>
      </c>
      <c r="K297" s="9">
        <f t="shared" si="31"/>
        <v>133.01541095289002</v>
      </c>
      <c r="L297" s="10">
        <f t="shared" si="30"/>
        <v>0.30618471297656591</v>
      </c>
      <c r="M297" s="10">
        <f t="shared" si="38"/>
        <v>0.32451317106912086</v>
      </c>
      <c r="P297" s="8">
        <f t="shared" si="39"/>
        <v>9.8018113863771692</v>
      </c>
    </row>
    <row r="298" spans="1:16" x14ac:dyDescent="0.2">
      <c r="A298" s="8">
        <v>148</v>
      </c>
      <c r="B298" s="8">
        <v>296</v>
      </c>
      <c r="D298">
        <v>601.19881305638</v>
      </c>
      <c r="E298">
        <v>260.64569732938003</v>
      </c>
      <c r="F298">
        <v>168.56331360946999</v>
      </c>
      <c r="G298">
        <v>125.96390532544</v>
      </c>
      <c r="I298" s="9">
        <f t="shared" si="36"/>
        <v>134.68179200394002</v>
      </c>
      <c r="J298" s="9">
        <f t="shared" si="37"/>
        <v>432.63549944690999</v>
      </c>
      <c r="K298" s="9">
        <f t="shared" si="31"/>
        <v>134.68179200394002</v>
      </c>
      <c r="L298" s="10">
        <f t="shared" si="30"/>
        <v>0.31130545731018366</v>
      </c>
      <c r="M298" s="10">
        <f t="shared" si="38"/>
        <v>0.32969604576915401</v>
      </c>
      <c r="P298" s="8">
        <f t="shared" si="39"/>
        <v>11.55548144043809</v>
      </c>
    </row>
    <row r="299" spans="1:16" x14ac:dyDescent="0.2">
      <c r="A299" s="8">
        <v>148.5</v>
      </c>
      <c r="B299" s="8">
        <v>297</v>
      </c>
      <c r="D299">
        <v>602.42789317507004</v>
      </c>
      <c r="E299">
        <v>258.75074183976</v>
      </c>
      <c r="F299">
        <v>168.66449704141999</v>
      </c>
      <c r="G299">
        <v>125.98520710059</v>
      </c>
      <c r="I299" s="9">
        <f t="shared" si="36"/>
        <v>132.76553473916999</v>
      </c>
      <c r="J299" s="9">
        <f t="shared" si="37"/>
        <v>433.76339613365008</v>
      </c>
      <c r="K299" s="9">
        <f t="shared" si="31"/>
        <v>132.76553473916999</v>
      </c>
      <c r="L299" s="10">
        <f t="shared" si="30"/>
        <v>0.30607823509907833</v>
      </c>
      <c r="M299" s="10">
        <f t="shared" si="38"/>
        <v>0.32453095392446413</v>
      </c>
      <c r="P299" s="8">
        <f t="shared" si="39"/>
        <v>9.8078283678201075</v>
      </c>
    </row>
    <row r="300" spans="1:16" x14ac:dyDescent="0.2">
      <c r="A300" s="8">
        <v>149</v>
      </c>
      <c r="B300" s="8">
        <v>298</v>
      </c>
      <c r="D300">
        <v>602.53293768545996</v>
      </c>
      <c r="E300">
        <v>259.47596439169001</v>
      </c>
      <c r="F300">
        <v>168.89585798817001</v>
      </c>
      <c r="G300">
        <v>126.27988165681001</v>
      </c>
      <c r="I300" s="9">
        <f t="shared" si="36"/>
        <v>133.19608273488001</v>
      </c>
      <c r="J300" s="9">
        <f t="shared" si="37"/>
        <v>433.63707969728995</v>
      </c>
      <c r="K300" s="9">
        <f t="shared" si="31"/>
        <v>133.19608273488001</v>
      </c>
      <c r="L300" s="10">
        <f t="shared" si="30"/>
        <v>0.30716027058355</v>
      </c>
      <c r="M300" s="10">
        <f t="shared" si="38"/>
        <v>0.32567511977535124</v>
      </c>
      <c r="P300" s="8">
        <f t="shared" si="39"/>
        <v>10.194966685010572</v>
      </c>
    </row>
    <row r="301" spans="1:16" x14ac:dyDescent="0.2">
      <c r="A301" s="8">
        <v>149.5</v>
      </c>
      <c r="B301" s="8">
        <v>299</v>
      </c>
      <c r="D301">
        <v>603.04925816024002</v>
      </c>
      <c r="E301">
        <v>258.86172106825001</v>
      </c>
      <c r="F301">
        <v>168.70414201182999</v>
      </c>
      <c r="G301">
        <v>125.95857988166</v>
      </c>
      <c r="I301" s="9">
        <f t="shared" si="36"/>
        <v>132.90314118659001</v>
      </c>
      <c r="J301" s="9">
        <f t="shared" si="37"/>
        <v>434.34511614841006</v>
      </c>
      <c r="K301" s="9">
        <f t="shared" si="31"/>
        <v>132.90314118659001</v>
      </c>
      <c r="L301" s="10">
        <f t="shared" si="30"/>
        <v>0.30598511700815056</v>
      </c>
      <c r="M301" s="10">
        <f t="shared" si="38"/>
        <v>0.32456209656636725</v>
      </c>
      <c r="P301" s="8">
        <f t="shared" si="39"/>
        <v>9.8183657474927255</v>
      </c>
    </row>
    <row r="302" spans="1:16" x14ac:dyDescent="0.2">
      <c r="A302" s="8">
        <v>150</v>
      </c>
      <c r="B302" s="8">
        <v>300</v>
      </c>
      <c r="D302">
        <v>601.94540059347003</v>
      </c>
      <c r="E302">
        <v>259.37210682492997</v>
      </c>
      <c r="F302">
        <v>168.23727810650999</v>
      </c>
      <c r="G302">
        <v>126.31715976331</v>
      </c>
      <c r="I302" s="9">
        <f>E302-G302</f>
        <v>133.05494706161997</v>
      </c>
      <c r="J302" s="9">
        <f>D302-F302</f>
        <v>433.70812248696006</v>
      </c>
      <c r="K302" s="9">
        <f t="shared" si="31"/>
        <v>133.05494706161997</v>
      </c>
      <c r="L302" s="10">
        <f t="shared" si="30"/>
        <v>0.30678454048464454</v>
      </c>
      <c r="M302" s="10">
        <f>L302+ABS($N$2)*A302</f>
        <v>0.32542365040927668</v>
      </c>
      <c r="O302" s="11"/>
      <c r="P302" s="8">
        <f>(M302-$O$2)/$O$2*100</f>
        <v>10.109879870776799</v>
      </c>
    </row>
    <row r="303" spans="1:16" x14ac:dyDescent="0.2">
      <c r="A303" s="8">
        <v>150.5</v>
      </c>
      <c r="B303" s="8">
        <v>301</v>
      </c>
      <c r="D303">
        <v>600.80593471810005</v>
      </c>
      <c r="E303">
        <v>259.01543026706003</v>
      </c>
      <c r="F303">
        <v>168.44970414201001</v>
      </c>
      <c r="G303">
        <v>126.00473372781001</v>
      </c>
      <c r="I303" s="9">
        <f t="shared" ref="I303:I309" si="40">E303-G303</f>
        <v>133.01069653925003</v>
      </c>
      <c r="J303" s="9">
        <f t="shared" ref="J303:J309" si="41">D303-F303</f>
        <v>432.35623057609007</v>
      </c>
      <c r="K303" s="9">
        <f t="shared" si="31"/>
        <v>133.01069653925003</v>
      </c>
      <c r="L303" s="10">
        <f t="shared" si="30"/>
        <v>0.30764144733619508</v>
      </c>
      <c r="M303" s="10">
        <f t="shared" ref="M303:M309" si="42">L303+ABS($N$2)*A303</f>
        <v>0.32634268762724267</v>
      </c>
      <c r="P303" s="8">
        <f t="shared" ref="P303:P309" si="43">(M303-$O$2)/$O$2*100</f>
        <v>10.420843986444906</v>
      </c>
    </row>
    <row r="304" spans="1:16" x14ac:dyDescent="0.2">
      <c r="A304" s="8">
        <v>151</v>
      </c>
      <c r="B304" s="8">
        <v>302</v>
      </c>
      <c r="D304">
        <v>601.65637982195994</v>
      </c>
      <c r="E304">
        <v>257.92403560831002</v>
      </c>
      <c r="F304">
        <v>167.83254437869999</v>
      </c>
      <c r="G304">
        <v>126.24615384614999</v>
      </c>
      <c r="I304" s="9">
        <f t="shared" si="40"/>
        <v>131.67788176216004</v>
      </c>
      <c r="J304" s="9">
        <f t="shared" si="41"/>
        <v>433.82383544325995</v>
      </c>
      <c r="K304" s="9">
        <f t="shared" si="31"/>
        <v>131.67788176216004</v>
      </c>
      <c r="L304" s="10">
        <f t="shared" si="30"/>
        <v>0.3035284624866636</v>
      </c>
      <c r="M304" s="10">
        <f t="shared" si="42"/>
        <v>0.32229183314412663</v>
      </c>
      <c r="N304" s="1"/>
      <c r="P304" s="8">
        <f t="shared" si="43"/>
        <v>9.0502026702746363</v>
      </c>
    </row>
    <row r="305" spans="1:16" x14ac:dyDescent="0.2">
      <c r="A305" s="8">
        <v>151.5</v>
      </c>
      <c r="B305" s="8">
        <v>303</v>
      </c>
      <c r="D305">
        <v>600.20949554896004</v>
      </c>
      <c r="E305">
        <v>259.20296735904998</v>
      </c>
      <c r="F305">
        <v>167.98579881657</v>
      </c>
      <c r="G305">
        <v>126.02840236686001</v>
      </c>
      <c r="I305" s="9">
        <f t="shared" si="40"/>
        <v>133.17456499218997</v>
      </c>
      <c r="J305" s="9">
        <f t="shared" si="41"/>
        <v>432.22369673239007</v>
      </c>
      <c r="K305" s="9">
        <f t="shared" si="31"/>
        <v>133.17456499218997</v>
      </c>
      <c r="L305" s="10">
        <f t="shared" si="30"/>
        <v>0.3081149090135254</v>
      </c>
      <c r="M305" s="10">
        <f t="shared" si="42"/>
        <v>0.32694041003740387</v>
      </c>
      <c r="P305" s="8">
        <f t="shared" si="43"/>
        <v>10.623088484336032</v>
      </c>
    </row>
    <row r="306" spans="1:16" x14ac:dyDescent="0.2">
      <c r="A306" s="8">
        <v>152</v>
      </c>
      <c r="B306" s="8">
        <v>304</v>
      </c>
      <c r="D306">
        <v>600.89495548960997</v>
      </c>
      <c r="E306">
        <v>258.19465875370997</v>
      </c>
      <c r="F306">
        <v>168.00295857987999</v>
      </c>
      <c r="G306">
        <v>126.35857988166001</v>
      </c>
      <c r="I306" s="9">
        <f t="shared" si="40"/>
        <v>131.83607887204997</v>
      </c>
      <c r="J306" s="9">
        <f t="shared" si="41"/>
        <v>432.89199690972998</v>
      </c>
      <c r="K306" s="9">
        <f t="shared" si="31"/>
        <v>131.83607887204997</v>
      </c>
      <c r="L306" s="10">
        <f t="shared" si="30"/>
        <v>0.30454727694940836</v>
      </c>
      <c r="M306" s="10">
        <f t="shared" si="42"/>
        <v>0.32343490833970229</v>
      </c>
      <c r="P306" s="8">
        <f t="shared" si="43"/>
        <v>9.4369719548973272</v>
      </c>
    </row>
    <row r="307" spans="1:16" x14ac:dyDescent="0.2">
      <c r="A307" s="8">
        <v>152.5</v>
      </c>
      <c r="B307" s="8">
        <v>305</v>
      </c>
      <c r="D307">
        <v>601.74065281899004</v>
      </c>
      <c r="E307">
        <v>258.55311572699998</v>
      </c>
      <c r="F307">
        <v>168.84852071006</v>
      </c>
      <c r="G307">
        <v>126.13964497041</v>
      </c>
      <c r="I307" s="9">
        <f t="shared" si="40"/>
        <v>132.41347075658996</v>
      </c>
      <c r="J307" s="9">
        <f t="shared" si="41"/>
        <v>432.89213210893001</v>
      </c>
      <c r="K307" s="9">
        <f t="shared" si="31"/>
        <v>132.41347075658996</v>
      </c>
      <c r="L307" s="10">
        <f t="shared" si="30"/>
        <v>0.30588098266306751</v>
      </c>
      <c r="M307" s="10">
        <f t="shared" si="42"/>
        <v>0.32483074441977683</v>
      </c>
      <c r="P307" s="8">
        <f t="shared" si="43"/>
        <v>9.9092650500765043</v>
      </c>
    </row>
    <row r="308" spans="1:16" x14ac:dyDescent="0.2">
      <c r="A308" s="8">
        <v>153</v>
      </c>
      <c r="B308" s="8">
        <v>306</v>
      </c>
      <c r="D308">
        <v>600.58931750741999</v>
      </c>
      <c r="E308">
        <v>259.09258160236999</v>
      </c>
      <c r="F308">
        <v>167.68698224852</v>
      </c>
      <c r="G308">
        <v>126.18875739645</v>
      </c>
      <c r="I308" s="9">
        <f t="shared" si="40"/>
        <v>132.90382420591999</v>
      </c>
      <c r="J308" s="9">
        <f t="shared" si="41"/>
        <v>432.9023352589</v>
      </c>
      <c r="K308" s="9">
        <f t="shared" si="31"/>
        <v>132.90382420591999</v>
      </c>
      <c r="L308" s="10">
        <f t="shared" si="30"/>
        <v>0.30700648479162396</v>
      </c>
      <c r="M308" s="10">
        <f t="shared" si="42"/>
        <v>0.32601837691474872</v>
      </c>
      <c r="P308" s="8">
        <f t="shared" si="43"/>
        <v>10.311110678651808</v>
      </c>
    </row>
    <row r="309" spans="1:16" x14ac:dyDescent="0.2">
      <c r="A309" s="8">
        <v>153.5</v>
      </c>
      <c r="B309" s="8">
        <v>307</v>
      </c>
      <c r="D309">
        <v>601.75252225519</v>
      </c>
      <c r="E309">
        <v>258.77863501484001</v>
      </c>
      <c r="F309">
        <v>168.13550295857999</v>
      </c>
      <c r="G309">
        <v>126.26272189349</v>
      </c>
      <c r="I309" s="9">
        <f t="shared" si="40"/>
        <v>132.51591312135002</v>
      </c>
      <c r="J309" s="9">
        <f t="shared" si="41"/>
        <v>433.61701929661001</v>
      </c>
      <c r="K309" s="9">
        <f t="shared" si="31"/>
        <v>132.51591312135002</v>
      </c>
      <c r="L309" s="10">
        <f t="shared" si="30"/>
        <v>0.30560588543390238</v>
      </c>
      <c r="M309" s="10">
        <f t="shared" si="42"/>
        <v>0.32467990792344259</v>
      </c>
      <c r="P309" s="8">
        <f t="shared" si="43"/>
        <v>9.8582282293948982</v>
      </c>
    </row>
    <row r="310" spans="1:16" x14ac:dyDescent="0.2">
      <c r="A310" s="8">
        <v>154</v>
      </c>
      <c r="B310" s="8">
        <v>308</v>
      </c>
      <c r="D310">
        <v>600.18753709198995</v>
      </c>
      <c r="E310">
        <v>258.79169139466001</v>
      </c>
      <c r="F310">
        <v>167.95798816568001</v>
      </c>
      <c r="G310">
        <v>125.9100591716</v>
      </c>
      <c r="I310" s="9">
        <f>E310-G310</f>
        <v>132.88163222306002</v>
      </c>
      <c r="J310" s="9">
        <f>D310-F310</f>
        <v>432.22954892630992</v>
      </c>
      <c r="K310" s="9">
        <f t="shared" si="31"/>
        <v>132.88163222306002</v>
      </c>
      <c r="L310" s="10">
        <f t="shared" si="30"/>
        <v>0.30743301228050651</v>
      </c>
      <c r="M310" s="10">
        <f>L310+ABS($N$2)*A310</f>
        <v>0.32656916513646217</v>
      </c>
      <c r="O310" s="11"/>
      <c r="P310" s="8">
        <f>(M310-$O$2)/$O$2*100</f>
        <v>10.497474591818023</v>
      </c>
    </row>
    <row r="311" spans="1:16" x14ac:dyDescent="0.2">
      <c r="A311" s="8">
        <v>154.5</v>
      </c>
      <c r="B311" s="8">
        <v>309</v>
      </c>
      <c r="D311">
        <v>601.68367952521999</v>
      </c>
      <c r="E311">
        <v>258.95370919880997</v>
      </c>
      <c r="F311">
        <v>168.24615384615001</v>
      </c>
      <c r="G311">
        <v>125.95207100592</v>
      </c>
      <c r="I311" s="9">
        <f t="shared" ref="I311:I319" si="44">E311-G311</f>
        <v>133.00163819288997</v>
      </c>
      <c r="J311" s="9">
        <f t="shared" ref="J311:J319" si="45">D311-F311</f>
        <v>433.43752567906995</v>
      </c>
      <c r="K311" s="9">
        <f t="shared" si="31"/>
        <v>133.00163819288997</v>
      </c>
      <c r="L311" s="10">
        <f t="shared" si="30"/>
        <v>0.30685307642552467</v>
      </c>
      <c r="M311" s="10">
        <f t="shared" ref="M311:M319" si="46">L311+ABS($N$2)*A311</f>
        <v>0.32605135964789578</v>
      </c>
      <c r="P311" s="8">
        <f t="shared" ref="P311:P319" si="47">(M311-$O$2)/$O$2*100</f>
        <v>10.322270668960027</v>
      </c>
    </row>
    <row r="312" spans="1:16" x14ac:dyDescent="0.2">
      <c r="A312" s="8">
        <v>155</v>
      </c>
      <c r="B312" s="8">
        <v>310</v>
      </c>
      <c r="D312">
        <v>599.34836795251999</v>
      </c>
      <c r="E312">
        <v>258.14658753709</v>
      </c>
      <c r="F312">
        <v>168.08698224852</v>
      </c>
      <c r="G312">
        <v>126.17869822485</v>
      </c>
      <c r="I312" s="9">
        <f t="shared" si="44"/>
        <v>131.96788931224</v>
      </c>
      <c r="J312" s="9">
        <f t="shared" si="45"/>
        <v>431.26138570399996</v>
      </c>
      <c r="K312" s="9">
        <f t="shared" si="31"/>
        <v>131.96788931224</v>
      </c>
      <c r="L312" s="10">
        <f t="shared" si="30"/>
        <v>0.30600441793974414</v>
      </c>
      <c r="M312" s="10">
        <f t="shared" si="46"/>
        <v>0.3252648315285307</v>
      </c>
      <c r="N312" s="1"/>
      <c r="P312" s="8">
        <f t="shared" si="47"/>
        <v>10.056142141948063</v>
      </c>
    </row>
    <row r="313" spans="1:16" x14ac:dyDescent="0.2">
      <c r="A313" s="8">
        <v>155.5</v>
      </c>
      <c r="B313" s="8">
        <v>311</v>
      </c>
      <c r="D313">
        <v>602.38753709199</v>
      </c>
      <c r="E313">
        <v>257.45578635014999</v>
      </c>
      <c r="F313">
        <v>167.91360946745999</v>
      </c>
      <c r="G313">
        <v>125.87337278107</v>
      </c>
      <c r="I313" s="9">
        <f t="shared" si="44"/>
        <v>131.58241356907999</v>
      </c>
      <c r="J313" s="9">
        <f t="shared" si="45"/>
        <v>434.47392762453001</v>
      </c>
      <c r="K313" s="9">
        <f t="shared" si="31"/>
        <v>131.58241356907999</v>
      </c>
      <c r="L313" s="10">
        <f t="shared" si="30"/>
        <v>0.30285456779536102</v>
      </c>
      <c r="M313" s="10">
        <f t="shared" si="46"/>
        <v>0.32217711175056302</v>
      </c>
      <c r="P313" s="8">
        <f t="shared" si="47"/>
        <v>9.0113857039969538</v>
      </c>
    </row>
    <row r="314" spans="1:16" x14ac:dyDescent="0.2">
      <c r="A314" s="8">
        <v>156</v>
      </c>
      <c r="B314" s="8">
        <v>312</v>
      </c>
      <c r="D314">
        <v>598.69554896141995</v>
      </c>
      <c r="E314">
        <v>257.50563798220003</v>
      </c>
      <c r="F314">
        <v>168.27159763314</v>
      </c>
      <c r="G314">
        <v>125.99940828402001</v>
      </c>
      <c r="I314" s="9">
        <f t="shared" si="44"/>
        <v>131.50622969818002</v>
      </c>
      <c r="J314" s="9">
        <f t="shared" si="45"/>
        <v>430.42395132827994</v>
      </c>
      <c r="K314" s="9">
        <f t="shared" si="31"/>
        <v>131.50622969818002</v>
      </c>
      <c r="L314" s="10">
        <f t="shared" si="30"/>
        <v>0.30552721169989344</v>
      </c>
      <c r="M314" s="10">
        <f t="shared" si="46"/>
        <v>0.32491188602151089</v>
      </c>
      <c r="P314" s="8">
        <f t="shared" si="47"/>
        <v>9.9367200061260199</v>
      </c>
    </row>
    <row r="315" spans="1:16" x14ac:dyDescent="0.2">
      <c r="A315" s="8">
        <v>156.5</v>
      </c>
      <c r="B315" s="8">
        <v>313</v>
      </c>
      <c r="D315">
        <v>599.38160237389002</v>
      </c>
      <c r="E315">
        <v>258.65756676557999</v>
      </c>
      <c r="F315">
        <v>167.91893491124</v>
      </c>
      <c r="G315">
        <v>126.45562130178</v>
      </c>
      <c r="I315" s="9">
        <f t="shared" si="44"/>
        <v>132.20194546379997</v>
      </c>
      <c r="J315" s="9">
        <f t="shared" si="45"/>
        <v>431.46266746265002</v>
      </c>
      <c r="K315" s="9">
        <f t="shared" si="31"/>
        <v>132.20194546379997</v>
      </c>
      <c r="L315" s="10">
        <f t="shared" si="30"/>
        <v>0.30640413512773768</v>
      </c>
      <c r="M315" s="10">
        <f t="shared" si="46"/>
        <v>0.32585093981577051</v>
      </c>
      <c r="P315" s="8">
        <f t="shared" si="47"/>
        <v>10.254456901855885</v>
      </c>
    </row>
    <row r="316" spans="1:16" x14ac:dyDescent="0.2">
      <c r="A316" s="8">
        <v>157</v>
      </c>
      <c r="B316" s="8">
        <v>314</v>
      </c>
      <c r="D316">
        <v>599.42017804154</v>
      </c>
      <c r="E316">
        <v>258.61899109792</v>
      </c>
      <c r="F316">
        <v>167.52603550296001</v>
      </c>
      <c r="G316">
        <v>125.84615384615</v>
      </c>
      <c r="I316" s="9">
        <f t="shared" si="44"/>
        <v>132.77283725177</v>
      </c>
      <c r="J316" s="9">
        <f t="shared" si="45"/>
        <v>431.89414253858001</v>
      </c>
      <c r="K316" s="9">
        <f t="shared" si="31"/>
        <v>132.77283725177</v>
      </c>
      <c r="L316" s="10">
        <f t="shared" si="30"/>
        <v>0.30741986096722701</v>
      </c>
      <c r="M316" s="10">
        <f t="shared" si="46"/>
        <v>0.32692879602167529</v>
      </c>
      <c r="P316" s="8">
        <f t="shared" si="47"/>
        <v>10.619158782622334</v>
      </c>
    </row>
    <row r="317" spans="1:16" x14ac:dyDescent="0.2">
      <c r="A317" s="8">
        <v>157.5</v>
      </c>
      <c r="B317" s="8">
        <v>315</v>
      </c>
      <c r="D317">
        <v>600.44866468842997</v>
      </c>
      <c r="E317">
        <v>257.69495548960998</v>
      </c>
      <c r="F317">
        <v>167.78816568047</v>
      </c>
      <c r="G317">
        <v>126.24142011834</v>
      </c>
      <c r="I317" s="9">
        <f t="shared" si="44"/>
        <v>131.45353537126999</v>
      </c>
      <c r="J317" s="9">
        <f t="shared" si="45"/>
        <v>432.66049900795997</v>
      </c>
      <c r="K317" s="9">
        <f t="shared" si="31"/>
        <v>131.45353537126999</v>
      </c>
      <c r="L317" s="10">
        <f t="shared" si="30"/>
        <v>0.30382606147932989</v>
      </c>
      <c r="M317" s="10">
        <f t="shared" si="46"/>
        <v>0.32339712690019362</v>
      </c>
      <c r="P317" s="8">
        <f t="shared" si="47"/>
        <v>9.4241882811833477</v>
      </c>
    </row>
    <row r="318" spans="1:16" x14ac:dyDescent="0.2">
      <c r="A318" s="8">
        <v>158</v>
      </c>
      <c r="B318" s="8">
        <v>316</v>
      </c>
      <c r="D318">
        <v>598.74540059346998</v>
      </c>
      <c r="E318">
        <v>258.04035608308999</v>
      </c>
      <c r="F318">
        <v>167.62366863905001</v>
      </c>
      <c r="G318">
        <v>125.99112426036</v>
      </c>
      <c r="I318" s="9">
        <f t="shared" si="44"/>
        <v>132.04923182273001</v>
      </c>
      <c r="J318" s="9">
        <f t="shared" si="45"/>
        <v>431.12173195441994</v>
      </c>
      <c r="K318" s="9">
        <f t="shared" si="31"/>
        <v>132.04923182273001</v>
      </c>
      <c r="L318" s="10">
        <f t="shared" si="30"/>
        <v>0.30629221872928186</v>
      </c>
      <c r="M318" s="10">
        <f t="shared" si="46"/>
        <v>0.32592541451656104</v>
      </c>
      <c r="P318" s="8">
        <f t="shared" si="47"/>
        <v>10.279656054858883</v>
      </c>
    </row>
    <row r="319" spans="1:16" x14ac:dyDescent="0.2">
      <c r="A319" s="8">
        <v>158.5</v>
      </c>
      <c r="B319" s="8">
        <v>317</v>
      </c>
      <c r="D319">
        <v>598.89139465874996</v>
      </c>
      <c r="E319">
        <v>258.00059347181002</v>
      </c>
      <c r="F319">
        <v>167.36449704142001</v>
      </c>
      <c r="G319">
        <v>125.93076923077</v>
      </c>
      <c r="I319" s="9">
        <f t="shared" si="44"/>
        <v>132.06982424104001</v>
      </c>
      <c r="J319" s="9">
        <f t="shared" si="45"/>
        <v>431.52689761732995</v>
      </c>
      <c r="K319" s="9">
        <f t="shared" si="31"/>
        <v>132.06982424104001</v>
      </c>
      <c r="L319" s="10">
        <f t="shared" si="30"/>
        <v>0.30605235726964364</v>
      </c>
      <c r="M319" s="10">
        <f t="shared" si="46"/>
        <v>0.32574768342333826</v>
      </c>
      <c r="P319" s="8">
        <f t="shared" si="47"/>
        <v>10.219519216926393</v>
      </c>
    </row>
    <row r="320" spans="1:16" x14ac:dyDescent="0.2">
      <c r="A320" s="8">
        <v>159</v>
      </c>
      <c r="B320" s="8">
        <v>318</v>
      </c>
      <c r="D320">
        <v>599.02670623145002</v>
      </c>
      <c r="E320">
        <v>257.95192878338003</v>
      </c>
      <c r="F320">
        <v>167.78875739644999</v>
      </c>
      <c r="G320">
        <v>125.79585798817</v>
      </c>
      <c r="I320" s="9">
        <f>E320-G320</f>
        <v>132.15607079521004</v>
      </c>
      <c r="J320" s="9">
        <f>D320-F320</f>
        <v>431.237948835</v>
      </c>
      <c r="K320" s="9">
        <f t="shared" si="31"/>
        <v>132.15607079521004</v>
      </c>
      <c r="L320" s="10">
        <f t="shared" si="30"/>
        <v>0.30645742368507445</v>
      </c>
      <c r="M320" s="10">
        <f>L320+ABS($N$2)*A320</f>
        <v>0.32621488020518452</v>
      </c>
      <c r="O320" s="11"/>
      <c r="P320" s="8">
        <f>(M320-$O$2)/$O$2*100</f>
        <v>10.377599250324106</v>
      </c>
    </row>
    <row r="321" spans="1:16" x14ac:dyDescent="0.2">
      <c r="A321" s="8">
        <v>159.5</v>
      </c>
      <c r="B321" s="8">
        <v>319</v>
      </c>
      <c r="D321">
        <v>600.20000000000005</v>
      </c>
      <c r="E321">
        <v>258.74836795252003</v>
      </c>
      <c r="F321">
        <v>167.62426035503</v>
      </c>
      <c r="G321">
        <v>125.83254437870001</v>
      </c>
      <c r="I321" s="9">
        <f t="shared" ref="I321" si="48">E321-G321</f>
        <v>132.91582357382003</v>
      </c>
      <c r="J321" s="9">
        <f t="shared" ref="J321" si="49">D321-F321</f>
        <v>432.57573964497004</v>
      </c>
      <c r="K321" s="9">
        <f t="shared" si="31"/>
        <v>132.91582357382003</v>
      </c>
      <c r="L321" s="10">
        <f t="shared" si="30"/>
        <v>0.30726601469353937</v>
      </c>
      <c r="M321" s="10">
        <f t="shared" ref="M321" si="50">L321+ABS($N$2)*A321</f>
        <v>0.32708560158006489</v>
      </c>
      <c r="P321" s="8">
        <f t="shared" ref="P321" si="51">(M321-$O$2)/$O$2*100</f>
        <v>10.67221528658458</v>
      </c>
    </row>
    <row r="322" spans="1:16" x14ac:dyDescent="0.2">
      <c r="A322" s="8">
        <v>160</v>
      </c>
      <c r="D322">
        <v>601.78516320475001</v>
      </c>
      <c r="E322">
        <v>258.59169139466002</v>
      </c>
      <c r="F322">
        <v>167.52307692308</v>
      </c>
      <c r="G322">
        <v>125.75562130178</v>
      </c>
      <c r="I322" s="9">
        <f t="shared" ref="I322" si="52">E322-G322</f>
        <v>132.83607009288002</v>
      </c>
      <c r="J322" s="9">
        <f t="shared" ref="J322" si="53">D322-F322</f>
        <v>434.26208628167001</v>
      </c>
      <c r="K322" s="9">
        <f t="shared" ref="K322" si="54">I322*1</f>
        <v>132.83607009288002</v>
      </c>
      <c r="L322" s="10">
        <f t="shared" ref="L322" si="55">K322/J322</f>
        <v>0.30588917220537692</v>
      </c>
      <c r="M322" s="10">
        <f t="shared" ref="M322" si="56">L322+ABS($N$2)*A322</f>
        <v>0.32577088945831789</v>
      </c>
      <c r="P322" s="8">
        <f t="shared" ref="P322" si="57">(M322-$O$2)/$O$2*100</f>
        <v>10.227371177657183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FFF5-28DE-444B-BB66-E226CACA11C0}">
  <dimension ref="A1:Y798"/>
  <sheetViews>
    <sheetView topLeftCell="E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1132.5779661017</v>
      </c>
      <c r="E2">
        <v>376.39152542373</v>
      </c>
      <c r="F2">
        <v>155.17117117116999</v>
      </c>
      <c r="G2">
        <v>120.97015765766</v>
      </c>
      <c r="H2" s="4"/>
      <c r="I2" s="5">
        <f>E2-G2</f>
        <v>255.42136776607001</v>
      </c>
      <c r="J2" s="5">
        <f>D2-F2</f>
        <v>977.40679493052994</v>
      </c>
      <c r="K2" s="9">
        <f>I2*1</f>
        <v>255.42136776607001</v>
      </c>
      <c r="L2" s="6">
        <f t="shared" ref="L2:L65" si="0">K2/J2</f>
        <v>0.26132554949571873</v>
      </c>
      <c r="M2" s="6">
        <f>L2+ABS($N$2)*A2</f>
        <v>0.26132554949571873</v>
      </c>
      <c r="N2" s="4">
        <f>LINEST(V64:V103,U64:U103)</f>
        <v>-4.9890379843585452E-4</v>
      </c>
      <c r="O2" s="7">
        <f>AVERAGE(M62:M81)</f>
        <v>0.29104763382922944</v>
      </c>
      <c r="P2" s="4">
        <f>(M2-$O$2)/$O$2*100</f>
        <v>-10.212103064527907</v>
      </c>
    </row>
    <row r="3" spans="1:16" x14ac:dyDescent="0.2">
      <c r="A3" s="8">
        <v>0.5</v>
      </c>
      <c r="B3" s="8">
        <v>1</v>
      </c>
      <c r="D3">
        <v>1199.3598870057001</v>
      </c>
      <c r="E3">
        <v>387.60451977400999</v>
      </c>
      <c r="F3">
        <v>155.19087837838001</v>
      </c>
      <c r="G3">
        <v>120.49099099099</v>
      </c>
      <c r="I3" s="9">
        <f t="shared" ref="I3:I66" si="1">E3-G3</f>
        <v>267.11352878302</v>
      </c>
      <c r="J3" s="9">
        <f t="shared" ref="J3:J66" si="2">D3-F3</f>
        <v>1044.1690086273202</v>
      </c>
      <c r="K3" s="9">
        <f t="shared" ref="K3:K66" si="3">I3*1</f>
        <v>267.11352878302</v>
      </c>
      <c r="L3" s="10">
        <f t="shared" si="0"/>
        <v>0.25581445778990447</v>
      </c>
      <c r="M3" s="10">
        <f t="shared" ref="M3:M66" si="4">L3+ABS($N$2)*A3</f>
        <v>0.2560639096891224</v>
      </c>
      <c r="P3" s="8">
        <f t="shared" ref="P3:P66" si="5">(M3-$O$2)/$O$2*100</f>
        <v>-12.019930785842957</v>
      </c>
    </row>
    <row r="4" spans="1:16" ht="16" x14ac:dyDescent="0.2">
      <c r="A4" s="8">
        <v>1</v>
      </c>
      <c r="B4" s="8">
        <v>2</v>
      </c>
      <c r="D4">
        <v>1285.7118644068</v>
      </c>
      <c r="E4">
        <v>408.71468926554002</v>
      </c>
      <c r="F4">
        <v>155.20720720720999</v>
      </c>
      <c r="G4">
        <v>120.63851351351001</v>
      </c>
      <c r="I4" s="9">
        <f t="shared" si="1"/>
        <v>288.07617575203</v>
      </c>
      <c r="J4" s="9">
        <f t="shared" si="2"/>
        <v>1130.5046571995899</v>
      </c>
      <c r="K4" s="9">
        <f t="shared" si="3"/>
        <v>288.07617575203</v>
      </c>
      <c r="L4" s="10">
        <f t="shared" si="0"/>
        <v>0.25482086598885217</v>
      </c>
      <c r="M4" s="10">
        <f t="shared" si="4"/>
        <v>0.25531976978728804</v>
      </c>
      <c r="N4" s="1" t="s">
        <v>7</v>
      </c>
      <c r="P4" s="8">
        <f t="shared" si="5"/>
        <v>-12.275607113474942</v>
      </c>
    </row>
    <row r="5" spans="1:16" x14ac:dyDescent="0.2">
      <c r="A5" s="8">
        <v>1.5</v>
      </c>
      <c r="B5" s="8">
        <v>3</v>
      </c>
      <c r="D5">
        <v>1271.0299435028001</v>
      </c>
      <c r="E5">
        <v>404.94576271186003</v>
      </c>
      <c r="F5">
        <v>154.89132882883001</v>
      </c>
      <c r="G5">
        <v>120.89808558559</v>
      </c>
      <c r="I5" s="9">
        <f t="shared" si="1"/>
        <v>284.04767712627006</v>
      </c>
      <c r="J5" s="9">
        <f t="shared" si="2"/>
        <v>1116.1386146739701</v>
      </c>
      <c r="K5" s="9">
        <f t="shared" si="3"/>
        <v>284.04767712627006</v>
      </c>
      <c r="L5" s="10">
        <f t="shared" si="0"/>
        <v>0.25449139864159426</v>
      </c>
      <c r="M5" s="10">
        <f t="shared" si="4"/>
        <v>0.25523975433924806</v>
      </c>
      <c r="N5" s="8">
        <f>RSQ(V64:V83,U64:U83)</f>
        <v>7.9877796650083391E-2</v>
      </c>
      <c r="P5" s="8">
        <f t="shared" si="5"/>
        <v>-12.303099330809694</v>
      </c>
    </row>
    <row r="6" spans="1:16" x14ac:dyDescent="0.2">
      <c r="A6" s="8">
        <v>2</v>
      </c>
      <c r="B6" s="8">
        <v>4</v>
      </c>
      <c r="D6">
        <v>1111.0299435028001</v>
      </c>
      <c r="E6">
        <v>361.21299435027998</v>
      </c>
      <c r="F6">
        <v>155.69988738738999</v>
      </c>
      <c r="G6">
        <v>121.09740990991</v>
      </c>
      <c r="I6" s="9">
        <f t="shared" si="1"/>
        <v>240.11558444036999</v>
      </c>
      <c r="J6" s="9">
        <f t="shared" si="2"/>
        <v>955.33005611541012</v>
      </c>
      <c r="K6" s="9">
        <f t="shared" si="3"/>
        <v>240.11558444036999</v>
      </c>
      <c r="L6" s="10">
        <f t="shared" si="0"/>
        <v>0.25134306505202475</v>
      </c>
      <c r="M6" s="10">
        <f t="shared" si="4"/>
        <v>0.25234087264889649</v>
      </c>
      <c r="P6" s="8">
        <f t="shared" si="5"/>
        <v>-13.299115567812493</v>
      </c>
    </row>
    <row r="7" spans="1:16" x14ac:dyDescent="0.2">
      <c r="A7" s="8">
        <v>2.5</v>
      </c>
      <c r="B7" s="8">
        <v>5</v>
      </c>
      <c r="D7">
        <v>1116.5677200903001</v>
      </c>
      <c r="E7">
        <v>367.22968397290998</v>
      </c>
      <c r="F7">
        <v>155.88400900900999</v>
      </c>
      <c r="G7">
        <v>121.13738738739001</v>
      </c>
      <c r="I7" s="9">
        <f t="shared" si="1"/>
        <v>246.09229658551999</v>
      </c>
      <c r="J7" s="9">
        <f t="shared" si="2"/>
        <v>960.68371108129008</v>
      </c>
      <c r="K7" s="9">
        <f t="shared" si="3"/>
        <v>246.09229658551999</v>
      </c>
      <c r="L7" s="10">
        <f t="shared" si="0"/>
        <v>0.25616370273264311</v>
      </c>
      <c r="M7" s="10">
        <f t="shared" si="4"/>
        <v>0.25741096222873272</v>
      </c>
      <c r="P7" s="8">
        <f t="shared" si="5"/>
        <v>-11.557101893579675</v>
      </c>
    </row>
    <row r="8" spans="1:16" x14ac:dyDescent="0.2">
      <c r="A8" s="8">
        <v>3</v>
      </c>
      <c r="B8" s="8">
        <v>6</v>
      </c>
      <c r="D8">
        <v>1082.4706546274999</v>
      </c>
      <c r="E8">
        <v>354.06433408577999</v>
      </c>
      <c r="F8">
        <v>156.13457207207</v>
      </c>
      <c r="G8">
        <v>121.11036036036</v>
      </c>
      <c r="I8" s="9">
        <f t="shared" si="1"/>
        <v>232.95397372541998</v>
      </c>
      <c r="J8" s="9">
        <f t="shared" si="2"/>
        <v>926.33608255542993</v>
      </c>
      <c r="K8" s="9">
        <f t="shared" si="3"/>
        <v>232.95397372541998</v>
      </c>
      <c r="L8" s="10">
        <f t="shared" si="0"/>
        <v>0.25147889422895336</v>
      </c>
      <c r="M8" s="10">
        <f t="shared" si="4"/>
        <v>0.25297560562426091</v>
      </c>
      <c r="P8" s="8">
        <f t="shared" si="5"/>
        <v>-13.081029968897488</v>
      </c>
    </row>
    <row r="9" spans="1:16" x14ac:dyDescent="0.2">
      <c r="A9" s="8">
        <v>3.5</v>
      </c>
      <c r="B9" s="8">
        <v>7</v>
      </c>
      <c r="D9">
        <v>910.28216704289002</v>
      </c>
      <c r="E9">
        <v>322.32279909707</v>
      </c>
      <c r="F9">
        <v>155.86936936936999</v>
      </c>
      <c r="G9">
        <v>120.92229729730001</v>
      </c>
      <c r="I9" s="9">
        <f t="shared" si="1"/>
        <v>201.40050179976998</v>
      </c>
      <c r="J9" s="9">
        <f t="shared" si="2"/>
        <v>754.41279767352</v>
      </c>
      <c r="K9" s="9">
        <f t="shared" si="3"/>
        <v>201.40050179976998</v>
      </c>
      <c r="L9" s="10">
        <f t="shared" si="0"/>
        <v>0.26696326258098307</v>
      </c>
      <c r="M9" s="10">
        <f t="shared" si="4"/>
        <v>0.26870942587550856</v>
      </c>
      <c r="P9" s="8">
        <f t="shared" si="5"/>
        <v>-7.6751037827806901</v>
      </c>
    </row>
    <row r="10" spans="1:16" x14ac:dyDescent="0.2">
      <c r="A10" s="8">
        <v>4</v>
      </c>
      <c r="B10" s="8">
        <v>8</v>
      </c>
      <c r="D10">
        <v>854.66478555305002</v>
      </c>
      <c r="E10">
        <v>313.46613995485001</v>
      </c>
      <c r="F10">
        <v>155.92792792793</v>
      </c>
      <c r="G10">
        <v>121.08445945946001</v>
      </c>
      <c r="I10" s="9">
        <f t="shared" si="1"/>
        <v>192.38168049539001</v>
      </c>
      <c r="J10" s="9">
        <f t="shared" si="2"/>
        <v>698.73685762512002</v>
      </c>
      <c r="K10" s="9">
        <f t="shared" si="3"/>
        <v>192.38168049539001</v>
      </c>
      <c r="L10" s="10">
        <f t="shared" si="0"/>
        <v>0.27532779814887753</v>
      </c>
      <c r="M10" s="10">
        <f t="shared" si="4"/>
        <v>0.27732341334262095</v>
      </c>
      <c r="P10" s="8">
        <f t="shared" si="5"/>
        <v>-4.715455097862467</v>
      </c>
    </row>
    <row r="11" spans="1:16" x14ac:dyDescent="0.2">
      <c r="A11" s="8">
        <v>4.5</v>
      </c>
      <c r="B11" s="8">
        <v>9</v>
      </c>
      <c r="D11">
        <v>853.62697516929995</v>
      </c>
      <c r="E11">
        <v>310.66365688488003</v>
      </c>
      <c r="F11">
        <v>156.38288288288001</v>
      </c>
      <c r="G11">
        <v>121.20382882883</v>
      </c>
      <c r="I11" s="9">
        <f t="shared" si="1"/>
        <v>189.45982805605001</v>
      </c>
      <c r="J11" s="9">
        <f t="shared" si="2"/>
        <v>697.24409228641991</v>
      </c>
      <c r="K11" s="9">
        <f t="shared" si="3"/>
        <v>189.45982805605001</v>
      </c>
      <c r="L11" s="10">
        <f t="shared" si="0"/>
        <v>0.27172668818859219</v>
      </c>
      <c r="M11" s="10">
        <f t="shared" si="4"/>
        <v>0.27397175528155354</v>
      </c>
      <c r="P11" s="8">
        <f t="shared" si="5"/>
        <v>-5.8670391244943323</v>
      </c>
    </row>
    <row r="12" spans="1:16" x14ac:dyDescent="0.2">
      <c r="A12" s="8">
        <v>5</v>
      </c>
      <c r="B12" s="8">
        <v>10</v>
      </c>
      <c r="D12">
        <v>1314.7437923251</v>
      </c>
      <c r="E12">
        <v>407.08182844243998</v>
      </c>
      <c r="F12">
        <v>156.62162162161999</v>
      </c>
      <c r="G12">
        <v>121.20101351351001</v>
      </c>
      <c r="I12" s="9">
        <f t="shared" si="1"/>
        <v>285.88081492892996</v>
      </c>
      <c r="J12" s="9">
        <f t="shared" si="2"/>
        <v>1158.1221707034799</v>
      </c>
      <c r="K12" s="9">
        <f t="shared" si="3"/>
        <v>285.88081492892996</v>
      </c>
      <c r="L12" s="10">
        <f t="shared" si="0"/>
        <v>0.24684858140249311</v>
      </c>
      <c r="M12" s="10">
        <f t="shared" si="4"/>
        <v>0.24934310039467239</v>
      </c>
      <c r="P12" s="8">
        <f t="shared" si="5"/>
        <v>-14.329109254681981</v>
      </c>
    </row>
    <row r="13" spans="1:16" x14ac:dyDescent="0.2">
      <c r="A13" s="8">
        <v>5.5</v>
      </c>
      <c r="B13" s="8">
        <v>11</v>
      </c>
      <c r="D13">
        <v>1351.2989283700001</v>
      </c>
      <c r="E13">
        <v>412.12013536378998</v>
      </c>
      <c r="F13">
        <v>156.65653153152999</v>
      </c>
      <c r="G13">
        <v>121.28941441441</v>
      </c>
      <c r="I13" s="9">
        <f t="shared" si="1"/>
        <v>290.83072094937995</v>
      </c>
      <c r="J13" s="9">
        <f t="shared" si="2"/>
        <v>1194.6423968384702</v>
      </c>
      <c r="K13" s="9">
        <f t="shared" si="3"/>
        <v>290.83072094937995</v>
      </c>
      <c r="L13" s="10">
        <f t="shared" si="0"/>
        <v>0.24344583928968302</v>
      </c>
      <c r="M13" s="10">
        <f t="shared" si="4"/>
        <v>0.24618981018108022</v>
      </c>
      <c r="P13" s="8">
        <f t="shared" si="5"/>
        <v>-15.41253679267817</v>
      </c>
    </row>
    <row r="14" spans="1:16" x14ac:dyDescent="0.2">
      <c r="A14" s="8">
        <v>6</v>
      </c>
      <c r="B14" s="8">
        <v>12</v>
      </c>
      <c r="D14">
        <v>1349.2456140351001</v>
      </c>
      <c r="E14">
        <v>408.17204301074997</v>
      </c>
      <c r="F14">
        <v>156.34121621622</v>
      </c>
      <c r="G14">
        <v>121.52646396396</v>
      </c>
      <c r="I14" s="9">
        <f t="shared" si="1"/>
        <v>286.64557904678998</v>
      </c>
      <c r="J14" s="9">
        <f t="shared" si="2"/>
        <v>1192.9043978188802</v>
      </c>
      <c r="K14" s="9">
        <f t="shared" si="3"/>
        <v>286.64557904678998</v>
      </c>
      <c r="L14" s="10">
        <f t="shared" si="0"/>
        <v>0.24029216387406735</v>
      </c>
      <c r="M14" s="10">
        <f t="shared" si="4"/>
        <v>0.24328558666468247</v>
      </c>
      <c r="P14" s="8">
        <f t="shared" si="5"/>
        <v>-16.410388408301259</v>
      </c>
    </row>
    <row r="15" spans="1:16" x14ac:dyDescent="0.2">
      <c r="A15" s="8">
        <v>6.5</v>
      </c>
      <c r="B15" s="8">
        <v>13</v>
      </c>
      <c r="D15">
        <v>1373.7000565931</v>
      </c>
      <c r="E15">
        <v>410.91567628748999</v>
      </c>
      <c r="F15">
        <v>157.1768018018</v>
      </c>
      <c r="G15">
        <v>121.63344594595</v>
      </c>
      <c r="I15" s="9">
        <f t="shared" si="1"/>
        <v>289.28223034153996</v>
      </c>
      <c r="J15" s="9">
        <f t="shared" si="2"/>
        <v>1216.5232547913001</v>
      </c>
      <c r="K15" s="9">
        <f t="shared" si="3"/>
        <v>289.28223034153996</v>
      </c>
      <c r="L15" s="10">
        <f t="shared" si="0"/>
        <v>0.23779424618657832</v>
      </c>
      <c r="M15" s="10">
        <f t="shared" si="4"/>
        <v>0.24103712087641138</v>
      </c>
      <c r="P15" s="8">
        <f t="shared" si="5"/>
        <v>-17.182930606527947</v>
      </c>
    </row>
    <row r="16" spans="1:16" x14ac:dyDescent="0.2">
      <c r="A16" s="8">
        <v>7</v>
      </c>
      <c r="B16" s="8">
        <v>14</v>
      </c>
      <c r="D16">
        <v>1390.2597623090001</v>
      </c>
      <c r="E16">
        <v>425.08545557442</v>
      </c>
      <c r="F16">
        <v>157.07038288288001</v>
      </c>
      <c r="G16">
        <v>121.62612612613</v>
      </c>
      <c r="I16" s="9">
        <f t="shared" si="1"/>
        <v>303.45932944828996</v>
      </c>
      <c r="J16" s="9">
        <f t="shared" si="2"/>
        <v>1233.18937942612</v>
      </c>
      <c r="K16" s="9">
        <f t="shared" si="3"/>
        <v>303.45932944828996</v>
      </c>
      <c r="L16" s="10">
        <f t="shared" si="0"/>
        <v>0.24607682689378052</v>
      </c>
      <c r="M16" s="10">
        <f t="shared" si="4"/>
        <v>0.24956915348283151</v>
      </c>
      <c r="P16" s="8">
        <f t="shared" si="5"/>
        <v>-14.251440494697576</v>
      </c>
    </row>
    <row r="17" spans="1:16" x14ac:dyDescent="0.2">
      <c r="A17" s="8">
        <v>7.5</v>
      </c>
      <c r="B17" s="8">
        <v>15</v>
      </c>
      <c r="D17">
        <v>1359.5766836446001</v>
      </c>
      <c r="E17">
        <v>424.72495755518003</v>
      </c>
      <c r="F17">
        <v>157.46396396396</v>
      </c>
      <c r="G17">
        <v>121.53772522523001</v>
      </c>
      <c r="I17" s="9">
        <f t="shared" si="1"/>
        <v>303.18723232995001</v>
      </c>
      <c r="J17" s="9">
        <f t="shared" si="2"/>
        <v>1202.1127196806401</v>
      </c>
      <c r="K17" s="9">
        <f t="shared" si="3"/>
        <v>303.18723232995001</v>
      </c>
      <c r="L17" s="10">
        <f t="shared" si="0"/>
        <v>0.25221198259219518</v>
      </c>
      <c r="M17" s="10">
        <f t="shared" si="4"/>
        <v>0.25595376108046408</v>
      </c>
      <c r="P17" s="8">
        <f t="shared" si="5"/>
        <v>-12.057776346450728</v>
      </c>
    </row>
    <row r="18" spans="1:16" x14ac:dyDescent="0.2">
      <c r="A18" s="8">
        <v>8</v>
      </c>
      <c r="B18" s="8">
        <v>16</v>
      </c>
      <c r="D18">
        <v>1392.1914414414</v>
      </c>
      <c r="E18">
        <v>430.36092342341999</v>
      </c>
      <c r="F18">
        <v>157.63851351350999</v>
      </c>
      <c r="G18">
        <v>121.52252252252001</v>
      </c>
      <c r="I18" s="9">
        <f t="shared" si="1"/>
        <v>308.83840090089996</v>
      </c>
      <c r="J18" s="9">
        <f t="shared" si="2"/>
        <v>1234.5529279278901</v>
      </c>
      <c r="K18" s="9">
        <f t="shared" si="3"/>
        <v>308.83840090089996</v>
      </c>
      <c r="L18" s="10">
        <f t="shared" si="0"/>
        <v>0.25016213879081184</v>
      </c>
      <c r="M18" s="10">
        <f t="shared" si="4"/>
        <v>0.25415336917829867</v>
      </c>
      <c r="P18" s="8">
        <f t="shared" si="5"/>
        <v>-12.67636646466546</v>
      </c>
    </row>
    <row r="19" spans="1:16" x14ac:dyDescent="0.2">
      <c r="A19" s="8">
        <v>8.5</v>
      </c>
      <c r="B19" s="8">
        <v>17</v>
      </c>
      <c r="D19">
        <v>1384.3209459459999</v>
      </c>
      <c r="E19">
        <v>427.86768018018</v>
      </c>
      <c r="F19">
        <v>157.53434684685001</v>
      </c>
      <c r="G19">
        <v>121.65427927928</v>
      </c>
      <c r="I19" s="9">
        <f t="shared" si="1"/>
        <v>306.21340090090001</v>
      </c>
      <c r="J19" s="9">
        <f t="shared" si="2"/>
        <v>1226.78659909915</v>
      </c>
      <c r="K19" s="9">
        <f t="shared" si="3"/>
        <v>306.21340090090001</v>
      </c>
      <c r="L19" s="10">
        <f t="shared" si="0"/>
        <v>0.24960608562708272</v>
      </c>
      <c r="M19" s="10">
        <f t="shared" si="4"/>
        <v>0.25384676791378746</v>
      </c>
      <c r="P19" s="8">
        <f t="shared" si="5"/>
        <v>-12.781710480171563</v>
      </c>
    </row>
    <row r="20" spans="1:16" x14ac:dyDescent="0.2">
      <c r="A20" s="8">
        <v>9</v>
      </c>
      <c r="B20" s="8">
        <v>18</v>
      </c>
      <c r="D20">
        <v>1390.847972973</v>
      </c>
      <c r="E20">
        <v>424.93355855855998</v>
      </c>
      <c r="F20">
        <v>157.96283783784</v>
      </c>
      <c r="G20">
        <v>121.98198198198</v>
      </c>
      <c r="I20" s="9">
        <f t="shared" si="1"/>
        <v>302.95157657658001</v>
      </c>
      <c r="J20" s="9">
        <f t="shared" si="2"/>
        <v>1232.88513513516</v>
      </c>
      <c r="K20" s="9">
        <f t="shared" si="3"/>
        <v>302.95157657658001</v>
      </c>
      <c r="L20" s="10">
        <f t="shared" si="0"/>
        <v>0.2457257111331525</v>
      </c>
      <c r="M20" s="10">
        <f t="shared" si="4"/>
        <v>0.2502158453190752</v>
      </c>
      <c r="P20" s="8">
        <f t="shared" si="5"/>
        <v>-14.029245994183912</v>
      </c>
    </row>
    <row r="21" spans="1:16" x14ac:dyDescent="0.2">
      <c r="A21" s="8">
        <v>9.5</v>
      </c>
      <c r="B21" s="8">
        <v>19</v>
      </c>
      <c r="D21">
        <v>1386.2201576576999</v>
      </c>
      <c r="E21">
        <v>422.05743243243001</v>
      </c>
      <c r="F21">
        <v>157.95945945945999</v>
      </c>
      <c r="G21">
        <v>121.56362612613</v>
      </c>
      <c r="I21" s="9">
        <f t="shared" si="1"/>
        <v>300.49380630630003</v>
      </c>
      <c r="J21" s="9">
        <f t="shared" si="2"/>
        <v>1228.2606981982399</v>
      </c>
      <c r="K21" s="9">
        <f t="shared" si="3"/>
        <v>300.49380630630003</v>
      </c>
      <c r="L21" s="10">
        <f t="shared" si="0"/>
        <v>0.24464985873691178</v>
      </c>
      <c r="M21" s="10">
        <f t="shared" si="4"/>
        <v>0.24938944482205239</v>
      </c>
      <c r="P21" s="8">
        <f t="shared" si="5"/>
        <v>-14.313185941109474</v>
      </c>
    </row>
    <row r="22" spans="1:16" x14ac:dyDescent="0.2">
      <c r="A22" s="8">
        <v>10</v>
      </c>
      <c r="B22" s="8">
        <v>20</v>
      </c>
      <c r="D22">
        <v>1384.9594594595001</v>
      </c>
      <c r="E22">
        <v>419.34628378378</v>
      </c>
      <c r="F22">
        <v>157.76013513513999</v>
      </c>
      <c r="G22">
        <v>121.96846846846999</v>
      </c>
      <c r="I22" s="9">
        <f t="shared" si="1"/>
        <v>297.37781531530999</v>
      </c>
      <c r="J22" s="9">
        <f t="shared" si="2"/>
        <v>1227.1993243243601</v>
      </c>
      <c r="K22" s="9">
        <f t="shared" si="3"/>
        <v>297.37781531530999</v>
      </c>
      <c r="L22" s="10">
        <f t="shared" si="0"/>
        <v>0.24232234276940515</v>
      </c>
      <c r="M22" s="10">
        <f t="shared" si="4"/>
        <v>0.24731138075376369</v>
      </c>
      <c r="P22" s="8">
        <f t="shared" si="5"/>
        <v>-15.027180430928274</v>
      </c>
    </row>
    <row r="23" spans="1:16" x14ac:dyDescent="0.2">
      <c r="A23" s="8">
        <v>10.5</v>
      </c>
      <c r="B23" s="8">
        <v>21</v>
      </c>
      <c r="D23">
        <v>1386.8237612613</v>
      </c>
      <c r="E23">
        <v>417.03603603604</v>
      </c>
      <c r="F23">
        <v>158.74324324323999</v>
      </c>
      <c r="G23">
        <v>121.84572072072</v>
      </c>
      <c r="I23" s="9">
        <f t="shared" si="1"/>
        <v>295.19031531531999</v>
      </c>
      <c r="J23" s="9">
        <f t="shared" si="2"/>
        <v>1228.08051801806</v>
      </c>
      <c r="K23" s="9">
        <f t="shared" si="3"/>
        <v>295.19031531531999</v>
      </c>
      <c r="L23" s="10">
        <f t="shared" si="0"/>
        <v>0.24036723242846764</v>
      </c>
      <c r="M23" s="10">
        <f t="shared" si="4"/>
        <v>0.24560572231204411</v>
      </c>
      <c r="P23" s="8">
        <f t="shared" si="5"/>
        <v>-15.613221423352341</v>
      </c>
    </row>
    <row r="24" spans="1:16" x14ac:dyDescent="0.2">
      <c r="A24" s="8">
        <v>11</v>
      </c>
      <c r="B24" s="8">
        <v>22</v>
      </c>
      <c r="D24">
        <v>1381.9588963964</v>
      </c>
      <c r="E24">
        <v>415.75900900901001</v>
      </c>
      <c r="F24">
        <v>158.30518018018</v>
      </c>
      <c r="G24">
        <v>121.91891891892</v>
      </c>
      <c r="I24" s="9">
        <f t="shared" si="1"/>
        <v>293.84009009009003</v>
      </c>
      <c r="J24" s="9">
        <f t="shared" si="2"/>
        <v>1223.6537162162199</v>
      </c>
      <c r="K24" s="9">
        <f t="shared" si="3"/>
        <v>293.84009009009003</v>
      </c>
      <c r="L24" s="10">
        <f t="shared" si="0"/>
        <v>0.24013336959307563</v>
      </c>
      <c r="M24" s="10">
        <f t="shared" si="4"/>
        <v>0.24562131137587004</v>
      </c>
      <c r="P24" s="8">
        <f t="shared" si="5"/>
        <v>-15.607865233500931</v>
      </c>
    </row>
    <row r="25" spans="1:16" x14ac:dyDescent="0.2">
      <c r="A25" s="8">
        <v>11.5</v>
      </c>
      <c r="B25" s="8">
        <v>23</v>
      </c>
      <c r="D25">
        <v>1374.4391624222001</v>
      </c>
      <c r="E25">
        <v>412.37011884549997</v>
      </c>
      <c r="F25">
        <v>159.07713963964</v>
      </c>
      <c r="G25">
        <v>122.20945945946001</v>
      </c>
      <c r="I25" s="9">
        <f t="shared" si="1"/>
        <v>290.16065938603998</v>
      </c>
      <c r="J25" s="9">
        <f t="shared" si="2"/>
        <v>1215.36202278256</v>
      </c>
      <c r="K25" s="9">
        <f t="shared" si="3"/>
        <v>290.16065938603998</v>
      </c>
      <c r="L25" s="10">
        <f t="shared" si="0"/>
        <v>0.23874422101961015</v>
      </c>
      <c r="M25" s="10">
        <f t="shared" si="4"/>
        <v>0.24448161470162247</v>
      </c>
      <c r="P25" s="8">
        <f t="shared" si="5"/>
        <v>-15.999449476689206</v>
      </c>
    </row>
    <row r="26" spans="1:16" x14ac:dyDescent="0.2">
      <c r="A26" s="8">
        <v>12</v>
      </c>
      <c r="B26" s="8">
        <v>24</v>
      </c>
      <c r="D26">
        <v>1371.0277306169</v>
      </c>
      <c r="E26">
        <v>411.40973401244997</v>
      </c>
      <c r="F26">
        <v>158.69707207207</v>
      </c>
      <c r="G26">
        <v>122.15822072072</v>
      </c>
      <c r="I26" s="9">
        <f t="shared" si="1"/>
        <v>289.25151329172996</v>
      </c>
      <c r="J26" s="9">
        <f t="shared" si="2"/>
        <v>1212.3306585448299</v>
      </c>
      <c r="K26" s="9">
        <f t="shared" si="3"/>
        <v>289.25151329172996</v>
      </c>
      <c r="L26" s="10">
        <f t="shared" si="0"/>
        <v>0.23859127149264775</v>
      </c>
      <c r="M26" s="10">
        <f t="shared" si="4"/>
        <v>0.244578117073878</v>
      </c>
      <c r="P26" s="8">
        <f t="shared" si="5"/>
        <v>-15.966292576911023</v>
      </c>
    </row>
    <row r="27" spans="1:16" x14ac:dyDescent="0.2">
      <c r="A27" s="8">
        <v>12.5</v>
      </c>
      <c r="B27" s="8">
        <v>25</v>
      </c>
      <c r="D27">
        <v>1372.0441426146001</v>
      </c>
      <c r="E27">
        <v>408.03621958120999</v>
      </c>
      <c r="F27">
        <v>158.45157657658001</v>
      </c>
      <c r="G27">
        <v>122.24380630631001</v>
      </c>
      <c r="I27" s="9">
        <f t="shared" si="1"/>
        <v>285.79241327490001</v>
      </c>
      <c r="J27" s="9">
        <f t="shared" si="2"/>
        <v>1213.5925660380201</v>
      </c>
      <c r="K27" s="9">
        <f t="shared" si="3"/>
        <v>285.79241327490001</v>
      </c>
      <c r="L27" s="10">
        <f t="shared" si="0"/>
        <v>0.23549288391566051</v>
      </c>
      <c r="M27" s="10">
        <f t="shared" si="4"/>
        <v>0.24172918139610869</v>
      </c>
      <c r="P27" s="8">
        <f t="shared" si="5"/>
        <v>-16.945148044755477</v>
      </c>
    </row>
    <row r="28" spans="1:16" x14ac:dyDescent="0.2">
      <c r="A28" s="8">
        <v>13</v>
      </c>
      <c r="B28" s="8">
        <v>26</v>
      </c>
      <c r="D28">
        <v>1372.5263157894999</v>
      </c>
      <c r="E28">
        <v>407.64685908319001</v>
      </c>
      <c r="F28">
        <v>158.66666666667001</v>
      </c>
      <c r="G28">
        <v>122.19707207207</v>
      </c>
      <c r="I28" s="9">
        <f t="shared" si="1"/>
        <v>285.44978701112001</v>
      </c>
      <c r="J28" s="9">
        <f t="shared" si="2"/>
        <v>1213.85964912283</v>
      </c>
      <c r="K28" s="9">
        <f t="shared" si="3"/>
        <v>285.44978701112001</v>
      </c>
      <c r="L28" s="10">
        <f t="shared" si="0"/>
        <v>0.2351588070477458</v>
      </c>
      <c r="M28" s="10">
        <f t="shared" si="4"/>
        <v>0.24164455642741192</v>
      </c>
      <c r="P28" s="8">
        <f t="shared" si="5"/>
        <v>-16.974224030560059</v>
      </c>
    </row>
    <row r="29" spans="1:16" x14ac:dyDescent="0.2">
      <c r="A29" s="8">
        <v>13.5</v>
      </c>
      <c r="B29" s="8">
        <v>27</v>
      </c>
      <c r="D29">
        <v>1364.3655913979001</v>
      </c>
      <c r="E29">
        <v>405.84776457272</v>
      </c>
      <c r="F29">
        <v>158.98592342341999</v>
      </c>
      <c r="G29">
        <v>122.29786036036</v>
      </c>
      <c r="I29" s="9">
        <f t="shared" si="1"/>
        <v>283.54990421235999</v>
      </c>
      <c r="J29" s="9">
        <f t="shared" si="2"/>
        <v>1205.3796679744801</v>
      </c>
      <c r="K29" s="9">
        <f t="shared" si="3"/>
        <v>283.54990421235999</v>
      </c>
      <c r="L29" s="10">
        <f t="shared" si="0"/>
        <v>0.23523700602054889</v>
      </c>
      <c r="M29" s="10">
        <f t="shared" si="4"/>
        <v>0.24197220729943292</v>
      </c>
      <c r="P29" s="8">
        <f t="shared" si="5"/>
        <v>-16.861647656820068</v>
      </c>
    </row>
    <row r="30" spans="1:16" x14ac:dyDescent="0.2">
      <c r="A30" s="8">
        <v>14</v>
      </c>
      <c r="B30" s="8">
        <v>28</v>
      </c>
      <c r="D30">
        <v>1366.3621958121</v>
      </c>
      <c r="E30">
        <v>407.00226372383003</v>
      </c>
      <c r="F30">
        <v>158.90596846847001</v>
      </c>
      <c r="G30">
        <v>122.13682432432</v>
      </c>
      <c r="I30" s="9">
        <f t="shared" si="1"/>
        <v>284.86543939951002</v>
      </c>
      <c r="J30" s="9">
        <f t="shared" si="2"/>
        <v>1207.45622734363</v>
      </c>
      <c r="K30" s="9">
        <f t="shared" si="3"/>
        <v>284.86543939951002</v>
      </c>
      <c r="L30" s="10">
        <f t="shared" si="0"/>
        <v>0.23592195969389801</v>
      </c>
      <c r="M30" s="10">
        <f t="shared" si="4"/>
        <v>0.24290661287199997</v>
      </c>
      <c r="P30" s="8">
        <f t="shared" si="5"/>
        <v>-16.540598638048348</v>
      </c>
    </row>
    <row r="31" spans="1:16" x14ac:dyDescent="0.2">
      <c r="A31" s="8">
        <v>14.5</v>
      </c>
      <c r="B31" s="8">
        <v>29</v>
      </c>
      <c r="D31">
        <v>1365.7498585173</v>
      </c>
      <c r="E31">
        <v>406.08771929825002</v>
      </c>
      <c r="F31">
        <v>158.77533783784</v>
      </c>
      <c r="G31">
        <v>122.20608108108</v>
      </c>
      <c r="I31" s="9">
        <f t="shared" si="1"/>
        <v>283.88163821717001</v>
      </c>
      <c r="J31" s="9">
        <f t="shared" si="2"/>
        <v>1206.9745206794601</v>
      </c>
      <c r="K31" s="9">
        <f t="shared" si="3"/>
        <v>283.88163821717001</v>
      </c>
      <c r="L31" s="10">
        <f t="shared" si="0"/>
        <v>0.23520101986689854</v>
      </c>
      <c r="M31" s="10">
        <f t="shared" si="4"/>
        <v>0.24243512494421843</v>
      </c>
      <c r="P31" s="8">
        <f t="shared" si="5"/>
        <v>-16.702595463646382</v>
      </c>
    </row>
    <row r="32" spans="1:16" x14ac:dyDescent="0.2">
      <c r="A32" s="8">
        <v>15</v>
      </c>
      <c r="B32" s="8">
        <v>30</v>
      </c>
      <c r="D32">
        <v>1375.1522354273</v>
      </c>
      <c r="E32">
        <v>407.31805319750998</v>
      </c>
      <c r="F32">
        <v>158.99831081081001</v>
      </c>
      <c r="G32">
        <v>122.21509009009</v>
      </c>
      <c r="I32" s="9">
        <f t="shared" si="1"/>
        <v>285.10296310742001</v>
      </c>
      <c r="J32" s="9">
        <f t="shared" si="2"/>
        <v>1216.15392461649</v>
      </c>
      <c r="K32" s="9">
        <f t="shared" si="3"/>
        <v>285.10296310742001</v>
      </c>
      <c r="L32" s="10">
        <f t="shared" si="0"/>
        <v>0.23442999881559093</v>
      </c>
      <c r="M32" s="10">
        <f t="shared" si="4"/>
        <v>0.24191355579212875</v>
      </c>
      <c r="P32" s="8">
        <f t="shared" si="5"/>
        <v>-16.881799515308831</v>
      </c>
    </row>
    <row r="33" spans="1:16" x14ac:dyDescent="0.2">
      <c r="A33" s="8">
        <v>15.5</v>
      </c>
      <c r="B33" s="8">
        <v>31</v>
      </c>
      <c r="D33">
        <v>1344.3855285472</v>
      </c>
      <c r="E33">
        <v>398.08762012436</v>
      </c>
      <c r="F33">
        <v>158.64189189189</v>
      </c>
      <c r="G33">
        <v>122.89132882883</v>
      </c>
      <c r="I33" s="9">
        <f t="shared" si="1"/>
        <v>275.19629129552999</v>
      </c>
      <c r="J33" s="9">
        <f t="shared" si="2"/>
        <v>1185.74363665531</v>
      </c>
      <c r="K33" s="9">
        <f t="shared" si="3"/>
        <v>275.19629129552999</v>
      </c>
      <c r="L33" s="10">
        <f t="shared" si="0"/>
        <v>0.23208751266993158</v>
      </c>
      <c r="M33" s="10">
        <f t="shared" si="4"/>
        <v>0.23982052154568734</v>
      </c>
      <c r="P33" s="8">
        <f t="shared" si="5"/>
        <v>-17.60093755429715</v>
      </c>
    </row>
    <row r="34" spans="1:16" x14ac:dyDescent="0.2">
      <c r="A34" s="8">
        <v>16</v>
      </c>
      <c r="B34" s="8">
        <v>32</v>
      </c>
      <c r="D34">
        <v>1333.8309779537001</v>
      </c>
      <c r="E34">
        <v>396.02826455625001</v>
      </c>
      <c r="F34">
        <v>158.68412162161999</v>
      </c>
      <c r="G34">
        <v>122.65934684685</v>
      </c>
      <c r="I34" s="9">
        <f t="shared" si="1"/>
        <v>273.36891770940002</v>
      </c>
      <c r="J34" s="9">
        <f t="shared" si="2"/>
        <v>1175.14685633208</v>
      </c>
      <c r="K34" s="9">
        <f t="shared" si="3"/>
        <v>273.36891770940002</v>
      </c>
      <c r="L34" s="10">
        <f t="shared" si="0"/>
        <v>0.23262532358096169</v>
      </c>
      <c r="M34" s="10">
        <f t="shared" si="4"/>
        <v>0.24060778435593536</v>
      </c>
      <c r="P34" s="8">
        <f t="shared" si="5"/>
        <v>-17.330444783100134</v>
      </c>
    </row>
    <row r="35" spans="1:16" x14ac:dyDescent="0.2">
      <c r="A35" s="8">
        <v>16.5</v>
      </c>
      <c r="B35" s="8">
        <v>33</v>
      </c>
      <c r="D35">
        <v>1315.746749576</v>
      </c>
      <c r="E35">
        <v>392.9932165065</v>
      </c>
      <c r="F35">
        <v>159.2393018018</v>
      </c>
      <c r="G35">
        <v>122.24718468469</v>
      </c>
      <c r="I35" s="9">
        <f t="shared" si="1"/>
        <v>270.74603182180999</v>
      </c>
      <c r="J35" s="9">
        <f t="shared" si="2"/>
        <v>1156.5074477742</v>
      </c>
      <c r="K35" s="9">
        <f t="shared" si="3"/>
        <v>270.74603182180999</v>
      </c>
      <c r="L35" s="10">
        <f t="shared" si="0"/>
        <v>0.23410660462488544</v>
      </c>
      <c r="M35" s="10">
        <f t="shared" si="4"/>
        <v>0.24233851729907704</v>
      </c>
      <c r="P35" s="8">
        <f t="shared" si="5"/>
        <v>-16.735788533753272</v>
      </c>
    </row>
    <row r="36" spans="1:16" x14ac:dyDescent="0.2">
      <c r="A36" s="8">
        <v>17</v>
      </c>
      <c r="B36" s="8">
        <v>34</v>
      </c>
      <c r="D36">
        <v>1340.4776710005999</v>
      </c>
      <c r="E36">
        <v>397.73544375352998</v>
      </c>
      <c r="F36">
        <v>159.16047297297001</v>
      </c>
      <c r="G36">
        <v>122.48367117117</v>
      </c>
      <c r="I36" s="9">
        <f t="shared" si="1"/>
        <v>275.25177258235999</v>
      </c>
      <c r="J36" s="9">
        <f t="shared" si="2"/>
        <v>1181.31719802763</v>
      </c>
      <c r="K36" s="9">
        <f t="shared" si="3"/>
        <v>275.25177258235999</v>
      </c>
      <c r="L36" s="10">
        <f t="shared" si="0"/>
        <v>0.23300411865833354</v>
      </c>
      <c r="M36" s="10">
        <f t="shared" si="4"/>
        <v>0.24148548323174307</v>
      </c>
      <c r="P36" s="8">
        <f t="shared" si="5"/>
        <v>-17.028879412421773</v>
      </c>
    </row>
    <row r="37" spans="1:16" x14ac:dyDescent="0.2">
      <c r="A37" s="8">
        <v>17.5</v>
      </c>
      <c r="B37" s="8">
        <v>35</v>
      </c>
      <c r="D37">
        <v>1325.7908422838</v>
      </c>
      <c r="E37">
        <v>398.48106274731998</v>
      </c>
      <c r="F37">
        <v>159.51463963964</v>
      </c>
      <c r="G37">
        <v>122.74099099099</v>
      </c>
      <c r="I37" s="9">
        <f t="shared" si="1"/>
        <v>275.74007175633</v>
      </c>
      <c r="J37" s="9">
        <f t="shared" si="2"/>
        <v>1166.2762026441601</v>
      </c>
      <c r="K37" s="9">
        <f t="shared" si="3"/>
        <v>275.74007175633</v>
      </c>
      <c r="L37" s="10">
        <f t="shared" si="0"/>
        <v>0.23642776139235042</v>
      </c>
      <c r="M37" s="10">
        <f t="shared" si="4"/>
        <v>0.24515857786497786</v>
      </c>
      <c r="P37" s="8">
        <f t="shared" si="5"/>
        <v>-15.766854160778617</v>
      </c>
    </row>
    <row r="38" spans="1:16" x14ac:dyDescent="0.2">
      <c r="A38" s="8">
        <v>18</v>
      </c>
      <c r="B38" s="8">
        <v>36</v>
      </c>
      <c r="D38">
        <v>1345.7687959299001</v>
      </c>
      <c r="E38">
        <v>401.07292255511999</v>
      </c>
      <c r="F38">
        <v>159.45213963964</v>
      </c>
      <c r="G38">
        <v>122.18018018018</v>
      </c>
      <c r="I38" s="9">
        <f t="shared" si="1"/>
        <v>278.89274237493998</v>
      </c>
      <c r="J38" s="9">
        <f t="shared" si="2"/>
        <v>1186.3166562902602</v>
      </c>
      <c r="K38" s="9">
        <f t="shared" si="3"/>
        <v>278.89274237493998</v>
      </c>
      <c r="L38" s="10">
        <f t="shared" si="0"/>
        <v>0.23509131469760156</v>
      </c>
      <c r="M38" s="10">
        <f t="shared" si="4"/>
        <v>0.24407158306944693</v>
      </c>
      <c r="P38" s="8">
        <f t="shared" si="5"/>
        <v>-16.14033075676727</v>
      </c>
    </row>
    <row r="39" spans="1:16" x14ac:dyDescent="0.2">
      <c r="A39" s="8">
        <v>18.5</v>
      </c>
      <c r="B39" s="8">
        <v>37</v>
      </c>
      <c r="D39">
        <v>1333.9287733183</v>
      </c>
      <c r="E39">
        <v>398.28716789146</v>
      </c>
      <c r="F39">
        <v>158.99211711711999</v>
      </c>
      <c r="G39">
        <v>122.49268018018</v>
      </c>
      <c r="I39" s="9">
        <f t="shared" si="1"/>
        <v>275.79448771128</v>
      </c>
      <c r="J39" s="9">
        <f t="shared" si="2"/>
        <v>1174.9366562011801</v>
      </c>
      <c r="K39" s="9">
        <f t="shared" si="3"/>
        <v>275.79448771128</v>
      </c>
      <c r="L39" s="10">
        <f t="shared" si="0"/>
        <v>0.23473136722364438</v>
      </c>
      <c r="M39" s="10">
        <f t="shared" si="4"/>
        <v>0.24396108749470768</v>
      </c>
      <c r="P39" s="8">
        <f t="shared" si="5"/>
        <v>-16.178295530191296</v>
      </c>
    </row>
    <row r="40" spans="1:16" x14ac:dyDescent="0.2">
      <c r="A40" s="8">
        <v>19</v>
      </c>
      <c r="B40" s="8">
        <v>38</v>
      </c>
      <c r="D40">
        <v>1332.0203504804999</v>
      </c>
      <c r="E40">
        <v>401.22385528546999</v>
      </c>
      <c r="F40">
        <v>159.62668918918999</v>
      </c>
      <c r="G40">
        <v>122.22072072072</v>
      </c>
      <c r="I40" s="9">
        <f t="shared" si="1"/>
        <v>279.00313456474998</v>
      </c>
      <c r="J40" s="9">
        <f t="shared" si="2"/>
        <v>1172.3936612913099</v>
      </c>
      <c r="K40" s="9">
        <f t="shared" si="3"/>
        <v>279.00313456474998</v>
      </c>
      <c r="L40" s="10">
        <f t="shared" si="0"/>
        <v>0.2379773482035441</v>
      </c>
      <c r="M40" s="10">
        <f t="shared" si="4"/>
        <v>0.24745652037382534</v>
      </c>
      <c r="P40" s="8">
        <f t="shared" si="5"/>
        <v>-14.977312435730342</v>
      </c>
    </row>
    <row r="41" spans="1:16" x14ac:dyDescent="0.2">
      <c r="A41" s="8">
        <v>19.5</v>
      </c>
      <c r="B41" s="8">
        <v>39</v>
      </c>
      <c r="D41">
        <v>1331.9807801018001</v>
      </c>
      <c r="E41">
        <v>399.42792538156999</v>
      </c>
      <c r="F41">
        <v>159.35360360359999</v>
      </c>
      <c r="G41">
        <v>122.32488738739001</v>
      </c>
      <c r="I41" s="9">
        <f t="shared" si="1"/>
        <v>277.10303799418</v>
      </c>
      <c r="J41" s="9">
        <f t="shared" si="2"/>
        <v>1172.6271764982</v>
      </c>
      <c r="K41" s="9">
        <f t="shared" si="3"/>
        <v>277.10303799418</v>
      </c>
      <c r="L41" s="10">
        <f t="shared" si="0"/>
        <v>0.23630958206314892</v>
      </c>
      <c r="M41" s="10">
        <f t="shared" si="4"/>
        <v>0.2460382061326481</v>
      </c>
      <c r="P41" s="8">
        <f t="shared" si="5"/>
        <v>-15.464625877353935</v>
      </c>
    </row>
    <row r="42" spans="1:16" x14ac:dyDescent="0.2">
      <c r="A42" s="8">
        <v>20</v>
      </c>
      <c r="B42" s="8">
        <v>40</v>
      </c>
      <c r="D42">
        <v>1309.8903335217999</v>
      </c>
      <c r="E42">
        <v>394.82362916902002</v>
      </c>
      <c r="F42">
        <v>159.32376126125999</v>
      </c>
      <c r="G42">
        <v>122.64414414414</v>
      </c>
      <c r="I42" s="9">
        <f t="shared" si="1"/>
        <v>272.17948502488002</v>
      </c>
      <c r="J42" s="9">
        <f t="shared" si="2"/>
        <v>1150.5665722605399</v>
      </c>
      <c r="K42" s="9">
        <f t="shared" si="3"/>
        <v>272.17948502488002</v>
      </c>
      <c r="L42" s="10">
        <f t="shared" si="0"/>
        <v>0.23656126606400865</v>
      </c>
      <c r="M42" s="10">
        <f t="shared" si="4"/>
        <v>0.24653934203272573</v>
      </c>
      <c r="P42" s="8">
        <f t="shared" si="5"/>
        <v>-15.292442412577282</v>
      </c>
    </row>
    <row r="43" spans="1:16" x14ac:dyDescent="0.2">
      <c r="A43" s="8">
        <v>20.5</v>
      </c>
      <c r="B43" s="8">
        <v>41</v>
      </c>
      <c r="D43">
        <v>1320.0910118710999</v>
      </c>
      <c r="E43">
        <v>396.96382136800997</v>
      </c>
      <c r="F43">
        <v>159.57094594595</v>
      </c>
      <c r="G43">
        <v>122.90990990991</v>
      </c>
      <c r="I43" s="9">
        <f t="shared" si="1"/>
        <v>274.05391145809995</v>
      </c>
      <c r="J43" s="9">
        <f t="shared" si="2"/>
        <v>1160.52006592515</v>
      </c>
      <c r="K43" s="9">
        <f t="shared" si="3"/>
        <v>274.05391145809995</v>
      </c>
      <c r="L43" s="10">
        <f t="shared" si="0"/>
        <v>0.23614749930207204</v>
      </c>
      <c r="M43" s="10">
        <f t="shared" si="4"/>
        <v>0.24637502717000706</v>
      </c>
      <c r="P43" s="8">
        <f t="shared" si="5"/>
        <v>-15.348898759793311</v>
      </c>
    </row>
    <row r="44" spans="1:16" x14ac:dyDescent="0.2">
      <c r="A44" s="8">
        <v>21</v>
      </c>
      <c r="B44" s="8">
        <v>42</v>
      </c>
      <c r="D44">
        <v>1325.1266252119999</v>
      </c>
      <c r="E44">
        <v>398.47823629169</v>
      </c>
      <c r="F44">
        <v>159.73704954954999</v>
      </c>
      <c r="G44">
        <v>122.4481981982</v>
      </c>
      <c r="I44" s="9">
        <f t="shared" si="1"/>
        <v>276.03003809349002</v>
      </c>
      <c r="J44" s="9">
        <f t="shared" si="2"/>
        <v>1165.3895756624499</v>
      </c>
      <c r="K44" s="9">
        <f t="shared" si="3"/>
        <v>276.03003809349002</v>
      </c>
      <c r="L44" s="10">
        <f t="shared" si="0"/>
        <v>0.2368564502875225</v>
      </c>
      <c r="M44" s="10">
        <f t="shared" si="4"/>
        <v>0.24733343005467545</v>
      </c>
      <c r="P44" s="8">
        <f t="shared" si="5"/>
        <v>-15.019604591667305</v>
      </c>
    </row>
    <row r="45" spans="1:16" x14ac:dyDescent="0.2">
      <c r="A45" s="8">
        <v>21.5</v>
      </c>
      <c r="B45" s="8">
        <v>43</v>
      </c>
      <c r="D45">
        <v>1337.5245901639</v>
      </c>
      <c r="E45">
        <v>399.61729790842003</v>
      </c>
      <c r="F45">
        <v>159.61036036036</v>
      </c>
      <c r="G45">
        <v>122.78716216216</v>
      </c>
      <c r="I45" s="9">
        <f t="shared" si="1"/>
        <v>276.83013574626</v>
      </c>
      <c r="J45" s="9">
        <f t="shared" si="2"/>
        <v>1177.9142298035399</v>
      </c>
      <c r="K45" s="9">
        <f t="shared" si="3"/>
        <v>276.83013574626</v>
      </c>
      <c r="L45" s="10">
        <f t="shared" si="0"/>
        <v>0.23501722684208637</v>
      </c>
      <c r="M45" s="10">
        <f t="shared" si="4"/>
        <v>0.24574365850845725</v>
      </c>
      <c r="P45" s="8">
        <f t="shared" si="5"/>
        <v>-15.565828426337264</v>
      </c>
    </row>
    <row r="46" spans="1:16" x14ac:dyDescent="0.2">
      <c r="A46" s="8">
        <v>22</v>
      </c>
      <c r="B46" s="8">
        <v>44</v>
      </c>
      <c r="D46">
        <v>1321.3945732052</v>
      </c>
      <c r="E46">
        <v>397.05087620123999</v>
      </c>
      <c r="F46">
        <v>159.7606981982</v>
      </c>
      <c r="G46">
        <v>122.73254504505</v>
      </c>
      <c r="I46" s="9">
        <f t="shared" si="1"/>
        <v>274.31833115618997</v>
      </c>
      <c r="J46" s="9">
        <f t="shared" si="2"/>
        <v>1161.6338750069999</v>
      </c>
      <c r="K46" s="9">
        <f t="shared" si="3"/>
        <v>274.31833115618997</v>
      </c>
      <c r="L46" s="10">
        <f t="shared" si="0"/>
        <v>0.23614870146115269</v>
      </c>
      <c r="M46" s="10">
        <f t="shared" si="4"/>
        <v>0.24712458502674148</v>
      </c>
      <c r="P46" s="8">
        <f t="shared" si="5"/>
        <v>-15.091360896704476</v>
      </c>
    </row>
    <row r="47" spans="1:16" x14ac:dyDescent="0.2">
      <c r="A47" s="8">
        <v>22.5</v>
      </c>
      <c r="B47" s="8">
        <v>45</v>
      </c>
      <c r="D47">
        <v>1325.9146410400999</v>
      </c>
      <c r="E47">
        <v>402.42227247032002</v>
      </c>
      <c r="F47">
        <v>159.92511261261001</v>
      </c>
      <c r="G47">
        <v>122.69876126126</v>
      </c>
      <c r="I47" s="9">
        <f t="shared" si="1"/>
        <v>279.72351120906001</v>
      </c>
      <c r="J47" s="9">
        <f t="shared" si="2"/>
        <v>1165.9895284274899</v>
      </c>
      <c r="K47" s="9">
        <f t="shared" si="3"/>
        <v>279.72351120906001</v>
      </c>
      <c r="L47" s="10">
        <f t="shared" si="0"/>
        <v>0.23990224988238851</v>
      </c>
      <c r="M47" s="10">
        <f t="shared" si="4"/>
        <v>0.25112758534719526</v>
      </c>
      <c r="P47" s="8">
        <f t="shared" si="5"/>
        <v>-13.715984547552459</v>
      </c>
    </row>
    <row r="48" spans="1:16" x14ac:dyDescent="0.2">
      <c r="A48" s="8">
        <v>23</v>
      </c>
      <c r="B48" s="8">
        <v>46</v>
      </c>
      <c r="D48">
        <v>1343.1974128234001</v>
      </c>
      <c r="E48">
        <v>407.90044994376001</v>
      </c>
      <c r="F48">
        <v>160.22578828829</v>
      </c>
      <c r="G48">
        <v>122.67004504505</v>
      </c>
      <c r="I48" s="9">
        <f t="shared" si="1"/>
        <v>285.23040489870999</v>
      </c>
      <c r="J48" s="9">
        <f t="shared" si="2"/>
        <v>1182.9716245351101</v>
      </c>
      <c r="K48" s="9">
        <f t="shared" si="3"/>
        <v>285.23040489870999</v>
      </c>
      <c r="L48" s="10">
        <f t="shared" si="0"/>
        <v>0.2411134798020208</v>
      </c>
      <c r="M48" s="10">
        <f t="shared" si="4"/>
        <v>0.25258826716604543</v>
      </c>
      <c r="P48" s="8">
        <f t="shared" si="5"/>
        <v>-13.214114183711187</v>
      </c>
    </row>
    <row r="49" spans="1:25" x14ac:dyDescent="0.2">
      <c r="A49" s="8">
        <v>23.5</v>
      </c>
      <c r="B49" s="8">
        <v>47</v>
      </c>
      <c r="D49">
        <v>1323.5478065242</v>
      </c>
      <c r="E49">
        <v>402.60629921259999</v>
      </c>
      <c r="F49">
        <v>160.24605855856001</v>
      </c>
      <c r="G49">
        <v>122.98648648648999</v>
      </c>
      <c r="I49" s="9">
        <f t="shared" si="1"/>
        <v>279.61981272611001</v>
      </c>
      <c r="J49" s="9">
        <f t="shared" si="2"/>
        <v>1163.3017479656401</v>
      </c>
      <c r="K49" s="9">
        <f t="shared" si="3"/>
        <v>279.61981272611001</v>
      </c>
      <c r="L49" s="10">
        <f t="shared" si="0"/>
        <v>0.24036739669230603</v>
      </c>
      <c r="M49" s="10">
        <f t="shared" si="4"/>
        <v>0.25209163595554862</v>
      </c>
      <c r="P49" s="8">
        <f t="shared" si="5"/>
        <v>-13.384749898546858</v>
      </c>
    </row>
    <row r="50" spans="1:25" x14ac:dyDescent="0.2">
      <c r="A50" s="8">
        <v>24</v>
      </c>
      <c r="B50" s="8">
        <v>48</v>
      </c>
      <c r="D50">
        <v>1347.9201133145</v>
      </c>
      <c r="E50">
        <v>404.07762039660003</v>
      </c>
      <c r="F50">
        <v>159.70777027027</v>
      </c>
      <c r="G50">
        <v>122.56418918919</v>
      </c>
      <c r="I50" s="9">
        <f t="shared" si="1"/>
        <v>281.51343120741001</v>
      </c>
      <c r="J50" s="9">
        <f t="shared" si="2"/>
        <v>1188.21234304423</v>
      </c>
      <c r="K50" s="9">
        <f t="shared" si="3"/>
        <v>281.51343120741001</v>
      </c>
      <c r="L50" s="10">
        <f t="shared" si="0"/>
        <v>0.23692182029195683</v>
      </c>
      <c r="M50" s="10">
        <f t="shared" si="4"/>
        <v>0.24889551145441732</v>
      </c>
      <c r="P50" s="8">
        <f t="shared" si="5"/>
        <v>-14.482894713909488</v>
      </c>
    </row>
    <row r="51" spans="1:25" x14ac:dyDescent="0.2">
      <c r="A51" s="8">
        <v>24.5</v>
      </c>
      <c r="B51" s="8">
        <v>49</v>
      </c>
      <c r="D51">
        <v>1342.4526912181</v>
      </c>
      <c r="E51">
        <v>402.25155807365002</v>
      </c>
      <c r="F51">
        <v>160.17286036036</v>
      </c>
      <c r="G51">
        <v>123.32094594595</v>
      </c>
      <c r="I51" s="9">
        <f t="shared" si="1"/>
        <v>278.93061212769999</v>
      </c>
      <c r="J51" s="9">
        <f t="shared" si="2"/>
        <v>1182.2798308577399</v>
      </c>
      <c r="K51" s="9">
        <f t="shared" si="3"/>
        <v>278.93061212769999</v>
      </c>
      <c r="L51" s="10">
        <f t="shared" si="0"/>
        <v>0.23592605138610612</v>
      </c>
      <c r="M51" s="10">
        <f t="shared" si="4"/>
        <v>0.24814919444778455</v>
      </c>
      <c r="P51" s="8">
        <f t="shared" si="5"/>
        <v>-14.739319065076236</v>
      </c>
    </row>
    <row r="52" spans="1:25" x14ac:dyDescent="0.2">
      <c r="A52" s="8">
        <v>25</v>
      </c>
      <c r="B52" s="8">
        <v>50</v>
      </c>
      <c r="D52">
        <v>1358.0875706214999</v>
      </c>
      <c r="E52">
        <v>405.53276836158</v>
      </c>
      <c r="F52">
        <v>160.14358108107999</v>
      </c>
      <c r="G52">
        <v>122.6509009009</v>
      </c>
      <c r="I52" s="9">
        <f t="shared" si="1"/>
        <v>282.88186746067998</v>
      </c>
      <c r="J52" s="9">
        <f t="shared" si="2"/>
        <v>1197.94398954042</v>
      </c>
      <c r="K52" s="9">
        <f t="shared" si="3"/>
        <v>282.88186746067998</v>
      </c>
      <c r="L52" s="10">
        <f t="shared" si="0"/>
        <v>0.23613947724651546</v>
      </c>
      <c r="M52" s="10">
        <f t="shared" si="4"/>
        <v>0.24861207220741183</v>
      </c>
      <c r="P52" s="8">
        <f t="shared" si="5"/>
        <v>-14.580280575899282</v>
      </c>
    </row>
    <row r="53" spans="1:25" x14ac:dyDescent="0.2">
      <c r="A53" s="8">
        <v>25.5</v>
      </c>
      <c r="B53" s="8">
        <v>51</v>
      </c>
      <c r="D53">
        <v>1316.9457627119</v>
      </c>
      <c r="E53">
        <v>396.86271186441002</v>
      </c>
      <c r="F53">
        <v>160.58108108107999</v>
      </c>
      <c r="G53">
        <v>122.91047297297</v>
      </c>
      <c r="I53" s="9">
        <f t="shared" si="1"/>
        <v>273.95223889144</v>
      </c>
      <c r="J53" s="9">
        <f t="shared" si="2"/>
        <v>1156.3646816308201</v>
      </c>
      <c r="K53" s="9">
        <f t="shared" si="3"/>
        <v>273.95223889144</v>
      </c>
      <c r="L53" s="10">
        <f t="shared" si="0"/>
        <v>0.23690816854167959</v>
      </c>
      <c r="M53" s="10">
        <f t="shared" si="4"/>
        <v>0.24963021540179389</v>
      </c>
      <c r="P53" s="8">
        <f t="shared" si="5"/>
        <v>-14.230460451616997</v>
      </c>
      <c r="S53" s="11"/>
      <c r="U53" s="12"/>
    </row>
    <row r="54" spans="1:25" x14ac:dyDescent="0.2">
      <c r="A54" s="8">
        <v>26</v>
      </c>
      <c r="B54" s="8">
        <v>52</v>
      </c>
      <c r="D54">
        <v>1320.1548022599</v>
      </c>
      <c r="E54">
        <v>396.89661016948997</v>
      </c>
      <c r="F54">
        <v>160.16497747747999</v>
      </c>
      <c r="G54">
        <v>122.86993243243001</v>
      </c>
      <c r="I54" s="9">
        <f t="shared" si="1"/>
        <v>274.02667773705997</v>
      </c>
      <c r="J54" s="9">
        <f t="shared" si="2"/>
        <v>1159.9898247824199</v>
      </c>
      <c r="K54" s="9">
        <f t="shared" si="3"/>
        <v>274.02667773705997</v>
      </c>
      <c r="L54" s="10">
        <f t="shared" si="0"/>
        <v>0.23623196676613897</v>
      </c>
      <c r="M54" s="10">
        <f t="shared" si="4"/>
        <v>0.24920346552547118</v>
      </c>
      <c r="P54" s="8">
        <f t="shared" si="5"/>
        <v>-14.377085892514105</v>
      </c>
      <c r="S54" s="11"/>
    </row>
    <row r="55" spans="1:25" x14ac:dyDescent="0.2">
      <c r="A55" s="8">
        <v>26.5</v>
      </c>
      <c r="B55" s="8">
        <v>53</v>
      </c>
      <c r="D55">
        <v>1343.7476056338</v>
      </c>
      <c r="E55">
        <v>412.99605633802997</v>
      </c>
      <c r="F55">
        <v>160.26013513513999</v>
      </c>
      <c r="G55">
        <v>122.82150900901</v>
      </c>
      <c r="I55" s="9">
        <f t="shared" si="1"/>
        <v>290.17454732901996</v>
      </c>
      <c r="J55" s="9">
        <f t="shared" si="2"/>
        <v>1183.4874704986601</v>
      </c>
      <c r="K55" s="9">
        <f t="shared" si="3"/>
        <v>290.17454732901996</v>
      </c>
      <c r="L55" s="10">
        <f t="shared" si="0"/>
        <v>0.2451859901877588</v>
      </c>
      <c r="M55" s="10">
        <f t="shared" si="4"/>
        <v>0.25840694084630894</v>
      </c>
      <c r="P55" s="8">
        <f t="shared" si="5"/>
        <v>-11.214897215784355</v>
      </c>
      <c r="S55" s="11"/>
    </row>
    <row r="56" spans="1:25" x14ac:dyDescent="0.2">
      <c r="A56" s="8">
        <v>27</v>
      </c>
      <c r="B56" s="8">
        <v>54</v>
      </c>
      <c r="D56">
        <v>1355.8512676056</v>
      </c>
      <c r="E56">
        <v>423.82591549296001</v>
      </c>
      <c r="F56">
        <v>160.11880630631001</v>
      </c>
      <c r="G56">
        <v>122.72128378378</v>
      </c>
      <c r="I56" s="9">
        <f t="shared" si="1"/>
        <v>301.10463170918001</v>
      </c>
      <c r="J56" s="9">
        <f t="shared" si="2"/>
        <v>1195.73246129929</v>
      </c>
      <c r="K56" s="9">
        <f t="shared" si="3"/>
        <v>301.10463170918001</v>
      </c>
      <c r="L56" s="10">
        <f t="shared" si="0"/>
        <v>0.25181605539252311</v>
      </c>
      <c r="M56" s="10">
        <f t="shared" si="4"/>
        <v>0.26528645795029115</v>
      </c>
      <c r="P56" s="8">
        <f t="shared" si="5"/>
        <v>-8.8511889067799476</v>
      </c>
      <c r="S56" s="11"/>
    </row>
    <row r="57" spans="1:25" x14ac:dyDescent="0.2">
      <c r="A57" s="8">
        <v>27.5</v>
      </c>
      <c r="B57" s="8">
        <v>55</v>
      </c>
      <c r="D57">
        <v>1323.7898591548999</v>
      </c>
      <c r="E57">
        <v>420.48563380282002</v>
      </c>
      <c r="F57">
        <v>160.01914414414</v>
      </c>
      <c r="G57">
        <v>122.95326576577</v>
      </c>
      <c r="I57" s="9">
        <f t="shared" si="1"/>
        <v>297.53236803704999</v>
      </c>
      <c r="J57" s="9">
        <f t="shared" si="2"/>
        <v>1163.7707150107599</v>
      </c>
      <c r="K57" s="9">
        <f t="shared" si="3"/>
        <v>297.53236803704999</v>
      </c>
      <c r="L57" s="10">
        <f t="shared" si="0"/>
        <v>0.25566236046273005</v>
      </c>
      <c r="M57" s="10">
        <f t="shared" si="4"/>
        <v>0.26938221491971603</v>
      </c>
      <c r="P57" s="8">
        <f t="shared" si="5"/>
        <v>-7.4439426373160158</v>
      </c>
      <c r="S57" s="11"/>
    </row>
    <row r="58" spans="1:25" x14ac:dyDescent="0.2">
      <c r="A58" s="8">
        <v>28</v>
      </c>
      <c r="B58" s="8">
        <v>56</v>
      </c>
      <c r="D58">
        <v>1327.6107042254</v>
      </c>
      <c r="E58">
        <v>426.61577464789002</v>
      </c>
      <c r="F58">
        <v>159.95664414414</v>
      </c>
      <c r="G58">
        <v>122.93524774775</v>
      </c>
      <c r="I58" s="9">
        <f t="shared" si="1"/>
        <v>303.68052690014002</v>
      </c>
      <c r="J58" s="9">
        <f t="shared" si="2"/>
        <v>1167.65406008126</v>
      </c>
      <c r="K58" s="9">
        <f t="shared" si="3"/>
        <v>303.68052690014002</v>
      </c>
      <c r="L58" s="10">
        <f t="shared" si="0"/>
        <v>0.26007748123532937</v>
      </c>
      <c r="M58" s="10">
        <f t="shared" si="4"/>
        <v>0.27404678759153328</v>
      </c>
      <c r="P58" s="8">
        <f t="shared" si="5"/>
        <v>-5.8412590454768329</v>
      </c>
      <c r="S58" s="11"/>
    </row>
    <row r="59" spans="1:25" x14ac:dyDescent="0.2">
      <c r="A59" s="8">
        <v>28.5</v>
      </c>
      <c r="B59" s="8">
        <v>57</v>
      </c>
      <c r="D59">
        <v>1346.8163380282001</v>
      </c>
      <c r="E59">
        <v>430.52619718310001</v>
      </c>
      <c r="F59">
        <v>160.61993243243001</v>
      </c>
      <c r="G59">
        <v>122.8231981982</v>
      </c>
      <c r="I59" s="9">
        <f t="shared" si="1"/>
        <v>307.70299898489998</v>
      </c>
      <c r="J59" s="9">
        <f t="shared" si="2"/>
        <v>1186.1964055957701</v>
      </c>
      <c r="K59" s="9">
        <f t="shared" si="3"/>
        <v>307.70299898489998</v>
      </c>
      <c r="L59" s="10">
        <f t="shared" si="0"/>
        <v>0.25940307821987996</v>
      </c>
      <c r="M59" s="10">
        <f t="shared" si="4"/>
        <v>0.27362183647530181</v>
      </c>
      <c r="P59" s="8">
        <f t="shared" si="5"/>
        <v>-5.9872664569237211</v>
      </c>
      <c r="R59" s="1"/>
      <c r="S59" s="11"/>
    </row>
    <row r="60" spans="1:25" x14ac:dyDescent="0.2">
      <c r="A60" s="8">
        <v>29</v>
      </c>
      <c r="B60" s="8">
        <v>58</v>
      </c>
      <c r="D60">
        <v>1322.7983098591999</v>
      </c>
      <c r="E60">
        <v>423.81577464789001</v>
      </c>
      <c r="F60">
        <v>159.59740990991</v>
      </c>
      <c r="G60">
        <v>122.78040540540999</v>
      </c>
      <c r="I60" s="9">
        <f t="shared" si="1"/>
        <v>301.03536924247999</v>
      </c>
      <c r="J60" s="9">
        <f t="shared" si="2"/>
        <v>1163.2008999492898</v>
      </c>
      <c r="K60" s="9">
        <f t="shared" si="3"/>
        <v>301.03536924247999</v>
      </c>
      <c r="L60" s="10">
        <f t="shared" si="0"/>
        <v>0.25879911995907479</v>
      </c>
      <c r="M60" s="10">
        <f t="shared" si="4"/>
        <v>0.27326733011371457</v>
      </c>
      <c r="P60" s="8">
        <f t="shared" si="5"/>
        <v>-6.1090700108379377</v>
      </c>
      <c r="S60" s="11"/>
    </row>
    <row r="61" spans="1:25" x14ac:dyDescent="0.2">
      <c r="A61" s="8">
        <v>29.5</v>
      </c>
      <c r="B61" s="8">
        <v>59</v>
      </c>
      <c r="C61" s="2"/>
      <c r="D61">
        <v>1366.1323943662001</v>
      </c>
      <c r="E61">
        <v>434.85971830986</v>
      </c>
      <c r="F61">
        <v>160.49211711711999</v>
      </c>
      <c r="G61">
        <v>123.22240990991</v>
      </c>
      <c r="I61" s="9">
        <f t="shared" si="1"/>
        <v>311.63730839995003</v>
      </c>
      <c r="J61" s="9">
        <f t="shared" si="2"/>
        <v>1205.6402772490801</v>
      </c>
      <c r="K61" s="9">
        <f t="shared" si="3"/>
        <v>311.63730839995003</v>
      </c>
      <c r="L61" s="10">
        <f t="shared" si="0"/>
        <v>0.25848282798830807</v>
      </c>
      <c r="M61" s="10">
        <f t="shared" si="4"/>
        <v>0.27320049004216579</v>
      </c>
      <c r="P61" s="8">
        <f t="shared" si="5"/>
        <v>-6.1320353483908958</v>
      </c>
      <c r="S61" s="11"/>
    </row>
    <row r="62" spans="1:25" x14ac:dyDescent="0.2">
      <c r="A62" s="8">
        <v>30</v>
      </c>
      <c r="B62" s="8">
        <v>60</v>
      </c>
      <c r="D62">
        <v>1376.8523943662001</v>
      </c>
      <c r="E62">
        <v>429.31887323943999</v>
      </c>
      <c r="F62">
        <v>160.16328828829</v>
      </c>
      <c r="G62">
        <v>123.31418918919</v>
      </c>
      <c r="I62" s="9">
        <f t="shared" si="1"/>
        <v>306.00468405024998</v>
      </c>
      <c r="J62" s="9">
        <f t="shared" si="2"/>
        <v>1216.6891060779101</v>
      </c>
      <c r="K62" s="9">
        <f t="shared" si="3"/>
        <v>306.00468405024998</v>
      </c>
      <c r="L62" s="10">
        <f t="shared" si="0"/>
        <v>0.25150606060465142</v>
      </c>
      <c r="M62" s="10">
        <f t="shared" si="4"/>
        <v>0.26647317455772707</v>
      </c>
      <c r="P62" s="8">
        <f t="shared" si="5"/>
        <v>-8.443449255430572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1351.6950394589001</v>
      </c>
      <c r="E63">
        <v>427.45208568206999</v>
      </c>
      <c r="F63">
        <v>160.59290540540999</v>
      </c>
      <c r="G63">
        <v>123.09403153153001</v>
      </c>
      <c r="I63" s="9">
        <f t="shared" si="1"/>
        <v>304.35805415054</v>
      </c>
      <c r="J63" s="9">
        <f t="shared" si="2"/>
        <v>1191.1021340534901</v>
      </c>
      <c r="K63" s="9">
        <f t="shared" si="3"/>
        <v>304.35805415054</v>
      </c>
      <c r="L63" s="10">
        <f t="shared" si="0"/>
        <v>0.25552641158887546</v>
      </c>
      <c r="M63" s="10">
        <f t="shared" si="4"/>
        <v>0.27074297744116904</v>
      </c>
      <c r="P63" s="8">
        <f t="shared" si="5"/>
        <v>-6.9764031821588484</v>
      </c>
    </row>
    <row r="64" spans="1:25" x14ac:dyDescent="0.2">
      <c r="A64" s="8">
        <v>31</v>
      </c>
      <c r="B64" s="8">
        <v>62</v>
      </c>
      <c r="D64">
        <v>1363.4288126055001</v>
      </c>
      <c r="E64">
        <v>444.76871131119998</v>
      </c>
      <c r="F64">
        <v>160.03997747747999</v>
      </c>
      <c r="G64">
        <v>122.88119369368999</v>
      </c>
      <c r="I64" s="9">
        <f t="shared" si="1"/>
        <v>321.88751761750996</v>
      </c>
      <c r="J64" s="9">
        <f t="shared" si="2"/>
        <v>1203.38883512802</v>
      </c>
      <c r="K64" s="9">
        <f t="shared" si="3"/>
        <v>321.88751761750996</v>
      </c>
      <c r="L64" s="10">
        <f t="shared" si="0"/>
        <v>0.26748421476194484</v>
      </c>
      <c r="M64" s="10">
        <f t="shared" si="4"/>
        <v>0.2829502325134563</v>
      </c>
      <c r="P64" s="8">
        <f t="shared" si="5"/>
        <v>-2.7821567243952372</v>
      </c>
      <c r="U64" s="8">
        <v>30.5</v>
      </c>
      <c r="V64" s="10">
        <f>L62</f>
        <v>0.25150606060465142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1400.5762521102999</v>
      </c>
      <c r="E65">
        <v>467.65841305571001</v>
      </c>
      <c r="F65">
        <v>160.20439189189</v>
      </c>
      <c r="G65">
        <v>123.12049549549999</v>
      </c>
      <c r="I65" s="9">
        <f t="shared" si="1"/>
        <v>344.53791756021002</v>
      </c>
      <c r="J65" s="9">
        <f t="shared" si="2"/>
        <v>1240.3718602184099</v>
      </c>
      <c r="K65" s="9">
        <f t="shared" si="3"/>
        <v>344.53791756021002</v>
      </c>
      <c r="L65" s="10">
        <f t="shared" si="0"/>
        <v>0.27776985967703455</v>
      </c>
      <c r="M65" s="10">
        <f t="shared" si="4"/>
        <v>0.29348532932776394</v>
      </c>
      <c r="P65" s="8">
        <f t="shared" si="5"/>
        <v>0.83755894746933868</v>
      </c>
      <c r="U65" s="8">
        <v>31</v>
      </c>
      <c r="V65" s="10">
        <f t="shared" ref="V65:V83" si="6">L63</f>
        <v>0.25552641158887546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1355.0593220338999</v>
      </c>
      <c r="E66">
        <v>456.26440677966002</v>
      </c>
      <c r="F66">
        <v>160.53265765766</v>
      </c>
      <c r="G66">
        <v>122.83502252252001</v>
      </c>
      <c r="I66" s="9">
        <f t="shared" si="1"/>
        <v>333.42938425713999</v>
      </c>
      <c r="J66" s="9">
        <f t="shared" si="2"/>
        <v>1194.52666437624</v>
      </c>
      <c r="K66" s="9">
        <f t="shared" si="3"/>
        <v>333.42938425713999</v>
      </c>
      <c r="L66" s="10">
        <f t="shared" ref="L66:L129" si="7">K66/J66</f>
        <v>0.27913096810714622</v>
      </c>
      <c r="M66" s="10">
        <f t="shared" si="4"/>
        <v>0.29509588965709355</v>
      </c>
      <c r="P66" s="8">
        <f t="shared" si="5"/>
        <v>1.3909255246649428</v>
      </c>
      <c r="U66" s="8">
        <v>31.5</v>
      </c>
      <c r="V66" s="10">
        <f t="shared" si="6"/>
        <v>0.26748421476194484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1369.2063134160001</v>
      </c>
      <c r="E67">
        <v>458.73618940248002</v>
      </c>
      <c r="F67">
        <v>160.09966216216</v>
      </c>
      <c r="G67">
        <v>122.75788288288</v>
      </c>
      <c r="I67" s="9">
        <f t="shared" ref="I67:I130" si="8">E67-G67</f>
        <v>335.97830651960004</v>
      </c>
      <c r="J67" s="9">
        <f t="shared" ref="J67:J130" si="9">D67-F67</f>
        <v>1209.10665125384</v>
      </c>
      <c r="K67" s="9">
        <f t="shared" ref="K67:K130" si="10">I67*1</f>
        <v>335.97830651960004</v>
      </c>
      <c r="L67" s="10">
        <f t="shared" si="7"/>
        <v>0.27787317700319614</v>
      </c>
      <c r="M67" s="10">
        <f t="shared" ref="M67:M130" si="11">L67+ABS($N$2)*A67</f>
        <v>0.2940875504523614</v>
      </c>
      <c r="P67" s="8">
        <f t="shared" ref="P67:P130" si="12">(M67-$O$2)/$O$2*100</f>
        <v>1.044473917597839</v>
      </c>
      <c r="U67" s="8">
        <v>32</v>
      </c>
      <c r="V67" s="10">
        <f t="shared" si="6"/>
        <v>0.27776985967703455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1346.4211117350001</v>
      </c>
      <c r="E68">
        <v>446.78326782706</v>
      </c>
      <c r="F68">
        <v>160.37331081081001</v>
      </c>
      <c r="G68">
        <v>122.97916666667</v>
      </c>
      <c r="I68" s="9">
        <f t="shared" si="8"/>
        <v>323.80410116039002</v>
      </c>
      <c r="J68" s="9">
        <f t="shared" si="9"/>
        <v>1186.0478009241901</v>
      </c>
      <c r="K68" s="9">
        <f t="shared" si="10"/>
        <v>323.80410116039002</v>
      </c>
      <c r="L68" s="10">
        <f t="shared" si="7"/>
        <v>0.27301100420073787</v>
      </c>
      <c r="M68" s="10">
        <f t="shared" si="11"/>
        <v>0.28947482954912107</v>
      </c>
      <c r="P68" s="8">
        <f t="shared" si="12"/>
        <v>-0.540394113298718</v>
      </c>
      <c r="U68" s="8">
        <v>32.5</v>
      </c>
      <c r="V68" s="10">
        <f t="shared" si="6"/>
        <v>0.27913096810714622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1328.3935991016001</v>
      </c>
      <c r="E69">
        <v>432.95845030881998</v>
      </c>
      <c r="F69">
        <v>159.97522522522999</v>
      </c>
      <c r="G69">
        <v>122.87556306306</v>
      </c>
      <c r="I69" s="9">
        <f t="shared" si="8"/>
        <v>310.08288724575999</v>
      </c>
      <c r="J69" s="9">
        <f t="shared" si="9"/>
        <v>1168.4183738763702</v>
      </c>
      <c r="K69" s="9">
        <f t="shared" si="10"/>
        <v>310.08288724575999</v>
      </c>
      <c r="L69" s="10">
        <f t="shared" si="7"/>
        <v>0.26538686328341643</v>
      </c>
      <c r="M69" s="10">
        <f t="shared" si="11"/>
        <v>0.28210014053101756</v>
      </c>
      <c r="P69" s="8">
        <f t="shared" si="12"/>
        <v>-3.0742367427943993</v>
      </c>
      <c r="U69" s="8">
        <v>33</v>
      </c>
      <c r="V69" s="10">
        <f t="shared" si="6"/>
        <v>0.27787317700319614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1368.1335597057</v>
      </c>
      <c r="E70">
        <v>438.80418788908003</v>
      </c>
      <c r="F70">
        <v>160.40540540540999</v>
      </c>
      <c r="G70">
        <v>122.72466216216</v>
      </c>
      <c r="I70" s="9">
        <f t="shared" si="8"/>
        <v>316.07952572692</v>
      </c>
      <c r="J70" s="9">
        <f t="shared" si="9"/>
        <v>1207.72815430029</v>
      </c>
      <c r="K70" s="9">
        <f t="shared" si="10"/>
        <v>316.07952572692</v>
      </c>
      <c r="L70" s="10">
        <f t="shared" si="7"/>
        <v>0.26171413210950933</v>
      </c>
      <c r="M70" s="10">
        <f t="shared" si="11"/>
        <v>0.2786768612563284</v>
      </c>
      <c r="P70" s="8">
        <f t="shared" si="12"/>
        <v>-4.2504288422284562</v>
      </c>
      <c r="U70" s="8">
        <v>33.5</v>
      </c>
      <c r="V70" s="10">
        <f t="shared" si="6"/>
        <v>0.27301100420073787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1381.8918918919001</v>
      </c>
      <c r="E71">
        <v>466.17511261261001</v>
      </c>
      <c r="F71">
        <v>160.47916666667001</v>
      </c>
      <c r="G71">
        <v>122.93918918919</v>
      </c>
      <c r="I71" s="9">
        <f t="shared" si="8"/>
        <v>343.23592342341999</v>
      </c>
      <c r="J71" s="9">
        <f t="shared" si="9"/>
        <v>1221.4127252252301</v>
      </c>
      <c r="K71" s="9">
        <f t="shared" si="10"/>
        <v>343.23592342341999</v>
      </c>
      <c r="L71" s="10">
        <f t="shared" si="7"/>
        <v>0.28101551288498883</v>
      </c>
      <c r="M71" s="10">
        <f t="shared" si="11"/>
        <v>0.29822769393102583</v>
      </c>
      <c r="P71" s="8">
        <f t="shared" si="12"/>
        <v>2.4669707866476771</v>
      </c>
      <c r="U71" s="8">
        <v>34</v>
      </c>
      <c r="V71" s="10">
        <f t="shared" si="6"/>
        <v>0.26538686328341643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1398.8231981982001</v>
      </c>
      <c r="E72">
        <v>487.71452702702999</v>
      </c>
      <c r="F72">
        <v>159.68637387387</v>
      </c>
      <c r="G72">
        <v>122.78490990991</v>
      </c>
      <c r="I72" s="9">
        <f t="shared" si="8"/>
        <v>364.92961711711996</v>
      </c>
      <c r="J72" s="9">
        <f t="shared" si="9"/>
        <v>1239.1368243243301</v>
      </c>
      <c r="K72" s="9">
        <f t="shared" si="10"/>
        <v>364.92961711711996</v>
      </c>
      <c r="L72" s="10">
        <f t="shared" si="7"/>
        <v>0.29450308469051173</v>
      </c>
      <c r="M72" s="10">
        <f t="shared" si="11"/>
        <v>0.31196471763576661</v>
      </c>
      <c r="P72" s="8">
        <f t="shared" si="12"/>
        <v>7.1868248957523404</v>
      </c>
      <c r="U72" s="8">
        <v>34.5</v>
      </c>
      <c r="V72" s="10">
        <f t="shared" si="6"/>
        <v>0.26171413210950933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1381.0365990990999</v>
      </c>
      <c r="E73">
        <v>477.93524774775</v>
      </c>
      <c r="F73">
        <v>160.07939189189</v>
      </c>
      <c r="G73">
        <v>123.04842342342</v>
      </c>
      <c r="I73" s="9">
        <f t="shared" si="8"/>
        <v>354.88682432433001</v>
      </c>
      <c r="J73" s="9">
        <f t="shared" si="9"/>
        <v>1220.9572072072099</v>
      </c>
      <c r="K73" s="9">
        <f t="shared" si="10"/>
        <v>354.88682432433001</v>
      </c>
      <c r="L73" s="10">
        <f t="shared" si="7"/>
        <v>0.29066278672951212</v>
      </c>
      <c r="M73" s="10">
        <f t="shared" si="11"/>
        <v>0.30837387157398494</v>
      </c>
      <c r="P73" s="8">
        <f t="shared" si="12"/>
        <v>5.9530591322111812</v>
      </c>
      <c r="U73" s="8">
        <v>35</v>
      </c>
      <c r="V73" s="10">
        <f t="shared" si="6"/>
        <v>0.28101551288498883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1337.5810810810999</v>
      </c>
      <c r="E74">
        <v>460.49268018018</v>
      </c>
      <c r="F74">
        <v>160.5</v>
      </c>
      <c r="G74">
        <v>122.71002252252001</v>
      </c>
      <c r="I74" s="9">
        <f t="shared" si="8"/>
        <v>337.78265765766002</v>
      </c>
      <c r="J74" s="9">
        <f t="shared" si="9"/>
        <v>1177.0810810810999</v>
      </c>
      <c r="K74" s="9">
        <f t="shared" si="10"/>
        <v>337.78265765766002</v>
      </c>
      <c r="L74" s="10">
        <f t="shared" si="7"/>
        <v>0.28696634674258864</v>
      </c>
      <c r="M74" s="10">
        <f t="shared" si="11"/>
        <v>0.30492688348627939</v>
      </c>
      <c r="P74" s="8">
        <f t="shared" si="12"/>
        <v>4.7687210077761781</v>
      </c>
      <c r="U74" s="8">
        <v>35.5</v>
      </c>
      <c r="V74" s="10">
        <f t="shared" si="6"/>
        <v>0.29450308469051173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1382.7876404494</v>
      </c>
      <c r="E75">
        <v>473.62752808989001</v>
      </c>
      <c r="F75">
        <v>160.56137387387</v>
      </c>
      <c r="G75">
        <v>122.94256756756999</v>
      </c>
      <c r="I75" s="9">
        <f t="shared" si="8"/>
        <v>350.68496052232001</v>
      </c>
      <c r="J75" s="9">
        <f t="shared" si="9"/>
        <v>1222.22626657553</v>
      </c>
      <c r="K75" s="9">
        <f t="shared" si="10"/>
        <v>350.68496052232001</v>
      </c>
      <c r="L75" s="10">
        <f t="shared" si="7"/>
        <v>0.28692310917591357</v>
      </c>
      <c r="M75" s="10">
        <f t="shared" si="11"/>
        <v>0.30513309781882225</v>
      </c>
      <c r="P75" s="8">
        <f t="shared" si="12"/>
        <v>4.8395734417333847</v>
      </c>
      <c r="U75" s="8">
        <v>36</v>
      </c>
      <c r="V75" s="10">
        <f t="shared" si="6"/>
        <v>0.29066278672951212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1375.8625352112999</v>
      </c>
      <c r="E76">
        <v>460.84450704224997</v>
      </c>
      <c r="F76">
        <v>160.30292792793</v>
      </c>
      <c r="G76">
        <v>122.29279279279</v>
      </c>
      <c r="I76" s="9">
        <f t="shared" si="8"/>
        <v>338.55171424945996</v>
      </c>
      <c r="J76" s="9">
        <f t="shared" si="9"/>
        <v>1215.55960728337</v>
      </c>
      <c r="K76" s="9">
        <f t="shared" si="10"/>
        <v>338.55171424945996</v>
      </c>
      <c r="L76" s="10">
        <f t="shared" si="7"/>
        <v>0.27851510713331651</v>
      </c>
      <c r="M76" s="10">
        <f t="shared" si="11"/>
        <v>0.29697454767544312</v>
      </c>
      <c r="P76" s="8">
        <f t="shared" si="12"/>
        <v>2.0364068136321878</v>
      </c>
      <c r="U76" s="8">
        <v>36.5</v>
      </c>
      <c r="V76" s="10">
        <f t="shared" si="6"/>
        <v>0.28696634674258864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1359.5532394366001</v>
      </c>
      <c r="E77">
        <v>446.46253521126999</v>
      </c>
      <c r="F77">
        <v>160.42004504504999</v>
      </c>
      <c r="G77">
        <v>122.78040540540999</v>
      </c>
      <c r="I77" s="9">
        <f t="shared" si="8"/>
        <v>323.68212980585997</v>
      </c>
      <c r="J77" s="9">
        <f t="shared" si="9"/>
        <v>1199.13319439155</v>
      </c>
      <c r="K77" s="9">
        <f t="shared" si="10"/>
        <v>323.68212980585997</v>
      </c>
      <c r="L77" s="10">
        <f t="shared" si="7"/>
        <v>0.26993008893403114</v>
      </c>
      <c r="M77" s="10">
        <f t="shared" si="11"/>
        <v>0.28863898137537569</v>
      </c>
      <c r="P77" s="8">
        <f t="shared" si="12"/>
        <v>-0.82758015317417311</v>
      </c>
      <c r="U77" s="8">
        <v>37</v>
      </c>
      <c r="V77" s="10">
        <f t="shared" si="6"/>
        <v>0.28692310917591357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1330.4918309858999</v>
      </c>
      <c r="E78">
        <v>431.67943661971998</v>
      </c>
      <c r="F78">
        <v>160.34684684685001</v>
      </c>
      <c r="G78">
        <v>122.85979729730001</v>
      </c>
      <c r="I78" s="9">
        <f t="shared" si="8"/>
        <v>308.81963932241996</v>
      </c>
      <c r="J78" s="9">
        <f t="shared" si="9"/>
        <v>1170.1449841390499</v>
      </c>
      <c r="K78" s="9">
        <f t="shared" si="10"/>
        <v>308.81963932241996</v>
      </c>
      <c r="L78" s="10">
        <f t="shared" si="7"/>
        <v>0.26391570575302531</v>
      </c>
      <c r="M78" s="10">
        <f t="shared" si="11"/>
        <v>0.28287405009358779</v>
      </c>
      <c r="P78" s="8">
        <f t="shared" si="12"/>
        <v>-2.8083319654945029</v>
      </c>
      <c r="U78" s="8">
        <v>37.5</v>
      </c>
      <c r="V78" s="10">
        <f t="shared" si="6"/>
        <v>0.27851510713331651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1333.8878873239</v>
      </c>
      <c r="E79">
        <v>429.42704225352003</v>
      </c>
      <c r="F79">
        <v>159.94763513513999</v>
      </c>
      <c r="G79">
        <v>122.65146396396</v>
      </c>
      <c r="I79" s="9">
        <f t="shared" si="8"/>
        <v>306.77557828956003</v>
      </c>
      <c r="J79" s="9">
        <f t="shared" si="9"/>
        <v>1173.94025218876</v>
      </c>
      <c r="K79" s="9">
        <f t="shared" si="10"/>
        <v>306.77557828956003</v>
      </c>
      <c r="L79" s="10">
        <f t="shared" si="7"/>
        <v>0.26132128761884638</v>
      </c>
      <c r="M79" s="10">
        <f t="shared" si="11"/>
        <v>0.28052908385862679</v>
      </c>
      <c r="P79" s="8">
        <f t="shared" si="12"/>
        <v>-3.6140304019012714</v>
      </c>
      <c r="U79" s="8">
        <v>38</v>
      </c>
      <c r="V79" s="10">
        <f t="shared" si="6"/>
        <v>0.26993008893403114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1338.5499717673999</v>
      </c>
      <c r="E80">
        <v>445.05477131563998</v>
      </c>
      <c r="F80">
        <v>159.96959459460001</v>
      </c>
      <c r="G80">
        <v>122.65653153153001</v>
      </c>
      <c r="I80" s="9">
        <f t="shared" si="8"/>
        <v>322.39823978410999</v>
      </c>
      <c r="J80" s="9">
        <f t="shared" si="9"/>
        <v>1178.5803771727999</v>
      </c>
      <c r="K80" s="9">
        <f t="shared" si="10"/>
        <v>322.39823978410999</v>
      </c>
      <c r="L80" s="10">
        <f t="shared" si="7"/>
        <v>0.27354794465311288</v>
      </c>
      <c r="M80" s="10">
        <f t="shared" si="11"/>
        <v>0.29300519279211124</v>
      </c>
      <c r="P80" s="8">
        <f t="shared" si="12"/>
        <v>0.67259057808742984</v>
      </c>
      <c r="U80" s="8">
        <v>38.5</v>
      </c>
      <c r="V80" s="10">
        <f t="shared" si="6"/>
        <v>0.26391570575302531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1281.7651044608001</v>
      </c>
      <c r="E81">
        <v>434.05251270469</v>
      </c>
      <c r="F81">
        <v>160.35529279279001</v>
      </c>
      <c r="G81">
        <v>122.8490990991</v>
      </c>
      <c r="I81" s="9">
        <f t="shared" si="8"/>
        <v>311.20341360559001</v>
      </c>
      <c r="J81" s="9">
        <f t="shared" si="9"/>
        <v>1121.4098116680102</v>
      </c>
      <c r="K81" s="9">
        <f t="shared" si="10"/>
        <v>311.20341360559001</v>
      </c>
      <c r="L81" s="10">
        <f t="shared" si="7"/>
        <v>0.2775108710193101</v>
      </c>
      <c r="M81" s="10">
        <f t="shared" si="11"/>
        <v>0.29721757105752633</v>
      </c>
      <c r="P81" s="8">
        <f t="shared" si="12"/>
        <v>2.1199063353035443</v>
      </c>
      <c r="U81" s="8">
        <v>39</v>
      </c>
      <c r="V81" s="10">
        <f t="shared" si="6"/>
        <v>0.26132128761884638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1277.4093732355</v>
      </c>
      <c r="E82">
        <v>424.37944664032</v>
      </c>
      <c r="F82">
        <v>160.39358108107999</v>
      </c>
      <c r="G82">
        <v>122.73536036036</v>
      </c>
      <c r="H82" s="13"/>
      <c r="I82" s="14">
        <f t="shared" si="8"/>
        <v>301.64408627995999</v>
      </c>
      <c r="J82" s="14">
        <f t="shared" si="9"/>
        <v>1117.0157921544201</v>
      </c>
      <c r="K82" s="9">
        <f t="shared" si="10"/>
        <v>301.64408627995999</v>
      </c>
      <c r="L82" s="15">
        <f t="shared" si="7"/>
        <v>0.27004460312792039</v>
      </c>
      <c r="M82" s="15">
        <f t="shared" si="11"/>
        <v>0.29000075506535455</v>
      </c>
      <c r="N82" s="13"/>
      <c r="O82" s="13"/>
      <c r="P82" s="13">
        <f t="shared" si="12"/>
        <v>-0.35969327429376435</v>
      </c>
      <c r="U82" s="8">
        <v>39.5</v>
      </c>
      <c r="V82" s="10">
        <f t="shared" si="6"/>
        <v>0.27354794465311288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1321.4362717573999</v>
      </c>
      <c r="E83">
        <v>440.74340258282001</v>
      </c>
      <c r="F83">
        <v>160.20213963964</v>
      </c>
      <c r="G83">
        <v>122.91554054053999</v>
      </c>
      <c r="I83" s="9">
        <f t="shared" si="8"/>
        <v>317.82786204228</v>
      </c>
      <c r="J83" s="9">
        <f t="shared" si="9"/>
        <v>1161.2341321177601</v>
      </c>
      <c r="K83" s="9">
        <f t="shared" si="10"/>
        <v>317.82786204228</v>
      </c>
      <c r="L83" s="10">
        <f t="shared" si="7"/>
        <v>0.27369834665697657</v>
      </c>
      <c r="M83" s="10">
        <f t="shared" si="11"/>
        <v>0.29390395049362866</v>
      </c>
      <c r="P83" s="8">
        <f t="shared" si="12"/>
        <v>0.98139147424753004</v>
      </c>
      <c r="U83" s="8">
        <v>40</v>
      </c>
      <c r="V83" s="10">
        <f t="shared" si="6"/>
        <v>0.2775108710193101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1359.743083004</v>
      </c>
      <c r="E84">
        <v>463.00621118011998</v>
      </c>
      <c r="F84">
        <v>159.71058558559</v>
      </c>
      <c r="G84">
        <v>122.61542792793</v>
      </c>
      <c r="I84" s="9">
        <f t="shared" si="8"/>
        <v>340.39078325218998</v>
      </c>
      <c r="J84" s="9">
        <f t="shared" si="9"/>
        <v>1200.03249741841</v>
      </c>
      <c r="K84" s="9">
        <f t="shared" si="10"/>
        <v>340.39078325218998</v>
      </c>
      <c r="L84" s="10">
        <f t="shared" si="7"/>
        <v>0.28365130443088943</v>
      </c>
      <c r="M84" s="10">
        <f t="shared" si="11"/>
        <v>0.30410636016675946</v>
      </c>
      <c r="P84" s="8">
        <f t="shared" si="12"/>
        <v>4.4868003789345901</v>
      </c>
      <c r="U84" s="8">
        <v>150.5</v>
      </c>
      <c r="V84" s="10">
        <f>L302</f>
        <v>0.21372499533094411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1319.3958215697</v>
      </c>
      <c r="E85">
        <v>456.17165443251997</v>
      </c>
      <c r="F85">
        <v>160.05855855856001</v>
      </c>
      <c r="G85">
        <v>122.72747747747999</v>
      </c>
      <c r="I85" s="9">
        <f t="shared" si="8"/>
        <v>333.44417695504001</v>
      </c>
      <c r="J85" s="9">
        <f t="shared" si="9"/>
        <v>1159.3372630111401</v>
      </c>
      <c r="K85" s="9">
        <f t="shared" si="10"/>
        <v>333.44417695504001</v>
      </c>
      <c r="L85" s="10">
        <f t="shared" si="7"/>
        <v>0.28761619900751517</v>
      </c>
      <c r="M85" s="10">
        <f t="shared" si="11"/>
        <v>0.30832070664260314</v>
      </c>
      <c r="P85" s="8">
        <f t="shared" si="12"/>
        <v>5.934792386427227</v>
      </c>
      <c r="U85" s="8">
        <v>151</v>
      </c>
      <c r="V85" s="10">
        <f t="shared" ref="V85:V103" si="13">L303</f>
        <v>0.21251555024345745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1370.7312252964</v>
      </c>
      <c r="E86">
        <v>478.87577639751999</v>
      </c>
      <c r="F86">
        <v>159.74211711711999</v>
      </c>
      <c r="G86">
        <v>122.625</v>
      </c>
      <c r="I86" s="9">
        <f t="shared" si="8"/>
        <v>356.25077639751999</v>
      </c>
      <c r="J86" s="9">
        <f t="shared" si="9"/>
        <v>1210.98910817928</v>
      </c>
      <c r="K86" s="9">
        <f t="shared" si="10"/>
        <v>356.25077639751999</v>
      </c>
      <c r="L86" s="10">
        <f t="shared" si="7"/>
        <v>0.29418165199944896</v>
      </c>
      <c r="M86" s="10">
        <f t="shared" si="11"/>
        <v>0.31513561153375486</v>
      </c>
      <c r="P86" s="8">
        <f t="shared" si="12"/>
        <v>8.2763008197685277</v>
      </c>
      <c r="U86" s="8">
        <v>151.5</v>
      </c>
      <c r="V86" s="10">
        <f t="shared" si="13"/>
        <v>0.2139854268615391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1343.9858996052001</v>
      </c>
      <c r="E87">
        <v>470.87084038352998</v>
      </c>
      <c r="F87">
        <v>159.98761261261001</v>
      </c>
      <c r="G87">
        <v>122.81925675676</v>
      </c>
      <c r="I87" s="9">
        <f t="shared" si="8"/>
        <v>348.05158362676997</v>
      </c>
      <c r="J87" s="9">
        <f t="shared" si="9"/>
        <v>1183.99828699259</v>
      </c>
      <c r="K87" s="9">
        <f t="shared" si="10"/>
        <v>348.05158362676997</v>
      </c>
      <c r="L87" s="10">
        <f t="shared" si="7"/>
        <v>0.29396291147585774</v>
      </c>
      <c r="M87" s="10">
        <f t="shared" si="11"/>
        <v>0.31516632290938157</v>
      </c>
      <c r="P87" s="8">
        <f t="shared" si="12"/>
        <v>8.2868528298373452</v>
      </c>
      <c r="U87" s="8">
        <v>152</v>
      </c>
      <c r="V87" s="10">
        <f t="shared" si="13"/>
        <v>0.21419084624311191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1336.5200225606</v>
      </c>
      <c r="E88">
        <v>464.84602368866001</v>
      </c>
      <c r="F88">
        <v>160.23310810811</v>
      </c>
      <c r="G88">
        <v>122.81700450451</v>
      </c>
      <c r="I88" s="9">
        <f t="shared" si="8"/>
        <v>342.02901918415</v>
      </c>
      <c r="J88" s="9">
        <f t="shared" si="9"/>
        <v>1176.28691445249</v>
      </c>
      <c r="K88" s="9">
        <f t="shared" si="10"/>
        <v>342.02901918415</v>
      </c>
      <c r="L88" s="10">
        <f t="shared" si="7"/>
        <v>0.29077006211817763</v>
      </c>
      <c r="M88" s="10">
        <f t="shared" si="11"/>
        <v>0.3122229254509194</v>
      </c>
      <c r="P88" s="8">
        <f t="shared" si="12"/>
        <v>7.2755415816623499</v>
      </c>
      <c r="U88" s="8">
        <v>152.5</v>
      </c>
      <c r="V88" s="10">
        <f t="shared" si="13"/>
        <v>0.21291610031245314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1336.5313028764999</v>
      </c>
      <c r="E89">
        <v>474.69712351945998</v>
      </c>
      <c r="F89">
        <v>160.27815315314999</v>
      </c>
      <c r="G89">
        <v>122.72466216216</v>
      </c>
      <c r="I89" s="9">
        <f t="shared" si="8"/>
        <v>351.97246135729995</v>
      </c>
      <c r="J89" s="9">
        <f t="shared" si="9"/>
        <v>1176.2531497233499</v>
      </c>
      <c r="K89" s="9">
        <f t="shared" si="10"/>
        <v>351.97246135729995</v>
      </c>
      <c r="L89" s="10">
        <f t="shared" si="7"/>
        <v>0.2992318970113555</v>
      </c>
      <c r="M89" s="10">
        <f t="shared" si="11"/>
        <v>0.32093421224331514</v>
      </c>
      <c r="P89" s="8">
        <f t="shared" si="12"/>
        <v>10.268620988556632</v>
      </c>
      <c r="U89" s="8">
        <v>153</v>
      </c>
      <c r="V89" s="10">
        <f t="shared" si="13"/>
        <v>0.21367883698938298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1390.9581211092</v>
      </c>
      <c r="E90">
        <v>495.67232597623001</v>
      </c>
      <c r="F90">
        <v>160.15259009009</v>
      </c>
      <c r="G90">
        <v>122.84065315315</v>
      </c>
      <c r="I90" s="9">
        <f t="shared" si="8"/>
        <v>372.83167282308</v>
      </c>
      <c r="J90" s="9">
        <f t="shared" si="9"/>
        <v>1230.80553101911</v>
      </c>
      <c r="K90" s="9">
        <f t="shared" si="10"/>
        <v>372.83167282308</v>
      </c>
      <c r="L90" s="10">
        <f t="shared" si="7"/>
        <v>0.30291679995488358</v>
      </c>
      <c r="M90" s="10">
        <f t="shared" si="11"/>
        <v>0.32486856708606116</v>
      </c>
      <c r="P90" s="8">
        <f t="shared" si="12"/>
        <v>11.620411687207174</v>
      </c>
      <c r="U90" s="8">
        <v>153.5</v>
      </c>
      <c r="V90" s="10">
        <f t="shared" si="13"/>
        <v>0.21408709238058193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1344.0554612337</v>
      </c>
      <c r="E91">
        <v>465.19977362762</v>
      </c>
      <c r="F91">
        <v>160.07545045045001</v>
      </c>
      <c r="G91">
        <v>122.06306306306</v>
      </c>
      <c r="I91" s="9">
        <f t="shared" si="8"/>
        <v>343.13671056456002</v>
      </c>
      <c r="J91" s="9">
        <f t="shared" si="9"/>
        <v>1183.98001078325</v>
      </c>
      <c r="K91" s="9">
        <f t="shared" si="10"/>
        <v>343.13671056456002</v>
      </c>
      <c r="L91" s="10">
        <f t="shared" si="7"/>
        <v>0.2898163038559759</v>
      </c>
      <c r="M91" s="10">
        <f t="shared" si="11"/>
        <v>0.31201752288637141</v>
      </c>
      <c r="P91" s="8">
        <f t="shared" si="12"/>
        <v>7.2049680601237744</v>
      </c>
      <c r="U91" s="8">
        <v>154</v>
      </c>
      <c r="V91" s="10">
        <f t="shared" si="13"/>
        <v>0.2125575409617656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1373.4548022598999</v>
      </c>
      <c r="E92">
        <v>463.47231638417998</v>
      </c>
      <c r="F92">
        <v>160.25844594595</v>
      </c>
      <c r="G92">
        <v>122.70157657658</v>
      </c>
      <c r="I92" s="9">
        <f t="shared" si="8"/>
        <v>340.77073980759997</v>
      </c>
      <c r="J92" s="9">
        <f t="shared" si="9"/>
        <v>1213.19635631395</v>
      </c>
      <c r="K92" s="9">
        <f t="shared" si="10"/>
        <v>340.77073980759997</v>
      </c>
      <c r="L92" s="10">
        <f t="shared" si="7"/>
        <v>0.28088671552143663</v>
      </c>
      <c r="M92" s="10">
        <f t="shared" si="11"/>
        <v>0.30333738645105007</v>
      </c>
      <c r="P92" s="8">
        <f t="shared" si="12"/>
        <v>4.2225914913404115</v>
      </c>
      <c r="U92" s="8">
        <v>154.5</v>
      </c>
      <c r="V92" s="10">
        <f t="shared" si="13"/>
        <v>0.21364484366024206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1367.3790960452</v>
      </c>
      <c r="E93">
        <v>453.40564971751002</v>
      </c>
      <c r="F93">
        <v>159.32038288288001</v>
      </c>
      <c r="G93">
        <v>122.37162162161999</v>
      </c>
      <c r="I93" s="9">
        <f t="shared" si="8"/>
        <v>331.03402809588999</v>
      </c>
      <c r="J93" s="9">
        <f t="shared" si="9"/>
        <v>1208.0587131623199</v>
      </c>
      <c r="K93" s="9">
        <f t="shared" si="10"/>
        <v>331.03402809588999</v>
      </c>
      <c r="L93" s="10">
        <f t="shared" si="7"/>
        <v>0.27402147303697388</v>
      </c>
      <c r="M93" s="10">
        <f t="shared" si="11"/>
        <v>0.29672159586580527</v>
      </c>
      <c r="P93" s="8">
        <f t="shared" si="12"/>
        <v>1.9494960195776738</v>
      </c>
      <c r="U93" s="8">
        <v>155</v>
      </c>
      <c r="V93" s="10">
        <f t="shared" si="13"/>
        <v>0.21341568699531935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1355.8497175140999</v>
      </c>
      <c r="E94">
        <v>444.98813559322002</v>
      </c>
      <c r="F94">
        <v>160.04560810811</v>
      </c>
      <c r="G94">
        <v>122.25394144144001</v>
      </c>
      <c r="I94" s="9">
        <f t="shared" si="8"/>
        <v>322.73419415178</v>
      </c>
      <c r="J94" s="9">
        <f t="shared" si="9"/>
        <v>1195.8041094059899</v>
      </c>
      <c r="K94" s="9">
        <f t="shared" si="10"/>
        <v>322.73419415178</v>
      </c>
      <c r="L94" s="10">
        <f t="shared" si="7"/>
        <v>0.26988884852728656</v>
      </c>
      <c r="M94" s="10">
        <f t="shared" si="11"/>
        <v>0.29283842325533588</v>
      </c>
      <c r="P94" s="8">
        <f t="shared" si="12"/>
        <v>0.61529083832276699</v>
      </c>
      <c r="U94" s="8">
        <v>155.5</v>
      </c>
      <c r="V94" s="10">
        <f t="shared" si="13"/>
        <v>0.21329956624250251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1387.1694915254</v>
      </c>
      <c r="E95">
        <v>447.79209039547999</v>
      </c>
      <c r="F95">
        <v>159.79448198198</v>
      </c>
      <c r="G95">
        <v>122.50168918919</v>
      </c>
      <c r="I95" s="9">
        <f t="shared" si="8"/>
        <v>325.29040120628997</v>
      </c>
      <c r="J95" s="9">
        <f t="shared" si="9"/>
        <v>1227.37500954342</v>
      </c>
      <c r="K95" s="9">
        <f t="shared" si="10"/>
        <v>325.29040120628997</v>
      </c>
      <c r="L95" s="10">
        <f t="shared" si="7"/>
        <v>0.26502935017985829</v>
      </c>
      <c r="M95" s="10">
        <f t="shared" si="11"/>
        <v>0.28822837680712554</v>
      </c>
      <c r="P95" s="8">
        <f t="shared" si="12"/>
        <v>-0.96865828627834738</v>
      </c>
      <c r="U95" s="8">
        <v>156</v>
      </c>
      <c r="V95" s="10">
        <f t="shared" si="13"/>
        <v>0.21345206181252954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1406.1648785996999</v>
      </c>
      <c r="E96">
        <v>489.18690005646999</v>
      </c>
      <c r="F96">
        <v>160.03772522522999</v>
      </c>
      <c r="G96">
        <v>122.14808558559</v>
      </c>
      <c r="I96" s="9">
        <f t="shared" si="8"/>
        <v>367.03881447087997</v>
      </c>
      <c r="J96" s="9">
        <f t="shared" si="9"/>
        <v>1246.12715337447</v>
      </c>
      <c r="K96" s="9">
        <f t="shared" si="10"/>
        <v>367.03881447087997</v>
      </c>
      <c r="L96" s="10">
        <f t="shared" si="7"/>
        <v>0.29454362941771339</v>
      </c>
      <c r="M96" s="10">
        <f t="shared" si="11"/>
        <v>0.31799210794419858</v>
      </c>
      <c r="P96" s="8">
        <f t="shared" si="12"/>
        <v>9.2577540523070052</v>
      </c>
      <c r="U96" s="8">
        <v>156.5</v>
      </c>
      <c r="V96" s="10">
        <f t="shared" si="13"/>
        <v>0.21233840676763863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1404.1171830986</v>
      </c>
      <c r="E97">
        <v>500.38760563379998</v>
      </c>
      <c r="F97">
        <v>159.84628378378</v>
      </c>
      <c r="G97">
        <v>122.45439189189</v>
      </c>
      <c r="I97" s="9">
        <f t="shared" si="8"/>
        <v>377.93321374190998</v>
      </c>
      <c r="J97" s="9">
        <f t="shared" si="9"/>
        <v>1244.2708993148199</v>
      </c>
      <c r="K97" s="9">
        <f t="shared" si="10"/>
        <v>377.93321374190998</v>
      </c>
      <c r="L97" s="10">
        <f t="shared" si="7"/>
        <v>0.30373869062599285</v>
      </c>
      <c r="M97" s="10">
        <f t="shared" si="11"/>
        <v>0.32743662105169591</v>
      </c>
      <c r="P97" s="8">
        <f t="shared" si="12"/>
        <v>12.502760027184248</v>
      </c>
      <c r="U97" s="8">
        <v>157</v>
      </c>
      <c r="V97" s="10">
        <f t="shared" si="13"/>
        <v>0.21317927049047131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1414.0523943661999</v>
      </c>
      <c r="E98">
        <v>510.40225352112998</v>
      </c>
      <c r="F98">
        <v>159.92286036036</v>
      </c>
      <c r="G98">
        <v>122.67736486487</v>
      </c>
      <c r="I98" s="9">
        <f t="shared" si="8"/>
        <v>387.72488865625996</v>
      </c>
      <c r="J98" s="9">
        <f t="shared" si="9"/>
        <v>1254.12953400584</v>
      </c>
      <c r="K98" s="9">
        <f t="shared" si="10"/>
        <v>387.72488865625996</v>
      </c>
      <c r="L98" s="10">
        <f t="shared" si="7"/>
        <v>0.30915856627490479</v>
      </c>
      <c r="M98" s="10">
        <f t="shared" si="11"/>
        <v>0.33310594859982579</v>
      </c>
      <c r="P98" s="8">
        <f t="shared" si="12"/>
        <v>14.450663699700039</v>
      </c>
      <c r="U98" s="8">
        <v>157.5</v>
      </c>
      <c r="V98" s="10">
        <f t="shared" si="13"/>
        <v>0.21370885050445904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1411.3098591549001</v>
      </c>
      <c r="E99">
        <v>506.40112676055998</v>
      </c>
      <c r="F99">
        <v>159.62894144143999</v>
      </c>
      <c r="G99">
        <v>122.39695945946001</v>
      </c>
      <c r="I99" s="9">
        <f t="shared" si="8"/>
        <v>384.00416730109998</v>
      </c>
      <c r="J99" s="9">
        <f t="shared" si="9"/>
        <v>1251.6809177134601</v>
      </c>
      <c r="K99" s="9">
        <f t="shared" si="10"/>
        <v>384.00416730109998</v>
      </c>
      <c r="L99" s="10">
        <f t="shared" si="7"/>
        <v>0.30679078179332586</v>
      </c>
      <c r="M99" s="10">
        <f t="shared" si="11"/>
        <v>0.33098761601746479</v>
      </c>
      <c r="P99" s="8">
        <f t="shared" si="12"/>
        <v>13.722833497306464</v>
      </c>
      <c r="U99" s="8">
        <v>158</v>
      </c>
      <c r="V99" s="10">
        <f t="shared" si="13"/>
        <v>0.21370970196035102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1387.2118309859</v>
      </c>
      <c r="E100">
        <v>491.93971830985998</v>
      </c>
      <c r="F100">
        <v>159.66722972973</v>
      </c>
      <c r="G100">
        <v>122.30912162161999</v>
      </c>
      <c r="I100" s="9">
        <f t="shared" si="8"/>
        <v>369.63059668823996</v>
      </c>
      <c r="J100" s="9">
        <f t="shared" si="9"/>
        <v>1227.5446012561699</v>
      </c>
      <c r="K100" s="9">
        <f t="shared" si="10"/>
        <v>369.63059668823996</v>
      </c>
      <c r="L100" s="10">
        <f t="shared" si="7"/>
        <v>0.30111378137298628</v>
      </c>
      <c r="M100" s="10">
        <f t="shared" si="11"/>
        <v>0.32556006749634314</v>
      </c>
      <c r="P100" s="8">
        <f t="shared" si="12"/>
        <v>11.858001803018842</v>
      </c>
      <c r="U100" s="8">
        <v>158.5</v>
      </c>
      <c r="V100" s="10">
        <f t="shared" si="13"/>
        <v>0.21289105700295791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1409.4624505929</v>
      </c>
      <c r="E101">
        <v>492.67532467532999</v>
      </c>
      <c r="F101">
        <v>159.77871621622</v>
      </c>
      <c r="G101">
        <v>122.74662162161999</v>
      </c>
      <c r="I101" s="9">
        <f t="shared" si="8"/>
        <v>369.92870305371002</v>
      </c>
      <c r="J101" s="9">
        <f t="shared" si="9"/>
        <v>1249.6837343766801</v>
      </c>
      <c r="K101" s="9">
        <f t="shared" si="10"/>
        <v>369.92870305371002</v>
      </c>
      <c r="L101" s="10">
        <f t="shared" si="7"/>
        <v>0.29601785866103458</v>
      </c>
      <c r="M101" s="10">
        <f t="shared" si="11"/>
        <v>0.32071359668360938</v>
      </c>
      <c r="P101" s="8">
        <f t="shared" si="12"/>
        <v>10.192820489235203</v>
      </c>
      <c r="U101" s="8">
        <v>159</v>
      </c>
      <c r="V101" s="10">
        <f t="shared" si="13"/>
        <v>0.2143532141613709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1400.8229638009</v>
      </c>
      <c r="E102">
        <v>476.65554298643002</v>
      </c>
      <c r="F102">
        <v>159.13738738738999</v>
      </c>
      <c r="G102">
        <v>122.61880630631001</v>
      </c>
      <c r="I102" s="9">
        <f t="shared" si="8"/>
        <v>354.03673668012004</v>
      </c>
      <c r="J102" s="9">
        <f t="shared" si="9"/>
        <v>1241.68557641351</v>
      </c>
      <c r="K102" s="9">
        <f t="shared" si="10"/>
        <v>354.03673668012004</v>
      </c>
      <c r="L102" s="10">
        <f t="shared" si="7"/>
        <v>0.28512591545334792</v>
      </c>
      <c r="M102" s="10">
        <f t="shared" si="11"/>
        <v>0.31007110537514065</v>
      </c>
      <c r="P102" s="8">
        <f t="shared" si="12"/>
        <v>6.5362055329654849</v>
      </c>
      <c r="U102" s="8">
        <v>159.5</v>
      </c>
      <c r="V102" s="10">
        <f t="shared" si="13"/>
        <v>0.21426761636816147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1354.7958144796</v>
      </c>
      <c r="E103">
        <v>455.28619909501998</v>
      </c>
      <c r="F103">
        <v>159.64132882883001</v>
      </c>
      <c r="G103">
        <v>122.38288288288</v>
      </c>
      <c r="I103" s="9">
        <f t="shared" si="8"/>
        <v>332.90331621214</v>
      </c>
      <c r="J103" s="9">
        <f t="shared" si="9"/>
        <v>1195.1544856507701</v>
      </c>
      <c r="K103" s="9">
        <f t="shared" si="10"/>
        <v>332.90331621214</v>
      </c>
      <c r="L103" s="10">
        <f t="shared" si="7"/>
        <v>0.27854417166068013</v>
      </c>
      <c r="M103" s="10">
        <f t="shared" si="11"/>
        <v>0.30373881348169079</v>
      </c>
      <c r="P103" s="8">
        <f t="shared" si="12"/>
        <v>4.3605163476119646</v>
      </c>
      <c r="U103" s="8">
        <v>160</v>
      </c>
      <c r="V103" s="10">
        <f t="shared" si="13"/>
        <v>0.21491421478560621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1362.6615905245001</v>
      </c>
      <c r="E104">
        <v>448.48730964467001</v>
      </c>
      <c r="F104">
        <v>159.60304054054001</v>
      </c>
      <c r="G104">
        <v>122.43299549549999</v>
      </c>
      <c r="I104" s="9">
        <f t="shared" si="8"/>
        <v>326.05431414917001</v>
      </c>
      <c r="J104" s="9">
        <f t="shared" si="9"/>
        <v>1203.0585499839601</v>
      </c>
      <c r="K104" s="9">
        <f t="shared" si="10"/>
        <v>326.05431414917001</v>
      </c>
      <c r="L104" s="10">
        <f t="shared" si="7"/>
        <v>0.27102115200753707</v>
      </c>
      <c r="M104" s="10">
        <f t="shared" si="11"/>
        <v>0.29646524572776567</v>
      </c>
      <c r="P104" s="8">
        <f t="shared" si="12"/>
        <v>1.8614176062035908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1330.1883812747001</v>
      </c>
      <c r="E105">
        <v>435.24929498026</v>
      </c>
      <c r="F105">
        <v>159.08840090090001</v>
      </c>
      <c r="G105">
        <v>122.31362612613</v>
      </c>
      <c r="I105" s="9">
        <f t="shared" si="8"/>
        <v>312.93566885412997</v>
      </c>
      <c r="J105" s="9">
        <f t="shared" si="9"/>
        <v>1171.0999803738</v>
      </c>
      <c r="K105" s="9">
        <f t="shared" si="10"/>
        <v>312.93566885412997</v>
      </c>
      <c r="L105" s="10">
        <f t="shared" si="7"/>
        <v>0.26721516019003344</v>
      </c>
      <c r="M105" s="10">
        <f t="shared" si="11"/>
        <v>0.29290870580947992</v>
      </c>
      <c r="P105" s="8">
        <f t="shared" si="12"/>
        <v>0.639438965974366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1331.0439932318</v>
      </c>
      <c r="E106">
        <v>433.25211505921999</v>
      </c>
      <c r="F106">
        <v>159.48423423423</v>
      </c>
      <c r="G106">
        <v>122.08277027027</v>
      </c>
      <c r="I106" s="9">
        <f t="shared" si="8"/>
        <v>311.16934478894996</v>
      </c>
      <c r="J106" s="9">
        <f t="shared" si="9"/>
        <v>1171.55975899757</v>
      </c>
      <c r="K106" s="9">
        <f t="shared" si="10"/>
        <v>311.16934478894996</v>
      </c>
      <c r="L106" s="10">
        <f t="shared" si="7"/>
        <v>0.2656026228275355</v>
      </c>
      <c r="M106" s="10">
        <f t="shared" si="11"/>
        <v>0.29154562034619991</v>
      </c>
      <c r="P106" s="8">
        <f t="shared" si="12"/>
        <v>0.17110137966717265</v>
      </c>
      <c r="X106" s="8">
        <v>-13</v>
      </c>
    </row>
    <row r="107" spans="1:25" x14ac:dyDescent="0.2">
      <c r="A107" s="8">
        <v>52.5</v>
      </c>
      <c r="B107" s="8">
        <v>105</v>
      </c>
      <c r="D107">
        <v>1289.1190073322</v>
      </c>
      <c r="E107">
        <v>420.07219402142999</v>
      </c>
      <c r="F107">
        <v>159.71621621622</v>
      </c>
      <c r="G107">
        <v>122.43581081081</v>
      </c>
      <c r="I107" s="9">
        <f t="shared" si="8"/>
        <v>297.63638321062001</v>
      </c>
      <c r="J107" s="9">
        <f t="shared" si="9"/>
        <v>1129.4027911159801</v>
      </c>
      <c r="K107" s="9">
        <f t="shared" si="10"/>
        <v>297.63638321062001</v>
      </c>
      <c r="L107" s="10">
        <f t="shared" si="7"/>
        <v>0.26353430817761747</v>
      </c>
      <c r="M107" s="10">
        <f t="shared" si="11"/>
        <v>0.28972675759549982</v>
      </c>
      <c r="P107" s="8">
        <f t="shared" si="12"/>
        <v>-0.45383507034612564</v>
      </c>
      <c r="X107" s="8">
        <v>-13</v>
      </c>
    </row>
    <row r="108" spans="1:25" x14ac:dyDescent="0.2">
      <c r="A108" s="8">
        <v>53</v>
      </c>
      <c r="B108" s="8">
        <v>106</v>
      </c>
      <c r="D108">
        <v>1347.3587570622001</v>
      </c>
      <c r="E108">
        <v>464.08192090396</v>
      </c>
      <c r="F108">
        <v>159.47972972973</v>
      </c>
      <c r="G108">
        <v>122.36599099099</v>
      </c>
      <c r="I108" s="9">
        <f t="shared" si="8"/>
        <v>341.71592991297001</v>
      </c>
      <c r="J108" s="9">
        <f t="shared" si="9"/>
        <v>1187.8790273324701</v>
      </c>
      <c r="K108" s="9">
        <f t="shared" si="10"/>
        <v>341.71592991297001</v>
      </c>
      <c r="L108" s="10">
        <f t="shared" si="7"/>
        <v>0.28766896464224612</v>
      </c>
      <c r="M108" s="10">
        <f t="shared" si="11"/>
        <v>0.3141108659593464</v>
      </c>
      <c r="P108" s="8">
        <f t="shared" si="12"/>
        <v>7.9242122076997141</v>
      </c>
      <c r="X108" s="8">
        <v>-13</v>
      </c>
    </row>
    <row r="109" spans="1:25" x14ac:dyDescent="0.2">
      <c r="A109" s="8">
        <v>53.5</v>
      </c>
      <c r="B109" s="8">
        <v>107</v>
      </c>
      <c r="D109">
        <v>1391.0485875705999</v>
      </c>
      <c r="E109">
        <v>510.32768361581998</v>
      </c>
      <c r="F109">
        <v>159.83445945945999</v>
      </c>
      <c r="G109">
        <v>122.29617117117</v>
      </c>
      <c r="I109" s="9">
        <f t="shared" si="8"/>
        <v>388.03151244464999</v>
      </c>
      <c r="J109" s="9">
        <f t="shared" si="9"/>
        <v>1231.2141281111399</v>
      </c>
      <c r="K109" s="9">
        <f t="shared" si="10"/>
        <v>388.03151244464999</v>
      </c>
      <c r="L109" s="10">
        <f t="shared" si="7"/>
        <v>0.3151616795040732</v>
      </c>
      <c r="M109" s="10">
        <f t="shared" si="11"/>
        <v>0.34185303272039141</v>
      </c>
      <c r="P109" s="8">
        <f t="shared" si="12"/>
        <v>17.456042580635362</v>
      </c>
      <c r="X109" s="8">
        <v>-13</v>
      </c>
    </row>
    <row r="110" spans="1:25" x14ac:dyDescent="0.2">
      <c r="A110" s="8">
        <v>54</v>
      </c>
      <c r="B110" s="8">
        <v>108</v>
      </c>
      <c r="D110">
        <v>1370.2186440677999</v>
      </c>
      <c r="E110">
        <v>514.81581920904</v>
      </c>
      <c r="F110">
        <v>159.60022522522999</v>
      </c>
      <c r="G110">
        <v>122.16272522523001</v>
      </c>
      <c r="I110" s="9">
        <f t="shared" si="8"/>
        <v>392.65309398380998</v>
      </c>
      <c r="J110" s="9">
        <f t="shared" si="9"/>
        <v>1210.61841884257</v>
      </c>
      <c r="K110" s="9">
        <f t="shared" si="10"/>
        <v>392.65309398380998</v>
      </c>
      <c r="L110" s="10">
        <f t="shared" si="7"/>
        <v>0.32434092185646068</v>
      </c>
      <c r="M110" s="10">
        <f t="shared" si="11"/>
        <v>0.35128172697199683</v>
      </c>
      <c r="P110" s="8">
        <f t="shared" si="12"/>
        <v>20.695613412239393</v>
      </c>
      <c r="X110" s="8">
        <v>-13</v>
      </c>
    </row>
    <row r="111" spans="1:25" x14ac:dyDescent="0.2">
      <c r="A111" s="8">
        <v>54.5</v>
      </c>
      <c r="B111" s="8">
        <v>109</v>
      </c>
      <c r="D111">
        <v>1345.5847457627001</v>
      </c>
      <c r="E111">
        <v>504.77570621468999</v>
      </c>
      <c r="F111">
        <v>159.59853603604</v>
      </c>
      <c r="G111">
        <v>122.25168918919</v>
      </c>
      <c r="I111" s="9">
        <f t="shared" si="8"/>
        <v>382.52401702549997</v>
      </c>
      <c r="J111" s="9">
        <f t="shared" si="9"/>
        <v>1185.98620972666</v>
      </c>
      <c r="K111" s="9">
        <f t="shared" si="10"/>
        <v>382.52401702549997</v>
      </c>
      <c r="L111" s="10">
        <f t="shared" si="7"/>
        <v>0.32253664830863599</v>
      </c>
      <c r="M111" s="10">
        <f t="shared" si="11"/>
        <v>0.34972690532339007</v>
      </c>
      <c r="P111" s="8">
        <f t="shared" si="12"/>
        <v>20.161397886021078</v>
      </c>
      <c r="X111" s="8">
        <v>-13</v>
      </c>
    </row>
    <row r="112" spans="1:25" x14ac:dyDescent="0.2">
      <c r="A112" s="8">
        <v>55</v>
      </c>
      <c r="B112" s="8">
        <v>110</v>
      </c>
      <c r="D112">
        <v>1357.3</v>
      </c>
      <c r="E112">
        <v>504.17457627119001</v>
      </c>
      <c r="F112">
        <v>159.53153153152999</v>
      </c>
      <c r="G112">
        <v>122.24549549549999</v>
      </c>
      <c r="I112" s="9">
        <f t="shared" si="8"/>
        <v>381.92908077569001</v>
      </c>
      <c r="J112" s="9">
        <f t="shared" si="9"/>
        <v>1197.76846846847</v>
      </c>
      <c r="K112" s="9">
        <f t="shared" si="10"/>
        <v>381.92908077569001</v>
      </c>
      <c r="L112" s="10">
        <f t="shared" si="7"/>
        <v>0.31886720249368788</v>
      </c>
      <c r="M112" s="10">
        <f t="shared" si="11"/>
        <v>0.3463069114076599</v>
      </c>
      <c r="P112" s="8">
        <f t="shared" si="12"/>
        <v>18.986334591145841</v>
      </c>
      <c r="X112" s="8">
        <v>-13</v>
      </c>
    </row>
    <row r="113" spans="1:24" x14ac:dyDescent="0.2">
      <c r="A113" s="8">
        <v>55.5</v>
      </c>
      <c r="B113" s="8">
        <v>111</v>
      </c>
      <c r="D113">
        <v>1370.6864406780001</v>
      </c>
      <c r="E113">
        <v>507.52824858756998</v>
      </c>
      <c r="F113">
        <v>159.17342342341999</v>
      </c>
      <c r="G113">
        <v>122.15146396396</v>
      </c>
      <c r="I113" s="9">
        <f t="shared" si="8"/>
        <v>385.37678462360998</v>
      </c>
      <c r="J113" s="9">
        <f t="shared" si="9"/>
        <v>1211.5130172545801</v>
      </c>
      <c r="K113" s="9">
        <f t="shared" si="10"/>
        <v>385.37678462360998</v>
      </c>
      <c r="L113" s="10">
        <f t="shared" si="7"/>
        <v>0.31809545513337989</v>
      </c>
      <c r="M113" s="10">
        <f t="shared" si="11"/>
        <v>0.34578461594656984</v>
      </c>
      <c r="P113" s="8">
        <f t="shared" si="12"/>
        <v>18.806880989610459</v>
      </c>
      <c r="X113" s="8">
        <v>-13</v>
      </c>
    </row>
    <row r="114" spans="1:24" x14ac:dyDescent="0.2">
      <c r="A114" s="8">
        <v>56</v>
      </c>
      <c r="B114" s="8">
        <v>112</v>
      </c>
      <c r="D114">
        <v>1379.0564971751</v>
      </c>
      <c r="E114">
        <v>528.79096045198003</v>
      </c>
      <c r="F114">
        <v>158.6768018018</v>
      </c>
      <c r="G114">
        <v>121.86936936937001</v>
      </c>
      <c r="I114" s="9">
        <f t="shared" si="8"/>
        <v>406.92159108261001</v>
      </c>
      <c r="J114" s="9">
        <f t="shared" si="9"/>
        <v>1220.3796953733001</v>
      </c>
      <c r="K114" s="9">
        <f t="shared" si="10"/>
        <v>406.92159108261001</v>
      </c>
      <c r="L114" s="10">
        <f t="shared" si="7"/>
        <v>0.33343851313269957</v>
      </c>
      <c r="M114" s="10">
        <f t="shared" si="11"/>
        <v>0.36137712584510739</v>
      </c>
      <c r="P114" s="8">
        <f t="shared" si="12"/>
        <v>24.164254864598348</v>
      </c>
      <c r="X114" s="8">
        <v>-13</v>
      </c>
    </row>
    <row r="115" spans="1:24" x14ac:dyDescent="0.2">
      <c r="A115" s="8">
        <v>56.5</v>
      </c>
      <c r="B115" s="8">
        <v>113</v>
      </c>
      <c r="D115">
        <v>1352.0502824859</v>
      </c>
      <c r="E115">
        <v>507.96892655366997</v>
      </c>
      <c r="F115">
        <v>159.20777027027</v>
      </c>
      <c r="G115">
        <v>122.26407657658</v>
      </c>
      <c r="I115" s="9">
        <f t="shared" si="8"/>
        <v>385.70484997708996</v>
      </c>
      <c r="J115" s="9">
        <f t="shared" si="9"/>
        <v>1192.84251221563</v>
      </c>
      <c r="K115" s="9">
        <f t="shared" si="10"/>
        <v>385.70484997708996</v>
      </c>
      <c r="L115" s="10">
        <f t="shared" si="7"/>
        <v>0.32334934916149782</v>
      </c>
      <c r="M115" s="10">
        <f t="shared" si="11"/>
        <v>0.35153741377312359</v>
      </c>
      <c r="P115" s="8">
        <f t="shared" si="12"/>
        <v>20.783463912091513</v>
      </c>
      <c r="X115" s="8">
        <v>-13</v>
      </c>
    </row>
    <row r="116" spans="1:24" x14ac:dyDescent="0.2">
      <c r="A116" s="8">
        <v>57</v>
      </c>
      <c r="B116" s="8">
        <v>114</v>
      </c>
      <c r="D116">
        <v>1373.9734613213</v>
      </c>
      <c r="E116">
        <v>499.00621118011998</v>
      </c>
      <c r="F116">
        <v>158.75112612613</v>
      </c>
      <c r="G116">
        <v>122.09684684685</v>
      </c>
      <c r="I116" s="9">
        <f t="shared" si="8"/>
        <v>376.90936433326999</v>
      </c>
      <c r="J116" s="9">
        <f t="shared" si="9"/>
        <v>1215.22233519517</v>
      </c>
      <c r="K116" s="9">
        <f t="shared" si="10"/>
        <v>376.90936433326999</v>
      </c>
      <c r="L116" s="10">
        <f t="shared" si="7"/>
        <v>0.31015671241159071</v>
      </c>
      <c r="M116" s="10">
        <f t="shared" si="11"/>
        <v>0.3385942289224344</v>
      </c>
      <c r="P116" s="8">
        <f t="shared" si="12"/>
        <v>16.336362013203196</v>
      </c>
      <c r="X116" s="8">
        <v>-13</v>
      </c>
    </row>
    <row r="117" spans="1:24" x14ac:dyDescent="0.2">
      <c r="A117" s="8">
        <v>57.5</v>
      </c>
      <c r="B117" s="8">
        <v>115</v>
      </c>
      <c r="D117">
        <v>1362.5776152981</v>
      </c>
      <c r="E117">
        <v>498.07649043869998</v>
      </c>
      <c r="F117">
        <v>158.64977477478001</v>
      </c>
      <c r="G117">
        <v>122.25563063062999</v>
      </c>
      <c r="I117" s="9">
        <f t="shared" si="8"/>
        <v>375.82085980807</v>
      </c>
      <c r="J117" s="9">
        <f t="shared" si="9"/>
        <v>1203.9278405233199</v>
      </c>
      <c r="K117" s="9">
        <f t="shared" si="10"/>
        <v>375.82085980807</v>
      </c>
      <c r="L117" s="10">
        <f t="shared" si="7"/>
        <v>0.31216228012860742</v>
      </c>
      <c r="M117" s="10">
        <f t="shared" si="11"/>
        <v>0.34084924853866905</v>
      </c>
      <c r="P117" s="8">
        <f t="shared" si="12"/>
        <v>17.111156017389384</v>
      </c>
      <c r="X117" s="8">
        <v>-13</v>
      </c>
    </row>
    <row r="118" spans="1:24" x14ac:dyDescent="0.2">
      <c r="A118" s="8">
        <v>58</v>
      </c>
      <c r="B118" s="8">
        <v>116</v>
      </c>
      <c r="D118">
        <v>1376.2928208026999</v>
      </c>
      <c r="E118">
        <v>518.25664217072006</v>
      </c>
      <c r="F118">
        <v>158.89470720720999</v>
      </c>
      <c r="G118">
        <v>121.79504504505</v>
      </c>
      <c r="I118" s="9">
        <f t="shared" si="8"/>
        <v>396.46159712567004</v>
      </c>
      <c r="J118" s="9">
        <f t="shared" si="9"/>
        <v>1217.39811359549</v>
      </c>
      <c r="K118" s="9">
        <f t="shared" si="10"/>
        <v>396.46159712567004</v>
      </c>
      <c r="L118" s="10">
        <f t="shared" si="7"/>
        <v>0.3256630618185794</v>
      </c>
      <c r="M118" s="10">
        <f t="shared" si="11"/>
        <v>0.35459948212785897</v>
      </c>
      <c r="P118" s="8">
        <f t="shared" si="12"/>
        <v>21.835548862739842</v>
      </c>
      <c r="X118" s="8">
        <v>-13</v>
      </c>
    </row>
    <row r="119" spans="1:24" x14ac:dyDescent="0.2">
      <c r="A119" s="8">
        <v>58.5</v>
      </c>
      <c r="B119" s="8">
        <v>117</v>
      </c>
      <c r="D119">
        <v>1349.5652911249001</v>
      </c>
      <c r="E119">
        <v>513.35669869982996</v>
      </c>
      <c r="F119">
        <v>159.63513513513999</v>
      </c>
      <c r="G119">
        <v>122.29954954954999</v>
      </c>
      <c r="I119" s="9">
        <f t="shared" si="8"/>
        <v>391.05714915028</v>
      </c>
      <c r="J119" s="9">
        <f t="shared" si="9"/>
        <v>1189.9301559897601</v>
      </c>
      <c r="K119" s="9">
        <f t="shared" si="10"/>
        <v>391.05714915028</v>
      </c>
      <c r="L119" s="10">
        <f t="shared" si="7"/>
        <v>0.32863874167892354</v>
      </c>
      <c r="M119" s="10">
        <f t="shared" si="11"/>
        <v>0.35782461388742104</v>
      </c>
      <c r="P119" s="8">
        <f t="shared" si="12"/>
        <v>22.94366017672991</v>
      </c>
      <c r="X119" s="8">
        <v>-13</v>
      </c>
    </row>
    <row r="120" spans="1:24" x14ac:dyDescent="0.2">
      <c r="A120" s="8">
        <v>59</v>
      </c>
      <c r="B120" s="8">
        <v>118</v>
      </c>
      <c r="D120">
        <v>1307.7032221594</v>
      </c>
      <c r="E120">
        <v>487.67269643867002</v>
      </c>
      <c r="F120">
        <v>159.08896396396</v>
      </c>
      <c r="G120">
        <v>121.86711711712</v>
      </c>
      <c r="I120" s="9">
        <f t="shared" si="8"/>
        <v>365.80557932155</v>
      </c>
      <c r="J120" s="9">
        <f t="shared" si="9"/>
        <v>1148.61425819544</v>
      </c>
      <c r="K120" s="9">
        <f t="shared" si="10"/>
        <v>365.80557932155</v>
      </c>
      <c r="L120" s="10">
        <f t="shared" si="7"/>
        <v>0.31847556889660961</v>
      </c>
      <c r="M120" s="10">
        <f t="shared" si="11"/>
        <v>0.34791089300432504</v>
      </c>
      <c r="P120" s="8">
        <f t="shared" si="12"/>
        <v>19.537440805466161</v>
      </c>
      <c r="X120" s="8">
        <v>-13</v>
      </c>
    </row>
    <row r="121" spans="1:24" x14ac:dyDescent="0.2">
      <c r="A121" s="8">
        <v>59.5</v>
      </c>
      <c r="B121" s="8">
        <v>119</v>
      </c>
      <c r="D121">
        <v>1301.1905031091001</v>
      </c>
      <c r="E121">
        <v>473.85132843413999</v>
      </c>
      <c r="F121">
        <v>159.02590090090001</v>
      </c>
      <c r="G121">
        <v>122.04504504505</v>
      </c>
      <c r="I121" s="9">
        <f t="shared" si="8"/>
        <v>351.80628338908997</v>
      </c>
      <c r="J121" s="9">
        <f t="shared" si="9"/>
        <v>1142.1646022082</v>
      </c>
      <c r="K121" s="9">
        <f t="shared" si="10"/>
        <v>351.80628338908997</v>
      </c>
      <c r="L121" s="10">
        <f t="shared" si="7"/>
        <v>0.30801714806160735</v>
      </c>
      <c r="M121" s="10">
        <f t="shared" si="11"/>
        <v>0.33770192406854072</v>
      </c>
      <c r="P121" s="8">
        <f t="shared" si="12"/>
        <v>16.029778227534202</v>
      </c>
      <c r="X121" s="8">
        <v>-13</v>
      </c>
    </row>
    <row r="122" spans="1:24" x14ac:dyDescent="0.2">
      <c r="A122" s="8">
        <v>60</v>
      </c>
      <c r="B122" s="8">
        <v>120</v>
      </c>
      <c r="D122">
        <v>1301.6749576032</v>
      </c>
      <c r="E122">
        <v>468.88581119276</v>
      </c>
      <c r="F122">
        <v>158.91948198198</v>
      </c>
      <c r="G122">
        <v>122.03547297297</v>
      </c>
      <c r="I122" s="9">
        <f t="shared" si="8"/>
        <v>346.85033821978999</v>
      </c>
      <c r="J122" s="9">
        <f t="shared" si="9"/>
        <v>1142.7554756212201</v>
      </c>
      <c r="K122" s="9">
        <f t="shared" si="10"/>
        <v>346.85033821978999</v>
      </c>
      <c r="L122" s="10">
        <f t="shared" si="7"/>
        <v>0.30352104681995651</v>
      </c>
      <c r="M122" s="10">
        <f t="shared" si="11"/>
        <v>0.33345527472610781</v>
      </c>
      <c r="P122" s="8">
        <f t="shared" si="12"/>
        <v>14.570687395370072</v>
      </c>
      <c r="X122" s="8">
        <v>-13</v>
      </c>
    </row>
    <row r="123" spans="1:24" x14ac:dyDescent="0.2">
      <c r="A123" s="8">
        <v>60.5</v>
      </c>
      <c r="B123" s="8">
        <v>121</v>
      </c>
      <c r="D123">
        <v>1299.72783738</v>
      </c>
      <c r="E123">
        <v>472.21682665161001</v>
      </c>
      <c r="F123">
        <v>158.91835585586</v>
      </c>
      <c r="G123">
        <v>122.02195945946001</v>
      </c>
      <c r="I123" s="9">
        <f t="shared" si="8"/>
        <v>350.19486719215001</v>
      </c>
      <c r="J123" s="9">
        <f t="shared" si="9"/>
        <v>1140.80948152414</v>
      </c>
      <c r="K123" s="9">
        <f t="shared" si="10"/>
        <v>350.19486719215001</v>
      </c>
      <c r="L123" s="10">
        <f t="shared" si="7"/>
        <v>0.3069705089795397</v>
      </c>
      <c r="M123" s="10">
        <f t="shared" si="11"/>
        <v>0.33715418878490888</v>
      </c>
      <c r="P123" s="8">
        <f t="shared" si="12"/>
        <v>15.841583849718639</v>
      </c>
      <c r="X123" s="8">
        <v>-13</v>
      </c>
    </row>
    <row r="124" spans="1:24" x14ac:dyDescent="0.2">
      <c r="A124" s="8">
        <v>61</v>
      </c>
      <c r="B124" s="8">
        <v>122</v>
      </c>
      <c r="D124">
        <v>1355.6649717513999</v>
      </c>
      <c r="E124">
        <v>505.44858757062002</v>
      </c>
      <c r="F124">
        <v>158.39189189189</v>
      </c>
      <c r="G124">
        <v>121.625</v>
      </c>
      <c r="I124" s="9">
        <f t="shared" si="8"/>
        <v>383.82358757062002</v>
      </c>
      <c r="J124" s="9">
        <f t="shared" si="9"/>
        <v>1197.2730798595098</v>
      </c>
      <c r="K124" s="9">
        <f t="shared" si="10"/>
        <v>383.82358757062002</v>
      </c>
      <c r="L124" s="10">
        <f t="shared" si="7"/>
        <v>0.32058148974305728</v>
      </c>
      <c r="M124" s="10">
        <f t="shared" si="11"/>
        <v>0.35101462144764439</v>
      </c>
      <c r="P124" s="8">
        <f t="shared" si="12"/>
        <v>20.603839594724295</v>
      </c>
      <c r="X124" s="8">
        <v>-13</v>
      </c>
    </row>
    <row r="125" spans="1:24" x14ac:dyDescent="0.2">
      <c r="A125" s="8">
        <v>61.5</v>
      </c>
      <c r="B125" s="8">
        <v>123</v>
      </c>
      <c r="D125">
        <v>1303.3542372881</v>
      </c>
      <c r="E125">
        <v>498.17005649717998</v>
      </c>
      <c r="F125">
        <v>158.99718468469001</v>
      </c>
      <c r="G125">
        <v>122.14076576577</v>
      </c>
      <c r="I125" s="9">
        <f t="shared" si="8"/>
        <v>376.02929073141001</v>
      </c>
      <c r="J125" s="9">
        <f t="shared" si="9"/>
        <v>1144.35705260341</v>
      </c>
      <c r="K125" s="9">
        <f t="shared" si="10"/>
        <v>376.02929073141001</v>
      </c>
      <c r="L125" s="10">
        <f t="shared" si="7"/>
        <v>0.32859437522226487</v>
      </c>
      <c r="M125" s="10">
        <f t="shared" si="11"/>
        <v>0.35927695882606991</v>
      </c>
      <c r="P125" s="8">
        <f t="shared" si="12"/>
        <v>23.442666102165823</v>
      </c>
      <c r="X125" s="8">
        <v>-13</v>
      </c>
    </row>
    <row r="126" spans="1:24" x14ac:dyDescent="0.2">
      <c r="A126" s="8">
        <v>62</v>
      </c>
      <c r="B126" s="8">
        <v>124</v>
      </c>
      <c r="D126">
        <v>1333.9139966273001</v>
      </c>
      <c r="E126">
        <v>509.13153456997998</v>
      </c>
      <c r="F126">
        <v>158.43693693693999</v>
      </c>
      <c r="G126">
        <v>121.89301801802</v>
      </c>
      <c r="I126" s="9">
        <f t="shared" si="8"/>
        <v>387.23851655195995</v>
      </c>
      <c r="J126" s="9">
        <f t="shared" si="9"/>
        <v>1175.4770596903602</v>
      </c>
      <c r="K126" s="9">
        <f t="shared" si="10"/>
        <v>387.23851655195995</v>
      </c>
      <c r="L126" s="10">
        <f t="shared" si="7"/>
        <v>0.32943094325802058</v>
      </c>
      <c r="M126" s="10">
        <f t="shared" si="11"/>
        <v>0.36036297876104356</v>
      </c>
      <c r="P126" s="8">
        <f t="shared" si="12"/>
        <v>23.815807749354359</v>
      </c>
      <c r="X126" s="8">
        <v>-13</v>
      </c>
    </row>
    <row r="127" spans="1:24" x14ac:dyDescent="0.2">
      <c r="A127" s="8">
        <v>62.5</v>
      </c>
      <c r="B127" s="8">
        <v>125</v>
      </c>
      <c r="D127">
        <v>1286.0881527232</v>
      </c>
      <c r="E127">
        <v>482.99719258842998</v>
      </c>
      <c r="F127">
        <v>158.01351351350999</v>
      </c>
      <c r="G127">
        <v>122.29842342342</v>
      </c>
      <c r="I127" s="9">
        <f t="shared" si="8"/>
        <v>360.69876916500999</v>
      </c>
      <c r="J127" s="9">
        <f t="shared" si="9"/>
        <v>1128.0746392096901</v>
      </c>
      <c r="K127" s="9">
        <f t="shared" si="10"/>
        <v>360.69876916500999</v>
      </c>
      <c r="L127" s="10">
        <f t="shared" si="7"/>
        <v>0.3197472548604669</v>
      </c>
      <c r="M127" s="10">
        <f t="shared" si="11"/>
        <v>0.35092874226270782</v>
      </c>
      <c r="P127" s="8">
        <f t="shared" si="12"/>
        <v>20.5743326773147</v>
      </c>
      <c r="X127" s="8">
        <v>-13</v>
      </c>
    </row>
    <row r="128" spans="1:24" x14ac:dyDescent="0.2">
      <c r="A128" s="8">
        <v>63</v>
      </c>
      <c r="B128" s="8">
        <v>126</v>
      </c>
      <c r="D128">
        <v>1275.5971830986</v>
      </c>
      <c r="E128">
        <v>483.41239436619998</v>
      </c>
      <c r="F128">
        <v>158.72635135134999</v>
      </c>
      <c r="G128">
        <v>122.00450450451</v>
      </c>
      <c r="I128" s="9">
        <f t="shared" si="8"/>
        <v>361.40788986168997</v>
      </c>
      <c r="J128" s="9">
        <f t="shared" si="9"/>
        <v>1116.8708317472501</v>
      </c>
      <c r="K128" s="9">
        <f t="shared" si="10"/>
        <v>361.40788986168997</v>
      </c>
      <c r="L128" s="10">
        <f t="shared" si="7"/>
        <v>0.32358969326497483</v>
      </c>
      <c r="M128" s="10">
        <f t="shared" si="11"/>
        <v>0.35502063256643368</v>
      </c>
      <c r="P128" s="8">
        <f t="shared" si="12"/>
        <v>21.980250413147161</v>
      </c>
      <c r="X128" s="8">
        <v>-13</v>
      </c>
    </row>
    <row r="129" spans="1:24" x14ac:dyDescent="0.2">
      <c r="A129" s="8">
        <v>63.5</v>
      </c>
      <c r="B129" s="8">
        <v>127</v>
      </c>
      <c r="D129">
        <v>1278.6636619717999</v>
      </c>
      <c r="E129">
        <v>493.19887323943999</v>
      </c>
      <c r="F129">
        <v>158.18637387387</v>
      </c>
      <c r="G129">
        <v>121.75788288288</v>
      </c>
      <c r="I129" s="9">
        <f t="shared" si="8"/>
        <v>371.44099035656001</v>
      </c>
      <c r="J129" s="9">
        <f t="shared" si="9"/>
        <v>1120.4772880979299</v>
      </c>
      <c r="K129" s="9">
        <f t="shared" si="10"/>
        <v>371.44099035656001</v>
      </c>
      <c r="L129" s="10">
        <f t="shared" si="7"/>
        <v>0.3315024715825351</v>
      </c>
      <c r="M129" s="10">
        <f t="shared" si="11"/>
        <v>0.36318286278321188</v>
      </c>
      <c r="P129" s="8">
        <f t="shared" si="12"/>
        <v>24.784681464308822</v>
      </c>
      <c r="X129" s="8">
        <v>-13</v>
      </c>
    </row>
    <row r="130" spans="1:24" x14ac:dyDescent="0.2">
      <c r="A130" s="8">
        <v>64</v>
      </c>
      <c r="B130" s="8">
        <v>128</v>
      </c>
      <c r="D130">
        <v>1343.7265581134</v>
      </c>
      <c r="E130">
        <v>543.67265581133995</v>
      </c>
      <c r="F130">
        <v>158.34515765766</v>
      </c>
      <c r="G130">
        <v>121.91722972973</v>
      </c>
      <c r="I130" s="9">
        <f t="shared" si="8"/>
        <v>421.75542608160993</v>
      </c>
      <c r="J130" s="9">
        <f t="shared" si="9"/>
        <v>1185.38140045574</v>
      </c>
      <c r="K130" s="9">
        <f t="shared" si="10"/>
        <v>421.75542608160993</v>
      </c>
      <c r="L130" s="10">
        <f t="shared" ref="L130:L193" si="14">K130/J130</f>
        <v>0.35579723616336384</v>
      </c>
      <c r="M130" s="10">
        <f t="shared" si="11"/>
        <v>0.38772707926325856</v>
      </c>
      <c r="P130" s="8">
        <f t="shared" si="12"/>
        <v>33.217739708804935</v>
      </c>
      <c r="X130" s="8">
        <v>-13</v>
      </c>
    </row>
    <row r="131" spans="1:24" x14ac:dyDescent="0.2">
      <c r="A131" s="8">
        <v>64.5</v>
      </c>
      <c r="B131" s="8">
        <v>129</v>
      </c>
      <c r="D131">
        <v>1354.6393905192001</v>
      </c>
      <c r="E131">
        <v>554.15293453724996</v>
      </c>
      <c r="F131">
        <v>158.35641891892001</v>
      </c>
      <c r="G131">
        <v>121.44425675676</v>
      </c>
      <c r="I131" s="9">
        <f t="shared" ref="I131:I194" si="15">E131-G131</f>
        <v>432.70867778048995</v>
      </c>
      <c r="J131" s="9">
        <f t="shared" ref="J131:J194" si="16">D131-F131</f>
        <v>1196.28297160028</v>
      </c>
      <c r="K131" s="9">
        <f t="shared" ref="K131:K194" si="17">I131*1</f>
        <v>432.70867778048995</v>
      </c>
      <c r="L131" s="10">
        <f t="shared" si="14"/>
        <v>0.36171097311671263</v>
      </c>
      <c r="M131" s="10">
        <f t="shared" ref="M131:M181" si="18">L131+ABS($N$2)*A131</f>
        <v>0.39389026811582523</v>
      </c>
      <c r="P131" s="8">
        <f t="shared" ref="P131:P194" si="19">(M131-$O$2)/$O$2*100</f>
        <v>35.335327394188035</v>
      </c>
      <c r="X131" s="8">
        <v>-13</v>
      </c>
    </row>
    <row r="132" spans="1:24" x14ac:dyDescent="0.2">
      <c r="A132" s="8">
        <v>65</v>
      </c>
      <c r="B132" s="8">
        <v>130</v>
      </c>
      <c r="D132">
        <v>1324.4187889078</v>
      </c>
      <c r="E132">
        <v>527.82399547255</v>
      </c>
      <c r="F132">
        <v>158.22972972973</v>
      </c>
      <c r="G132">
        <v>121.67117117117</v>
      </c>
      <c r="I132" s="9">
        <f t="shared" si="15"/>
        <v>406.15282430138001</v>
      </c>
      <c r="J132" s="9">
        <f t="shared" si="16"/>
        <v>1166.18905917807</v>
      </c>
      <c r="K132" s="9">
        <f t="shared" si="17"/>
        <v>406.15282430138001</v>
      </c>
      <c r="L132" s="10">
        <f t="shared" si="14"/>
        <v>0.3482735677417832</v>
      </c>
      <c r="M132" s="10">
        <f t="shared" si="18"/>
        <v>0.38070231464011373</v>
      </c>
      <c r="P132" s="8">
        <f t="shared" si="19"/>
        <v>30.804126331942172</v>
      </c>
      <c r="X132" s="8">
        <v>-13</v>
      </c>
    </row>
    <row r="133" spans="1:24" x14ac:dyDescent="0.2">
      <c r="A133" s="8">
        <v>65.5</v>
      </c>
      <c r="B133" s="8">
        <v>131</v>
      </c>
      <c r="D133">
        <v>1306.5602716469</v>
      </c>
      <c r="E133">
        <v>502.47255234861001</v>
      </c>
      <c r="F133">
        <v>158.34065315314999</v>
      </c>
      <c r="G133">
        <v>121.56981981982</v>
      </c>
      <c r="I133" s="9">
        <f t="shared" si="15"/>
        <v>380.90273252879001</v>
      </c>
      <c r="J133" s="9">
        <f t="shared" si="16"/>
        <v>1148.21961849375</v>
      </c>
      <c r="K133" s="9">
        <f t="shared" si="17"/>
        <v>380.90273252879001</v>
      </c>
      <c r="L133" s="10">
        <f t="shared" si="14"/>
        <v>0.33173334298926488</v>
      </c>
      <c r="M133" s="10">
        <f t="shared" si="18"/>
        <v>0.36441154178681334</v>
      </c>
      <c r="P133" s="8">
        <f t="shared" si="19"/>
        <v>25.20683882303258</v>
      </c>
      <c r="X133" s="8">
        <v>-13</v>
      </c>
    </row>
    <row r="134" spans="1:24" x14ac:dyDescent="0.2">
      <c r="A134" s="8">
        <v>66</v>
      </c>
      <c r="B134" s="8">
        <v>132</v>
      </c>
      <c r="D134">
        <v>1338.2466139955</v>
      </c>
      <c r="E134">
        <v>509.52088036116999</v>
      </c>
      <c r="F134">
        <v>157.49380630631001</v>
      </c>
      <c r="G134">
        <v>121.72072072072</v>
      </c>
      <c r="I134" s="9">
        <f t="shared" si="15"/>
        <v>387.80015964044998</v>
      </c>
      <c r="J134" s="9">
        <f t="shared" si="16"/>
        <v>1180.7528076891899</v>
      </c>
      <c r="K134" s="9">
        <f t="shared" si="17"/>
        <v>387.80015964044998</v>
      </c>
      <c r="L134" s="10">
        <f t="shared" si="14"/>
        <v>0.32843467075839533</v>
      </c>
      <c r="M134" s="10">
        <f t="shared" si="18"/>
        <v>0.36136232145516173</v>
      </c>
      <c r="P134" s="8">
        <f t="shared" si="19"/>
        <v>24.159168277997079</v>
      </c>
      <c r="X134" s="8">
        <v>-13</v>
      </c>
    </row>
    <row r="135" spans="1:24" x14ac:dyDescent="0.2">
      <c r="A135" s="8">
        <v>66.5</v>
      </c>
      <c r="B135" s="8">
        <v>133</v>
      </c>
      <c r="D135">
        <v>1395.7088036117</v>
      </c>
      <c r="E135">
        <v>574.41139954852997</v>
      </c>
      <c r="F135">
        <v>158.08445945945999</v>
      </c>
      <c r="G135">
        <v>121.71002252252001</v>
      </c>
      <c r="I135" s="9">
        <f t="shared" si="15"/>
        <v>452.70137702600994</v>
      </c>
      <c r="J135" s="9">
        <f t="shared" si="16"/>
        <v>1237.6243441522399</v>
      </c>
      <c r="K135" s="9">
        <f t="shared" si="17"/>
        <v>452.70137702600994</v>
      </c>
      <c r="L135" s="10">
        <f t="shared" si="14"/>
        <v>0.36578254069178462</v>
      </c>
      <c r="M135" s="10">
        <f t="shared" si="18"/>
        <v>0.39895964328776895</v>
      </c>
      <c r="P135" s="8">
        <f t="shared" si="19"/>
        <v>37.077095607606374</v>
      </c>
      <c r="X135" s="8">
        <v>-13</v>
      </c>
    </row>
    <row r="136" spans="1:24" x14ac:dyDescent="0.2">
      <c r="A136" s="8">
        <v>67</v>
      </c>
      <c r="B136" s="8">
        <v>134</v>
      </c>
      <c r="D136">
        <v>1397.3735891648</v>
      </c>
      <c r="E136">
        <v>588.00282167042997</v>
      </c>
      <c r="F136">
        <v>157.84459459460001</v>
      </c>
      <c r="G136">
        <v>121.625</v>
      </c>
      <c r="I136" s="9">
        <f t="shared" si="15"/>
        <v>466.37782167042997</v>
      </c>
      <c r="J136" s="9">
        <f t="shared" si="16"/>
        <v>1239.5289945702</v>
      </c>
      <c r="K136" s="9">
        <f t="shared" si="17"/>
        <v>466.37782167042997</v>
      </c>
      <c r="L136" s="10">
        <f t="shared" si="14"/>
        <v>0.37625406401416528</v>
      </c>
      <c r="M136" s="10">
        <f t="shared" si="18"/>
        <v>0.40968061850936754</v>
      </c>
      <c r="P136" s="8">
        <f t="shared" si="19"/>
        <v>40.76067656669057</v>
      </c>
      <c r="X136" s="8">
        <v>-13</v>
      </c>
    </row>
    <row r="137" spans="1:24" x14ac:dyDescent="0.2">
      <c r="A137" s="8">
        <v>67.5</v>
      </c>
      <c r="B137" s="8">
        <v>135</v>
      </c>
      <c r="D137">
        <v>1374.3690744921</v>
      </c>
      <c r="E137">
        <v>579.97009029344997</v>
      </c>
      <c r="F137">
        <v>158.08502252252001</v>
      </c>
      <c r="G137">
        <v>122.03828828829</v>
      </c>
      <c r="I137" s="9">
        <f t="shared" si="15"/>
        <v>457.93180200515997</v>
      </c>
      <c r="J137" s="9">
        <f t="shared" si="16"/>
        <v>1216.2840519695801</v>
      </c>
      <c r="K137" s="9">
        <f t="shared" si="17"/>
        <v>457.93180200515997</v>
      </c>
      <c r="L137" s="10">
        <f t="shared" si="14"/>
        <v>0.37650070414358527</v>
      </c>
      <c r="M137" s="10">
        <f t="shared" si="18"/>
        <v>0.41017671053800547</v>
      </c>
      <c r="P137" s="8">
        <f t="shared" si="19"/>
        <v>40.931127025988587</v>
      </c>
      <c r="X137" s="8">
        <v>-13</v>
      </c>
    </row>
    <row r="138" spans="1:24" x14ac:dyDescent="0.2">
      <c r="A138" s="8">
        <v>68</v>
      </c>
      <c r="B138" s="8">
        <v>136</v>
      </c>
      <c r="D138">
        <v>1381.4198645598001</v>
      </c>
      <c r="E138">
        <v>580.66647855531005</v>
      </c>
      <c r="F138">
        <v>157.50225225225</v>
      </c>
      <c r="G138">
        <v>121.43355855855999</v>
      </c>
      <c r="I138" s="9">
        <f t="shared" si="15"/>
        <v>459.23291999675007</v>
      </c>
      <c r="J138" s="9">
        <f t="shared" si="16"/>
        <v>1223.9176123075501</v>
      </c>
      <c r="K138" s="9">
        <f t="shared" si="17"/>
        <v>459.23291999675007</v>
      </c>
      <c r="L138" s="10">
        <f t="shared" si="14"/>
        <v>0.37521554995104728</v>
      </c>
      <c r="M138" s="10">
        <f t="shared" si="18"/>
        <v>0.40914100824468536</v>
      </c>
      <c r="P138" s="8">
        <f t="shared" si="19"/>
        <v>40.575273834641976</v>
      </c>
      <c r="X138" s="8">
        <v>-13</v>
      </c>
    </row>
    <row r="139" spans="1:24" x14ac:dyDescent="0.2">
      <c r="A139" s="8">
        <v>68.5</v>
      </c>
      <c r="B139" s="8">
        <v>137</v>
      </c>
      <c r="D139">
        <v>1376.7200902935001</v>
      </c>
      <c r="E139">
        <v>566.69808126410999</v>
      </c>
      <c r="F139">
        <v>157.81137387387</v>
      </c>
      <c r="G139">
        <v>121.81981981982</v>
      </c>
      <c r="I139" s="9">
        <f t="shared" si="15"/>
        <v>444.87826144428999</v>
      </c>
      <c r="J139" s="9">
        <f t="shared" si="16"/>
        <v>1218.9087164196301</v>
      </c>
      <c r="K139" s="9">
        <f t="shared" si="17"/>
        <v>444.87826144428999</v>
      </c>
      <c r="L139" s="10">
        <f t="shared" si="14"/>
        <v>0.36498078605185152</v>
      </c>
      <c r="M139" s="10">
        <f t="shared" si="18"/>
        <v>0.39915569624470754</v>
      </c>
      <c r="P139" s="8">
        <f t="shared" si="19"/>
        <v>37.144456731405654</v>
      </c>
      <c r="X139" s="8">
        <v>-13</v>
      </c>
    </row>
    <row r="140" spans="1:24" x14ac:dyDescent="0.2">
      <c r="A140" s="8">
        <v>69</v>
      </c>
      <c r="B140" s="8">
        <v>138</v>
      </c>
      <c r="D140">
        <v>1367.2183972912001</v>
      </c>
      <c r="E140">
        <v>549.21670428894004</v>
      </c>
      <c r="F140">
        <v>157.37668918918999</v>
      </c>
      <c r="G140">
        <v>121.54898648648999</v>
      </c>
      <c r="I140" s="9">
        <f t="shared" si="15"/>
        <v>427.66771780245006</v>
      </c>
      <c r="J140" s="9">
        <f t="shared" si="16"/>
        <v>1209.84170810201</v>
      </c>
      <c r="K140" s="9">
        <f t="shared" si="17"/>
        <v>427.66771780245006</v>
      </c>
      <c r="L140" s="10">
        <f t="shared" si="14"/>
        <v>0.3534906384351485</v>
      </c>
      <c r="M140" s="10">
        <f t="shared" si="18"/>
        <v>0.38791500052722244</v>
      </c>
      <c r="P140" s="8">
        <f t="shared" si="19"/>
        <v>33.282306893733207</v>
      </c>
      <c r="X140" s="8">
        <v>-13</v>
      </c>
    </row>
    <row r="141" spans="1:24" x14ac:dyDescent="0.2">
      <c r="A141" s="8">
        <v>69.5</v>
      </c>
      <c r="B141" s="8">
        <v>139</v>
      </c>
      <c r="D141">
        <v>1332.6790540541001</v>
      </c>
      <c r="E141">
        <v>520.53096846846995</v>
      </c>
      <c r="F141">
        <v>158.51801801802</v>
      </c>
      <c r="G141">
        <v>121.49605855855999</v>
      </c>
      <c r="I141" s="9">
        <f t="shared" si="15"/>
        <v>399.03490990990997</v>
      </c>
      <c r="J141" s="9">
        <f t="shared" si="16"/>
        <v>1174.1610360360801</v>
      </c>
      <c r="K141" s="9">
        <f t="shared" si="17"/>
        <v>399.03490990990997</v>
      </c>
      <c r="L141" s="10">
        <f t="shared" si="14"/>
        <v>0.33984683332452897</v>
      </c>
      <c r="M141" s="10">
        <f t="shared" si="18"/>
        <v>0.37452064731582085</v>
      </c>
      <c r="P141" s="8">
        <f t="shared" si="19"/>
        <v>28.680189695535795</v>
      </c>
      <c r="X141" s="8">
        <v>-13</v>
      </c>
    </row>
    <row r="142" spans="1:24" x14ac:dyDescent="0.2">
      <c r="A142" s="8">
        <v>70</v>
      </c>
      <c r="B142" s="8">
        <v>140</v>
      </c>
      <c r="D142">
        <v>1329.3513513513999</v>
      </c>
      <c r="E142">
        <v>528.98986486487001</v>
      </c>
      <c r="F142">
        <v>157.01295045045001</v>
      </c>
      <c r="G142">
        <v>121.50563063062999</v>
      </c>
      <c r="I142" s="9">
        <f t="shared" si="15"/>
        <v>407.48423423424003</v>
      </c>
      <c r="J142" s="9">
        <f t="shared" si="16"/>
        <v>1172.3384009009499</v>
      </c>
      <c r="K142" s="9">
        <f t="shared" si="17"/>
        <v>407.48423423424003</v>
      </c>
      <c r="L142" s="10">
        <f t="shared" si="14"/>
        <v>0.3475824334689418</v>
      </c>
      <c r="M142" s="10">
        <f t="shared" si="18"/>
        <v>0.38250569935945161</v>
      </c>
      <c r="P142" s="8">
        <f t="shared" si="19"/>
        <v>31.423744741345221</v>
      </c>
      <c r="X142" s="8">
        <v>-13</v>
      </c>
    </row>
    <row r="143" spans="1:24" x14ac:dyDescent="0.2">
      <c r="A143" s="8">
        <v>70.5</v>
      </c>
      <c r="B143" s="8">
        <v>141</v>
      </c>
      <c r="D143">
        <v>1301.4943693693999</v>
      </c>
      <c r="E143">
        <v>514.31813063062998</v>
      </c>
      <c r="F143">
        <v>157.41103603604</v>
      </c>
      <c r="G143">
        <v>121.36993243243001</v>
      </c>
      <c r="I143" s="9">
        <f t="shared" si="15"/>
        <v>392.94819819819998</v>
      </c>
      <c r="J143" s="9">
        <f t="shared" si="16"/>
        <v>1144.0833333333599</v>
      </c>
      <c r="K143" s="9">
        <f t="shared" si="17"/>
        <v>392.94819819819998</v>
      </c>
      <c r="L143" s="10">
        <f t="shared" si="14"/>
        <v>0.34346116821168987</v>
      </c>
      <c r="M143" s="10">
        <f t="shared" si="18"/>
        <v>0.37863388600141762</v>
      </c>
      <c r="P143" s="8">
        <f t="shared" si="19"/>
        <v>30.093442444400331</v>
      </c>
      <c r="X143" s="8">
        <v>-13</v>
      </c>
    </row>
    <row r="144" spans="1:24" x14ac:dyDescent="0.2">
      <c r="A144" s="8">
        <v>71</v>
      </c>
      <c r="B144" s="8">
        <v>142</v>
      </c>
      <c r="D144">
        <v>1373.7213114753999</v>
      </c>
      <c r="E144">
        <v>525.50141322780996</v>
      </c>
      <c r="F144">
        <v>157.23085585586</v>
      </c>
      <c r="G144">
        <v>121.18186936937001</v>
      </c>
      <c r="I144" s="9">
        <f t="shared" si="15"/>
        <v>404.31954385843994</v>
      </c>
      <c r="J144" s="9">
        <f t="shared" si="16"/>
        <v>1216.4904556195399</v>
      </c>
      <c r="K144" s="9">
        <f t="shared" si="17"/>
        <v>404.31954385843994</v>
      </c>
      <c r="L144" s="10">
        <f t="shared" si="14"/>
        <v>0.33236557014541163</v>
      </c>
      <c r="M144" s="10">
        <f t="shared" si="18"/>
        <v>0.36778773983435731</v>
      </c>
      <c r="P144" s="8">
        <f t="shared" si="19"/>
        <v>26.366854454537396</v>
      </c>
    </row>
    <row r="145" spans="1:16" x14ac:dyDescent="0.2">
      <c r="A145" s="8">
        <v>71.5</v>
      </c>
      <c r="B145" s="8">
        <v>143</v>
      </c>
      <c r="D145">
        <v>1371.6003391746999</v>
      </c>
      <c r="E145">
        <v>516.22159412097005</v>
      </c>
      <c r="F145">
        <v>157.96340090090001</v>
      </c>
      <c r="G145">
        <v>121.61317567568</v>
      </c>
      <c r="I145" s="9">
        <f t="shared" si="15"/>
        <v>394.60841844529006</v>
      </c>
      <c r="J145" s="9">
        <f t="shared" si="16"/>
        <v>1213.6369382737998</v>
      </c>
      <c r="K145" s="9">
        <f t="shared" si="17"/>
        <v>394.60841844529006</v>
      </c>
      <c r="L145" s="10">
        <f t="shared" si="14"/>
        <v>0.32514535937457212</v>
      </c>
      <c r="M145" s="10">
        <f t="shared" si="18"/>
        <v>0.36081698096273573</v>
      </c>
      <c r="P145" s="8">
        <f t="shared" si="19"/>
        <v>23.971796717798803</v>
      </c>
    </row>
    <row r="146" spans="1:16" x14ac:dyDescent="0.2">
      <c r="A146" s="8">
        <v>72</v>
      </c>
      <c r="B146" s="8">
        <v>144</v>
      </c>
      <c r="D146">
        <v>1386.4239683436999</v>
      </c>
      <c r="E146">
        <v>537.89994347088998</v>
      </c>
      <c r="F146">
        <v>157.45551801802</v>
      </c>
      <c r="G146">
        <v>121.43186936937001</v>
      </c>
      <c r="I146" s="9">
        <f t="shared" si="15"/>
        <v>416.46807410151996</v>
      </c>
      <c r="J146" s="9">
        <f t="shared" si="16"/>
        <v>1228.9684503256799</v>
      </c>
      <c r="K146" s="9">
        <f t="shared" si="17"/>
        <v>416.46807410151996</v>
      </c>
      <c r="L146" s="10">
        <f t="shared" si="14"/>
        <v>0.33887613143458223</v>
      </c>
      <c r="M146" s="10">
        <f t="shared" si="18"/>
        <v>0.37479720492196378</v>
      </c>
      <c r="P146" s="8">
        <f t="shared" si="19"/>
        <v>28.775211119522083</v>
      </c>
    </row>
    <row r="147" spans="1:16" x14ac:dyDescent="0.2">
      <c r="A147" s="8">
        <v>72.5</v>
      </c>
      <c r="B147" s="8">
        <v>145</v>
      </c>
      <c r="D147">
        <v>1381.4267947993001</v>
      </c>
      <c r="E147">
        <v>528.33917467495996</v>
      </c>
      <c r="F147">
        <v>157.48536036036</v>
      </c>
      <c r="G147">
        <v>121.44031531532001</v>
      </c>
      <c r="I147" s="9">
        <f t="shared" si="15"/>
        <v>406.89885935963997</v>
      </c>
      <c r="J147" s="9">
        <f t="shared" si="16"/>
        <v>1223.9414344389402</v>
      </c>
      <c r="K147" s="9">
        <f t="shared" si="17"/>
        <v>406.89885935963997</v>
      </c>
      <c r="L147" s="10">
        <f t="shared" si="14"/>
        <v>0.33244961557017971</v>
      </c>
      <c r="M147" s="10">
        <f t="shared" si="18"/>
        <v>0.3686201409567792</v>
      </c>
      <c r="P147" s="8">
        <f t="shared" si="19"/>
        <v>26.652856134561464</v>
      </c>
    </row>
    <row r="148" spans="1:16" x14ac:dyDescent="0.2">
      <c r="A148" s="8">
        <v>73</v>
      </c>
      <c r="B148" s="8">
        <v>146</v>
      </c>
      <c r="D148">
        <v>1358.5093273036</v>
      </c>
      <c r="E148">
        <v>524.15149802148005</v>
      </c>
      <c r="F148">
        <v>157.60867117116999</v>
      </c>
      <c r="G148">
        <v>121.39301801802</v>
      </c>
      <c r="I148" s="9">
        <f t="shared" si="15"/>
        <v>402.75848000346002</v>
      </c>
      <c r="J148" s="9">
        <f t="shared" si="16"/>
        <v>1200.90065613243</v>
      </c>
      <c r="K148" s="9">
        <f t="shared" si="17"/>
        <v>402.75848000346002</v>
      </c>
      <c r="L148" s="10">
        <f t="shared" si="14"/>
        <v>0.3353803480302584</v>
      </c>
      <c r="M148" s="10">
        <f t="shared" si="18"/>
        <v>0.37180032531607576</v>
      </c>
      <c r="P148" s="8">
        <f t="shared" si="19"/>
        <v>27.745524134454058</v>
      </c>
    </row>
    <row r="149" spans="1:16" x14ac:dyDescent="0.2">
      <c r="A149" s="8">
        <v>73.5</v>
      </c>
      <c r="B149" s="8">
        <v>147</v>
      </c>
      <c r="D149">
        <v>1393.0574647886999</v>
      </c>
      <c r="E149">
        <v>534.77915492958005</v>
      </c>
      <c r="F149">
        <v>157.43637387387</v>
      </c>
      <c r="G149">
        <v>121.54391891892</v>
      </c>
      <c r="I149" s="9">
        <f t="shared" si="15"/>
        <v>413.23523601066006</v>
      </c>
      <c r="J149" s="9">
        <f t="shared" si="16"/>
        <v>1235.6210909148299</v>
      </c>
      <c r="K149" s="9">
        <f t="shared" si="17"/>
        <v>413.23523601066006</v>
      </c>
      <c r="L149" s="10">
        <f t="shared" si="14"/>
        <v>0.33443523993646684</v>
      </c>
      <c r="M149" s="10">
        <f t="shared" si="18"/>
        <v>0.37110466912150214</v>
      </c>
      <c r="P149" s="8">
        <f t="shared" si="19"/>
        <v>27.50650614780319</v>
      </c>
    </row>
    <row r="150" spans="1:16" x14ac:dyDescent="0.2">
      <c r="A150" s="8">
        <v>74</v>
      </c>
      <c r="B150" s="8">
        <v>148</v>
      </c>
      <c r="D150">
        <v>1343.4783586284</v>
      </c>
      <c r="E150">
        <v>500.12366498032998</v>
      </c>
      <c r="F150">
        <v>157.53941441441</v>
      </c>
      <c r="G150">
        <v>120.94763513514</v>
      </c>
      <c r="I150" s="9">
        <f t="shared" si="15"/>
        <v>379.17602984518999</v>
      </c>
      <c r="J150" s="9">
        <f t="shared" si="16"/>
        <v>1185.93894421399</v>
      </c>
      <c r="K150" s="9">
        <f t="shared" si="17"/>
        <v>379.17602984518999</v>
      </c>
      <c r="L150" s="10">
        <f t="shared" si="14"/>
        <v>0.31972643422760533</v>
      </c>
      <c r="M150" s="10">
        <f t="shared" si="18"/>
        <v>0.35664531531185856</v>
      </c>
      <c r="P150" s="8">
        <f t="shared" si="19"/>
        <v>22.538469260024353</v>
      </c>
    </row>
    <row r="151" spans="1:16" x14ac:dyDescent="0.2">
      <c r="A151" s="8">
        <v>74.5</v>
      </c>
      <c r="B151" s="8">
        <v>149</v>
      </c>
      <c r="D151">
        <v>1330.5207865169</v>
      </c>
      <c r="E151">
        <v>503.19044943820001</v>
      </c>
      <c r="F151">
        <v>157.47804054054001</v>
      </c>
      <c r="G151">
        <v>121.11204954954999</v>
      </c>
      <c r="I151" s="9">
        <f t="shared" si="15"/>
        <v>382.07839988864998</v>
      </c>
      <c r="J151" s="9">
        <f t="shared" si="16"/>
        <v>1173.04274597636</v>
      </c>
      <c r="K151" s="9">
        <f t="shared" si="17"/>
        <v>382.07839988864998</v>
      </c>
      <c r="L151" s="10">
        <f t="shared" si="14"/>
        <v>0.32571566654259837</v>
      </c>
      <c r="M151" s="10">
        <f t="shared" si="18"/>
        <v>0.36288399952606953</v>
      </c>
      <c r="P151" s="8">
        <f t="shared" si="19"/>
        <v>24.681996122665502</v>
      </c>
    </row>
    <row r="152" spans="1:16" x14ac:dyDescent="0.2">
      <c r="A152" s="8">
        <v>75</v>
      </c>
      <c r="B152" s="8">
        <v>150</v>
      </c>
      <c r="D152">
        <v>1294.1264044944</v>
      </c>
      <c r="E152">
        <v>491.95561797752998</v>
      </c>
      <c r="F152">
        <v>156.9375</v>
      </c>
      <c r="G152">
        <v>121.16666666667</v>
      </c>
      <c r="I152" s="9">
        <f t="shared" si="15"/>
        <v>370.78895131086</v>
      </c>
      <c r="J152" s="9">
        <f t="shared" si="16"/>
        <v>1137.1889044944</v>
      </c>
      <c r="K152" s="9">
        <f t="shared" si="17"/>
        <v>370.78895131086</v>
      </c>
      <c r="L152" s="10">
        <f t="shared" si="14"/>
        <v>0.32605748248635491</v>
      </c>
      <c r="M152" s="10">
        <f t="shared" si="18"/>
        <v>0.36347526736904401</v>
      </c>
      <c r="P152" s="8">
        <f t="shared" si="19"/>
        <v>24.885147694521741</v>
      </c>
    </row>
    <row r="153" spans="1:16" x14ac:dyDescent="0.2">
      <c r="A153" s="8">
        <v>75.5</v>
      </c>
      <c r="B153" s="8">
        <v>151</v>
      </c>
      <c r="D153">
        <v>1347.0974647887001</v>
      </c>
      <c r="E153">
        <v>510.12450704225</v>
      </c>
      <c r="F153">
        <v>157.37668918918999</v>
      </c>
      <c r="G153">
        <v>121.27027027027</v>
      </c>
      <c r="I153" s="9">
        <f t="shared" si="15"/>
        <v>388.85423677198003</v>
      </c>
      <c r="J153" s="9">
        <f t="shared" si="16"/>
        <v>1189.72077559951</v>
      </c>
      <c r="K153" s="9">
        <f t="shared" si="17"/>
        <v>388.85423677198003</v>
      </c>
      <c r="L153" s="10">
        <f t="shared" si="14"/>
        <v>0.3268449578650362</v>
      </c>
      <c r="M153" s="10">
        <f t="shared" si="18"/>
        <v>0.36451219464694323</v>
      </c>
      <c r="P153" s="8">
        <f t="shared" si="19"/>
        <v>25.241421773873178</v>
      </c>
    </row>
    <row r="154" spans="1:16" x14ac:dyDescent="0.2">
      <c r="A154" s="8">
        <v>76</v>
      </c>
      <c r="B154" s="8">
        <v>152</v>
      </c>
      <c r="D154">
        <v>1319.6192350956001</v>
      </c>
      <c r="E154">
        <v>485.07030371204002</v>
      </c>
      <c r="F154">
        <v>156.8643018018</v>
      </c>
      <c r="G154">
        <v>121.08558558559</v>
      </c>
      <c r="I154" s="9">
        <f t="shared" si="15"/>
        <v>363.98471812645005</v>
      </c>
      <c r="J154" s="9">
        <f t="shared" si="16"/>
        <v>1162.7549332938001</v>
      </c>
      <c r="K154" s="9">
        <f t="shared" si="17"/>
        <v>363.98471812645005</v>
      </c>
      <c r="L154" s="10">
        <f t="shared" si="14"/>
        <v>0.31303648576692805</v>
      </c>
      <c r="M154" s="10">
        <f t="shared" si="18"/>
        <v>0.35095317444805302</v>
      </c>
      <c r="P154" s="8">
        <f t="shared" si="19"/>
        <v>20.582727243188248</v>
      </c>
    </row>
    <row r="155" spans="1:16" x14ac:dyDescent="0.2">
      <c r="A155" s="8">
        <v>76.5</v>
      </c>
      <c r="B155" s="8">
        <v>153</v>
      </c>
      <c r="D155">
        <v>1356.7116357504001</v>
      </c>
      <c r="E155">
        <v>490.03653738054999</v>
      </c>
      <c r="F155">
        <v>156.89808558559</v>
      </c>
      <c r="G155">
        <v>121.28434684685</v>
      </c>
      <c r="I155" s="9">
        <f t="shared" si="15"/>
        <v>368.7521905337</v>
      </c>
      <c r="J155" s="9">
        <f t="shared" si="16"/>
        <v>1199.8135501648101</v>
      </c>
      <c r="K155" s="9">
        <f t="shared" si="17"/>
        <v>368.7521905337</v>
      </c>
      <c r="L155" s="10">
        <f t="shared" si="14"/>
        <v>0.30734124521518119</v>
      </c>
      <c r="M155" s="10">
        <f t="shared" si="18"/>
        <v>0.34550738579552409</v>
      </c>
      <c r="P155" s="8">
        <f t="shared" si="19"/>
        <v>18.711628488362358</v>
      </c>
    </row>
    <row r="156" spans="1:16" x14ac:dyDescent="0.2">
      <c r="A156" s="8">
        <v>77</v>
      </c>
      <c r="B156" s="8">
        <v>154</v>
      </c>
      <c r="D156">
        <v>1338.6046380091</v>
      </c>
      <c r="E156">
        <v>475.20871040724001</v>
      </c>
      <c r="F156">
        <v>157.10810810811</v>
      </c>
      <c r="G156">
        <v>121.06925675676</v>
      </c>
      <c r="I156" s="9">
        <f t="shared" si="15"/>
        <v>354.13945365047999</v>
      </c>
      <c r="J156" s="9">
        <f t="shared" si="16"/>
        <v>1181.49652990099</v>
      </c>
      <c r="K156" s="9">
        <f t="shared" si="17"/>
        <v>354.13945365047999</v>
      </c>
      <c r="L156" s="10">
        <f t="shared" si="14"/>
        <v>0.29973803958625</v>
      </c>
      <c r="M156" s="10">
        <f t="shared" si="18"/>
        <v>0.33815363206581078</v>
      </c>
      <c r="P156" s="8">
        <f t="shared" si="19"/>
        <v>16.184978938609248</v>
      </c>
    </row>
    <row r="157" spans="1:16" x14ac:dyDescent="0.2">
      <c r="A157" s="8">
        <v>77.5</v>
      </c>
      <c r="B157" s="8">
        <v>155</v>
      </c>
      <c r="D157">
        <v>1376.2263723825999</v>
      </c>
      <c r="E157">
        <v>494.84323712507</v>
      </c>
      <c r="F157">
        <v>157.22240990991</v>
      </c>
      <c r="G157">
        <v>121.14470720721</v>
      </c>
      <c r="I157" s="9">
        <f t="shared" si="15"/>
        <v>373.69852991786001</v>
      </c>
      <c r="J157" s="9">
        <f t="shared" si="16"/>
        <v>1219.0039624726899</v>
      </c>
      <c r="K157" s="9">
        <f t="shared" si="17"/>
        <v>373.69852991786001</v>
      </c>
      <c r="L157" s="10">
        <f t="shared" si="14"/>
        <v>0.30656055388026043</v>
      </c>
      <c r="M157" s="10">
        <f t="shared" si="18"/>
        <v>0.34522559825903915</v>
      </c>
      <c r="P157" s="8">
        <f t="shared" si="19"/>
        <v>18.614810131594588</v>
      </c>
    </row>
    <row r="158" spans="1:16" x14ac:dyDescent="0.2">
      <c r="A158" s="8">
        <v>78</v>
      </c>
      <c r="B158" s="8">
        <v>156</v>
      </c>
      <c r="D158">
        <v>1336.1839275607999</v>
      </c>
      <c r="E158">
        <v>476.87153367289</v>
      </c>
      <c r="F158">
        <v>156.84628378378</v>
      </c>
      <c r="G158">
        <v>121.06475225225</v>
      </c>
      <c r="I158" s="9">
        <f t="shared" si="15"/>
        <v>355.80678142063999</v>
      </c>
      <c r="J158" s="9">
        <f t="shared" si="16"/>
        <v>1179.3376437770198</v>
      </c>
      <c r="K158" s="9">
        <f t="shared" si="17"/>
        <v>355.80678142063999</v>
      </c>
      <c r="L158" s="10">
        <f t="shared" si="14"/>
        <v>0.30170052087976362</v>
      </c>
      <c r="M158" s="10">
        <f t="shared" si="18"/>
        <v>0.34061501715776027</v>
      </c>
      <c r="P158" s="8">
        <f t="shared" si="19"/>
        <v>17.030677307486449</v>
      </c>
    </row>
    <row r="159" spans="1:16" x14ac:dyDescent="0.2">
      <c r="A159" s="8">
        <v>78.5</v>
      </c>
      <c r="B159" s="8">
        <v>157</v>
      </c>
      <c r="D159">
        <v>1335.5489530277</v>
      </c>
      <c r="E159">
        <v>474.02886247878001</v>
      </c>
      <c r="F159">
        <v>157.33051801802</v>
      </c>
      <c r="G159">
        <v>121.42286036036</v>
      </c>
      <c r="I159" s="9">
        <f t="shared" si="15"/>
        <v>352.60600211842001</v>
      </c>
      <c r="J159" s="9">
        <f t="shared" si="16"/>
        <v>1178.21843500968</v>
      </c>
      <c r="K159" s="9">
        <f t="shared" si="17"/>
        <v>352.60600211842001</v>
      </c>
      <c r="L159" s="10">
        <f t="shared" si="14"/>
        <v>0.29927048469201983</v>
      </c>
      <c r="M159" s="10">
        <f t="shared" si="18"/>
        <v>0.33843443286923441</v>
      </c>
      <c r="P159" s="8">
        <f t="shared" si="19"/>
        <v>16.281458267346341</v>
      </c>
    </row>
    <row r="160" spans="1:16" x14ac:dyDescent="0.2">
      <c r="A160" s="8">
        <v>79</v>
      </c>
      <c r="B160" s="8">
        <v>158</v>
      </c>
      <c r="D160">
        <v>1327.4926470588</v>
      </c>
      <c r="E160">
        <v>465.6165158371</v>
      </c>
      <c r="F160">
        <v>162.64132882883001</v>
      </c>
      <c r="G160">
        <v>123.70945945946001</v>
      </c>
      <c r="I160" s="9">
        <f t="shared" si="15"/>
        <v>341.90705637764</v>
      </c>
      <c r="J160" s="9">
        <f t="shared" si="16"/>
        <v>1164.85131822997</v>
      </c>
      <c r="K160" s="9">
        <f t="shared" si="17"/>
        <v>341.90705637764</v>
      </c>
      <c r="L160" s="10">
        <f t="shared" si="14"/>
        <v>0.29351991196368221</v>
      </c>
      <c r="M160" s="10">
        <f t="shared" si="18"/>
        <v>0.33293331204011473</v>
      </c>
      <c r="P160" s="8">
        <f t="shared" si="19"/>
        <v>14.391348130822282</v>
      </c>
    </row>
    <row r="161" spans="1:16" x14ac:dyDescent="0.2">
      <c r="A161" s="8">
        <v>79.5</v>
      </c>
      <c r="B161" s="8">
        <v>159</v>
      </c>
      <c r="D161">
        <v>1329.6266968325999</v>
      </c>
      <c r="E161">
        <v>460.92929864253</v>
      </c>
      <c r="F161">
        <v>163.05011261261001</v>
      </c>
      <c r="G161">
        <v>123.53997747747999</v>
      </c>
      <c r="I161" s="9">
        <f t="shared" si="15"/>
        <v>337.38932116504998</v>
      </c>
      <c r="J161" s="9">
        <f t="shared" si="16"/>
        <v>1166.5765842199899</v>
      </c>
      <c r="K161" s="9">
        <f t="shared" si="17"/>
        <v>337.38932116504998</v>
      </c>
      <c r="L161" s="10">
        <f t="shared" si="14"/>
        <v>0.28921317788204981</v>
      </c>
      <c r="M161" s="10">
        <f t="shared" si="18"/>
        <v>0.32887602985770026</v>
      </c>
      <c r="P161" s="8">
        <f t="shared" si="19"/>
        <v>12.997321273763188</v>
      </c>
    </row>
    <row r="162" spans="1:16" x14ac:dyDescent="0.2">
      <c r="A162" s="8">
        <v>80</v>
      </c>
      <c r="B162" s="4">
        <v>160</v>
      </c>
      <c r="C162" s="4" t="s">
        <v>6</v>
      </c>
      <c r="D162">
        <v>1298.2338392355</v>
      </c>
      <c r="E162">
        <v>447.03541315346001</v>
      </c>
      <c r="F162">
        <v>157.07713963964</v>
      </c>
      <c r="G162">
        <v>120.92849099099</v>
      </c>
      <c r="H162" s="4"/>
      <c r="I162" s="5">
        <f t="shared" si="15"/>
        <v>326.10692216247003</v>
      </c>
      <c r="J162" s="5">
        <f t="shared" si="16"/>
        <v>1141.1566995958601</v>
      </c>
      <c r="K162" s="9">
        <f t="shared" si="17"/>
        <v>326.10692216247003</v>
      </c>
      <c r="L162" s="6">
        <f t="shared" si="14"/>
        <v>0.28576874874235991</v>
      </c>
      <c r="M162" s="6">
        <f t="shared" si="18"/>
        <v>0.32568105261722829</v>
      </c>
      <c r="N162" s="4"/>
      <c r="O162" s="4"/>
      <c r="P162" s="4">
        <f t="shared" si="19"/>
        <v>11.899570641525923</v>
      </c>
    </row>
    <row r="163" spans="1:16" x14ac:dyDescent="0.2">
      <c r="A163" s="8">
        <v>80.5</v>
      </c>
      <c r="B163" s="8">
        <v>161</v>
      </c>
      <c r="D163">
        <v>1321.5739179314</v>
      </c>
      <c r="E163">
        <v>453.96402473299997</v>
      </c>
      <c r="F163">
        <v>157.15259009009</v>
      </c>
      <c r="G163">
        <v>121.42905405405</v>
      </c>
      <c r="I163" s="9">
        <f t="shared" si="15"/>
        <v>332.53497067895</v>
      </c>
      <c r="J163" s="9">
        <f t="shared" si="16"/>
        <v>1164.4213278413101</v>
      </c>
      <c r="K163" s="9">
        <f t="shared" si="17"/>
        <v>332.53497067895</v>
      </c>
      <c r="L163" s="10">
        <f t="shared" si="14"/>
        <v>0.28557959454025783</v>
      </c>
      <c r="M163" s="10">
        <f t="shared" si="18"/>
        <v>0.32574135031434415</v>
      </c>
      <c r="P163" s="8">
        <f t="shared" si="19"/>
        <v>11.920288108396393</v>
      </c>
    </row>
    <row r="164" spans="1:16" x14ac:dyDescent="0.2">
      <c r="A164" s="8">
        <v>81</v>
      </c>
      <c r="B164" s="8">
        <v>162</v>
      </c>
      <c r="D164">
        <v>1310.8701517707</v>
      </c>
      <c r="E164">
        <v>443.80607082631002</v>
      </c>
      <c r="F164">
        <v>157.62781531531999</v>
      </c>
      <c r="G164">
        <v>121.34684684685</v>
      </c>
      <c r="I164" s="9">
        <f t="shared" si="15"/>
        <v>322.45922397946003</v>
      </c>
      <c r="J164" s="9">
        <f t="shared" si="16"/>
        <v>1153.2423364553799</v>
      </c>
      <c r="K164" s="9">
        <f t="shared" si="17"/>
        <v>322.45922397946003</v>
      </c>
      <c r="L164" s="10">
        <f t="shared" si="14"/>
        <v>0.27961098356012037</v>
      </c>
      <c r="M164" s="10">
        <f t="shared" si="18"/>
        <v>0.32002219123342457</v>
      </c>
      <c r="P164" s="8">
        <f t="shared" si="19"/>
        <v>9.9552630004186167</v>
      </c>
    </row>
    <row r="165" spans="1:16" x14ac:dyDescent="0.2">
      <c r="A165" s="8">
        <v>81.5</v>
      </c>
      <c r="B165" s="8">
        <v>163</v>
      </c>
      <c r="D165">
        <v>1303.1275997752</v>
      </c>
      <c r="E165">
        <v>434.96402473299997</v>
      </c>
      <c r="F165">
        <v>159.30123873874001</v>
      </c>
      <c r="G165">
        <v>121.71621621622</v>
      </c>
      <c r="I165" s="9">
        <f t="shared" si="15"/>
        <v>313.24780851677997</v>
      </c>
      <c r="J165" s="9">
        <f t="shared" si="16"/>
        <v>1143.82636103646</v>
      </c>
      <c r="K165" s="9">
        <f t="shared" si="17"/>
        <v>313.24780851677997</v>
      </c>
      <c r="L165" s="10">
        <f t="shared" si="14"/>
        <v>0.27385958147785255</v>
      </c>
      <c r="M165" s="10">
        <f t="shared" si="18"/>
        <v>0.31452024105037468</v>
      </c>
      <c r="P165" s="8">
        <f t="shared" si="19"/>
        <v>8.0648679091882496</v>
      </c>
    </row>
    <row r="166" spans="1:16" x14ac:dyDescent="0.2">
      <c r="A166" s="8">
        <v>82</v>
      </c>
      <c r="B166" s="8">
        <v>164</v>
      </c>
      <c r="D166">
        <v>1281.9651489600999</v>
      </c>
      <c r="E166">
        <v>423.71725688588998</v>
      </c>
      <c r="F166">
        <v>160.16722972973</v>
      </c>
      <c r="G166">
        <v>122.17961711712</v>
      </c>
      <c r="I166" s="9">
        <f t="shared" si="15"/>
        <v>301.53763976876996</v>
      </c>
      <c r="J166" s="9">
        <f t="shared" si="16"/>
        <v>1121.7979192303699</v>
      </c>
      <c r="K166" s="9">
        <f t="shared" si="17"/>
        <v>301.53763976876996</v>
      </c>
      <c r="L166" s="10">
        <f t="shared" si="14"/>
        <v>0.2687985372406872</v>
      </c>
      <c r="M166" s="10">
        <f t="shared" si="18"/>
        <v>0.30970864871242726</v>
      </c>
      <c r="P166" s="8">
        <f t="shared" si="19"/>
        <v>6.4116703639470476</v>
      </c>
    </row>
    <row r="167" spans="1:16" x14ac:dyDescent="0.2">
      <c r="A167" s="8">
        <v>82.5</v>
      </c>
      <c r="B167" s="8">
        <v>165</v>
      </c>
      <c r="D167">
        <v>1274.2996065205</v>
      </c>
      <c r="E167">
        <v>419.63293985385002</v>
      </c>
      <c r="F167">
        <v>160.35867117116999</v>
      </c>
      <c r="G167">
        <v>122.31756756756999</v>
      </c>
      <c r="I167" s="9">
        <f t="shared" si="15"/>
        <v>297.31537228628002</v>
      </c>
      <c r="J167" s="9">
        <f t="shared" si="16"/>
        <v>1113.9409353493299</v>
      </c>
      <c r="K167" s="9">
        <f t="shared" si="17"/>
        <v>297.31537228628002</v>
      </c>
      <c r="L167" s="10">
        <f t="shared" si="14"/>
        <v>0.26690407260510851</v>
      </c>
      <c r="M167" s="10">
        <f t="shared" si="18"/>
        <v>0.30806363597606651</v>
      </c>
      <c r="P167" s="8">
        <f t="shared" si="19"/>
        <v>5.8464664092823773</v>
      </c>
    </row>
    <row r="168" spans="1:16" x14ac:dyDescent="0.2">
      <c r="A168" s="8">
        <v>83</v>
      </c>
      <c r="B168" s="8">
        <v>166</v>
      </c>
      <c r="D168">
        <v>1273.4328274310999</v>
      </c>
      <c r="E168">
        <v>420.60370994941002</v>
      </c>
      <c r="F168">
        <v>161.14076576577</v>
      </c>
      <c r="G168">
        <v>122.27927927928</v>
      </c>
      <c r="I168" s="9">
        <f t="shared" si="15"/>
        <v>298.32443067013003</v>
      </c>
      <c r="J168" s="9">
        <f t="shared" si="16"/>
        <v>1112.2920616653298</v>
      </c>
      <c r="K168" s="9">
        <f t="shared" si="17"/>
        <v>298.32443067013003</v>
      </c>
      <c r="L168" s="10">
        <f t="shared" si="14"/>
        <v>0.26820692240082794</v>
      </c>
      <c r="M168" s="10">
        <f t="shared" si="18"/>
        <v>0.30961593767100387</v>
      </c>
      <c r="P168" s="8">
        <f t="shared" si="19"/>
        <v>6.379816113766891</v>
      </c>
    </row>
    <row r="169" spans="1:16" x14ac:dyDescent="0.2">
      <c r="A169" s="8">
        <v>83.5</v>
      </c>
      <c r="B169" s="8">
        <v>167</v>
      </c>
      <c r="D169">
        <v>1317.7380550871001</v>
      </c>
      <c r="E169">
        <v>429.56379988757999</v>
      </c>
      <c r="F169">
        <v>161.25731981982</v>
      </c>
      <c r="G169">
        <v>122.57038288288</v>
      </c>
      <c r="I169" s="9">
        <f t="shared" si="15"/>
        <v>306.99341700470001</v>
      </c>
      <c r="J169" s="9">
        <f t="shared" si="16"/>
        <v>1156.4807352672801</v>
      </c>
      <c r="K169" s="9">
        <f t="shared" si="17"/>
        <v>306.99341700470001</v>
      </c>
      <c r="L169" s="10">
        <f t="shared" si="14"/>
        <v>0.26545484731637076</v>
      </c>
      <c r="M169" s="10">
        <f t="shared" si="18"/>
        <v>0.30711331448576462</v>
      </c>
      <c r="P169" s="8">
        <f t="shared" si="19"/>
        <v>5.5199488981111706</v>
      </c>
    </row>
    <row r="170" spans="1:16" x14ac:dyDescent="0.2">
      <c r="A170" s="8">
        <v>84</v>
      </c>
      <c r="B170" s="8">
        <v>168</v>
      </c>
      <c r="D170">
        <v>1331.3625632378</v>
      </c>
      <c r="E170">
        <v>430.27712197864003</v>
      </c>
      <c r="F170">
        <v>156.75619369368999</v>
      </c>
      <c r="G170">
        <v>121.24436936937001</v>
      </c>
      <c r="I170" s="9">
        <f t="shared" si="15"/>
        <v>309.03275260927001</v>
      </c>
      <c r="J170" s="9">
        <f t="shared" si="16"/>
        <v>1174.6063695441101</v>
      </c>
      <c r="K170" s="9">
        <f t="shared" si="17"/>
        <v>309.03275260927001</v>
      </c>
      <c r="L170" s="10">
        <f t="shared" si="14"/>
        <v>0.26309473592350113</v>
      </c>
      <c r="M170" s="10">
        <f t="shared" si="18"/>
        <v>0.30500265499211293</v>
      </c>
      <c r="P170" s="8">
        <f t="shared" si="19"/>
        <v>4.7947550644137946</v>
      </c>
    </row>
    <row r="171" spans="1:16" x14ac:dyDescent="0.2">
      <c r="A171" s="8">
        <v>84.5</v>
      </c>
      <c r="B171" s="8">
        <v>169</v>
      </c>
      <c r="D171">
        <v>1385.9695431472001</v>
      </c>
      <c r="E171">
        <v>440.70276367738001</v>
      </c>
      <c r="F171">
        <v>156.91835585586</v>
      </c>
      <c r="G171">
        <v>120.91328828829</v>
      </c>
      <c r="I171" s="9">
        <f t="shared" si="15"/>
        <v>319.78947538909</v>
      </c>
      <c r="J171" s="9">
        <f t="shared" si="16"/>
        <v>1229.0511872913401</v>
      </c>
      <c r="K171" s="9">
        <f t="shared" si="17"/>
        <v>319.78947538909</v>
      </c>
      <c r="L171" s="10">
        <f t="shared" si="14"/>
        <v>0.26019215366762882</v>
      </c>
      <c r="M171" s="10">
        <f t="shared" si="18"/>
        <v>0.3023495246354585</v>
      </c>
      <c r="P171" s="8">
        <f t="shared" si="19"/>
        <v>3.8831756360748786</v>
      </c>
    </row>
    <row r="172" spans="1:16" x14ac:dyDescent="0.2">
      <c r="A172" s="8">
        <v>85</v>
      </c>
      <c r="B172" s="8">
        <v>170</v>
      </c>
      <c r="D172">
        <v>1369.5611957135</v>
      </c>
      <c r="E172">
        <v>456.99266779470003</v>
      </c>
      <c r="F172">
        <v>156.44876126125999</v>
      </c>
      <c r="G172">
        <v>120.96621621622</v>
      </c>
      <c r="I172" s="9">
        <f t="shared" si="15"/>
        <v>336.02645157848002</v>
      </c>
      <c r="J172" s="9">
        <f t="shared" si="16"/>
        <v>1213.11243445224</v>
      </c>
      <c r="K172" s="9">
        <f t="shared" si="17"/>
        <v>336.02645157848002</v>
      </c>
      <c r="L172" s="10">
        <f t="shared" si="14"/>
        <v>0.27699530730653749</v>
      </c>
      <c r="M172" s="10">
        <f t="shared" si="18"/>
        <v>0.3194021301735851</v>
      </c>
      <c r="P172" s="8">
        <f t="shared" si="19"/>
        <v>9.7422184716995517</v>
      </c>
    </row>
    <row r="173" spans="1:16" x14ac:dyDescent="0.2">
      <c r="A173" s="8">
        <v>85.5</v>
      </c>
      <c r="B173" s="8">
        <v>171</v>
      </c>
      <c r="D173">
        <v>1352.6355455568</v>
      </c>
      <c r="E173">
        <v>455.16085489314003</v>
      </c>
      <c r="F173">
        <v>156.74436936936999</v>
      </c>
      <c r="G173">
        <v>120.69144144144001</v>
      </c>
      <c r="I173" s="9">
        <f t="shared" si="15"/>
        <v>334.46941345170001</v>
      </c>
      <c r="J173" s="9">
        <f t="shared" si="16"/>
        <v>1195.8911761874301</v>
      </c>
      <c r="K173" s="9">
        <f t="shared" si="17"/>
        <v>334.46941345170001</v>
      </c>
      <c r="L173" s="10">
        <f t="shared" si="14"/>
        <v>0.27968214843595363</v>
      </c>
      <c r="M173" s="10">
        <f t="shared" si="18"/>
        <v>0.32233842320221917</v>
      </c>
      <c r="P173" s="8">
        <f t="shared" si="19"/>
        <v>10.751088734619101</v>
      </c>
    </row>
    <row r="174" spans="1:16" x14ac:dyDescent="0.2">
      <c r="A174" s="8">
        <v>86</v>
      </c>
      <c r="B174" s="8">
        <v>172</v>
      </c>
      <c r="D174">
        <v>1348.0044994376001</v>
      </c>
      <c r="E174">
        <v>455.74353205849002</v>
      </c>
      <c r="F174">
        <v>156.94932432432</v>
      </c>
      <c r="G174">
        <v>120.79054054053999</v>
      </c>
      <c r="I174" s="9">
        <f t="shared" si="15"/>
        <v>334.95299151795001</v>
      </c>
      <c r="J174" s="9">
        <f t="shared" si="16"/>
        <v>1191.05517511328</v>
      </c>
      <c r="K174" s="9">
        <f t="shared" si="17"/>
        <v>334.95299151795001</v>
      </c>
      <c r="L174" s="10">
        <f t="shared" si="14"/>
        <v>0.28122374052578458</v>
      </c>
      <c r="M174" s="10">
        <f t="shared" si="18"/>
        <v>0.32412946719126806</v>
      </c>
      <c r="P174" s="8">
        <f t="shared" si="19"/>
        <v>11.366467037299195</v>
      </c>
    </row>
    <row r="175" spans="1:16" x14ac:dyDescent="0.2">
      <c r="A175" s="8">
        <v>86.5</v>
      </c>
      <c r="B175" s="8">
        <v>173</v>
      </c>
      <c r="D175">
        <v>1358.3149606299</v>
      </c>
      <c r="E175">
        <v>452.71653543307002</v>
      </c>
      <c r="F175">
        <v>156.65484234234</v>
      </c>
      <c r="G175">
        <v>120.66103603604</v>
      </c>
      <c r="I175" s="9">
        <f t="shared" si="15"/>
        <v>332.05549939703002</v>
      </c>
      <c r="J175" s="9">
        <f t="shared" si="16"/>
        <v>1201.66011828756</v>
      </c>
      <c r="K175" s="9">
        <f t="shared" si="17"/>
        <v>332.05549939703002</v>
      </c>
      <c r="L175" s="10">
        <f t="shared" si="14"/>
        <v>0.27633063155181486</v>
      </c>
      <c r="M175" s="10">
        <f t="shared" si="18"/>
        <v>0.31948581011651628</v>
      </c>
      <c r="P175" s="8">
        <f t="shared" si="19"/>
        <v>9.7709697595317966</v>
      </c>
    </row>
    <row r="176" spans="1:16" x14ac:dyDescent="0.2">
      <c r="A176" s="8">
        <v>87</v>
      </c>
      <c r="B176" s="8">
        <v>174</v>
      </c>
      <c r="D176">
        <v>1400.0613393359999</v>
      </c>
      <c r="E176">
        <v>457.38041643218997</v>
      </c>
      <c r="F176">
        <v>156.25450450450001</v>
      </c>
      <c r="G176">
        <v>120.82207207207</v>
      </c>
      <c r="I176" s="9">
        <f t="shared" si="15"/>
        <v>336.55834436011997</v>
      </c>
      <c r="J176" s="9">
        <f t="shared" si="16"/>
        <v>1243.8068348315001</v>
      </c>
      <c r="K176" s="9">
        <f t="shared" si="17"/>
        <v>336.55834436011997</v>
      </c>
      <c r="L176" s="10">
        <f t="shared" si="14"/>
        <v>0.27058730900583444</v>
      </c>
      <c r="M176" s="10">
        <f t="shared" si="18"/>
        <v>0.31399193946975379</v>
      </c>
      <c r="P176" s="8">
        <f t="shared" si="19"/>
        <v>7.8833506868455752</v>
      </c>
    </row>
    <row r="177" spans="1:16" x14ac:dyDescent="0.2">
      <c r="A177" s="8">
        <v>87.5</v>
      </c>
      <c r="B177" s="8">
        <v>175</v>
      </c>
      <c r="D177">
        <v>1392.6353404614999</v>
      </c>
      <c r="E177">
        <v>448.66460326393002</v>
      </c>
      <c r="F177">
        <v>156.53153153152999</v>
      </c>
      <c r="G177">
        <v>120.48198198198</v>
      </c>
      <c r="I177" s="9">
        <f t="shared" si="15"/>
        <v>328.18262128194999</v>
      </c>
      <c r="J177" s="9">
        <f t="shared" si="16"/>
        <v>1236.10380892997</v>
      </c>
      <c r="K177" s="9">
        <f t="shared" si="17"/>
        <v>328.18262128194999</v>
      </c>
      <c r="L177" s="10">
        <f t="shared" si="14"/>
        <v>0.26549762156791701</v>
      </c>
      <c r="M177" s="10">
        <f t="shared" si="18"/>
        <v>0.30915170393105429</v>
      </c>
      <c r="P177" s="8">
        <f t="shared" si="19"/>
        <v>6.2203117282332263</v>
      </c>
    </row>
    <row r="178" spans="1:16" x14ac:dyDescent="0.2">
      <c r="A178" s="8">
        <v>88</v>
      </c>
      <c r="B178" s="8">
        <v>176</v>
      </c>
      <c r="D178">
        <v>1396.3832301632001</v>
      </c>
      <c r="E178">
        <v>449.65841305571001</v>
      </c>
      <c r="F178">
        <v>156.66441441441</v>
      </c>
      <c r="G178">
        <v>120.86880630631001</v>
      </c>
      <c r="I178" s="9">
        <f t="shared" si="15"/>
        <v>328.78960674940004</v>
      </c>
      <c r="J178" s="9">
        <f t="shared" si="16"/>
        <v>1239.7188157487901</v>
      </c>
      <c r="K178" s="9">
        <f t="shared" si="17"/>
        <v>328.78960674940004</v>
      </c>
      <c r="L178" s="10">
        <f t="shared" si="14"/>
        <v>0.26521304877575091</v>
      </c>
      <c r="M178" s="10">
        <f t="shared" si="18"/>
        <v>0.30911658303810613</v>
      </c>
      <c r="P178" s="8">
        <f t="shared" si="19"/>
        <v>6.2082446681145491</v>
      </c>
    </row>
    <row r="179" spans="1:16" x14ac:dyDescent="0.2">
      <c r="A179" s="8">
        <v>88.5</v>
      </c>
      <c r="B179" s="8">
        <v>177</v>
      </c>
      <c r="D179">
        <v>1394.0979178391001</v>
      </c>
      <c r="E179">
        <v>449.16882386044</v>
      </c>
      <c r="F179">
        <v>156.36148648649001</v>
      </c>
      <c r="G179">
        <v>120.70045045045001</v>
      </c>
      <c r="I179" s="9">
        <f t="shared" si="15"/>
        <v>328.46837340999002</v>
      </c>
      <c r="J179" s="9">
        <f t="shared" si="16"/>
        <v>1237.73643135261</v>
      </c>
      <c r="K179" s="9">
        <f t="shared" si="17"/>
        <v>328.46837340999002</v>
      </c>
      <c r="L179" s="10">
        <f t="shared" si="14"/>
        <v>0.26537828659615093</v>
      </c>
      <c r="M179" s="10">
        <f t="shared" si="18"/>
        <v>0.30953127275772407</v>
      </c>
      <c r="P179" s="8">
        <f t="shared" si="19"/>
        <v>6.3507264035480224</v>
      </c>
    </row>
    <row r="180" spans="1:16" x14ac:dyDescent="0.2">
      <c r="A180" s="8">
        <v>89</v>
      </c>
      <c r="B180" s="8">
        <v>178</v>
      </c>
      <c r="D180">
        <v>1384.8052898143001</v>
      </c>
      <c r="E180">
        <v>442.30388294878998</v>
      </c>
      <c r="F180">
        <v>156.30236486486999</v>
      </c>
      <c r="G180">
        <v>120.89470720721</v>
      </c>
      <c r="I180" s="9">
        <f t="shared" si="15"/>
        <v>321.40917574157999</v>
      </c>
      <c r="J180" s="9">
        <f t="shared" si="16"/>
        <v>1228.5029249494301</v>
      </c>
      <c r="K180" s="9">
        <f t="shared" si="17"/>
        <v>321.40917574157999</v>
      </c>
      <c r="L180" s="10">
        <f t="shared" si="14"/>
        <v>0.2616267077710136</v>
      </c>
      <c r="M180" s="10">
        <f t="shared" si="18"/>
        <v>0.30602914583180463</v>
      </c>
      <c r="P180" s="8">
        <f t="shared" si="19"/>
        <v>5.1474433258459369</v>
      </c>
    </row>
    <row r="181" spans="1:16" x14ac:dyDescent="0.2">
      <c r="A181" s="8">
        <v>89.5</v>
      </c>
      <c r="B181" s="8">
        <v>179</v>
      </c>
      <c r="D181">
        <v>1390.1243669104999</v>
      </c>
      <c r="E181">
        <v>441.07765897579998</v>
      </c>
      <c r="F181">
        <v>156.2606981982</v>
      </c>
      <c r="G181">
        <v>120.65990990991</v>
      </c>
      <c r="I181" s="9">
        <f t="shared" si="15"/>
        <v>320.41774906589001</v>
      </c>
      <c r="J181" s="9">
        <f t="shared" si="16"/>
        <v>1233.8636687122998</v>
      </c>
      <c r="K181" s="9">
        <f t="shared" si="17"/>
        <v>320.41774906589001</v>
      </c>
      <c r="L181" s="10">
        <f t="shared" si="14"/>
        <v>0.25968650928857351</v>
      </c>
      <c r="M181" s="10">
        <f t="shared" si="18"/>
        <v>0.30433839924858247</v>
      </c>
      <c r="P181" s="8">
        <f t="shared" si="19"/>
        <v>4.5665258447527242</v>
      </c>
    </row>
    <row r="182" spans="1:16" x14ac:dyDescent="0.2">
      <c r="A182" s="8">
        <v>90</v>
      </c>
      <c r="B182" s="8">
        <v>180</v>
      </c>
      <c r="D182">
        <v>1382.6595385481</v>
      </c>
      <c r="E182">
        <v>435.69442881261</v>
      </c>
      <c r="F182">
        <v>156.26520270270001</v>
      </c>
      <c r="G182">
        <v>120.47578828829</v>
      </c>
      <c r="I182" s="9">
        <f t="shared" si="15"/>
        <v>315.21864052431999</v>
      </c>
      <c r="J182" s="9">
        <f t="shared" si="16"/>
        <v>1226.3943358454001</v>
      </c>
      <c r="K182" s="9">
        <f t="shared" si="17"/>
        <v>315.21864052431999</v>
      </c>
      <c r="L182" s="10">
        <f t="shared" si="14"/>
        <v>0.25702878047543154</v>
      </c>
      <c r="M182" s="10">
        <f>L182+ABS($N$2)*A182</f>
        <v>0.30193012233465844</v>
      </c>
      <c r="P182" s="8">
        <f t="shared" si="19"/>
        <v>3.739074721979784</v>
      </c>
    </row>
    <row r="183" spans="1:16" x14ac:dyDescent="0.2">
      <c r="A183" s="8">
        <v>90.5</v>
      </c>
      <c r="B183" s="8">
        <v>181</v>
      </c>
      <c r="D183">
        <v>1382.9938097918</v>
      </c>
      <c r="E183">
        <v>433.18345526168002</v>
      </c>
      <c r="F183">
        <v>156.43018018018</v>
      </c>
      <c r="G183">
        <v>120.70213963964</v>
      </c>
      <c r="I183" s="9">
        <f t="shared" si="15"/>
        <v>312.48131562204003</v>
      </c>
      <c r="J183" s="9">
        <f t="shared" si="16"/>
        <v>1226.5636296116199</v>
      </c>
      <c r="K183" s="9">
        <f t="shared" si="17"/>
        <v>312.48131562204003</v>
      </c>
      <c r="L183" s="10">
        <f t="shared" si="14"/>
        <v>0.2547616023157187</v>
      </c>
      <c r="M183" s="10">
        <f t="shared" ref="M183:M241" si="20">L183+ABS($N$2)*A183</f>
        <v>0.29991239607416353</v>
      </c>
      <c r="P183" s="8">
        <f t="shared" si="19"/>
        <v>3.045811480513684</v>
      </c>
    </row>
    <row r="184" spans="1:16" x14ac:dyDescent="0.2">
      <c r="A184" s="8">
        <v>91</v>
      </c>
      <c r="B184" s="8">
        <v>182</v>
      </c>
      <c r="D184">
        <v>1387.6724817108</v>
      </c>
      <c r="E184">
        <v>433.07203151379002</v>
      </c>
      <c r="F184">
        <v>156.54391891892001</v>
      </c>
      <c r="G184">
        <v>120.80968468469</v>
      </c>
      <c r="I184" s="9">
        <f t="shared" si="15"/>
        <v>312.26234682910001</v>
      </c>
      <c r="J184" s="9">
        <f t="shared" si="16"/>
        <v>1231.1285627918799</v>
      </c>
      <c r="K184" s="9">
        <f t="shared" si="17"/>
        <v>312.26234682910001</v>
      </c>
      <c r="L184" s="10">
        <f t="shared" si="14"/>
        <v>0.25363910501838255</v>
      </c>
      <c r="M184" s="10">
        <f t="shared" si="20"/>
        <v>0.29903935067604531</v>
      </c>
      <c r="P184" s="8">
        <f t="shared" si="19"/>
        <v>2.7458449813424606</v>
      </c>
    </row>
    <row r="185" spans="1:16" x14ac:dyDescent="0.2">
      <c r="A185" s="8">
        <v>91.5</v>
      </c>
      <c r="B185" s="8">
        <v>183</v>
      </c>
      <c r="D185">
        <v>1385.7872819359</v>
      </c>
      <c r="E185">
        <v>432.36578503095001</v>
      </c>
      <c r="F185">
        <v>156.18355855856001</v>
      </c>
      <c r="G185">
        <v>120.55236486487</v>
      </c>
      <c r="I185" s="9">
        <f t="shared" si="15"/>
        <v>311.81342016607999</v>
      </c>
      <c r="J185" s="9">
        <f t="shared" si="16"/>
        <v>1229.60372337734</v>
      </c>
      <c r="K185" s="9">
        <f t="shared" si="17"/>
        <v>311.81342016607999</v>
      </c>
      <c r="L185" s="10">
        <f t="shared" si="14"/>
        <v>0.25358854583623514</v>
      </c>
      <c r="M185" s="10">
        <f t="shared" si="20"/>
        <v>0.29923824339311583</v>
      </c>
      <c r="P185" s="8">
        <f t="shared" si="19"/>
        <v>2.8141818080170999</v>
      </c>
    </row>
    <row r="186" spans="1:16" x14ac:dyDescent="0.2">
      <c r="A186" s="8">
        <v>92</v>
      </c>
      <c r="B186" s="8">
        <v>184</v>
      </c>
      <c r="D186">
        <v>1374.2689926843</v>
      </c>
      <c r="E186">
        <v>426.46370287001002</v>
      </c>
      <c r="F186">
        <v>156.07207207207</v>
      </c>
      <c r="G186">
        <v>120.61993243243001</v>
      </c>
      <c r="I186" s="9">
        <f t="shared" si="15"/>
        <v>305.84377043758002</v>
      </c>
      <c r="J186" s="9">
        <f t="shared" si="16"/>
        <v>1218.1969206122299</v>
      </c>
      <c r="K186" s="9">
        <f t="shared" si="17"/>
        <v>305.84377043758002</v>
      </c>
      <c r="L186" s="10">
        <f t="shared" si="14"/>
        <v>0.25106266914865616</v>
      </c>
      <c r="M186" s="10">
        <f t="shared" si="20"/>
        <v>0.29696181860475479</v>
      </c>
      <c r="P186" s="8">
        <f t="shared" si="19"/>
        <v>2.0320332784411055</v>
      </c>
    </row>
    <row r="187" spans="1:16" x14ac:dyDescent="0.2">
      <c r="A187" s="8">
        <v>92.5</v>
      </c>
      <c r="B187" s="8">
        <v>185</v>
      </c>
      <c r="D187">
        <v>1380.6223972988</v>
      </c>
      <c r="E187">
        <v>425.31851435003</v>
      </c>
      <c r="F187">
        <v>156.02984234234</v>
      </c>
      <c r="G187">
        <v>120.73761261260999</v>
      </c>
      <c r="I187" s="9">
        <f t="shared" si="15"/>
        <v>304.58090173741999</v>
      </c>
      <c r="J187" s="9">
        <f t="shared" si="16"/>
        <v>1224.5925549564599</v>
      </c>
      <c r="K187" s="9">
        <f t="shared" si="17"/>
        <v>304.58090173741999</v>
      </c>
      <c r="L187" s="10">
        <f t="shared" si="14"/>
        <v>0.24872019718284935</v>
      </c>
      <c r="M187" s="10">
        <f t="shared" si="20"/>
        <v>0.29486879853816589</v>
      </c>
      <c r="P187" s="8">
        <f t="shared" si="19"/>
        <v>1.3129001114568415</v>
      </c>
    </row>
    <row r="188" spans="1:16" x14ac:dyDescent="0.2">
      <c r="A188" s="8">
        <v>93</v>
      </c>
      <c r="B188" s="8">
        <v>186</v>
      </c>
      <c r="D188">
        <v>1379.2509848059001</v>
      </c>
      <c r="E188">
        <v>427.60832864378</v>
      </c>
      <c r="F188">
        <v>156.43468468469001</v>
      </c>
      <c r="G188">
        <v>120.90146396396</v>
      </c>
      <c r="I188" s="9">
        <f t="shared" si="15"/>
        <v>306.70686467982</v>
      </c>
      <c r="J188" s="9">
        <f t="shared" si="16"/>
        <v>1222.8163001212101</v>
      </c>
      <c r="K188" s="9">
        <f t="shared" si="17"/>
        <v>306.70686467982</v>
      </c>
      <c r="L188" s="10">
        <f t="shared" si="14"/>
        <v>0.2508200656545207</v>
      </c>
      <c r="M188" s="10">
        <f t="shared" si="20"/>
        <v>0.29721811890905514</v>
      </c>
      <c r="P188" s="8">
        <f t="shared" si="19"/>
        <v>2.1200945696216182</v>
      </c>
    </row>
    <row r="189" spans="1:16" x14ac:dyDescent="0.2">
      <c r="A189" s="8">
        <v>93.5</v>
      </c>
      <c r="B189" s="8">
        <v>187</v>
      </c>
      <c r="D189">
        <v>1393.7231288688999</v>
      </c>
      <c r="E189">
        <v>432.50590883512001</v>
      </c>
      <c r="F189">
        <v>156.26295045045001</v>
      </c>
      <c r="G189">
        <v>120.94200450451</v>
      </c>
      <c r="I189" s="9">
        <f t="shared" si="15"/>
        <v>311.56390433061</v>
      </c>
      <c r="J189" s="9">
        <f t="shared" si="16"/>
        <v>1237.4601784184499</v>
      </c>
      <c r="K189" s="9">
        <f t="shared" si="17"/>
        <v>311.56390433061</v>
      </c>
      <c r="L189" s="10">
        <f t="shared" si="14"/>
        <v>0.25177691352363984</v>
      </c>
      <c r="M189" s="10">
        <f t="shared" si="20"/>
        <v>0.29842441867739222</v>
      </c>
      <c r="P189" s="8">
        <f t="shared" si="19"/>
        <v>2.5345627281378533</v>
      </c>
    </row>
    <row r="190" spans="1:16" x14ac:dyDescent="0.2">
      <c r="A190" s="8">
        <v>94</v>
      </c>
      <c r="B190" s="8">
        <v>188</v>
      </c>
      <c r="D190">
        <v>1394.5042205965001</v>
      </c>
      <c r="E190">
        <v>430.50815981992002</v>
      </c>
      <c r="F190">
        <v>156.27646396396</v>
      </c>
      <c r="G190">
        <v>120.76295045045001</v>
      </c>
      <c r="I190" s="9">
        <f t="shared" si="15"/>
        <v>309.74520936946999</v>
      </c>
      <c r="J190" s="9">
        <f t="shared" si="16"/>
        <v>1238.2277566325401</v>
      </c>
      <c r="K190" s="9">
        <f t="shared" si="17"/>
        <v>309.74520936946999</v>
      </c>
      <c r="L190" s="10">
        <f t="shared" si="14"/>
        <v>0.25015204812711272</v>
      </c>
      <c r="M190" s="10">
        <f t="shared" si="20"/>
        <v>0.29704900518008304</v>
      </c>
      <c r="P190" s="8">
        <f t="shared" si="19"/>
        <v>2.0619893973695289</v>
      </c>
    </row>
    <row r="191" spans="1:16" x14ac:dyDescent="0.2">
      <c r="A191" s="8">
        <v>94.5</v>
      </c>
      <c r="B191" s="8">
        <v>189</v>
      </c>
      <c r="D191">
        <v>1396.701181767</v>
      </c>
      <c r="E191">
        <v>431.39335959482003</v>
      </c>
      <c r="F191">
        <v>155.97691441441</v>
      </c>
      <c r="G191">
        <v>120.60416666667</v>
      </c>
      <c r="I191" s="9">
        <f t="shared" si="15"/>
        <v>310.78919292815004</v>
      </c>
      <c r="J191" s="9">
        <f t="shared" si="16"/>
        <v>1240.72426735259</v>
      </c>
      <c r="K191" s="9">
        <f t="shared" si="17"/>
        <v>310.78919292815004</v>
      </c>
      <c r="L191" s="10">
        <f t="shared" si="14"/>
        <v>0.25049013798311542</v>
      </c>
      <c r="M191" s="10">
        <f t="shared" si="20"/>
        <v>0.29763654693530367</v>
      </c>
      <c r="P191" s="8">
        <f t="shared" si="19"/>
        <v>2.2638607362601828</v>
      </c>
    </row>
    <row r="192" spans="1:16" x14ac:dyDescent="0.2">
      <c r="A192" s="8">
        <v>95</v>
      </c>
      <c r="B192" s="8">
        <v>190</v>
      </c>
      <c r="D192">
        <v>1394.1778277997</v>
      </c>
      <c r="E192">
        <v>427.45751266179002</v>
      </c>
      <c r="F192">
        <v>155.98536036036</v>
      </c>
      <c r="G192">
        <v>120.39245495496</v>
      </c>
      <c r="I192" s="9">
        <f t="shared" si="15"/>
        <v>307.06505770683003</v>
      </c>
      <c r="J192" s="9">
        <f t="shared" si="16"/>
        <v>1238.1924674393399</v>
      </c>
      <c r="K192" s="9">
        <f t="shared" si="17"/>
        <v>307.06505770683003</v>
      </c>
      <c r="L192" s="10">
        <f t="shared" si="14"/>
        <v>0.24799460970866666</v>
      </c>
      <c r="M192" s="10">
        <f t="shared" si="20"/>
        <v>0.29539047056007284</v>
      </c>
      <c r="P192" s="8">
        <f t="shared" si="19"/>
        <v>1.4921395077863913</v>
      </c>
    </row>
    <row r="193" spans="1:16" x14ac:dyDescent="0.2">
      <c r="A193" s="8">
        <v>95.5</v>
      </c>
      <c r="B193" s="8">
        <v>191</v>
      </c>
      <c r="D193">
        <v>1391.0579628588</v>
      </c>
      <c r="E193">
        <v>427.68711311199002</v>
      </c>
      <c r="F193">
        <v>155.79335585586</v>
      </c>
      <c r="G193">
        <v>120.38795045045001</v>
      </c>
      <c r="I193" s="9">
        <f t="shared" si="15"/>
        <v>307.29916266153998</v>
      </c>
      <c r="J193" s="9">
        <f t="shared" si="16"/>
        <v>1235.26460700294</v>
      </c>
      <c r="K193" s="9">
        <f t="shared" si="17"/>
        <v>307.29916266153998</v>
      </c>
      <c r="L193" s="10">
        <f t="shared" si="14"/>
        <v>0.24877193187549054</v>
      </c>
      <c r="M193" s="10">
        <f t="shared" si="20"/>
        <v>0.29641724462611463</v>
      </c>
      <c r="P193" s="8">
        <f t="shared" si="19"/>
        <v>1.8449250819320462</v>
      </c>
    </row>
    <row r="194" spans="1:16" x14ac:dyDescent="0.2">
      <c r="A194" s="8">
        <v>96</v>
      </c>
      <c r="B194" s="8">
        <v>192</v>
      </c>
      <c r="D194">
        <v>1387.3646595386001</v>
      </c>
      <c r="E194">
        <v>424.12099043332</v>
      </c>
      <c r="F194">
        <v>155.97353603604</v>
      </c>
      <c r="G194">
        <v>120.63851351351001</v>
      </c>
      <c r="I194" s="9">
        <f t="shared" si="15"/>
        <v>303.48247691980998</v>
      </c>
      <c r="J194" s="9">
        <f t="shared" si="16"/>
        <v>1231.39112350256</v>
      </c>
      <c r="K194" s="9">
        <f t="shared" si="17"/>
        <v>303.48247691980998</v>
      </c>
      <c r="L194" s="10">
        <f t="shared" ref="L194:L257" si="21">K194/J194</f>
        <v>0.2464549817905026</v>
      </c>
      <c r="M194" s="10">
        <f t="shared" si="20"/>
        <v>0.29434974644034462</v>
      </c>
      <c r="P194" s="8">
        <f t="shared" si="19"/>
        <v>1.1345608853335252</v>
      </c>
    </row>
    <row r="195" spans="1:16" x14ac:dyDescent="0.2">
      <c r="A195" s="8">
        <v>96.5</v>
      </c>
      <c r="B195" s="8">
        <v>193</v>
      </c>
      <c r="D195">
        <v>1388.7900956669</v>
      </c>
      <c r="E195">
        <v>424.93753517163998</v>
      </c>
      <c r="F195">
        <v>155.63457207207</v>
      </c>
      <c r="G195">
        <v>120.75450450451</v>
      </c>
      <c r="I195" s="9">
        <f t="shared" ref="I195:I241" si="22">E195-G195</f>
        <v>304.18303066712997</v>
      </c>
      <c r="J195" s="9">
        <f t="shared" ref="J195:J241" si="23">D195-F195</f>
        <v>1233.1555235948299</v>
      </c>
      <c r="K195" s="9">
        <f t="shared" ref="K195:K258" si="24">I195*1</f>
        <v>304.18303066712997</v>
      </c>
      <c r="L195" s="10">
        <f t="shared" si="21"/>
        <v>0.24667045222357004</v>
      </c>
      <c r="M195" s="10">
        <f t="shared" si="20"/>
        <v>0.29481466877263002</v>
      </c>
      <c r="P195" s="8">
        <f t="shared" ref="P195:P241" si="25">(M195-$O$2)/$O$2*100</f>
        <v>1.2943018618082527</v>
      </c>
    </row>
    <row r="196" spans="1:16" x14ac:dyDescent="0.2">
      <c r="A196" s="8">
        <v>97</v>
      </c>
      <c r="B196" s="8">
        <v>194</v>
      </c>
      <c r="D196">
        <v>1387.4243106358999</v>
      </c>
      <c r="E196">
        <v>422.00337647721</v>
      </c>
      <c r="F196">
        <v>155.77027027027</v>
      </c>
      <c r="G196">
        <v>120.78153153153001</v>
      </c>
      <c r="I196" s="9">
        <f t="shared" si="22"/>
        <v>301.22184494568</v>
      </c>
      <c r="J196" s="9">
        <f t="shared" si="23"/>
        <v>1231.65404036563</v>
      </c>
      <c r="K196" s="9">
        <f t="shared" si="24"/>
        <v>301.22184494568</v>
      </c>
      <c r="L196" s="10">
        <f t="shared" si="21"/>
        <v>0.24456692794695742</v>
      </c>
      <c r="M196" s="10">
        <f t="shared" si="20"/>
        <v>0.29296059639523531</v>
      </c>
      <c r="P196" s="8">
        <f t="shared" si="25"/>
        <v>0.65726786397043568</v>
      </c>
    </row>
    <row r="197" spans="1:16" x14ac:dyDescent="0.2">
      <c r="A197" s="8">
        <v>97.5</v>
      </c>
      <c r="B197" s="8">
        <v>195</v>
      </c>
      <c r="D197">
        <v>1385.2267867191999</v>
      </c>
      <c r="E197">
        <v>419.09172763084001</v>
      </c>
      <c r="F197">
        <v>156.20101351350999</v>
      </c>
      <c r="G197">
        <v>120.84346846846999</v>
      </c>
      <c r="I197" s="9">
        <f t="shared" si="22"/>
        <v>298.24825916237</v>
      </c>
      <c r="J197" s="9">
        <f t="shared" si="23"/>
        <v>1229.02577320569</v>
      </c>
      <c r="K197" s="9">
        <f t="shared" si="24"/>
        <v>298.24825916237</v>
      </c>
      <c r="L197" s="10">
        <f t="shared" si="21"/>
        <v>0.24267046767005032</v>
      </c>
      <c r="M197" s="10">
        <f t="shared" si="20"/>
        <v>0.29131358801754614</v>
      </c>
      <c r="P197" s="8">
        <f t="shared" si="25"/>
        <v>9.1378234145945814E-2</v>
      </c>
    </row>
    <row r="198" spans="1:16" x14ac:dyDescent="0.2">
      <c r="A198" s="8">
        <v>98</v>
      </c>
      <c r="B198" s="8">
        <v>196</v>
      </c>
      <c r="D198">
        <v>1385.5019696116999</v>
      </c>
      <c r="E198">
        <v>419.94653911085999</v>
      </c>
      <c r="F198">
        <v>155.57713963964</v>
      </c>
      <c r="G198">
        <v>120.58614864865</v>
      </c>
      <c r="I198" s="9">
        <f t="shared" si="22"/>
        <v>299.36039046220998</v>
      </c>
      <c r="J198" s="9">
        <f t="shared" si="23"/>
        <v>1229.9248299720598</v>
      </c>
      <c r="K198" s="9">
        <f t="shared" si="24"/>
        <v>299.36039046220998</v>
      </c>
      <c r="L198" s="10">
        <f t="shared" si="21"/>
        <v>0.24339730621505587</v>
      </c>
      <c r="M198" s="10">
        <f t="shared" si="20"/>
        <v>0.29228987846176963</v>
      </c>
      <c r="P198" s="8">
        <f t="shared" si="25"/>
        <v>0.42681832392737146</v>
      </c>
    </row>
    <row r="199" spans="1:16" x14ac:dyDescent="0.2">
      <c r="A199" s="8">
        <v>98.5</v>
      </c>
      <c r="B199" s="8">
        <v>197</v>
      </c>
      <c r="D199">
        <v>1382.4271243669</v>
      </c>
      <c r="E199">
        <v>418.18514350027999</v>
      </c>
      <c r="F199">
        <v>156.17792792793</v>
      </c>
      <c r="G199">
        <v>120.6143018018</v>
      </c>
      <c r="I199" s="9">
        <f t="shared" si="22"/>
        <v>297.57084169847997</v>
      </c>
      <c r="J199" s="9">
        <f t="shared" si="23"/>
        <v>1226.2491964389701</v>
      </c>
      <c r="K199" s="9">
        <f t="shared" si="24"/>
        <v>297.57084169847997</v>
      </c>
      <c r="L199" s="10">
        <f t="shared" si="21"/>
        <v>0.24266751208696097</v>
      </c>
      <c r="M199" s="10">
        <f t="shared" si="20"/>
        <v>0.29180953623289263</v>
      </c>
      <c r="P199" s="8">
        <f t="shared" si="25"/>
        <v>0.26177928115719951</v>
      </c>
    </row>
    <row r="200" spans="1:16" x14ac:dyDescent="0.2">
      <c r="A200" s="8">
        <v>99</v>
      </c>
      <c r="B200" s="8">
        <v>198</v>
      </c>
      <c r="D200">
        <v>1383.2633652223001</v>
      </c>
      <c r="E200">
        <v>416.75914462576998</v>
      </c>
      <c r="F200">
        <v>155.97240990991</v>
      </c>
      <c r="G200">
        <v>120.40822072072</v>
      </c>
      <c r="I200" s="9">
        <f t="shared" si="22"/>
        <v>296.35092390504997</v>
      </c>
      <c r="J200" s="9">
        <f t="shared" si="23"/>
        <v>1227.29095531239</v>
      </c>
      <c r="K200" s="9">
        <f t="shared" si="24"/>
        <v>296.35092390504997</v>
      </c>
      <c r="L200" s="10">
        <f t="shared" si="21"/>
        <v>0.24146753679091354</v>
      </c>
      <c r="M200" s="10">
        <f t="shared" si="20"/>
        <v>0.29085901283606314</v>
      </c>
      <c r="P200" s="8">
        <f t="shared" si="25"/>
        <v>-6.4807602344904125E-2</v>
      </c>
    </row>
    <row r="201" spans="1:16" x14ac:dyDescent="0.2">
      <c r="A201" s="8">
        <v>99.5</v>
      </c>
      <c r="B201" s="8">
        <v>199</v>
      </c>
      <c r="D201">
        <v>1382.617332583</v>
      </c>
      <c r="E201">
        <v>417.36803601576003</v>
      </c>
      <c r="F201">
        <v>155.75731981982</v>
      </c>
      <c r="G201">
        <v>120.59346846846999</v>
      </c>
      <c r="I201" s="9">
        <f t="shared" si="22"/>
        <v>296.77456754729002</v>
      </c>
      <c r="J201" s="9">
        <f t="shared" si="23"/>
        <v>1226.8600127631801</v>
      </c>
      <c r="K201" s="9">
        <f t="shared" si="24"/>
        <v>296.77456754729002</v>
      </c>
      <c r="L201" s="10">
        <f t="shared" si="21"/>
        <v>0.24189766106964658</v>
      </c>
      <c r="M201" s="10">
        <f t="shared" si="20"/>
        <v>0.29153858901401408</v>
      </c>
      <c r="P201" s="8">
        <f t="shared" si="25"/>
        <v>0.16868550976528893</v>
      </c>
    </row>
    <row r="202" spans="1:16" x14ac:dyDescent="0.2">
      <c r="A202" s="8">
        <v>100</v>
      </c>
      <c r="B202" s="8">
        <v>200</v>
      </c>
      <c r="D202">
        <v>1353.7024886878</v>
      </c>
      <c r="E202">
        <v>413.19909502261999</v>
      </c>
      <c r="F202">
        <v>156.04391891892001</v>
      </c>
      <c r="G202">
        <v>120.58051801802</v>
      </c>
      <c r="I202" s="9">
        <f t="shared" si="22"/>
        <v>292.61857700459996</v>
      </c>
      <c r="J202" s="9">
        <f t="shared" si="23"/>
        <v>1197.6585697688799</v>
      </c>
      <c r="K202" s="9">
        <f t="shared" si="24"/>
        <v>292.61857700459996</v>
      </c>
      <c r="L202" s="10">
        <f t="shared" si="21"/>
        <v>0.24432554017550134</v>
      </c>
      <c r="M202" s="10">
        <f t="shared" si="20"/>
        <v>0.29421592001908681</v>
      </c>
      <c r="P202" s="8">
        <f t="shared" si="25"/>
        <v>1.0885799510455207</v>
      </c>
    </row>
    <row r="203" spans="1:16" x14ac:dyDescent="0.2">
      <c r="A203" s="8">
        <v>100.5</v>
      </c>
      <c r="B203" s="8">
        <v>201</v>
      </c>
      <c r="D203">
        <v>1326.0537330316999</v>
      </c>
      <c r="E203">
        <v>404.32692307692002</v>
      </c>
      <c r="F203">
        <v>155.82263513513999</v>
      </c>
      <c r="G203">
        <v>120.22466216216</v>
      </c>
      <c r="I203" s="9">
        <f t="shared" si="22"/>
        <v>284.10226091476</v>
      </c>
      <c r="J203" s="9">
        <f t="shared" si="23"/>
        <v>1170.23109789656</v>
      </c>
      <c r="K203" s="9">
        <f t="shared" si="24"/>
        <v>284.10226091476</v>
      </c>
      <c r="L203" s="10">
        <f t="shared" si="21"/>
        <v>0.24277449251299302</v>
      </c>
      <c r="M203" s="10">
        <f t="shared" si="20"/>
        <v>0.29291432425579639</v>
      </c>
      <c r="P203" s="8">
        <f t="shared" si="25"/>
        <v>0.64136938754919504</v>
      </c>
    </row>
    <row r="204" spans="1:16" x14ac:dyDescent="0.2">
      <c r="A204" s="8">
        <v>101</v>
      </c>
      <c r="B204" s="8">
        <v>202</v>
      </c>
      <c r="D204">
        <v>1326.3687782805</v>
      </c>
      <c r="E204">
        <v>400.89819004524998</v>
      </c>
      <c r="F204">
        <v>155.35360360359999</v>
      </c>
      <c r="G204">
        <v>120.27533783784</v>
      </c>
      <c r="I204" s="9">
        <f t="shared" si="22"/>
        <v>280.62285220741001</v>
      </c>
      <c r="J204" s="9">
        <f t="shared" si="23"/>
        <v>1171.0151746769</v>
      </c>
      <c r="K204" s="9">
        <f t="shared" si="24"/>
        <v>280.62285220741001</v>
      </c>
      <c r="L204" s="10">
        <f t="shared" si="21"/>
        <v>0.23964066245754492</v>
      </c>
      <c r="M204" s="10">
        <f t="shared" si="20"/>
        <v>0.29002994609956623</v>
      </c>
      <c r="P204" s="8">
        <f t="shared" si="25"/>
        <v>-0.34966363281287854</v>
      </c>
    </row>
    <row r="205" spans="1:16" x14ac:dyDescent="0.2">
      <c r="A205" s="8">
        <v>101.5</v>
      </c>
      <c r="B205" s="8">
        <v>203</v>
      </c>
      <c r="D205">
        <v>1335.4688914026999</v>
      </c>
      <c r="E205">
        <v>401.07070135747</v>
      </c>
      <c r="F205">
        <v>156.08952702702999</v>
      </c>
      <c r="G205">
        <v>120.76182432432</v>
      </c>
      <c r="I205" s="9">
        <f t="shared" si="22"/>
        <v>280.30887703315</v>
      </c>
      <c r="J205" s="9">
        <f t="shared" si="23"/>
        <v>1179.3793643756699</v>
      </c>
      <c r="K205" s="9">
        <f t="shared" si="24"/>
        <v>280.30887703315</v>
      </c>
      <c r="L205" s="10">
        <f t="shared" si="21"/>
        <v>0.23767490385211004</v>
      </c>
      <c r="M205" s="10">
        <f t="shared" si="20"/>
        <v>0.28831363939334925</v>
      </c>
      <c r="P205" s="8">
        <f t="shared" si="25"/>
        <v>-0.93936322378224135</v>
      </c>
    </row>
    <row r="206" spans="1:16" x14ac:dyDescent="0.2">
      <c r="A206" s="8">
        <v>102</v>
      </c>
      <c r="B206" s="8">
        <v>204</v>
      </c>
      <c r="D206">
        <v>1337.7364253394001</v>
      </c>
      <c r="E206">
        <v>400.99547511311999</v>
      </c>
      <c r="F206">
        <v>155.52477477478001</v>
      </c>
      <c r="G206">
        <v>120.34684684685</v>
      </c>
      <c r="I206" s="9">
        <f t="shared" si="22"/>
        <v>280.64862826627001</v>
      </c>
      <c r="J206" s="9">
        <f t="shared" si="23"/>
        <v>1182.21165056462</v>
      </c>
      <c r="K206" s="9">
        <f t="shared" si="24"/>
        <v>280.64862826627001</v>
      </c>
      <c r="L206" s="10">
        <f t="shared" si="21"/>
        <v>0.23739287980475682</v>
      </c>
      <c r="M206" s="10">
        <f t="shared" si="20"/>
        <v>0.28828106724521396</v>
      </c>
      <c r="P206" s="8">
        <f t="shared" si="25"/>
        <v>-0.9505545699226472</v>
      </c>
    </row>
    <row r="207" spans="1:16" x14ac:dyDescent="0.2">
      <c r="A207" s="8">
        <v>102.5</v>
      </c>
      <c r="B207" s="8">
        <v>205</v>
      </c>
      <c r="D207">
        <v>1336.4445701357999</v>
      </c>
      <c r="E207">
        <v>399.94513574660999</v>
      </c>
      <c r="F207">
        <v>155.11486486486999</v>
      </c>
      <c r="G207">
        <v>120.42173423423</v>
      </c>
      <c r="I207" s="9">
        <f t="shared" si="22"/>
        <v>279.52340151238002</v>
      </c>
      <c r="J207" s="9">
        <f t="shared" si="23"/>
        <v>1181.3297052709299</v>
      </c>
      <c r="K207" s="9">
        <f t="shared" si="24"/>
        <v>279.52340151238002</v>
      </c>
      <c r="L207" s="10">
        <f t="shared" si="21"/>
        <v>0.2366176015596537</v>
      </c>
      <c r="M207" s="10">
        <f t="shared" si="20"/>
        <v>0.2877552408993288</v>
      </c>
      <c r="P207" s="8">
        <f t="shared" si="25"/>
        <v>-1.1312213353476108</v>
      </c>
    </row>
    <row r="208" spans="1:16" x14ac:dyDescent="0.2">
      <c r="A208" s="8">
        <v>103</v>
      </c>
      <c r="B208" s="8">
        <v>206</v>
      </c>
      <c r="D208">
        <v>1333.2313348416001</v>
      </c>
      <c r="E208">
        <v>400.08484162896002</v>
      </c>
      <c r="F208">
        <v>155.90878378378</v>
      </c>
      <c r="G208">
        <v>120.39301801802</v>
      </c>
      <c r="I208" s="9">
        <f t="shared" si="22"/>
        <v>279.69182361093999</v>
      </c>
      <c r="J208" s="9">
        <f t="shared" si="23"/>
        <v>1177.32255105782</v>
      </c>
      <c r="K208" s="9">
        <f t="shared" si="24"/>
        <v>279.69182361093999</v>
      </c>
      <c r="L208" s="10">
        <f t="shared" si="21"/>
        <v>0.23756601227050134</v>
      </c>
      <c r="M208" s="10">
        <f t="shared" si="20"/>
        <v>0.28895310350939435</v>
      </c>
      <c r="P208" s="8">
        <f t="shared" si="25"/>
        <v>-0.71965206941487803</v>
      </c>
    </row>
    <row r="209" spans="1:16" x14ac:dyDescent="0.2">
      <c r="A209" s="8">
        <v>103.5</v>
      </c>
      <c r="B209" s="8">
        <v>207</v>
      </c>
      <c r="D209">
        <v>1346.4162895928</v>
      </c>
      <c r="E209">
        <v>400.29807692307998</v>
      </c>
      <c r="F209">
        <v>155.32545045045001</v>
      </c>
      <c r="G209">
        <v>120.46846846846999</v>
      </c>
      <c r="I209" s="9">
        <f t="shared" si="22"/>
        <v>279.82960845460997</v>
      </c>
      <c r="J209" s="9">
        <f t="shared" si="23"/>
        <v>1191.09083914235</v>
      </c>
      <c r="K209" s="9">
        <f t="shared" si="24"/>
        <v>279.82960845460997</v>
      </c>
      <c r="L209" s="10">
        <f t="shared" si="21"/>
        <v>0.23493557271929189</v>
      </c>
      <c r="M209" s="10">
        <f t="shared" si="20"/>
        <v>0.28657211585740283</v>
      </c>
      <c r="P209" s="8">
        <f t="shared" si="25"/>
        <v>-1.537726973740865</v>
      </c>
    </row>
    <row r="210" spans="1:16" x14ac:dyDescent="0.2">
      <c r="A210" s="8">
        <v>104</v>
      </c>
      <c r="B210" s="8">
        <v>208</v>
      </c>
      <c r="D210">
        <v>1380.2912895928</v>
      </c>
      <c r="E210">
        <v>412.24264705882001</v>
      </c>
      <c r="F210">
        <v>154.65259009009</v>
      </c>
      <c r="G210">
        <v>120.35191441441</v>
      </c>
      <c r="I210" s="9">
        <f t="shared" si="22"/>
        <v>291.89073264441004</v>
      </c>
      <c r="J210" s="9">
        <f t="shared" si="23"/>
        <v>1225.6386995027101</v>
      </c>
      <c r="K210" s="9">
        <f t="shared" si="24"/>
        <v>291.89073264441004</v>
      </c>
      <c r="L210" s="10">
        <f t="shared" si="21"/>
        <v>0.23815397862587204</v>
      </c>
      <c r="M210" s="10">
        <f t="shared" si="20"/>
        <v>0.29003997366320089</v>
      </c>
      <c r="P210" s="8">
        <f t="shared" si="25"/>
        <v>-0.346218298623855</v>
      </c>
    </row>
    <row r="211" spans="1:16" x14ac:dyDescent="0.2">
      <c r="A211" s="8">
        <v>104.5</v>
      </c>
      <c r="B211" s="8">
        <v>209</v>
      </c>
      <c r="D211">
        <v>1355.6923076922999</v>
      </c>
      <c r="E211">
        <v>416.28733031674</v>
      </c>
      <c r="F211">
        <v>155.15315315314999</v>
      </c>
      <c r="G211">
        <v>120.58783783784</v>
      </c>
      <c r="I211" s="9">
        <f t="shared" si="22"/>
        <v>295.69949247889997</v>
      </c>
      <c r="J211" s="9">
        <f t="shared" si="23"/>
        <v>1200.5391545391499</v>
      </c>
      <c r="K211" s="9">
        <f t="shared" si="24"/>
        <v>295.69949247889997</v>
      </c>
      <c r="L211" s="10">
        <f t="shared" si="21"/>
        <v>0.24630557975629702</v>
      </c>
      <c r="M211" s="10">
        <f t="shared" si="20"/>
        <v>0.29844102669284384</v>
      </c>
      <c r="P211" s="8">
        <f t="shared" si="25"/>
        <v>2.540269015879522</v>
      </c>
    </row>
    <row r="212" spans="1:16" x14ac:dyDescent="0.2">
      <c r="A212" s="8">
        <v>105</v>
      </c>
      <c r="B212" s="8">
        <v>210</v>
      </c>
      <c r="D212">
        <v>1312.0164212911</v>
      </c>
      <c r="E212">
        <v>416.38674971686999</v>
      </c>
      <c r="F212">
        <v>155.22522522522999</v>
      </c>
      <c r="G212">
        <v>120.4115990991</v>
      </c>
      <c r="I212" s="9">
        <f t="shared" si="22"/>
        <v>295.97515061777</v>
      </c>
      <c r="J212" s="9">
        <f t="shared" si="23"/>
        <v>1156.7911960658701</v>
      </c>
      <c r="K212" s="9">
        <f t="shared" si="24"/>
        <v>295.97515061777</v>
      </c>
      <c r="L212" s="10">
        <f t="shared" si="21"/>
        <v>0.25585875102123146</v>
      </c>
      <c r="M212" s="10">
        <f t="shared" si="20"/>
        <v>0.3082436498569962</v>
      </c>
      <c r="P212" s="8">
        <f t="shared" si="25"/>
        <v>5.9083167251778566</v>
      </c>
    </row>
    <row r="213" spans="1:16" x14ac:dyDescent="0.2">
      <c r="A213" s="8">
        <v>105.5</v>
      </c>
      <c r="B213" s="8">
        <v>211</v>
      </c>
      <c r="D213">
        <v>1292.7675339366999</v>
      </c>
      <c r="E213">
        <v>404.50791855204</v>
      </c>
      <c r="F213">
        <v>155.85135135134999</v>
      </c>
      <c r="G213">
        <v>120.62218468469</v>
      </c>
      <c r="I213" s="9">
        <f t="shared" si="22"/>
        <v>283.88573386734998</v>
      </c>
      <c r="J213" s="9">
        <f t="shared" si="23"/>
        <v>1136.9161825853498</v>
      </c>
      <c r="K213" s="9">
        <f t="shared" si="24"/>
        <v>283.88573386734998</v>
      </c>
      <c r="L213" s="10">
        <f t="shared" si="21"/>
        <v>0.2496980324633899</v>
      </c>
      <c r="M213" s="10">
        <f t="shared" si="20"/>
        <v>0.30233238319837252</v>
      </c>
      <c r="P213" s="8">
        <f t="shared" si="25"/>
        <v>3.8772860719301883</v>
      </c>
    </row>
    <row r="214" spans="1:16" x14ac:dyDescent="0.2">
      <c r="A214" s="8">
        <v>106</v>
      </c>
      <c r="B214" s="8">
        <v>212</v>
      </c>
      <c r="D214">
        <v>1286.0169683258</v>
      </c>
      <c r="E214">
        <v>397.56730769231001</v>
      </c>
      <c r="F214">
        <v>156.09515765766</v>
      </c>
      <c r="G214">
        <v>119.91497747747999</v>
      </c>
      <c r="I214" s="9">
        <f t="shared" si="22"/>
        <v>277.65233021483004</v>
      </c>
      <c r="J214" s="9">
        <f t="shared" si="23"/>
        <v>1129.9218106681401</v>
      </c>
      <c r="K214" s="9">
        <f t="shared" si="24"/>
        <v>277.65233021483004</v>
      </c>
      <c r="L214" s="10">
        <f t="shared" si="21"/>
        <v>0.24572702959919851</v>
      </c>
      <c r="M214" s="10">
        <f t="shared" si="20"/>
        <v>0.29861083223339907</v>
      </c>
      <c r="P214" s="8">
        <f t="shared" si="25"/>
        <v>2.5986118851621725</v>
      </c>
    </row>
    <row r="215" spans="1:16" x14ac:dyDescent="0.2">
      <c r="A215" s="8">
        <v>106.5</v>
      </c>
      <c r="B215" s="8">
        <v>213</v>
      </c>
      <c r="D215">
        <v>1279.6278280542999</v>
      </c>
      <c r="E215">
        <v>394.63009049774001</v>
      </c>
      <c r="F215">
        <v>155.1875</v>
      </c>
      <c r="G215">
        <v>120.49324324324</v>
      </c>
      <c r="I215" s="9">
        <f t="shared" si="22"/>
        <v>274.13684725450003</v>
      </c>
      <c r="J215" s="9">
        <f t="shared" si="23"/>
        <v>1124.4403280542999</v>
      </c>
      <c r="K215" s="9">
        <f t="shared" si="24"/>
        <v>274.13684725450003</v>
      </c>
      <c r="L215" s="10">
        <f t="shared" si="21"/>
        <v>0.24379848393454437</v>
      </c>
      <c r="M215" s="10">
        <f t="shared" si="20"/>
        <v>0.29693173846796289</v>
      </c>
      <c r="P215" s="8">
        <f t="shared" si="25"/>
        <v>2.0216981534321361</v>
      </c>
    </row>
    <row r="216" spans="1:16" x14ac:dyDescent="0.2">
      <c r="A216" s="8">
        <v>107</v>
      </c>
      <c r="B216" s="8">
        <v>214</v>
      </c>
      <c r="D216">
        <v>1297.2411067194</v>
      </c>
      <c r="E216">
        <v>417.67927724449999</v>
      </c>
      <c r="F216">
        <v>155.5625</v>
      </c>
      <c r="G216">
        <v>119.80349099099</v>
      </c>
      <c r="I216" s="9">
        <f t="shared" si="22"/>
        <v>297.87578625351</v>
      </c>
      <c r="J216" s="9">
        <f t="shared" si="23"/>
        <v>1141.6786067194</v>
      </c>
      <c r="K216" s="9">
        <f t="shared" si="24"/>
        <v>297.87578625351</v>
      </c>
      <c r="L216" s="10">
        <f t="shared" si="21"/>
        <v>0.26091036873280171</v>
      </c>
      <c r="M216" s="10">
        <f t="shared" si="20"/>
        <v>0.31429307516543814</v>
      </c>
      <c r="P216" s="8">
        <f t="shared" si="25"/>
        <v>7.986816807398557</v>
      </c>
    </row>
    <row r="217" spans="1:16" x14ac:dyDescent="0.2">
      <c r="A217" s="8">
        <v>107.5</v>
      </c>
      <c r="B217" s="8">
        <v>215</v>
      </c>
      <c r="D217">
        <v>1289.330518018</v>
      </c>
      <c r="E217">
        <v>413.80123873873998</v>
      </c>
      <c r="F217">
        <v>155.45608108107999</v>
      </c>
      <c r="G217">
        <v>120.21846846846999</v>
      </c>
      <c r="I217" s="9">
        <f t="shared" si="22"/>
        <v>293.58277027026998</v>
      </c>
      <c r="J217" s="9">
        <f t="shared" si="23"/>
        <v>1133.8744369369201</v>
      </c>
      <c r="K217" s="9">
        <f t="shared" si="24"/>
        <v>293.58277027026998</v>
      </c>
      <c r="L217" s="10">
        <f t="shared" si="21"/>
        <v>0.25892000093358009</v>
      </c>
      <c r="M217" s="10">
        <f t="shared" si="20"/>
        <v>0.31255215926543445</v>
      </c>
      <c r="P217" s="8">
        <f t="shared" si="25"/>
        <v>7.3886618328677685</v>
      </c>
    </row>
    <row r="218" spans="1:16" x14ac:dyDescent="0.2">
      <c r="A218" s="8">
        <v>108</v>
      </c>
      <c r="B218" s="8">
        <v>216</v>
      </c>
      <c r="D218">
        <v>1285.8963963964</v>
      </c>
      <c r="E218">
        <v>410.28885135134999</v>
      </c>
      <c r="F218">
        <v>155.37556306306001</v>
      </c>
      <c r="G218">
        <v>120.29954954954999</v>
      </c>
      <c r="I218" s="9">
        <f t="shared" si="22"/>
        <v>289.98930180180002</v>
      </c>
      <c r="J218" s="9">
        <f t="shared" si="23"/>
        <v>1130.5208333333399</v>
      </c>
      <c r="K218" s="9">
        <f t="shared" si="24"/>
        <v>289.98930180180002</v>
      </c>
      <c r="L218" s="10">
        <f t="shared" si="21"/>
        <v>0.2565094717863507</v>
      </c>
      <c r="M218" s="10">
        <f t="shared" si="20"/>
        <v>0.31039108201742299</v>
      </c>
      <c r="P218" s="8">
        <f t="shared" si="25"/>
        <v>6.646145145967143</v>
      </c>
    </row>
    <row r="219" spans="1:16" x14ac:dyDescent="0.2">
      <c r="A219" s="8">
        <v>108.5</v>
      </c>
      <c r="B219" s="8">
        <v>217</v>
      </c>
      <c r="D219">
        <v>1274.7043918919001</v>
      </c>
      <c r="E219">
        <v>405.91610360359999</v>
      </c>
      <c r="F219">
        <v>155.52477477478001</v>
      </c>
      <c r="G219">
        <v>120.23310810811</v>
      </c>
      <c r="I219" s="9">
        <f t="shared" si="22"/>
        <v>285.68299549548999</v>
      </c>
      <c r="J219" s="9">
        <f t="shared" si="23"/>
        <v>1119.17961711712</v>
      </c>
      <c r="K219" s="9">
        <f t="shared" si="24"/>
        <v>285.68299549548999</v>
      </c>
      <c r="L219" s="10">
        <f t="shared" si="21"/>
        <v>0.25526107795938696</v>
      </c>
      <c r="M219" s="10">
        <f t="shared" si="20"/>
        <v>0.30939214008967719</v>
      </c>
      <c r="P219" s="8">
        <f t="shared" si="25"/>
        <v>6.3029223151875176</v>
      </c>
    </row>
    <row r="220" spans="1:16" x14ac:dyDescent="0.2">
      <c r="A220" s="8">
        <v>109</v>
      </c>
      <c r="B220" s="8">
        <v>218</v>
      </c>
      <c r="D220">
        <v>1282.3802259887</v>
      </c>
      <c r="E220">
        <v>407.70621468926998</v>
      </c>
      <c r="F220">
        <v>155.29448198198</v>
      </c>
      <c r="G220">
        <v>120.44200450451</v>
      </c>
      <c r="I220" s="9">
        <f t="shared" si="22"/>
        <v>287.26421018475997</v>
      </c>
      <c r="J220" s="9">
        <f t="shared" si="23"/>
        <v>1127.08574400672</v>
      </c>
      <c r="K220" s="9">
        <f t="shared" si="24"/>
        <v>287.26421018475997</v>
      </c>
      <c r="L220" s="10">
        <f t="shared" si="21"/>
        <v>0.25487343062609724</v>
      </c>
      <c r="M220" s="10">
        <f t="shared" si="20"/>
        <v>0.30925394465560541</v>
      </c>
      <c r="P220" s="8">
        <f t="shared" si="25"/>
        <v>6.2554402476463435</v>
      </c>
    </row>
    <row r="221" spans="1:16" x14ac:dyDescent="0.2">
      <c r="A221" s="8">
        <v>109.5</v>
      </c>
      <c r="B221" s="8">
        <v>219</v>
      </c>
      <c r="D221">
        <v>1272.7047511312001</v>
      </c>
      <c r="E221">
        <v>404.1628959276</v>
      </c>
      <c r="F221">
        <v>154.84009009009</v>
      </c>
      <c r="G221">
        <v>120</v>
      </c>
      <c r="I221" s="9">
        <f t="shared" si="22"/>
        <v>284.1628959276</v>
      </c>
      <c r="J221" s="9">
        <f t="shared" si="23"/>
        <v>1117.8646610411101</v>
      </c>
      <c r="K221" s="9">
        <f t="shared" si="24"/>
        <v>284.1628959276</v>
      </c>
      <c r="L221" s="10">
        <f t="shared" si="21"/>
        <v>0.25420151994334289</v>
      </c>
      <c r="M221" s="10">
        <f t="shared" si="20"/>
        <v>0.30883148587206899</v>
      </c>
      <c r="P221" s="8">
        <f t="shared" si="25"/>
        <v>6.1102891677429438</v>
      </c>
    </row>
    <row r="222" spans="1:16" x14ac:dyDescent="0.2">
      <c r="A222" s="8">
        <v>110</v>
      </c>
      <c r="B222" s="8">
        <v>220</v>
      </c>
      <c r="D222">
        <v>1289.5397183099001</v>
      </c>
      <c r="E222">
        <v>401.47830985915999</v>
      </c>
      <c r="F222">
        <v>155.09853603604</v>
      </c>
      <c r="G222">
        <v>120.11486486487</v>
      </c>
      <c r="I222" s="9">
        <f t="shared" si="22"/>
        <v>281.36344499428998</v>
      </c>
      <c r="J222" s="9">
        <f t="shared" si="23"/>
        <v>1134.44118227386</v>
      </c>
      <c r="K222" s="9">
        <f t="shared" si="24"/>
        <v>281.36344499428998</v>
      </c>
      <c r="L222" s="10">
        <f t="shared" si="21"/>
        <v>0.24801942083090509</v>
      </c>
      <c r="M222" s="10">
        <f t="shared" si="20"/>
        <v>0.30289883865884909</v>
      </c>
      <c r="P222" s="8">
        <f t="shared" si="25"/>
        <v>4.071912447353303</v>
      </c>
    </row>
    <row r="223" spans="1:16" x14ac:dyDescent="0.2">
      <c r="A223" s="8">
        <v>110.5</v>
      </c>
      <c r="B223" s="8">
        <v>221</v>
      </c>
      <c r="D223">
        <v>1284.7729577465</v>
      </c>
      <c r="E223">
        <v>398.17070422534999</v>
      </c>
      <c r="F223">
        <v>154.67229729729999</v>
      </c>
      <c r="G223">
        <v>120.21002252252001</v>
      </c>
      <c r="I223" s="9">
        <f t="shared" si="22"/>
        <v>277.96068170283002</v>
      </c>
      <c r="J223" s="9">
        <f t="shared" si="23"/>
        <v>1130.1006604491999</v>
      </c>
      <c r="K223" s="9">
        <f t="shared" si="24"/>
        <v>277.96068170283002</v>
      </c>
      <c r="L223" s="10">
        <f t="shared" si="21"/>
        <v>0.24596099394574669</v>
      </c>
      <c r="M223" s="10">
        <f t="shared" si="20"/>
        <v>0.30108986367290863</v>
      </c>
      <c r="P223" s="8">
        <f t="shared" si="25"/>
        <v>3.4503732985410278</v>
      </c>
    </row>
    <row r="224" spans="1:16" x14ac:dyDescent="0.2">
      <c r="A224" s="8">
        <v>111</v>
      </c>
      <c r="B224" s="8">
        <v>222</v>
      </c>
      <c r="D224">
        <v>1285.5222535211001</v>
      </c>
      <c r="E224">
        <v>401.64450704224998</v>
      </c>
      <c r="F224">
        <v>155.03716216216</v>
      </c>
      <c r="G224">
        <v>119.97522522523001</v>
      </c>
      <c r="I224" s="9">
        <f t="shared" si="22"/>
        <v>281.66928181701996</v>
      </c>
      <c r="J224" s="9">
        <f t="shared" si="23"/>
        <v>1130.4850913589401</v>
      </c>
      <c r="K224" s="9">
        <f t="shared" si="24"/>
        <v>281.66928181701996</v>
      </c>
      <c r="L224" s="10">
        <f t="shared" si="21"/>
        <v>0.2491578915723951</v>
      </c>
      <c r="M224" s="10">
        <f t="shared" si="20"/>
        <v>0.30453621319877494</v>
      </c>
      <c r="P224" s="8">
        <f t="shared" si="25"/>
        <v>4.634492021831675</v>
      </c>
    </row>
    <row r="225" spans="1:16" x14ac:dyDescent="0.2">
      <c r="A225" s="8">
        <v>111.5</v>
      </c>
      <c r="B225" s="8">
        <v>223</v>
      </c>
      <c r="D225">
        <v>1247.2732394366001</v>
      </c>
      <c r="E225">
        <v>393.15098591549003</v>
      </c>
      <c r="F225">
        <v>154.73986486486999</v>
      </c>
      <c r="G225">
        <v>120.12162162161999</v>
      </c>
      <c r="I225" s="9">
        <f t="shared" si="22"/>
        <v>273.02936429387</v>
      </c>
      <c r="J225" s="9">
        <f t="shared" si="23"/>
        <v>1092.5333745717301</v>
      </c>
      <c r="K225" s="9">
        <f t="shared" si="24"/>
        <v>273.02936429387</v>
      </c>
      <c r="L225" s="10">
        <f t="shared" si="21"/>
        <v>0.2499048273018632</v>
      </c>
      <c r="M225" s="10">
        <f t="shared" si="20"/>
        <v>0.30553260082746098</v>
      </c>
      <c r="P225" s="8">
        <f t="shared" si="25"/>
        <v>4.976837230269501</v>
      </c>
    </row>
    <row r="226" spans="1:16" x14ac:dyDescent="0.2">
      <c r="A226" s="8">
        <v>112</v>
      </c>
      <c r="B226" s="8">
        <v>224</v>
      </c>
      <c r="D226">
        <v>1253.5543661971999</v>
      </c>
      <c r="E226">
        <v>396.78760563380001</v>
      </c>
      <c r="F226">
        <v>154.84515765766</v>
      </c>
      <c r="G226">
        <v>119.82995495496</v>
      </c>
      <c r="I226" s="9">
        <f t="shared" si="22"/>
        <v>276.95765067884003</v>
      </c>
      <c r="J226" s="9">
        <f t="shared" si="23"/>
        <v>1098.70920853954</v>
      </c>
      <c r="K226" s="9">
        <f t="shared" si="24"/>
        <v>276.95765067884003</v>
      </c>
      <c r="L226" s="10">
        <f t="shared" si="21"/>
        <v>0.25207547959572141</v>
      </c>
      <c r="M226" s="10">
        <f t="shared" si="20"/>
        <v>0.30795270502053712</v>
      </c>
      <c r="P226" s="8">
        <f t="shared" si="25"/>
        <v>5.808352044953109</v>
      </c>
    </row>
    <row r="227" spans="1:16" x14ac:dyDescent="0.2">
      <c r="A227" s="8">
        <v>112.5</v>
      </c>
      <c r="B227" s="8">
        <v>225</v>
      </c>
      <c r="D227">
        <v>1263.2930258718</v>
      </c>
      <c r="E227">
        <v>397.57592800899999</v>
      </c>
      <c r="F227">
        <v>154.89752252252001</v>
      </c>
      <c r="G227">
        <v>120.28265765766</v>
      </c>
      <c r="I227" s="9">
        <f t="shared" si="22"/>
        <v>277.29327035133997</v>
      </c>
      <c r="J227" s="9">
        <f t="shared" si="23"/>
        <v>1108.39550334928</v>
      </c>
      <c r="K227" s="9">
        <f t="shared" si="24"/>
        <v>277.29327035133997</v>
      </c>
      <c r="L227" s="10">
        <f t="shared" si="21"/>
        <v>0.2501753837086424</v>
      </c>
      <c r="M227" s="10">
        <f t="shared" si="20"/>
        <v>0.30630206103267604</v>
      </c>
      <c r="P227" s="8">
        <f t="shared" si="25"/>
        <v>5.2412132690269724</v>
      </c>
    </row>
    <row r="228" spans="1:16" x14ac:dyDescent="0.2">
      <c r="A228" s="8">
        <v>113</v>
      </c>
      <c r="B228" s="8">
        <v>226</v>
      </c>
      <c r="D228">
        <v>1261.1088550479001</v>
      </c>
      <c r="E228">
        <v>392.84545967286999</v>
      </c>
      <c r="F228">
        <v>154.84909909909999</v>
      </c>
      <c r="G228">
        <v>119.90990990991</v>
      </c>
      <c r="I228" s="9">
        <f t="shared" si="22"/>
        <v>272.93554976296002</v>
      </c>
      <c r="J228" s="9">
        <f t="shared" si="23"/>
        <v>1106.2597559488001</v>
      </c>
      <c r="K228" s="9">
        <f t="shared" si="24"/>
        <v>272.93554976296002</v>
      </c>
      <c r="L228" s="10">
        <f t="shared" si="21"/>
        <v>0.24671922511442421</v>
      </c>
      <c r="M228" s="10">
        <f t="shared" si="20"/>
        <v>0.30309535433767576</v>
      </c>
      <c r="P228" s="8">
        <f t="shared" si="25"/>
        <v>4.1394325560864234</v>
      </c>
    </row>
    <row r="229" spans="1:16" x14ac:dyDescent="0.2">
      <c r="A229" s="8">
        <v>113.5</v>
      </c>
      <c r="B229" s="8">
        <v>227</v>
      </c>
      <c r="D229">
        <v>1239.9323181049001</v>
      </c>
      <c r="E229">
        <v>394.11449520587001</v>
      </c>
      <c r="F229">
        <v>155.22409909909999</v>
      </c>
      <c r="G229">
        <v>119.56475225225</v>
      </c>
      <c r="I229" s="9">
        <f t="shared" si="22"/>
        <v>274.54974295362001</v>
      </c>
      <c r="J229" s="9">
        <f t="shared" si="23"/>
        <v>1084.7082190058002</v>
      </c>
      <c r="K229" s="9">
        <f t="shared" si="24"/>
        <v>274.54974295362001</v>
      </c>
      <c r="L229" s="10">
        <f t="shared" si="21"/>
        <v>0.25310930455128405</v>
      </c>
      <c r="M229" s="10">
        <f t="shared" si="20"/>
        <v>0.30973488567375351</v>
      </c>
      <c r="P229" s="8">
        <f t="shared" si="25"/>
        <v>6.4206850262485613</v>
      </c>
    </row>
    <row r="230" spans="1:16" x14ac:dyDescent="0.2">
      <c r="A230" s="8">
        <v>114</v>
      </c>
      <c r="B230" s="8">
        <v>228</v>
      </c>
      <c r="D230">
        <v>1240.8663282571999</v>
      </c>
      <c r="E230">
        <v>397.67174280879999</v>
      </c>
      <c r="F230">
        <v>155.02139639640001</v>
      </c>
      <c r="G230">
        <v>120.14752252252001</v>
      </c>
      <c r="I230" s="9">
        <f t="shared" si="22"/>
        <v>277.52422028627996</v>
      </c>
      <c r="J230" s="9">
        <f t="shared" si="23"/>
        <v>1085.8449318608</v>
      </c>
      <c r="K230" s="9">
        <f t="shared" si="24"/>
        <v>277.52422028627996</v>
      </c>
      <c r="L230" s="10">
        <f t="shared" si="21"/>
        <v>0.25558365853463982</v>
      </c>
      <c r="M230" s="10">
        <f t="shared" si="20"/>
        <v>0.31245869155632722</v>
      </c>
      <c r="P230" s="8">
        <f t="shared" si="25"/>
        <v>7.3565476019848353</v>
      </c>
    </row>
    <row r="231" spans="1:16" x14ac:dyDescent="0.2">
      <c r="A231" s="8">
        <v>114.5</v>
      </c>
      <c r="B231" s="8">
        <v>229</v>
      </c>
      <c r="D231">
        <v>1257.3818386915</v>
      </c>
      <c r="E231">
        <v>399.22673434856</v>
      </c>
      <c r="F231">
        <v>154.94313063063001</v>
      </c>
      <c r="G231">
        <v>120.18355855855999</v>
      </c>
      <c r="I231" s="9">
        <f t="shared" si="22"/>
        <v>279.04317579000002</v>
      </c>
      <c r="J231" s="9">
        <f t="shared" si="23"/>
        <v>1102.4387080608699</v>
      </c>
      <c r="K231" s="9">
        <f t="shared" si="24"/>
        <v>279.04317579000002</v>
      </c>
      <c r="L231" s="10">
        <f t="shared" si="21"/>
        <v>0.25311445774688179</v>
      </c>
      <c r="M231" s="10">
        <f t="shared" si="20"/>
        <v>0.31023894266778712</v>
      </c>
      <c r="P231" s="8">
        <f t="shared" si="25"/>
        <v>6.5938721390939312</v>
      </c>
    </row>
    <row r="232" spans="1:16" x14ac:dyDescent="0.2">
      <c r="A232" s="8">
        <v>115</v>
      </c>
      <c r="B232" s="8">
        <v>230</v>
      </c>
      <c r="D232">
        <v>1252.2577727529999</v>
      </c>
      <c r="E232">
        <v>396.77444884114999</v>
      </c>
      <c r="F232">
        <v>155.01689189189</v>
      </c>
      <c r="G232">
        <v>119.79166666667</v>
      </c>
      <c r="I232" s="9">
        <f t="shared" si="22"/>
        <v>276.98278217448001</v>
      </c>
      <c r="J232" s="9">
        <f t="shared" si="23"/>
        <v>1097.2408808611099</v>
      </c>
      <c r="K232" s="9">
        <f t="shared" si="24"/>
        <v>276.98278217448001</v>
      </c>
      <c r="L232" s="10">
        <f t="shared" si="21"/>
        <v>0.25243571125157599</v>
      </c>
      <c r="M232" s="10">
        <f t="shared" si="20"/>
        <v>0.30980964807169925</v>
      </c>
      <c r="P232" s="8">
        <f t="shared" si="25"/>
        <v>6.446372367170083</v>
      </c>
    </row>
    <row r="233" spans="1:16" x14ac:dyDescent="0.2">
      <c r="A233" s="8">
        <v>115.5</v>
      </c>
      <c r="B233" s="8">
        <v>231</v>
      </c>
      <c r="D233">
        <v>1271.2345609065001</v>
      </c>
      <c r="E233">
        <v>397.27308781869999</v>
      </c>
      <c r="F233">
        <v>154.90709459460001</v>
      </c>
      <c r="G233">
        <v>119.74718468469</v>
      </c>
      <c r="I233" s="9">
        <f t="shared" si="22"/>
        <v>277.52590313400998</v>
      </c>
      <c r="J233" s="9">
        <f t="shared" si="23"/>
        <v>1116.3274663119</v>
      </c>
      <c r="K233" s="9">
        <f t="shared" si="24"/>
        <v>277.52590313400998</v>
      </c>
      <c r="L233" s="10">
        <f t="shared" si="21"/>
        <v>0.24860617651099673</v>
      </c>
      <c r="M233" s="10">
        <f t="shared" si="20"/>
        <v>0.30622956523033795</v>
      </c>
      <c r="P233" s="8">
        <f t="shared" si="25"/>
        <v>5.2163046994625049</v>
      </c>
    </row>
    <row r="234" spans="1:16" x14ac:dyDescent="0.2">
      <c r="A234" s="8">
        <v>116</v>
      </c>
      <c r="B234" s="8">
        <v>232</v>
      </c>
      <c r="D234">
        <v>1284.7127478754001</v>
      </c>
      <c r="E234">
        <v>414.92521246459</v>
      </c>
      <c r="F234">
        <v>155.01745495495999</v>
      </c>
      <c r="G234">
        <v>120.06024774775</v>
      </c>
      <c r="I234" s="9">
        <f t="shared" si="22"/>
        <v>294.86496471684001</v>
      </c>
      <c r="J234" s="9">
        <f t="shared" si="23"/>
        <v>1129.6952929204401</v>
      </c>
      <c r="K234" s="9">
        <f t="shared" si="24"/>
        <v>294.86496471684001</v>
      </c>
      <c r="L234" s="10">
        <f t="shared" si="21"/>
        <v>0.26101282935734615</v>
      </c>
      <c r="M234" s="10">
        <f t="shared" si="20"/>
        <v>0.31888566997590528</v>
      </c>
      <c r="P234" s="8">
        <f t="shared" si="25"/>
        <v>9.5647697871371999</v>
      </c>
    </row>
    <row r="235" spans="1:16" x14ac:dyDescent="0.2">
      <c r="A235" s="8">
        <v>116.5</v>
      </c>
      <c r="B235" s="8">
        <v>233</v>
      </c>
      <c r="D235">
        <v>1274.1977337111</v>
      </c>
      <c r="E235">
        <v>405.90991501415999</v>
      </c>
      <c r="F235">
        <v>154.85698198198</v>
      </c>
      <c r="G235">
        <v>120.14189189189</v>
      </c>
      <c r="I235" s="9">
        <f t="shared" si="22"/>
        <v>285.76802312226999</v>
      </c>
      <c r="J235" s="9">
        <f t="shared" si="23"/>
        <v>1119.34075172912</v>
      </c>
      <c r="K235" s="9">
        <f t="shared" si="24"/>
        <v>285.76802312226999</v>
      </c>
      <c r="L235" s="10">
        <f t="shared" si="21"/>
        <v>0.25530029410688848</v>
      </c>
      <c r="M235" s="10">
        <f t="shared" si="20"/>
        <v>0.31342258662466554</v>
      </c>
      <c r="P235" s="8">
        <f t="shared" si="25"/>
        <v>7.6877288095612855</v>
      </c>
    </row>
    <row r="236" spans="1:16" x14ac:dyDescent="0.2">
      <c r="A236" s="8">
        <v>117</v>
      </c>
      <c r="B236" s="8">
        <v>234</v>
      </c>
      <c r="D236">
        <v>1258.4736543909</v>
      </c>
      <c r="E236">
        <v>398.52974504248999</v>
      </c>
      <c r="F236">
        <v>154.38175675676001</v>
      </c>
      <c r="G236">
        <v>119.75225225225</v>
      </c>
      <c r="I236" s="9">
        <f t="shared" si="22"/>
        <v>278.77749279023999</v>
      </c>
      <c r="J236" s="9">
        <f t="shared" si="23"/>
        <v>1104.09189763414</v>
      </c>
      <c r="K236" s="9">
        <f t="shared" si="24"/>
        <v>278.77749279023999</v>
      </c>
      <c r="L236" s="10">
        <f t="shared" si="21"/>
        <v>0.25249482709510629</v>
      </c>
      <c r="M236" s="10">
        <f t="shared" si="20"/>
        <v>0.31086657151210129</v>
      </c>
      <c r="P236" s="8">
        <f t="shared" si="25"/>
        <v>6.809516855409484</v>
      </c>
    </row>
    <row r="237" spans="1:16" x14ac:dyDescent="0.2">
      <c r="A237" s="8">
        <v>117.5</v>
      </c>
      <c r="B237" s="8">
        <v>235</v>
      </c>
      <c r="D237">
        <v>1228.8243626062001</v>
      </c>
      <c r="E237">
        <v>387.63512747875001</v>
      </c>
      <c r="F237">
        <v>154.46903153152999</v>
      </c>
      <c r="G237">
        <v>119.77702702703</v>
      </c>
      <c r="I237" s="9">
        <f t="shared" si="22"/>
        <v>267.85810045172002</v>
      </c>
      <c r="J237" s="9">
        <f t="shared" si="23"/>
        <v>1074.3553310746702</v>
      </c>
      <c r="K237" s="9">
        <f t="shared" si="24"/>
        <v>267.85810045172002</v>
      </c>
      <c r="L237" s="10">
        <f t="shared" si="21"/>
        <v>0.24931984112163658</v>
      </c>
      <c r="M237" s="10">
        <f t="shared" si="20"/>
        <v>0.30794103743784951</v>
      </c>
      <c r="P237" s="8">
        <f t="shared" si="25"/>
        <v>5.804343222570977</v>
      </c>
    </row>
    <row r="238" spans="1:16" x14ac:dyDescent="0.2">
      <c r="A238" s="8">
        <v>118</v>
      </c>
      <c r="B238" s="8">
        <v>236</v>
      </c>
      <c r="D238">
        <v>1310.7495750707999</v>
      </c>
      <c r="E238">
        <v>412.02322946176002</v>
      </c>
      <c r="F238">
        <v>154.70777027027</v>
      </c>
      <c r="G238">
        <v>119.75</v>
      </c>
      <c r="I238" s="9">
        <f t="shared" si="22"/>
        <v>292.27322946176002</v>
      </c>
      <c r="J238" s="9">
        <f t="shared" si="23"/>
        <v>1156.0418048005299</v>
      </c>
      <c r="K238" s="9">
        <f t="shared" si="24"/>
        <v>292.27322946176002</v>
      </c>
      <c r="L238" s="10">
        <f t="shared" si="21"/>
        <v>0.25282237047836736</v>
      </c>
      <c r="M238" s="10">
        <f t="shared" si="20"/>
        <v>0.31169301869379817</v>
      </c>
      <c r="P238" s="8">
        <f t="shared" si="25"/>
        <v>7.0934728425527425</v>
      </c>
    </row>
    <row r="239" spans="1:16" x14ac:dyDescent="0.2">
      <c r="A239" s="8">
        <v>118.5</v>
      </c>
      <c r="B239" s="8">
        <v>237</v>
      </c>
      <c r="D239">
        <v>1312.7450424929</v>
      </c>
      <c r="E239">
        <v>408.81246458923999</v>
      </c>
      <c r="F239">
        <v>154.51295045045001</v>
      </c>
      <c r="G239">
        <v>119.72804054053999</v>
      </c>
      <c r="I239" s="9">
        <f t="shared" si="22"/>
        <v>289.08442404869999</v>
      </c>
      <c r="J239" s="9">
        <f t="shared" si="23"/>
        <v>1158.2320920424499</v>
      </c>
      <c r="K239" s="9">
        <f t="shared" si="24"/>
        <v>289.08442404869999</v>
      </c>
      <c r="L239" s="10">
        <f t="shared" si="21"/>
        <v>0.24959110184809563</v>
      </c>
      <c r="M239" s="10">
        <f t="shared" si="20"/>
        <v>0.30871120196274437</v>
      </c>
      <c r="P239" s="8">
        <f t="shared" si="25"/>
        <v>6.0689612559705397</v>
      </c>
    </row>
    <row r="240" spans="1:16" x14ac:dyDescent="0.2">
      <c r="A240" s="8">
        <v>119</v>
      </c>
      <c r="B240" s="8">
        <v>238</v>
      </c>
      <c r="D240">
        <v>1322.3909348442</v>
      </c>
      <c r="E240">
        <v>404.30311614730999</v>
      </c>
      <c r="F240">
        <v>154.44594594595</v>
      </c>
      <c r="G240">
        <v>119.70945945946001</v>
      </c>
      <c r="I240" s="9">
        <f t="shared" si="22"/>
        <v>284.59365668785</v>
      </c>
      <c r="J240" s="9">
        <f t="shared" si="23"/>
        <v>1167.9449888982501</v>
      </c>
      <c r="K240" s="9">
        <f t="shared" si="24"/>
        <v>284.59365668785</v>
      </c>
      <c r="L240" s="10">
        <f t="shared" si="21"/>
        <v>0.2436704291666287</v>
      </c>
      <c r="M240" s="10">
        <f t="shared" si="20"/>
        <v>0.30303998118049541</v>
      </c>
      <c r="P240" s="8">
        <f t="shared" si="25"/>
        <v>4.1204070940162385</v>
      </c>
    </row>
    <row r="241" spans="1:16" x14ac:dyDescent="0.2">
      <c r="A241" s="8">
        <v>119.5</v>
      </c>
      <c r="B241" s="8">
        <v>239</v>
      </c>
      <c r="D241">
        <v>1315</v>
      </c>
      <c r="E241">
        <v>398.36090651557998</v>
      </c>
      <c r="F241">
        <v>154.23873873874001</v>
      </c>
      <c r="G241">
        <v>119.89583333333</v>
      </c>
      <c r="I241" s="9">
        <f t="shared" si="22"/>
        <v>278.46507318224997</v>
      </c>
      <c r="J241" s="9">
        <f t="shared" si="23"/>
        <v>1160.76126126126</v>
      </c>
      <c r="K241" s="9">
        <f t="shared" si="24"/>
        <v>278.46507318224997</v>
      </c>
      <c r="L241" s="10">
        <f t="shared" si="21"/>
        <v>0.2398986617452028</v>
      </c>
      <c r="M241" s="10">
        <f t="shared" si="20"/>
        <v>0.29951766565828741</v>
      </c>
      <c r="P241" s="8">
        <f t="shared" si="25"/>
        <v>2.9101874898002853</v>
      </c>
    </row>
    <row r="242" spans="1:16" x14ac:dyDescent="0.2">
      <c r="A242" s="8">
        <v>120</v>
      </c>
      <c r="B242" s="8">
        <v>240</v>
      </c>
      <c r="D242">
        <v>1290.8996636771001</v>
      </c>
      <c r="E242">
        <v>390.59136771301002</v>
      </c>
      <c r="F242">
        <v>154.16554054054001</v>
      </c>
      <c r="G242">
        <v>119.53490990991</v>
      </c>
      <c r="I242" s="9">
        <f>E242-G242</f>
        <v>271.05645780309999</v>
      </c>
      <c r="J242" s="9">
        <f>D242-F242</f>
        <v>1136.7341231365601</v>
      </c>
      <c r="K242" s="9">
        <f t="shared" si="24"/>
        <v>271.05645780309999</v>
      </c>
      <c r="L242" s="10">
        <f t="shared" si="21"/>
        <v>0.2384519407714982</v>
      </c>
      <c r="M242" s="10">
        <f>L242+ABS($N$2)*A242</f>
        <v>0.29832039658380072</v>
      </c>
      <c r="O242" s="11"/>
      <c r="P242" s="8">
        <f>(M242-$O$2)/$O$2*100</f>
        <v>2.4988221546025469</v>
      </c>
    </row>
    <row r="243" spans="1:16" x14ac:dyDescent="0.2">
      <c r="A243" s="8">
        <v>120.5</v>
      </c>
      <c r="B243" s="8">
        <v>241</v>
      </c>
      <c r="D243">
        <v>1278.5756726457</v>
      </c>
      <c r="E243">
        <v>385.43161434977998</v>
      </c>
      <c r="F243">
        <v>154.35135135134999</v>
      </c>
      <c r="G243">
        <v>119.77308558559</v>
      </c>
      <c r="I243" s="9">
        <f t="shared" ref="I243:I274" si="26">E243-G243</f>
        <v>265.65852876419001</v>
      </c>
      <c r="J243" s="9">
        <f t="shared" ref="J243:J274" si="27">D243-F243</f>
        <v>1124.2243212943499</v>
      </c>
      <c r="K243" s="9">
        <f t="shared" si="24"/>
        <v>265.65852876419001</v>
      </c>
      <c r="L243" s="10">
        <f t="shared" si="21"/>
        <v>0.23630384411033747</v>
      </c>
      <c r="M243" s="10">
        <f t="shared" ref="M243:M274" si="28">L243+ABS($N$2)*A243</f>
        <v>0.29642175182185793</v>
      </c>
      <c r="P243" s="8">
        <f t="shared" ref="P243:P274" si="29">(M243-$O$2)/$O$2*100</f>
        <v>1.8464736929562959</v>
      </c>
    </row>
    <row r="244" spans="1:16" x14ac:dyDescent="0.2">
      <c r="A244" s="8">
        <v>121</v>
      </c>
      <c r="B244" s="8">
        <v>242</v>
      </c>
      <c r="D244">
        <v>1282.8593049327001</v>
      </c>
      <c r="E244">
        <v>382.67432735426001</v>
      </c>
      <c r="F244">
        <v>154.08671171171</v>
      </c>
      <c r="G244">
        <v>120.00450450451</v>
      </c>
      <c r="I244" s="9">
        <f t="shared" si="26"/>
        <v>262.66982284975001</v>
      </c>
      <c r="J244" s="9">
        <f t="shared" si="27"/>
        <v>1128.7725932209901</v>
      </c>
      <c r="K244" s="9">
        <f t="shared" si="24"/>
        <v>262.66982284975001</v>
      </c>
      <c r="L244" s="10">
        <f t="shared" si="21"/>
        <v>0.23270393383685278</v>
      </c>
      <c r="M244" s="10">
        <f t="shared" si="28"/>
        <v>0.2930712934475912</v>
      </c>
      <c r="N244" s="1"/>
      <c r="P244" s="8">
        <f t="shared" si="29"/>
        <v>0.69530186235739422</v>
      </c>
    </row>
    <row r="245" spans="1:16" x14ac:dyDescent="0.2">
      <c r="A245" s="8">
        <v>121.5</v>
      </c>
      <c r="B245" s="8">
        <v>243</v>
      </c>
      <c r="D245">
        <v>1253.5</v>
      </c>
      <c r="E245">
        <v>375.69674887892</v>
      </c>
      <c r="F245">
        <v>154.03772522522999</v>
      </c>
      <c r="G245">
        <v>119.6143018018</v>
      </c>
      <c r="I245" s="9">
        <f t="shared" si="26"/>
        <v>256.08244707712004</v>
      </c>
      <c r="J245" s="9">
        <f t="shared" si="27"/>
        <v>1099.4622747747701</v>
      </c>
      <c r="K245" s="9">
        <f t="shared" si="24"/>
        <v>256.08244707712004</v>
      </c>
      <c r="L245" s="10">
        <f t="shared" si="21"/>
        <v>0.23291608357329013</v>
      </c>
      <c r="M245" s="10">
        <f t="shared" si="28"/>
        <v>0.29353289508324648</v>
      </c>
      <c r="P245" s="8">
        <f t="shared" si="29"/>
        <v>0.85390189273116002</v>
      </c>
    </row>
    <row r="246" spans="1:16" x14ac:dyDescent="0.2">
      <c r="A246" s="8">
        <v>122</v>
      </c>
      <c r="B246" s="8">
        <v>244</v>
      </c>
      <c r="D246">
        <v>1266.1165919283001</v>
      </c>
      <c r="E246">
        <v>376.06109865471001</v>
      </c>
      <c r="F246">
        <v>153.82601351350999</v>
      </c>
      <c r="G246">
        <v>119.27927927928</v>
      </c>
      <c r="I246" s="9">
        <f t="shared" si="26"/>
        <v>256.78181937543002</v>
      </c>
      <c r="J246" s="9">
        <f t="shared" si="27"/>
        <v>1112.2905784147902</v>
      </c>
      <c r="K246" s="9">
        <f t="shared" si="24"/>
        <v>256.78181937543002</v>
      </c>
      <c r="L246" s="10">
        <f t="shared" si="21"/>
        <v>0.23085857630960904</v>
      </c>
      <c r="M246" s="10">
        <f t="shared" si="28"/>
        <v>0.29172483971878327</v>
      </c>
      <c r="P246" s="8">
        <f t="shared" si="29"/>
        <v>0.23267871332401219</v>
      </c>
    </row>
    <row r="247" spans="1:16" x14ac:dyDescent="0.2">
      <c r="A247" s="8">
        <v>122.5</v>
      </c>
      <c r="B247" s="8">
        <v>245</v>
      </c>
      <c r="D247">
        <v>1252.3357623318</v>
      </c>
      <c r="E247">
        <v>373.70908071749</v>
      </c>
      <c r="F247">
        <v>154.41891891892001</v>
      </c>
      <c r="G247">
        <v>119.70608108108</v>
      </c>
      <c r="I247" s="9">
        <f t="shared" si="26"/>
        <v>254.00299963640998</v>
      </c>
      <c r="J247" s="9">
        <f t="shared" si="27"/>
        <v>1097.9168434128799</v>
      </c>
      <c r="K247" s="9">
        <f t="shared" si="24"/>
        <v>254.00299963640998</v>
      </c>
      <c r="L247" s="10">
        <f t="shared" si="21"/>
        <v>0.23134994345003435</v>
      </c>
      <c r="M247" s="10">
        <f t="shared" si="28"/>
        <v>0.29246565875842651</v>
      </c>
      <c r="P247" s="8">
        <f t="shared" si="29"/>
        <v>0.48721403797052981</v>
      </c>
    </row>
    <row r="248" spans="1:16" x14ac:dyDescent="0.2">
      <c r="A248" s="8">
        <v>123</v>
      </c>
      <c r="B248" s="8">
        <v>246</v>
      </c>
      <c r="D248">
        <v>1255.5269058296001</v>
      </c>
      <c r="E248">
        <v>371.12219730942002</v>
      </c>
      <c r="F248">
        <v>154.44932432432</v>
      </c>
      <c r="G248">
        <v>119.33614864865</v>
      </c>
      <c r="I248" s="9">
        <f t="shared" si="26"/>
        <v>251.78604866077001</v>
      </c>
      <c r="J248" s="9">
        <f t="shared" si="27"/>
        <v>1101.07758150528</v>
      </c>
      <c r="K248" s="9">
        <f t="shared" si="24"/>
        <v>251.78604866077001</v>
      </c>
      <c r="L248" s="10">
        <f t="shared" si="21"/>
        <v>0.22867239592377681</v>
      </c>
      <c r="M248" s="10">
        <f t="shared" si="28"/>
        <v>0.2900375631313869</v>
      </c>
      <c r="P248" s="8">
        <f t="shared" si="29"/>
        <v>-0.34704652449955625</v>
      </c>
    </row>
    <row r="249" spans="1:16" x14ac:dyDescent="0.2">
      <c r="A249" s="8">
        <v>123.5</v>
      </c>
      <c r="B249" s="8">
        <v>247</v>
      </c>
      <c r="D249">
        <v>1266.8817264574</v>
      </c>
      <c r="E249">
        <v>374.10145739910001</v>
      </c>
      <c r="F249">
        <v>154.15653153152999</v>
      </c>
      <c r="G249">
        <v>119.68186936937001</v>
      </c>
      <c r="I249" s="9">
        <f t="shared" si="26"/>
        <v>254.41958802972999</v>
      </c>
      <c r="J249" s="9">
        <f t="shared" si="27"/>
        <v>1112.72519492587</v>
      </c>
      <c r="K249" s="9">
        <f t="shared" si="24"/>
        <v>254.41958802972999</v>
      </c>
      <c r="L249" s="10">
        <f t="shared" si="21"/>
        <v>0.22864548155277412</v>
      </c>
      <c r="M249" s="10">
        <f t="shared" si="28"/>
        <v>0.29026010065960217</v>
      </c>
      <c r="P249" s="8">
        <f t="shared" si="29"/>
        <v>-0.27058566299471937</v>
      </c>
    </row>
    <row r="250" spans="1:16" x14ac:dyDescent="0.2">
      <c r="A250" s="8">
        <v>124</v>
      </c>
      <c r="B250" s="8">
        <v>248</v>
      </c>
      <c r="D250">
        <v>1251.3110986546999</v>
      </c>
      <c r="E250">
        <v>370.03419282510998</v>
      </c>
      <c r="F250">
        <v>154.06925675676001</v>
      </c>
      <c r="G250">
        <v>119.90653153153001</v>
      </c>
      <c r="I250" s="9">
        <f t="shared" si="26"/>
        <v>250.12766129357999</v>
      </c>
      <c r="J250" s="9">
        <f t="shared" si="27"/>
        <v>1097.2418418979398</v>
      </c>
      <c r="K250" s="9">
        <f t="shared" si="24"/>
        <v>250.12766129357999</v>
      </c>
      <c r="L250" s="10">
        <f t="shared" si="21"/>
        <v>0.22796037458881893</v>
      </c>
      <c r="M250" s="10">
        <f t="shared" si="28"/>
        <v>0.28982444559486487</v>
      </c>
      <c r="P250" s="8">
        <f t="shared" si="29"/>
        <v>-0.42027080525322819</v>
      </c>
    </row>
    <row r="251" spans="1:16" x14ac:dyDescent="0.2">
      <c r="A251" s="8">
        <v>124.5</v>
      </c>
      <c r="B251" s="8">
        <v>249</v>
      </c>
      <c r="D251">
        <v>1270.3609865471001</v>
      </c>
      <c r="E251">
        <v>372.08464125560999</v>
      </c>
      <c r="F251">
        <v>153.90540540540999</v>
      </c>
      <c r="G251">
        <v>119.4481981982</v>
      </c>
      <c r="I251" s="9">
        <f t="shared" si="26"/>
        <v>252.63644305740999</v>
      </c>
      <c r="J251" s="9">
        <f t="shared" si="27"/>
        <v>1116.4555811416901</v>
      </c>
      <c r="K251" s="9">
        <f t="shared" si="24"/>
        <v>252.63644305740999</v>
      </c>
      <c r="L251" s="10">
        <f t="shared" si="21"/>
        <v>0.22628436574168348</v>
      </c>
      <c r="M251" s="10">
        <f t="shared" si="28"/>
        <v>0.28839788864694738</v>
      </c>
      <c r="P251" s="8">
        <f t="shared" si="29"/>
        <v>-0.91041632856454779</v>
      </c>
    </row>
    <row r="252" spans="1:16" x14ac:dyDescent="0.2">
      <c r="A252" s="8">
        <v>125</v>
      </c>
      <c r="B252" s="8">
        <v>250</v>
      </c>
      <c r="D252">
        <v>1276.8352017937</v>
      </c>
      <c r="E252">
        <v>374.66984304932998</v>
      </c>
      <c r="F252">
        <v>154.13907657658001</v>
      </c>
      <c r="G252">
        <v>119.16385135135</v>
      </c>
      <c r="I252" s="9">
        <f t="shared" si="26"/>
        <v>255.50599169797999</v>
      </c>
      <c r="J252" s="9">
        <f t="shared" si="27"/>
        <v>1122.69612521712</v>
      </c>
      <c r="K252" s="9">
        <f t="shared" si="24"/>
        <v>255.50599169797999</v>
      </c>
      <c r="L252" s="10">
        <f t="shared" si="21"/>
        <v>0.2275825006954284</v>
      </c>
      <c r="M252" s="10">
        <f t="shared" si="28"/>
        <v>0.28994547549991023</v>
      </c>
      <c r="P252" s="8">
        <f t="shared" si="29"/>
        <v>-0.3786865795191065</v>
      </c>
    </row>
    <row r="253" spans="1:16" x14ac:dyDescent="0.2">
      <c r="A253" s="8">
        <v>125.5</v>
      </c>
      <c r="B253" s="8">
        <v>251</v>
      </c>
      <c r="D253">
        <v>1277.4927130045</v>
      </c>
      <c r="E253">
        <v>374.67040358743998</v>
      </c>
      <c r="F253">
        <v>154.22804054054001</v>
      </c>
      <c r="G253">
        <v>119.28997747747999</v>
      </c>
      <c r="I253" s="9">
        <f t="shared" si="26"/>
        <v>255.38042610995998</v>
      </c>
      <c r="J253" s="9">
        <f t="shared" si="27"/>
        <v>1123.2646724639601</v>
      </c>
      <c r="K253" s="9">
        <f t="shared" si="24"/>
        <v>255.38042610995998</v>
      </c>
      <c r="L253" s="10">
        <f t="shared" si="21"/>
        <v>0.22735552214044535</v>
      </c>
      <c r="M253" s="10">
        <f t="shared" si="28"/>
        <v>0.28996794884414512</v>
      </c>
      <c r="P253" s="8">
        <f t="shared" si="29"/>
        <v>-0.37096504475202713</v>
      </c>
    </row>
    <row r="254" spans="1:16" x14ac:dyDescent="0.2">
      <c r="A254" s="8">
        <v>126</v>
      </c>
      <c r="B254" s="8">
        <v>252</v>
      </c>
      <c r="D254">
        <v>1269.7976457399</v>
      </c>
      <c r="E254">
        <v>371.21132286995999</v>
      </c>
      <c r="F254">
        <v>153.96227477478001</v>
      </c>
      <c r="G254">
        <v>119.43299549549999</v>
      </c>
      <c r="I254" s="9">
        <f t="shared" si="26"/>
        <v>251.77832737445999</v>
      </c>
      <c r="J254" s="9">
        <f t="shared" si="27"/>
        <v>1115.8353709651199</v>
      </c>
      <c r="K254" s="9">
        <f t="shared" si="24"/>
        <v>251.77832737445999</v>
      </c>
      <c r="L254" s="10">
        <f t="shared" si="21"/>
        <v>0.22564110613977872</v>
      </c>
      <c r="M254" s="10">
        <f t="shared" si="28"/>
        <v>0.28850298474269642</v>
      </c>
      <c r="P254" s="8">
        <f t="shared" si="29"/>
        <v>-0.87430674252657603</v>
      </c>
    </row>
    <row r="255" spans="1:16" x14ac:dyDescent="0.2">
      <c r="A255" s="8">
        <v>126.5</v>
      </c>
      <c r="B255" s="8">
        <v>253</v>
      </c>
      <c r="D255">
        <v>1283.4758968609999</v>
      </c>
      <c r="E255">
        <v>374.875</v>
      </c>
      <c r="F255">
        <v>154.18918918918999</v>
      </c>
      <c r="G255">
        <v>119.43581081081</v>
      </c>
      <c r="I255" s="9">
        <f t="shared" si="26"/>
        <v>255.43918918919002</v>
      </c>
      <c r="J255" s="9">
        <f t="shared" si="27"/>
        <v>1129.2867076718098</v>
      </c>
      <c r="K255" s="9">
        <f t="shared" si="24"/>
        <v>255.43918918919002</v>
      </c>
      <c r="L255" s="10">
        <f t="shared" si="21"/>
        <v>0.22619516147127541</v>
      </c>
      <c r="M255" s="10">
        <f t="shared" si="28"/>
        <v>0.28930649197341102</v>
      </c>
      <c r="P255" s="8">
        <f t="shared" si="29"/>
        <v>-0.59823260986894777</v>
      </c>
    </row>
    <row r="256" spans="1:16" x14ac:dyDescent="0.2">
      <c r="A256" s="8">
        <v>127</v>
      </c>
      <c r="B256" s="8">
        <v>254</v>
      </c>
      <c r="D256">
        <v>1308.0717488789001</v>
      </c>
      <c r="E256">
        <v>379.22869955157</v>
      </c>
      <c r="F256">
        <v>153.52308558559</v>
      </c>
      <c r="G256">
        <v>119.53096846846999</v>
      </c>
      <c r="I256" s="9">
        <f t="shared" si="26"/>
        <v>259.6977310831</v>
      </c>
      <c r="J256" s="9">
        <f t="shared" si="27"/>
        <v>1154.54866329331</v>
      </c>
      <c r="K256" s="9">
        <f t="shared" si="24"/>
        <v>259.6977310831</v>
      </c>
      <c r="L256" s="10">
        <f t="shared" si="21"/>
        <v>0.22493441752582452</v>
      </c>
      <c r="M256" s="10">
        <f t="shared" si="28"/>
        <v>0.28829519992717806</v>
      </c>
      <c r="P256" s="8">
        <f t="shared" si="29"/>
        <v>-0.94569877302845617</v>
      </c>
    </row>
    <row r="257" spans="1:16" x14ac:dyDescent="0.2">
      <c r="A257" s="8">
        <v>127.5</v>
      </c>
      <c r="B257" s="8">
        <v>255</v>
      </c>
      <c r="D257">
        <v>1328.1625421822</v>
      </c>
      <c r="E257">
        <v>381.78852643419998</v>
      </c>
      <c r="F257">
        <v>153.43862612613</v>
      </c>
      <c r="G257">
        <v>119.40259009009</v>
      </c>
      <c r="I257" s="9">
        <f t="shared" si="26"/>
        <v>262.38593634410995</v>
      </c>
      <c r="J257" s="9">
        <f t="shared" si="27"/>
        <v>1174.72391605607</v>
      </c>
      <c r="K257" s="9">
        <f t="shared" si="24"/>
        <v>262.38593634410995</v>
      </c>
      <c r="L257" s="10">
        <f t="shared" si="21"/>
        <v>0.22335966158331466</v>
      </c>
      <c r="M257" s="10">
        <f t="shared" si="28"/>
        <v>0.28696989588388611</v>
      </c>
      <c r="P257" s="8">
        <f t="shared" si="29"/>
        <v>-1.4010551783890877</v>
      </c>
    </row>
    <row r="258" spans="1:16" x14ac:dyDescent="0.2">
      <c r="A258" s="8">
        <v>128</v>
      </c>
      <c r="B258" s="8">
        <v>256</v>
      </c>
      <c r="D258">
        <v>1340.7097862767</v>
      </c>
      <c r="E258">
        <v>384.24071991001</v>
      </c>
      <c r="F258">
        <v>153.79617117116999</v>
      </c>
      <c r="G258">
        <v>119.26576576577</v>
      </c>
      <c r="I258" s="9">
        <f t="shared" si="26"/>
        <v>264.97495414423997</v>
      </c>
      <c r="J258" s="9">
        <f t="shared" si="27"/>
        <v>1186.91361510553</v>
      </c>
      <c r="K258" s="9">
        <f t="shared" si="24"/>
        <v>264.97495414423997</v>
      </c>
      <c r="L258" s="10">
        <f t="shared" ref="L258:L321" si="30">K258/J258</f>
        <v>0.22324704238958512</v>
      </c>
      <c r="M258" s="10">
        <f t="shared" si="28"/>
        <v>0.28710672858937447</v>
      </c>
      <c r="P258" s="8">
        <f t="shared" si="29"/>
        <v>-1.3540413258151645</v>
      </c>
    </row>
    <row r="259" spans="1:16" x14ac:dyDescent="0.2">
      <c r="A259" s="8">
        <v>128.5</v>
      </c>
      <c r="B259" s="8">
        <v>257</v>
      </c>
      <c r="D259">
        <v>1346.1062992126001</v>
      </c>
      <c r="E259">
        <v>383.41057367829001</v>
      </c>
      <c r="F259">
        <v>153.83051801802</v>
      </c>
      <c r="G259">
        <v>119.63795045045001</v>
      </c>
      <c r="I259" s="9">
        <f t="shared" si="26"/>
        <v>263.77262322783997</v>
      </c>
      <c r="J259" s="9">
        <f t="shared" si="27"/>
        <v>1192.2757811945801</v>
      </c>
      <c r="K259" s="9">
        <f t="shared" ref="K259:K322" si="31">I259*1</f>
        <v>263.77262322783997</v>
      </c>
      <c r="L259" s="10">
        <f t="shared" si="30"/>
        <v>0.22123457289684906</v>
      </c>
      <c r="M259" s="10">
        <f t="shared" si="28"/>
        <v>0.28534371099585637</v>
      </c>
      <c r="P259" s="8">
        <f t="shared" si="29"/>
        <v>-1.9597901409910825</v>
      </c>
    </row>
    <row r="260" spans="1:16" x14ac:dyDescent="0.2">
      <c r="A260" s="8">
        <v>129</v>
      </c>
      <c r="B260" s="8">
        <v>258</v>
      </c>
      <c r="D260">
        <v>1349.9071991000999</v>
      </c>
      <c r="E260">
        <v>384.44038245219002</v>
      </c>
      <c r="F260">
        <v>153.39076576577</v>
      </c>
      <c r="G260">
        <v>119.56700450451</v>
      </c>
      <c r="I260" s="9">
        <f t="shared" si="26"/>
        <v>264.87337794768001</v>
      </c>
      <c r="J260" s="9">
        <f t="shared" si="27"/>
        <v>1196.5164333343298</v>
      </c>
      <c r="K260" s="9">
        <f t="shared" si="31"/>
        <v>264.87337794768001</v>
      </c>
      <c r="L260" s="10">
        <f t="shared" si="30"/>
        <v>0.22137044721530313</v>
      </c>
      <c r="M260" s="10">
        <f t="shared" si="28"/>
        <v>0.28572903721352838</v>
      </c>
      <c r="P260" s="8">
        <f t="shared" si="29"/>
        <v>-1.8273973046012499</v>
      </c>
    </row>
    <row r="261" spans="1:16" x14ac:dyDescent="0.2">
      <c r="A261" s="8">
        <v>129.5</v>
      </c>
      <c r="B261" s="8">
        <v>259</v>
      </c>
      <c r="D261">
        <v>1287.0039370079</v>
      </c>
      <c r="E261">
        <v>372.42519685039002</v>
      </c>
      <c r="F261">
        <v>153.88119369368999</v>
      </c>
      <c r="G261">
        <v>119.40259009009</v>
      </c>
      <c r="I261" s="9">
        <f t="shared" si="26"/>
        <v>253.02260676030002</v>
      </c>
      <c r="J261" s="9">
        <f t="shared" si="27"/>
        <v>1133.1227433142101</v>
      </c>
      <c r="K261" s="9">
        <f t="shared" si="31"/>
        <v>253.02260676030002</v>
      </c>
      <c r="L261" s="10">
        <f t="shared" si="30"/>
        <v>0.22329673307963774</v>
      </c>
      <c r="M261" s="10">
        <f t="shared" si="28"/>
        <v>0.28790477497708089</v>
      </c>
      <c r="P261" s="8">
        <f t="shared" si="29"/>
        <v>-1.0798434643837713</v>
      </c>
    </row>
    <row r="262" spans="1:16" x14ac:dyDescent="0.2">
      <c r="A262" s="8">
        <v>130</v>
      </c>
      <c r="B262" s="8">
        <v>260</v>
      </c>
      <c r="D262">
        <v>1272.233408324</v>
      </c>
      <c r="E262">
        <v>367.64848143981999</v>
      </c>
      <c r="F262">
        <v>154.17736486486999</v>
      </c>
      <c r="G262">
        <v>119.27308558559</v>
      </c>
      <c r="I262" s="9">
        <f t="shared" si="26"/>
        <v>248.37539585422999</v>
      </c>
      <c r="J262" s="9">
        <f t="shared" si="27"/>
        <v>1118.05604345913</v>
      </c>
      <c r="K262" s="9">
        <f t="shared" si="31"/>
        <v>248.37539585422999</v>
      </c>
      <c r="L262" s="10">
        <f t="shared" si="30"/>
        <v>0.22214932543612625</v>
      </c>
      <c r="M262" s="10">
        <f t="shared" si="28"/>
        <v>0.28700681923278737</v>
      </c>
      <c r="P262" s="8">
        <f t="shared" si="29"/>
        <v>-1.3883688189724268</v>
      </c>
    </row>
    <row r="263" spans="1:16" x14ac:dyDescent="0.2">
      <c r="A263" s="8">
        <v>130.5</v>
      </c>
      <c r="B263" s="8">
        <v>261</v>
      </c>
      <c r="D263">
        <v>1263.9938132733</v>
      </c>
      <c r="E263">
        <v>365.61473565803999</v>
      </c>
      <c r="F263">
        <v>153.65259009009</v>
      </c>
      <c r="G263">
        <v>119.66666666667</v>
      </c>
      <c r="I263" s="9">
        <f t="shared" si="26"/>
        <v>245.94806899137001</v>
      </c>
      <c r="J263" s="9">
        <f t="shared" si="27"/>
        <v>1110.3412231832101</v>
      </c>
      <c r="K263" s="9">
        <f t="shared" si="31"/>
        <v>245.94806899137001</v>
      </c>
      <c r="L263" s="10">
        <f t="shared" si="30"/>
        <v>0.22150674392351885</v>
      </c>
      <c r="M263" s="10">
        <f t="shared" si="28"/>
        <v>0.28661368961939787</v>
      </c>
      <c r="P263" s="8">
        <f t="shared" si="29"/>
        <v>-1.5234427957703844</v>
      </c>
    </row>
    <row r="264" spans="1:16" x14ac:dyDescent="0.2">
      <c r="A264" s="8">
        <v>131</v>
      </c>
      <c r="B264" s="8">
        <v>262</v>
      </c>
      <c r="D264">
        <v>1251.4994375703</v>
      </c>
      <c r="E264">
        <v>362.81271091114002</v>
      </c>
      <c r="F264">
        <v>153.66103603604</v>
      </c>
      <c r="G264">
        <v>119.11373873874</v>
      </c>
      <c r="I264" s="9">
        <f t="shared" si="26"/>
        <v>243.69897217240003</v>
      </c>
      <c r="J264" s="9">
        <f t="shared" si="27"/>
        <v>1097.8384015342599</v>
      </c>
      <c r="K264" s="9">
        <f t="shared" si="31"/>
        <v>243.69897217240003</v>
      </c>
      <c r="L264" s="10">
        <f t="shared" si="30"/>
        <v>0.22198073216588515</v>
      </c>
      <c r="M264" s="10">
        <f t="shared" si="28"/>
        <v>0.28733712976098208</v>
      </c>
      <c r="P264" s="8">
        <f t="shared" si="29"/>
        <v>-1.2748786236223013</v>
      </c>
    </row>
    <row r="265" spans="1:16" x14ac:dyDescent="0.2">
      <c r="A265" s="8">
        <v>131.5</v>
      </c>
      <c r="B265" s="8">
        <v>263</v>
      </c>
      <c r="D265">
        <v>1270.4671163574999</v>
      </c>
      <c r="E265">
        <v>366.75491849354</v>
      </c>
      <c r="F265">
        <v>153.76013513513999</v>
      </c>
      <c r="G265">
        <v>119.24774774775</v>
      </c>
      <c r="I265" s="9">
        <f t="shared" si="26"/>
        <v>247.50717074579001</v>
      </c>
      <c r="J265" s="9">
        <f t="shared" si="27"/>
        <v>1116.7069812223599</v>
      </c>
      <c r="K265" s="9">
        <f t="shared" si="31"/>
        <v>247.50717074579001</v>
      </c>
      <c r="L265" s="10">
        <f t="shared" si="30"/>
        <v>0.22164021082313456</v>
      </c>
      <c r="M265" s="10">
        <f t="shared" si="28"/>
        <v>0.28724606031744943</v>
      </c>
      <c r="P265" s="8">
        <f t="shared" si="29"/>
        <v>-1.306168843142206</v>
      </c>
    </row>
    <row r="266" spans="1:16" x14ac:dyDescent="0.2">
      <c r="A266" s="8">
        <v>132</v>
      </c>
      <c r="B266" s="8">
        <v>264</v>
      </c>
      <c r="D266">
        <v>1274.0073074761001</v>
      </c>
      <c r="E266">
        <v>366.4862282181</v>
      </c>
      <c r="F266">
        <v>153.36993243243001</v>
      </c>
      <c r="G266">
        <v>119.35754504505</v>
      </c>
      <c r="I266" s="9">
        <f t="shared" si="26"/>
        <v>247.12868317304998</v>
      </c>
      <c r="J266" s="9">
        <f t="shared" si="27"/>
        <v>1120.6373750436701</v>
      </c>
      <c r="K266" s="9">
        <f t="shared" si="31"/>
        <v>247.12868317304998</v>
      </c>
      <c r="L266" s="10">
        <f t="shared" si="30"/>
        <v>0.2205251124730867</v>
      </c>
      <c r="M266" s="10">
        <f t="shared" si="28"/>
        <v>0.2863804138666195</v>
      </c>
      <c r="P266" s="8">
        <f t="shared" si="29"/>
        <v>-1.6035931648729369</v>
      </c>
    </row>
    <row r="267" spans="1:16" x14ac:dyDescent="0.2">
      <c r="A267" s="8">
        <v>132.5</v>
      </c>
      <c r="B267" s="8">
        <v>265</v>
      </c>
      <c r="D267">
        <v>1260.2665534805001</v>
      </c>
      <c r="E267">
        <v>365.09224674590001</v>
      </c>
      <c r="F267">
        <v>153.99042792793</v>
      </c>
      <c r="G267">
        <v>119.24493243243001</v>
      </c>
      <c r="I267" s="9">
        <f t="shared" si="26"/>
        <v>245.84731431347001</v>
      </c>
      <c r="J267" s="9">
        <f t="shared" si="27"/>
        <v>1106.2761255525702</v>
      </c>
      <c r="K267" s="9">
        <f t="shared" si="31"/>
        <v>245.84731431347001</v>
      </c>
      <c r="L267" s="10">
        <f t="shared" si="30"/>
        <v>0.22222961215101025</v>
      </c>
      <c r="M267" s="10">
        <f t="shared" si="28"/>
        <v>0.28833436544376101</v>
      </c>
      <c r="P267" s="8">
        <f t="shared" si="29"/>
        <v>-0.93224203535714734</v>
      </c>
    </row>
    <row r="268" spans="1:16" x14ac:dyDescent="0.2">
      <c r="A268" s="8">
        <v>133</v>
      </c>
      <c r="B268" s="8">
        <v>266</v>
      </c>
      <c r="D268">
        <v>1234.0350877193</v>
      </c>
      <c r="E268">
        <v>358.4974533107</v>
      </c>
      <c r="F268">
        <v>153.43581081081001</v>
      </c>
      <c r="G268">
        <v>119.21452702703</v>
      </c>
      <c r="I268" s="9">
        <f t="shared" si="26"/>
        <v>239.28292628367001</v>
      </c>
      <c r="J268" s="9">
        <f t="shared" si="27"/>
        <v>1080.5992769084901</v>
      </c>
      <c r="K268" s="9">
        <f t="shared" si="31"/>
        <v>239.28292628367001</v>
      </c>
      <c r="L268" s="10">
        <f t="shared" si="30"/>
        <v>0.22143539367177786</v>
      </c>
      <c r="M268" s="10">
        <f t="shared" si="28"/>
        <v>0.2877895988637465</v>
      </c>
      <c r="P268" s="8">
        <f t="shared" si="29"/>
        <v>-1.1194164070732731</v>
      </c>
    </row>
    <row r="269" spans="1:16" x14ac:dyDescent="0.2">
      <c r="A269" s="8">
        <v>133.5</v>
      </c>
      <c r="B269" s="8">
        <v>267</v>
      </c>
      <c r="D269">
        <v>1204.6751556310001</v>
      </c>
      <c r="E269">
        <v>350.47594793435002</v>
      </c>
      <c r="F269">
        <v>153.16497747747999</v>
      </c>
      <c r="G269">
        <v>119.27646396396</v>
      </c>
      <c r="I269" s="9">
        <f t="shared" si="26"/>
        <v>231.19948397039002</v>
      </c>
      <c r="J269" s="9">
        <f t="shared" si="27"/>
        <v>1051.51017815352</v>
      </c>
      <c r="K269" s="9">
        <f t="shared" si="31"/>
        <v>231.19948397039002</v>
      </c>
      <c r="L269" s="10">
        <f t="shared" si="30"/>
        <v>0.21987374803768661</v>
      </c>
      <c r="M269" s="10">
        <f t="shared" si="28"/>
        <v>0.28647740512887321</v>
      </c>
      <c r="P269" s="8">
        <f t="shared" si="29"/>
        <v>-1.5702682891549575</v>
      </c>
    </row>
    <row r="270" spans="1:16" x14ac:dyDescent="0.2">
      <c r="A270" s="8">
        <v>134</v>
      </c>
      <c r="B270" s="8">
        <v>268</v>
      </c>
      <c r="D270">
        <v>1283.5053763440999</v>
      </c>
      <c r="E270">
        <v>366.88794567063002</v>
      </c>
      <c r="F270">
        <v>152.94087837838001</v>
      </c>
      <c r="G270">
        <v>118.78265765766</v>
      </c>
      <c r="I270" s="9">
        <f t="shared" si="26"/>
        <v>248.10528801297002</v>
      </c>
      <c r="J270" s="9">
        <f t="shared" si="27"/>
        <v>1130.56449796572</v>
      </c>
      <c r="K270" s="9">
        <f t="shared" si="31"/>
        <v>248.10528801297002</v>
      </c>
      <c r="L270" s="10">
        <f t="shared" si="30"/>
        <v>0.21945257299287038</v>
      </c>
      <c r="M270" s="10">
        <f t="shared" si="28"/>
        <v>0.28630568198327488</v>
      </c>
      <c r="P270" s="8">
        <f t="shared" si="29"/>
        <v>-1.6292700213934272</v>
      </c>
    </row>
    <row r="271" spans="1:16" x14ac:dyDescent="0.2">
      <c r="A271" s="8">
        <v>134.5</v>
      </c>
      <c r="B271" s="8">
        <v>269</v>
      </c>
      <c r="D271">
        <v>1301.8845500849</v>
      </c>
      <c r="E271">
        <v>369.65987549519002</v>
      </c>
      <c r="F271">
        <v>153.61711711711999</v>
      </c>
      <c r="G271">
        <v>119.25563063062999</v>
      </c>
      <c r="I271" s="9">
        <f t="shared" si="26"/>
        <v>250.40424486456004</v>
      </c>
      <c r="J271" s="9">
        <f t="shared" si="27"/>
        <v>1148.26743296778</v>
      </c>
      <c r="K271" s="9">
        <f t="shared" si="31"/>
        <v>250.40424486456004</v>
      </c>
      <c r="L271" s="10">
        <f t="shared" si="30"/>
        <v>0.21807136358241233</v>
      </c>
      <c r="M271" s="10">
        <f t="shared" si="28"/>
        <v>0.28517392447203477</v>
      </c>
      <c r="P271" s="8">
        <f t="shared" si="29"/>
        <v>-2.0181264763832552</v>
      </c>
    </row>
    <row r="272" spans="1:16" x14ac:dyDescent="0.2">
      <c r="A272" s="8">
        <v>135</v>
      </c>
      <c r="B272" s="8">
        <v>270</v>
      </c>
      <c r="D272">
        <v>1295.0713073004999</v>
      </c>
      <c r="E272">
        <v>368.55631013016</v>
      </c>
      <c r="F272">
        <v>153.12331081081001</v>
      </c>
      <c r="G272">
        <v>119.59515765766</v>
      </c>
      <c r="I272" s="9">
        <f t="shared" si="26"/>
        <v>248.9611524725</v>
      </c>
      <c r="J272" s="9">
        <f t="shared" si="27"/>
        <v>1141.94799648969</v>
      </c>
      <c r="K272" s="9">
        <f t="shared" si="31"/>
        <v>248.9611524725</v>
      </c>
      <c r="L272" s="10">
        <f t="shared" si="30"/>
        <v>0.21801443956975122</v>
      </c>
      <c r="M272" s="10">
        <f t="shared" si="28"/>
        <v>0.28536645235859159</v>
      </c>
      <c r="P272" s="8">
        <f t="shared" si="29"/>
        <v>-1.9519765187203835</v>
      </c>
    </row>
    <row r="273" spans="1:16" x14ac:dyDescent="0.2">
      <c r="A273" s="8">
        <v>135.5</v>
      </c>
      <c r="B273" s="8">
        <v>271</v>
      </c>
      <c r="D273">
        <v>1293.0090548953001</v>
      </c>
      <c r="E273">
        <v>366.97736276173998</v>
      </c>
      <c r="F273">
        <v>153.59121621622</v>
      </c>
      <c r="G273">
        <v>119.39470720721</v>
      </c>
      <c r="I273" s="9">
        <f t="shared" si="26"/>
        <v>247.58265555452999</v>
      </c>
      <c r="J273" s="9">
        <f t="shared" si="27"/>
        <v>1139.41783867908</v>
      </c>
      <c r="K273" s="9">
        <f t="shared" si="31"/>
        <v>247.58265555452999</v>
      </c>
      <c r="L273" s="10">
        <f t="shared" si="30"/>
        <v>0.21728873039371668</v>
      </c>
      <c r="M273" s="10">
        <f t="shared" si="28"/>
        <v>0.28489019508177499</v>
      </c>
      <c r="P273" s="8">
        <f t="shared" si="29"/>
        <v>-2.1156120276405646</v>
      </c>
    </row>
    <row r="274" spans="1:16" x14ac:dyDescent="0.2">
      <c r="A274" s="8">
        <v>136</v>
      </c>
      <c r="B274" s="8">
        <v>272</v>
      </c>
      <c r="D274">
        <v>1294.8805885682</v>
      </c>
      <c r="E274">
        <v>368.10469722694</v>
      </c>
      <c r="F274">
        <v>153.15259009009</v>
      </c>
      <c r="G274">
        <v>118.77027027027</v>
      </c>
      <c r="I274" s="9">
        <f t="shared" si="26"/>
        <v>249.33442695667</v>
      </c>
      <c r="J274" s="9">
        <f t="shared" si="27"/>
        <v>1141.7279984781101</v>
      </c>
      <c r="K274" s="9">
        <f t="shared" si="31"/>
        <v>249.33442695667</v>
      </c>
      <c r="L274" s="10">
        <f t="shared" si="30"/>
        <v>0.21838338666392124</v>
      </c>
      <c r="M274" s="10">
        <f t="shared" si="28"/>
        <v>0.28623430325119747</v>
      </c>
      <c r="P274" s="8">
        <f t="shared" si="29"/>
        <v>-1.6537947808420099</v>
      </c>
    </row>
    <row r="275" spans="1:16" x14ac:dyDescent="0.2">
      <c r="A275" s="8">
        <v>136.5</v>
      </c>
      <c r="B275" s="8">
        <v>273</v>
      </c>
      <c r="D275">
        <v>1286.2371250706999</v>
      </c>
      <c r="E275">
        <v>366.35540464063001</v>
      </c>
      <c r="F275">
        <v>152.75450450450001</v>
      </c>
      <c r="G275">
        <v>119.20720720721</v>
      </c>
      <c r="I275" s="9">
        <f>E275-G275</f>
        <v>247.14819743342002</v>
      </c>
      <c r="J275" s="9">
        <f>D275-F275</f>
        <v>1133.4826205661998</v>
      </c>
      <c r="K275" s="9">
        <f t="shared" si="31"/>
        <v>247.14819743342002</v>
      </c>
      <c r="L275" s="10">
        <f t="shared" si="30"/>
        <v>0.21804321738075172</v>
      </c>
      <c r="M275" s="10">
        <f>L275+ABS($N$2)*A275</f>
        <v>0.28614358586724586</v>
      </c>
      <c r="O275" s="11"/>
      <c r="P275" s="8">
        <f>(M275-$O$2)/$O$2*100</f>
        <v>-1.6849640374884456</v>
      </c>
    </row>
    <row r="276" spans="1:16" x14ac:dyDescent="0.2">
      <c r="A276" s="8">
        <v>137</v>
      </c>
      <c r="B276" s="8">
        <v>274</v>
      </c>
      <c r="D276">
        <v>1299.7334465194999</v>
      </c>
      <c r="E276">
        <v>368.22863610640002</v>
      </c>
      <c r="F276">
        <v>153.02364864865001</v>
      </c>
      <c r="G276">
        <v>119.20101351351001</v>
      </c>
      <c r="I276" s="9">
        <f t="shared" ref="I276:I291" si="32">E276-G276</f>
        <v>249.02762259289</v>
      </c>
      <c r="J276" s="9">
        <f t="shared" ref="J276:J291" si="33">D276-F276</f>
        <v>1146.7097978708498</v>
      </c>
      <c r="K276" s="9">
        <f t="shared" si="31"/>
        <v>249.02762259289</v>
      </c>
      <c r="L276" s="10">
        <f t="shared" si="30"/>
        <v>0.21716708364685758</v>
      </c>
      <c r="M276" s="10">
        <f t="shared" ref="M276:M291" si="34">L276+ABS($N$2)*A276</f>
        <v>0.28551690403256963</v>
      </c>
      <c r="P276" s="8">
        <f t="shared" ref="P276:P291" si="35">(M276-$O$2)/$O$2*100</f>
        <v>-1.9002833742001592</v>
      </c>
    </row>
    <row r="277" spans="1:16" x14ac:dyDescent="0.2">
      <c r="A277" s="8">
        <v>137.5</v>
      </c>
      <c r="B277" s="8">
        <v>275</v>
      </c>
      <c r="D277">
        <v>1287.5930956423001</v>
      </c>
      <c r="E277">
        <v>365.69213355970999</v>
      </c>
      <c r="F277">
        <v>153.55011261261001</v>
      </c>
      <c r="G277">
        <v>119.08952702703</v>
      </c>
      <c r="I277" s="9">
        <f t="shared" si="32"/>
        <v>246.60260653268</v>
      </c>
      <c r="J277" s="9">
        <f t="shared" si="33"/>
        <v>1134.04298302969</v>
      </c>
      <c r="K277" s="9">
        <f t="shared" si="31"/>
        <v>246.60260653268</v>
      </c>
      <c r="L277" s="10">
        <f t="shared" si="30"/>
        <v>0.21745437361982581</v>
      </c>
      <c r="M277" s="10">
        <f t="shared" si="34"/>
        <v>0.28605364590475579</v>
      </c>
      <c r="N277" s="1"/>
      <c r="P277" s="8">
        <f t="shared" si="35"/>
        <v>-1.7158661827169623</v>
      </c>
    </row>
    <row r="278" spans="1:16" x14ac:dyDescent="0.2">
      <c r="A278" s="8">
        <v>138</v>
      </c>
      <c r="B278" s="8">
        <v>276</v>
      </c>
      <c r="D278">
        <v>1284.4810413130001</v>
      </c>
      <c r="E278">
        <v>365.37068477646</v>
      </c>
      <c r="F278">
        <v>153.03209459460001</v>
      </c>
      <c r="G278">
        <v>119.51914414414</v>
      </c>
      <c r="I278" s="9">
        <f t="shared" si="32"/>
        <v>245.85154063232</v>
      </c>
      <c r="J278" s="9">
        <f t="shared" si="33"/>
        <v>1131.4489467184001</v>
      </c>
      <c r="K278" s="9">
        <f t="shared" si="31"/>
        <v>245.85154063232</v>
      </c>
      <c r="L278" s="10">
        <f t="shared" si="30"/>
        <v>0.2172891152936029</v>
      </c>
      <c r="M278" s="10">
        <f t="shared" si="34"/>
        <v>0.28613783947775084</v>
      </c>
      <c r="P278" s="8">
        <f t="shared" si="35"/>
        <v>-1.6869384185955572</v>
      </c>
    </row>
    <row r="279" spans="1:16" x14ac:dyDescent="0.2">
      <c r="A279" s="8">
        <v>138.5</v>
      </c>
      <c r="B279" s="8">
        <v>277</v>
      </c>
      <c r="D279">
        <v>1256.6355404640999</v>
      </c>
      <c r="E279">
        <v>359.43689869835998</v>
      </c>
      <c r="F279">
        <v>153.66497747747999</v>
      </c>
      <c r="G279">
        <v>119.27083333333</v>
      </c>
      <c r="I279" s="9">
        <f t="shared" si="32"/>
        <v>240.16606536502997</v>
      </c>
      <c r="J279" s="9">
        <f t="shared" si="33"/>
        <v>1102.9705629866198</v>
      </c>
      <c r="K279" s="9">
        <f t="shared" si="31"/>
        <v>240.16606536502997</v>
      </c>
      <c r="L279" s="10">
        <f t="shared" si="30"/>
        <v>0.21774476438855189</v>
      </c>
      <c r="M279" s="10">
        <f t="shared" si="34"/>
        <v>0.28684294047191772</v>
      </c>
      <c r="P279" s="8">
        <f t="shared" si="35"/>
        <v>-1.4446753275372091</v>
      </c>
    </row>
    <row r="280" spans="1:16" x14ac:dyDescent="0.2">
      <c r="A280" s="8">
        <v>139</v>
      </c>
      <c r="B280" s="8">
        <v>278</v>
      </c>
      <c r="D280">
        <v>1221.6825127335001</v>
      </c>
      <c r="E280">
        <v>350.97226938313997</v>
      </c>
      <c r="F280">
        <v>153.48479729729999</v>
      </c>
      <c r="G280">
        <v>119.13400900901</v>
      </c>
      <c r="I280" s="9">
        <f t="shared" si="32"/>
        <v>231.83826037412996</v>
      </c>
      <c r="J280" s="9">
        <f t="shared" si="33"/>
        <v>1068.1977154362</v>
      </c>
      <c r="K280" s="9">
        <f t="shared" si="31"/>
        <v>231.83826037412996</v>
      </c>
      <c r="L280" s="10">
        <f t="shared" si="30"/>
        <v>0.21703684348309851</v>
      </c>
      <c r="M280" s="10">
        <f t="shared" si="34"/>
        <v>0.2863844714656823</v>
      </c>
      <c r="P280" s="8">
        <f t="shared" si="35"/>
        <v>-1.6021990291400958</v>
      </c>
    </row>
    <row r="281" spans="1:16" x14ac:dyDescent="0.2">
      <c r="A281" s="8">
        <v>139.5</v>
      </c>
      <c r="B281" s="8">
        <v>279</v>
      </c>
      <c r="D281">
        <v>1187.4199207697</v>
      </c>
      <c r="E281">
        <v>343.29315223543</v>
      </c>
      <c r="F281">
        <v>153.09628378378</v>
      </c>
      <c r="G281">
        <v>119.14921171171</v>
      </c>
      <c r="I281" s="9">
        <f t="shared" si="32"/>
        <v>224.14394052372</v>
      </c>
      <c r="J281" s="9">
        <f t="shared" si="33"/>
        <v>1034.3236369859201</v>
      </c>
      <c r="K281" s="9">
        <f t="shared" si="31"/>
        <v>224.14394052372</v>
      </c>
      <c r="L281" s="10">
        <f t="shared" si="30"/>
        <v>0.21670580900276884</v>
      </c>
      <c r="M281" s="10">
        <f t="shared" si="34"/>
        <v>0.28630288888457056</v>
      </c>
      <c r="P281" s="8">
        <f t="shared" si="35"/>
        <v>-1.6302296920382546</v>
      </c>
    </row>
    <row r="282" spans="1:16" x14ac:dyDescent="0.2">
      <c r="A282" s="8">
        <v>140</v>
      </c>
      <c r="B282" s="8">
        <v>280</v>
      </c>
      <c r="D282">
        <v>1228.3944538766</v>
      </c>
      <c r="E282">
        <v>349.98358800225998</v>
      </c>
      <c r="F282">
        <v>152.81024774775</v>
      </c>
      <c r="G282">
        <v>118.95833333333</v>
      </c>
      <c r="I282" s="9">
        <f t="shared" si="32"/>
        <v>231.02525466892996</v>
      </c>
      <c r="J282" s="9">
        <f t="shared" si="33"/>
        <v>1075.5842061288499</v>
      </c>
      <c r="K282" s="9">
        <f t="shared" si="31"/>
        <v>231.02525466892996</v>
      </c>
      <c r="L282" s="10">
        <f t="shared" si="30"/>
        <v>0.21479048627946684</v>
      </c>
      <c r="M282" s="10">
        <f t="shared" si="34"/>
        <v>0.28463701806048647</v>
      </c>
      <c r="P282" s="8">
        <f t="shared" si="35"/>
        <v>-2.2026002013486079</v>
      </c>
    </row>
    <row r="283" spans="1:16" x14ac:dyDescent="0.2">
      <c r="A283" s="8">
        <v>140.5</v>
      </c>
      <c r="B283" s="8">
        <v>281</v>
      </c>
      <c r="D283">
        <v>1269.5574419920999</v>
      </c>
      <c r="E283">
        <v>359.50933786078002</v>
      </c>
      <c r="F283">
        <v>153.05630630631001</v>
      </c>
      <c r="G283">
        <v>119.16441441441</v>
      </c>
      <c r="I283" s="9">
        <f t="shared" si="32"/>
        <v>240.34492344637002</v>
      </c>
      <c r="J283" s="9">
        <f t="shared" si="33"/>
        <v>1116.5011356857899</v>
      </c>
      <c r="K283" s="9">
        <f t="shared" si="31"/>
        <v>240.34492344637002</v>
      </c>
      <c r="L283" s="10">
        <f t="shared" si="30"/>
        <v>0.2152661701492517</v>
      </c>
      <c r="M283" s="10">
        <f t="shared" si="34"/>
        <v>0.28536215382948926</v>
      </c>
      <c r="P283" s="8">
        <f t="shared" si="35"/>
        <v>-1.9534534347309267</v>
      </c>
    </row>
    <row r="284" spans="1:16" x14ac:dyDescent="0.2">
      <c r="A284" s="8">
        <v>141</v>
      </c>
      <c r="B284" s="8">
        <v>282</v>
      </c>
      <c r="D284">
        <v>1279.1539332202001</v>
      </c>
      <c r="E284">
        <v>363.72495755518003</v>
      </c>
      <c r="F284">
        <v>152.76970720720999</v>
      </c>
      <c r="G284">
        <v>118.96396396396</v>
      </c>
      <c r="I284" s="9">
        <f t="shared" si="32"/>
        <v>244.76099359122003</v>
      </c>
      <c r="J284" s="9">
        <f t="shared" si="33"/>
        <v>1126.38422601299</v>
      </c>
      <c r="K284" s="9">
        <f t="shared" si="31"/>
        <v>244.76099359122003</v>
      </c>
      <c r="L284" s="10">
        <f t="shared" si="30"/>
        <v>0.21729795920313016</v>
      </c>
      <c r="M284" s="10">
        <f t="shared" si="34"/>
        <v>0.28764339478258566</v>
      </c>
      <c r="P284" s="8">
        <f t="shared" si="35"/>
        <v>-1.1696501365962637</v>
      </c>
    </row>
    <row r="285" spans="1:16" x14ac:dyDescent="0.2">
      <c r="A285" s="8">
        <v>141.5</v>
      </c>
      <c r="B285" s="8">
        <v>283</v>
      </c>
      <c r="D285">
        <v>1298.0531975099</v>
      </c>
      <c r="E285">
        <v>366.40577249576</v>
      </c>
      <c r="F285">
        <v>153.00900900900999</v>
      </c>
      <c r="G285">
        <v>119.01182432432</v>
      </c>
      <c r="I285" s="9">
        <f t="shared" si="32"/>
        <v>247.39394817144</v>
      </c>
      <c r="J285" s="9">
        <f t="shared" si="33"/>
        <v>1145.04418850089</v>
      </c>
      <c r="K285" s="9">
        <f t="shared" si="31"/>
        <v>247.39394817144</v>
      </c>
      <c r="L285" s="10">
        <f t="shared" si="30"/>
        <v>0.21605624538851387</v>
      </c>
      <c r="M285" s="10">
        <f t="shared" si="34"/>
        <v>0.2866511328671873</v>
      </c>
      <c r="P285" s="8">
        <f t="shared" si="35"/>
        <v>-1.5105778061819806</v>
      </c>
    </row>
    <row r="286" spans="1:16" x14ac:dyDescent="0.2">
      <c r="A286" s="8">
        <v>142</v>
      </c>
      <c r="B286" s="8">
        <v>284</v>
      </c>
      <c r="D286">
        <v>1295.3774759478999</v>
      </c>
      <c r="E286">
        <v>364.45670628183001</v>
      </c>
      <c r="F286">
        <v>152.47466216216</v>
      </c>
      <c r="G286">
        <v>119.14358108108</v>
      </c>
      <c r="I286" s="9">
        <f t="shared" si="32"/>
        <v>245.31312520074999</v>
      </c>
      <c r="J286" s="9">
        <f t="shared" si="33"/>
        <v>1142.9028137857399</v>
      </c>
      <c r="K286" s="9">
        <f t="shared" si="31"/>
        <v>245.31312520074999</v>
      </c>
      <c r="L286" s="10">
        <f t="shared" si="30"/>
        <v>0.21464040707728879</v>
      </c>
      <c r="M286" s="10">
        <f t="shared" si="34"/>
        <v>0.28548474645518013</v>
      </c>
      <c r="P286" s="8">
        <f t="shared" si="35"/>
        <v>-1.911332279482918</v>
      </c>
    </row>
    <row r="287" spans="1:16" x14ac:dyDescent="0.2">
      <c r="A287" s="8">
        <v>142.5</v>
      </c>
      <c r="B287" s="8">
        <v>285</v>
      </c>
      <c r="D287">
        <v>1290.1641199774001</v>
      </c>
      <c r="E287">
        <v>362.73627617430998</v>
      </c>
      <c r="F287">
        <v>153.13738738738999</v>
      </c>
      <c r="G287">
        <v>118.68412162161999</v>
      </c>
      <c r="I287" s="9">
        <f t="shared" si="32"/>
        <v>244.05215455268998</v>
      </c>
      <c r="J287" s="9">
        <f t="shared" si="33"/>
        <v>1137.0267325900102</v>
      </c>
      <c r="K287" s="9">
        <f t="shared" si="31"/>
        <v>244.05215455268998</v>
      </c>
      <c r="L287" s="10">
        <f t="shared" si="30"/>
        <v>0.2146406478911613</v>
      </c>
      <c r="M287" s="10">
        <f t="shared" si="34"/>
        <v>0.28573443916827057</v>
      </c>
      <c r="P287" s="8">
        <f t="shared" si="35"/>
        <v>-1.8255412665805597</v>
      </c>
    </row>
    <row r="288" spans="1:16" x14ac:dyDescent="0.2">
      <c r="A288" s="8">
        <v>143</v>
      </c>
      <c r="B288" s="8">
        <v>286</v>
      </c>
      <c r="D288">
        <v>1290.1250707413999</v>
      </c>
      <c r="E288">
        <v>362.79626485569003</v>
      </c>
      <c r="F288">
        <v>152.57094594595</v>
      </c>
      <c r="G288">
        <v>119.50619369368999</v>
      </c>
      <c r="I288" s="9">
        <f t="shared" si="32"/>
        <v>243.29007116200003</v>
      </c>
      <c r="J288" s="9">
        <f t="shared" si="33"/>
        <v>1137.55412479545</v>
      </c>
      <c r="K288" s="9">
        <f t="shared" si="31"/>
        <v>243.29007116200003</v>
      </c>
      <c r="L288" s="10">
        <f t="shared" si="30"/>
        <v>0.21387120477080368</v>
      </c>
      <c r="M288" s="10">
        <f t="shared" si="34"/>
        <v>0.28521444794713086</v>
      </c>
      <c r="P288" s="8">
        <f t="shared" si="35"/>
        <v>-2.0042031626758279</v>
      </c>
    </row>
    <row r="289" spans="1:16" x14ac:dyDescent="0.2">
      <c r="A289" s="8">
        <v>143.5</v>
      </c>
      <c r="B289" s="8">
        <v>287</v>
      </c>
      <c r="D289">
        <v>1291.3825693265001</v>
      </c>
      <c r="E289">
        <v>362.4533106961</v>
      </c>
      <c r="F289">
        <v>152.47466216216</v>
      </c>
      <c r="G289">
        <v>118.85135135135</v>
      </c>
      <c r="I289" s="9">
        <f t="shared" si="32"/>
        <v>243.60195934475001</v>
      </c>
      <c r="J289" s="9">
        <f t="shared" si="33"/>
        <v>1138.90790716434</v>
      </c>
      <c r="K289" s="9">
        <f t="shared" si="31"/>
        <v>243.60195934475001</v>
      </c>
      <c r="L289" s="10">
        <f t="shared" si="30"/>
        <v>0.213890831569755</v>
      </c>
      <c r="M289" s="10">
        <f t="shared" si="34"/>
        <v>0.28548352664530013</v>
      </c>
      <c r="P289" s="8">
        <f t="shared" si="35"/>
        <v>-1.9117513895316562</v>
      </c>
    </row>
    <row r="290" spans="1:16" x14ac:dyDescent="0.2">
      <c r="A290" s="8">
        <v>144</v>
      </c>
      <c r="B290" s="8">
        <v>288</v>
      </c>
      <c r="D290">
        <v>1300.4267265581</v>
      </c>
      <c r="E290">
        <v>364.58562605278001</v>
      </c>
      <c r="F290">
        <v>153.09684684685001</v>
      </c>
      <c r="G290">
        <v>119.34515765766</v>
      </c>
      <c r="I290" s="9">
        <f t="shared" si="32"/>
        <v>245.24046839512002</v>
      </c>
      <c r="J290" s="9">
        <f t="shared" si="33"/>
        <v>1147.32987971125</v>
      </c>
      <c r="K290" s="9">
        <f t="shared" si="31"/>
        <v>245.24046839512002</v>
      </c>
      <c r="L290" s="10">
        <f t="shared" si="30"/>
        <v>0.21374887269286494</v>
      </c>
      <c r="M290" s="10">
        <f t="shared" si="34"/>
        <v>0.28559101966762801</v>
      </c>
      <c r="P290" s="8">
        <f t="shared" si="35"/>
        <v>-1.8748182521913452</v>
      </c>
    </row>
    <row r="291" spans="1:16" x14ac:dyDescent="0.2">
      <c r="A291" s="8">
        <v>144.5</v>
      </c>
      <c r="B291" s="8">
        <v>289</v>
      </c>
      <c r="D291">
        <v>1301.3088152723001</v>
      </c>
      <c r="E291">
        <v>365.25996631106</v>
      </c>
      <c r="F291">
        <v>152.83840090090001</v>
      </c>
      <c r="G291">
        <v>119.05011261260999</v>
      </c>
      <c r="I291" s="9">
        <f t="shared" si="32"/>
        <v>246.20985369844999</v>
      </c>
      <c r="J291" s="9">
        <f t="shared" si="33"/>
        <v>1148.4704143714</v>
      </c>
      <c r="K291" s="9">
        <f t="shared" si="31"/>
        <v>246.20985369844999</v>
      </c>
      <c r="L291" s="10">
        <f t="shared" si="30"/>
        <v>0.21438066720526683</v>
      </c>
      <c r="M291" s="10">
        <f t="shared" si="34"/>
        <v>0.28647226607924781</v>
      </c>
      <c r="P291" s="8">
        <f t="shared" si="35"/>
        <v>-1.5720339965609202</v>
      </c>
    </row>
    <row r="292" spans="1:16" x14ac:dyDescent="0.2">
      <c r="A292" s="8">
        <v>145</v>
      </c>
      <c r="B292" s="8">
        <v>290</v>
      </c>
      <c r="D292">
        <v>1304.6777091521999</v>
      </c>
      <c r="E292">
        <v>366.46153846153999</v>
      </c>
      <c r="F292">
        <v>152.61655405405</v>
      </c>
      <c r="G292">
        <v>119.02815315315</v>
      </c>
      <c r="I292" s="9">
        <f>E292-G292</f>
        <v>247.43338530838997</v>
      </c>
      <c r="J292" s="9">
        <f>D292-F292</f>
        <v>1152.0611550981498</v>
      </c>
      <c r="K292" s="9">
        <f t="shared" si="31"/>
        <v>247.43338530838997</v>
      </c>
      <c r="L292" s="10">
        <f t="shared" si="30"/>
        <v>0.21477452322165128</v>
      </c>
      <c r="M292" s="10">
        <f>L292+ABS($N$2)*A292</f>
        <v>0.28711557399485022</v>
      </c>
      <c r="O292" s="11"/>
      <c r="P292" s="8">
        <f>(M292-$O$2)/$O$2*100</f>
        <v>-1.3510021650567117</v>
      </c>
    </row>
    <row r="293" spans="1:16" x14ac:dyDescent="0.2">
      <c r="A293" s="8">
        <v>145.5</v>
      </c>
      <c r="B293" s="8">
        <v>291</v>
      </c>
      <c r="D293">
        <v>1303.8287478944001</v>
      </c>
      <c r="E293">
        <v>364.86580572712001</v>
      </c>
      <c r="F293">
        <v>152.41610360359999</v>
      </c>
      <c r="G293">
        <v>119.04954954954999</v>
      </c>
      <c r="I293" s="9">
        <f t="shared" ref="I293:I301" si="36">E293-G293</f>
        <v>245.81625617757001</v>
      </c>
      <c r="J293" s="9">
        <f t="shared" ref="J293:J301" si="37">D293-F293</f>
        <v>1151.4126442908</v>
      </c>
      <c r="K293" s="9">
        <f t="shared" si="31"/>
        <v>245.81625617757001</v>
      </c>
      <c r="L293" s="10">
        <f t="shared" si="30"/>
        <v>0.21349101679266153</v>
      </c>
      <c r="M293" s="10">
        <f t="shared" ref="M293:M301" si="38">L293+ABS($N$2)*A293</f>
        <v>0.28608151946507837</v>
      </c>
      <c r="P293" s="8">
        <f t="shared" ref="P293:P301" si="39">(M293-$O$2)/$O$2*100</f>
        <v>-1.7062892073071805</v>
      </c>
    </row>
    <row r="294" spans="1:16" x14ac:dyDescent="0.2">
      <c r="A294" s="8">
        <v>146</v>
      </c>
      <c r="B294" s="8">
        <v>292</v>
      </c>
      <c r="D294">
        <v>1303.3649635037</v>
      </c>
      <c r="E294">
        <v>364.75968556991</v>
      </c>
      <c r="F294">
        <v>152.70101351350999</v>
      </c>
      <c r="G294">
        <v>118.99324324324</v>
      </c>
      <c r="I294" s="9">
        <f t="shared" si="36"/>
        <v>245.76644232667002</v>
      </c>
      <c r="J294" s="9">
        <f t="shared" si="37"/>
        <v>1150.6639499901901</v>
      </c>
      <c r="K294" s="9">
        <f t="shared" si="31"/>
        <v>245.76644232667002</v>
      </c>
      <c r="L294" s="10">
        <f t="shared" si="30"/>
        <v>0.21358663607108339</v>
      </c>
      <c r="M294" s="10">
        <f t="shared" si="38"/>
        <v>0.28642659064271814</v>
      </c>
      <c r="N294" s="1"/>
      <c r="P294" s="8">
        <f t="shared" si="39"/>
        <v>-1.5877274539956125</v>
      </c>
    </row>
    <row r="295" spans="1:16" x14ac:dyDescent="0.2">
      <c r="A295" s="8">
        <v>146.5</v>
      </c>
      <c r="B295" s="8">
        <v>293</v>
      </c>
      <c r="D295">
        <v>1289.3969679955001</v>
      </c>
      <c r="E295">
        <v>362.47220662549</v>
      </c>
      <c r="F295">
        <v>152.51801801802</v>
      </c>
      <c r="G295">
        <v>118.91610360360001</v>
      </c>
      <c r="I295" s="9">
        <f t="shared" si="36"/>
        <v>243.55610302189001</v>
      </c>
      <c r="J295" s="9">
        <f t="shared" si="37"/>
        <v>1136.87894997748</v>
      </c>
      <c r="K295" s="9">
        <f t="shared" si="31"/>
        <v>243.55610302189001</v>
      </c>
      <c r="L295" s="10">
        <f t="shared" si="30"/>
        <v>0.21423222149263518</v>
      </c>
      <c r="M295" s="10">
        <f t="shared" si="38"/>
        <v>0.28732162796348787</v>
      </c>
      <c r="P295" s="8">
        <f t="shared" si="39"/>
        <v>-1.2802048299515738</v>
      </c>
    </row>
    <row r="296" spans="1:16" x14ac:dyDescent="0.2">
      <c r="A296" s="8">
        <v>147</v>
      </c>
      <c r="B296" s="8">
        <v>294</v>
      </c>
      <c r="D296">
        <v>1282.0263896686999</v>
      </c>
      <c r="E296">
        <v>359.96406513195001</v>
      </c>
      <c r="F296">
        <v>152.61768018018</v>
      </c>
      <c r="G296">
        <v>118.99042792793</v>
      </c>
      <c r="I296" s="9">
        <f t="shared" si="36"/>
        <v>240.97363720402001</v>
      </c>
      <c r="J296" s="9">
        <f t="shared" si="37"/>
        <v>1129.4087094885199</v>
      </c>
      <c r="K296" s="9">
        <f t="shared" si="31"/>
        <v>240.97363720402001</v>
      </c>
      <c r="L296" s="10">
        <f t="shared" si="30"/>
        <v>0.21336265178364949</v>
      </c>
      <c r="M296" s="10">
        <f t="shared" si="38"/>
        <v>0.28670151015372014</v>
      </c>
      <c r="P296" s="8">
        <f t="shared" si="39"/>
        <v>-1.4932688571724855</v>
      </c>
    </row>
    <row r="297" spans="1:16" x14ac:dyDescent="0.2">
      <c r="A297" s="8">
        <v>147.5</v>
      </c>
      <c r="B297" s="8">
        <v>295</v>
      </c>
      <c r="D297">
        <v>1280.9093468469</v>
      </c>
      <c r="E297">
        <v>359.96790540541002</v>
      </c>
      <c r="F297">
        <v>152.20833333332999</v>
      </c>
      <c r="G297">
        <v>119.07207207207</v>
      </c>
      <c r="I297" s="9">
        <f t="shared" si="36"/>
        <v>240.89583333334002</v>
      </c>
      <c r="J297" s="9">
        <f t="shared" si="37"/>
        <v>1128.7010135135699</v>
      </c>
      <c r="K297" s="9">
        <f t="shared" si="31"/>
        <v>240.89583333334002</v>
      </c>
      <c r="L297" s="10">
        <f t="shared" si="30"/>
        <v>0.21342749802575936</v>
      </c>
      <c r="M297" s="10">
        <f t="shared" si="38"/>
        <v>0.28701580829504791</v>
      </c>
      <c r="P297" s="8">
        <f t="shared" si="39"/>
        <v>-1.3852802997007605</v>
      </c>
    </row>
    <row r="298" spans="1:16" x14ac:dyDescent="0.2">
      <c r="A298" s="8">
        <v>148</v>
      </c>
      <c r="B298" s="8">
        <v>296</v>
      </c>
      <c r="D298">
        <v>1274.7972972973</v>
      </c>
      <c r="E298">
        <v>358.39414414414</v>
      </c>
      <c r="F298">
        <v>152.61993243243001</v>
      </c>
      <c r="G298">
        <v>118.71396396396</v>
      </c>
      <c r="I298" s="9">
        <f t="shared" si="36"/>
        <v>239.68018018018</v>
      </c>
      <c r="J298" s="9">
        <f t="shared" si="37"/>
        <v>1122.17736486487</v>
      </c>
      <c r="K298" s="9">
        <f t="shared" si="31"/>
        <v>239.68018018018</v>
      </c>
      <c r="L298" s="10">
        <f t="shared" si="30"/>
        <v>0.21358493557659822</v>
      </c>
      <c r="M298" s="10">
        <f t="shared" si="38"/>
        <v>0.2874226977451047</v>
      </c>
      <c r="P298" s="8">
        <f t="shared" si="39"/>
        <v>-1.2454786305707062</v>
      </c>
    </row>
    <row r="299" spans="1:16" x14ac:dyDescent="0.2">
      <c r="A299" s="8">
        <v>148.5</v>
      </c>
      <c r="B299" s="8">
        <v>297</v>
      </c>
      <c r="D299">
        <v>1274.2049549549999</v>
      </c>
      <c r="E299">
        <v>358.98986486487001</v>
      </c>
      <c r="F299">
        <v>153.10698198198</v>
      </c>
      <c r="G299">
        <v>118.59740990991</v>
      </c>
      <c r="I299" s="9">
        <f t="shared" si="36"/>
        <v>240.39245495496002</v>
      </c>
      <c r="J299" s="9">
        <f t="shared" si="37"/>
        <v>1121.09797297302</v>
      </c>
      <c r="K299" s="9">
        <f t="shared" si="31"/>
        <v>240.39245495496002</v>
      </c>
      <c r="L299" s="10">
        <f t="shared" si="30"/>
        <v>0.21442591169571693</v>
      </c>
      <c r="M299" s="10">
        <f t="shared" si="38"/>
        <v>0.28851312576344135</v>
      </c>
      <c r="P299" s="8">
        <f t="shared" si="39"/>
        <v>-0.87082242602088866</v>
      </c>
    </row>
    <row r="300" spans="1:16" x14ac:dyDescent="0.2">
      <c r="A300" s="8">
        <v>149</v>
      </c>
      <c r="B300" s="8">
        <v>298</v>
      </c>
      <c r="D300">
        <v>1275.1064189189001</v>
      </c>
      <c r="E300">
        <v>358.33558558559002</v>
      </c>
      <c r="F300">
        <v>152.53490990991</v>
      </c>
      <c r="G300">
        <v>118.72916666667</v>
      </c>
      <c r="I300" s="9">
        <f t="shared" si="36"/>
        <v>239.60641891892004</v>
      </c>
      <c r="J300" s="9">
        <f t="shared" si="37"/>
        <v>1122.57150900899</v>
      </c>
      <c r="K300" s="9">
        <f t="shared" si="31"/>
        <v>239.60641891892004</v>
      </c>
      <c r="L300" s="10">
        <f t="shared" si="30"/>
        <v>0.21344423673325311</v>
      </c>
      <c r="M300" s="10">
        <f t="shared" si="38"/>
        <v>0.28778090270019541</v>
      </c>
      <c r="P300" s="8">
        <f t="shared" si="39"/>
        <v>-1.1224042903405855</v>
      </c>
    </row>
    <row r="301" spans="1:16" x14ac:dyDescent="0.2">
      <c r="A301" s="8">
        <v>149.5</v>
      </c>
      <c r="B301" s="8">
        <v>299</v>
      </c>
      <c r="D301">
        <v>1267.9121621622</v>
      </c>
      <c r="E301">
        <v>357.98141891891999</v>
      </c>
      <c r="F301">
        <v>152.46058558559</v>
      </c>
      <c r="G301">
        <v>119.00394144144001</v>
      </c>
      <c r="I301" s="9">
        <f t="shared" si="36"/>
        <v>238.97747747747997</v>
      </c>
      <c r="J301" s="9">
        <f t="shared" si="37"/>
        <v>1115.45157657661</v>
      </c>
      <c r="K301" s="9">
        <f t="shared" si="31"/>
        <v>238.97747747747997</v>
      </c>
      <c r="L301" s="10">
        <f t="shared" si="30"/>
        <v>0.21424280757298012</v>
      </c>
      <c r="M301" s="10">
        <f t="shared" si="38"/>
        <v>0.28882892543914035</v>
      </c>
      <c r="P301" s="8">
        <f t="shared" si="39"/>
        <v>-0.76231796180514577</v>
      </c>
    </row>
    <row r="302" spans="1:16" x14ac:dyDescent="0.2">
      <c r="A302" s="8">
        <v>150</v>
      </c>
      <c r="B302" s="8">
        <v>300</v>
      </c>
      <c r="D302">
        <v>1267.7195945946</v>
      </c>
      <c r="E302">
        <v>357.12894144144002</v>
      </c>
      <c r="F302">
        <v>152.21846846847001</v>
      </c>
      <c r="G302">
        <v>118.71846846846999</v>
      </c>
      <c r="I302" s="9">
        <f>E302-G302</f>
        <v>238.41047297297001</v>
      </c>
      <c r="J302" s="9">
        <f>D302-F302</f>
        <v>1115.50112612613</v>
      </c>
      <c r="K302" s="9">
        <f t="shared" si="31"/>
        <v>238.41047297297001</v>
      </c>
      <c r="L302" s="10">
        <f t="shared" si="30"/>
        <v>0.21372499533094411</v>
      </c>
      <c r="M302" s="10">
        <f>L302+ABS($N$2)*A302</f>
        <v>0.28856056509632227</v>
      </c>
      <c r="O302" s="11"/>
      <c r="P302" s="8">
        <f>(M302-$O$2)/$O$2*100</f>
        <v>-0.8545229178418382</v>
      </c>
    </row>
    <row r="303" spans="1:16" x14ac:dyDescent="0.2">
      <c r="A303" s="8">
        <v>150.5</v>
      </c>
      <c r="B303" s="8">
        <v>301</v>
      </c>
      <c r="D303">
        <v>1271.5557432431999</v>
      </c>
      <c r="E303">
        <v>356.88795045044998</v>
      </c>
      <c r="F303">
        <v>152.23648648649001</v>
      </c>
      <c r="G303">
        <v>119.01520270269999</v>
      </c>
      <c r="I303" s="9">
        <f t="shared" ref="I303:I309" si="40">E303-G303</f>
        <v>237.87274774775</v>
      </c>
      <c r="J303" s="9">
        <f t="shared" ref="J303:J309" si="41">D303-F303</f>
        <v>1119.3192567567098</v>
      </c>
      <c r="K303" s="9">
        <f t="shared" si="31"/>
        <v>237.87274774775</v>
      </c>
      <c r="L303" s="10">
        <f t="shared" si="30"/>
        <v>0.21251555024345745</v>
      </c>
      <c r="M303" s="10">
        <f t="shared" ref="M303:M309" si="42">L303+ABS($N$2)*A303</f>
        <v>0.28760057190805355</v>
      </c>
      <c r="P303" s="8">
        <f t="shared" ref="P303:P309" si="43">(M303-$O$2)/$O$2*100</f>
        <v>-1.1843634926090589</v>
      </c>
    </row>
    <row r="304" spans="1:16" x14ac:dyDescent="0.2">
      <c r="A304" s="8">
        <v>151</v>
      </c>
      <c r="B304" s="8">
        <v>302</v>
      </c>
      <c r="D304">
        <v>1262.6086711712001</v>
      </c>
      <c r="E304">
        <v>356.23029279279001</v>
      </c>
      <c r="F304">
        <v>152.02533783784</v>
      </c>
      <c r="G304">
        <v>118.58164414414</v>
      </c>
      <c r="I304" s="9">
        <f t="shared" si="40"/>
        <v>237.64864864865001</v>
      </c>
      <c r="J304" s="9">
        <f t="shared" si="41"/>
        <v>1110.5833333333601</v>
      </c>
      <c r="K304" s="9">
        <f t="shared" si="31"/>
        <v>237.64864864865001</v>
      </c>
      <c r="L304" s="10">
        <f t="shared" si="30"/>
        <v>0.2139854268615391</v>
      </c>
      <c r="M304" s="10">
        <f t="shared" si="42"/>
        <v>0.28931990042535316</v>
      </c>
      <c r="N304" s="1"/>
      <c r="P304" s="8">
        <f t="shared" si="43"/>
        <v>-0.59362564853903355</v>
      </c>
    </row>
    <row r="305" spans="1:16" x14ac:dyDescent="0.2">
      <c r="A305" s="8">
        <v>151.5</v>
      </c>
      <c r="B305" s="8">
        <v>303</v>
      </c>
      <c r="D305">
        <v>1268.4870495496</v>
      </c>
      <c r="E305">
        <v>357.74099099098999</v>
      </c>
      <c r="F305">
        <v>152.66497747747999</v>
      </c>
      <c r="G305">
        <v>118.74211711712</v>
      </c>
      <c r="I305" s="9">
        <f t="shared" si="40"/>
        <v>238.99887387386997</v>
      </c>
      <c r="J305" s="9">
        <f t="shared" si="41"/>
        <v>1115.8220720721199</v>
      </c>
      <c r="K305" s="9">
        <f t="shared" si="31"/>
        <v>238.99887387386997</v>
      </c>
      <c r="L305" s="10">
        <f t="shared" si="30"/>
        <v>0.21419084624311191</v>
      </c>
      <c r="M305" s="10">
        <f t="shared" si="42"/>
        <v>0.28977477170614385</v>
      </c>
      <c r="P305" s="8">
        <f t="shared" si="43"/>
        <v>-0.43733807636190158</v>
      </c>
    </row>
    <row r="306" spans="1:16" x14ac:dyDescent="0.2">
      <c r="A306" s="8">
        <v>152</v>
      </c>
      <c r="B306" s="8">
        <v>304</v>
      </c>
      <c r="D306">
        <v>1270.0326576576999</v>
      </c>
      <c r="E306">
        <v>356.68693693694001</v>
      </c>
      <c r="F306">
        <v>152.39864864865001</v>
      </c>
      <c r="G306">
        <v>118.72466216216</v>
      </c>
      <c r="I306" s="9">
        <f t="shared" si="40"/>
        <v>237.96227477478001</v>
      </c>
      <c r="J306" s="9">
        <f t="shared" si="41"/>
        <v>1117.6340090090498</v>
      </c>
      <c r="K306" s="9">
        <f t="shared" si="31"/>
        <v>237.96227477478001</v>
      </c>
      <c r="L306" s="10">
        <f t="shared" si="30"/>
        <v>0.21291610031245314</v>
      </c>
      <c r="M306" s="10">
        <f t="shared" si="42"/>
        <v>0.28874947767470305</v>
      </c>
      <c r="P306" s="8">
        <f t="shared" si="43"/>
        <v>-0.78961513079155199</v>
      </c>
    </row>
    <row r="307" spans="1:16" x14ac:dyDescent="0.2">
      <c r="A307" s="8">
        <v>152.5</v>
      </c>
      <c r="B307" s="8">
        <v>305</v>
      </c>
      <c r="D307">
        <v>1263.9701576576999</v>
      </c>
      <c r="E307">
        <v>356.12556306305999</v>
      </c>
      <c r="F307">
        <v>152.26238738738999</v>
      </c>
      <c r="G307">
        <v>118.57713963964</v>
      </c>
      <c r="I307" s="9">
        <f t="shared" si="40"/>
        <v>237.54842342341999</v>
      </c>
      <c r="J307" s="9">
        <f t="shared" si="41"/>
        <v>1111.70777027031</v>
      </c>
      <c r="K307" s="9">
        <f t="shared" si="31"/>
        <v>237.54842342341999</v>
      </c>
      <c r="L307" s="10">
        <f t="shared" si="30"/>
        <v>0.21367883698938298</v>
      </c>
      <c r="M307" s="10">
        <f t="shared" si="42"/>
        <v>0.28976166625085076</v>
      </c>
      <c r="P307" s="8">
        <f t="shared" si="43"/>
        <v>-0.44184093217305165</v>
      </c>
    </row>
    <row r="308" spans="1:16" x14ac:dyDescent="0.2">
      <c r="A308" s="8">
        <v>153</v>
      </c>
      <c r="B308" s="8">
        <v>306</v>
      </c>
      <c r="D308">
        <v>1265.0472972973</v>
      </c>
      <c r="E308">
        <v>356.85641891891999</v>
      </c>
      <c r="F308">
        <v>152.16666666667001</v>
      </c>
      <c r="G308">
        <v>118.60304054053999</v>
      </c>
      <c r="I308" s="9">
        <f t="shared" si="40"/>
        <v>238.25337837837998</v>
      </c>
      <c r="J308" s="9">
        <f t="shared" si="41"/>
        <v>1112.8806306306301</v>
      </c>
      <c r="K308" s="9">
        <f t="shared" si="31"/>
        <v>238.25337837837998</v>
      </c>
      <c r="L308" s="10">
        <f t="shared" si="30"/>
        <v>0.21408709238058193</v>
      </c>
      <c r="M308" s="10">
        <f t="shared" si="42"/>
        <v>0.29041937354126768</v>
      </c>
      <c r="P308" s="8">
        <f t="shared" si="43"/>
        <v>-0.21586167174627688</v>
      </c>
    </row>
    <row r="309" spans="1:16" x14ac:dyDescent="0.2">
      <c r="A309" s="8">
        <v>153.5</v>
      </c>
      <c r="B309" s="8">
        <v>307</v>
      </c>
      <c r="D309">
        <v>1263.8907657658001</v>
      </c>
      <c r="E309">
        <v>354.95213963964</v>
      </c>
      <c r="F309">
        <v>152.14358108107999</v>
      </c>
      <c r="G309">
        <v>118.64189189189</v>
      </c>
      <c r="I309" s="9">
        <f t="shared" si="40"/>
        <v>236.31024774775</v>
      </c>
      <c r="J309" s="9">
        <f t="shared" si="41"/>
        <v>1111.7471846847202</v>
      </c>
      <c r="K309" s="9">
        <f t="shared" si="31"/>
        <v>236.31024774775</v>
      </c>
      <c r="L309" s="10">
        <f t="shared" si="30"/>
        <v>0.2125575409617656</v>
      </c>
      <c r="M309" s="10">
        <f t="shared" si="42"/>
        <v>0.28913927402166928</v>
      </c>
      <c r="P309" s="8">
        <f t="shared" si="43"/>
        <v>-0.65568641890415613</v>
      </c>
    </row>
    <row r="310" spans="1:16" x14ac:dyDescent="0.2">
      <c r="A310" s="8">
        <v>154</v>
      </c>
      <c r="B310" s="8">
        <v>308</v>
      </c>
      <c r="D310">
        <v>1260.3338963964</v>
      </c>
      <c r="E310">
        <v>355.31137387387002</v>
      </c>
      <c r="F310">
        <v>152.68186936936999</v>
      </c>
      <c r="G310">
        <v>118.66722972973</v>
      </c>
      <c r="I310" s="9">
        <f>E310-G310</f>
        <v>236.64414414414003</v>
      </c>
      <c r="J310" s="9">
        <f>D310-F310</f>
        <v>1107.65202702703</v>
      </c>
      <c r="K310" s="9">
        <f t="shared" si="31"/>
        <v>236.64414414414003</v>
      </c>
      <c r="L310" s="10">
        <f t="shared" si="30"/>
        <v>0.21364484366024206</v>
      </c>
      <c r="M310" s="10">
        <f>L310+ABS($N$2)*A310</f>
        <v>0.29047602861936367</v>
      </c>
      <c r="O310" s="11"/>
      <c r="P310" s="8">
        <f>(M310-$O$2)/$O$2*100</f>
        <v>-0.19639575912207985</v>
      </c>
    </row>
    <row r="311" spans="1:16" x14ac:dyDescent="0.2">
      <c r="A311" s="8">
        <v>154.5</v>
      </c>
      <c r="B311" s="8">
        <v>309</v>
      </c>
      <c r="D311">
        <v>1264.3552927927999</v>
      </c>
      <c r="E311">
        <v>356.32319819819998</v>
      </c>
      <c r="F311">
        <v>152.36373873874001</v>
      </c>
      <c r="G311">
        <v>119.00675675676</v>
      </c>
      <c r="I311" s="9">
        <f t="shared" ref="I311:I319" si="44">E311-G311</f>
        <v>237.31644144143996</v>
      </c>
      <c r="J311" s="9">
        <f t="shared" ref="J311:J319" si="45">D311-F311</f>
        <v>1111.9915540540599</v>
      </c>
      <c r="K311" s="9">
        <f t="shared" si="31"/>
        <v>237.31644144143996</v>
      </c>
      <c r="L311" s="10">
        <f t="shared" si="30"/>
        <v>0.21341568699531935</v>
      </c>
      <c r="M311" s="10">
        <f t="shared" ref="M311:M319" si="46">L311+ABS($N$2)*A311</f>
        <v>0.29049632385365887</v>
      </c>
      <c r="P311" s="8">
        <f t="shared" ref="P311:P319" si="47">(M311-$O$2)/$O$2*100</f>
        <v>-0.1894225932426053</v>
      </c>
    </row>
    <row r="312" spans="1:16" x14ac:dyDescent="0.2">
      <c r="A312" s="8">
        <v>155</v>
      </c>
      <c r="B312" s="8">
        <v>310</v>
      </c>
      <c r="D312">
        <v>1263.2972972973</v>
      </c>
      <c r="E312">
        <v>355.46340090090001</v>
      </c>
      <c r="F312">
        <v>151.85923423423</v>
      </c>
      <c r="G312">
        <v>118.39414414414</v>
      </c>
      <c r="I312" s="9">
        <f t="shared" si="44"/>
        <v>237.06925675676001</v>
      </c>
      <c r="J312" s="9">
        <f t="shared" si="45"/>
        <v>1111.4380630630701</v>
      </c>
      <c r="K312" s="9">
        <f t="shared" si="31"/>
        <v>237.06925675676001</v>
      </c>
      <c r="L312" s="10">
        <f t="shared" si="30"/>
        <v>0.21329956624250251</v>
      </c>
      <c r="M312" s="10">
        <f t="shared" si="46"/>
        <v>0.29062965500005999</v>
      </c>
      <c r="N312" s="1"/>
      <c r="P312" s="8">
        <f t="shared" si="47"/>
        <v>-0.14361182864475291</v>
      </c>
    </row>
    <row r="313" spans="1:16" x14ac:dyDescent="0.2">
      <c r="A313" s="8">
        <v>155.5</v>
      </c>
      <c r="B313" s="8">
        <v>311</v>
      </c>
      <c r="D313">
        <v>1262.7640765766</v>
      </c>
      <c r="E313">
        <v>355.59515765766002</v>
      </c>
      <c r="F313">
        <v>152.71621621622</v>
      </c>
      <c r="G313">
        <v>118.65315315315</v>
      </c>
      <c r="I313" s="9">
        <f t="shared" si="44"/>
        <v>236.94200450451001</v>
      </c>
      <c r="J313" s="9">
        <f t="shared" si="45"/>
        <v>1110.0478603603801</v>
      </c>
      <c r="K313" s="9">
        <f t="shared" si="31"/>
        <v>236.94200450451001</v>
      </c>
      <c r="L313" s="10">
        <f t="shared" si="30"/>
        <v>0.21345206181252954</v>
      </c>
      <c r="M313" s="10">
        <f t="shared" si="46"/>
        <v>0.29103160246930493</v>
      </c>
      <c r="P313" s="8">
        <f t="shared" si="47"/>
        <v>-5.5081567623782362E-3</v>
      </c>
    </row>
    <row r="314" spans="1:16" x14ac:dyDescent="0.2">
      <c r="A314" s="8">
        <v>156</v>
      </c>
      <c r="B314" s="8">
        <v>312</v>
      </c>
      <c r="D314">
        <v>1261.2961711712001</v>
      </c>
      <c r="E314">
        <v>354.49605855855998</v>
      </c>
      <c r="F314">
        <v>152.28378378378</v>
      </c>
      <c r="G314">
        <v>119.01013513514</v>
      </c>
      <c r="I314" s="9">
        <f t="shared" si="44"/>
        <v>235.48592342341999</v>
      </c>
      <c r="J314" s="9">
        <f t="shared" si="45"/>
        <v>1109.0123873874199</v>
      </c>
      <c r="K314" s="9">
        <f t="shared" si="31"/>
        <v>235.48592342341999</v>
      </c>
      <c r="L314" s="10">
        <f t="shared" si="30"/>
        <v>0.21233840676763863</v>
      </c>
      <c r="M314" s="10">
        <f t="shared" si="46"/>
        <v>0.29016739932363195</v>
      </c>
      <c r="P314" s="8">
        <f t="shared" si="47"/>
        <v>-0.30243657851345418</v>
      </c>
    </row>
    <row r="315" spans="1:16" x14ac:dyDescent="0.2">
      <c r="A315" s="8">
        <v>156.5</v>
      </c>
      <c r="B315" s="8">
        <v>313</v>
      </c>
      <c r="D315">
        <v>1259.8029279279001</v>
      </c>
      <c r="E315">
        <v>354.6875</v>
      </c>
      <c r="F315">
        <v>152.84853603604</v>
      </c>
      <c r="G315">
        <v>118.70777027027</v>
      </c>
      <c r="I315" s="9">
        <f t="shared" si="44"/>
        <v>235.97972972973</v>
      </c>
      <c r="J315" s="9">
        <f t="shared" si="45"/>
        <v>1106.95439189186</v>
      </c>
      <c r="K315" s="9">
        <f t="shared" si="31"/>
        <v>235.97972972973</v>
      </c>
      <c r="L315" s="10">
        <f t="shared" si="30"/>
        <v>0.21317927049047131</v>
      </c>
      <c r="M315" s="10">
        <f t="shared" si="46"/>
        <v>0.29125771494568253</v>
      </c>
      <c r="P315" s="8">
        <f t="shared" si="47"/>
        <v>7.2181008204437735E-2</v>
      </c>
    </row>
    <row r="316" spans="1:16" x14ac:dyDescent="0.2">
      <c r="A316" s="8">
        <v>157</v>
      </c>
      <c r="B316" s="8">
        <v>314</v>
      </c>
      <c r="D316">
        <v>1261.5630630630999</v>
      </c>
      <c r="E316">
        <v>355.44988738738999</v>
      </c>
      <c r="F316">
        <v>152.32207207207</v>
      </c>
      <c r="G316">
        <v>118.39527027027</v>
      </c>
      <c r="I316" s="9">
        <f t="shared" si="44"/>
        <v>237.05461711711999</v>
      </c>
      <c r="J316" s="9">
        <f t="shared" si="45"/>
        <v>1109.2409909910298</v>
      </c>
      <c r="K316" s="9">
        <f t="shared" si="31"/>
        <v>237.05461711711999</v>
      </c>
      <c r="L316" s="10">
        <f t="shared" si="30"/>
        <v>0.21370885050445904</v>
      </c>
      <c r="M316" s="10">
        <f t="shared" si="46"/>
        <v>0.2920367468588882</v>
      </c>
      <c r="P316" s="8">
        <f t="shared" si="47"/>
        <v>0.33984575536495099</v>
      </c>
    </row>
    <row r="317" spans="1:16" x14ac:dyDescent="0.2">
      <c r="A317" s="8">
        <v>157.5</v>
      </c>
      <c r="B317" s="8">
        <v>315</v>
      </c>
      <c r="D317">
        <v>1262.0349099099001</v>
      </c>
      <c r="E317">
        <v>355.72297297297001</v>
      </c>
      <c r="F317">
        <v>151.85247747747999</v>
      </c>
      <c r="G317">
        <v>118.46621621622</v>
      </c>
      <c r="I317" s="9">
        <f t="shared" si="44"/>
        <v>237.25675675675001</v>
      </c>
      <c r="J317" s="9">
        <f t="shared" si="45"/>
        <v>1110.18243243242</v>
      </c>
      <c r="K317" s="9">
        <f t="shared" si="31"/>
        <v>237.25675675675001</v>
      </c>
      <c r="L317" s="10">
        <f t="shared" si="30"/>
        <v>0.21370970196035102</v>
      </c>
      <c r="M317" s="10">
        <f t="shared" si="46"/>
        <v>0.29228705021399809</v>
      </c>
      <c r="P317" s="8">
        <f t="shared" si="47"/>
        <v>0.42584657654213232</v>
      </c>
    </row>
    <row r="318" spans="1:16" x14ac:dyDescent="0.2">
      <c r="A318" s="8">
        <v>158</v>
      </c>
      <c r="B318" s="8">
        <v>316</v>
      </c>
      <c r="D318">
        <v>1261.5377252251999</v>
      </c>
      <c r="E318">
        <v>354.78153153152999</v>
      </c>
      <c r="F318">
        <v>151.63006756756999</v>
      </c>
      <c r="G318">
        <v>118.49211711712</v>
      </c>
      <c r="I318" s="9">
        <f t="shared" si="44"/>
        <v>236.28941441440998</v>
      </c>
      <c r="J318" s="9">
        <f t="shared" si="45"/>
        <v>1109.9076576576299</v>
      </c>
      <c r="K318" s="9">
        <f t="shared" si="31"/>
        <v>236.28941441440998</v>
      </c>
      <c r="L318" s="10">
        <f t="shared" si="30"/>
        <v>0.21289105700295791</v>
      </c>
      <c r="M318" s="10">
        <f t="shared" si="46"/>
        <v>0.29171785715582293</v>
      </c>
      <c r="P318" s="8">
        <f t="shared" si="47"/>
        <v>0.23027959986328203</v>
      </c>
    </row>
    <row r="319" spans="1:16" x14ac:dyDescent="0.2">
      <c r="A319" s="8">
        <v>158.5</v>
      </c>
      <c r="B319" s="8">
        <v>317</v>
      </c>
      <c r="D319">
        <v>1261.338963964</v>
      </c>
      <c r="E319">
        <v>356.27139639640001</v>
      </c>
      <c r="F319">
        <v>151.89414414414</v>
      </c>
      <c r="G319">
        <v>118.45833333333</v>
      </c>
      <c r="I319" s="9">
        <f t="shared" si="44"/>
        <v>237.81306306306999</v>
      </c>
      <c r="J319" s="9">
        <f t="shared" si="45"/>
        <v>1109.44481981986</v>
      </c>
      <c r="K319" s="9">
        <f t="shared" si="31"/>
        <v>237.81306306306999</v>
      </c>
      <c r="L319" s="10">
        <f t="shared" si="30"/>
        <v>0.2143532141613709</v>
      </c>
      <c r="M319" s="10">
        <f t="shared" si="46"/>
        <v>0.29342946621345384</v>
      </c>
      <c r="P319" s="8">
        <f t="shared" si="47"/>
        <v>0.81836514280749295</v>
      </c>
    </row>
    <row r="320" spans="1:16" x14ac:dyDescent="0.2">
      <c r="A320" s="8">
        <v>159</v>
      </c>
      <c r="B320" s="8">
        <v>318</v>
      </c>
      <c r="D320">
        <v>1262.8873873873999</v>
      </c>
      <c r="E320">
        <v>356.24831081080998</v>
      </c>
      <c r="F320">
        <v>151.74324324323999</v>
      </c>
      <c r="G320">
        <v>118.16610360360001</v>
      </c>
      <c r="I320" s="9">
        <f>E320-G320</f>
        <v>238.08220720720999</v>
      </c>
      <c r="J320" s="9">
        <f>D320-F320</f>
        <v>1111.14414414416</v>
      </c>
      <c r="K320" s="9">
        <f t="shared" si="31"/>
        <v>238.08220720720999</v>
      </c>
      <c r="L320" s="10">
        <f t="shared" si="30"/>
        <v>0.21426761636816147</v>
      </c>
      <c r="M320" s="10">
        <f>L320+ABS($N$2)*A320</f>
        <v>0.29359332031946234</v>
      </c>
      <c r="O320" s="11"/>
      <c r="P320" s="8">
        <f>(M320-$O$2)/$O$2*100</f>
        <v>0.87466318029802925</v>
      </c>
    </row>
    <row r="321" spans="1:16" x14ac:dyDescent="0.2">
      <c r="A321" s="8">
        <v>159.5</v>
      </c>
      <c r="B321" s="8">
        <v>319</v>
      </c>
      <c r="D321">
        <v>1254.8761261261</v>
      </c>
      <c r="E321">
        <v>355.56418918919002</v>
      </c>
      <c r="F321">
        <v>151.65990990991</v>
      </c>
      <c r="G321">
        <v>118.46734234234</v>
      </c>
      <c r="I321" s="9">
        <f t="shared" ref="I321:I322" si="48">E321-G321</f>
        <v>237.09684684685001</v>
      </c>
      <c r="J321" s="9">
        <f t="shared" ref="J321:J322" si="49">D321-F321</f>
        <v>1103.2162162161899</v>
      </c>
      <c r="K321" s="9">
        <f t="shared" si="31"/>
        <v>237.09684684685001</v>
      </c>
      <c r="L321" s="10">
        <f t="shared" si="30"/>
        <v>0.21491421478560621</v>
      </c>
      <c r="M321" s="10">
        <f t="shared" ref="M321:M322" si="50">L321+ABS($N$2)*A321</f>
        <v>0.29448937063612501</v>
      </c>
      <c r="P321" s="8">
        <f t="shared" ref="P321:P322" si="51">(M321-$O$2)/$O$2*100</f>
        <v>1.1825338559237346</v>
      </c>
    </row>
    <row r="322" spans="1:16" x14ac:dyDescent="0.2">
      <c r="A322" s="8">
        <v>160</v>
      </c>
      <c r="D322">
        <v>1243.981981982</v>
      </c>
      <c r="E322">
        <v>351.65090090090001</v>
      </c>
      <c r="F322">
        <v>151.46846846847001</v>
      </c>
      <c r="G322">
        <v>118.59403153153001</v>
      </c>
      <c r="I322" s="9">
        <f t="shared" si="48"/>
        <v>233.05686936937002</v>
      </c>
      <c r="J322" s="9">
        <f t="shared" si="49"/>
        <v>1092.5135135135299</v>
      </c>
      <c r="K322" s="9">
        <f t="shared" si="31"/>
        <v>233.05686936937002</v>
      </c>
      <c r="L322" s="10">
        <f t="shared" ref="L322" si="52">K322/J322</f>
        <v>0.21332172690464737</v>
      </c>
      <c r="M322" s="10">
        <f t="shared" si="50"/>
        <v>0.29314633465438411</v>
      </c>
      <c r="P322" s="8">
        <f t="shared" si="51"/>
        <v>0.72108499819863736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473-7ADE-354E-A5D0-B62511CF74B0}">
  <dimension ref="A1:Y798"/>
  <sheetViews>
    <sheetView topLeftCell="E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2824.1381306865001</v>
      </c>
      <c r="E2">
        <v>512.49958643507</v>
      </c>
      <c r="F2">
        <v>161.50613246116001</v>
      </c>
      <c r="G2">
        <v>123.75633687653</v>
      </c>
      <c r="H2" s="4"/>
      <c r="I2" s="5">
        <f>E2-G2</f>
        <v>388.74324955854001</v>
      </c>
      <c r="J2" s="5">
        <f>D2-F2</f>
        <v>2662.6319982253399</v>
      </c>
      <c r="K2" s="9">
        <f>I2*1</f>
        <v>388.74324955854001</v>
      </c>
      <c r="L2" s="6">
        <f t="shared" ref="L2:L65" si="0">K2/J2</f>
        <v>0.14599961610077536</v>
      </c>
      <c r="M2" s="6">
        <f>L2+ABS($N$2)*A2</f>
        <v>0.14599961610077536</v>
      </c>
      <c r="N2" s="4">
        <f>LINEST(V64:V103,U64:U103)</f>
        <v>-2.0872848698164198E-4</v>
      </c>
      <c r="O2" s="7">
        <f>AVERAGE(M62:M81)</f>
        <v>0.16659840430770739</v>
      </c>
      <c r="P2" s="4">
        <f>(M2-$O$2)/$O$2*100</f>
        <v>-12.364337037037915</v>
      </c>
    </row>
    <row r="3" spans="1:16" x14ac:dyDescent="0.2">
      <c r="A3" s="8">
        <v>0.5</v>
      </c>
      <c r="B3" s="8">
        <v>1</v>
      </c>
      <c r="D3">
        <v>2742.3416046318998</v>
      </c>
      <c r="E3">
        <v>502.79239040529001</v>
      </c>
      <c r="F3">
        <v>161.89615699101</v>
      </c>
      <c r="G3">
        <v>123.80376124285</v>
      </c>
      <c r="I3" s="9">
        <f t="shared" ref="I3:I66" si="1">E3-G3</f>
        <v>378.98862916244002</v>
      </c>
      <c r="J3" s="9">
        <f t="shared" ref="J3:J66" si="2">D3-F3</f>
        <v>2580.4454476408901</v>
      </c>
      <c r="K3" s="9">
        <f t="shared" ref="K3:K66" si="3">I3*1</f>
        <v>378.98862916244002</v>
      </c>
      <c r="L3" s="10">
        <f t="shared" si="0"/>
        <v>0.14686945988682737</v>
      </c>
      <c r="M3" s="10">
        <f t="shared" ref="M3:M66" si="4">L3+ABS($N$2)*A3</f>
        <v>0.1469738241303182</v>
      </c>
      <c r="P3" s="8">
        <f t="shared" ref="P3:P66" si="5">(M3-$O$2)/$O$2*100</f>
        <v>-11.779572714959846</v>
      </c>
    </row>
    <row r="4" spans="1:16" ht="16" x14ac:dyDescent="0.2">
      <c r="A4" s="8">
        <v>1</v>
      </c>
      <c r="B4" s="8">
        <v>2</v>
      </c>
      <c r="D4">
        <v>2644.0099255583</v>
      </c>
      <c r="E4">
        <v>489.83043837883002</v>
      </c>
      <c r="F4">
        <v>160.77841373671001</v>
      </c>
      <c r="G4">
        <v>123.29272281276</v>
      </c>
      <c r="I4" s="9">
        <f t="shared" si="1"/>
        <v>366.53771556607001</v>
      </c>
      <c r="J4" s="9">
        <f t="shared" si="2"/>
        <v>2483.2315118215902</v>
      </c>
      <c r="K4" s="9">
        <f t="shared" si="3"/>
        <v>366.53771556607001</v>
      </c>
      <c r="L4" s="10">
        <f t="shared" si="0"/>
        <v>0.14760513219212248</v>
      </c>
      <c r="M4" s="10">
        <f t="shared" si="4"/>
        <v>0.14781386067910413</v>
      </c>
      <c r="N4" s="1" t="s">
        <v>7</v>
      </c>
      <c r="P4" s="8">
        <f t="shared" si="5"/>
        <v>-11.275344266748318</v>
      </c>
    </row>
    <row r="5" spans="1:16" x14ac:dyDescent="0.2">
      <c r="A5" s="8">
        <v>1.5</v>
      </c>
      <c r="B5" s="8">
        <v>3</v>
      </c>
      <c r="D5">
        <v>2089.9528535979998</v>
      </c>
      <c r="E5">
        <v>438.31596360628998</v>
      </c>
      <c r="F5">
        <v>161.9035159444</v>
      </c>
      <c r="G5">
        <v>123.85690923958001</v>
      </c>
      <c r="I5" s="9">
        <f t="shared" si="1"/>
        <v>314.45905436671001</v>
      </c>
      <c r="J5" s="9">
        <f t="shared" si="2"/>
        <v>1928.0493376535999</v>
      </c>
      <c r="K5" s="9">
        <f t="shared" si="3"/>
        <v>314.45905436671001</v>
      </c>
      <c r="L5" s="10">
        <f t="shared" si="0"/>
        <v>0.16309699561391972</v>
      </c>
      <c r="M5" s="10">
        <f t="shared" si="4"/>
        <v>0.16341008834439219</v>
      </c>
      <c r="N5" s="8">
        <f>RSQ(V64:V83,U64:U83)</f>
        <v>0.58461794884392426</v>
      </c>
      <c r="P5" s="8">
        <f t="shared" si="5"/>
        <v>-1.9137734101140491</v>
      </c>
    </row>
    <row r="6" spans="1:16" x14ac:dyDescent="0.2">
      <c r="A6" s="8">
        <v>2</v>
      </c>
      <c r="B6" s="8">
        <v>4</v>
      </c>
      <c r="D6">
        <v>2528.5587510270998</v>
      </c>
      <c r="E6">
        <v>483.42317173377</v>
      </c>
      <c r="F6">
        <v>162.31725265739999</v>
      </c>
      <c r="G6">
        <v>123.88389206868</v>
      </c>
      <c r="I6" s="9">
        <f t="shared" si="1"/>
        <v>359.53927966509002</v>
      </c>
      <c r="J6" s="9">
        <f t="shared" si="2"/>
        <v>2366.2414983696999</v>
      </c>
      <c r="K6" s="9">
        <f t="shared" si="3"/>
        <v>359.53927966509002</v>
      </c>
      <c r="L6" s="10">
        <f t="shared" si="0"/>
        <v>0.1519453022494984</v>
      </c>
      <c r="M6" s="10">
        <f t="shared" si="4"/>
        <v>0.15236275922346168</v>
      </c>
      <c r="P6" s="8">
        <f t="shared" si="5"/>
        <v>-8.544886815333756</v>
      </c>
    </row>
    <row r="7" spans="1:16" x14ac:dyDescent="0.2">
      <c r="A7" s="8">
        <v>2.5</v>
      </c>
      <c r="B7" s="8">
        <v>5</v>
      </c>
      <c r="D7">
        <v>2631.9983566146002</v>
      </c>
      <c r="E7">
        <v>485.31059983566001</v>
      </c>
      <c r="F7">
        <v>162.83973834832</v>
      </c>
      <c r="G7">
        <v>124.02289452167</v>
      </c>
      <c r="I7" s="9">
        <f t="shared" si="1"/>
        <v>361.28770531399005</v>
      </c>
      <c r="J7" s="9">
        <f t="shared" si="2"/>
        <v>2469.1586182662804</v>
      </c>
      <c r="K7" s="9">
        <f t="shared" si="3"/>
        <v>361.28770531399005</v>
      </c>
      <c r="L7" s="10">
        <f t="shared" si="0"/>
        <v>0.1463201685955956</v>
      </c>
      <c r="M7" s="10">
        <f t="shared" si="4"/>
        <v>0.14684198981304972</v>
      </c>
      <c r="P7" s="8">
        <f t="shared" si="5"/>
        <v>-11.858705716152935</v>
      </c>
    </row>
    <row r="8" spans="1:16" x14ac:dyDescent="0.2">
      <c r="A8" s="8">
        <v>3</v>
      </c>
      <c r="B8" s="8">
        <v>6</v>
      </c>
      <c r="D8">
        <v>2637.2563681183001</v>
      </c>
      <c r="E8">
        <v>468.75267050123</v>
      </c>
      <c r="F8">
        <v>162.13573180703</v>
      </c>
      <c r="G8">
        <v>124.00245298446001</v>
      </c>
      <c r="I8" s="9">
        <f t="shared" si="1"/>
        <v>344.75021751677002</v>
      </c>
      <c r="J8" s="9">
        <f t="shared" si="2"/>
        <v>2475.1206363112701</v>
      </c>
      <c r="K8" s="9">
        <f t="shared" si="3"/>
        <v>344.75021751677002</v>
      </c>
      <c r="L8" s="10">
        <f t="shared" si="0"/>
        <v>0.13928622809697036</v>
      </c>
      <c r="M8" s="10">
        <f t="shared" si="4"/>
        <v>0.13991241355791528</v>
      </c>
      <c r="P8" s="8">
        <f t="shared" si="5"/>
        <v>-16.018155072183681</v>
      </c>
    </row>
    <row r="9" spans="1:16" x14ac:dyDescent="0.2">
      <c r="A9" s="8">
        <v>3.5</v>
      </c>
      <c r="B9" s="8">
        <v>7</v>
      </c>
      <c r="D9">
        <v>2529.7621800165002</v>
      </c>
      <c r="E9">
        <v>476.27745664740002</v>
      </c>
      <c r="F9">
        <v>162.67293540474</v>
      </c>
      <c r="G9">
        <v>124.02452984464</v>
      </c>
      <c r="I9" s="9">
        <f t="shared" si="1"/>
        <v>352.25292680276004</v>
      </c>
      <c r="J9" s="9">
        <f t="shared" si="2"/>
        <v>2367.08924461176</v>
      </c>
      <c r="K9" s="9">
        <f t="shared" si="3"/>
        <v>352.25292680276004</v>
      </c>
      <c r="L9" s="10">
        <f t="shared" si="0"/>
        <v>0.14881269373539613</v>
      </c>
      <c r="M9" s="10">
        <f t="shared" si="4"/>
        <v>0.14954324343983189</v>
      </c>
      <c r="P9" s="8">
        <f t="shared" si="5"/>
        <v>-10.237289449888493</v>
      </c>
    </row>
    <row r="10" spans="1:16" x14ac:dyDescent="0.2">
      <c r="A10" s="8">
        <v>4</v>
      </c>
      <c r="B10" s="8">
        <v>8</v>
      </c>
      <c r="D10">
        <v>2620.7555739058998</v>
      </c>
      <c r="E10">
        <v>476.46738232864999</v>
      </c>
      <c r="F10">
        <v>163.11856091577999</v>
      </c>
      <c r="G10">
        <v>124.03107113655</v>
      </c>
      <c r="I10" s="9">
        <f t="shared" si="1"/>
        <v>352.43631119209999</v>
      </c>
      <c r="J10" s="9">
        <f t="shared" si="2"/>
        <v>2457.6370129901197</v>
      </c>
      <c r="K10" s="9">
        <f t="shared" si="3"/>
        <v>352.43631119209999</v>
      </c>
      <c r="L10" s="10">
        <f t="shared" si="0"/>
        <v>0.14340454238329656</v>
      </c>
      <c r="M10" s="10">
        <f t="shared" si="4"/>
        <v>0.14423945633122312</v>
      </c>
      <c r="P10" s="8">
        <f t="shared" si="5"/>
        <v>-13.420865625571826</v>
      </c>
    </row>
    <row r="11" spans="1:16" x14ac:dyDescent="0.2">
      <c r="A11" s="8">
        <v>4.5</v>
      </c>
      <c r="B11" s="8">
        <v>9</v>
      </c>
      <c r="D11">
        <v>2551.9644921551999</v>
      </c>
      <c r="E11">
        <v>462.33691164327001</v>
      </c>
      <c r="F11">
        <v>162.79967293541</v>
      </c>
      <c r="G11">
        <v>123.78250204414999</v>
      </c>
      <c r="I11" s="9">
        <f t="shared" si="1"/>
        <v>338.55440959912005</v>
      </c>
      <c r="J11" s="9">
        <f t="shared" si="2"/>
        <v>2389.1648192197899</v>
      </c>
      <c r="K11" s="9">
        <f t="shared" si="3"/>
        <v>338.55440959912005</v>
      </c>
      <c r="L11" s="10">
        <f t="shared" si="0"/>
        <v>0.14170408289775463</v>
      </c>
      <c r="M11" s="10">
        <f t="shared" si="4"/>
        <v>0.14264336108917203</v>
      </c>
      <c r="P11" s="8">
        <f t="shared" si="5"/>
        <v>-14.378915163131085</v>
      </c>
    </row>
    <row r="12" spans="1:16" x14ac:dyDescent="0.2">
      <c r="A12" s="8">
        <v>5</v>
      </c>
      <c r="B12" s="8">
        <v>10</v>
      </c>
      <c r="D12">
        <v>2357.4731626755001</v>
      </c>
      <c r="E12">
        <v>465.96284062758002</v>
      </c>
      <c r="F12">
        <v>162.74897792313999</v>
      </c>
      <c r="G12">
        <v>124.27718724448</v>
      </c>
      <c r="I12" s="9">
        <f t="shared" si="1"/>
        <v>341.68565338310003</v>
      </c>
      <c r="J12" s="9">
        <f t="shared" si="2"/>
        <v>2194.7241847523601</v>
      </c>
      <c r="K12" s="9">
        <f t="shared" si="3"/>
        <v>341.68565338310003</v>
      </c>
      <c r="L12" s="10">
        <f t="shared" si="0"/>
        <v>0.15568500851128766</v>
      </c>
      <c r="M12" s="10">
        <f t="shared" si="4"/>
        <v>0.15672865094619587</v>
      </c>
      <c r="P12" s="8">
        <f t="shared" si="5"/>
        <v>-5.9242784482389652</v>
      </c>
    </row>
    <row r="13" spans="1:16" x14ac:dyDescent="0.2">
      <c r="A13" s="8">
        <v>5.5</v>
      </c>
      <c r="B13" s="8">
        <v>11</v>
      </c>
      <c r="D13">
        <v>3521.1207609594999</v>
      </c>
      <c r="E13">
        <v>589.62861869313997</v>
      </c>
      <c r="F13">
        <v>162.77350776777999</v>
      </c>
      <c r="G13">
        <v>123.87080948486999</v>
      </c>
      <c r="I13" s="9">
        <f t="shared" si="1"/>
        <v>465.75780920826998</v>
      </c>
      <c r="J13" s="9">
        <f t="shared" si="2"/>
        <v>3358.34725319172</v>
      </c>
      <c r="K13" s="9">
        <f t="shared" si="3"/>
        <v>465.75780920826998</v>
      </c>
      <c r="L13" s="10">
        <f t="shared" si="0"/>
        <v>0.13868661400801277</v>
      </c>
      <c r="M13" s="10">
        <f t="shared" si="4"/>
        <v>0.13983462068641181</v>
      </c>
      <c r="P13" s="8">
        <f t="shared" si="5"/>
        <v>-16.06484992008858</v>
      </c>
    </row>
    <row r="14" spans="1:16" x14ac:dyDescent="0.2">
      <c r="A14" s="8">
        <v>6</v>
      </c>
      <c r="B14" s="8">
        <v>12</v>
      </c>
      <c r="D14">
        <v>3518.0471464020002</v>
      </c>
      <c r="E14">
        <v>587.33333333332996</v>
      </c>
      <c r="F14">
        <v>163.38920686835999</v>
      </c>
      <c r="G14">
        <v>123.77105478332</v>
      </c>
      <c r="I14" s="9">
        <f t="shared" si="1"/>
        <v>463.56227855000998</v>
      </c>
      <c r="J14" s="9">
        <f t="shared" si="2"/>
        <v>3354.6579395336403</v>
      </c>
      <c r="K14" s="9">
        <f t="shared" si="3"/>
        <v>463.56227855000998</v>
      </c>
      <c r="L14" s="10">
        <f t="shared" si="0"/>
        <v>0.13818466350535094</v>
      </c>
      <c r="M14" s="10">
        <f t="shared" si="4"/>
        <v>0.13943703442724079</v>
      </c>
      <c r="P14" s="8">
        <f t="shared" si="5"/>
        <v>-16.303499420258273</v>
      </c>
    </row>
    <row r="15" spans="1:16" x14ac:dyDescent="0.2">
      <c r="A15" s="8">
        <v>6.5</v>
      </c>
      <c r="B15" s="8">
        <v>13</v>
      </c>
      <c r="D15">
        <v>3503.0311475409999</v>
      </c>
      <c r="E15">
        <v>596.38114754098001</v>
      </c>
      <c r="F15">
        <v>162.43254292723</v>
      </c>
      <c r="G15">
        <v>124.35077677840999</v>
      </c>
      <c r="I15" s="9">
        <f t="shared" si="1"/>
        <v>472.03037076256999</v>
      </c>
      <c r="J15" s="9">
        <f t="shared" si="2"/>
        <v>3340.59860461377</v>
      </c>
      <c r="K15" s="9">
        <f t="shared" si="3"/>
        <v>472.03037076256999</v>
      </c>
      <c r="L15" s="10">
        <f t="shared" si="0"/>
        <v>0.14130113390774907</v>
      </c>
      <c r="M15" s="10">
        <f t="shared" si="4"/>
        <v>0.14265786907312974</v>
      </c>
      <c r="P15" s="8">
        <f t="shared" si="5"/>
        <v>-14.370206806038466</v>
      </c>
    </row>
    <row r="16" spans="1:16" x14ac:dyDescent="0.2">
      <c r="A16" s="8">
        <v>7</v>
      </c>
      <c r="B16" s="8">
        <v>14</v>
      </c>
      <c r="D16">
        <v>3500.4180327868999</v>
      </c>
      <c r="E16">
        <v>596.06229508196998</v>
      </c>
      <c r="F16">
        <v>162.48569092395999</v>
      </c>
      <c r="G16">
        <v>124.47669664759</v>
      </c>
      <c r="I16" s="9">
        <f t="shared" si="1"/>
        <v>471.58559843437996</v>
      </c>
      <c r="J16" s="9">
        <f t="shared" si="2"/>
        <v>3337.9323418629397</v>
      </c>
      <c r="K16" s="9">
        <f t="shared" si="3"/>
        <v>471.58559843437996</v>
      </c>
      <c r="L16" s="10">
        <f t="shared" si="0"/>
        <v>0.14128075411234442</v>
      </c>
      <c r="M16" s="10">
        <f t="shared" si="4"/>
        <v>0.14274185352121591</v>
      </c>
      <c r="P16" s="8">
        <f t="shared" si="5"/>
        <v>-14.31979549001467</v>
      </c>
    </row>
    <row r="17" spans="1:16" x14ac:dyDescent="0.2">
      <c r="A17" s="8">
        <v>7.5</v>
      </c>
      <c r="B17" s="8">
        <v>15</v>
      </c>
      <c r="D17">
        <v>3501.2549342104999</v>
      </c>
      <c r="E17">
        <v>585.0625</v>
      </c>
      <c r="F17">
        <v>161.94930498773999</v>
      </c>
      <c r="G17">
        <v>123.97792313982001</v>
      </c>
      <c r="I17" s="9">
        <f t="shared" si="1"/>
        <v>461.08457686017999</v>
      </c>
      <c r="J17" s="9">
        <f t="shared" si="2"/>
        <v>3339.3056292227598</v>
      </c>
      <c r="K17" s="9">
        <f t="shared" si="3"/>
        <v>461.08457686017999</v>
      </c>
      <c r="L17" s="10">
        <f t="shared" si="0"/>
        <v>0.13807798029181886</v>
      </c>
      <c r="M17" s="10">
        <f t="shared" si="4"/>
        <v>0.13964344394418118</v>
      </c>
      <c r="P17" s="8">
        <f t="shared" si="5"/>
        <v>-16.179602965308344</v>
      </c>
    </row>
    <row r="18" spans="1:16" x14ac:dyDescent="0.2">
      <c r="A18" s="8">
        <v>8</v>
      </c>
      <c r="B18" s="8">
        <v>16</v>
      </c>
      <c r="D18">
        <v>3526.4695723683999</v>
      </c>
      <c r="E18">
        <v>583.19901315790003</v>
      </c>
      <c r="F18">
        <v>162.65331152902999</v>
      </c>
      <c r="G18">
        <v>123.98937040065</v>
      </c>
      <c r="I18" s="9">
        <f t="shared" si="1"/>
        <v>459.20964275725004</v>
      </c>
      <c r="J18" s="9">
        <f t="shared" si="2"/>
        <v>3363.81626083937</v>
      </c>
      <c r="K18" s="9">
        <f t="shared" si="3"/>
        <v>459.20964275725004</v>
      </c>
      <c r="L18" s="10">
        <f t="shared" si="0"/>
        <v>0.13651448448693326</v>
      </c>
      <c r="M18" s="10">
        <f t="shared" si="4"/>
        <v>0.13818431238278639</v>
      </c>
      <c r="P18" s="8">
        <f t="shared" si="5"/>
        <v>-17.05544062261254</v>
      </c>
    </row>
    <row r="19" spans="1:16" x14ac:dyDescent="0.2">
      <c r="A19" s="8">
        <v>8.5</v>
      </c>
      <c r="B19" s="8">
        <v>17</v>
      </c>
      <c r="D19">
        <v>3519.9695723683999</v>
      </c>
      <c r="E19">
        <v>581.70641447367996</v>
      </c>
      <c r="F19">
        <v>163.19869174162</v>
      </c>
      <c r="G19">
        <v>124.10466067048</v>
      </c>
      <c r="I19" s="9">
        <f t="shared" si="1"/>
        <v>457.60175380319993</v>
      </c>
      <c r="J19" s="9">
        <f t="shared" si="2"/>
        <v>3356.7708806267801</v>
      </c>
      <c r="K19" s="9">
        <f t="shared" si="3"/>
        <v>457.60175380319993</v>
      </c>
      <c r="L19" s="10">
        <f t="shared" si="0"/>
        <v>0.13632201007348943</v>
      </c>
      <c r="M19" s="10">
        <f t="shared" si="4"/>
        <v>0.13809620221283339</v>
      </c>
      <c r="P19" s="8">
        <f t="shared" si="5"/>
        <v>-17.10832838604529</v>
      </c>
    </row>
    <row r="20" spans="1:16" x14ac:dyDescent="0.2">
      <c r="A20" s="8">
        <v>9</v>
      </c>
      <c r="B20" s="8">
        <v>18</v>
      </c>
      <c r="D20">
        <v>3476.7739557740001</v>
      </c>
      <c r="E20">
        <v>574.36281736282001</v>
      </c>
      <c r="F20">
        <v>163.54210956663999</v>
      </c>
      <c r="G20">
        <v>124.24775143091</v>
      </c>
      <c r="I20" s="9">
        <f t="shared" si="1"/>
        <v>450.11506593191001</v>
      </c>
      <c r="J20" s="9">
        <f t="shared" si="2"/>
        <v>3313.2318462073599</v>
      </c>
      <c r="K20" s="9">
        <f t="shared" si="3"/>
        <v>450.11506593191001</v>
      </c>
      <c r="L20" s="10">
        <f t="shared" si="0"/>
        <v>0.135853778674485</v>
      </c>
      <c r="M20" s="10">
        <f t="shared" si="4"/>
        <v>0.13773233505731977</v>
      </c>
      <c r="P20" s="8">
        <f t="shared" si="5"/>
        <v>-17.326738134341291</v>
      </c>
    </row>
    <row r="21" spans="1:16" x14ac:dyDescent="0.2">
      <c r="A21" s="8">
        <v>9.5</v>
      </c>
      <c r="B21" s="8">
        <v>19</v>
      </c>
      <c r="D21">
        <v>3491.3665568369001</v>
      </c>
      <c r="E21">
        <v>575.17874794068996</v>
      </c>
      <c r="F21">
        <v>163.17089125102001</v>
      </c>
      <c r="G21">
        <v>124.57399836467999</v>
      </c>
      <c r="I21" s="9">
        <f t="shared" si="1"/>
        <v>450.60474957600997</v>
      </c>
      <c r="J21" s="9">
        <f t="shared" si="2"/>
        <v>3328.1956655858803</v>
      </c>
      <c r="K21" s="9">
        <f t="shared" si="3"/>
        <v>450.60474957600997</v>
      </c>
      <c r="L21" s="10">
        <f t="shared" si="0"/>
        <v>0.13539010168042134</v>
      </c>
      <c r="M21" s="10">
        <f t="shared" si="4"/>
        <v>0.13737302230674694</v>
      </c>
      <c r="P21" s="8">
        <f t="shared" si="5"/>
        <v>-17.542414119994294</v>
      </c>
    </row>
    <row r="22" spans="1:16" x14ac:dyDescent="0.2">
      <c r="A22" s="8">
        <v>10</v>
      </c>
      <c r="B22" s="8">
        <v>20</v>
      </c>
      <c r="D22">
        <v>3418.1556836903001</v>
      </c>
      <c r="E22">
        <v>576.13179571664</v>
      </c>
      <c r="F22">
        <v>163.05641864268</v>
      </c>
      <c r="G22">
        <v>124.54619787407999</v>
      </c>
      <c r="I22" s="9">
        <f t="shared" si="1"/>
        <v>451.58559784255999</v>
      </c>
      <c r="J22" s="9">
        <f t="shared" si="2"/>
        <v>3255.0992650476201</v>
      </c>
      <c r="K22" s="9">
        <f t="shared" si="3"/>
        <v>451.58559784255999</v>
      </c>
      <c r="L22" s="10">
        <f t="shared" si="0"/>
        <v>0.13873174397216226</v>
      </c>
      <c r="M22" s="10">
        <f t="shared" si="4"/>
        <v>0.14081902884197867</v>
      </c>
      <c r="P22" s="8">
        <f t="shared" si="5"/>
        <v>-15.473963014744246</v>
      </c>
    </row>
    <row r="23" spans="1:16" x14ac:dyDescent="0.2">
      <c r="A23" s="8">
        <v>10.5</v>
      </c>
      <c r="B23" s="8">
        <v>21</v>
      </c>
      <c r="D23">
        <v>3330.9093904448</v>
      </c>
      <c r="E23">
        <v>570.30807248763995</v>
      </c>
      <c r="F23">
        <v>163.65903515944001</v>
      </c>
      <c r="G23">
        <v>124.08094848733001</v>
      </c>
      <c r="I23" s="9">
        <f t="shared" si="1"/>
        <v>446.22712400030991</v>
      </c>
      <c r="J23" s="9">
        <f t="shared" si="2"/>
        <v>3167.25035528536</v>
      </c>
      <c r="K23" s="9">
        <f t="shared" si="3"/>
        <v>446.22712400030991</v>
      </c>
      <c r="L23" s="10">
        <f t="shared" si="0"/>
        <v>0.14088785979790541</v>
      </c>
      <c r="M23" s="10">
        <f t="shared" si="4"/>
        <v>0.14307950891121266</v>
      </c>
      <c r="P23" s="8">
        <f t="shared" si="5"/>
        <v>-14.117119245065107</v>
      </c>
    </row>
    <row r="24" spans="1:16" x14ac:dyDescent="0.2">
      <c r="A24" s="8">
        <v>11</v>
      </c>
      <c r="B24" s="8">
        <v>22</v>
      </c>
      <c r="D24">
        <v>3406.9712879408999</v>
      </c>
      <c r="E24">
        <v>588.18703855619003</v>
      </c>
      <c r="F24">
        <v>163.11283728536</v>
      </c>
      <c r="G24">
        <v>124.29517579722</v>
      </c>
      <c r="I24" s="9">
        <f t="shared" si="1"/>
        <v>463.89186275897003</v>
      </c>
      <c r="J24" s="9">
        <f t="shared" si="2"/>
        <v>3243.8584506555399</v>
      </c>
      <c r="K24" s="9">
        <f t="shared" si="3"/>
        <v>463.89186275897003</v>
      </c>
      <c r="L24" s="10">
        <f t="shared" si="0"/>
        <v>0.14300619765490191</v>
      </c>
      <c r="M24" s="10">
        <f t="shared" si="4"/>
        <v>0.14530221101169996</v>
      </c>
      <c r="P24" s="8">
        <f t="shared" si="5"/>
        <v>-12.782951544165661</v>
      </c>
    </row>
    <row r="25" spans="1:16" x14ac:dyDescent="0.2">
      <c r="A25" s="8">
        <v>11.5</v>
      </c>
      <c r="B25" s="8">
        <v>23</v>
      </c>
      <c r="D25">
        <v>3482.0442986053999</v>
      </c>
      <c r="E25">
        <v>589.87202625102998</v>
      </c>
      <c r="F25">
        <v>163.40310711366001</v>
      </c>
      <c r="G25">
        <v>124.15535568275</v>
      </c>
      <c r="I25" s="9">
        <f t="shared" si="1"/>
        <v>465.71667056827999</v>
      </c>
      <c r="J25" s="9">
        <f t="shared" si="2"/>
        <v>3318.6411914917398</v>
      </c>
      <c r="K25" s="9">
        <f t="shared" si="3"/>
        <v>465.71667056827999</v>
      </c>
      <c r="L25" s="10">
        <f t="shared" si="0"/>
        <v>0.14033354125847478</v>
      </c>
      <c r="M25" s="10">
        <f t="shared" si="4"/>
        <v>0.14273391885876366</v>
      </c>
      <c r="P25" s="8">
        <f t="shared" si="5"/>
        <v>-14.324558238184567</v>
      </c>
    </row>
    <row r="26" spans="1:16" x14ac:dyDescent="0.2">
      <c r="A26" s="8">
        <v>12</v>
      </c>
      <c r="B26" s="8">
        <v>24</v>
      </c>
      <c r="D26">
        <v>3532.7264462809999</v>
      </c>
      <c r="E26">
        <v>585.40826446281005</v>
      </c>
      <c r="F26">
        <v>163.18969746524999</v>
      </c>
      <c r="G26">
        <v>123.91578086672</v>
      </c>
      <c r="I26" s="9">
        <f t="shared" si="1"/>
        <v>461.49248359609004</v>
      </c>
      <c r="J26" s="9">
        <f t="shared" si="2"/>
        <v>3369.5367488157499</v>
      </c>
      <c r="K26" s="9">
        <f t="shared" si="3"/>
        <v>461.49248359609004</v>
      </c>
      <c r="L26" s="10">
        <f t="shared" si="0"/>
        <v>0.1369602167889355</v>
      </c>
      <c r="M26" s="10">
        <f t="shared" si="4"/>
        <v>0.13946495863271519</v>
      </c>
      <c r="P26" s="8">
        <f t="shared" si="5"/>
        <v>-16.286738031942196</v>
      </c>
    </row>
    <row r="27" spans="1:16" x14ac:dyDescent="0.2">
      <c r="A27" s="8">
        <v>12.5</v>
      </c>
      <c r="B27" s="8">
        <v>25</v>
      </c>
      <c r="D27">
        <v>3504.5008264462999</v>
      </c>
      <c r="E27">
        <v>579.28677685950004</v>
      </c>
      <c r="F27">
        <v>163.60588716271999</v>
      </c>
      <c r="G27">
        <v>124.51921504497</v>
      </c>
      <c r="I27" s="9">
        <f t="shared" si="1"/>
        <v>454.76756181453004</v>
      </c>
      <c r="J27" s="9">
        <f t="shared" si="2"/>
        <v>3340.8949392835798</v>
      </c>
      <c r="K27" s="9">
        <f t="shared" si="3"/>
        <v>454.76756181453004</v>
      </c>
      <c r="L27" s="10">
        <f t="shared" si="0"/>
        <v>0.13612147944767464</v>
      </c>
      <c r="M27" s="10">
        <f t="shared" si="4"/>
        <v>0.13873058553494516</v>
      </c>
      <c r="P27" s="8">
        <f t="shared" si="5"/>
        <v>-16.727542432693621</v>
      </c>
    </row>
    <row r="28" spans="1:16" x14ac:dyDescent="0.2">
      <c r="A28" s="8">
        <v>13</v>
      </c>
      <c r="B28" s="8">
        <v>26</v>
      </c>
      <c r="D28">
        <v>3522.8925619834999</v>
      </c>
      <c r="E28">
        <v>581.46694214876004</v>
      </c>
      <c r="F28">
        <v>162.96729354047</v>
      </c>
      <c r="G28">
        <v>124.50858544563</v>
      </c>
      <c r="I28" s="9">
        <f t="shared" si="1"/>
        <v>456.95835670313005</v>
      </c>
      <c r="J28" s="9">
        <f t="shared" si="2"/>
        <v>3359.9252684430298</v>
      </c>
      <c r="K28" s="9">
        <f t="shared" si="3"/>
        <v>456.95835670313005</v>
      </c>
      <c r="L28" s="10">
        <f t="shared" si="0"/>
        <v>0.13600253582868585</v>
      </c>
      <c r="M28" s="10">
        <f t="shared" si="4"/>
        <v>0.13871600615944721</v>
      </c>
      <c r="P28" s="8">
        <f t="shared" si="5"/>
        <v>-16.736293642261646</v>
      </c>
    </row>
    <row r="29" spans="1:16" x14ac:dyDescent="0.2">
      <c r="A29" s="8">
        <v>13.5</v>
      </c>
      <c r="B29" s="8">
        <v>27</v>
      </c>
      <c r="D29">
        <v>3508.3867768595001</v>
      </c>
      <c r="E29">
        <v>578.57190082645002</v>
      </c>
      <c r="F29">
        <v>163.78495502862</v>
      </c>
      <c r="G29">
        <v>124.63205233034</v>
      </c>
      <c r="I29" s="9">
        <f t="shared" si="1"/>
        <v>453.93984849611002</v>
      </c>
      <c r="J29" s="9">
        <f t="shared" si="2"/>
        <v>3344.60182183088</v>
      </c>
      <c r="K29" s="9">
        <f t="shared" si="3"/>
        <v>453.93984849611002</v>
      </c>
      <c r="L29" s="10">
        <f t="shared" si="0"/>
        <v>0.13572313616920093</v>
      </c>
      <c r="M29" s="10">
        <f t="shared" si="4"/>
        <v>0.13854097074345309</v>
      </c>
      <c r="P29" s="8">
        <f t="shared" si="5"/>
        <v>-16.841357923472184</v>
      </c>
    </row>
    <row r="30" spans="1:16" x14ac:dyDescent="0.2">
      <c r="A30" s="8">
        <v>14</v>
      </c>
      <c r="B30" s="8">
        <v>28</v>
      </c>
      <c r="D30">
        <v>3550.3107438017</v>
      </c>
      <c r="E30">
        <v>587.31570247933996</v>
      </c>
      <c r="F30">
        <v>163.18397383483</v>
      </c>
      <c r="G30">
        <v>123.74570727718999</v>
      </c>
      <c r="I30" s="9">
        <f t="shared" si="1"/>
        <v>463.56999520214998</v>
      </c>
      <c r="J30" s="9">
        <f t="shared" si="2"/>
        <v>3387.1267699668701</v>
      </c>
      <c r="K30" s="9">
        <f t="shared" si="3"/>
        <v>463.56999520214998</v>
      </c>
      <c r="L30" s="10">
        <f t="shared" si="0"/>
        <v>0.1368623103547684</v>
      </c>
      <c r="M30" s="10">
        <f t="shared" si="4"/>
        <v>0.1397845091725114</v>
      </c>
      <c r="P30" s="8">
        <f t="shared" si="5"/>
        <v>-16.094929148103191</v>
      </c>
    </row>
    <row r="31" spans="1:16" x14ac:dyDescent="0.2">
      <c r="A31" s="8">
        <v>14.5</v>
      </c>
      <c r="B31" s="8">
        <v>29</v>
      </c>
      <c r="D31">
        <v>3241.1578947367998</v>
      </c>
      <c r="E31">
        <v>577.26315789473995</v>
      </c>
      <c r="F31">
        <v>163.61896974653001</v>
      </c>
      <c r="G31">
        <v>124.18233851186</v>
      </c>
      <c r="I31" s="9">
        <f t="shared" si="1"/>
        <v>453.08081938287995</v>
      </c>
      <c r="J31" s="9">
        <f t="shared" si="2"/>
        <v>3077.5389249902696</v>
      </c>
      <c r="K31" s="9">
        <f t="shared" si="3"/>
        <v>453.08081938287995</v>
      </c>
      <c r="L31" s="10">
        <f t="shared" si="0"/>
        <v>0.14722179976466504</v>
      </c>
      <c r="M31" s="10">
        <f t="shared" si="4"/>
        <v>0.15024836282589885</v>
      </c>
      <c r="P31" s="8">
        <f t="shared" si="5"/>
        <v>-9.814044468043047</v>
      </c>
    </row>
    <row r="32" spans="1:16" x14ac:dyDescent="0.2">
      <c r="A32" s="8">
        <v>15</v>
      </c>
      <c r="B32" s="8">
        <v>30</v>
      </c>
      <c r="D32">
        <v>3295.4249384742002</v>
      </c>
      <c r="E32">
        <v>571.58490566037995</v>
      </c>
      <c r="F32">
        <v>163.67620605069999</v>
      </c>
      <c r="G32">
        <v>124.15780866721001</v>
      </c>
      <c r="I32" s="9">
        <f t="shared" si="1"/>
        <v>447.42709699316993</v>
      </c>
      <c r="J32" s="9">
        <f t="shared" si="2"/>
        <v>3131.7487324235003</v>
      </c>
      <c r="K32" s="9">
        <f t="shared" si="3"/>
        <v>447.42709699316993</v>
      </c>
      <c r="L32" s="10">
        <f t="shared" si="0"/>
        <v>0.14286813381957655</v>
      </c>
      <c r="M32" s="10">
        <f t="shared" si="4"/>
        <v>0.14599906112430119</v>
      </c>
      <c r="P32" s="8">
        <f t="shared" si="5"/>
        <v>-12.364670159360708</v>
      </c>
    </row>
    <row r="33" spans="1:16" x14ac:dyDescent="0.2">
      <c r="A33" s="8">
        <v>15.5</v>
      </c>
      <c r="B33" s="8">
        <v>31</v>
      </c>
      <c r="D33">
        <v>3550.8453947367998</v>
      </c>
      <c r="E33">
        <v>596.21463815790003</v>
      </c>
      <c r="F33">
        <v>163.63450531480001</v>
      </c>
      <c r="G33">
        <v>124.56663941127999</v>
      </c>
      <c r="I33" s="9">
        <f t="shared" si="1"/>
        <v>471.64799874662003</v>
      </c>
      <c r="J33" s="9">
        <f t="shared" si="2"/>
        <v>3387.2108894219996</v>
      </c>
      <c r="K33" s="9">
        <f t="shared" si="3"/>
        <v>471.64799874662003</v>
      </c>
      <c r="L33" s="10">
        <f t="shared" si="0"/>
        <v>0.1392437654884556</v>
      </c>
      <c r="M33" s="10">
        <f t="shared" si="4"/>
        <v>0.14247905703667105</v>
      </c>
      <c r="P33" s="8">
        <f t="shared" si="5"/>
        <v>-14.477537987991704</v>
      </c>
    </row>
    <row r="34" spans="1:16" x14ac:dyDescent="0.2">
      <c r="A34" s="8">
        <v>16</v>
      </c>
      <c r="B34" s="8">
        <v>32</v>
      </c>
      <c r="D34">
        <v>3566.2902960525998</v>
      </c>
      <c r="E34">
        <v>592.00411184210998</v>
      </c>
      <c r="F34">
        <v>163.48569092395999</v>
      </c>
      <c r="G34">
        <v>124.33605887163</v>
      </c>
      <c r="I34" s="9">
        <f t="shared" si="1"/>
        <v>467.66805297047995</v>
      </c>
      <c r="J34" s="9">
        <f t="shared" si="2"/>
        <v>3402.8046051286397</v>
      </c>
      <c r="K34" s="9">
        <f t="shared" si="3"/>
        <v>467.66805297047995</v>
      </c>
      <c r="L34" s="10">
        <f t="shared" si="0"/>
        <v>0.13743605855758509</v>
      </c>
      <c r="M34" s="10">
        <f t="shared" si="4"/>
        <v>0.14077571434929137</v>
      </c>
      <c r="P34" s="8">
        <f t="shared" si="5"/>
        <v>-15.499962359016054</v>
      </c>
    </row>
    <row r="35" spans="1:16" x14ac:dyDescent="0.2">
      <c r="A35" s="8">
        <v>16.5</v>
      </c>
      <c r="B35" s="8">
        <v>33</v>
      </c>
      <c r="D35">
        <v>3495.7255546425999</v>
      </c>
      <c r="E35">
        <v>590.54724732950001</v>
      </c>
      <c r="F35">
        <v>164.20359771055001</v>
      </c>
      <c r="G35">
        <v>124.08176614881</v>
      </c>
      <c r="I35" s="9">
        <f t="shared" si="1"/>
        <v>466.46548118069001</v>
      </c>
      <c r="J35" s="9">
        <f t="shared" si="2"/>
        <v>3331.5219569320498</v>
      </c>
      <c r="K35" s="9">
        <f t="shared" si="3"/>
        <v>466.46548118069001</v>
      </c>
      <c r="L35" s="10">
        <f t="shared" si="0"/>
        <v>0.14001573071133269</v>
      </c>
      <c r="M35" s="10">
        <f t="shared" si="4"/>
        <v>0.14345975074652978</v>
      </c>
      <c r="P35" s="8">
        <f t="shared" si="5"/>
        <v>-13.888880663250832</v>
      </c>
    </row>
    <row r="36" spans="1:16" x14ac:dyDescent="0.2">
      <c r="A36" s="8">
        <v>17</v>
      </c>
      <c r="B36" s="8">
        <v>34</v>
      </c>
      <c r="D36">
        <v>3485.5693191139999</v>
      </c>
      <c r="E36">
        <v>578.83429040196995</v>
      </c>
      <c r="F36">
        <v>163.94603434178001</v>
      </c>
      <c r="G36">
        <v>124.03270645953</v>
      </c>
      <c r="I36" s="9">
        <f t="shared" si="1"/>
        <v>454.80158394243995</v>
      </c>
      <c r="J36" s="9">
        <f t="shared" si="2"/>
        <v>3321.6232847722199</v>
      </c>
      <c r="K36" s="9">
        <f t="shared" si="3"/>
        <v>454.80158394243995</v>
      </c>
      <c r="L36" s="10">
        <f t="shared" si="0"/>
        <v>0.1369214823449276</v>
      </c>
      <c r="M36" s="10">
        <f t="shared" si="4"/>
        <v>0.14046986662361552</v>
      </c>
      <c r="P36" s="8">
        <f t="shared" si="5"/>
        <v>-15.683546185611984</v>
      </c>
    </row>
    <row r="37" spans="1:16" x14ac:dyDescent="0.2">
      <c r="A37" s="8">
        <v>17.5</v>
      </c>
      <c r="B37" s="8">
        <v>35</v>
      </c>
      <c r="D37">
        <v>3330.2987755101999</v>
      </c>
      <c r="E37">
        <v>556.86367346939005</v>
      </c>
      <c r="F37">
        <v>164.05478331971</v>
      </c>
      <c r="G37">
        <v>124.36958299264001</v>
      </c>
      <c r="I37" s="9">
        <f t="shared" si="1"/>
        <v>432.49409047675005</v>
      </c>
      <c r="J37" s="9">
        <f t="shared" si="2"/>
        <v>3166.2439921904897</v>
      </c>
      <c r="K37" s="9">
        <f t="shared" si="3"/>
        <v>432.49409047675005</v>
      </c>
      <c r="L37" s="10">
        <f t="shared" si="0"/>
        <v>0.13659531341977832</v>
      </c>
      <c r="M37" s="10">
        <f t="shared" si="4"/>
        <v>0.14024806194195705</v>
      </c>
      <c r="P37" s="8">
        <f t="shared" si="5"/>
        <v>-15.81668352421986</v>
      </c>
    </row>
    <row r="38" spans="1:16" x14ac:dyDescent="0.2">
      <c r="A38" s="8">
        <v>18</v>
      </c>
      <c r="B38" s="8">
        <v>36</v>
      </c>
      <c r="D38">
        <v>3357.1848184819</v>
      </c>
      <c r="E38">
        <v>591.88448844884999</v>
      </c>
      <c r="F38">
        <v>163.98282910875</v>
      </c>
      <c r="G38">
        <v>124.31398201144999</v>
      </c>
      <c r="I38" s="9">
        <f t="shared" si="1"/>
        <v>467.57050643740001</v>
      </c>
      <c r="J38" s="9">
        <f t="shared" si="2"/>
        <v>3193.2019893731499</v>
      </c>
      <c r="K38" s="9">
        <f t="shared" si="3"/>
        <v>467.57050643740001</v>
      </c>
      <c r="L38" s="10">
        <f t="shared" si="0"/>
        <v>0.1464268492859068</v>
      </c>
      <c r="M38" s="10">
        <f t="shared" si="4"/>
        <v>0.15018396205157636</v>
      </c>
      <c r="P38" s="8">
        <f t="shared" si="5"/>
        <v>-9.852700765256758</v>
      </c>
    </row>
    <row r="39" spans="1:16" x14ac:dyDescent="0.2">
      <c r="A39" s="8">
        <v>18.5</v>
      </c>
      <c r="B39" s="8">
        <v>37</v>
      </c>
      <c r="D39">
        <v>3391.8011551155</v>
      </c>
      <c r="E39">
        <v>591.17739273926998</v>
      </c>
      <c r="F39">
        <v>164.05805396566001</v>
      </c>
      <c r="G39">
        <v>124.64513491415001</v>
      </c>
      <c r="I39" s="9">
        <f t="shared" si="1"/>
        <v>466.53225782511998</v>
      </c>
      <c r="J39" s="9">
        <f t="shared" si="2"/>
        <v>3227.7431011498402</v>
      </c>
      <c r="K39" s="9">
        <f t="shared" si="3"/>
        <v>466.53225782511998</v>
      </c>
      <c r="L39" s="10">
        <f t="shared" si="0"/>
        <v>0.14453822476111067</v>
      </c>
      <c r="M39" s="10">
        <f t="shared" si="4"/>
        <v>0.14839970177027104</v>
      </c>
      <c r="P39" s="8">
        <f t="shared" si="5"/>
        <v>-10.923695585837267</v>
      </c>
    </row>
    <row r="40" spans="1:16" x14ac:dyDescent="0.2">
      <c r="A40" s="8">
        <v>19</v>
      </c>
      <c r="B40" s="8">
        <v>38</v>
      </c>
      <c r="D40">
        <v>3445.9294503691999</v>
      </c>
      <c r="E40">
        <v>589.12961443806</v>
      </c>
      <c r="F40">
        <v>163.48814390842</v>
      </c>
      <c r="G40">
        <v>124.72363041701</v>
      </c>
      <c r="I40" s="9">
        <f t="shared" si="1"/>
        <v>464.40598402105002</v>
      </c>
      <c r="J40" s="9">
        <f t="shared" si="2"/>
        <v>3282.4413064607797</v>
      </c>
      <c r="K40" s="9">
        <f t="shared" si="3"/>
        <v>464.40598402105002</v>
      </c>
      <c r="L40" s="10">
        <f t="shared" si="0"/>
        <v>0.1414818851770378</v>
      </c>
      <c r="M40" s="10">
        <f t="shared" si="4"/>
        <v>0.14544772642968901</v>
      </c>
      <c r="P40" s="8">
        <f t="shared" si="5"/>
        <v>-12.69560651910751</v>
      </c>
    </row>
    <row r="41" spans="1:16" x14ac:dyDescent="0.2">
      <c r="A41" s="8">
        <v>19.5</v>
      </c>
      <c r="B41" s="8">
        <v>39</v>
      </c>
      <c r="D41">
        <v>3446.7424118130002</v>
      </c>
      <c r="E41">
        <v>586.13617719442004</v>
      </c>
      <c r="F41">
        <v>164.46688470973001</v>
      </c>
      <c r="G41">
        <v>124.21259198692</v>
      </c>
      <c r="I41" s="9">
        <f t="shared" si="1"/>
        <v>461.92358520750003</v>
      </c>
      <c r="J41" s="9">
        <f t="shared" si="2"/>
        <v>3282.2755271032702</v>
      </c>
      <c r="K41" s="9">
        <f t="shared" si="3"/>
        <v>461.92358520750003</v>
      </c>
      <c r="L41" s="10">
        <f t="shared" si="0"/>
        <v>0.14073272685159516</v>
      </c>
      <c r="M41" s="10">
        <f t="shared" si="4"/>
        <v>0.14480293234773717</v>
      </c>
      <c r="P41" s="8">
        <f t="shared" si="5"/>
        <v>-13.082641487798389</v>
      </c>
    </row>
    <row r="42" spans="1:16" x14ac:dyDescent="0.2">
      <c r="A42" s="8">
        <v>20</v>
      </c>
      <c r="B42" s="8">
        <v>40</v>
      </c>
      <c r="D42">
        <v>3446.3169717137998</v>
      </c>
      <c r="E42">
        <v>608.96672212978001</v>
      </c>
      <c r="F42">
        <v>163.95829926411</v>
      </c>
      <c r="G42">
        <v>124.41700735895</v>
      </c>
      <c r="I42" s="9">
        <f t="shared" si="1"/>
        <v>484.54971477083001</v>
      </c>
      <c r="J42" s="9">
        <f t="shared" si="2"/>
        <v>3282.3586724496899</v>
      </c>
      <c r="K42" s="9">
        <f t="shared" si="3"/>
        <v>484.54971477083001</v>
      </c>
      <c r="L42" s="10">
        <f t="shared" si="0"/>
        <v>0.14762241519730104</v>
      </c>
      <c r="M42" s="10">
        <f t="shared" si="4"/>
        <v>0.15179698493693389</v>
      </c>
      <c r="P42" s="8">
        <f t="shared" si="5"/>
        <v>-8.884490480134053</v>
      </c>
    </row>
    <row r="43" spans="1:16" x14ac:dyDescent="0.2">
      <c r="A43" s="8">
        <v>20.5</v>
      </c>
      <c r="B43" s="8">
        <v>41</v>
      </c>
      <c r="D43">
        <v>3531.6647254576001</v>
      </c>
      <c r="E43">
        <v>617.81031613976995</v>
      </c>
      <c r="F43">
        <v>163.93213409648001</v>
      </c>
      <c r="G43">
        <v>124.05641864268</v>
      </c>
      <c r="I43" s="9">
        <f t="shared" si="1"/>
        <v>493.75389749708995</v>
      </c>
      <c r="J43" s="9">
        <f t="shared" si="2"/>
        <v>3367.7325913611203</v>
      </c>
      <c r="K43" s="9">
        <f t="shared" si="3"/>
        <v>493.75389749708995</v>
      </c>
      <c r="L43" s="10">
        <f t="shared" si="0"/>
        <v>0.14661315413333689</v>
      </c>
      <c r="M43" s="10">
        <f t="shared" si="4"/>
        <v>0.15089208811646054</v>
      </c>
      <c r="P43" s="8">
        <f t="shared" si="5"/>
        <v>-9.4276510369434696</v>
      </c>
    </row>
    <row r="44" spans="1:16" x14ac:dyDescent="0.2">
      <c r="A44" s="8">
        <v>21</v>
      </c>
      <c r="B44" s="8">
        <v>42</v>
      </c>
      <c r="D44">
        <v>3548.7350287120998</v>
      </c>
      <c r="E44">
        <v>612.19852337982002</v>
      </c>
      <c r="F44">
        <v>163.38184791495999</v>
      </c>
      <c r="G44">
        <v>124.92477514309</v>
      </c>
      <c r="I44" s="9">
        <f t="shared" si="1"/>
        <v>487.27374823673</v>
      </c>
      <c r="J44" s="9">
        <f t="shared" si="2"/>
        <v>3385.3531807971399</v>
      </c>
      <c r="K44" s="9">
        <f t="shared" si="3"/>
        <v>487.27374823673</v>
      </c>
      <c r="L44" s="10">
        <f t="shared" si="0"/>
        <v>0.14393586790315124</v>
      </c>
      <c r="M44" s="10">
        <f t="shared" si="4"/>
        <v>0.14831916612976573</v>
      </c>
      <c r="P44" s="8">
        <f t="shared" si="5"/>
        <v>-10.972036769439818</v>
      </c>
    </row>
    <row r="45" spans="1:16" x14ac:dyDescent="0.2">
      <c r="A45" s="8">
        <v>21.5</v>
      </c>
      <c r="B45" s="8">
        <v>43</v>
      </c>
      <c r="D45">
        <v>3567.3355209187998</v>
      </c>
      <c r="E45">
        <v>610.50205086135998</v>
      </c>
      <c r="F45">
        <v>164.07277187245001</v>
      </c>
      <c r="G45">
        <v>124.3172526574</v>
      </c>
      <c r="I45" s="9">
        <f t="shared" si="1"/>
        <v>486.18479820395999</v>
      </c>
      <c r="J45" s="9">
        <f t="shared" si="2"/>
        <v>3403.2627490463497</v>
      </c>
      <c r="K45" s="9">
        <f t="shared" si="3"/>
        <v>486.18479820395999</v>
      </c>
      <c r="L45" s="10">
        <f t="shared" si="0"/>
        <v>0.14285843734522025</v>
      </c>
      <c r="M45" s="10">
        <f t="shared" si="4"/>
        <v>0.14734609981532554</v>
      </c>
      <c r="P45" s="8">
        <f t="shared" si="5"/>
        <v>-11.556115781771133</v>
      </c>
    </row>
    <row r="46" spans="1:16" x14ac:dyDescent="0.2">
      <c r="A46" s="8">
        <v>22</v>
      </c>
      <c r="B46" s="8">
        <v>44</v>
      </c>
      <c r="D46">
        <v>3552.0057424117999</v>
      </c>
      <c r="E46">
        <v>605.56111566857999</v>
      </c>
      <c r="F46">
        <v>163.46524938675</v>
      </c>
      <c r="G46">
        <v>124.32542927228</v>
      </c>
      <c r="I46" s="9">
        <f t="shared" si="1"/>
        <v>481.23568639629997</v>
      </c>
      <c r="J46" s="9">
        <f t="shared" si="2"/>
        <v>3388.5404930250497</v>
      </c>
      <c r="K46" s="9">
        <f t="shared" si="3"/>
        <v>481.23568639629997</v>
      </c>
      <c r="L46" s="10">
        <f t="shared" si="0"/>
        <v>0.14201857330224399</v>
      </c>
      <c r="M46" s="10">
        <f t="shared" si="4"/>
        <v>0.14661060001584011</v>
      </c>
      <c r="P46" s="8">
        <f t="shared" si="5"/>
        <v>-11.997596480545988</v>
      </c>
    </row>
    <row r="47" spans="1:16" x14ac:dyDescent="0.2">
      <c r="A47" s="8">
        <v>22.5</v>
      </c>
      <c r="B47" s="8">
        <v>45</v>
      </c>
      <c r="D47">
        <v>3536.3437243642002</v>
      </c>
      <c r="E47">
        <v>604.76538146021005</v>
      </c>
      <c r="F47">
        <v>163.56418642681999</v>
      </c>
      <c r="G47">
        <v>124.61079313163999</v>
      </c>
      <c r="I47" s="9">
        <f t="shared" si="1"/>
        <v>480.15458832857007</v>
      </c>
      <c r="J47" s="9">
        <f t="shared" si="2"/>
        <v>3372.7795379373802</v>
      </c>
      <c r="K47" s="9">
        <f t="shared" si="3"/>
        <v>480.15458832857007</v>
      </c>
      <c r="L47" s="10">
        <f t="shared" si="0"/>
        <v>0.14236168801658708</v>
      </c>
      <c r="M47" s="10">
        <f t="shared" si="4"/>
        <v>0.14705807897367401</v>
      </c>
      <c r="P47" s="8">
        <f t="shared" si="5"/>
        <v>-11.728999095298887</v>
      </c>
    </row>
    <row r="48" spans="1:16" x14ac:dyDescent="0.2">
      <c r="A48" s="8">
        <v>23</v>
      </c>
      <c r="B48" s="8">
        <v>46</v>
      </c>
      <c r="D48">
        <v>3470.641509434</v>
      </c>
      <c r="E48">
        <v>586.85726004922003</v>
      </c>
      <c r="F48">
        <v>163.65331152902999</v>
      </c>
      <c r="G48">
        <v>124.48323793949</v>
      </c>
      <c r="I48" s="9">
        <f t="shared" si="1"/>
        <v>462.37402210973005</v>
      </c>
      <c r="J48" s="9">
        <f t="shared" si="2"/>
        <v>3306.9881979049701</v>
      </c>
      <c r="K48" s="9">
        <f t="shared" si="3"/>
        <v>462.37402210973005</v>
      </c>
      <c r="L48" s="10">
        <f t="shared" si="0"/>
        <v>0.13981725801218503</v>
      </c>
      <c r="M48" s="10">
        <f t="shared" si="4"/>
        <v>0.1446180132127628</v>
      </c>
      <c r="P48" s="8">
        <f t="shared" si="5"/>
        <v>-13.193638430261789</v>
      </c>
    </row>
    <row r="49" spans="1:25" x14ac:dyDescent="0.2">
      <c r="A49" s="8">
        <v>23.5</v>
      </c>
      <c r="B49" s="8">
        <v>47</v>
      </c>
      <c r="D49">
        <v>3472.5415637860001</v>
      </c>
      <c r="E49">
        <v>589.15473251029005</v>
      </c>
      <c r="F49">
        <v>163.32869991823</v>
      </c>
      <c r="G49">
        <v>124.41046606705</v>
      </c>
      <c r="I49" s="9">
        <f t="shared" si="1"/>
        <v>464.74426644324006</v>
      </c>
      <c r="J49" s="9">
        <f t="shared" si="2"/>
        <v>3309.21286386777</v>
      </c>
      <c r="K49" s="9">
        <f t="shared" si="3"/>
        <v>464.74426644324006</v>
      </c>
      <c r="L49" s="10">
        <f t="shared" si="0"/>
        <v>0.14043952007972443</v>
      </c>
      <c r="M49" s="10">
        <f t="shared" si="4"/>
        <v>0.14534463952379301</v>
      </c>
      <c r="P49" s="8">
        <f t="shared" si="5"/>
        <v>-12.757484006064468</v>
      </c>
    </row>
    <row r="50" spans="1:25" x14ac:dyDescent="0.2">
      <c r="A50" s="8">
        <v>24</v>
      </c>
      <c r="B50" s="8">
        <v>48</v>
      </c>
      <c r="D50">
        <v>3461.0452674897001</v>
      </c>
      <c r="E50">
        <v>593.64691358025004</v>
      </c>
      <c r="F50">
        <v>163.90760425184001</v>
      </c>
      <c r="G50">
        <v>124.52493867539</v>
      </c>
      <c r="I50" s="9">
        <f t="shared" si="1"/>
        <v>469.12197490486005</v>
      </c>
      <c r="J50" s="9">
        <f t="shared" si="2"/>
        <v>3297.1376632378601</v>
      </c>
      <c r="K50" s="9">
        <f t="shared" si="3"/>
        <v>469.12197490486005</v>
      </c>
      <c r="L50" s="10">
        <f t="shared" si="0"/>
        <v>0.14228158567215304</v>
      </c>
      <c r="M50" s="10">
        <f t="shared" si="4"/>
        <v>0.14729106935971245</v>
      </c>
      <c r="P50" s="8">
        <f t="shared" si="5"/>
        <v>-11.589147584111476</v>
      </c>
    </row>
    <row r="51" spans="1:25" x14ac:dyDescent="0.2">
      <c r="A51" s="8">
        <v>24.5</v>
      </c>
      <c r="B51" s="8">
        <v>49</v>
      </c>
      <c r="D51">
        <v>3492.3731587561001</v>
      </c>
      <c r="E51">
        <v>604.90507364975997</v>
      </c>
      <c r="F51">
        <v>164.2485690924</v>
      </c>
      <c r="G51">
        <v>124.44971381848001</v>
      </c>
      <c r="I51" s="9">
        <f t="shared" si="1"/>
        <v>480.45535983127996</v>
      </c>
      <c r="J51" s="9">
        <f t="shared" si="2"/>
        <v>3328.1245896637001</v>
      </c>
      <c r="K51" s="9">
        <f t="shared" si="3"/>
        <v>480.45535983127996</v>
      </c>
      <c r="L51" s="10">
        <f t="shared" si="0"/>
        <v>0.14436219164494349</v>
      </c>
      <c r="M51" s="10">
        <f t="shared" si="4"/>
        <v>0.14947603957599373</v>
      </c>
      <c r="P51" s="8">
        <f t="shared" si="5"/>
        <v>-10.277628289937663</v>
      </c>
    </row>
    <row r="52" spans="1:25" x14ac:dyDescent="0.2">
      <c r="A52" s="8">
        <v>25</v>
      </c>
      <c r="B52" s="8">
        <v>50</v>
      </c>
      <c r="D52">
        <v>3426.8502454991999</v>
      </c>
      <c r="E52">
        <v>616.78805237315999</v>
      </c>
      <c r="F52">
        <v>164.14963205232999</v>
      </c>
      <c r="G52">
        <v>124.12101390025001</v>
      </c>
      <c r="I52" s="9">
        <f t="shared" si="1"/>
        <v>492.66703847291001</v>
      </c>
      <c r="J52" s="9">
        <f t="shared" si="2"/>
        <v>3262.7006134468697</v>
      </c>
      <c r="K52" s="9">
        <f t="shared" si="3"/>
        <v>492.66703847291001</v>
      </c>
      <c r="L52" s="10">
        <f t="shared" si="0"/>
        <v>0.15099976885480568</v>
      </c>
      <c r="M52" s="10">
        <f t="shared" si="4"/>
        <v>0.15621798102934673</v>
      </c>
      <c r="P52" s="8">
        <f t="shared" si="5"/>
        <v>-6.230805944088166</v>
      </c>
    </row>
    <row r="53" spans="1:25" x14ac:dyDescent="0.2">
      <c r="A53" s="8">
        <v>25.5</v>
      </c>
      <c r="B53" s="8">
        <v>51</v>
      </c>
      <c r="D53">
        <v>3573.7897774113999</v>
      </c>
      <c r="E53">
        <v>632.07749381698</v>
      </c>
      <c r="F53">
        <v>164.26901062959999</v>
      </c>
      <c r="G53">
        <v>124.88798037612</v>
      </c>
      <c r="I53" s="9">
        <f t="shared" si="1"/>
        <v>507.18951344085997</v>
      </c>
      <c r="J53" s="9">
        <f t="shared" si="2"/>
        <v>3409.5207667817999</v>
      </c>
      <c r="K53" s="9">
        <f t="shared" si="3"/>
        <v>507.18951344085997</v>
      </c>
      <c r="L53" s="10">
        <f t="shared" si="0"/>
        <v>0.14875683362374392</v>
      </c>
      <c r="M53" s="10">
        <f t="shared" si="4"/>
        <v>0.15407941004177581</v>
      </c>
      <c r="P53" s="8">
        <f t="shared" si="5"/>
        <v>-7.5144742940088394</v>
      </c>
      <c r="S53" s="11"/>
      <c r="U53" s="12"/>
    </row>
    <row r="54" spans="1:25" x14ac:dyDescent="0.2">
      <c r="A54" s="8">
        <v>26</v>
      </c>
      <c r="B54" s="8">
        <v>52</v>
      </c>
      <c r="D54">
        <v>3419.0049833887001</v>
      </c>
      <c r="E54">
        <v>626.38538205980001</v>
      </c>
      <c r="F54">
        <v>164.08503679476999</v>
      </c>
      <c r="G54">
        <v>124.35486508584999</v>
      </c>
      <c r="I54" s="9">
        <f t="shared" si="1"/>
        <v>502.03051697395</v>
      </c>
      <c r="J54" s="9">
        <f t="shared" si="2"/>
        <v>3254.91994659393</v>
      </c>
      <c r="K54" s="9">
        <f t="shared" si="3"/>
        <v>502.03051697395</v>
      </c>
      <c r="L54" s="10">
        <f t="shared" si="0"/>
        <v>0.15423743908027401</v>
      </c>
      <c r="M54" s="10">
        <f t="shared" si="4"/>
        <v>0.1596643797417967</v>
      </c>
      <c r="P54" s="8">
        <f t="shared" si="5"/>
        <v>-4.1621194360922811</v>
      </c>
      <c r="S54" s="11"/>
    </row>
    <row r="55" spans="1:25" x14ac:dyDescent="0.2">
      <c r="A55" s="8">
        <v>26.5</v>
      </c>
      <c r="B55" s="8">
        <v>53</v>
      </c>
      <c r="D55">
        <v>3523.1254152823999</v>
      </c>
      <c r="E55">
        <v>628.41694352160005</v>
      </c>
      <c r="F55">
        <v>163.63041700735999</v>
      </c>
      <c r="G55">
        <v>124.30580539656999</v>
      </c>
      <c r="I55" s="9">
        <f t="shared" si="1"/>
        <v>504.11113812503004</v>
      </c>
      <c r="J55" s="9">
        <f t="shared" si="2"/>
        <v>3359.49499827504</v>
      </c>
      <c r="K55" s="9">
        <f t="shared" si="3"/>
        <v>504.11113812503004</v>
      </c>
      <c r="L55" s="10">
        <f t="shared" si="0"/>
        <v>0.15005562990386054</v>
      </c>
      <c r="M55" s="10">
        <f t="shared" si="4"/>
        <v>0.15558693480887406</v>
      </c>
      <c r="P55" s="8">
        <f t="shared" si="5"/>
        <v>-6.6095888160460037</v>
      </c>
      <c r="S55" s="11"/>
    </row>
    <row r="56" spans="1:25" x14ac:dyDescent="0.2">
      <c r="A56" s="8">
        <v>27</v>
      </c>
      <c r="B56" s="8">
        <v>54</v>
      </c>
      <c r="D56">
        <v>3547.4227574750998</v>
      </c>
      <c r="E56">
        <v>616.84302325580995</v>
      </c>
      <c r="F56">
        <v>163.16843826656</v>
      </c>
      <c r="G56">
        <v>124.15453802126</v>
      </c>
      <c r="I56" s="9">
        <f t="shared" si="1"/>
        <v>492.68848523454994</v>
      </c>
      <c r="J56" s="9">
        <f t="shared" si="2"/>
        <v>3384.25431920854</v>
      </c>
      <c r="K56" s="9">
        <f t="shared" si="3"/>
        <v>492.68848523454994</v>
      </c>
      <c r="L56" s="10">
        <f t="shared" si="0"/>
        <v>0.14558258297496174</v>
      </c>
      <c r="M56" s="10">
        <f t="shared" si="4"/>
        <v>0.15121825212346607</v>
      </c>
      <c r="P56" s="8">
        <f t="shared" si="5"/>
        <v>-9.2318724468898097</v>
      </c>
      <c r="S56" s="11"/>
    </row>
    <row r="57" spans="1:25" x14ac:dyDescent="0.2">
      <c r="A57" s="8">
        <v>27.5</v>
      </c>
      <c r="B57" s="8">
        <v>55</v>
      </c>
      <c r="D57">
        <v>3499.4352159467999</v>
      </c>
      <c r="E57">
        <v>616.26910299002998</v>
      </c>
      <c r="F57">
        <v>163.90596892886001</v>
      </c>
      <c r="G57">
        <v>124.51676206051</v>
      </c>
      <c r="I57" s="9">
        <f t="shared" si="1"/>
        <v>491.75234092951996</v>
      </c>
      <c r="J57" s="9">
        <f t="shared" si="2"/>
        <v>3335.5292470179397</v>
      </c>
      <c r="K57" s="9">
        <f t="shared" si="3"/>
        <v>491.75234092951996</v>
      </c>
      <c r="L57" s="10">
        <f t="shared" si="0"/>
        <v>0.14742858014786137</v>
      </c>
      <c r="M57" s="10">
        <f t="shared" si="4"/>
        <v>0.15316861353985653</v>
      </c>
      <c r="P57" s="8">
        <f t="shared" si="5"/>
        <v>-8.0611761100940846</v>
      </c>
      <c r="S57" s="11"/>
    </row>
    <row r="58" spans="1:25" x14ac:dyDescent="0.2">
      <c r="A58" s="8">
        <v>28</v>
      </c>
      <c r="B58" s="8">
        <v>56</v>
      </c>
      <c r="D58">
        <v>3462.5857260049002</v>
      </c>
      <c r="E58">
        <v>613.03199343723998</v>
      </c>
      <c r="F58">
        <v>163.62714636141001</v>
      </c>
      <c r="G58">
        <v>124.3376941946</v>
      </c>
      <c r="I58" s="9">
        <f t="shared" si="1"/>
        <v>488.69429924264</v>
      </c>
      <c r="J58" s="9">
        <f t="shared" si="2"/>
        <v>3298.9585796434903</v>
      </c>
      <c r="K58" s="9">
        <f t="shared" si="3"/>
        <v>488.69429924264</v>
      </c>
      <c r="L58" s="10">
        <f t="shared" si="0"/>
        <v>0.14813593061100266</v>
      </c>
      <c r="M58" s="10">
        <f t="shared" si="4"/>
        <v>0.15398032824648863</v>
      </c>
      <c r="P58" s="8">
        <f t="shared" si="5"/>
        <v>-7.5739477299633444</v>
      </c>
      <c r="S58" s="11"/>
    </row>
    <row r="59" spans="1:25" x14ac:dyDescent="0.2">
      <c r="A59" s="8">
        <v>28.5</v>
      </c>
      <c r="B59" s="8">
        <v>57</v>
      </c>
      <c r="D59">
        <v>3641.5258833195999</v>
      </c>
      <c r="E59">
        <v>638.28266228431005</v>
      </c>
      <c r="F59">
        <v>163.29108748978001</v>
      </c>
      <c r="G59">
        <v>124.36549468520001</v>
      </c>
      <c r="I59" s="9">
        <f t="shared" si="1"/>
        <v>513.91716759911003</v>
      </c>
      <c r="J59" s="9">
        <f t="shared" si="2"/>
        <v>3478.2347958298196</v>
      </c>
      <c r="K59" s="9">
        <f t="shared" si="3"/>
        <v>513.91716759911003</v>
      </c>
      <c r="L59" s="10">
        <f t="shared" si="0"/>
        <v>0.14775229326532635</v>
      </c>
      <c r="M59" s="10">
        <f t="shared" si="4"/>
        <v>0.15370105514430316</v>
      </c>
      <c r="P59" s="8">
        <f t="shared" si="5"/>
        <v>-7.7415802492218484</v>
      </c>
      <c r="R59" s="1"/>
      <c r="S59" s="11"/>
    </row>
    <row r="60" spans="1:25" x14ac:dyDescent="0.2">
      <c r="A60" s="8">
        <v>29</v>
      </c>
      <c r="B60" s="8">
        <v>58</v>
      </c>
      <c r="D60">
        <v>3567.1684470007999</v>
      </c>
      <c r="E60">
        <v>619.03697617090995</v>
      </c>
      <c r="F60">
        <v>164.18642681930001</v>
      </c>
      <c r="G60">
        <v>124.20196238757001</v>
      </c>
      <c r="I60" s="9">
        <f t="shared" si="1"/>
        <v>494.83501378333995</v>
      </c>
      <c r="J60" s="9">
        <f t="shared" si="2"/>
        <v>3402.9820201815</v>
      </c>
      <c r="K60" s="9">
        <f t="shared" si="3"/>
        <v>494.83501378333995</v>
      </c>
      <c r="L60" s="10">
        <f t="shared" si="0"/>
        <v>0.14541217404285539</v>
      </c>
      <c r="M60" s="10">
        <f t="shared" si="4"/>
        <v>0.151465300165323</v>
      </c>
      <c r="P60" s="8">
        <f t="shared" si="5"/>
        <v>-9.0835828862043204</v>
      </c>
      <c r="S60" s="11"/>
    </row>
    <row r="61" spans="1:25" x14ac:dyDescent="0.2">
      <c r="A61" s="8">
        <v>29.5</v>
      </c>
      <c r="B61" s="8">
        <v>59</v>
      </c>
      <c r="C61" s="2"/>
      <c r="D61">
        <v>3499.7132292523002</v>
      </c>
      <c r="E61">
        <v>603.26211996713005</v>
      </c>
      <c r="F61">
        <v>164.11856091577999</v>
      </c>
      <c r="G61">
        <v>124.40228945217</v>
      </c>
      <c r="I61" s="9">
        <f t="shared" si="1"/>
        <v>478.85983051496004</v>
      </c>
      <c r="J61" s="9">
        <f t="shared" si="2"/>
        <v>3335.59466833652</v>
      </c>
      <c r="K61" s="9">
        <f t="shared" si="3"/>
        <v>478.85983051496004</v>
      </c>
      <c r="L61" s="10">
        <f t="shared" si="0"/>
        <v>0.14356055760029446</v>
      </c>
      <c r="M61" s="10">
        <f t="shared" si="4"/>
        <v>0.1497180479662529</v>
      </c>
      <c r="P61" s="8">
        <f t="shared" si="5"/>
        <v>-10.132363759184907</v>
      </c>
      <c r="S61" s="11"/>
    </row>
    <row r="62" spans="1:25" x14ac:dyDescent="0.2">
      <c r="A62" s="8">
        <v>30</v>
      </c>
      <c r="B62" s="8">
        <v>60</v>
      </c>
      <c r="D62">
        <v>3514.7066993464</v>
      </c>
      <c r="E62">
        <v>628.65277777777999</v>
      </c>
      <c r="F62">
        <v>163.58135731806999</v>
      </c>
      <c r="G62">
        <v>124.16598528209001</v>
      </c>
      <c r="I62" s="9">
        <f t="shared" si="1"/>
        <v>504.48679249569</v>
      </c>
      <c r="J62" s="9">
        <f t="shared" si="2"/>
        <v>3351.1253420283301</v>
      </c>
      <c r="K62" s="9">
        <f t="shared" si="3"/>
        <v>504.48679249569</v>
      </c>
      <c r="L62" s="10">
        <f t="shared" si="0"/>
        <v>0.15054250169894873</v>
      </c>
      <c r="M62" s="10">
        <f t="shared" si="4"/>
        <v>0.15680435630839798</v>
      </c>
      <c r="P62" s="8">
        <f t="shared" si="5"/>
        <v>-5.8788366191189914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3518.4362745098001</v>
      </c>
      <c r="E63">
        <v>637.70424836601001</v>
      </c>
      <c r="F63">
        <v>163.80866721177</v>
      </c>
      <c r="G63">
        <v>124.72363041701</v>
      </c>
      <c r="I63" s="9">
        <f t="shared" si="1"/>
        <v>512.98061794900002</v>
      </c>
      <c r="J63" s="9">
        <f t="shared" si="2"/>
        <v>3354.6276072980299</v>
      </c>
      <c r="K63" s="9">
        <f t="shared" si="3"/>
        <v>512.98061794900002</v>
      </c>
      <c r="L63" s="10">
        <f t="shared" si="0"/>
        <v>0.1529173064792661</v>
      </c>
      <c r="M63" s="10">
        <f t="shared" si="4"/>
        <v>0.15928352533220619</v>
      </c>
      <c r="P63" s="8">
        <f t="shared" si="5"/>
        <v>-4.3907257130690258</v>
      </c>
    </row>
    <row r="64" spans="1:25" x14ac:dyDescent="0.2">
      <c r="A64" s="8">
        <v>31</v>
      </c>
      <c r="B64" s="8">
        <v>62</v>
      </c>
      <c r="D64">
        <v>3508.0212418300998</v>
      </c>
      <c r="E64">
        <v>647.50571895425003</v>
      </c>
      <c r="F64">
        <v>163.05151267375001</v>
      </c>
      <c r="G64">
        <v>124.25429272281001</v>
      </c>
      <c r="I64" s="9">
        <f t="shared" si="1"/>
        <v>523.25142623144006</v>
      </c>
      <c r="J64" s="9">
        <f t="shared" si="2"/>
        <v>3344.9697291563498</v>
      </c>
      <c r="K64" s="9">
        <f t="shared" si="3"/>
        <v>523.25142623144006</v>
      </c>
      <c r="L64" s="10">
        <f t="shared" si="0"/>
        <v>0.15642934573384368</v>
      </c>
      <c r="M64" s="10">
        <f t="shared" si="4"/>
        <v>0.16289992883027457</v>
      </c>
      <c r="P64" s="8">
        <f t="shared" si="5"/>
        <v>-2.2199945388442823</v>
      </c>
      <c r="U64" s="8">
        <v>30.5</v>
      </c>
      <c r="V64" s="10">
        <f>L62</f>
        <v>0.15054250169894873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3534.1021241829999</v>
      </c>
      <c r="E65">
        <v>643.56699346405003</v>
      </c>
      <c r="F65">
        <v>163.50449713819</v>
      </c>
      <c r="G65">
        <v>124.21668029436</v>
      </c>
      <c r="I65" s="9">
        <f t="shared" si="1"/>
        <v>519.35031316969003</v>
      </c>
      <c r="J65" s="9">
        <f t="shared" si="2"/>
        <v>3370.59762704481</v>
      </c>
      <c r="K65" s="9">
        <f t="shared" si="3"/>
        <v>519.35031316969003</v>
      </c>
      <c r="L65" s="10">
        <f t="shared" si="0"/>
        <v>0.15408256061256212</v>
      </c>
      <c r="M65" s="10">
        <f t="shared" si="4"/>
        <v>0.16065750795248385</v>
      </c>
      <c r="P65" s="8">
        <f t="shared" si="5"/>
        <v>-3.5659983538922169</v>
      </c>
      <c r="U65" s="8">
        <v>31</v>
      </c>
      <c r="V65" s="10">
        <f t="shared" ref="V65:V83" si="6">L63</f>
        <v>0.1529173064792661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3496.0236928105001</v>
      </c>
      <c r="E66">
        <v>632.57271241829994</v>
      </c>
      <c r="F66">
        <v>163.51430907604001</v>
      </c>
      <c r="G66">
        <v>124.78986099754999</v>
      </c>
      <c r="I66" s="9">
        <f t="shared" si="1"/>
        <v>507.78285142074992</v>
      </c>
      <c r="J66" s="9">
        <f t="shared" si="2"/>
        <v>3332.5093837344602</v>
      </c>
      <c r="K66" s="9">
        <f t="shared" si="3"/>
        <v>507.78285142074992</v>
      </c>
      <c r="L66" s="10">
        <f t="shared" ref="L66:L129" si="7">K66/J66</f>
        <v>0.15237251960914835</v>
      </c>
      <c r="M66" s="10">
        <f t="shared" si="4"/>
        <v>0.15905183119256089</v>
      </c>
      <c r="P66" s="8">
        <f t="shared" si="5"/>
        <v>-4.5297991577446188</v>
      </c>
      <c r="U66" s="8">
        <v>31.5</v>
      </c>
      <c r="V66" s="10">
        <f t="shared" si="6"/>
        <v>0.15642934573384368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3579.3300330032998</v>
      </c>
      <c r="E67">
        <v>651.22937293729001</v>
      </c>
      <c r="F67">
        <v>163.08994276370001</v>
      </c>
      <c r="G67">
        <v>124.74407195421</v>
      </c>
      <c r="I67" s="9">
        <f t="shared" ref="I67:I130" si="8">E67-G67</f>
        <v>526.48530098308004</v>
      </c>
      <c r="J67" s="9">
        <f t="shared" ref="J67:J130" si="9">D67-F67</f>
        <v>3416.2400902395998</v>
      </c>
      <c r="K67" s="9">
        <f t="shared" ref="K67:K130" si="10">I67*1</f>
        <v>526.48530098308004</v>
      </c>
      <c r="L67" s="10">
        <f t="shared" si="7"/>
        <v>0.15411250002225538</v>
      </c>
      <c r="M67" s="10">
        <f t="shared" ref="M67:M130" si="11">L67+ABS($N$2)*A67</f>
        <v>0.16089617584915875</v>
      </c>
      <c r="P67" s="8">
        <f t="shared" ref="P67:P130" si="12">(M67-$O$2)/$O$2*100</f>
        <v>-3.4227389405342841</v>
      </c>
      <c r="U67" s="8">
        <v>32</v>
      </c>
      <c r="V67" s="10">
        <f t="shared" si="6"/>
        <v>0.15408256061256212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3461.8572607260999</v>
      </c>
      <c r="E68">
        <v>638.68976897690004</v>
      </c>
      <c r="F68">
        <v>163.33278822567999</v>
      </c>
      <c r="G68">
        <v>124.46688470973</v>
      </c>
      <c r="I68" s="9">
        <f t="shared" si="8"/>
        <v>514.22288426717</v>
      </c>
      <c r="J68" s="9">
        <f t="shared" si="9"/>
        <v>3298.52447250042</v>
      </c>
      <c r="K68" s="9">
        <f t="shared" si="10"/>
        <v>514.22288426717</v>
      </c>
      <c r="L68" s="10">
        <f t="shared" si="7"/>
        <v>0.15589482162530918</v>
      </c>
      <c r="M68" s="10">
        <f t="shared" si="11"/>
        <v>0.16278286169570336</v>
      </c>
      <c r="P68" s="8">
        <f t="shared" si="12"/>
        <v>-2.2902635999782603</v>
      </c>
      <c r="U68" s="8">
        <v>32.5</v>
      </c>
      <c r="V68" s="10">
        <f t="shared" si="6"/>
        <v>0.15237251960914835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3580.8900826446002</v>
      </c>
      <c r="E69">
        <v>675.92892561984002</v>
      </c>
      <c r="F69">
        <v>163.71872444808</v>
      </c>
      <c r="G69">
        <v>124.23139820115</v>
      </c>
      <c r="I69" s="9">
        <f t="shared" si="8"/>
        <v>551.69752741869002</v>
      </c>
      <c r="J69" s="9">
        <f t="shared" si="9"/>
        <v>3417.17135819652</v>
      </c>
      <c r="K69" s="9">
        <f t="shared" si="10"/>
        <v>551.69752741869002</v>
      </c>
      <c r="L69" s="10">
        <f t="shared" si="7"/>
        <v>0.16144859873514195</v>
      </c>
      <c r="M69" s="10">
        <f t="shared" si="11"/>
        <v>0.16844100304902695</v>
      </c>
      <c r="P69" s="8">
        <f t="shared" si="12"/>
        <v>1.1060122388184948</v>
      </c>
      <c r="U69" s="8">
        <v>33</v>
      </c>
      <c r="V69" s="10">
        <f t="shared" si="6"/>
        <v>0.15411250002225538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3631.0687397708998</v>
      </c>
      <c r="E70">
        <v>691.50409165302995</v>
      </c>
      <c r="F70">
        <v>163.45216680294001</v>
      </c>
      <c r="G70">
        <v>124.49386753883999</v>
      </c>
      <c r="I70" s="9">
        <f t="shared" si="8"/>
        <v>567.0102241141899</v>
      </c>
      <c r="J70" s="9">
        <f t="shared" si="9"/>
        <v>3467.6165729679597</v>
      </c>
      <c r="K70" s="9">
        <f t="shared" si="10"/>
        <v>567.0102241141899</v>
      </c>
      <c r="L70" s="10">
        <f t="shared" si="7"/>
        <v>0.1635158363627503</v>
      </c>
      <c r="M70" s="10">
        <f t="shared" si="11"/>
        <v>0.17061260492012612</v>
      </c>
      <c r="P70" s="8">
        <f t="shared" si="12"/>
        <v>2.4095072393397543</v>
      </c>
      <c r="U70" s="8">
        <v>33.5</v>
      </c>
      <c r="V70" s="10">
        <f t="shared" si="6"/>
        <v>0.15589482162530918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3630.9680851063999</v>
      </c>
      <c r="E71">
        <v>677.38461538462002</v>
      </c>
      <c r="F71">
        <v>163.70645952576001</v>
      </c>
      <c r="G71">
        <v>124.42191332788001</v>
      </c>
      <c r="I71" s="9">
        <f t="shared" si="8"/>
        <v>552.96270205674</v>
      </c>
      <c r="J71" s="9">
        <f t="shared" si="9"/>
        <v>3467.2616255806397</v>
      </c>
      <c r="K71" s="9">
        <f t="shared" si="10"/>
        <v>552.96270205674</v>
      </c>
      <c r="L71" s="10">
        <f t="shared" si="7"/>
        <v>0.15948110115980618</v>
      </c>
      <c r="M71" s="10">
        <f t="shared" si="11"/>
        <v>0.16668223396067283</v>
      </c>
      <c r="P71" s="8">
        <f t="shared" si="12"/>
        <v>5.0318400895728733E-2</v>
      </c>
      <c r="U71" s="8">
        <v>34</v>
      </c>
      <c r="V71" s="10">
        <f t="shared" si="6"/>
        <v>0.16144859873514195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3652.1633825944</v>
      </c>
      <c r="E72">
        <v>681.45402298851002</v>
      </c>
      <c r="F72">
        <v>163.61569910057</v>
      </c>
      <c r="G72">
        <v>124.09975470155</v>
      </c>
      <c r="I72" s="9">
        <f t="shared" si="8"/>
        <v>557.35426828696006</v>
      </c>
      <c r="J72" s="9">
        <f t="shared" si="9"/>
        <v>3488.5476834938299</v>
      </c>
      <c r="K72" s="9">
        <f t="shared" si="10"/>
        <v>557.35426828696006</v>
      </c>
      <c r="L72" s="10">
        <f t="shared" si="7"/>
        <v>0.15976684822859061</v>
      </c>
      <c r="M72" s="10">
        <f t="shared" si="11"/>
        <v>0.16707234527294806</v>
      </c>
      <c r="P72" s="8">
        <f t="shared" si="12"/>
        <v>0.28448109524824849</v>
      </c>
      <c r="U72" s="8">
        <v>34.5</v>
      </c>
      <c r="V72" s="10">
        <f t="shared" si="6"/>
        <v>0.1635158363627503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3627.8949096880001</v>
      </c>
      <c r="E73">
        <v>667.24220032841004</v>
      </c>
      <c r="F73">
        <v>163.18152085036999</v>
      </c>
      <c r="G73">
        <v>123.94358135732</v>
      </c>
      <c r="I73" s="9">
        <f t="shared" si="8"/>
        <v>543.29861897109004</v>
      </c>
      <c r="J73" s="9">
        <f t="shared" si="9"/>
        <v>3464.7133888376302</v>
      </c>
      <c r="K73" s="9">
        <f t="shared" si="10"/>
        <v>543.29861897109004</v>
      </c>
      <c r="L73" s="10">
        <f t="shared" si="7"/>
        <v>0.15680910886350696</v>
      </c>
      <c r="M73" s="10">
        <f t="shared" si="11"/>
        <v>0.16421897015135525</v>
      </c>
      <c r="P73" s="8">
        <f t="shared" si="12"/>
        <v>-1.4282454662394739</v>
      </c>
      <c r="U73" s="8">
        <v>35</v>
      </c>
      <c r="V73" s="10">
        <f t="shared" si="6"/>
        <v>0.15948110115980618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3606.1810631229</v>
      </c>
      <c r="E74">
        <v>657.36794019933996</v>
      </c>
      <c r="F74">
        <v>162.93213409648001</v>
      </c>
      <c r="G74">
        <v>124.06295993459</v>
      </c>
      <c r="I74" s="9">
        <f t="shared" si="8"/>
        <v>533.30498026474993</v>
      </c>
      <c r="J74" s="9">
        <f t="shared" si="9"/>
        <v>3443.2489290264202</v>
      </c>
      <c r="K74" s="9">
        <f t="shared" si="10"/>
        <v>533.30498026474993</v>
      </c>
      <c r="L74" s="10">
        <f t="shared" si="7"/>
        <v>0.15488423615528202</v>
      </c>
      <c r="M74" s="10">
        <f t="shared" si="11"/>
        <v>0.16239846168662114</v>
      </c>
      <c r="P74" s="8">
        <f t="shared" si="12"/>
        <v>-2.5209981083185844</v>
      </c>
      <c r="U74" s="8">
        <v>35.5</v>
      </c>
      <c r="V74" s="10">
        <f t="shared" si="6"/>
        <v>0.15976684822859061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3591.9201331115</v>
      </c>
      <c r="E75">
        <v>653.49417637270994</v>
      </c>
      <c r="F75">
        <v>163.29762878168</v>
      </c>
      <c r="G75">
        <v>124.01798855273999</v>
      </c>
      <c r="I75" s="9">
        <f t="shared" si="8"/>
        <v>529.47618781996994</v>
      </c>
      <c r="J75" s="9">
        <f t="shared" si="9"/>
        <v>3428.62250432982</v>
      </c>
      <c r="K75" s="9">
        <f t="shared" si="10"/>
        <v>529.47618781996994</v>
      </c>
      <c r="L75" s="10">
        <f t="shared" si="7"/>
        <v>0.15442825424826542</v>
      </c>
      <c r="M75" s="10">
        <f t="shared" si="11"/>
        <v>0.16204684402309535</v>
      </c>
      <c r="P75" s="8">
        <f t="shared" si="12"/>
        <v>-2.7320551499432746</v>
      </c>
      <c r="U75" s="8">
        <v>36</v>
      </c>
      <c r="V75" s="10">
        <f t="shared" si="6"/>
        <v>0.15680910886350696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3537.0906821962999</v>
      </c>
      <c r="E76">
        <v>694.01081530782005</v>
      </c>
      <c r="F76">
        <v>163.76124284546</v>
      </c>
      <c r="G76">
        <v>124.1381847915</v>
      </c>
      <c r="I76" s="9">
        <f t="shared" si="8"/>
        <v>569.8726305163201</v>
      </c>
      <c r="J76" s="9">
        <f t="shared" si="9"/>
        <v>3373.3294393508399</v>
      </c>
      <c r="K76" s="9">
        <f t="shared" si="10"/>
        <v>569.8726305163201</v>
      </c>
      <c r="L76" s="10">
        <f t="shared" si="7"/>
        <v>0.16893476927233819</v>
      </c>
      <c r="M76" s="10">
        <f t="shared" si="11"/>
        <v>0.17665772329065896</v>
      </c>
      <c r="P76" s="8">
        <f t="shared" si="12"/>
        <v>6.0380644248980886</v>
      </c>
      <c r="U76" s="8">
        <v>36.5</v>
      </c>
      <c r="V76" s="10">
        <f t="shared" si="6"/>
        <v>0.15488423615528202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3566.0477366255</v>
      </c>
      <c r="E77">
        <v>703.87489711933995</v>
      </c>
      <c r="F77">
        <v>163.47751430907999</v>
      </c>
      <c r="G77">
        <v>124.63941128373</v>
      </c>
      <c r="I77" s="9">
        <f t="shared" si="8"/>
        <v>579.23548583561001</v>
      </c>
      <c r="J77" s="9">
        <f t="shared" si="9"/>
        <v>3402.5702223164199</v>
      </c>
      <c r="K77" s="9">
        <f t="shared" si="10"/>
        <v>579.23548583561001</v>
      </c>
      <c r="L77" s="10">
        <f t="shared" si="7"/>
        <v>0.17023468965800653</v>
      </c>
      <c r="M77" s="10">
        <f t="shared" si="11"/>
        <v>0.1780620079198181</v>
      </c>
      <c r="P77" s="8">
        <f t="shared" si="12"/>
        <v>6.8809804390067422</v>
      </c>
      <c r="U77" s="8">
        <v>37</v>
      </c>
      <c r="V77" s="10">
        <f t="shared" si="6"/>
        <v>0.15442825424826542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3657.2534979423999</v>
      </c>
      <c r="E78">
        <v>705.32098765431999</v>
      </c>
      <c r="F78">
        <v>163.06868356499999</v>
      </c>
      <c r="G78">
        <v>123.94112837285</v>
      </c>
      <c r="I78" s="9">
        <f t="shared" si="8"/>
        <v>581.37985928146998</v>
      </c>
      <c r="J78" s="9">
        <f t="shared" si="9"/>
        <v>3494.1848143774</v>
      </c>
      <c r="K78" s="9">
        <f t="shared" si="10"/>
        <v>581.37985928146998</v>
      </c>
      <c r="L78" s="10">
        <f t="shared" si="7"/>
        <v>0.16638497680182415</v>
      </c>
      <c r="M78" s="10">
        <f t="shared" si="11"/>
        <v>0.17431665930712656</v>
      </c>
      <c r="P78" s="8">
        <f t="shared" si="12"/>
        <v>4.6328504954726597</v>
      </c>
      <c r="U78" s="8">
        <v>37.5</v>
      </c>
      <c r="V78" s="10">
        <f t="shared" si="6"/>
        <v>0.16893476927233819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3704.8759305211001</v>
      </c>
      <c r="E79">
        <v>714.31679073614998</v>
      </c>
      <c r="F79">
        <v>163.18806214227001</v>
      </c>
      <c r="G79">
        <v>123.88961569910001</v>
      </c>
      <c r="I79" s="9">
        <f t="shared" si="8"/>
        <v>590.42717503705001</v>
      </c>
      <c r="J79" s="9">
        <f t="shared" si="9"/>
        <v>3541.68786837883</v>
      </c>
      <c r="K79" s="9">
        <f t="shared" si="10"/>
        <v>590.42717503705001</v>
      </c>
      <c r="L79" s="10">
        <f t="shared" si="7"/>
        <v>0.16670785144804751</v>
      </c>
      <c r="M79" s="10">
        <f t="shared" si="11"/>
        <v>0.17474389819684072</v>
      </c>
      <c r="P79" s="8">
        <f t="shared" si="12"/>
        <v>4.8892988639246457</v>
      </c>
      <c r="U79" s="8">
        <v>38</v>
      </c>
      <c r="V79" s="10">
        <f t="shared" si="6"/>
        <v>0.17023468965800653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3643.4909983633002</v>
      </c>
      <c r="E80">
        <v>696.43207855974003</v>
      </c>
      <c r="F80">
        <v>163.37367130007999</v>
      </c>
      <c r="G80">
        <v>123.83074407194999</v>
      </c>
      <c r="I80" s="9">
        <f t="shared" si="8"/>
        <v>572.60133448779004</v>
      </c>
      <c r="J80" s="9">
        <f t="shared" si="9"/>
        <v>3480.1173270632203</v>
      </c>
      <c r="K80" s="9">
        <f t="shared" si="10"/>
        <v>572.60133448779004</v>
      </c>
      <c r="L80" s="10">
        <f t="shared" si="7"/>
        <v>0.16453506611255353</v>
      </c>
      <c r="M80" s="10">
        <f t="shared" si="11"/>
        <v>0.17267547710483758</v>
      </c>
      <c r="P80" s="8">
        <f t="shared" si="12"/>
        <v>3.6477376973586288</v>
      </c>
      <c r="U80" s="8">
        <v>38.5</v>
      </c>
      <c r="V80" s="10">
        <f t="shared" si="6"/>
        <v>0.16638497680182415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3626.2614754097999</v>
      </c>
      <c r="E81">
        <v>690.11885245901999</v>
      </c>
      <c r="F81">
        <v>163.22322158626</v>
      </c>
      <c r="G81">
        <v>124.1929681112</v>
      </c>
      <c r="I81" s="9">
        <f t="shared" si="8"/>
        <v>565.92588434781999</v>
      </c>
      <c r="J81" s="9">
        <f t="shared" si="9"/>
        <v>3463.0382538235399</v>
      </c>
      <c r="K81" s="9">
        <f t="shared" si="10"/>
        <v>565.92588434781999</v>
      </c>
      <c r="L81" s="10">
        <f t="shared" si="7"/>
        <v>0.16341889487445924</v>
      </c>
      <c r="M81" s="10">
        <f t="shared" si="11"/>
        <v>0.17166367011023409</v>
      </c>
      <c r="P81" s="8">
        <f t="shared" si="12"/>
        <v>3.040404752719688</v>
      </c>
      <c r="U81" s="8">
        <v>39</v>
      </c>
      <c r="V81" s="10">
        <f t="shared" si="6"/>
        <v>0.16670785144804751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3588.7254098361</v>
      </c>
      <c r="E82">
        <v>676.42622950819998</v>
      </c>
      <c r="F82">
        <v>162.97219950940001</v>
      </c>
      <c r="G82">
        <v>123.50040883074</v>
      </c>
      <c r="H82" s="13"/>
      <c r="I82" s="14">
        <f t="shared" si="8"/>
        <v>552.92582067746002</v>
      </c>
      <c r="J82" s="14">
        <f t="shared" si="9"/>
        <v>3425.7532103266999</v>
      </c>
      <c r="K82" s="9">
        <f t="shared" si="10"/>
        <v>552.92582067746002</v>
      </c>
      <c r="L82" s="15">
        <f t="shared" si="7"/>
        <v>0.16140270087486244</v>
      </c>
      <c r="M82" s="15">
        <f t="shared" si="11"/>
        <v>0.16975184035412813</v>
      </c>
      <c r="N82" s="13"/>
      <c r="O82" s="13"/>
      <c r="P82" s="13">
        <f t="shared" si="12"/>
        <v>1.8928368849177801</v>
      </c>
      <c r="U82" s="8">
        <v>39.5</v>
      </c>
      <c r="V82" s="10">
        <f t="shared" si="6"/>
        <v>0.16453506611255353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3682.5024549917998</v>
      </c>
      <c r="E83">
        <v>691.47381342061999</v>
      </c>
      <c r="F83">
        <v>162.95339329518001</v>
      </c>
      <c r="G83">
        <v>124.34914145544001</v>
      </c>
      <c r="I83" s="9">
        <f t="shared" si="8"/>
        <v>567.12467196518003</v>
      </c>
      <c r="J83" s="9">
        <f t="shared" si="9"/>
        <v>3519.5490616966199</v>
      </c>
      <c r="K83" s="9">
        <f t="shared" si="10"/>
        <v>567.12467196518003</v>
      </c>
      <c r="L83" s="10">
        <f t="shared" si="7"/>
        <v>0.1611356063017329</v>
      </c>
      <c r="M83" s="10">
        <f t="shared" si="11"/>
        <v>0.1695891100244894</v>
      </c>
      <c r="P83" s="8">
        <f t="shared" si="12"/>
        <v>1.7951586806666939</v>
      </c>
      <c r="U83" s="8">
        <v>40</v>
      </c>
      <c r="V83" s="10">
        <f t="shared" si="6"/>
        <v>0.16341889487445924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3657.5842880524001</v>
      </c>
      <c r="E84">
        <v>675.50654664485</v>
      </c>
      <c r="F84">
        <v>162.89615699101</v>
      </c>
      <c r="G84">
        <v>123.45216680294</v>
      </c>
      <c r="I84" s="9">
        <f t="shared" si="8"/>
        <v>552.05437984190996</v>
      </c>
      <c r="J84" s="9">
        <f t="shared" si="9"/>
        <v>3494.6881310613899</v>
      </c>
      <c r="K84" s="9">
        <f t="shared" si="10"/>
        <v>552.05437984190996</v>
      </c>
      <c r="L84" s="10">
        <f t="shared" si="7"/>
        <v>0.15796956956907129</v>
      </c>
      <c r="M84" s="10">
        <f t="shared" si="11"/>
        <v>0.16652743753531862</v>
      </c>
      <c r="P84" s="8">
        <f t="shared" si="12"/>
        <v>-4.259751027248377E-2</v>
      </c>
      <c r="U84" s="8">
        <v>150.5</v>
      </c>
      <c r="V84" s="10">
        <f>L302</f>
        <v>0.14031573545981108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3629.6710310966</v>
      </c>
      <c r="E85">
        <v>664.37070376431996</v>
      </c>
      <c r="F85">
        <v>162.65085854456001</v>
      </c>
      <c r="G85">
        <v>124.23058053966</v>
      </c>
      <c r="I85" s="9">
        <f t="shared" si="8"/>
        <v>540.14012322465999</v>
      </c>
      <c r="J85" s="9">
        <f t="shared" si="9"/>
        <v>3467.0201725520401</v>
      </c>
      <c r="K85" s="9">
        <f t="shared" si="10"/>
        <v>540.14012322465999</v>
      </c>
      <c r="L85" s="10">
        <f t="shared" si="7"/>
        <v>0.15579376419580163</v>
      </c>
      <c r="M85" s="10">
        <f t="shared" si="11"/>
        <v>0.16445599640553976</v>
      </c>
      <c r="P85" s="8">
        <f t="shared" si="12"/>
        <v>-1.2859714419656756</v>
      </c>
      <c r="U85" s="8">
        <v>151</v>
      </c>
      <c r="V85" s="10">
        <f t="shared" ref="V85:V103" si="13">L303</f>
        <v>0.14021855453229837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3628.6873977086998</v>
      </c>
      <c r="E86">
        <v>658.54091653028001</v>
      </c>
      <c r="F86">
        <v>162.43008994275999</v>
      </c>
      <c r="G86">
        <v>123.57481602617</v>
      </c>
      <c r="I86" s="9">
        <f t="shared" si="8"/>
        <v>534.96610050411005</v>
      </c>
      <c r="J86" s="9">
        <f t="shared" si="9"/>
        <v>3466.2573077659399</v>
      </c>
      <c r="K86" s="9">
        <f t="shared" si="10"/>
        <v>534.96610050411005</v>
      </c>
      <c r="L86" s="10">
        <f t="shared" si="7"/>
        <v>0.15433536895993002</v>
      </c>
      <c r="M86" s="10">
        <f t="shared" si="11"/>
        <v>0.16310196541315899</v>
      </c>
      <c r="P86" s="8">
        <f t="shared" si="12"/>
        <v>-2.098722919392717</v>
      </c>
      <c r="U86" s="8">
        <v>151.5</v>
      </c>
      <c r="V86" s="10">
        <f t="shared" si="13"/>
        <v>0.13989679029669475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3586.9777411376999</v>
      </c>
      <c r="E87">
        <v>645.31574608409005</v>
      </c>
      <c r="F87">
        <v>162.53802125920001</v>
      </c>
      <c r="G87">
        <v>123.69910057236</v>
      </c>
      <c r="I87" s="9">
        <f t="shared" si="8"/>
        <v>521.6166455117301</v>
      </c>
      <c r="J87" s="9">
        <f t="shared" si="9"/>
        <v>3424.4397198785</v>
      </c>
      <c r="K87" s="9">
        <f t="shared" si="10"/>
        <v>521.6166455117301</v>
      </c>
      <c r="L87" s="10">
        <f t="shared" si="7"/>
        <v>0.15232174842611543</v>
      </c>
      <c r="M87" s="10">
        <f t="shared" si="11"/>
        <v>0.1611927091228352</v>
      </c>
      <c r="P87" s="8">
        <f t="shared" si="12"/>
        <v>-3.2447460750511548</v>
      </c>
      <c r="U87" s="8">
        <v>152</v>
      </c>
      <c r="V87" s="10">
        <f t="shared" si="13"/>
        <v>0.13799021632817943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3577.9258037923</v>
      </c>
      <c r="E88">
        <v>656.68425391590995</v>
      </c>
      <c r="F88">
        <v>162.48487326246999</v>
      </c>
      <c r="G88">
        <v>123.78904333606</v>
      </c>
      <c r="I88" s="9">
        <f t="shared" si="8"/>
        <v>532.89521057984996</v>
      </c>
      <c r="J88" s="9">
        <f t="shared" si="9"/>
        <v>3415.44093052983</v>
      </c>
      <c r="K88" s="9">
        <f t="shared" si="10"/>
        <v>532.89521057984996</v>
      </c>
      <c r="L88" s="10">
        <f t="shared" si="7"/>
        <v>0.15602530432203465</v>
      </c>
      <c r="M88" s="10">
        <f t="shared" si="11"/>
        <v>0.16500062926224526</v>
      </c>
      <c r="P88" s="8">
        <f t="shared" si="12"/>
        <v>-0.95905783257745847</v>
      </c>
      <c r="U88" s="8">
        <v>152.5</v>
      </c>
      <c r="V88" s="10">
        <f t="shared" si="13"/>
        <v>0.13528205580029407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3586.5152514427</v>
      </c>
      <c r="E89">
        <v>676.84748557295995</v>
      </c>
      <c r="F89">
        <v>162.76860179886</v>
      </c>
      <c r="G89">
        <v>123.96075224857</v>
      </c>
      <c r="I89" s="9">
        <f t="shared" si="8"/>
        <v>552.88673332438998</v>
      </c>
      <c r="J89" s="9">
        <f t="shared" si="9"/>
        <v>3423.7466496438401</v>
      </c>
      <c r="K89" s="9">
        <f t="shared" si="10"/>
        <v>552.88673332438998</v>
      </c>
      <c r="L89" s="10">
        <f t="shared" si="7"/>
        <v>0.16148587787063765</v>
      </c>
      <c r="M89" s="10">
        <f t="shared" si="11"/>
        <v>0.17056556705433906</v>
      </c>
      <c r="P89" s="8">
        <f t="shared" si="12"/>
        <v>2.3812729558347487</v>
      </c>
      <c r="U89" s="8">
        <v>153</v>
      </c>
      <c r="V89" s="10">
        <f t="shared" si="13"/>
        <v>0.13465849030853921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3549.8044371404999</v>
      </c>
      <c r="E90">
        <v>682.33525061626995</v>
      </c>
      <c r="F90">
        <v>162.62469337694</v>
      </c>
      <c r="G90">
        <v>123.99100572363</v>
      </c>
      <c r="I90" s="9">
        <f t="shared" si="8"/>
        <v>558.34424489263995</v>
      </c>
      <c r="J90" s="9">
        <f t="shared" si="9"/>
        <v>3387.1797437635601</v>
      </c>
      <c r="K90" s="9">
        <f t="shared" si="10"/>
        <v>558.34424489263995</v>
      </c>
      <c r="L90" s="10">
        <f t="shared" si="7"/>
        <v>0.1648404534541332</v>
      </c>
      <c r="M90" s="10">
        <f t="shared" si="11"/>
        <v>0.17402450688132545</v>
      </c>
      <c r="P90" s="8">
        <f t="shared" si="12"/>
        <v>4.4574872157250933</v>
      </c>
      <c r="U90" s="8">
        <v>153.5</v>
      </c>
      <c r="V90" s="10">
        <f t="shared" si="13"/>
        <v>0.13450568080314926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3489.8759244042999</v>
      </c>
      <c r="E91">
        <v>718.28841413311</v>
      </c>
      <c r="F91">
        <v>162.20196238757001</v>
      </c>
      <c r="G91">
        <v>123.9035159444</v>
      </c>
      <c r="I91" s="9">
        <f t="shared" si="8"/>
        <v>594.38489818870994</v>
      </c>
      <c r="J91" s="9">
        <f t="shared" si="9"/>
        <v>3327.67396201673</v>
      </c>
      <c r="K91" s="9">
        <f t="shared" si="10"/>
        <v>594.38489818870994</v>
      </c>
      <c r="L91" s="10">
        <f t="shared" si="7"/>
        <v>0.17861873037239628</v>
      </c>
      <c r="M91" s="10">
        <f t="shared" si="11"/>
        <v>0.18790714804307934</v>
      </c>
      <c r="P91" s="8">
        <f t="shared" si="12"/>
        <v>12.790484893249445</v>
      </c>
      <c r="U91" s="8">
        <v>154</v>
      </c>
      <c r="V91" s="10">
        <f t="shared" si="13"/>
        <v>0.13351788078553142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3491.9271685761</v>
      </c>
      <c r="E92">
        <v>722.77905073650004</v>
      </c>
      <c r="F92">
        <v>162.39738348323999</v>
      </c>
      <c r="G92">
        <v>123.50449713819</v>
      </c>
      <c r="I92" s="9">
        <f t="shared" si="8"/>
        <v>599.27455359831004</v>
      </c>
      <c r="J92" s="9">
        <f t="shared" si="9"/>
        <v>3329.52978509286</v>
      </c>
      <c r="K92" s="9">
        <f t="shared" si="10"/>
        <v>599.27455359831004</v>
      </c>
      <c r="L92" s="10">
        <f t="shared" si="7"/>
        <v>0.17998774369924922</v>
      </c>
      <c r="M92" s="10">
        <f t="shared" si="11"/>
        <v>0.18938052561342311</v>
      </c>
      <c r="P92" s="8">
        <f t="shared" si="12"/>
        <v>13.67487365823572</v>
      </c>
      <c r="U92" s="8">
        <v>154.5</v>
      </c>
      <c r="V92" s="10">
        <f t="shared" si="13"/>
        <v>0.13362236335171146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3463.6743044189998</v>
      </c>
      <c r="E93">
        <v>724.21440261865996</v>
      </c>
      <c r="F93">
        <v>161.57890433361001</v>
      </c>
      <c r="G93">
        <v>124.2003270646</v>
      </c>
      <c r="I93" s="9">
        <f t="shared" si="8"/>
        <v>600.0140755540599</v>
      </c>
      <c r="J93" s="9">
        <f t="shared" si="9"/>
        <v>3302.0954000853899</v>
      </c>
      <c r="K93" s="9">
        <f t="shared" si="10"/>
        <v>600.0140755540599</v>
      </c>
      <c r="L93" s="10">
        <f t="shared" si="7"/>
        <v>0.18170706865057379</v>
      </c>
      <c r="M93" s="10">
        <f t="shared" si="11"/>
        <v>0.19120421480823849</v>
      </c>
      <c r="P93" s="8">
        <f t="shared" si="12"/>
        <v>14.769535520330759</v>
      </c>
      <c r="U93" s="8">
        <v>155</v>
      </c>
      <c r="V93" s="10">
        <f t="shared" si="13"/>
        <v>0.13477030108095092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3524.5065466448</v>
      </c>
      <c r="E94">
        <v>719.43535188216003</v>
      </c>
      <c r="F94">
        <v>162.22485690924</v>
      </c>
      <c r="G94">
        <v>124.00735895339</v>
      </c>
      <c r="I94" s="9">
        <f t="shared" si="8"/>
        <v>595.42799292876998</v>
      </c>
      <c r="J94" s="9">
        <f t="shared" si="9"/>
        <v>3362.2816897355601</v>
      </c>
      <c r="K94" s="9">
        <f t="shared" si="10"/>
        <v>595.42799292876998</v>
      </c>
      <c r="L94" s="10">
        <f t="shared" si="7"/>
        <v>0.17709045460007242</v>
      </c>
      <c r="M94" s="10">
        <f t="shared" si="11"/>
        <v>0.18669196500122795</v>
      </c>
      <c r="P94" s="8">
        <f t="shared" si="12"/>
        <v>12.061076321239989</v>
      </c>
      <c r="U94" s="8">
        <v>155.5</v>
      </c>
      <c r="V94" s="10">
        <f t="shared" si="13"/>
        <v>0.13389975117482766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3506.8959868960001</v>
      </c>
      <c r="E95">
        <v>722.94594594595003</v>
      </c>
      <c r="F95">
        <v>161.85609157809</v>
      </c>
      <c r="G95">
        <v>123.60098119379001</v>
      </c>
      <c r="I95" s="9">
        <f t="shared" si="8"/>
        <v>599.34496475215997</v>
      </c>
      <c r="J95" s="9">
        <f t="shared" si="9"/>
        <v>3345.0398953179101</v>
      </c>
      <c r="K95" s="9">
        <f t="shared" si="10"/>
        <v>599.34496475215997</v>
      </c>
      <c r="L95" s="10">
        <f t="shared" si="7"/>
        <v>0.17917423513874076</v>
      </c>
      <c r="M95" s="10">
        <f t="shared" si="11"/>
        <v>0.1888801097833871</v>
      </c>
      <c r="P95" s="8">
        <f t="shared" si="12"/>
        <v>13.374501135392252</v>
      </c>
      <c r="U95" s="8">
        <v>156</v>
      </c>
      <c r="V95" s="10">
        <f t="shared" si="13"/>
        <v>0.13383549143610587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3532.1695331695</v>
      </c>
      <c r="E96">
        <v>721.16707616708004</v>
      </c>
      <c r="F96">
        <v>162.26819296810999</v>
      </c>
      <c r="G96">
        <v>123.38021259199</v>
      </c>
      <c r="I96" s="9">
        <f t="shared" si="8"/>
        <v>597.78686357509002</v>
      </c>
      <c r="J96" s="9">
        <f t="shared" si="9"/>
        <v>3369.9013402013902</v>
      </c>
      <c r="K96" s="9">
        <f t="shared" si="10"/>
        <v>597.78686357509002</v>
      </c>
      <c r="L96" s="10">
        <f t="shared" si="7"/>
        <v>0.17739001923995953</v>
      </c>
      <c r="M96" s="10">
        <f t="shared" si="11"/>
        <v>0.18720025812809671</v>
      </c>
      <c r="P96" s="8">
        <f t="shared" si="12"/>
        <v>12.366177158778587</v>
      </c>
      <c r="U96" s="8">
        <v>156.5</v>
      </c>
      <c r="V96" s="10">
        <f t="shared" si="13"/>
        <v>0.13327459477848619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3606.6044226044</v>
      </c>
      <c r="E97">
        <v>732.90909090908997</v>
      </c>
      <c r="F97">
        <v>162.46116107930999</v>
      </c>
      <c r="G97">
        <v>123.91741618970001</v>
      </c>
      <c r="I97" s="9">
        <f t="shared" si="8"/>
        <v>608.99167471938995</v>
      </c>
      <c r="J97" s="9">
        <f t="shared" si="9"/>
        <v>3444.1432615250901</v>
      </c>
      <c r="K97" s="9">
        <f t="shared" si="10"/>
        <v>608.99167471938995</v>
      </c>
      <c r="L97" s="10">
        <f t="shared" si="7"/>
        <v>0.17681949572844549</v>
      </c>
      <c r="M97" s="10">
        <f t="shared" si="11"/>
        <v>0.18673409886007347</v>
      </c>
      <c r="P97" s="8">
        <f t="shared" si="12"/>
        <v>12.086366994953586</v>
      </c>
      <c r="U97" s="8">
        <v>157</v>
      </c>
      <c r="V97" s="10">
        <f t="shared" si="13"/>
        <v>0.13041883313399047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3590.0671580672001</v>
      </c>
      <c r="E98">
        <v>729.67731367731005</v>
      </c>
      <c r="F98">
        <v>162.69337694194999</v>
      </c>
      <c r="G98">
        <v>123.73426001635001</v>
      </c>
      <c r="I98" s="9">
        <f t="shared" si="8"/>
        <v>605.94305366096</v>
      </c>
      <c r="J98" s="9">
        <f t="shared" si="9"/>
        <v>3427.3737811252499</v>
      </c>
      <c r="K98" s="9">
        <f t="shared" si="10"/>
        <v>605.94305366096</v>
      </c>
      <c r="L98" s="10">
        <f t="shared" si="7"/>
        <v>0.17679514764275908</v>
      </c>
      <c r="M98" s="10">
        <f t="shared" si="11"/>
        <v>0.1868141150178779</v>
      </c>
      <c r="P98" s="8">
        <f t="shared" si="12"/>
        <v>12.134396361223287</v>
      </c>
      <c r="U98" s="8">
        <v>157.5</v>
      </c>
      <c r="V98" s="10">
        <f t="shared" si="13"/>
        <v>0.13242939521039024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3676.2289950577001</v>
      </c>
      <c r="E99">
        <v>738.95140032948996</v>
      </c>
      <c r="F99">
        <v>161.59035159443999</v>
      </c>
      <c r="G99">
        <v>123.88879803761</v>
      </c>
      <c r="I99" s="9">
        <f t="shared" si="8"/>
        <v>615.06260229188001</v>
      </c>
      <c r="J99" s="9">
        <f t="shared" si="9"/>
        <v>3514.63864346326</v>
      </c>
      <c r="K99" s="9">
        <f t="shared" si="10"/>
        <v>615.06260229188001</v>
      </c>
      <c r="L99" s="10">
        <f t="shared" si="7"/>
        <v>0.17500023891099334</v>
      </c>
      <c r="M99" s="10">
        <f t="shared" si="11"/>
        <v>0.18512357052960299</v>
      </c>
      <c r="P99" s="8">
        <f t="shared" si="12"/>
        <v>11.119654056037414</v>
      </c>
      <c r="U99" s="8">
        <v>158</v>
      </c>
      <c r="V99" s="10">
        <f t="shared" si="13"/>
        <v>0.13051805147572373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3686.1425041185998</v>
      </c>
      <c r="E100">
        <v>726.15568369027994</v>
      </c>
      <c r="F100">
        <v>161.66639411284001</v>
      </c>
      <c r="G100">
        <v>124.41046606705</v>
      </c>
      <c r="I100" s="9">
        <f t="shared" si="8"/>
        <v>601.74521762322991</v>
      </c>
      <c r="J100" s="9">
        <f t="shared" si="9"/>
        <v>3524.4761100057599</v>
      </c>
      <c r="K100" s="9">
        <f t="shared" si="10"/>
        <v>601.74521762322991</v>
      </c>
      <c r="L100" s="10">
        <f t="shared" si="7"/>
        <v>0.17073323774699853</v>
      </c>
      <c r="M100" s="10">
        <f t="shared" si="11"/>
        <v>0.18096093360909898</v>
      </c>
      <c r="P100" s="8">
        <f t="shared" si="12"/>
        <v>8.6210485394950052</v>
      </c>
      <c r="U100" s="8">
        <v>158.5</v>
      </c>
      <c r="V100" s="10">
        <f t="shared" si="13"/>
        <v>0.13181620373313871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3599.1009098428999</v>
      </c>
      <c r="E101">
        <v>721.05210918114005</v>
      </c>
      <c r="F101">
        <v>162.14554374489001</v>
      </c>
      <c r="G101">
        <v>123.69337694195001</v>
      </c>
      <c r="I101" s="9">
        <f t="shared" si="8"/>
        <v>597.35873223919009</v>
      </c>
      <c r="J101" s="9">
        <f t="shared" si="9"/>
        <v>3436.95536609801</v>
      </c>
      <c r="K101" s="9">
        <f t="shared" si="10"/>
        <v>597.35873223919009</v>
      </c>
      <c r="L101" s="10">
        <f t="shared" si="7"/>
        <v>0.17380462316488388</v>
      </c>
      <c r="M101" s="10">
        <f t="shared" si="11"/>
        <v>0.18413668327047517</v>
      </c>
      <c r="P101" s="8">
        <f t="shared" si="12"/>
        <v>10.527279079080827</v>
      </c>
      <c r="U101" s="8">
        <v>159</v>
      </c>
      <c r="V101" s="10">
        <f t="shared" si="13"/>
        <v>0.13149026373058356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3518.8494623656002</v>
      </c>
      <c r="E102">
        <v>702.31182795698999</v>
      </c>
      <c r="F102">
        <v>161.62060506949999</v>
      </c>
      <c r="G102">
        <v>123.36385936222</v>
      </c>
      <c r="I102" s="9">
        <f t="shared" si="8"/>
        <v>578.94796859477003</v>
      </c>
      <c r="J102" s="9">
        <f t="shared" si="9"/>
        <v>3357.2288572961002</v>
      </c>
      <c r="K102" s="9">
        <f t="shared" si="10"/>
        <v>578.94796859477003</v>
      </c>
      <c r="L102" s="10">
        <f t="shared" si="7"/>
        <v>0.17244816877365118</v>
      </c>
      <c r="M102" s="10">
        <f t="shared" si="11"/>
        <v>0.18288459312273328</v>
      </c>
      <c r="P102" s="8">
        <f t="shared" si="12"/>
        <v>9.7757171701028316</v>
      </c>
      <c r="U102" s="8">
        <v>159.5</v>
      </c>
      <c r="V102" s="10">
        <f t="shared" si="13"/>
        <v>0.13142749578364282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3558.4797353183999</v>
      </c>
      <c r="E103">
        <v>699.45492142266005</v>
      </c>
      <c r="F103">
        <v>162.24202780049001</v>
      </c>
      <c r="G103">
        <v>123.23385118561001</v>
      </c>
      <c r="I103" s="9">
        <f t="shared" si="8"/>
        <v>576.22107023705007</v>
      </c>
      <c r="J103" s="9">
        <f t="shared" si="9"/>
        <v>3396.2377075179097</v>
      </c>
      <c r="K103" s="9">
        <f t="shared" si="10"/>
        <v>576.22107023705007</v>
      </c>
      <c r="L103" s="10">
        <f t="shared" si="7"/>
        <v>0.16966452877003499</v>
      </c>
      <c r="M103" s="10">
        <f t="shared" si="11"/>
        <v>0.18020531736260792</v>
      </c>
      <c r="P103" s="8">
        <f t="shared" si="12"/>
        <v>8.1674930269851487</v>
      </c>
      <c r="U103" s="8">
        <v>160</v>
      </c>
      <c r="V103" s="10">
        <f t="shared" si="13"/>
        <v>0.12941760565172297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3616.7369727046998</v>
      </c>
      <c r="E104">
        <v>695.18444995864002</v>
      </c>
      <c r="F104">
        <v>161.91741618969999</v>
      </c>
      <c r="G104">
        <v>123.37612428455</v>
      </c>
      <c r="I104" s="9">
        <f t="shared" si="8"/>
        <v>571.80832567409004</v>
      </c>
      <c r="J104" s="9">
        <f t="shared" si="9"/>
        <v>3454.8195565149999</v>
      </c>
      <c r="K104" s="9">
        <f t="shared" si="10"/>
        <v>571.80832567409004</v>
      </c>
      <c r="L104" s="10">
        <f t="shared" si="7"/>
        <v>0.16551033022717215</v>
      </c>
      <c r="M104" s="10">
        <f t="shared" si="11"/>
        <v>0.17615548306323589</v>
      </c>
      <c r="P104" s="8">
        <f t="shared" si="12"/>
        <v>5.7365968151030815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3640.0558751027002</v>
      </c>
      <c r="E105">
        <v>697.16269515200997</v>
      </c>
      <c r="F105">
        <v>162.47260834015</v>
      </c>
      <c r="G105">
        <v>123.67048242028</v>
      </c>
      <c r="I105" s="9">
        <f t="shared" si="8"/>
        <v>573.49221273172998</v>
      </c>
      <c r="J105" s="9">
        <f t="shared" si="9"/>
        <v>3477.58326676255</v>
      </c>
      <c r="K105" s="9">
        <f t="shared" si="10"/>
        <v>573.49221273172998</v>
      </c>
      <c r="L105" s="10">
        <f t="shared" si="7"/>
        <v>0.16491113763197437</v>
      </c>
      <c r="M105" s="10">
        <f t="shared" si="11"/>
        <v>0.17566065471152895</v>
      </c>
      <c r="P105" s="8">
        <f t="shared" si="12"/>
        <v>5.4395781529116984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3660.5703764321001</v>
      </c>
      <c r="E106">
        <v>700.74468085106002</v>
      </c>
      <c r="F106">
        <v>161.77350776777999</v>
      </c>
      <c r="G106">
        <v>123.63450531479999</v>
      </c>
      <c r="I106" s="9">
        <f t="shared" si="8"/>
        <v>577.11017553626004</v>
      </c>
      <c r="J106" s="9">
        <f t="shared" si="9"/>
        <v>3498.7968686643203</v>
      </c>
      <c r="K106" s="9">
        <f t="shared" si="10"/>
        <v>577.11017553626004</v>
      </c>
      <c r="L106" s="10">
        <f t="shared" si="7"/>
        <v>0.16494532183475236</v>
      </c>
      <c r="M106" s="10">
        <f t="shared" si="11"/>
        <v>0.17579920315779773</v>
      </c>
      <c r="P106" s="8">
        <f t="shared" si="12"/>
        <v>5.5227412821412489</v>
      </c>
      <c r="X106" s="8">
        <v>-13</v>
      </c>
    </row>
    <row r="107" spans="1:25" x14ac:dyDescent="0.2">
      <c r="A107" s="8">
        <v>52.5</v>
      </c>
      <c r="B107" s="8">
        <v>105</v>
      </c>
      <c r="D107">
        <v>3633.0065466448</v>
      </c>
      <c r="E107">
        <v>692.60556464811998</v>
      </c>
      <c r="F107">
        <v>161.70973017170999</v>
      </c>
      <c r="G107">
        <v>123.50858544563</v>
      </c>
      <c r="I107" s="9">
        <f t="shared" si="8"/>
        <v>569.09697920248993</v>
      </c>
      <c r="J107" s="9">
        <f t="shared" si="9"/>
        <v>3471.2968164730901</v>
      </c>
      <c r="K107" s="9">
        <f t="shared" si="10"/>
        <v>569.09697920248993</v>
      </c>
      <c r="L107" s="10">
        <f t="shared" si="7"/>
        <v>0.16394362374943908</v>
      </c>
      <c r="M107" s="10">
        <f t="shared" si="11"/>
        <v>0.17490186931597529</v>
      </c>
      <c r="P107" s="8">
        <f t="shared" si="12"/>
        <v>4.9841203718442522</v>
      </c>
      <c r="X107" s="8">
        <v>-13</v>
      </c>
    </row>
    <row r="108" spans="1:25" x14ac:dyDescent="0.2">
      <c r="A108" s="8">
        <v>53</v>
      </c>
      <c r="B108" s="8">
        <v>106</v>
      </c>
      <c r="D108">
        <v>3613.9983633388001</v>
      </c>
      <c r="E108">
        <v>681.24631751228003</v>
      </c>
      <c r="F108">
        <v>161.83810302534999</v>
      </c>
      <c r="G108">
        <v>123.04415372036</v>
      </c>
      <c r="I108" s="9">
        <f t="shared" si="8"/>
        <v>558.20216379192004</v>
      </c>
      <c r="J108" s="9">
        <f t="shared" si="9"/>
        <v>3452.1602603134502</v>
      </c>
      <c r="K108" s="9">
        <f t="shared" si="10"/>
        <v>558.20216379192004</v>
      </c>
      <c r="L108" s="10">
        <f t="shared" si="7"/>
        <v>0.16169648037754664</v>
      </c>
      <c r="M108" s="10">
        <f t="shared" si="11"/>
        <v>0.17275909018757366</v>
      </c>
      <c r="P108" s="8">
        <f t="shared" si="12"/>
        <v>3.6979261028739927</v>
      </c>
      <c r="X108" s="8">
        <v>-13</v>
      </c>
    </row>
    <row r="109" spans="1:25" x14ac:dyDescent="0.2">
      <c r="A109" s="8">
        <v>53.5</v>
      </c>
      <c r="B109" s="8">
        <v>107</v>
      </c>
      <c r="D109">
        <v>3620.5433715221002</v>
      </c>
      <c r="E109">
        <v>689.05810147299997</v>
      </c>
      <c r="F109">
        <v>161.87735077677999</v>
      </c>
      <c r="G109">
        <v>123.56173344235999</v>
      </c>
      <c r="I109" s="9">
        <f t="shared" si="8"/>
        <v>565.49636803063993</v>
      </c>
      <c r="J109" s="9">
        <f t="shared" si="9"/>
        <v>3458.6660207453201</v>
      </c>
      <c r="K109" s="9">
        <f t="shared" si="10"/>
        <v>565.49636803063993</v>
      </c>
      <c r="L109" s="10">
        <f t="shared" si="7"/>
        <v>0.16350129345786879</v>
      </c>
      <c r="M109" s="10">
        <f t="shared" si="11"/>
        <v>0.17466826751138664</v>
      </c>
      <c r="P109" s="8">
        <f t="shared" si="12"/>
        <v>4.843901859212413</v>
      </c>
      <c r="X109" s="8">
        <v>-13</v>
      </c>
    </row>
    <row r="110" spans="1:25" x14ac:dyDescent="0.2">
      <c r="A110" s="8">
        <v>54</v>
      </c>
      <c r="B110" s="8">
        <v>108</v>
      </c>
      <c r="D110">
        <v>3579.6006546644999</v>
      </c>
      <c r="E110">
        <v>694.91734860884003</v>
      </c>
      <c r="F110">
        <v>161.29190515126999</v>
      </c>
      <c r="G110">
        <v>123.44235486509</v>
      </c>
      <c r="I110" s="9">
        <f t="shared" si="8"/>
        <v>571.47499374375002</v>
      </c>
      <c r="J110" s="9">
        <f t="shared" si="9"/>
        <v>3418.3087495132299</v>
      </c>
      <c r="K110" s="9">
        <f t="shared" si="10"/>
        <v>571.47499374375002</v>
      </c>
      <c r="L110" s="10">
        <f t="shared" si="7"/>
        <v>0.16718062516299281</v>
      </c>
      <c r="M110" s="10">
        <f t="shared" si="11"/>
        <v>0.17845196346000147</v>
      </c>
      <c r="P110" s="8">
        <f t="shared" si="12"/>
        <v>7.1150496318083247</v>
      </c>
      <c r="X110" s="8">
        <v>-13</v>
      </c>
    </row>
    <row r="111" spans="1:25" x14ac:dyDescent="0.2">
      <c r="A111" s="8">
        <v>54.5</v>
      </c>
      <c r="B111" s="8">
        <v>109</v>
      </c>
      <c r="D111">
        <v>3607.1472995089998</v>
      </c>
      <c r="E111">
        <v>709.88297872340002</v>
      </c>
      <c r="F111">
        <v>162.05069501227001</v>
      </c>
      <c r="G111">
        <v>123.20359771055</v>
      </c>
      <c r="I111" s="9">
        <f t="shared" si="8"/>
        <v>586.67938101285006</v>
      </c>
      <c r="J111" s="9">
        <f t="shared" si="9"/>
        <v>3445.0966044967299</v>
      </c>
      <c r="K111" s="9">
        <f t="shared" si="10"/>
        <v>586.67938101285006</v>
      </c>
      <c r="L111" s="10">
        <f t="shared" si="7"/>
        <v>0.17029402898225954</v>
      </c>
      <c r="M111" s="10">
        <f t="shared" si="11"/>
        <v>0.18166973152275903</v>
      </c>
      <c r="P111" s="8">
        <f t="shared" si="12"/>
        <v>9.0465015422445969</v>
      </c>
      <c r="X111" s="8">
        <v>-13</v>
      </c>
    </row>
    <row r="112" spans="1:25" x14ac:dyDescent="0.2">
      <c r="A112" s="8">
        <v>55</v>
      </c>
      <c r="B112" s="8">
        <v>110</v>
      </c>
      <c r="D112">
        <v>3615.9648117840002</v>
      </c>
      <c r="E112">
        <v>715.21685761048002</v>
      </c>
      <c r="F112">
        <v>161.26328699918</v>
      </c>
      <c r="G112">
        <v>123.28863450532</v>
      </c>
      <c r="I112" s="9">
        <f t="shared" si="8"/>
        <v>591.92822310515999</v>
      </c>
      <c r="J112" s="9">
        <f t="shared" si="9"/>
        <v>3454.7015247848203</v>
      </c>
      <c r="K112" s="9">
        <f t="shared" si="10"/>
        <v>591.92822310515999</v>
      </c>
      <c r="L112" s="10">
        <f t="shared" si="7"/>
        <v>0.17133990269739116</v>
      </c>
      <c r="M112" s="10">
        <f t="shared" si="11"/>
        <v>0.18281996948138146</v>
      </c>
      <c r="P112" s="8">
        <f t="shared" si="12"/>
        <v>9.7369270978807361</v>
      </c>
      <c r="X112" s="8">
        <v>-13</v>
      </c>
    </row>
    <row r="113" spans="1:24" x14ac:dyDescent="0.2">
      <c r="A113" s="8">
        <v>55.5</v>
      </c>
      <c r="B113" s="8">
        <v>111</v>
      </c>
      <c r="D113">
        <v>3434.7119476267999</v>
      </c>
      <c r="E113">
        <v>690.46890343698999</v>
      </c>
      <c r="F113">
        <v>161.66067048241999</v>
      </c>
      <c r="G113">
        <v>123.26655764514</v>
      </c>
      <c r="I113" s="9">
        <f t="shared" si="8"/>
        <v>567.20234579185001</v>
      </c>
      <c r="J113" s="9">
        <f t="shared" si="9"/>
        <v>3273.05127714438</v>
      </c>
      <c r="K113" s="9">
        <f t="shared" si="10"/>
        <v>567.20234579185001</v>
      </c>
      <c r="L113" s="10">
        <f t="shared" si="7"/>
        <v>0.17329467147447616</v>
      </c>
      <c r="M113" s="10">
        <f t="shared" si="11"/>
        <v>0.1848791025019573</v>
      </c>
      <c r="P113" s="8">
        <f t="shared" si="12"/>
        <v>10.97291313816274</v>
      </c>
      <c r="X113" s="8">
        <v>-13</v>
      </c>
    </row>
    <row r="114" spans="1:24" x14ac:dyDescent="0.2">
      <c r="A114" s="8">
        <v>56</v>
      </c>
      <c r="B114" s="8">
        <v>112</v>
      </c>
      <c r="D114">
        <v>3549.7479541735001</v>
      </c>
      <c r="E114">
        <v>698.71358428805001</v>
      </c>
      <c r="F114">
        <v>161.32379394930999</v>
      </c>
      <c r="G114">
        <v>123</v>
      </c>
      <c r="I114" s="9">
        <f t="shared" si="8"/>
        <v>575.71358428805001</v>
      </c>
      <c r="J114" s="9">
        <f t="shared" si="9"/>
        <v>3388.42416022419</v>
      </c>
      <c r="K114" s="9">
        <f t="shared" si="10"/>
        <v>575.71358428805001</v>
      </c>
      <c r="L114" s="10">
        <f t="shared" si="7"/>
        <v>0.16990599673033815</v>
      </c>
      <c r="M114" s="10">
        <f t="shared" si="11"/>
        <v>0.1815947920013101</v>
      </c>
      <c r="P114" s="8">
        <f t="shared" si="12"/>
        <v>9.0015194058547898</v>
      </c>
      <c r="X114" s="8">
        <v>-13</v>
      </c>
    </row>
    <row r="115" spans="1:24" x14ac:dyDescent="0.2">
      <c r="A115" s="8">
        <v>56.5</v>
      </c>
      <c r="B115" s="8">
        <v>113</v>
      </c>
      <c r="D115">
        <v>3527.9217970049999</v>
      </c>
      <c r="E115">
        <v>694.50748752080005</v>
      </c>
      <c r="F115">
        <v>161.34587080949001</v>
      </c>
      <c r="G115">
        <v>122.99018806214001</v>
      </c>
      <c r="I115" s="9">
        <f t="shared" si="8"/>
        <v>571.51729945866009</v>
      </c>
      <c r="J115" s="9">
        <f t="shared" si="9"/>
        <v>3366.57592619551</v>
      </c>
      <c r="K115" s="9">
        <f t="shared" si="10"/>
        <v>571.51729945866009</v>
      </c>
      <c r="L115" s="10">
        <f t="shared" si="7"/>
        <v>0.16976218923555325</v>
      </c>
      <c r="M115" s="10">
        <f t="shared" si="11"/>
        <v>0.18155534875001603</v>
      </c>
      <c r="P115" s="8">
        <f t="shared" si="12"/>
        <v>8.9778437581449726</v>
      </c>
      <c r="X115" s="8">
        <v>-13</v>
      </c>
    </row>
    <row r="116" spans="1:24" x14ac:dyDescent="0.2">
      <c r="A116" s="8">
        <v>57</v>
      </c>
      <c r="B116" s="8">
        <v>114</v>
      </c>
      <c r="D116">
        <v>3515.0931780366</v>
      </c>
      <c r="E116">
        <v>684.74209650581997</v>
      </c>
      <c r="F116">
        <v>160.65249386753999</v>
      </c>
      <c r="G116">
        <v>123.39411283729</v>
      </c>
      <c r="I116" s="9">
        <f t="shared" si="8"/>
        <v>561.34798366852999</v>
      </c>
      <c r="J116" s="9">
        <f t="shared" si="9"/>
        <v>3354.4406841690598</v>
      </c>
      <c r="K116" s="9">
        <f t="shared" si="10"/>
        <v>561.34798366852999</v>
      </c>
      <c r="L116" s="10">
        <f t="shared" si="7"/>
        <v>0.16734473389789079</v>
      </c>
      <c r="M116" s="10">
        <f t="shared" si="11"/>
        <v>0.17924225765584437</v>
      </c>
      <c r="P116" s="8">
        <f t="shared" si="12"/>
        <v>7.5894204393361209</v>
      </c>
      <c r="X116" s="8">
        <v>-13</v>
      </c>
    </row>
    <row r="117" spans="1:24" x14ac:dyDescent="0.2">
      <c r="A117" s="8">
        <v>57.5</v>
      </c>
      <c r="B117" s="8">
        <v>115</v>
      </c>
      <c r="D117">
        <v>3482.3319467554002</v>
      </c>
      <c r="E117">
        <v>684.21713810315998</v>
      </c>
      <c r="F117">
        <v>161.12101390025001</v>
      </c>
      <c r="G117">
        <v>123.26492232216</v>
      </c>
      <c r="I117" s="9">
        <f t="shared" si="8"/>
        <v>560.95221578099995</v>
      </c>
      <c r="J117" s="9">
        <f t="shared" si="9"/>
        <v>3321.2109328551501</v>
      </c>
      <c r="K117" s="9">
        <f t="shared" si="10"/>
        <v>560.95221578099995</v>
      </c>
      <c r="L117" s="10">
        <f t="shared" si="7"/>
        <v>0.1688999064262279</v>
      </c>
      <c r="M117" s="10">
        <f t="shared" si="11"/>
        <v>0.18090179442767232</v>
      </c>
      <c r="P117" s="8">
        <f t="shared" si="12"/>
        <v>8.5855504915560612</v>
      </c>
      <c r="X117" s="8">
        <v>-13</v>
      </c>
    </row>
    <row r="118" spans="1:24" x14ac:dyDescent="0.2">
      <c r="A118" s="8">
        <v>58</v>
      </c>
      <c r="B118" s="8">
        <v>116</v>
      </c>
      <c r="D118">
        <v>3479.0133111481</v>
      </c>
      <c r="E118">
        <v>673.70632279534004</v>
      </c>
      <c r="F118">
        <v>161.36222403925001</v>
      </c>
      <c r="G118">
        <v>123.16516762061001</v>
      </c>
      <c r="I118" s="9">
        <f t="shared" si="8"/>
        <v>550.54115517473008</v>
      </c>
      <c r="J118" s="9">
        <f t="shared" si="9"/>
        <v>3317.6510871088499</v>
      </c>
      <c r="K118" s="9">
        <f t="shared" si="10"/>
        <v>550.54115517473008</v>
      </c>
      <c r="L118" s="10">
        <f t="shared" si="7"/>
        <v>0.16594305450441335</v>
      </c>
      <c r="M118" s="10">
        <f t="shared" si="11"/>
        <v>0.17804930674934857</v>
      </c>
      <c r="P118" s="8">
        <f t="shared" si="12"/>
        <v>6.8733566142034315</v>
      </c>
      <c r="X118" s="8">
        <v>-13</v>
      </c>
    </row>
    <row r="119" spans="1:24" x14ac:dyDescent="0.2">
      <c r="A119" s="8">
        <v>58.5</v>
      </c>
      <c r="B119" s="8">
        <v>117</v>
      </c>
      <c r="D119">
        <v>3511.1586655818001</v>
      </c>
      <c r="E119">
        <v>680.04556550041002</v>
      </c>
      <c r="F119">
        <v>161.08585445625999</v>
      </c>
      <c r="G119">
        <v>122.84055600981</v>
      </c>
      <c r="I119" s="9">
        <f t="shared" si="8"/>
        <v>557.20500949059999</v>
      </c>
      <c r="J119" s="9">
        <f t="shared" si="9"/>
        <v>3350.0728111255403</v>
      </c>
      <c r="K119" s="9">
        <f t="shared" si="10"/>
        <v>557.20500949059999</v>
      </c>
      <c r="L119" s="10">
        <f t="shared" si="7"/>
        <v>0.16632623853431805</v>
      </c>
      <c r="M119" s="10">
        <f t="shared" si="11"/>
        <v>0.17853685502274411</v>
      </c>
      <c r="P119" s="8">
        <f t="shared" si="12"/>
        <v>7.1660054396357751</v>
      </c>
      <c r="X119" s="8">
        <v>-13</v>
      </c>
    </row>
    <row r="120" spans="1:24" x14ac:dyDescent="0.2">
      <c r="A120" s="8">
        <v>59</v>
      </c>
      <c r="B120" s="8">
        <v>118</v>
      </c>
      <c r="D120">
        <v>3574.8641171683998</v>
      </c>
      <c r="E120">
        <v>673.20911310008</v>
      </c>
      <c r="F120">
        <v>161.49059689289001</v>
      </c>
      <c r="G120">
        <v>122.80049059689</v>
      </c>
      <c r="I120" s="9">
        <f t="shared" si="8"/>
        <v>550.40862250319003</v>
      </c>
      <c r="J120" s="9">
        <f t="shared" si="9"/>
        <v>3413.3735202755097</v>
      </c>
      <c r="K120" s="9">
        <f t="shared" si="10"/>
        <v>550.40862250319003</v>
      </c>
      <c r="L120" s="10">
        <f t="shared" si="7"/>
        <v>0.16125062763677966</v>
      </c>
      <c r="M120" s="10">
        <f t="shared" si="11"/>
        <v>0.17356560836869656</v>
      </c>
      <c r="P120" s="8">
        <f t="shared" si="12"/>
        <v>4.1820352901584403</v>
      </c>
      <c r="X120" s="8">
        <v>-13</v>
      </c>
    </row>
    <row r="121" spans="1:24" x14ac:dyDescent="0.2">
      <c r="A121" s="8">
        <v>59.5</v>
      </c>
      <c r="B121" s="8">
        <v>119</v>
      </c>
      <c r="D121">
        <v>3629.6385442515002</v>
      </c>
      <c r="E121">
        <v>679.17700578991003</v>
      </c>
      <c r="F121">
        <v>160.48405560098001</v>
      </c>
      <c r="G121">
        <v>123.48405560098</v>
      </c>
      <c r="I121" s="9">
        <f t="shared" si="8"/>
        <v>555.69295018893001</v>
      </c>
      <c r="J121" s="9">
        <f t="shared" si="9"/>
        <v>3469.1544886505203</v>
      </c>
      <c r="K121" s="9">
        <f t="shared" si="10"/>
        <v>555.69295018893001</v>
      </c>
      <c r="L121" s="10">
        <f t="shared" si="7"/>
        <v>0.16018109081244494</v>
      </c>
      <c r="M121" s="10">
        <f t="shared" si="11"/>
        <v>0.17260043578785264</v>
      </c>
      <c r="P121" s="8">
        <f t="shared" si="12"/>
        <v>3.6026944586212784</v>
      </c>
      <c r="X121" s="8">
        <v>-13</v>
      </c>
    </row>
    <row r="122" spans="1:24" x14ac:dyDescent="0.2">
      <c r="A122" s="8">
        <v>60</v>
      </c>
      <c r="B122" s="8">
        <v>120</v>
      </c>
      <c r="D122">
        <v>3621.7879537954</v>
      </c>
      <c r="E122">
        <v>675.21864686468996</v>
      </c>
      <c r="F122">
        <v>160.24529844643999</v>
      </c>
      <c r="G122">
        <v>123.29272281276</v>
      </c>
      <c r="I122" s="9">
        <f t="shared" si="8"/>
        <v>551.92592405193</v>
      </c>
      <c r="J122" s="9">
        <f t="shared" si="9"/>
        <v>3461.5426553489601</v>
      </c>
      <c r="K122" s="9">
        <f t="shared" si="10"/>
        <v>551.92592405193</v>
      </c>
      <c r="L122" s="10">
        <f t="shared" si="7"/>
        <v>0.15944507377341274</v>
      </c>
      <c r="M122" s="10">
        <f t="shared" si="11"/>
        <v>0.17196878299231128</v>
      </c>
      <c r="P122" s="8">
        <f t="shared" si="12"/>
        <v>3.2235474924986609</v>
      </c>
      <c r="X122" s="8">
        <v>-13</v>
      </c>
    </row>
    <row r="123" spans="1:24" x14ac:dyDescent="0.2">
      <c r="A123" s="8">
        <v>60.5</v>
      </c>
      <c r="B123" s="8">
        <v>121</v>
      </c>
      <c r="D123">
        <v>3530.6056105611001</v>
      </c>
      <c r="E123">
        <v>655.42161716171995</v>
      </c>
      <c r="F123">
        <v>161.43254292723</v>
      </c>
      <c r="G123">
        <v>122.87653311529</v>
      </c>
      <c r="I123" s="9">
        <f t="shared" si="8"/>
        <v>532.54508404642991</v>
      </c>
      <c r="J123" s="9">
        <f t="shared" si="9"/>
        <v>3369.1730676338702</v>
      </c>
      <c r="K123" s="9">
        <f t="shared" si="10"/>
        <v>532.54508404642991</v>
      </c>
      <c r="L123" s="10">
        <f t="shared" si="7"/>
        <v>0.15806403332685723</v>
      </c>
      <c r="M123" s="10">
        <f t="shared" si="11"/>
        <v>0.17069210678924657</v>
      </c>
      <c r="P123" s="8">
        <f t="shared" si="12"/>
        <v>2.4572279059636744</v>
      </c>
      <c r="X123" s="8">
        <v>-13</v>
      </c>
    </row>
    <row r="124" spans="1:24" x14ac:dyDescent="0.2">
      <c r="A124" s="8">
        <v>61</v>
      </c>
      <c r="B124" s="8">
        <v>122</v>
      </c>
      <c r="D124">
        <v>3467.7557755776002</v>
      </c>
      <c r="E124">
        <v>637.69719471946996</v>
      </c>
      <c r="F124">
        <v>160.96974652494001</v>
      </c>
      <c r="G124">
        <v>123.12346688471</v>
      </c>
      <c r="I124" s="9">
        <f t="shared" si="8"/>
        <v>514.57372783476001</v>
      </c>
      <c r="J124" s="9">
        <f t="shared" si="9"/>
        <v>3306.7860290526601</v>
      </c>
      <c r="K124" s="9">
        <f t="shared" si="10"/>
        <v>514.57372783476001</v>
      </c>
      <c r="L124" s="10">
        <f t="shared" si="7"/>
        <v>0.15561143760552809</v>
      </c>
      <c r="M124" s="10">
        <f t="shared" si="11"/>
        <v>0.16834387531140826</v>
      </c>
      <c r="P124" s="8">
        <f t="shared" si="12"/>
        <v>1.0477117178607454</v>
      </c>
      <c r="X124" s="8">
        <v>-13</v>
      </c>
    </row>
    <row r="125" spans="1:24" x14ac:dyDescent="0.2">
      <c r="A125" s="8">
        <v>61.5</v>
      </c>
      <c r="B125" s="8">
        <v>123</v>
      </c>
      <c r="D125">
        <v>3533.0528052804998</v>
      </c>
      <c r="E125">
        <v>649.71947194719996</v>
      </c>
      <c r="F125">
        <v>160.79885527392</v>
      </c>
      <c r="G125">
        <v>122.81684382666</v>
      </c>
      <c r="I125" s="9">
        <f t="shared" si="8"/>
        <v>526.90262812053993</v>
      </c>
      <c r="J125" s="9">
        <f t="shared" si="9"/>
        <v>3372.25395000658</v>
      </c>
      <c r="K125" s="9">
        <f t="shared" si="10"/>
        <v>526.90262812053993</v>
      </c>
      <c r="L125" s="10">
        <f t="shared" si="7"/>
        <v>0.15624642625728463</v>
      </c>
      <c r="M125" s="10">
        <f t="shared" si="11"/>
        <v>0.16908322820665561</v>
      </c>
      <c r="P125" s="8">
        <f t="shared" si="12"/>
        <v>1.4915052213577908</v>
      </c>
      <c r="X125" s="8">
        <v>-13</v>
      </c>
    </row>
    <row r="126" spans="1:24" x14ac:dyDescent="0.2">
      <c r="A126" s="8">
        <v>62</v>
      </c>
      <c r="B126" s="8">
        <v>124</v>
      </c>
      <c r="D126">
        <v>3417.0981848185002</v>
      </c>
      <c r="E126">
        <v>629.39686468647005</v>
      </c>
      <c r="F126">
        <v>160.34587080949001</v>
      </c>
      <c r="G126">
        <v>122.84464431725</v>
      </c>
      <c r="I126" s="9">
        <f t="shared" si="8"/>
        <v>506.55222036922004</v>
      </c>
      <c r="J126" s="9">
        <f t="shared" si="9"/>
        <v>3256.7523140090102</v>
      </c>
      <c r="K126" s="9">
        <f t="shared" si="10"/>
        <v>506.55222036922004</v>
      </c>
      <c r="L126" s="10">
        <f t="shared" si="7"/>
        <v>0.15553906822765479</v>
      </c>
      <c r="M126" s="10">
        <f t="shared" si="11"/>
        <v>0.1684802344205166</v>
      </c>
      <c r="P126" s="8">
        <f t="shared" si="12"/>
        <v>1.1295607065560276</v>
      </c>
      <c r="X126" s="8">
        <v>-13</v>
      </c>
    </row>
    <row r="127" spans="1:24" x14ac:dyDescent="0.2">
      <c r="A127" s="8">
        <v>62.5</v>
      </c>
      <c r="B127" s="8">
        <v>125</v>
      </c>
      <c r="D127">
        <v>3558.4759535654998</v>
      </c>
      <c r="E127">
        <v>668.97844112769997</v>
      </c>
      <c r="F127">
        <v>160.5519215045</v>
      </c>
      <c r="G127">
        <v>122.72690106296</v>
      </c>
      <c r="I127" s="9">
        <f t="shared" si="8"/>
        <v>546.25154006473997</v>
      </c>
      <c r="J127" s="9">
        <f t="shared" si="9"/>
        <v>3397.9240320609997</v>
      </c>
      <c r="K127" s="9">
        <f t="shared" si="10"/>
        <v>546.25154006473997</v>
      </c>
      <c r="L127" s="10">
        <f t="shared" si="7"/>
        <v>0.16076037454357472</v>
      </c>
      <c r="M127" s="10">
        <f t="shared" si="11"/>
        <v>0.17380590497992734</v>
      </c>
      <c r="P127" s="8">
        <f t="shared" si="12"/>
        <v>4.3262723326615378</v>
      </c>
      <c r="X127" s="8">
        <v>-13</v>
      </c>
    </row>
    <row r="128" spans="1:24" x14ac:dyDescent="0.2">
      <c r="A128" s="8">
        <v>63</v>
      </c>
      <c r="B128" s="8">
        <v>126</v>
      </c>
      <c r="D128">
        <v>3430.1732673267002</v>
      </c>
      <c r="E128">
        <v>657.07755775578005</v>
      </c>
      <c r="F128">
        <v>160.08912510221001</v>
      </c>
      <c r="G128">
        <v>122.61242845462</v>
      </c>
      <c r="I128" s="9">
        <f t="shared" si="8"/>
        <v>534.46512930116</v>
      </c>
      <c r="J128" s="9">
        <f t="shared" si="9"/>
        <v>3270.0841422244903</v>
      </c>
      <c r="K128" s="9">
        <f t="shared" si="10"/>
        <v>534.46512930116</v>
      </c>
      <c r="L128" s="10">
        <f t="shared" si="7"/>
        <v>0.16344078808247042</v>
      </c>
      <c r="M128" s="10">
        <f t="shared" si="11"/>
        <v>0.17659068276231388</v>
      </c>
      <c r="P128" s="8">
        <f t="shared" si="12"/>
        <v>5.9978236263000086</v>
      </c>
      <c r="X128" s="8">
        <v>-13</v>
      </c>
    </row>
    <row r="129" spans="1:24" x14ac:dyDescent="0.2">
      <c r="A129" s="8">
        <v>63.5</v>
      </c>
      <c r="B129" s="8">
        <v>127</v>
      </c>
      <c r="D129">
        <v>3536.7929042904002</v>
      </c>
      <c r="E129">
        <v>665.85148514852006</v>
      </c>
      <c r="F129">
        <v>160.50940310710999</v>
      </c>
      <c r="G129">
        <v>122.26165167620999</v>
      </c>
      <c r="I129" s="9">
        <f t="shared" si="8"/>
        <v>543.58983347231003</v>
      </c>
      <c r="J129" s="9">
        <f t="shared" si="9"/>
        <v>3376.2835011832904</v>
      </c>
      <c r="K129" s="9">
        <f t="shared" si="10"/>
        <v>543.58983347231003</v>
      </c>
      <c r="L129" s="10">
        <f t="shared" si="7"/>
        <v>0.1610024256795371</v>
      </c>
      <c r="M129" s="10">
        <f t="shared" si="11"/>
        <v>0.17425668460287136</v>
      </c>
      <c r="P129" s="8">
        <f t="shared" si="12"/>
        <v>4.5968509284273313</v>
      </c>
      <c r="X129" s="8">
        <v>-13</v>
      </c>
    </row>
    <row r="130" spans="1:24" x14ac:dyDescent="0.2">
      <c r="A130" s="8">
        <v>64</v>
      </c>
      <c r="B130" s="8">
        <v>128</v>
      </c>
      <c r="D130">
        <v>3571.3514403292002</v>
      </c>
      <c r="E130">
        <v>674.83539094649996</v>
      </c>
      <c r="F130">
        <v>160.11856091577999</v>
      </c>
      <c r="G130">
        <v>122.43336058872001</v>
      </c>
      <c r="I130" s="9">
        <f t="shared" si="8"/>
        <v>552.40203035777995</v>
      </c>
      <c r="J130" s="9">
        <f t="shared" si="9"/>
        <v>3411.2328794134201</v>
      </c>
      <c r="K130" s="9">
        <f t="shared" si="10"/>
        <v>552.40203035777995</v>
      </c>
      <c r="L130" s="10">
        <f t="shared" ref="L130:L193" si="14">K130/J130</f>
        <v>0.16193618257243358</v>
      </c>
      <c r="M130" s="10">
        <f t="shared" si="11"/>
        <v>0.17529480573925868</v>
      </c>
      <c r="P130" s="8">
        <f t="shared" si="12"/>
        <v>5.2199788273416026</v>
      </c>
      <c r="X130" s="8">
        <v>-13</v>
      </c>
    </row>
    <row r="131" spans="1:24" x14ac:dyDescent="0.2">
      <c r="A131" s="8">
        <v>64.5</v>
      </c>
      <c r="B131" s="8">
        <v>129</v>
      </c>
      <c r="D131">
        <v>3624.3758223683999</v>
      </c>
      <c r="E131">
        <v>674.68832236842002</v>
      </c>
      <c r="F131">
        <v>159.65494685199999</v>
      </c>
      <c r="G131">
        <v>122.73017170891001</v>
      </c>
      <c r="I131" s="9">
        <f t="shared" ref="I131:I194" si="15">E131-G131</f>
        <v>551.95815065951001</v>
      </c>
      <c r="J131" s="9">
        <f t="shared" ref="J131:J194" si="16">D131-F131</f>
        <v>3464.7208755163997</v>
      </c>
      <c r="K131" s="9">
        <f t="shared" ref="K131:K194" si="17">I131*1</f>
        <v>551.95815065951001</v>
      </c>
      <c r="L131" s="10">
        <f t="shared" si="14"/>
        <v>0.15930811470555858</v>
      </c>
      <c r="M131" s="10">
        <f t="shared" ref="M131:M181" si="18">L131+ABS($N$2)*A131</f>
        <v>0.17277110211587449</v>
      </c>
      <c r="P131" s="8">
        <f t="shared" ref="P131:P194" si="19">(M131-$O$2)/$O$2*100</f>
        <v>3.7051362129292156</v>
      </c>
      <c r="X131" s="8">
        <v>-13</v>
      </c>
    </row>
    <row r="132" spans="1:24" x14ac:dyDescent="0.2">
      <c r="A132" s="8">
        <v>65</v>
      </c>
      <c r="B132" s="8">
        <v>130</v>
      </c>
      <c r="D132">
        <v>3571.7</v>
      </c>
      <c r="E132">
        <v>663.77213114753999</v>
      </c>
      <c r="F132">
        <v>160.53475061325</v>
      </c>
      <c r="G132">
        <v>122.52166802943999</v>
      </c>
      <c r="I132" s="9">
        <f t="shared" si="15"/>
        <v>541.25046311810001</v>
      </c>
      <c r="J132" s="9">
        <f t="shared" si="16"/>
        <v>3411.16524938675</v>
      </c>
      <c r="K132" s="9">
        <f t="shared" si="17"/>
        <v>541.25046311810001</v>
      </c>
      <c r="L132" s="10">
        <f t="shared" si="14"/>
        <v>0.1586702559236626</v>
      </c>
      <c r="M132" s="10">
        <f t="shared" si="18"/>
        <v>0.17223760757746934</v>
      </c>
      <c r="P132" s="8">
        <f t="shared" si="19"/>
        <v>3.3849083328231231</v>
      </c>
      <c r="X132" s="8">
        <v>-13</v>
      </c>
    </row>
    <row r="133" spans="1:24" x14ac:dyDescent="0.2">
      <c r="A133" s="8">
        <v>65.5</v>
      </c>
      <c r="B133" s="8">
        <v>131</v>
      </c>
      <c r="D133">
        <v>3622.2912541254</v>
      </c>
      <c r="E133">
        <v>666.78135313531004</v>
      </c>
      <c r="F133">
        <v>160.01226492232001</v>
      </c>
      <c r="G133">
        <v>122.31398201144999</v>
      </c>
      <c r="I133" s="9">
        <f t="shared" si="15"/>
        <v>544.46737112386006</v>
      </c>
      <c r="J133" s="9">
        <f t="shared" si="16"/>
        <v>3462.2789892030801</v>
      </c>
      <c r="K133" s="9">
        <f t="shared" si="17"/>
        <v>544.46737112386006</v>
      </c>
      <c r="L133" s="10">
        <f t="shared" si="14"/>
        <v>0.15725693187110298</v>
      </c>
      <c r="M133" s="10">
        <f t="shared" si="18"/>
        <v>0.17092864776840053</v>
      </c>
      <c r="P133" s="8">
        <f t="shared" si="19"/>
        <v>2.5992106459166142</v>
      </c>
      <c r="X133" s="8">
        <v>-13</v>
      </c>
    </row>
    <row r="134" spans="1:24" x14ac:dyDescent="0.2">
      <c r="A134" s="8">
        <v>66</v>
      </c>
      <c r="B134" s="8">
        <v>132</v>
      </c>
      <c r="D134">
        <v>3619.0346534654</v>
      </c>
      <c r="E134">
        <v>660.91996699670005</v>
      </c>
      <c r="F134">
        <v>159.74570727719001</v>
      </c>
      <c r="G134">
        <v>122.35813573180999</v>
      </c>
      <c r="I134" s="9">
        <f t="shared" si="15"/>
        <v>538.56183126489009</v>
      </c>
      <c r="J134" s="9">
        <f t="shared" si="16"/>
        <v>3459.28894618821</v>
      </c>
      <c r="K134" s="9">
        <f t="shared" si="17"/>
        <v>538.56183126489009</v>
      </c>
      <c r="L134" s="10">
        <f t="shared" si="14"/>
        <v>0.15568570294144735</v>
      </c>
      <c r="M134" s="10">
        <f t="shared" si="18"/>
        <v>0.16946178308223572</v>
      </c>
      <c r="P134" s="8">
        <f t="shared" si="19"/>
        <v>1.7187312125989316</v>
      </c>
      <c r="X134" s="8">
        <v>-13</v>
      </c>
    </row>
    <row r="135" spans="1:24" x14ac:dyDescent="0.2">
      <c r="A135" s="8">
        <v>66.5</v>
      </c>
      <c r="B135" s="8">
        <v>133</v>
      </c>
      <c r="D135">
        <v>3582.6435643564</v>
      </c>
      <c r="E135">
        <v>648.18811881188003</v>
      </c>
      <c r="F135">
        <v>160.16680294358</v>
      </c>
      <c r="G135">
        <v>122.53393295175999</v>
      </c>
      <c r="I135" s="9">
        <f t="shared" si="15"/>
        <v>525.65418586012004</v>
      </c>
      <c r="J135" s="9">
        <f t="shared" si="16"/>
        <v>3422.47676141282</v>
      </c>
      <c r="K135" s="9">
        <f t="shared" si="17"/>
        <v>525.65418586012004</v>
      </c>
      <c r="L135" s="10">
        <f t="shared" si="14"/>
        <v>0.15358882543387284</v>
      </c>
      <c r="M135" s="10">
        <f t="shared" si="18"/>
        <v>0.16746926981815202</v>
      </c>
      <c r="P135" s="8">
        <f t="shared" si="19"/>
        <v>0.52273340435850757</v>
      </c>
      <c r="X135" s="8">
        <v>-13</v>
      </c>
    </row>
    <row r="136" spans="1:24" x14ac:dyDescent="0.2">
      <c r="A136" s="8">
        <v>67</v>
      </c>
      <c r="B136" s="8">
        <v>134</v>
      </c>
      <c r="D136">
        <v>3535.7780528052999</v>
      </c>
      <c r="E136">
        <v>634.09075907591</v>
      </c>
      <c r="F136">
        <v>160.18070318887999</v>
      </c>
      <c r="G136">
        <v>122.4480784955</v>
      </c>
      <c r="I136" s="9">
        <f t="shared" si="15"/>
        <v>511.64268058041</v>
      </c>
      <c r="J136" s="9">
        <f t="shared" si="16"/>
        <v>3375.5973496164197</v>
      </c>
      <c r="K136" s="9">
        <f t="shared" si="17"/>
        <v>511.64268058041</v>
      </c>
      <c r="L136" s="10">
        <f t="shared" si="14"/>
        <v>0.15157100435528831</v>
      </c>
      <c r="M136" s="10">
        <f t="shared" si="18"/>
        <v>0.16555581298305833</v>
      </c>
      <c r="P136" s="8">
        <f t="shared" si="19"/>
        <v>-0.62581111084557572</v>
      </c>
      <c r="X136" s="8">
        <v>-13</v>
      </c>
    </row>
    <row r="137" spans="1:24" x14ac:dyDescent="0.2">
      <c r="A137" s="8">
        <v>67.5</v>
      </c>
      <c r="B137" s="8">
        <v>135</v>
      </c>
      <c r="D137">
        <v>3488.3928866831998</v>
      </c>
      <c r="E137">
        <v>623.78908188586001</v>
      </c>
      <c r="F137">
        <v>160.29435813572999</v>
      </c>
      <c r="G137">
        <v>122.16271463614</v>
      </c>
      <c r="I137" s="9">
        <f t="shared" si="15"/>
        <v>501.62636724972003</v>
      </c>
      <c r="J137" s="9">
        <f t="shared" si="16"/>
        <v>3328.0985285474699</v>
      </c>
      <c r="K137" s="9">
        <f t="shared" si="17"/>
        <v>501.62636724972003</v>
      </c>
      <c r="L137" s="10">
        <f t="shared" si="14"/>
        <v>0.15072461435468743</v>
      </c>
      <c r="M137" s="10">
        <f t="shared" si="18"/>
        <v>0.16481378722594825</v>
      </c>
      <c r="P137" s="8">
        <f t="shared" si="19"/>
        <v>-1.0712089885704752</v>
      </c>
      <c r="X137" s="8">
        <v>-13</v>
      </c>
    </row>
    <row r="138" spans="1:24" x14ac:dyDescent="0.2">
      <c r="A138" s="8">
        <v>68</v>
      </c>
      <c r="B138" s="8">
        <v>136</v>
      </c>
      <c r="D138">
        <v>3448.6275805119999</v>
      </c>
      <c r="E138">
        <v>613.62840627580999</v>
      </c>
      <c r="F138">
        <v>159.65085854456001</v>
      </c>
      <c r="G138">
        <v>122.38348323794</v>
      </c>
      <c r="I138" s="9">
        <f t="shared" si="15"/>
        <v>491.24492303786997</v>
      </c>
      <c r="J138" s="9">
        <f t="shared" si="16"/>
        <v>3288.97672196744</v>
      </c>
      <c r="K138" s="9">
        <f t="shared" si="17"/>
        <v>491.24492303786997</v>
      </c>
      <c r="L138" s="10">
        <f t="shared" si="14"/>
        <v>0.14936102154715497</v>
      </c>
      <c r="M138" s="10">
        <f t="shared" si="18"/>
        <v>0.16355455866190663</v>
      </c>
      <c r="P138" s="8">
        <f t="shared" si="19"/>
        <v>-1.8270557022735814</v>
      </c>
      <c r="X138" s="8">
        <v>-13</v>
      </c>
    </row>
    <row r="139" spans="1:24" x14ac:dyDescent="0.2">
      <c r="A139" s="8">
        <v>68.5</v>
      </c>
      <c r="B139" s="8">
        <v>137</v>
      </c>
      <c r="D139">
        <v>3269.5632754342</v>
      </c>
      <c r="E139">
        <v>596.90984284532999</v>
      </c>
      <c r="F139">
        <v>159.18070318887999</v>
      </c>
      <c r="G139">
        <v>122.29354047424</v>
      </c>
      <c r="I139" s="9">
        <f t="shared" si="15"/>
        <v>474.61630237109</v>
      </c>
      <c r="J139" s="9">
        <f t="shared" si="16"/>
        <v>3110.3825722453203</v>
      </c>
      <c r="K139" s="9">
        <f t="shared" si="17"/>
        <v>474.61630237109</v>
      </c>
      <c r="L139" s="10">
        <f t="shared" si="14"/>
        <v>0.15259097276528089</v>
      </c>
      <c r="M139" s="10">
        <f t="shared" si="18"/>
        <v>0.16688887412352335</v>
      </c>
      <c r="P139" s="8">
        <f t="shared" si="19"/>
        <v>0.17435330009491568</v>
      </c>
      <c r="X139" s="8">
        <v>-13</v>
      </c>
    </row>
    <row r="140" spans="1:24" x14ac:dyDescent="0.2">
      <c r="A140" s="8">
        <v>69</v>
      </c>
      <c r="B140" s="8">
        <v>138</v>
      </c>
      <c r="D140">
        <v>3338.1459016393001</v>
      </c>
      <c r="E140">
        <v>613.93278688525004</v>
      </c>
      <c r="F140">
        <v>159.63041700735999</v>
      </c>
      <c r="G140">
        <v>122.23303352412</v>
      </c>
      <c r="I140" s="9">
        <f t="shared" si="15"/>
        <v>491.69975336113004</v>
      </c>
      <c r="J140" s="9">
        <f t="shared" si="16"/>
        <v>3178.5154846319401</v>
      </c>
      <c r="K140" s="9">
        <f t="shared" si="17"/>
        <v>491.69975336113004</v>
      </c>
      <c r="L140" s="10">
        <f t="shared" si="14"/>
        <v>0.15469477991801162</v>
      </c>
      <c r="M140" s="10">
        <f t="shared" si="18"/>
        <v>0.16909704551974492</v>
      </c>
      <c r="P140" s="8">
        <f t="shared" si="19"/>
        <v>1.4997990061312532</v>
      </c>
      <c r="X140" s="8">
        <v>-13</v>
      </c>
    </row>
    <row r="141" spans="1:24" x14ac:dyDescent="0.2">
      <c r="A141" s="8">
        <v>69.5</v>
      </c>
      <c r="B141" s="8">
        <v>139</v>
      </c>
      <c r="D141">
        <v>3244.0475409835999</v>
      </c>
      <c r="E141">
        <v>609.40573770492006</v>
      </c>
      <c r="F141">
        <v>159.84055600981</v>
      </c>
      <c r="G141">
        <v>121.93622240393</v>
      </c>
      <c r="I141" s="9">
        <f t="shared" si="15"/>
        <v>487.46951530099005</v>
      </c>
      <c r="J141" s="9">
        <f t="shared" si="16"/>
        <v>3084.20698497379</v>
      </c>
      <c r="K141" s="9">
        <f t="shared" si="17"/>
        <v>487.46951530099005</v>
      </c>
      <c r="L141" s="10">
        <f t="shared" si="14"/>
        <v>0.15805343729390867</v>
      </c>
      <c r="M141" s="10">
        <f t="shared" si="18"/>
        <v>0.17256006713913277</v>
      </c>
      <c r="P141" s="8">
        <f t="shared" si="19"/>
        <v>3.5784633449514818</v>
      </c>
      <c r="X141" s="8">
        <v>-13</v>
      </c>
    </row>
    <row r="142" spans="1:24" x14ac:dyDescent="0.2">
      <c r="A142" s="8">
        <v>70</v>
      </c>
      <c r="B142" s="8">
        <v>140</v>
      </c>
      <c r="D142">
        <v>3315.8688118812001</v>
      </c>
      <c r="E142">
        <v>629.99752475247999</v>
      </c>
      <c r="F142">
        <v>159.08994276370001</v>
      </c>
      <c r="G142">
        <v>122.38021259199</v>
      </c>
      <c r="I142" s="9">
        <f t="shared" si="15"/>
        <v>507.61731216048997</v>
      </c>
      <c r="J142" s="9">
        <f t="shared" si="16"/>
        <v>3156.7788691175001</v>
      </c>
      <c r="K142" s="9">
        <f t="shared" si="17"/>
        <v>507.61731216048997</v>
      </c>
      <c r="L142" s="10">
        <f t="shared" si="14"/>
        <v>0.16080230298246959</v>
      </c>
      <c r="M142" s="10">
        <f t="shared" si="18"/>
        <v>0.17541329707118453</v>
      </c>
      <c r="P142" s="8">
        <f t="shared" si="19"/>
        <v>5.291102757020421</v>
      </c>
      <c r="X142" s="8">
        <v>-13</v>
      </c>
    </row>
    <row r="143" spans="1:24" x14ac:dyDescent="0.2">
      <c r="A143" s="8">
        <v>70.5</v>
      </c>
      <c r="B143" s="8">
        <v>141</v>
      </c>
      <c r="D143">
        <v>3417.7384488449002</v>
      </c>
      <c r="E143">
        <v>652.98349834984003</v>
      </c>
      <c r="F143">
        <v>159.63368765331001</v>
      </c>
      <c r="G143">
        <v>122.52657399837</v>
      </c>
      <c r="I143" s="9">
        <f t="shared" si="15"/>
        <v>530.45692435146998</v>
      </c>
      <c r="J143" s="9">
        <f t="shared" si="16"/>
        <v>3258.1047611915901</v>
      </c>
      <c r="K143" s="9">
        <f t="shared" si="17"/>
        <v>530.45692435146998</v>
      </c>
      <c r="L143" s="10">
        <f t="shared" si="14"/>
        <v>0.1628115003145158</v>
      </c>
      <c r="M143" s="10">
        <f t="shared" si="18"/>
        <v>0.17752685864672155</v>
      </c>
      <c r="P143" s="8">
        <f t="shared" si="19"/>
        <v>6.5597593112772499</v>
      </c>
      <c r="X143" s="8">
        <v>-13</v>
      </c>
    </row>
    <row r="144" spans="1:24" x14ac:dyDescent="0.2">
      <c r="A144" s="8">
        <v>71</v>
      </c>
      <c r="B144" s="8">
        <v>142</v>
      </c>
      <c r="D144">
        <v>3419.4205761316998</v>
      </c>
      <c r="E144">
        <v>663.36625514402999</v>
      </c>
      <c r="F144">
        <v>159.23385118561001</v>
      </c>
      <c r="G144">
        <v>121.9721995094</v>
      </c>
      <c r="I144" s="9">
        <f t="shared" si="15"/>
        <v>541.39405563463004</v>
      </c>
      <c r="J144" s="9">
        <f t="shared" si="16"/>
        <v>3260.1867249460897</v>
      </c>
      <c r="K144" s="9">
        <f t="shared" si="17"/>
        <v>541.39405563463004</v>
      </c>
      <c r="L144" s="10">
        <f t="shared" si="14"/>
        <v>0.16606228455935526</v>
      </c>
      <c r="M144" s="10">
        <f t="shared" si="18"/>
        <v>0.18088200713505184</v>
      </c>
      <c r="P144" s="8">
        <f t="shared" si="19"/>
        <v>8.5736732513731777</v>
      </c>
    </row>
    <row r="145" spans="1:16" x14ac:dyDescent="0.2">
      <c r="A145" s="8">
        <v>71.5</v>
      </c>
      <c r="B145" s="8">
        <v>143</v>
      </c>
      <c r="D145">
        <v>3341.2658436214001</v>
      </c>
      <c r="E145">
        <v>648.05102880658001</v>
      </c>
      <c r="F145">
        <v>159.86017988552999</v>
      </c>
      <c r="G145">
        <v>122.14309076043</v>
      </c>
      <c r="I145" s="9">
        <f t="shared" si="15"/>
        <v>525.90793804614998</v>
      </c>
      <c r="J145" s="9">
        <f t="shared" si="16"/>
        <v>3181.4056637358699</v>
      </c>
      <c r="K145" s="9">
        <f t="shared" si="17"/>
        <v>525.90793804614998</v>
      </c>
      <c r="L145" s="10">
        <f t="shared" si="14"/>
        <v>0.16530678374055113</v>
      </c>
      <c r="M145" s="10">
        <f t="shared" si="18"/>
        <v>0.18023087055973852</v>
      </c>
      <c r="P145" s="8">
        <f t="shared" si="19"/>
        <v>8.1828312273939616</v>
      </c>
    </row>
    <row r="146" spans="1:16" x14ac:dyDescent="0.2">
      <c r="A146" s="8">
        <v>72</v>
      </c>
      <c r="B146" s="8">
        <v>144</v>
      </c>
      <c r="D146">
        <v>3259.2181069959001</v>
      </c>
      <c r="E146">
        <v>630.38271604937995</v>
      </c>
      <c r="F146">
        <v>159.05641864268</v>
      </c>
      <c r="G146">
        <v>121.60834014718</v>
      </c>
      <c r="I146" s="9">
        <f t="shared" si="15"/>
        <v>508.77437590219995</v>
      </c>
      <c r="J146" s="9">
        <f t="shared" si="16"/>
        <v>3100.1616883532201</v>
      </c>
      <c r="K146" s="9">
        <f t="shared" si="17"/>
        <v>508.77437590219995</v>
      </c>
      <c r="L146" s="10">
        <f t="shared" si="14"/>
        <v>0.16411220673217744</v>
      </c>
      <c r="M146" s="10">
        <f t="shared" si="18"/>
        <v>0.17914065779485566</v>
      </c>
      <c r="P146" s="8">
        <f t="shared" si="19"/>
        <v>7.5284355449063698</v>
      </c>
    </row>
    <row r="147" spans="1:16" x14ac:dyDescent="0.2">
      <c r="A147" s="8">
        <v>72.5</v>
      </c>
      <c r="B147" s="8">
        <v>145</v>
      </c>
      <c r="D147">
        <v>3430.3580246913998</v>
      </c>
      <c r="E147">
        <v>636.17695473251001</v>
      </c>
      <c r="F147">
        <v>159.59771054782999</v>
      </c>
      <c r="G147">
        <v>122.19133278823</v>
      </c>
      <c r="I147" s="9">
        <f t="shared" si="15"/>
        <v>513.98562194427996</v>
      </c>
      <c r="J147" s="9">
        <f t="shared" si="16"/>
        <v>3270.7603141435698</v>
      </c>
      <c r="K147" s="9">
        <f t="shared" si="17"/>
        <v>513.98562194427996</v>
      </c>
      <c r="L147" s="10">
        <f t="shared" si="14"/>
        <v>0.15714560914833167</v>
      </c>
      <c r="M147" s="10">
        <f t="shared" si="18"/>
        <v>0.17227842445450073</v>
      </c>
      <c r="P147" s="8">
        <f t="shared" si="19"/>
        <v>3.4094084936746052</v>
      </c>
    </row>
    <row r="148" spans="1:16" x14ac:dyDescent="0.2">
      <c r="A148" s="8">
        <v>73</v>
      </c>
      <c r="B148" s="8">
        <v>146</v>
      </c>
      <c r="D148">
        <v>3370.6436213992001</v>
      </c>
      <c r="E148">
        <v>622.98600823045001</v>
      </c>
      <c r="F148">
        <v>159.24039247751</v>
      </c>
      <c r="G148">
        <v>122.25102207686</v>
      </c>
      <c r="I148" s="9">
        <f t="shared" si="15"/>
        <v>500.73498615359</v>
      </c>
      <c r="J148" s="9">
        <f t="shared" si="16"/>
        <v>3211.4032289216902</v>
      </c>
      <c r="K148" s="9">
        <f t="shared" si="17"/>
        <v>500.73498615359</v>
      </c>
      <c r="L148" s="10">
        <f t="shared" si="14"/>
        <v>0.1559240464243179</v>
      </c>
      <c r="M148" s="10">
        <f t="shared" si="18"/>
        <v>0.17116122597397776</v>
      </c>
      <c r="P148" s="8">
        <f t="shared" si="19"/>
        <v>2.7388147474947186</v>
      </c>
    </row>
    <row r="149" spans="1:16" x14ac:dyDescent="0.2">
      <c r="A149" s="8">
        <v>73.5</v>
      </c>
      <c r="B149" s="8">
        <v>147</v>
      </c>
      <c r="D149">
        <v>3411.7497942386999</v>
      </c>
      <c r="E149">
        <v>622.09465020575999</v>
      </c>
      <c r="F149">
        <v>158.63532297629001</v>
      </c>
      <c r="G149">
        <v>121.70645952576</v>
      </c>
      <c r="I149" s="9">
        <f t="shared" si="15"/>
        <v>500.38819067999998</v>
      </c>
      <c r="J149" s="9">
        <f t="shared" si="16"/>
        <v>3253.11447126241</v>
      </c>
      <c r="K149" s="9">
        <f t="shared" si="17"/>
        <v>500.38819067999998</v>
      </c>
      <c r="L149" s="10">
        <f t="shared" si="14"/>
        <v>0.1538181933345304</v>
      </c>
      <c r="M149" s="10">
        <f t="shared" si="18"/>
        <v>0.16915973712768109</v>
      </c>
      <c r="P149" s="8">
        <f t="shared" si="19"/>
        <v>1.5374293833228532</v>
      </c>
    </row>
    <row r="150" spans="1:16" x14ac:dyDescent="0.2">
      <c r="A150" s="8">
        <v>74</v>
      </c>
      <c r="B150" s="8">
        <v>148</v>
      </c>
      <c r="D150">
        <v>3378.7884773663</v>
      </c>
      <c r="E150">
        <v>617.00576131687001</v>
      </c>
      <c r="F150">
        <v>158.88879803761</v>
      </c>
      <c r="G150">
        <v>122.28372853639</v>
      </c>
      <c r="I150" s="9">
        <f t="shared" si="15"/>
        <v>494.72203278047999</v>
      </c>
      <c r="J150" s="9">
        <f t="shared" si="16"/>
        <v>3219.8996793286901</v>
      </c>
      <c r="K150" s="9">
        <f t="shared" si="17"/>
        <v>494.72203278047999</v>
      </c>
      <c r="L150" s="10">
        <f t="shared" si="14"/>
        <v>0.15364516974132048</v>
      </c>
      <c r="M150" s="10">
        <f t="shared" si="18"/>
        <v>0.16909107777796198</v>
      </c>
      <c r="P150" s="8">
        <f t="shared" si="19"/>
        <v>1.4962168939209142</v>
      </c>
    </row>
    <row r="151" spans="1:16" x14ac:dyDescent="0.2">
      <c r="A151" s="8">
        <v>74.5</v>
      </c>
      <c r="B151" s="8">
        <v>149</v>
      </c>
      <c r="D151">
        <v>3464.9045267490001</v>
      </c>
      <c r="E151">
        <v>623.30946502057998</v>
      </c>
      <c r="F151">
        <v>159.09484873263</v>
      </c>
      <c r="G151">
        <v>122.10711365495</v>
      </c>
      <c r="I151" s="9">
        <f t="shared" si="15"/>
        <v>501.20235136562997</v>
      </c>
      <c r="J151" s="9">
        <f t="shared" si="16"/>
        <v>3305.8096780163701</v>
      </c>
      <c r="K151" s="9">
        <f t="shared" si="17"/>
        <v>501.20235136562997</v>
      </c>
      <c r="L151" s="10">
        <f t="shared" si="14"/>
        <v>0.15161258517047274</v>
      </c>
      <c r="M151" s="10">
        <f t="shared" si="18"/>
        <v>0.16716285745060508</v>
      </c>
      <c r="P151" s="8">
        <f t="shared" si="19"/>
        <v>0.33881065382543568</v>
      </c>
    </row>
    <row r="152" spans="1:16" x14ac:dyDescent="0.2">
      <c r="A152" s="8">
        <v>75</v>
      </c>
      <c r="B152" s="8">
        <v>150</v>
      </c>
      <c r="D152">
        <v>3326.2263374486001</v>
      </c>
      <c r="E152">
        <v>607.41152263375</v>
      </c>
      <c r="F152">
        <v>158.35731807031999</v>
      </c>
      <c r="G152">
        <v>122.60915780867001</v>
      </c>
      <c r="I152" s="9">
        <f t="shared" si="15"/>
        <v>484.80236482507996</v>
      </c>
      <c r="J152" s="9">
        <f t="shared" si="16"/>
        <v>3167.86901937828</v>
      </c>
      <c r="K152" s="9">
        <f t="shared" si="17"/>
        <v>484.80236482507996</v>
      </c>
      <c r="L152" s="10">
        <f t="shared" si="14"/>
        <v>0.15303737681686927</v>
      </c>
      <c r="M152" s="10">
        <f t="shared" si="18"/>
        <v>0.16869201334049241</v>
      </c>
      <c r="P152" s="8">
        <f t="shared" si="19"/>
        <v>1.256680123369083</v>
      </c>
    </row>
    <row r="153" spans="1:16" x14ac:dyDescent="0.2">
      <c r="A153" s="8">
        <v>75.5</v>
      </c>
      <c r="B153" s="8">
        <v>151</v>
      </c>
      <c r="D153">
        <v>3213.6987654321001</v>
      </c>
      <c r="E153">
        <v>600.68559670781997</v>
      </c>
      <c r="F153">
        <v>159.2894521668</v>
      </c>
      <c r="G153">
        <v>121.89043336059</v>
      </c>
      <c r="I153" s="9">
        <f t="shared" si="15"/>
        <v>478.79516334722996</v>
      </c>
      <c r="J153" s="9">
        <f t="shared" si="16"/>
        <v>3054.4093132653002</v>
      </c>
      <c r="K153" s="9">
        <f t="shared" si="17"/>
        <v>478.79516334722996</v>
      </c>
      <c r="L153" s="10">
        <f t="shared" si="14"/>
        <v>0.15675540317004091</v>
      </c>
      <c r="M153" s="10">
        <f t="shared" si="18"/>
        <v>0.17251440393715489</v>
      </c>
      <c r="P153" s="8">
        <f t="shared" si="19"/>
        <v>3.5510541976864576</v>
      </c>
    </row>
    <row r="154" spans="1:16" x14ac:dyDescent="0.2">
      <c r="A154" s="8">
        <v>76</v>
      </c>
      <c r="B154" s="8">
        <v>152</v>
      </c>
      <c r="D154">
        <v>3250.1884773663</v>
      </c>
      <c r="E154">
        <v>597.64032921810997</v>
      </c>
      <c r="F154">
        <v>158.48323793949001</v>
      </c>
      <c r="G154">
        <v>121.83156173344</v>
      </c>
      <c r="I154" s="9">
        <f t="shared" si="15"/>
        <v>475.80876748466994</v>
      </c>
      <c r="J154" s="9">
        <f t="shared" si="16"/>
        <v>3091.7052394268098</v>
      </c>
      <c r="K154" s="9">
        <f t="shared" si="17"/>
        <v>475.80876748466994</v>
      </c>
      <c r="L154" s="10">
        <f t="shared" si="14"/>
        <v>0.15389848987443674</v>
      </c>
      <c r="M154" s="10">
        <f t="shared" si="18"/>
        <v>0.16976185488504153</v>
      </c>
      <c r="P154" s="8">
        <f t="shared" si="19"/>
        <v>1.8988480654900157</v>
      </c>
    </row>
    <row r="155" spans="1:16" x14ac:dyDescent="0.2">
      <c r="A155" s="8">
        <v>76.5</v>
      </c>
      <c r="B155" s="8">
        <v>153</v>
      </c>
      <c r="D155">
        <v>3146.2526748971</v>
      </c>
      <c r="E155">
        <v>586.14732510288002</v>
      </c>
      <c r="F155">
        <v>158.51839738347999</v>
      </c>
      <c r="G155">
        <v>121.8135731807</v>
      </c>
      <c r="I155" s="9">
        <f t="shared" si="15"/>
        <v>464.33375192218</v>
      </c>
      <c r="J155" s="9">
        <f t="shared" si="16"/>
        <v>2987.7342775136199</v>
      </c>
      <c r="K155" s="9">
        <f t="shared" si="17"/>
        <v>464.33375192218</v>
      </c>
      <c r="L155" s="10">
        <f t="shared" si="14"/>
        <v>0.15541333625846962</v>
      </c>
      <c r="M155" s="10">
        <f t="shared" si="18"/>
        <v>0.17138106551256524</v>
      </c>
      <c r="P155" s="8">
        <f t="shared" si="19"/>
        <v>2.8707725171390401</v>
      </c>
    </row>
    <row r="156" spans="1:16" x14ac:dyDescent="0.2">
      <c r="A156" s="8">
        <v>77</v>
      </c>
      <c r="B156" s="8">
        <v>154</v>
      </c>
      <c r="D156">
        <v>3285.7247329499</v>
      </c>
      <c r="E156">
        <v>591.07148726375999</v>
      </c>
      <c r="F156">
        <v>158.50531479967</v>
      </c>
      <c r="G156">
        <v>121.89942763696</v>
      </c>
      <c r="I156" s="9">
        <f t="shared" si="15"/>
        <v>469.17205962679998</v>
      </c>
      <c r="J156" s="9">
        <f t="shared" si="16"/>
        <v>3127.21941815023</v>
      </c>
      <c r="K156" s="9">
        <f t="shared" si="17"/>
        <v>469.17205962679998</v>
      </c>
      <c r="L156" s="10">
        <f t="shared" si="14"/>
        <v>0.15002850676346791</v>
      </c>
      <c r="M156" s="10">
        <f t="shared" si="18"/>
        <v>0.16610060026105433</v>
      </c>
      <c r="P156" s="8">
        <f t="shared" si="19"/>
        <v>-0.29880481071932502</v>
      </c>
    </row>
    <row r="157" spans="1:16" x14ac:dyDescent="0.2">
      <c r="A157" s="8">
        <v>77.5</v>
      </c>
      <c r="B157" s="8">
        <v>155</v>
      </c>
      <c r="D157">
        <v>3259.7764995891998</v>
      </c>
      <c r="E157">
        <v>584.70501232539004</v>
      </c>
      <c r="F157">
        <v>158.07522485691001</v>
      </c>
      <c r="G157">
        <v>121.69910057236</v>
      </c>
      <c r="I157" s="9">
        <f t="shared" si="15"/>
        <v>463.00591175303003</v>
      </c>
      <c r="J157" s="9">
        <f t="shared" si="16"/>
        <v>3101.7012747322897</v>
      </c>
      <c r="K157" s="9">
        <f t="shared" si="17"/>
        <v>463.00591175303003</v>
      </c>
      <c r="L157" s="10">
        <f t="shared" si="14"/>
        <v>0.14927482395705319</v>
      </c>
      <c r="M157" s="10">
        <f t="shared" si="18"/>
        <v>0.16545128169813045</v>
      </c>
      <c r="P157" s="8">
        <f t="shared" si="19"/>
        <v>-0.6885555803152883</v>
      </c>
    </row>
    <row r="158" spans="1:16" x14ac:dyDescent="0.2">
      <c r="A158" s="8">
        <v>78</v>
      </c>
      <c r="B158" s="8">
        <v>156</v>
      </c>
      <c r="D158">
        <v>3241.7682826623</v>
      </c>
      <c r="E158">
        <v>575.73212818406</v>
      </c>
      <c r="F158">
        <v>158.75797219950999</v>
      </c>
      <c r="G158">
        <v>121.69174161897</v>
      </c>
      <c r="I158" s="9">
        <f t="shared" si="15"/>
        <v>454.04038656508999</v>
      </c>
      <c r="J158" s="9">
        <f t="shared" si="16"/>
        <v>3083.0103104627901</v>
      </c>
      <c r="K158" s="9">
        <f t="shared" si="17"/>
        <v>454.04038656508999</v>
      </c>
      <c r="L158" s="10">
        <f t="shared" si="14"/>
        <v>0.14727177039409059</v>
      </c>
      <c r="M158" s="10">
        <f t="shared" si="18"/>
        <v>0.16355259237865866</v>
      </c>
      <c r="P158" s="8">
        <f t="shared" si="19"/>
        <v>-1.8282359556236318</v>
      </c>
    </row>
    <row r="159" spans="1:16" x14ac:dyDescent="0.2">
      <c r="A159" s="8">
        <v>78.5</v>
      </c>
      <c r="B159" s="8">
        <v>157</v>
      </c>
      <c r="D159">
        <v>3239.3976992604998</v>
      </c>
      <c r="E159">
        <v>573.71815940837996</v>
      </c>
      <c r="F159">
        <v>158.18152085036999</v>
      </c>
      <c r="G159">
        <v>121.91823385119</v>
      </c>
      <c r="I159" s="9">
        <f t="shared" si="15"/>
        <v>451.79992555718997</v>
      </c>
      <c r="J159" s="9">
        <f t="shared" si="16"/>
        <v>3081.2161784101299</v>
      </c>
      <c r="K159" s="9">
        <f t="shared" si="17"/>
        <v>451.79992555718997</v>
      </c>
      <c r="L159" s="10">
        <f t="shared" si="14"/>
        <v>0.14663038858581914</v>
      </c>
      <c r="M159" s="10">
        <f t="shared" si="18"/>
        <v>0.16301557481387804</v>
      </c>
      <c r="P159" s="8">
        <f t="shared" si="19"/>
        <v>-2.1505785176740702</v>
      </c>
    </row>
    <row r="160" spans="1:16" x14ac:dyDescent="0.2">
      <c r="A160" s="8">
        <v>79</v>
      </c>
      <c r="B160" s="8">
        <v>158</v>
      </c>
      <c r="D160">
        <v>3236.4946589975002</v>
      </c>
      <c r="E160">
        <v>570.48726376335003</v>
      </c>
      <c r="F160">
        <v>158.13000817662001</v>
      </c>
      <c r="G160">
        <v>121.74816026165</v>
      </c>
      <c r="I160" s="9">
        <f t="shared" si="15"/>
        <v>448.73910350170001</v>
      </c>
      <c r="J160" s="9">
        <f t="shared" si="16"/>
        <v>3078.3646508208803</v>
      </c>
      <c r="K160" s="9">
        <f t="shared" si="17"/>
        <v>448.73910350170001</v>
      </c>
      <c r="L160" s="10">
        <f t="shared" si="14"/>
        <v>0.14577191281807331</v>
      </c>
      <c r="M160" s="10">
        <f t="shared" si="18"/>
        <v>0.16226146328962301</v>
      </c>
      <c r="P160" s="8">
        <f t="shared" si="19"/>
        <v>-2.6032308269135904</v>
      </c>
    </row>
    <row r="161" spans="1:16" x14ac:dyDescent="0.2">
      <c r="A161" s="8">
        <v>79.5</v>
      </c>
      <c r="B161" s="8">
        <v>159</v>
      </c>
      <c r="D161">
        <v>3224.0386195563001</v>
      </c>
      <c r="E161">
        <v>565.60147904684004</v>
      </c>
      <c r="F161">
        <v>158.51267375307</v>
      </c>
      <c r="G161">
        <v>122.05968928864</v>
      </c>
      <c r="I161" s="9">
        <f t="shared" si="15"/>
        <v>443.54178975820003</v>
      </c>
      <c r="J161" s="9">
        <f t="shared" si="16"/>
        <v>3065.5259458032301</v>
      </c>
      <c r="K161" s="9">
        <f t="shared" si="17"/>
        <v>443.54178975820003</v>
      </c>
      <c r="L161" s="10">
        <f t="shared" si="14"/>
        <v>0.14468701214726892</v>
      </c>
      <c r="M161" s="10">
        <f t="shared" si="18"/>
        <v>0.16128092686230946</v>
      </c>
      <c r="P161" s="8">
        <f t="shared" si="19"/>
        <v>-3.1917937434601971</v>
      </c>
    </row>
    <row r="162" spans="1:16" x14ac:dyDescent="0.2">
      <c r="A162" s="8">
        <v>80</v>
      </c>
      <c r="B162" s="4">
        <v>160</v>
      </c>
      <c r="C162" s="4" t="s">
        <v>6</v>
      </c>
      <c r="D162">
        <v>3255.3919474117001</v>
      </c>
      <c r="E162">
        <v>565.90879211175002</v>
      </c>
      <c r="F162">
        <v>158.26901062959999</v>
      </c>
      <c r="G162">
        <v>121.60425183974</v>
      </c>
      <c r="H162" s="4"/>
      <c r="I162" s="5">
        <f t="shared" si="15"/>
        <v>444.30454027201</v>
      </c>
      <c r="J162" s="5">
        <f t="shared" si="16"/>
        <v>3097.1229367821002</v>
      </c>
      <c r="K162" s="9">
        <f t="shared" si="17"/>
        <v>444.30454027201</v>
      </c>
      <c r="L162" s="6">
        <f t="shared" si="14"/>
        <v>0.14345718569816956</v>
      </c>
      <c r="M162" s="6">
        <f t="shared" si="18"/>
        <v>0.16015546465670091</v>
      </c>
      <c r="N162" s="4"/>
      <c r="O162" s="4"/>
      <c r="P162" s="4">
        <f t="shared" si="19"/>
        <v>-3.8673477562884488</v>
      </c>
    </row>
    <row r="163" spans="1:16" x14ac:dyDescent="0.2">
      <c r="A163" s="8">
        <v>80.5</v>
      </c>
      <c r="B163" s="8">
        <v>161</v>
      </c>
      <c r="D163">
        <v>3237.7411668036002</v>
      </c>
      <c r="E163">
        <v>559.54478225143998</v>
      </c>
      <c r="F163">
        <v>158.35486508585001</v>
      </c>
      <c r="G163">
        <v>121.43172526574</v>
      </c>
      <c r="I163" s="9">
        <f t="shared" si="15"/>
        <v>438.11305698569998</v>
      </c>
      <c r="J163" s="9">
        <f t="shared" si="16"/>
        <v>3079.38630171775</v>
      </c>
      <c r="K163" s="9">
        <f t="shared" si="17"/>
        <v>438.11305698569998</v>
      </c>
      <c r="L163" s="10">
        <f t="shared" si="14"/>
        <v>0.14227284726872716</v>
      </c>
      <c r="M163" s="10">
        <f t="shared" si="18"/>
        <v>0.15907549047074934</v>
      </c>
      <c r="P163" s="8">
        <f t="shared" si="19"/>
        <v>-4.5155977743119449</v>
      </c>
    </row>
    <row r="164" spans="1:16" x14ac:dyDescent="0.2">
      <c r="A164" s="8">
        <v>81</v>
      </c>
      <c r="B164" s="8">
        <v>162</v>
      </c>
      <c r="D164">
        <v>3224.4543960558999</v>
      </c>
      <c r="E164">
        <v>557.62366474938005</v>
      </c>
      <c r="F164">
        <v>158.32461161078999</v>
      </c>
      <c r="G164">
        <v>122.16271463614</v>
      </c>
      <c r="I164" s="9">
        <f t="shared" si="15"/>
        <v>435.46095011324007</v>
      </c>
      <c r="J164" s="9">
        <f t="shared" si="16"/>
        <v>3066.1297844451101</v>
      </c>
      <c r="K164" s="9">
        <f t="shared" si="17"/>
        <v>435.46095011324007</v>
      </c>
      <c r="L164" s="10">
        <f t="shared" si="14"/>
        <v>0.14202299991422157</v>
      </c>
      <c r="M164" s="10">
        <f t="shared" si="18"/>
        <v>0.15893000735973456</v>
      </c>
      <c r="P164" s="8">
        <f t="shared" si="19"/>
        <v>-4.6029234072430238</v>
      </c>
    </row>
    <row r="165" spans="1:16" x14ac:dyDescent="0.2">
      <c r="A165" s="8">
        <v>81.5</v>
      </c>
      <c r="B165" s="8">
        <v>163</v>
      </c>
      <c r="D165">
        <v>3222.9055053410002</v>
      </c>
      <c r="E165">
        <v>553.88496302382998</v>
      </c>
      <c r="F165">
        <v>157.70237121832</v>
      </c>
      <c r="G165">
        <v>121.80948487326</v>
      </c>
      <c r="I165" s="9">
        <f t="shared" si="15"/>
        <v>432.07547815057001</v>
      </c>
      <c r="J165" s="9">
        <f t="shared" si="16"/>
        <v>3065.2031341226802</v>
      </c>
      <c r="K165" s="9">
        <f t="shared" si="17"/>
        <v>432.07547815057001</v>
      </c>
      <c r="L165" s="10">
        <f t="shared" si="14"/>
        <v>0.14096144994130649</v>
      </c>
      <c r="M165" s="10">
        <f t="shared" si="18"/>
        <v>0.15797282163031032</v>
      </c>
      <c r="P165" s="8">
        <f t="shared" si="19"/>
        <v>-5.1774701643994243</v>
      </c>
    </row>
    <row r="166" spans="1:16" x14ac:dyDescent="0.2">
      <c r="A166" s="8">
        <v>82</v>
      </c>
      <c r="B166" s="8">
        <v>164</v>
      </c>
      <c r="D166">
        <v>3283.1988496302001</v>
      </c>
      <c r="E166">
        <v>558.26211996713005</v>
      </c>
      <c r="F166">
        <v>158.31807031888999</v>
      </c>
      <c r="G166">
        <v>121.72035977106</v>
      </c>
      <c r="I166" s="9">
        <f t="shared" si="15"/>
        <v>436.54176019607007</v>
      </c>
      <c r="J166" s="9">
        <f t="shared" si="16"/>
        <v>3124.8807793113101</v>
      </c>
      <c r="K166" s="9">
        <f t="shared" si="17"/>
        <v>436.54176019607007</v>
      </c>
      <c r="L166" s="10">
        <f t="shared" si="14"/>
        <v>0.1396986928545412</v>
      </c>
      <c r="M166" s="10">
        <f t="shared" si="18"/>
        <v>0.15681442878703583</v>
      </c>
      <c r="P166" s="8">
        <f t="shared" si="19"/>
        <v>-5.8727906556659155</v>
      </c>
    </row>
    <row r="167" spans="1:16" x14ac:dyDescent="0.2">
      <c r="A167" s="8">
        <v>82.5</v>
      </c>
      <c r="B167" s="8">
        <v>165</v>
      </c>
      <c r="D167">
        <v>3281.1322925226</v>
      </c>
      <c r="E167">
        <v>555.39276910436001</v>
      </c>
      <c r="F167">
        <v>157.80130825838</v>
      </c>
      <c r="G167">
        <v>121.66148814391001</v>
      </c>
      <c r="I167" s="9">
        <f t="shared" si="15"/>
        <v>433.73128096045002</v>
      </c>
      <c r="J167" s="9">
        <f t="shared" si="16"/>
        <v>3123.3309842642202</v>
      </c>
      <c r="K167" s="9">
        <f t="shared" si="17"/>
        <v>433.73128096045002</v>
      </c>
      <c r="L167" s="10">
        <f t="shared" si="14"/>
        <v>0.13886817732275225</v>
      </c>
      <c r="M167" s="10">
        <f t="shared" si="18"/>
        <v>0.15608827749873772</v>
      </c>
      <c r="P167" s="8">
        <f t="shared" si="19"/>
        <v>-6.3086599494419318</v>
      </c>
    </row>
    <row r="168" spans="1:16" x14ac:dyDescent="0.2">
      <c r="A168" s="8">
        <v>83</v>
      </c>
      <c r="B168" s="8">
        <v>166</v>
      </c>
      <c r="D168">
        <v>3274.9367296630999</v>
      </c>
      <c r="E168">
        <v>555.46425636812</v>
      </c>
      <c r="F168">
        <v>157.53475061325</v>
      </c>
      <c r="G168">
        <v>121.47342600163999</v>
      </c>
      <c r="I168" s="9">
        <f t="shared" si="15"/>
        <v>433.99083036648</v>
      </c>
      <c r="J168" s="9">
        <f t="shared" si="16"/>
        <v>3117.4019790498501</v>
      </c>
      <c r="K168" s="9">
        <f t="shared" si="17"/>
        <v>433.99083036648</v>
      </c>
      <c r="L168" s="10">
        <f t="shared" si="14"/>
        <v>0.13921554976966929</v>
      </c>
      <c r="M168" s="10">
        <f t="shared" si="18"/>
        <v>0.15654001418914559</v>
      </c>
      <c r="P168" s="8">
        <f t="shared" si="19"/>
        <v>-6.0375068779073926</v>
      </c>
    </row>
    <row r="169" spans="1:16" x14ac:dyDescent="0.2">
      <c r="A169" s="8">
        <v>83.5</v>
      </c>
      <c r="B169" s="8">
        <v>167</v>
      </c>
      <c r="D169">
        <v>3284.039441249</v>
      </c>
      <c r="E169">
        <v>568.40755957271995</v>
      </c>
      <c r="F169">
        <v>158.18397383483</v>
      </c>
      <c r="G169">
        <v>121.72117743254</v>
      </c>
      <c r="I169" s="9">
        <f t="shared" si="15"/>
        <v>446.68638214017994</v>
      </c>
      <c r="J169" s="9">
        <f t="shared" si="16"/>
        <v>3125.8554674141701</v>
      </c>
      <c r="K169" s="9">
        <f t="shared" si="17"/>
        <v>446.68638214017994</v>
      </c>
      <c r="L169" s="10">
        <f t="shared" si="14"/>
        <v>0.14290052332768169</v>
      </c>
      <c r="M169" s="10">
        <f t="shared" si="18"/>
        <v>0.16032935199064879</v>
      </c>
      <c r="P169" s="8">
        <f t="shared" si="19"/>
        <v>-3.7629726065560956</v>
      </c>
    </row>
    <row r="170" spans="1:16" x14ac:dyDescent="0.2">
      <c r="A170" s="8">
        <v>84</v>
      </c>
      <c r="B170" s="8">
        <v>168</v>
      </c>
      <c r="D170">
        <v>3253.4667214462002</v>
      </c>
      <c r="E170">
        <v>569.71405094495003</v>
      </c>
      <c r="F170">
        <v>158.46688470973001</v>
      </c>
      <c r="G170">
        <v>121.12101390025001</v>
      </c>
      <c r="I170" s="9">
        <f t="shared" si="15"/>
        <v>448.59303704470005</v>
      </c>
      <c r="J170" s="9">
        <f t="shared" si="16"/>
        <v>3094.9998367364701</v>
      </c>
      <c r="K170" s="9">
        <f t="shared" si="17"/>
        <v>448.59303704470005</v>
      </c>
      <c r="L170" s="10">
        <f t="shared" si="14"/>
        <v>0.1449412150915394</v>
      </c>
      <c r="M170" s="10">
        <f t="shared" si="18"/>
        <v>0.16247440799799734</v>
      </c>
      <c r="P170" s="8">
        <f t="shared" si="19"/>
        <v>-2.4754116504579655</v>
      </c>
    </row>
    <row r="171" spans="1:16" x14ac:dyDescent="0.2">
      <c r="A171" s="8">
        <v>84.5</v>
      </c>
      <c r="B171" s="8">
        <v>169</v>
      </c>
      <c r="D171">
        <v>3265.8767460969998</v>
      </c>
      <c r="E171">
        <v>576.36483155300004</v>
      </c>
      <c r="F171">
        <v>157.75633687653001</v>
      </c>
      <c r="G171">
        <v>121.64758789861</v>
      </c>
      <c r="I171" s="9">
        <f t="shared" si="15"/>
        <v>454.71724365439002</v>
      </c>
      <c r="J171" s="9">
        <f t="shared" si="16"/>
        <v>3108.1204092204698</v>
      </c>
      <c r="K171" s="9">
        <f t="shared" si="17"/>
        <v>454.71724365439002</v>
      </c>
      <c r="L171" s="10">
        <f t="shared" si="14"/>
        <v>0.14629975154934075</v>
      </c>
      <c r="M171" s="10">
        <f t="shared" si="18"/>
        <v>0.16393730869928949</v>
      </c>
      <c r="P171" s="8">
        <f t="shared" si="19"/>
        <v>-1.5973115825904647</v>
      </c>
    </row>
    <row r="172" spans="1:16" x14ac:dyDescent="0.2">
      <c r="A172" s="8">
        <v>85</v>
      </c>
      <c r="B172" s="8">
        <v>170</v>
      </c>
      <c r="D172">
        <v>3254.1840591619002</v>
      </c>
      <c r="E172">
        <v>580.24568611338998</v>
      </c>
      <c r="F172">
        <v>158.20850367948</v>
      </c>
      <c r="G172">
        <v>121.70809484873</v>
      </c>
      <c r="I172" s="9">
        <f t="shared" si="15"/>
        <v>458.53759126465997</v>
      </c>
      <c r="J172" s="9">
        <f t="shared" si="16"/>
        <v>3095.9755554824201</v>
      </c>
      <c r="K172" s="9">
        <f t="shared" si="17"/>
        <v>458.53759126465997</v>
      </c>
      <c r="L172" s="10">
        <f t="shared" si="14"/>
        <v>0.14810762651296511</v>
      </c>
      <c r="M172" s="10">
        <f t="shared" si="18"/>
        <v>0.16584954790640469</v>
      </c>
      <c r="P172" s="8">
        <f t="shared" si="19"/>
        <v>-0.449497943521456</v>
      </c>
    </row>
    <row r="173" spans="1:16" x14ac:dyDescent="0.2">
      <c r="A173" s="8">
        <v>85.5</v>
      </c>
      <c r="B173" s="8">
        <v>171</v>
      </c>
      <c r="D173">
        <v>3252.9063270337001</v>
      </c>
      <c r="E173">
        <v>579.09531635168003</v>
      </c>
      <c r="F173">
        <v>158.69255928045999</v>
      </c>
      <c r="G173">
        <v>121.75715453802</v>
      </c>
      <c r="I173" s="9">
        <f t="shared" si="15"/>
        <v>457.33816181366001</v>
      </c>
      <c r="J173" s="9">
        <f t="shared" si="16"/>
        <v>3094.2137677532401</v>
      </c>
      <c r="K173" s="9">
        <f t="shared" si="17"/>
        <v>457.33816181366001</v>
      </c>
      <c r="L173" s="10">
        <f t="shared" si="14"/>
        <v>0.14780431997939847</v>
      </c>
      <c r="M173" s="10">
        <f t="shared" si="18"/>
        <v>0.16565060561632886</v>
      </c>
      <c r="P173" s="8">
        <f t="shared" si="19"/>
        <v>-0.56891222657088147</v>
      </c>
    </row>
    <row r="174" spans="1:16" x14ac:dyDescent="0.2">
      <c r="A174" s="8">
        <v>86</v>
      </c>
      <c r="B174" s="8">
        <v>172</v>
      </c>
      <c r="D174">
        <v>3261.6754313887</v>
      </c>
      <c r="E174">
        <v>574.66310599836004</v>
      </c>
      <c r="F174">
        <v>158.12264922322001</v>
      </c>
      <c r="G174">
        <v>121.61569910057</v>
      </c>
      <c r="I174" s="9">
        <f t="shared" si="15"/>
        <v>453.04740689779004</v>
      </c>
      <c r="J174" s="9">
        <f t="shared" si="16"/>
        <v>3103.55278216548</v>
      </c>
      <c r="K174" s="9">
        <f t="shared" si="17"/>
        <v>453.04740689779004</v>
      </c>
      <c r="L174" s="10">
        <f t="shared" si="14"/>
        <v>0.14597702655524991</v>
      </c>
      <c r="M174" s="10">
        <f t="shared" si="18"/>
        <v>0.16392767643567113</v>
      </c>
      <c r="P174" s="8">
        <f t="shared" si="19"/>
        <v>-1.6030933088071024</v>
      </c>
    </row>
    <row r="175" spans="1:16" x14ac:dyDescent="0.2">
      <c r="A175" s="8">
        <v>86.5</v>
      </c>
      <c r="B175" s="8">
        <v>173</v>
      </c>
      <c r="D175">
        <v>3257.2218570255</v>
      </c>
      <c r="E175">
        <v>574.86852917009003</v>
      </c>
      <c r="F175">
        <v>158.44480784954999</v>
      </c>
      <c r="G175">
        <v>121.56827473426</v>
      </c>
      <c r="I175" s="9">
        <f t="shared" si="15"/>
        <v>453.30025443583003</v>
      </c>
      <c r="J175" s="9">
        <f t="shared" si="16"/>
        <v>3098.7770491759502</v>
      </c>
      <c r="K175" s="9">
        <f t="shared" si="17"/>
        <v>453.30025443583003</v>
      </c>
      <c r="L175" s="10">
        <f t="shared" si="14"/>
        <v>0.14628359744576494</v>
      </c>
      <c r="M175" s="10">
        <f t="shared" si="18"/>
        <v>0.16433861156967697</v>
      </c>
      <c r="P175" s="8">
        <f t="shared" si="19"/>
        <v>-1.3564312019799338</v>
      </c>
    </row>
    <row r="176" spans="1:16" x14ac:dyDescent="0.2">
      <c r="A176" s="8">
        <v>87</v>
      </c>
      <c r="B176" s="8">
        <v>174</v>
      </c>
      <c r="D176">
        <v>3237.7699260477002</v>
      </c>
      <c r="E176">
        <v>576.17666392769002</v>
      </c>
      <c r="F176">
        <v>158.03352412101</v>
      </c>
      <c r="G176">
        <v>121.44562551104001</v>
      </c>
      <c r="I176" s="9">
        <f t="shared" si="15"/>
        <v>454.73103841664999</v>
      </c>
      <c r="J176" s="9">
        <f t="shared" si="16"/>
        <v>3079.7364019266902</v>
      </c>
      <c r="K176" s="9">
        <f t="shared" si="17"/>
        <v>454.73103841664999</v>
      </c>
      <c r="L176" s="10">
        <f t="shared" si="14"/>
        <v>0.14765258420563826</v>
      </c>
      <c r="M176" s="10">
        <f t="shared" si="18"/>
        <v>0.16581196257304112</v>
      </c>
      <c r="P176" s="8">
        <f t="shared" si="19"/>
        <v>-0.47205838371279507</v>
      </c>
    </row>
    <row r="177" spans="1:16" x14ac:dyDescent="0.2">
      <c r="A177" s="8">
        <v>87.5</v>
      </c>
      <c r="B177" s="8">
        <v>175</v>
      </c>
      <c r="D177">
        <v>3291.5669679540001</v>
      </c>
      <c r="E177">
        <v>580.86195562859996</v>
      </c>
      <c r="F177">
        <v>157.86672117743001</v>
      </c>
      <c r="G177">
        <v>121.83892068684</v>
      </c>
      <c r="I177" s="9">
        <f t="shared" si="15"/>
        <v>459.02303494175999</v>
      </c>
      <c r="J177" s="9">
        <f t="shared" si="16"/>
        <v>3133.7002467765701</v>
      </c>
      <c r="K177" s="9">
        <f t="shared" si="17"/>
        <v>459.02303494175999</v>
      </c>
      <c r="L177" s="10">
        <f t="shared" si="14"/>
        <v>0.14647956051761063</v>
      </c>
      <c r="M177" s="10">
        <f t="shared" si="18"/>
        <v>0.1647433031285043</v>
      </c>
      <c r="P177" s="8">
        <f t="shared" si="19"/>
        <v>-1.1135167752127573</v>
      </c>
    </row>
    <row r="178" spans="1:16" x14ac:dyDescent="0.2">
      <c r="A178" s="8">
        <v>88</v>
      </c>
      <c r="B178" s="8">
        <v>176</v>
      </c>
      <c r="D178">
        <v>3181.6926869351</v>
      </c>
      <c r="E178">
        <v>565.15940838127005</v>
      </c>
      <c r="F178">
        <v>158.00572363041999</v>
      </c>
      <c r="G178">
        <v>121.85200327065</v>
      </c>
      <c r="I178" s="9">
        <f t="shared" si="15"/>
        <v>443.30740511062004</v>
      </c>
      <c r="J178" s="9">
        <f t="shared" si="16"/>
        <v>3023.6869633046799</v>
      </c>
      <c r="K178" s="9">
        <f t="shared" si="17"/>
        <v>443.30740511062004</v>
      </c>
      <c r="L178" s="10">
        <f t="shared" si="14"/>
        <v>0.14661154097318191</v>
      </c>
      <c r="M178" s="10">
        <f t="shared" si="18"/>
        <v>0.16497964782756641</v>
      </c>
      <c r="P178" s="8">
        <f t="shared" si="19"/>
        <v>-0.97165185156944056</v>
      </c>
    </row>
    <row r="179" spans="1:16" x14ac:dyDescent="0.2">
      <c r="A179" s="8">
        <v>88.5</v>
      </c>
      <c r="B179" s="8">
        <v>177</v>
      </c>
      <c r="D179">
        <v>3159.188989318</v>
      </c>
      <c r="E179">
        <v>560.64009860312001</v>
      </c>
      <c r="F179">
        <v>157.5445625511</v>
      </c>
      <c r="G179">
        <v>121.82583810302999</v>
      </c>
      <c r="I179" s="9">
        <f t="shared" si="15"/>
        <v>438.81426050009003</v>
      </c>
      <c r="J179" s="9">
        <f t="shared" si="16"/>
        <v>3001.6444267668999</v>
      </c>
      <c r="K179" s="9">
        <f t="shared" si="17"/>
        <v>438.81426050009003</v>
      </c>
      <c r="L179" s="10">
        <f t="shared" si="14"/>
        <v>0.14619128654513588</v>
      </c>
      <c r="M179" s="10">
        <f t="shared" si="18"/>
        <v>0.16466375764301119</v>
      </c>
      <c r="P179" s="8">
        <f t="shared" si="19"/>
        <v>-1.1612636223831443</v>
      </c>
    </row>
    <row r="180" spans="1:16" x14ac:dyDescent="0.2">
      <c r="A180" s="8">
        <v>89</v>
      </c>
      <c r="B180" s="8">
        <v>178</v>
      </c>
      <c r="D180">
        <v>3160.5669679540001</v>
      </c>
      <c r="E180">
        <v>556.59572719802998</v>
      </c>
      <c r="F180">
        <v>157.56582174979999</v>
      </c>
      <c r="G180">
        <v>121.65085854455999</v>
      </c>
      <c r="I180" s="9">
        <f t="shared" si="15"/>
        <v>434.94486865347</v>
      </c>
      <c r="J180" s="9">
        <f t="shared" si="16"/>
        <v>3003.0011462042003</v>
      </c>
      <c r="K180" s="9">
        <f t="shared" si="17"/>
        <v>434.94486865347</v>
      </c>
      <c r="L180" s="10">
        <f t="shared" si="14"/>
        <v>0.14483673081618409</v>
      </c>
      <c r="M180" s="10">
        <f t="shared" si="18"/>
        <v>0.16341356615755023</v>
      </c>
      <c r="P180" s="8">
        <f t="shared" si="19"/>
        <v>-1.9116858672156074</v>
      </c>
    </row>
    <row r="181" spans="1:16" x14ac:dyDescent="0.2">
      <c r="A181" s="8">
        <v>89.5</v>
      </c>
      <c r="B181" s="8">
        <v>179</v>
      </c>
      <c r="D181">
        <v>3142.6442070665998</v>
      </c>
      <c r="E181">
        <v>555.86195562859996</v>
      </c>
      <c r="F181">
        <v>158.09157808667001</v>
      </c>
      <c r="G181">
        <v>121.20523303352</v>
      </c>
      <c r="I181" s="9">
        <f t="shared" si="15"/>
        <v>434.65672259507994</v>
      </c>
      <c r="J181" s="9">
        <f t="shared" si="16"/>
        <v>2984.55262897993</v>
      </c>
      <c r="K181" s="9">
        <f t="shared" si="17"/>
        <v>434.65672259507994</v>
      </c>
      <c r="L181" s="10">
        <f t="shared" si="14"/>
        <v>0.14563546924070772</v>
      </c>
      <c r="M181" s="10">
        <f t="shared" si="18"/>
        <v>0.16431666882556467</v>
      </c>
      <c r="P181" s="8">
        <f t="shared" si="19"/>
        <v>-1.3696022429652772</v>
      </c>
    </row>
    <row r="182" spans="1:16" x14ac:dyDescent="0.2">
      <c r="A182" s="8">
        <v>90</v>
      </c>
      <c r="B182" s="8">
        <v>180</v>
      </c>
      <c r="D182">
        <v>3182.8142974528</v>
      </c>
      <c r="E182">
        <v>559.22432210352997</v>
      </c>
      <c r="F182">
        <v>157.58217497955999</v>
      </c>
      <c r="G182">
        <v>121.49877350777</v>
      </c>
      <c r="I182" s="9">
        <f t="shared" si="15"/>
        <v>437.72554859575996</v>
      </c>
      <c r="J182" s="9">
        <f t="shared" si="16"/>
        <v>3025.23212247324</v>
      </c>
      <c r="K182" s="9">
        <f t="shared" si="17"/>
        <v>437.72554859575996</v>
      </c>
      <c r="L182" s="10">
        <f t="shared" si="14"/>
        <v>0.14469155782925611</v>
      </c>
      <c r="M182" s="10">
        <f>L182+ABS($N$2)*A182</f>
        <v>0.16347712165760389</v>
      </c>
      <c r="P182" s="8">
        <f t="shared" si="19"/>
        <v>-1.8735369423698023</v>
      </c>
    </row>
    <row r="183" spans="1:16" x14ac:dyDescent="0.2">
      <c r="A183" s="8">
        <v>90.5</v>
      </c>
      <c r="B183" s="8">
        <v>181</v>
      </c>
      <c r="D183">
        <v>3160.7649958914999</v>
      </c>
      <c r="E183">
        <v>560.56368118323996</v>
      </c>
      <c r="F183">
        <v>157.47751430907999</v>
      </c>
      <c r="G183">
        <v>121.38266557644999</v>
      </c>
      <c r="I183" s="9">
        <f t="shared" si="15"/>
        <v>439.18101560678997</v>
      </c>
      <c r="J183" s="9">
        <f t="shared" si="16"/>
        <v>3003.2874815824198</v>
      </c>
      <c r="K183" s="9">
        <f t="shared" si="17"/>
        <v>439.18101560678997</v>
      </c>
      <c r="L183" s="10">
        <f t="shared" si="14"/>
        <v>0.14623342530478878</v>
      </c>
      <c r="M183" s="10">
        <f t="shared" ref="M183:M241" si="20">L183+ABS($N$2)*A183</f>
        <v>0.16512335337662737</v>
      </c>
      <c r="P183" s="8">
        <f t="shared" si="19"/>
        <v>-0.88539319281570295</v>
      </c>
    </row>
    <row r="184" spans="1:16" x14ac:dyDescent="0.2">
      <c r="A184" s="8">
        <v>91</v>
      </c>
      <c r="B184" s="8">
        <v>182</v>
      </c>
      <c r="D184">
        <v>3168.9005751848999</v>
      </c>
      <c r="E184">
        <v>558.59819227609</v>
      </c>
      <c r="F184">
        <v>157.73916598528001</v>
      </c>
      <c r="G184">
        <v>121.31316434996</v>
      </c>
      <c r="I184" s="9">
        <f t="shared" si="15"/>
        <v>437.28502792613</v>
      </c>
      <c r="J184" s="9">
        <f t="shared" si="16"/>
        <v>3011.1614091996198</v>
      </c>
      <c r="K184" s="9">
        <f t="shared" si="17"/>
        <v>437.28502792613</v>
      </c>
      <c r="L184" s="10">
        <f t="shared" si="14"/>
        <v>0.14522138421080599</v>
      </c>
      <c r="M184" s="10">
        <f t="shared" si="20"/>
        <v>0.16421567652613542</v>
      </c>
      <c r="P184" s="8">
        <f t="shared" si="19"/>
        <v>-1.4302224510932737</v>
      </c>
    </row>
    <row r="185" spans="1:16" x14ac:dyDescent="0.2">
      <c r="A185" s="8">
        <v>91.5</v>
      </c>
      <c r="B185" s="8">
        <v>183</v>
      </c>
      <c r="D185">
        <v>3261.7255546425999</v>
      </c>
      <c r="E185">
        <v>565.19638455218001</v>
      </c>
      <c r="F185">
        <v>157.53066230581001</v>
      </c>
      <c r="G185">
        <v>121.50204415371999</v>
      </c>
      <c r="I185" s="9">
        <f t="shared" si="15"/>
        <v>443.69434039845999</v>
      </c>
      <c r="J185" s="9">
        <f t="shared" si="16"/>
        <v>3104.19489233679</v>
      </c>
      <c r="K185" s="9">
        <f t="shared" si="17"/>
        <v>443.69434039845999</v>
      </c>
      <c r="L185" s="10">
        <f t="shared" si="14"/>
        <v>0.142933789851208</v>
      </c>
      <c r="M185" s="10">
        <f t="shared" si="20"/>
        <v>0.16203244641002823</v>
      </c>
      <c r="P185" s="8">
        <f t="shared" si="19"/>
        <v>-2.7406972573673842</v>
      </c>
    </row>
    <row r="186" spans="1:16" x14ac:dyDescent="0.2">
      <c r="A186" s="8">
        <v>92</v>
      </c>
      <c r="B186" s="8">
        <v>184</v>
      </c>
      <c r="D186">
        <v>3252.1840591619002</v>
      </c>
      <c r="E186">
        <v>561.10106820048998</v>
      </c>
      <c r="F186">
        <v>158.01798855274001</v>
      </c>
      <c r="G186">
        <v>121.36876533115</v>
      </c>
      <c r="I186" s="9">
        <f t="shared" si="15"/>
        <v>439.73230286933995</v>
      </c>
      <c r="J186" s="9">
        <f t="shared" si="16"/>
        <v>3094.1660706091602</v>
      </c>
      <c r="K186" s="9">
        <f t="shared" si="17"/>
        <v>439.73230286933995</v>
      </c>
      <c r="L186" s="10">
        <f t="shared" si="14"/>
        <v>0.14211658095739127</v>
      </c>
      <c r="M186" s="10">
        <f t="shared" si="20"/>
        <v>0.16131960175970234</v>
      </c>
      <c r="P186" s="8">
        <f t="shared" si="19"/>
        <v>-3.1685792969872053</v>
      </c>
    </row>
    <row r="187" spans="1:16" x14ac:dyDescent="0.2">
      <c r="A187" s="8">
        <v>92.5</v>
      </c>
      <c r="B187" s="8">
        <v>185</v>
      </c>
      <c r="D187">
        <v>3196.8824979458</v>
      </c>
      <c r="E187">
        <v>569.38866064091997</v>
      </c>
      <c r="F187">
        <v>158.15453802126001</v>
      </c>
      <c r="G187">
        <v>121.52493867539</v>
      </c>
      <c r="I187" s="9">
        <f t="shared" si="15"/>
        <v>447.86372196552998</v>
      </c>
      <c r="J187" s="9">
        <f t="shared" si="16"/>
        <v>3038.7279599245398</v>
      </c>
      <c r="K187" s="9">
        <f t="shared" si="17"/>
        <v>447.86372196552998</v>
      </c>
      <c r="L187" s="10">
        <f t="shared" si="14"/>
        <v>0.14738526379197553</v>
      </c>
      <c r="M187" s="10">
        <f t="shared" si="20"/>
        <v>0.1666926488377774</v>
      </c>
      <c r="P187" s="8">
        <f t="shared" si="19"/>
        <v>5.6569887605849613E-2</v>
      </c>
    </row>
    <row r="188" spans="1:16" x14ac:dyDescent="0.2">
      <c r="A188" s="8">
        <v>93</v>
      </c>
      <c r="B188" s="8">
        <v>186</v>
      </c>
      <c r="D188">
        <v>3257.9638455218001</v>
      </c>
      <c r="E188">
        <v>583.94494658997996</v>
      </c>
      <c r="F188">
        <v>157.76042518397</v>
      </c>
      <c r="G188">
        <v>120.94276369583</v>
      </c>
      <c r="I188" s="9">
        <f t="shared" si="15"/>
        <v>463.00218289415</v>
      </c>
      <c r="J188" s="9">
        <f t="shared" si="16"/>
        <v>3100.2034203378303</v>
      </c>
      <c r="K188" s="9">
        <f t="shared" si="17"/>
        <v>463.00218289415</v>
      </c>
      <c r="L188" s="10">
        <f t="shared" si="14"/>
        <v>0.14934574288150954</v>
      </c>
      <c r="M188" s="10">
        <f t="shared" si="20"/>
        <v>0.16875749217080224</v>
      </c>
      <c r="P188" s="8">
        <f t="shared" si="19"/>
        <v>1.2959835192100715</v>
      </c>
    </row>
    <row r="189" spans="1:16" x14ac:dyDescent="0.2">
      <c r="A189" s="8">
        <v>93.5</v>
      </c>
      <c r="B189" s="8">
        <v>187</v>
      </c>
      <c r="D189">
        <v>3223.8701725555002</v>
      </c>
      <c r="E189">
        <v>580.83730484799003</v>
      </c>
      <c r="F189">
        <v>157.07767784136999</v>
      </c>
      <c r="G189">
        <v>121.931316435</v>
      </c>
      <c r="I189" s="9">
        <f t="shared" si="15"/>
        <v>458.90598841299004</v>
      </c>
      <c r="J189" s="9">
        <f t="shared" si="16"/>
        <v>3066.79249471413</v>
      </c>
      <c r="K189" s="9">
        <f t="shared" si="17"/>
        <v>458.90598841299004</v>
      </c>
      <c r="L189" s="10">
        <f t="shared" si="14"/>
        <v>0.14963711734783242</v>
      </c>
      <c r="M189" s="10">
        <f t="shared" si="20"/>
        <v>0.16915323088061593</v>
      </c>
      <c r="P189" s="8">
        <f t="shared" si="19"/>
        <v>1.5335240355542477</v>
      </c>
    </row>
    <row r="190" spans="1:16" x14ac:dyDescent="0.2">
      <c r="A190" s="8">
        <v>94</v>
      </c>
      <c r="B190" s="8">
        <v>188</v>
      </c>
      <c r="D190">
        <v>3187.8824979458</v>
      </c>
      <c r="E190">
        <v>578.31306491372004</v>
      </c>
      <c r="F190">
        <v>157.87080948486999</v>
      </c>
      <c r="G190">
        <v>121.54292722813</v>
      </c>
      <c r="I190" s="9">
        <f t="shared" si="15"/>
        <v>456.77013768559004</v>
      </c>
      <c r="J190" s="9">
        <f t="shared" si="16"/>
        <v>3030.0116884609301</v>
      </c>
      <c r="K190" s="9">
        <f t="shared" si="17"/>
        <v>456.77013768559004</v>
      </c>
      <c r="L190" s="10">
        <f t="shared" si="14"/>
        <v>0.15074863883366824</v>
      </c>
      <c r="M190" s="10">
        <f t="shared" si="20"/>
        <v>0.17036911660994258</v>
      </c>
      <c r="P190" s="8">
        <f t="shared" si="19"/>
        <v>2.2633543928011952</v>
      </c>
    </row>
    <row r="191" spans="1:16" x14ac:dyDescent="0.2">
      <c r="A191" s="8">
        <v>94.5</v>
      </c>
      <c r="B191" s="8">
        <v>189</v>
      </c>
      <c r="D191">
        <v>3229.6902218569999</v>
      </c>
      <c r="E191">
        <v>583.48315529991999</v>
      </c>
      <c r="F191">
        <v>158.13982011447001</v>
      </c>
      <c r="G191">
        <v>121.76696647588</v>
      </c>
      <c r="I191" s="9">
        <f t="shared" si="15"/>
        <v>461.71618882403999</v>
      </c>
      <c r="J191" s="9">
        <f t="shared" si="16"/>
        <v>3071.5504017425301</v>
      </c>
      <c r="K191" s="9">
        <f t="shared" si="17"/>
        <v>461.71618882403999</v>
      </c>
      <c r="L191" s="10">
        <f t="shared" si="14"/>
        <v>0.15032023845745862</v>
      </c>
      <c r="M191" s="10">
        <f t="shared" si="20"/>
        <v>0.17004508047722378</v>
      </c>
      <c r="P191" s="8">
        <f t="shared" si="19"/>
        <v>2.0688530504472116</v>
      </c>
    </row>
    <row r="192" spans="1:16" x14ac:dyDescent="0.2">
      <c r="A192" s="8">
        <v>95</v>
      </c>
      <c r="B192" s="8">
        <v>190</v>
      </c>
      <c r="D192">
        <v>3224.8414133114002</v>
      </c>
      <c r="E192">
        <v>588.78635990140003</v>
      </c>
      <c r="F192">
        <v>158.51103843009</v>
      </c>
      <c r="G192">
        <v>121.63041700735999</v>
      </c>
      <c r="I192" s="9">
        <f t="shared" si="15"/>
        <v>467.15594289404004</v>
      </c>
      <c r="J192" s="9">
        <f t="shared" si="16"/>
        <v>3066.33037488131</v>
      </c>
      <c r="K192" s="9">
        <f t="shared" si="17"/>
        <v>467.15594289404004</v>
      </c>
      <c r="L192" s="10">
        <f t="shared" si="14"/>
        <v>0.15235016641418572</v>
      </c>
      <c r="M192" s="10">
        <f t="shared" si="20"/>
        <v>0.17217937267744171</v>
      </c>
      <c r="P192" s="8">
        <f t="shared" si="19"/>
        <v>3.3499530760368295</v>
      </c>
    </row>
    <row r="193" spans="1:16" x14ac:dyDescent="0.2">
      <c r="A193" s="8">
        <v>95.5</v>
      </c>
      <c r="B193" s="8">
        <v>191</v>
      </c>
      <c r="D193">
        <v>3230.1437962201999</v>
      </c>
      <c r="E193">
        <v>582.83566146261001</v>
      </c>
      <c r="F193">
        <v>157.56173344236001</v>
      </c>
      <c r="G193">
        <v>121.40147179068001</v>
      </c>
      <c r="I193" s="9">
        <f t="shared" si="15"/>
        <v>461.43418967192997</v>
      </c>
      <c r="J193" s="9">
        <f t="shared" si="16"/>
        <v>3072.5820627778398</v>
      </c>
      <c r="K193" s="9">
        <f t="shared" si="17"/>
        <v>461.43418967192997</v>
      </c>
      <c r="L193" s="10">
        <f t="shared" si="14"/>
        <v>0.15017798719255673</v>
      </c>
      <c r="M193" s="10">
        <f t="shared" si="20"/>
        <v>0.17011155769930353</v>
      </c>
      <c r="P193" s="8">
        <f t="shared" si="19"/>
        <v>2.1087557267999628</v>
      </c>
    </row>
    <row r="194" spans="1:16" x14ac:dyDescent="0.2">
      <c r="A194" s="8">
        <v>96</v>
      </c>
      <c r="B194" s="8">
        <v>192</v>
      </c>
      <c r="D194">
        <v>3286.7740345111001</v>
      </c>
      <c r="E194">
        <v>581.31635168446996</v>
      </c>
      <c r="F194">
        <v>157.38593622240001</v>
      </c>
      <c r="G194">
        <v>121.40964840556001</v>
      </c>
      <c r="I194" s="9">
        <f t="shared" si="15"/>
        <v>459.90670327890996</v>
      </c>
      <c r="J194" s="9">
        <f t="shared" si="16"/>
        <v>3129.3880982887003</v>
      </c>
      <c r="K194" s="9">
        <f t="shared" si="17"/>
        <v>459.90670327890996</v>
      </c>
      <c r="L194" s="10">
        <f t="shared" ref="L194:L257" si="21">K194/J194</f>
        <v>0.14696377976589386</v>
      </c>
      <c r="M194" s="10">
        <f t="shared" si="20"/>
        <v>0.16700171451613149</v>
      </c>
      <c r="P194" s="8">
        <f t="shared" si="19"/>
        <v>0.24208527692689488</v>
      </c>
    </row>
    <row r="195" spans="1:16" x14ac:dyDescent="0.2">
      <c r="A195" s="8">
        <v>96.5</v>
      </c>
      <c r="B195" s="8">
        <v>193</v>
      </c>
      <c r="D195">
        <v>3275.7288414133</v>
      </c>
      <c r="E195">
        <v>592.74363188168002</v>
      </c>
      <c r="F195">
        <v>158.24202780049001</v>
      </c>
      <c r="G195">
        <v>121.45298446443</v>
      </c>
      <c r="I195" s="9">
        <f t="shared" ref="I195:I241" si="22">E195-G195</f>
        <v>471.29064741725</v>
      </c>
      <c r="J195" s="9">
        <f t="shared" ref="J195:J241" si="23">D195-F195</f>
        <v>3117.4868136128098</v>
      </c>
      <c r="K195" s="9">
        <f t="shared" ref="K195:K258" si="24">I195*1</f>
        <v>471.29064741725</v>
      </c>
      <c r="L195" s="10">
        <f t="shared" si="21"/>
        <v>0.15117646860904543</v>
      </c>
      <c r="M195" s="10">
        <f t="shared" si="20"/>
        <v>0.17131876760277387</v>
      </c>
      <c r="P195" s="8">
        <f t="shared" ref="P195:P241" si="25">(M195-$O$2)/$O$2*100</f>
        <v>2.8333784556231172</v>
      </c>
    </row>
    <row r="196" spans="1:16" x14ac:dyDescent="0.2">
      <c r="A196" s="8">
        <v>97</v>
      </c>
      <c r="B196" s="8">
        <v>194</v>
      </c>
      <c r="D196">
        <v>3238.9120788824998</v>
      </c>
      <c r="E196">
        <v>588.65406737880005</v>
      </c>
      <c r="F196">
        <v>157.74080130825999</v>
      </c>
      <c r="G196">
        <v>121.27555192151</v>
      </c>
      <c r="I196" s="9">
        <f t="shared" si="22"/>
        <v>467.37851545729006</v>
      </c>
      <c r="J196" s="9">
        <f t="shared" si="23"/>
        <v>3081.1712775742399</v>
      </c>
      <c r="K196" s="9">
        <f t="shared" si="24"/>
        <v>467.37851545729006</v>
      </c>
      <c r="L196" s="10">
        <f t="shared" si="21"/>
        <v>0.15168858636941798</v>
      </c>
      <c r="M196" s="10">
        <f t="shared" si="20"/>
        <v>0.17193524960663725</v>
      </c>
      <c r="P196" s="8">
        <f t="shared" si="25"/>
        <v>3.2034192170728732</v>
      </c>
    </row>
    <row r="197" spans="1:16" x14ac:dyDescent="0.2">
      <c r="A197" s="8">
        <v>97.5</v>
      </c>
      <c r="B197" s="8">
        <v>195</v>
      </c>
      <c r="D197">
        <v>3245.0468364832</v>
      </c>
      <c r="E197">
        <v>596.15529991783001</v>
      </c>
      <c r="F197">
        <v>157.51022076859999</v>
      </c>
      <c r="G197">
        <v>121.4480784955</v>
      </c>
      <c r="I197" s="9">
        <f t="shared" si="22"/>
        <v>474.70722142233001</v>
      </c>
      <c r="J197" s="9">
        <f t="shared" si="23"/>
        <v>3087.5366157146</v>
      </c>
      <c r="K197" s="9">
        <f t="shared" si="24"/>
        <v>474.70722142233001</v>
      </c>
      <c r="L197" s="10">
        <f t="shared" si="21"/>
        <v>0.15374950340871038</v>
      </c>
      <c r="M197" s="10">
        <f t="shared" si="20"/>
        <v>0.17410053088942049</v>
      </c>
      <c r="P197" s="8">
        <f t="shared" si="25"/>
        <v>4.5031203107183773</v>
      </c>
    </row>
    <row r="198" spans="1:16" x14ac:dyDescent="0.2">
      <c r="A198" s="8">
        <v>98</v>
      </c>
      <c r="B198" s="8">
        <v>196</v>
      </c>
      <c r="D198">
        <v>3286.0838126540998</v>
      </c>
      <c r="E198">
        <v>604.36894001642997</v>
      </c>
      <c r="F198">
        <v>158.08667211773999</v>
      </c>
      <c r="G198">
        <v>121.44971381848001</v>
      </c>
      <c r="I198" s="9">
        <f t="shared" si="22"/>
        <v>482.91922619794997</v>
      </c>
      <c r="J198" s="9">
        <f t="shared" si="23"/>
        <v>3127.9971405363599</v>
      </c>
      <c r="K198" s="9">
        <f t="shared" si="24"/>
        <v>482.91922619794997</v>
      </c>
      <c r="L198" s="10">
        <f t="shared" si="21"/>
        <v>0.15438608301129825</v>
      </c>
      <c r="M198" s="10">
        <f t="shared" si="20"/>
        <v>0.17484147473549916</v>
      </c>
      <c r="P198" s="8">
        <f t="shared" si="25"/>
        <v>4.9478687758418189</v>
      </c>
    </row>
    <row r="199" spans="1:16" x14ac:dyDescent="0.2">
      <c r="A199" s="8">
        <v>98.5</v>
      </c>
      <c r="B199" s="8">
        <v>197</v>
      </c>
      <c r="D199">
        <v>3280.6992604766001</v>
      </c>
      <c r="E199">
        <v>609.29087921118003</v>
      </c>
      <c r="F199">
        <v>157.67130008177</v>
      </c>
      <c r="G199">
        <v>121.43172526574</v>
      </c>
      <c r="I199" s="9">
        <f t="shared" si="22"/>
        <v>487.85915394544003</v>
      </c>
      <c r="J199" s="9">
        <f t="shared" si="23"/>
        <v>3123.0279603948302</v>
      </c>
      <c r="K199" s="9">
        <f t="shared" si="24"/>
        <v>487.85915394544003</v>
      </c>
      <c r="L199" s="10">
        <f t="shared" si="21"/>
        <v>0.15621350821456054</v>
      </c>
      <c r="M199" s="10">
        <f t="shared" si="20"/>
        <v>0.17677326418225228</v>
      </c>
      <c r="P199" s="8">
        <f t="shared" si="25"/>
        <v>6.1074173650258468</v>
      </c>
    </row>
    <row r="200" spans="1:16" x14ac:dyDescent="0.2">
      <c r="A200" s="8">
        <v>99</v>
      </c>
      <c r="B200" s="8">
        <v>198</v>
      </c>
      <c r="D200">
        <v>3282.2859490551</v>
      </c>
      <c r="E200">
        <v>605.41248972884</v>
      </c>
      <c r="F200">
        <v>158.07113654947</v>
      </c>
      <c r="G200">
        <v>121.26246933769001</v>
      </c>
      <c r="I200" s="9">
        <f t="shared" si="22"/>
        <v>484.15002039115001</v>
      </c>
      <c r="J200" s="9">
        <f t="shared" si="23"/>
        <v>3124.2148125056301</v>
      </c>
      <c r="K200" s="9">
        <f t="shared" si="24"/>
        <v>484.15002039115001</v>
      </c>
      <c r="L200" s="10">
        <f t="shared" si="21"/>
        <v>0.15496694351911741</v>
      </c>
      <c r="M200" s="10">
        <f t="shared" si="20"/>
        <v>0.17563106373029996</v>
      </c>
      <c r="P200" s="8">
        <f t="shared" si="25"/>
        <v>5.4218162893740809</v>
      </c>
    </row>
    <row r="201" spans="1:16" x14ac:dyDescent="0.2">
      <c r="A201" s="8">
        <v>99.5</v>
      </c>
      <c r="B201" s="8">
        <v>199</v>
      </c>
      <c r="D201">
        <v>3254.4256368117999</v>
      </c>
      <c r="E201">
        <v>606.59490550533997</v>
      </c>
      <c r="F201">
        <v>157.41128372854001</v>
      </c>
      <c r="G201">
        <v>121.25592804579</v>
      </c>
      <c r="I201" s="9">
        <f t="shared" si="22"/>
        <v>485.33897745954994</v>
      </c>
      <c r="J201" s="9">
        <f t="shared" si="23"/>
        <v>3097.0143530832597</v>
      </c>
      <c r="K201" s="9">
        <f t="shared" si="24"/>
        <v>485.33897745954994</v>
      </c>
      <c r="L201" s="10">
        <f t="shared" si="21"/>
        <v>0.15671189155980711</v>
      </c>
      <c r="M201" s="10">
        <f t="shared" si="20"/>
        <v>0.1774803760144805</v>
      </c>
      <c r="P201" s="8">
        <f t="shared" si="25"/>
        <v>6.5318583044013394</v>
      </c>
    </row>
    <row r="202" spans="1:16" x14ac:dyDescent="0.2">
      <c r="A202" s="8">
        <v>100</v>
      </c>
      <c r="B202" s="8">
        <v>200</v>
      </c>
      <c r="D202">
        <v>3280.8586688578998</v>
      </c>
      <c r="E202">
        <v>602.38701725554995</v>
      </c>
      <c r="F202">
        <v>156.84709730172</v>
      </c>
      <c r="G202">
        <v>121.29272281276</v>
      </c>
      <c r="I202" s="9">
        <f t="shared" si="22"/>
        <v>481.09429444278993</v>
      </c>
      <c r="J202" s="9">
        <f t="shared" si="23"/>
        <v>3124.0115715561797</v>
      </c>
      <c r="K202" s="9">
        <f t="shared" si="24"/>
        <v>481.09429444278993</v>
      </c>
      <c r="L202" s="10">
        <f t="shared" si="21"/>
        <v>0.15399888362229722</v>
      </c>
      <c r="M202" s="10">
        <f t="shared" si="20"/>
        <v>0.17487173232046141</v>
      </c>
      <c r="P202" s="8">
        <f t="shared" si="25"/>
        <v>4.9660307655007143</v>
      </c>
    </row>
    <row r="203" spans="1:16" x14ac:dyDescent="0.2">
      <c r="A203" s="8">
        <v>100.5</v>
      </c>
      <c r="B203" s="8">
        <v>201</v>
      </c>
      <c r="D203">
        <v>3308.8529170090001</v>
      </c>
      <c r="E203">
        <v>596.16844700082004</v>
      </c>
      <c r="F203">
        <v>157.73180703189001</v>
      </c>
      <c r="G203">
        <v>121.00163532297999</v>
      </c>
      <c r="I203" s="9">
        <f t="shared" si="22"/>
        <v>475.16681167784003</v>
      </c>
      <c r="J203" s="9">
        <f t="shared" si="23"/>
        <v>3151.1211099771099</v>
      </c>
      <c r="K203" s="9">
        <f t="shared" si="24"/>
        <v>475.16681167784003</v>
      </c>
      <c r="L203" s="10">
        <f t="shared" si="21"/>
        <v>0.15079293847937558</v>
      </c>
      <c r="M203" s="10">
        <f t="shared" si="20"/>
        <v>0.17177015142103061</v>
      </c>
      <c r="P203" s="8">
        <f t="shared" si="25"/>
        <v>3.1043197171150538</v>
      </c>
    </row>
    <row r="204" spans="1:16" x14ac:dyDescent="0.2">
      <c r="A204" s="8">
        <v>101</v>
      </c>
      <c r="B204" s="8">
        <v>202</v>
      </c>
      <c r="D204">
        <v>3303.9441248972998</v>
      </c>
      <c r="E204">
        <v>579.35661462612995</v>
      </c>
      <c r="F204">
        <v>157.11529026983001</v>
      </c>
      <c r="G204">
        <v>121.10384300899</v>
      </c>
      <c r="I204" s="9">
        <f t="shared" si="22"/>
        <v>458.25277161713996</v>
      </c>
      <c r="J204" s="9">
        <f t="shared" si="23"/>
        <v>3146.8288346274699</v>
      </c>
      <c r="K204" s="9">
        <f t="shared" si="24"/>
        <v>458.25277161713996</v>
      </c>
      <c r="L204" s="10">
        <f t="shared" si="21"/>
        <v>0.14562367249675628</v>
      </c>
      <c r="M204" s="10">
        <f t="shared" si="20"/>
        <v>0.16670524968190212</v>
      </c>
      <c r="P204" s="8">
        <f t="shared" si="25"/>
        <v>6.4133491937522741E-2</v>
      </c>
    </row>
    <row r="205" spans="1:16" x14ac:dyDescent="0.2">
      <c r="A205" s="8">
        <v>101.5</v>
      </c>
      <c r="B205" s="8">
        <v>203</v>
      </c>
      <c r="D205">
        <v>3529.3962418300998</v>
      </c>
      <c r="E205">
        <v>627.28921568627004</v>
      </c>
      <c r="F205">
        <v>157.49386753883999</v>
      </c>
      <c r="G205">
        <v>121.11529026983</v>
      </c>
      <c r="I205" s="9">
        <f t="shared" si="22"/>
        <v>506.17392541644006</v>
      </c>
      <c r="J205" s="9">
        <f t="shared" si="23"/>
        <v>3371.90237429126</v>
      </c>
      <c r="K205" s="9">
        <f t="shared" si="24"/>
        <v>506.17392541644006</v>
      </c>
      <c r="L205" s="10">
        <f t="shared" si="21"/>
        <v>0.15011523740299057</v>
      </c>
      <c r="M205" s="10">
        <f t="shared" si="20"/>
        <v>0.17130117883162724</v>
      </c>
      <c r="P205" s="8">
        <f t="shared" si="25"/>
        <v>2.8228208688204579</v>
      </c>
    </row>
    <row r="206" spans="1:16" x14ac:dyDescent="0.2">
      <c r="A206" s="8">
        <v>102</v>
      </c>
      <c r="B206" s="8">
        <v>204</v>
      </c>
      <c r="D206">
        <v>3416.6037581699002</v>
      </c>
      <c r="E206">
        <v>607.44444444444002</v>
      </c>
      <c r="F206">
        <v>157.32134096484</v>
      </c>
      <c r="G206">
        <v>121.05887162715</v>
      </c>
      <c r="I206" s="9">
        <f t="shared" si="22"/>
        <v>486.38557281729004</v>
      </c>
      <c r="J206" s="9">
        <f t="shared" si="23"/>
        <v>3259.28241720506</v>
      </c>
      <c r="K206" s="9">
        <f t="shared" si="24"/>
        <v>486.38557281729004</v>
      </c>
      <c r="L206" s="10">
        <f t="shared" si="21"/>
        <v>0.1492308767874069</v>
      </c>
      <c r="M206" s="10">
        <f t="shared" si="20"/>
        <v>0.17052118245953438</v>
      </c>
      <c r="P206" s="8">
        <f t="shared" si="25"/>
        <v>2.3546312872130568</v>
      </c>
    </row>
    <row r="207" spans="1:16" x14ac:dyDescent="0.2">
      <c r="A207" s="8">
        <v>102.5</v>
      </c>
      <c r="B207" s="8">
        <v>205</v>
      </c>
      <c r="D207">
        <v>3555.4967320260998</v>
      </c>
      <c r="E207">
        <v>622.84150326796998</v>
      </c>
      <c r="F207">
        <v>157.04742436631</v>
      </c>
      <c r="G207">
        <v>121.04987735077999</v>
      </c>
      <c r="I207" s="9">
        <f t="shared" si="22"/>
        <v>501.79162591719</v>
      </c>
      <c r="J207" s="9">
        <f t="shared" si="23"/>
        <v>3398.4493076597901</v>
      </c>
      <c r="K207" s="9">
        <f t="shared" si="24"/>
        <v>501.79162591719</v>
      </c>
      <c r="L207" s="10">
        <f t="shared" si="21"/>
        <v>0.14765311484452576</v>
      </c>
      <c r="M207" s="10">
        <f t="shared" si="20"/>
        <v>0.16904778476014407</v>
      </c>
      <c r="P207" s="8">
        <f t="shared" si="25"/>
        <v>1.4702304398502308</v>
      </c>
    </row>
    <row r="208" spans="1:16" x14ac:dyDescent="0.2">
      <c r="A208" s="8">
        <v>103</v>
      </c>
      <c r="B208" s="8">
        <v>206</v>
      </c>
      <c r="D208">
        <v>3574.9795751634001</v>
      </c>
      <c r="E208">
        <v>621.22712418301001</v>
      </c>
      <c r="F208">
        <v>157.23630417007001</v>
      </c>
      <c r="G208">
        <v>120.94031071137</v>
      </c>
      <c r="I208" s="9">
        <f t="shared" si="22"/>
        <v>500.28681347164002</v>
      </c>
      <c r="J208" s="9">
        <f t="shared" si="23"/>
        <v>3417.74327099333</v>
      </c>
      <c r="K208" s="9">
        <f t="shared" si="24"/>
        <v>500.28681347164002</v>
      </c>
      <c r="L208" s="10">
        <f t="shared" si="21"/>
        <v>0.14637928416613841</v>
      </c>
      <c r="M208" s="10">
        <f t="shared" si="20"/>
        <v>0.16787831832524752</v>
      </c>
      <c r="P208" s="8">
        <f t="shared" si="25"/>
        <v>0.76826307122133464</v>
      </c>
    </row>
    <row r="209" spans="1:16" x14ac:dyDescent="0.2">
      <c r="A209" s="8">
        <v>103.5</v>
      </c>
      <c r="B209" s="8">
        <v>207</v>
      </c>
      <c r="D209">
        <v>3435.5016339868998</v>
      </c>
      <c r="E209">
        <v>591.43464052288004</v>
      </c>
      <c r="F209">
        <v>157.82910874897999</v>
      </c>
      <c r="G209">
        <v>120.71300081766</v>
      </c>
      <c r="I209" s="9">
        <f t="shared" si="22"/>
        <v>470.72163970522001</v>
      </c>
      <c r="J209" s="9">
        <f t="shared" si="23"/>
        <v>3277.6725252379197</v>
      </c>
      <c r="K209" s="9">
        <f t="shared" si="24"/>
        <v>470.72163970522001</v>
      </c>
      <c r="L209" s="10">
        <f t="shared" si="21"/>
        <v>0.14361460337501267</v>
      </c>
      <c r="M209" s="10">
        <f t="shared" si="20"/>
        <v>0.16521800177761262</v>
      </c>
      <c r="P209" s="8">
        <f t="shared" si="25"/>
        <v>-0.82858088337099067</v>
      </c>
    </row>
    <row r="210" spans="1:16" x14ac:dyDescent="0.2">
      <c r="A210" s="8">
        <v>104</v>
      </c>
      <c r="B210" s="8">
        <v>208</v>
      </c>
      <c r="D210">
        <v>3448.2761437908998</v>
      </c>
      <c r="E210">
        <v>588.04166666667004</v>
      </c>
      <c r="F210">
        <v>157.02371218316</v>
      </c>
      <c r="G210">
        <v>121.45380212592001</v>
      </c>
      <c r="I210" s="9">
        <f t="shared" si="22"/>
        <v>466.58786454075005</v>
      </c>
      <c r="J210" s="9">
        <f t="shared" si="23"/>
        <v>3291.2524316077397</v>
      </c>
      <c r="K210" s="9">
        <f t="shared" si="24"/>
        <v>466.58786454075005</v>
      </c>
      <c r="L210" s="10">
        <f t="shared" si="21"/>
        <v>0.14176605235740825</v>
      </c>
      <c r="M210" s="10">
        <f t="shared" si="20"/>
        <v>0.163473815003499</v>
      </c>
      <c r="P210" s="8">
        <f t="shared" si="25"/>
        <v>-1.8755217477577233</v>
      </c>
    </row>
    <row r="211" spans="1:16" x14ac:dyDescent="0.2">
      <c r="A211" s="8">
        <v>104.5</v>
      </c>
      <c r="B211" s="8">
        <v>209</v>
      </c>
      <c r="D211">
        <v>3535.0473856209001</v>
      </c>
      <c r="E211">
        <v>598.87418300653997</v>
      </c>
      <c r="F211">
        <v>157.16843826656</v>
      </c>
      <c r="G211">
        <v>120.65331152903001</v>
      </c>
      <c r="I211" s="9">
        <f t="shared" si="22"/>
        <v>478.22087147750995</v>
      </c>
      <c r="J211" s="9">
        <f t="shared" si="23"/>
        <v>3377.8789473543402</v>
      </c>
      <c r="K211" s="9">
        <f t="shared" si="24"/>
        <v>478.22087147750995</v>
      </c>
      <c r="L211" s="10">
        <f t="shared" si="21"/>
        <v>0.14157430711129165</v>
      </c>
      <c r="M211" s="10">
        <f t="shared" si="20"/>
        <v>0.16338643400087324</v>
      </c>
      <c r="P211" s="8">
        <f t="shared" si="25"/>
        <v>-1.9279718315318544</v>
      </c>
    </row>
    <row r="212" spans="1:16" x14ac:dyDescent="0.2">
      <c r="A212" s="8">
        <v>105</v>
      </c>
      <c r="B212" s="8">
        <v>210</v>
      </c>
      <c r="D212">
        <v>3375.4282198523001</v>
      </c>
      <c r="E212">
        <v>580.47169811320998</v>
      </c>
      <c r="F212">
        <v>156.98773507767999</v>
      </c>
      <c r="G212">
        <v>120.94439901881</v>
      </c>
      <c r="I212" s="9">
        <f t="shared" si="22"/>
        <v>459.52729909439995</v>
      </c>
      <c r="J212" s="9">
        <f t="shared" si="23"/>
        <v>3218.44048477462</v>
      </c>
      <c r="K212" s="9">
        <f t="shared" si="24"/>
        <v>459.52729909439995</v>
      </c>
      <c r="L212" s="10">
        <f t="shared" si="21"/>
        <v>0.14277949251144209</v>
      </c>
      <c r="M212" s="10">
        <f t="shared" si="20"/>
        <v>0.16469598364451449</v>
      </c>
      <c r="P212" s="8">
        <f t="shared" si="25"/>
        <v>-1.141920098873896</v>
      </c>
    </row>
    <row r="213" spans="1:16" x14ac:dyDescent="0.2">
      <c r="A213" s="8">
        <v>105.5</v>
      </c>
      <c r="B213" s="8">
        <v>211</v>
      </c>
      <c r="D213">
        <v>3380.9860541427001</v>
      </c>
      <c r="E213">
        <v>571.96472518457995</v>
      </c>
      <c r="F213">
        <v>156.80784955029</v>
      </c>
      <c r="G213">
        <v>120.43417825020001</v>
      </c>
      <c r="I213" s="9">
        <f t="shared" si="22"/>
        <v>451.53054693437991</v>
      </c>
      <c r="J213" s="9">
        <f t="shared" si="23"/>
        <v>3224.1782045924101</v>
      </c>
      <c r="K213" s="9">
        <f t="shared" si="24"/>
        <v>451.53054693437991</v>
      </c>
      <c r="L213" s="10">
        <f t="shared" si="21"/>
        <v>0.14004515826427805</v>
      </c>
      <c r="M213" s="10">
        <f t="shared" si="20"/>
        <v>0.16206601364084128</v>
      </c>
      <c r="P213" s="8">
        <f t="shared" si="25"/>
        <v>-2.7205486665375171</v>
      </c>
    </row>
    <row r="214" spans="1:16" x14ac:dyDescent="0.2">
      <c r="A214" s="8">
        <v>106</v>
      </c>
      <c r="B214" s="8">
        <v>212</v>
      </c>
      <c r="D214">
        <v>3480.1460213290002</v>
      </c>
      <c r="E214">
        <v>587.12879409352001</v>
      </c>
      <c r="F214">
        <v>156.96484055600999</v>
      </c>
      <c r="G214">
        <v>121.35731807032001</v>
      </c>
      <c r="I214" s="9">
        <f t="shared" si="22"/>
        <v>465.77147602320002</v>
      </c>
      <c r="J214" s="9">
        <f t="shared" si="23"/>
        <v>3323.18118077299</v>
      </c>
      <c r="K214" s="9">
        <f t="shared" si="24"/>
        <v>465.77147602320002</v>
      </c>
      <c r="L214" s="10">
        <f t="shared" si="21"/>
        <v>0.14015831538708312</v>
      </c>
      <c r="M214" s="10">
        <f t="shared" si="20"/>
        <v>0.16228353500713716</v>
      </c>
      <c r="P214" s="8">
        <f t="shared" si="25"/>
        <v>-2.5899823701796487</v>
      </c>
    </row>
    <row r="215" spans="1:16" x14ac:dyDescent="0.2">
      <c r="A215" s="8">
        <v>106.5</v>
      </c>
      <c r="B215" s="8">
        <v>213</v>
      </c>
      <c r="D215">
        <v>3540.6245901638999</v>
      </c>
      <c r="E215">
        <v>613.12786885245998</v>
      </c>
      <c r="F215">
        <v>156.60098119379001</v>
      </c>
      <c r="G215">
        <v>120.63123466885</v>
      </c>
      <c r="I215" s="9">
        <f t="shared" si="22"/>
        <v>492.49663418361001</v>
      </c>
      <c r="J215" s="9">
        <f t="shared" si="23"/>
        <v>3384.0236089701098</v>
      </c>
      <c r="K215" s="9">
        <f t="shared" si="24"/>
        <v>492.49663418361001</v>
      </c>
      <c r="L215" s="10">
        <f t="shared" si="21"/>
        <v>0.14553581508064475</v>
      </c>
      <c r="M215" s="10">
        <f t="shared" si="20"/>
        <v>0.16776539894418963</v>
      </c>
      <c r="P215" s="8">
        <f t="shared" si="25"/>
        <v>0.70048368190057364</v>
      </c>
    </row>
    <row r="216" spans="1:16" x14ac:dyDescent="0.2">
      <c r="A216" s="8">
        <v>107</v>
      </c>
      <c r="B216" s="8">
        <v>214</v>
      </c>
      <c r="D216">
        <v>3344.8408531583</v>
      </c>
      <c r="E216">
        <v>584.89417555372995</v>
      </c>
      <c r="F216">
        <v>157.04742436631</v>
      </c>
      <c r="G216">
        <v>121.26328699918</v>
      </c>
      <c r="I216" s="9">
        <f t="shared" si="22"/>
        <v>463.63088855454998</v>
      </c>
      <c r="J216" s="9">
        <f t="shared" si="23"/>
        <v>3187.7934287919898</v>
      </c>
      <c r="K216" s="9">
        <f t="shared" si="24"/>
        <v>463.63088855454998</v>
      </c>
      <c r="L216" s="10">
        <f t="shared" si="21"/>
        <v>0.14543943919548211</v>
      </c>
      <c r="M216" s="10">
        <f t="shared" si="20"/>
        <v>0.16777338730251778</v>
      </c>
      <c r="P216" s="8">
        <f t="shared" si="25"/>
        <v>0.70527866079689283</v>
      </c>
    </row>
    <row r="217" spans="1:16" x14ac:dyDescent="0.2">
      <c r="A217" s="8">
        <v>107.5</v>
      </c>
      <c r="B217" s="8">
        <v>215</v>
      </c>
      <c r="D217">
        <v>3366.0401968827</v>
      </c>
      <c r="E217">
        <v>580.21903199344001</v>
      </c>
      <c r="F217">
        <v>156.50286181521</v>
      </c>
      <c r="G217">
        <v>120.70645952576</v>
      </c>
      <c r="I217" s="9">
        <f t="shared" si="22"/>
        <v>459.51257246768</v>
      </c>
      <c r="J217" s="9">
        <f t="shared" si="23"/>
        <v>3209.5373350674899</v>
      </c>
      <c r="K217" s="9">
        <f t="shared" si="24"/>
        <v>459.51257246768</v>
      </c>
      <c r="L217" s="10">
        <f t="shared" si="21"/>
        <v>0.14317096967436194</v>
      </c>
      <c r="M217" s="10">
        <f t="shared" si="20"/>
        <v>0.16560928202488845</v>
      </c>
      <c r="P217" s="8">
        <f t="shared" si="25"/>
        <v>-0.59371654064107016</v>
      </c>
    </row>
    <row r="218" spans="1:16" x14ac:dyDescent="0.2">
      <c r="A218" s="8">
        <v>108</v>
      </c>
      <c r="B218" s="8">
        <v>216</v>
      </c>
      <c r="D218">
        <v>3367.8219852338002</v>
      </c>
      <c r="E218">
        <v>571.84741591468003</v>
      </c>
      <c r="F218">
        <v>156.58053965657999</v>
      </c>
      <c r="G218">
        <v>120.66312346689</v>
      </c>
      <c r="I218" s="9">
        <f t="shared" si="22"/>
        <v>451.18429244779003</v>
      </c>
      <c r="J218" s="9">
        <f t="shared" si="23"/>
        <v>3211.24144557722</v>
      </c>
      <c r="K218" s="9">
        <f t="shared" si="24"/>
        <v>451.18429244779003</v>
      </c>
      <c r="L218" s="10">
        <f t="shared" si="21"/>
        <v>0.140501516343219</v>
      </c>
      <c r="M218" s="10">
        <f t="shared" si="20"/>
        <v>0.16304419293723632</v>
      </c>
      <c r="P218" s="8">
        <f t="shared" si="25"/>
        <v>-2.1334006080312995</v>
      </c>
    </row>
    <row r="219" spans="1:16" x14ac:dyDescent="0.2">
      <c r="A219" s="8">
        <v>108.5</v>
      </c>
      <c r="B219" s="8">
        <v>217</v>
      </c>
      <c r="D219">
        <v>3454.2913256955999</v>
      </c>
      <c r="E219">
        <v>580.00572831423995</v>
      </c>
      <c r="F219">
        <v>156.23303352412</v>
      </c>
      <c r="G219">
        <v>120.77596075225</v>
      </c>
      <c r="I219" s="9">
        <f t="shared" si="22"/>
        <v>459.22976756198995</v>
      </c>
      <c r="J219" s="9">
        <f t="shared" si="23"/>
        <v>3298.0582921714799</v>
      </c>
      <c r="K219" s="9">
        <f t="shared" si="24"/>
        <v>459.22976756198995</v>
      </c>
      <c r="L219" s="10">
        <f t="shared" si="21"/>
        <v>0.13924246537790202</v>
      </c>
      <c r="M219" s="10">
        <f t="shared" si="20"/>
        <v>0.16188950621541018</v>
      </c>
      <c r="P219" s="8">
        <f t="shared" si="25"/>
        <v>-2.8264965152966748</v>
      </c>
    </row>
    <row r="220" spans="1:16" x14ac:dyDescent="0.2">
      <c r="A220" s="8">
        <v>109</v>
      </c>
      <c r="B220" s="8">
        <v>218</v>
      </c>
      <c r="D220">
        <v>3446.6063829786999</v>
      </c>
      <c r="E220">
        <v>578.86497545008001</v>
      </c>
      <c r="F220">
        <v>157.02698282911001</v>
      </c>
      <c r="G220">
        <v>120.48078495503</v>
      </c>
      <c r="I220" s="9">
        <f t="shared" si="22"/>
        <v>458.38419049505001</v>
      </c>
      <c r="J220" s="9">
        <f t="shared" si="23"/>
        <v>3289.5794001495897</v>
      </c>
      <c r="K220" s="9">
        <f t="shared" si="24"/>
        <v>458.38419049505001</v>
      </c>
      <c r="L220" s="10">
        <f t="shared" si="21"/>
        <v>0.13934431571227784</v>
      </c>
      <c r="M220" s="10">
        <f t="shared" si="20"/>
        <v>0.16209572079327683</v>
      </c>
      <c r="P220" s="8">
        <f t="shared" si="25"/>
        <v>-2.7027170717158255</v>
      </c>
    </row>
    <row r="221" spans="1:16" x14ac:dyDescent="0.2">
      <c r="A221" s="8">
        <v>109.5</v>
      </c>
      <c r="B221" s="8">
        <v>219</v>
      </c>
      <c r="D221">
        <v>3554.4941860465001</v>
      </c>
      <c r="E221">
        <v>588.32641196013003</v>
      </c>
      <c r="F221">
        <v>157.19542109567001</v>
      </c>
      <c r="G221">
        <v>120.71790678659001</v>
      </c>
      <c r="I221" s="9">
        <f t="shared" si="22"/>
        <v>467.60850517354004</v>
      </c>
      <c r="J221" s="9">
        <f t="shared" si="23"/>
        <v>3397.29876495083</v>
      </c>
      <c r="K221" s="9">
        <f t="shared" si="24"/>
        <v>467.60850517354004</v>
      </c>
      <c r="L221" s="10">
        <f t="shared" si="21"/>
        <v>0.13764126664329679</v>
      </c>
      <c r="M221" s="10">
        <f t="shared" si="20"/>
        <v>0.16049703596778658</v>
      </c>
      <c r="P221" s="8">
        <f t="shared" si="25"/>
        <v>-3.6623209959751941</v>
      </c>
    </row>
    <row r="222" spans="1:16" x14ac:dyDescent="0.2">
      <c r="A222" s="8">
        <v>110</v>
      </c>
      <c r="B222" s="8">
        <v>220</v>
      </c>
      <c r="D222">
        <v>3486.0946843853999</v>
      </c>
      <c r="E222">
        <v>577.65946843853999</v>
      </c>
      <c r="F222">
        <v>155.83646770236999</v>
      </c>
      <c r="G222">
        <v>120.71136549469</v>
      </c>
      <c r="I222" s="9">
        <f t="shared" si="22"/>
        <v>456.94810294385002</v>
      </c>
      <c r="J222" s="9">
        <f t="shared" si="23"/>
        <v>3330.2582166830298</v>
      </c>
      <c r="K222" s="9">
        <f t="shared" si="24"/>
        <v>456.94810294385002</v>
      </c>
      <c r="L222" s="10">
        <f t="shared" si="21"/>
        <v>0.13721101284421569</v>
      </c>
      <c r="M222" s="10">
        <f t="shared" si="20"/>
        <v>0.16017114641219632</v>
      </c>
      <c r="P222" s="8">
        <f t="shared" si="25"/>
        <v>-3.857934847707138</v>
      </c>
    </row>
    <row r="223" spans="1:16" x14ac:dyDescent="0.2">
      <c r="A223" s="8">
        <v>110.5</v>
      </c>
      <c r="B223" s="8">
        <v>221</v>
      </c>
      <c r="D223">
        <v>3328.6117065128001</v>
      </c>
      <c r="E223">
        <v>569.23495465787005</v>
      </c>
      <c r="F223">
        <v>155.97301717088999</v>
      </c>
      <c r="G223">
        <v>120.77105478332</v>
      </c>
      <c r="I223" s="9">
        <f t="shared" si="22"/>
        <v>448.46389987455007</v>
      </c>
      <c r="J223" s="9">
        <f t="shared" si="23"/>
        <v>3172.6386893419103</v>
      </c>
      <c r="K223" s="9">
        <f t="shared" si="24"/>
        <v>448.46389987455007</v>
      </c>
      <c r="L223" s="10">
        <f t="shared" si="21"/>
        <v>0.14135359988551782</v>
      </c>
      <c r="M223" s="10">
        <f t="shared" si="20"/>
        <v>0.16441809769698926</v>
      </c>
      <c r="P223" s="8">
        <f t="shared" si="25"/>
        <v>-1.3087199843109587</v>
      </c>
    </row>
    <row r="224" spans="1:16" x14ac:dyDescent="0.2">
      <c r="A224" s="8">
        <v>111</v>
      </c>
      <c r="B224" s="8">
        <v>222</v>
      </c>
      <c r="D224">
        <v>3317.3800494641</v>
      </c>
      <c r="E224">
        <v>562.10964550700999</v>
      </c>
      <c r="F224">
        <v>156.19869174162</v>
      </c>
      <c r="G224">
        <v>121.03270645953</v>
      </c>
      <c r="I224" s="9">
        <f t="shared" si="22"/>
        <v>441.07693904747998</v>
      </c>
      <c r="J224" s="9">
        <f t="shared" si="23"/>
        <v>3161.1813577224802</v>
      </c>
      <c r="K224" s="9">
        <f t="shared" si="24"/>
        <v>441.07693904747998</v>
      </c>
      <c r="L224" s="10">
        <f t="shared" si="21"/>
        <v>0.13952914721895626</v>
      </c>
      <c r="M224" s="10">
        <f t="shared" si="20"/>
        <v>0.16269800927391853</v>
      </c>
      <c r="P224" s="8">
        <f t="shared" si="25"/>
        <v>-2.3411959136084093</v>
      </c>
    </row>
    <row r="225" spans="1:16" x14ac:dyDescent="0.2">
      <c r="A225" s="8">
        <v>111.5</v>
      </c>
      <c r="B225" s="8">
        <v>223</v>
      </c>
      <c r="D225">
        <v>3476.9465020575999</v>
      </c>
      <c r="E225">
        <v>582.87983539095001</v>
      </c>
      <c r="F225">
        <v>156.45625511038</v>
      </c>
      <c r="G225">
        <v>120.99345870809999</v>
      </c>
      <c r="I225" s="9">
        <f t="shared" si="22"/>
        <v>461.88637668285003</v>
      </c>
      <c r="J225" s="9">
        <f t="shared" si="23"/>
        <v>3320.4902469472199</v>
      </c>
      <c r="K225" s="9">
        <f t="shared" si="24"/>
        <v>461.88637668285003</v>
      </c>
      <c r="L225" s="10">
        <f t="shared" si="21"/>
        <v>0.13910186217456819</v>
      </c>
      <c r="M225" s="10">
        <f t="shared" si="20"/>
        <v>0.16237508847302126</v>
      </c>
      <c r="P225" s="8">
        <f t="shared" si="25"/>
        <v>-2.5350277826705128</v>
      </c>
    </row>
    <row r="226" spans="1:16" x14ac:dyDescent="0.2">
      <c r="A226" s="8">
        <v>112</v>
      </c>
      <c r="B226" s="8">
        <v>224</v>
      </c>
      <c r="D226">
        <v>3499.3382716049</v>
      </c>
      <c r="E226">
        <v>594.04773662550997</v>
      </c>
      <c r="F226">
        <v>156.07686017988999</v>
      </c>
      <c r="G226">
        <v>120.6688470973</v>
      </c>
      <c r="I226" s="9">
        <f t="shared" si="22"/>
        <v>473.37888952820998</v>
      </c>
      <c r="J226" s="9">
        <f t="shared" si="23"/>
        <v>3343.26141142501</v>
      </c>
      <c r="K226" s="9">
        <f t="shared" si="24"/>
        <v>473.37888952820998</v>
      </c>
      <c r="L226" s="10">
        <f t="shared" si="21"/>
        <v>0.14159194608908551</v>
      </c>
      <c r="M226" s="10">
        <f t="shared" si="20"/>
        <v>0.16496953663102942</v>
      </c>
      <c r="P226" s="8">
        <f t="shared" si="25"/>
        <v>-0.97772105528060749</v>
      </c>
    </row>
    <row r="227" spans="1:16" x14ac:dyDescent="0.2">
      <c r="A227" s="8">
        <v>112.5</v>
      </c>
      <c r="B227" s="8">
        <v>225</v>
      </c>
      <c r="D227">
        <v>3311.5985282093002</v>
      </c>
      <c r="E227">
        <v>579.36876533115003</v>
      </c>
      <c r="F227">
        <v>156.07031888797999</v>
      </c>
      <c r="G227">
        <v>121.10874897792</v>
      </c>
      <c r="I227" s="9">
        <f t="shared" si="22"/>
        <v>458.26001635323001</v>
      </c>
      <c r="J227" s="9">
        <f t="shared" si="23"/>
        <v>3155.52820932132</v>
      </c>
      <c r="K227" s="9">
        <f t="shared" si="24"/>
        <v>458.26001635323001</v>
      </c>
      <c r="L227" s="10">
        <f t="shared" si="21"/>
        <v>0.14522450314326013</v>
      </c>
      <c r="M227" s="10">
        <f t="shared" si="20"/>
        <v>0.16870645792869485</v>
      </c>
      <c r="P227" s="8">
        <f t="shared" si="25"/>
        <v>1.2653504274229888</v>
      </c>
    </row>
    <row r="228" spans="1:16" x14ac:dyDescent="0.2">
      <c r="A228" s="8">
        <v>113</v>
      </c>
      <c r="B228" s="8">
        <v>226</v>
      </c>
      <c r="D228">
        <v>3330.348323794</v>
      </c>
      <c r="E228">
        <v>574.42518397384003</v>
      </c>
      <c r="F228">
        <v>155.98037612428999</v>
      </c>
      <c r="G228">
        <v>120.16026165168</v>
      </c>
      <c r="I228" s="9">
        <f t="shared" si="22"/>
        <v>454.26492232216003</v>
      </c>
      <c r="J228" s="9">
        <f t="shared" si="23"/>
        <v>3174.3679476697098</v>
      </c>
      <c r="K228" s="9">
        <f t="shared" si="24"/>
        <v>454.26492232216003</v>
      </c>
      <c r="L228" s="10">
        <f t="shared" si="21"/>
        <v>0.14310405403873674</v>
      </c>
      <c r="M228" s="10">
        <f t="shared" si="20"/>
        <v>0.1666903730676623</v>
      </c>
      <c r="P228" s="8">
        <f t="shared" si="25"/>
        <v>5.5203866049662771E-2</v>
      </c>
    </row>
    <row r="229" spans="1:16" x14ac:dyDescent="0.2">
      <c r="A229" s="8">
        <v>113.5</v>
      </c>
      <c r="B229" s="8">
        <v>227</v>
      </c>
      <c r="D229">
        <v>3330.6037581699002</v>
      </c>
      <c r="E229">
        <v>576.45098039215998</v>
      </c>
      <c r="F229">
        <v>156.21422730988999</v>
      </c>
      <c r="G229">
        <v>120.75061324612</v>
      </c>
      <c r="I229" s="9">
        <f t="shared" si="22"/>
        <v>455.70036714603998</v>
      </c>
      <c r="J229" s="9">
        <f t="shared" si="23"/>
        <v>3174.3895308600104</v>
      </c>
      <c r="K229" s="9">
        <f t="shared" si="24"/>
        <v>455.70036714603998</v>
      </c>
      <c r="L229" s="10">
        <f t="shared" si="21"/>
        <v>0.14355527660229556</v>
      </c>
      <c r="M229" s="10">
        <f t="shared" si="20"/>
        <v>0.16724595987471191</v>
      </c>
      <c r="P229" s="8">
        <f t="shared" si="25"/>
        <v>0.38869253862028896</v>
      </c>
    </row>
    <row r="230" spans="1:16" x14ac:dyDescent="0.2">
      <c r="A230" s="8">
        <v>114</v>
      </c>
      <c r="B230" s="8">
        <v>228</v>
      </c>
      <c r="D230">
        <v>3436.0506535948002</v>
      </c>
      <c r="E230">
        <v>574.18137254902001</v>
      </c>
      <c r="F230">
        <v>155.96238757155001</v>
      </c>
      <c r="G230">
        <v>120.3515944399</v>
      </c>
      <c r="I230" s="9">
        <f t="shared" si="22"/>
        <v>453.82977810912001</v>
      </c>
      <c r="J230" s="9">
        <f t="shared" si="23"/>
        <v>3280.0882660232501</v>
      </c>
      <c r="K230" s="9">
        <f t="shared" si="24"/>
        <v>453.82977810912001</v>
      </c>
      <c r="L230" s="10">
        <f t="shared" si="21"/>
        <v>0.13835901393572533</v>
      </c>
      <c r="M230" s="10">
        <f t="shared" si="20"/>
        <v>0.16215406145163253</v>
      </c>
      <c r="P230" s="8">
        <f t="shared" si="25"/>
        <v>-2.6676983339325164</v>
      </c>
    </row>
    <row r="231" spans="1:16" x14ac:dyDescent="0.2">
      <c r="A231" s="8">
        <v>114.5</v>
      </c>
      <c r="B231" s="8">
        <v>229</v>
      </c>
      <c r="D231">
        <v>3468.2888888889001</v>
      </c>
      <c r="E231">
        <v>582.62551440329003</v>
      </c>
      <c r="F231">
        <v>156.18070318887999</v>
      </c>
      <c r="G231">
        <v>120.87489779230999</v>
      </c>
      <c r="I231" s="9">
        <f t="shared" si="22"/>
        <v>461.75061661098005</v>
      </c>
      <c r="J231" s="9">
        <f t="shared" si="23"/>
        <v>3312.1081857000199</v>
      </c>
      <c r="K231" s="9">
        <f t="shared" si="24"/>
        <v>461.75061661098005</v>
      </c>
      <c r="L231" s="10">
        <f t="shared" si="21"/>
        <v>0.1394129028165752</v>
      </c>
      <c r="M231" s="10">
        <f t="shared" si="20"/>
        <v>0.1633123145759732</v>
      </c>
      <c r="P231" s="8">
        <f t="shared" si="25"/>
        <v>-1.9724617083755391</v>
      </c>
    </row>
    <row r="232" spans="1:16" x14ac:dyDescent="0.2">
      <c r="A232" s="8">
        <v>115</v>
      </c>
      <c r="B232" s="8">
        <v>230</v>
      </c>
      <c r="D232">
        <v>3271.1853061225002</v>
      </c>
      <c r="E232">
        <v>560.33714285713995</v>
      </c>
      <c r="F232">
        <v>155.78168438266999</v>
      </c>
      <c r="G232">
        <v>120.45707277187</v>
      </c>
      <c r="I232" s="9">
        <f t="shared" si="22"/>
        <v>439.88007008526995</v>
      </c>
      <c r="J232" s="9">
        <f t="shared" si="23"/>
        <v>3115.4036217398302</v>
      </c>
      <c r="K232" s="9">
        <f t="shared" si="24"/>
        <v>439.88007008526995</v>
      </c>
      <c r="L232" s="10">
        <f t="shared" si="21"/>
        <v>0.14119521047472311</v>
      </c>
      <c r="M232" s="10">
        <f t="shared" si="20"/>
        <v>0.16519898647761194</v>
      </c>
      <c r="P232" s="8">
        <f t="shared" si="25"/>
        <v>-0.83999473819132442</v>
      </c>
    </row>
    <row r="233" spans="1:16" x14ac:dyDescent="0.2">
      <c r="A233" s="8">
        <v>115.5</v>
      </c>
      <c r="B233" s="8">
        <v>231</v>
      </c>
      <c r="D233">
        <v>3290.3436734694001</v>
      </c>
      <c r="E233">
        <v>577.00244897958999</v>
      </c>
      <c r="F233">
        <v>156.21259198691999</v>
      </c>
      <c r="G233">
        <v>120.5723630417</v>
      </c>
      <c r="I233" s="9">
        <f t="shared" si="22"/>
        <v>456.43008593789</v>
      </c>
      <c r="J233" s="9">
        <f t="shared" si="23"/>
        <v>3134.1310814824801</v>
      </c>
      <c r="K233" s="9">
        <f t="shared" si="24"/>
        <v>456.43008593789</v>
      </c>
      <c r="L233" s="10">
        <f t="shared" si="21"/>
        <v>0.14563209836201021</v>
      </c>
      <c r="M233" s="10">
        <f t="shared" si="20"/>
        <v>0.16974023860838985</v>
      </c>
      <c r="P233" s="8">
        <f t="shared" si="25"/>
        <v>1.8858729852414977</v>
      </c>
    </row>
    <row r="234" spans="1:16" x14ac:dyDescent="0.2">
      <c r="A234" s="8">
        <v>116</v>
      </c>
      <c r="B234" s="8">
        <v>232</v>
      </c>
      <c r="D234">
        <v>3312.6277551019998</v>
      </c>
      <c r="E234">
        <v>585.29632653061003</v>
      </c>
      <c r="F234">
        <v>156.14390842191</v>
      </c>
      <c r="G234">
        <v>120.40637775961</v>
      </c>
      <c r="I234" s="9">
        <f t="shared" si="22"/>
        <v>464.88994877100004</v>
      </c>
      <c r="J234" s="9">
        <f t="shared" si="23"/>
        <v>3156.4838466800898</v>
      </c>
      <c r="K234" s="9">
        <f t="shared" si="24"/>
        <v>464.88994877100004</v>
      </c>
      <c r="L234" s="10">
        <f t="shared" si="21"/>
        <v>0.1472809529058606</v>
      </c>
      <c r="M234" s="10">
        <f t="shared" si="20"/>
        <v>0.17149345739573107</v>
      </c>
      <c r="P234" s="8">
        <f t="shared" si="25"/>
        <v>2.938235278041748</v>
      </c>
    </row>
    <row r="235" spans="1:16" x14ac:dyDescent="0.2">
      <c r="A235" s="8">
        <v>116.5</v>
      </c>
      <c r="B235" s="8">
        <v>233</v>
      </c>
      <c r="D235">
        <v>3347.6160198183002</v>
      </c>
      <c r="E235">
        <v>602.11230388109004</v>
      </c>
      <c r="F235">
        <v>155.72526573997999</v>
      </c>
      <c r="G235">
        <v>120.47179067866</v>
      </c>
      <c r="I235" s="9">
        <f t="shared" si="22"/>
        <v>481.64051320243004</v>
      </c>
      <c r="J235" s="9">
        <f t="shared" si="23"/>
        <v>3191.8907540783202</v>
      </c>
      <c r="K235" s="9">
        <f t="shared" si="24"/>
        <v>481.64051320243004</v>
      </c>
      <c r="L235" s="10">
        <f t="shared" si="21"/>
        <v>0.1508950494583913</v>
      </c>
      <c r="M235" s="10">
        <f t="shared" si="20"/>
        <v>0.17521191819175258</v>
      </c>
      <c r="P235" s="8">
        <f t="shared" si="25"/>
        <v>5.170225921333568</v>
      </c>
    </row>
    <row r="236" spans="1:16" x14ac:dyDescent="0.2">
      <c r="A236" s="8">
        <v>117</v>
      </c>
      <c r="B236" s="8">
        <v>234</v>
      </c>
      <c r="D236">
        <v>3517.2536945812999</v>
      </c>
      <c r="E236">
        <v>610.18062397373001</v>
      </c>
      <c r="F236">
        <v>156.22158626328999</v>
      </c>
      <c r="G236">
        <v>120.43417825020001</v>
      </c>
      <c r="I236" s="9">
        <f t="shared" si="22"/>
        <v>489.74644572352997</v>
      </c>
      <c r="J236" s="9">
        <f t="shared" si="23"/>
        <v>3361.0321083180097</v>
      </c>
      <c r="K236" s="9">
        <f t="shared" si="24"/>
        <v>489.74644572352997</v>
      </c>
      <c r="L236" s="10">
        <f t="shared" si="21"/>
        <v>0.14571311131229212</v>
      </c>
      <c r="M236" s="10">
        <f t="shared" si="20"/>
        <v>0.17013434428914423</v>
      </c>
      <c r="P236" s="8">
        <f t="shared" si="25"/>
        <v>2.1224332826777577</v>
      </c>
    </row>
    <row r="237" spans="1:16" x14ac:dyDescent="0.2">
      <c r="A237" s="8">
        <v>117.5</v>
      </c>
      <c r="B237" s="8">
        <v>235</v>
      </c>
      <c r="D237">
        <v>3479.4474548439998</v>
      </c>
      <c r="E237">
        <v>598.07224958948996</v>
      </c>
      <c r="F237">
        <v>156.15372035977001</v>
      </c>
      <c r="G237">
        <v>120.827473426</v>
      </c>
      <c r="I237" s="9">
        <f t="shared" si="22"/>
        <v>477.24477616348997</v>
      </c>
      <c r="J237" s="9">
        <f t="shared" si="23"/>
        <v>3323.2937344842298</v>
      </c>
      <c r="K237" s="9">
        <f t="shared" si="24"/>
        <v>477.24477616348997</v>
      </c>
      <c r="L237" s="10">
        <f t="shared" si="21"/>
        <v>0.14360595670835508</v>
      </c>
      <c r="M237" s="10">
        <f t="shared" si="20"/>
        <v>0.168131553928698</v>
      </c>
      <c r="P237" s="8">
        <f t="shared" si="25"/>
        <v>0.92026669004516704</v>
      </c>
    </row>
    <row r="238" spans="1:16" x14ac:dyDescent="0.2">
      <c r="A238" s="8">
        <v>118</v>
      </c>
      <c r="B238" s="8">
        <v>236</v>
      </c>
      <c r="D238">
        <v>3405.1633825944</v>
      </c>
      <c r="E238">
        <v>578.79064039409002</v>
      </c>
      <c r="F238">
        <v>155.78004905968999</v>
      </c>
      <c r="G238">
        <v>120.64677023711999</v>
      </c>
      <c r="I238" s="9">
        <f t="shared" si="22"/>
        <v>458.14387015697002</v>
      </c>
      <c r="J238" s="9">
        <f t="shared" si="23"/>
        <v>3249.3833335347099</v>
      </c>
      <c r="K238" s="9">
        <f t="shared" si="24"/>
        <v>458.14387015697002</v>
      </c>
      <c r="L238" s="10">
        <f t="shared" si="21"/>
        <v>0.14099409738111657</v>
      </c>
      <c r="M238" s="10">
        <f t="shared" si="20"/>
        <v>0.16562405884495032</v>
      </c>
      <c r="P238" s="8">
        <f t="shared" si="25"/>
        <v>-0.58484681579389763</v>
      </c>
    </row>
    <row r="239" spans="1:16" x14ac:dyDescent="0.2">
      <c r="A239" s="8">
        <v>118.5</v>
      </c>
      <c r="B239" s="8">
        <v>237</v>
      </c>
      <c r="D239">
        <v>3455.6083743842</v>
      </c>
      <c r="E239">
        <v>584.72742200328003</v>
      </c>
      <c r="F239">
        <v>155.41373671299999</v>
      </c>
      <c r="G239">
        <v>120.32052330335</v>
      </c>
      <c r="I239" s="9">
        <f t="shared" si="22"/>
        <v>464.40689869993003</v>
      </c>
      <c r="J239" s="9">
        <f t="shared" si="23"/>
        <v>3300.1946376711999</v>
      </c>
      <c r="K239" s="9">
        <f t="shared" si="24"/>
        <v>464.40689869993003</v>
      </c>
      <c r="L239" s="10">
        <f t="shared" si="21"/>
        <v>0.14072106335753617</v>
      </c>
      <c r="M239" s="10">
        <f t="shared" si="20"/>
        <v>0.16545538906486074</v>
      </c>
      <c r="P239" s="8">
        <f t="shared" si="25"/>
        <v>-0.68609015050078537</v>
      </c>
    </row>
    <row r="240" spans="1:16" x14ac:dyDescent="0.2">
      <c r="A240" s="8">
        <v>119</v>
      </c>
      <c r="B240" s="8">
        <v>238</v>
      </c>
      <c r="D240">
        <v>3503.4473902237</v>
      </c>
      <c r="E240">
        <v>588.60397680199003</v>
      </c>
      <c r="F240">
        <v>155.54374488962</v>
      </c>
      <c r="G240">
        <v>120.68029435814</v>
      </c>
      <c r="I240" s="9">
        <f t="shared" si="22"/>
        <v>467.92368244385</v>
      </c>
      <c r="J240" s="9">
        <f t="shared" si="23"/>
        <v>3347.90364533408</v>
      </c>
      <c r="K240" s="9">
        <f t="shared" si="24"/>
        <v>467.92368244385</v>
      </c>
      <c r="L240" s="10">
        <f t="shared" si="21"/>
        <v>0.13976617370574204</v>
      </c>
      <c r="M240" s="10">
        <f t="shared" si="20"/>
        <v>0.16460486365655744</v>
      </c>
      <c r="P240" s="8">
        <f t="shared" si="25"/>
        <v>-1.1966144930583393</v>
      </c>
    </row>
    <row r="241" spans="1:16" x14ac:dyDescent="0.2">
      <c r="A241" s="8">
        <v>119.5</v>
      </c>
      <c r="B241" s="8">
        <v>239</v>
      </c>
      <c r="D241">
        <v>3528.0207125103998</v>
      </c>
      <c r="E241">
        <v>588.7729908865</v>
      </c>
      <c r="F241">
        <v>155.62959934586999</v>
      </c>
      <c r="G241">
        <v>120.33605887163</v>
      </c>
      <c r="I241" s="9">
        <f t="shared" si="22"/>
        <v>468.43693201486997</v>
      </c>
      <c r="J241" s="9">
        <f t="shared" si="23"/>
        <v>3372.39111316453</v>
      </c>
      <c r="K241" s="9">
        <f t="shared" si="24"/>
        <v>468.43693201486997</v>
      </c>
      <c r="L241" s="10">
        <f t="shared" si="21"/>
        <v>0.13890350089770748</v>
      </c>
      <c r="M241" s="10">
        <f t="shared" si="20"/>
        <v>0.16384655509201368</v>
      </c>
      <c r="P241" s="8">
        <f t="shared" si="25"/>
        <v>-1.6517860582932389</v>
      </c>
    </row>
    <row r="242" spans="1:16" x14ac:dyDescent="0.2">
      <c r="A242" s="8">
        <v>120</v>
      </c>
      <c r="B242" s="8">
        <v>240</v>
      </c>
      <c r="D242">
        <v>3523.4697597349</v>
      </c>
      <c r="E242">
        <v>587.61971830985999</v>
      </c>
      <c r="F242">
        <v>155.73916598528001</v>
      </c>
      <c r="G242">
        <v>120.10874897792</v>
      </c>
      <c r="I242" s="9">
        <f>E242-G242</f>
        <v>467.51096933193998</v>
      </c>
      <c r="J242" s="9">
        <f>D242-F242</f>
        <v>3367.7305937496199</v>
      </c>
      <c r="K242" s="9">
        <f t="shared" si="24"/>
        <v>467.51096933193998</v>
      </c>
      <c r="L242" s="10">
        <f t="shared" si="21"/>
        <v>0.13882077450008104</v>
      </c>
      <c r="M242" s="10">
        <f>L242+ABS($N$2)*A242</f>
        <v>0.16386819293787808</v>
      </c>
      <c r="O242" s="11"/>
      <c r="P242" s="8">
        <f>(M242-$O$2)/$O$2*100</f>
        <v>-1.6387980312144008</v>
      </c>
    </row>
    <row r="243" spans="1:16" x14ac:dyDescent="0.2">
      <c r="A243" s="8">
        <v>120.5</v>
      </c>
      <c r="B243" s="8">
        <v>241</v>
      </c>
      <c r="D243">
        <v>3361.8279835390999</v>
      </c>
      <c r="E243">
        <v>562.09053497942</v>
      </c>
      <c r="F243">
        <v>155.58544562551</v>
      </c>
      <c r="G243">
        <v>120.62142273099001</v>
      </c>
      <c r="I243" s="9">
        <f t="shared" ref="I243:I274" si="26">E243-G243</f>
        <v>441.46911224843001</v>
      </c>
      <c r="J243" s="9">
        <f t="shared" ref="J243:J274" si="27">D243-F243</f>
        <v>3206.2425379135898</v>
      </c>
      <c r="K243" s="9">
        <f t="shared" si="24"/>
        <v>441.46911224843001</v>
      </c>
      <c r="L243" s="10">
        <f t="shared" si="21"/>
        <v>0.13769049191634419</v>
      </c>
      <c r="M243" s="10">
        <f t="shared" ref="M243:M274" si="28">L243+ABS($N$2)*A243</f>
        <v>0.16284227459763206</v>
      </c>
      <c r="P243" s="8">
        <f t="shared" ref="P243:P274" si="29">(M243-$O$2)/$O$2*100</f>
        <v>-2.2546012524452239</v>
      </c>
    </row>
    <row r="244" spans="1:16" x14ac:dyDescent="0.2">
      <c r="A244" s="8">
        <v>121</v>
      </c>
      <c r="B244" s="8">
        <v>242</v>
      </c>
      <c r="D244">
        <v>3382.2916666667002</v>
      </c>
      <c r="E244">
        <v>558.20016339869005</v>
      </c>
      <c r="F244">
        <v>156.11038430089999</v>
      </c>
      <c r="G244">
        <v>120.48732624693</v>
      </c>
      <c r="I244" s="9">
        <f t="shared" si="26"/>
        <v>437.71283715176003</v>
      </c>
      <c r="J244" s="9">
        <f t="shared" si="27"/>
        <v>3226.1812823658001</v>
      </c>
      <c r="K244" s="9">
        <f t="shared" si="24"/>
        <v>437.71283715176003</v>
      </c>
      <c r="L244" s="10">
        <f t="shared" si="21"/>
        <v>0.13567521439179003</v>
      </c>
      <c r="M244" s="10">
        <f t="shared" si="28"/>
        <v>0.16093136131656871</v>
      </c>
      <c r="N244" s="1"/>
      <c r="P244" s="8">
        <f t="shared" si="29"/>
        <v>-3.4016190099105925</v>
      </c>
    </row>
    <row r="245" spans="1:16" x14ac:dyDescent="0.2">
      <c r="A245" s="8">
        <v>121.5</v>
      </c>
      <c r="B245" s="8">
        <v>243</v>
      </c>
      <c r="D245">
        <v>3440.7395234182</v>
      </c>
      <c r="E245">
        <v>569.61544782250996</v>
      </c>
      <c r="F245">
        <v>155.52739165985</v>
      </c>
      <c r="G245">
        <v>120.34505314800001</v>
      </c>
      <c r="I245" s="9">
        <f t="shared" si="26"/>
        <v>449.27039467450993</v>
      </c>
      <c r="J245" s="9">
        <f t="shared" si="27"/>
        <v>3285.2121317583501</v>
      </c>
      <c r="K245" s="9">
        <f t="shared" si="24"/>
        <v>449.27039467450993</v>
      </c>
      <c r="L245" s="10">
        <f t="shared" si="21"/>
        <v>0.13675536819415254</v>
      </c>
      <c r="M245" s="10">
        <f t="shared" si="28"/>
        <v>0.16211587936242206</v>
      </c>
      <c r="P245" s="8">
        <f t="shared" si="29"/>
        <v>-2.6906169743415491</v>
      </c>
    </row>
    <row r="246" spans="1:16" x14ac:dyDescent="0.2">
      <c r="A246" s="8">
        <v>122</v>
      </c>
      <c r="B246" s="8">
        <v>244</v>
      </c>
      <c r="D246">
        <v>3299.7959349593998</v>
      </c>
      <c r="E246">
        <v>548.83821138210999</v>
      </c>
      <c r="F246">
        <v>155.78495502862</v>
      </c>
      <c r="G246">
        <v>120.1929681112</v>
      </c>
      <c r="I246" s="9">
        <f t="shared" si="26"/>
        <v>428.64524327090999</v>
      </c>
      <c r="J246" s="9">
        <f t="shared" si="27"/>
        <v>3144.0109799307797</v>
      </c>
      <c r="K246" s="9">
        <f t="shared" si="24"/>
        <v>428.64524327090999</v>
      </c>
      <c r="L246" s="10">
        <f t="shared" si="21"/>
        <v>0.1363370694336275</v>
      </c>
      <c r="M246" s="10">
        <f t="shared" si="28"/>
        <v>0.16180194484538782</v>
      </c>
      <c r="P246" s="8">
        <f t="shared" si="29"/>
        <v>-2.8790548638512226</v>
      </c>
    </row>
    <row r="247" spans="1:16" x14ac:dyDescent="0.2">
      <c r="A247" s="8">
        <v>122.5</v>
      </c>
      <c r="B247" s="8">
        <v>245</v>
      </c>
      <c r="D247">
        <v>3230.2845528455</v>
      </c>
      <c r="E247">
        <v>541.90081300812994</v>
      </c>
      <c r="F247">
        <v>155.64022894522</v>
      </c>
      <c r="G247">
        <v>120.13246116108</v>
      </c>
      <c r="I247" s="9">
        <f t="shared" si="26"/>
        <v>421.76835184704993</v>
      </c>
      <c r="J247" s="9">
        <f t="shared" si="27"/>
        <v>3074.6443239002801</v>
      </c>
      <c r="K247" s="9">
        <f t="shared" si="24"/>
        <v>421.76835184704993</v>
      </c>
      <c r="L247" s="10">
        <f t="shared" si="21"/>
        <v>0.13717630640022255</v>
      </c>
      <c r="M247" s="10">
        <f t="shared" si="28"/>
        <v>0.1627455460554737</v>
      </c>
      <c r="P247" s="8">
        <f t="shared" si="29"/>
        <v>-2.3126621579864959</v>
      </c>
    </row>
    <row r="248" spans="1:16" x14ac:dyDescent="0.2">
      <c r="A248" s="8">
        <v>123</v>
      </c>
      <c r="B248" s="8">
        <v>246</v>
      </c>
      <c r="D248">
        <v>3219.0609756098002</v>
      </c>
      <c r="E248">
        <v>543.98130081300997</v>
      </c>
      <c r="F248">
        <v>154.98855273916999</v>
      </c>
      <c r="G248">
        <v>120.07440719541999</v>
      </c>
      <c r="I248" s="9">
        <f t="shared" si="26"/>
        <v>423.90689361758996</v>
      </c>
      <c r="J248" s="9">
        <f t="shared" si="27"/>
        <v>3064.0724228706304</v>
      </c>
      <c r="K248" s="9">
        <f t="shared" si="24"/>
        <v>423.90689361758996</v>
      </c>
      <c r="L248" s="10">
        <f t="shared" si="21"/>
        <v>0.13834754376348757</v>
      </c>
      <c r="M248" s="10">
        <f t="shared" si="28"/>
        <v>0.16402114766222953</v>
      </c>
      <c r="P248" s="8">
        <f t="shared" si="29"/>
        <v>-1.5469875934211654</v>
      </c>
    </row>
    <row r="249" spans="1:16" x14ac:dyDescent="0.2">
      <c r="A249" s="8">
        <v>123.5</v>
      </c>
      <c r="B249" s="8">
        <v>247</v>
      </c>
      <c r="D249">
        <v>3468.7246496289999</v>
      </c>
      <c r="E249">
        <v>575.90436933222998</v>
      </c>
      <c r="F249">
        <v>155.68847097302</v>
      </c>
      <c r="G249">
        <v>119.93540474244</v>
      </c>
      <c r="I249" s="9">
        <f t="shared" si="26"/>
        <v>455.96896458978995</v>
      </c>
      <c r="J249" s="9">
        <f t="shared" si="27"/>
        <v>3313.0361786559797</v>
      </c>
      <c r="K249" s="9">
        <f t="shared" si="24"/>
        <v>455.96896458978995</v>
      </c>
      <c r="L249" s="10">
        <f t="shared" si="21"/>
        <v>0.13762873086848262</v>
      </c>
      <c r="M249" s="10">
        <f t="shared" si="28"/>
        <v>0.16340669901071542</v>
      </c>
      <c r="P249" s="8">
        <f t="shared" si="29"/>
        <v>-1.9158078435714747</v>
      </c>
    </row>
    <row r="250" spans="1:16" x14ac:dyDescent="0.2">
      <c r="A250" s="8">
        <v>124</v>
      </c>
      <c r="B250" s="8">
        <v>248</v>
      </c>
      <c r="D250">
        <v>3494.5419407895001</v>
      </c>
      <c r="E250">
        <v>592.08963815790003</v>
      </c>
      <c r="F250">
        <v>155.56827473426</v>
      </c>
      <c r="G250">
        <v>120.30744071954</v>
      </c>
      <c r="I250" s="9">
        <f t="shared" si="26"/>
        <v>471.78219743836001</v>
      </c>
      <c r="J250" s="9">
        <f t="shared" si="27"/>
        <v>3338.9736660552403</v>
      </c>
      <c r="K250" s="9">
        <f t="shared" si="24"/>
        <v>471.78219743836001</v>
      </c>
      <c r="L250" s="10">
        <f t="shared" si="21"/>
        <v>0.14129557301832124</v>
      </c>
      <c r="M250" s="10">
        <f t="shared" si="28"/>
        <v>0.16717790540404484</v>
      </c>
      <c r="P250" s="8">
        <f t="shared" si="29"/>
        <v>0.34784312535617634</v>
      </c>
    </row>
    <row r="251" spans="1:16" x14ac:dyDescent="0.2">
      <c r="A251" s="8">
        <v>124.5</v>
      </c>
      <c r="B251" s="8">
        <v>249</v>
      </c>
      <c r="D251">
        <v>3529.4169407895001</v>
      </c>
      <c r="E251">
        <v>590.08059210526005</v>
      </c>
      <c r="F251">
        <v>155.13164349959001</v>
      </c>
      <c r="G251">
        <v>120.17170891251</v>
      </c>
      <c r="I251" s="9">
        <f t="shared" si="26"/>
        <v>469.90888319275007</v>
      </c>
      <c r="J251" s="9">
        <f t="shared" si="27"/>
        <v>3374.28529728991</v>
      </c>
      <c r="K251" s="9">
        <f t="shared" si="24"/>
        <v>469.90888319275007</v>
      </c>
      <c r="L251" s="10">
        <f t="shared" si="21"/>
        <v>0.13926175227985671</v>
      </c>
      <c r="M251" s="10">
        <f t="shared" si="28"/>
        <v>0.16524844890907114</v>
      </c>
      <c r="P251" s="8">
        <f t="shared" si="29"/>
        <v>-0.81030511921523585</v>
      </c>
    </row>
    <row r="252" spans="1:16" x14ac:dyDescent="0.2">
      <c r="A252" s="8">
        <v>125</v>
      </c>
      <c r="B252" s="8">
        <v>250</v>
      </c>
      <c r="D252">
        <v>3381.3207236841999</v>
      </c>
      <c r="E252">
        <v>561.44490131579005</v>
      </c>
      <c r="F252">
        <v>155.20359771055001</v>
      </c>
      <c r="G252">
        <v>119.60670482419999</v>
      </c>
      <c r="I252" s="9">
        <f t="shared" si="26"/>
        <v>441.83819649159005</v>
      </c>
      <c r="J252" s="9">
        <f t="shared" si="27"/>
        <v>3226.1171259736498</v>
      </c>
      <c r="K252" s="9">
        <f t="shared" si="24"/>
        <v>441.83819649159005</v>
      </c>
      <c r="L252" s="10">
        <f t="shared" si="21"/>
        <v>0.13695665074721744</v>
      </c>
      <c r="M252" s="10">
        <f t="shared" si="28"/>
        <v>0.16304771161992268</v>
      </c>
      <c r="P252" s="8">
        <f t="shared" si="29"/>
        <v>-2.1312885333682909</v>
      </c>
    </row>
    <row r="253" spans="1:16" x14ac:dyDescent="0.2">
      <c r="A253" s="8">
        <v>125.5</v>
      </c>
      <c r="B253" s="8">
        <v>251</v>
      </c>
      <c r="D253">
        <v>3395.1430921053002</v>
      </c>
      <c r="E253">
        <v>560.16940789473995</v>
      </c>
      <c r="F253">
        <v>155.21177432543001</v>
      </c>
      <c r="G253">
        <v>120.49141455437</v>
      </c>
      <c r="I253" s="9">
        <f t="shared" si="26"/>
        <v>439.67799334036994</v>
      </c>
      <c r="J253" s="9">
        <f t="shared" si="27"/>
        <v>3239.9313177798704</v>
      </c>
      <c r="K253" s="9">
        <f t="shared" si="24"/>
        <v>439.67799334036994</v>
      </c>
      <c r="L253" s="10">
        <f t="shared" si="21"/>
        <v>0.13570596108859947</v>
      </c>
      <c r="M253" s="10">
        <f t="shared" si="28"/>
        <v>0.16190138620479555</v>
      </c>
      <c r="P253" s="8">
        <f t="shared" si="29"/>
        <v>-2.8193656010272741</v>
      </c>
    </row>
    <row r="254" spans="1:16" x14ac:dyDescent="0.2">
      <c r="A254" s="8">
        <v>126</v>
      </c>
      <c r="B254" s="8">
        <v>252</v>
      </c>
      <c r="D254">
        <v>3439.7754934210998</v>
      </c>
      <c r="E254">
        <v>567.81578947367996</v>
      </c>
      <c r="F254">
        <v>155.06950122648999</v>
      </c>
      <c r="G254">
        <v>120.0278004906</v>
      </c>
      <c r="I254" s="9">
        <f t="shared" si="26"/>
        <v>447.78798898307997</v>
      </c>
      <c r="J254" s="9">
        <f t="shared" si="27"/>
        <v>3284.7059921946097</v>
      </c>
      <c r="K254" s="9">
        <f t="shared" si="24"/>
        <v>447.78798898307997</v>
      </c>
      <c r="L254" s="10">
        <f t="shared" si="21"/>
        <v>0.1363251353537123</v>
      </c>
      <c r="M254" s="10">
        <f t="shared" si="28"/>
        <v>0.16262492471339918</v>
      </c>
      <c r="P254" s="8">
        <f t="shared" si="29"/>
        <v>-2.3850646174072567</v>
      </c>
    </row>
    <row r="255" spans="1:16" x14ac:dyDescent="0.2">
      <c r="A255" s="8">
        <v>126.5</v>
      </c>
      <c r="B255" s="8">
        <v>253</v>
      </c>
      <c r="D255">
        <v>3477.8927392739001</v>
      </c>
      <c r="E255">
        <v>571.12293729373005</v>
      </c>
      <c r="F255">
        <v>155.02289452167</v>
      </c>
      <c r="G255">
        <v>120.2829108749</v>
      </c>
      <c r="I255" s="9">
        <f t="shared" si="26"/>
        <v>450.84002641883006</v>
      </c>
      <c r="J255" s="9">
        <f t="shared" si="27"/>
        <v>3322.8698447522302</v>
      </c>
      <c r="K255" s="9">
        <f t="shared" si="24"/>
        <v>450.84002641883006</v>
      </c>
      <c r="L255" s="10">
        <f t="shared" si="21"/>
        <v>0.13567790719544326</v>
      </c>
      <c r="M255" s="10">
        <f t="shared" si="28"/>
        <v>0.16208206079862097</v>
      </c>
      <c r="P255" s="8">
        <f t="shared" si="29"/>
        <v>-2.7109164267532404</v>
      </c>
    </row>
    <row r="256" spans="1:16" x14ac:dyDescent="0.2">
      <c r="A256" s="8">
        <v>127</v>
      </c>
      <c r="B256" s="8">
        <v>254</v>
      </c>
      <c r="D256">
        <v>3568.6254125413002</v>
      </c>
      <c r="E256">
        <v>582.50742574257004</v>
      </c>
      <c r="F256">
        <v>154.84709730172</v>
      </c>
      <c r="G256">
        <v>120.27800490596999</v>
      </c>
      <c r="I256" s="9">
        <f t="shared" si="26"/>
        <v>462.22942083660007</v>
      </c>
      <c r="J256" s="9">
        <f t="shared" si="27"/>
        <v>3413.77831523958</v>
      </c>
      <c r="K256" s="9">
        <f t="shared" si="24"/>
        <v>462.22942083660007</v>
      </c>
      <c r="L256" s="10">
        <f t="shared" si="21"/>
        <v>0.13540112396084533</v>
      </c>
      <c r="M256" s="10">
        <f t="shared" si="28"/>
        <v>0.16190964180751385</v>
      </c>
      <c r="P256" s="8">
        <f t="shared" si="29"/>
        <v>-2.8144102097961214</v>
      </c>
    </row>
    <row r="257" spans="1:16" x14ac:dyDescent="0.2">
      <c r="A257" s="8">
        <v>127.5</v>
      </c>
      <c r="B257" s="8">
        <v>255</v>
      </c>
      <c r="D257">
        <v>3551.0313531352999</v>
      </c>
      <c r="E257">
        <v>577.8399339934</v>
      </c>
      <c r="F257">
        <v>154.93949304988001</v>
      </c>
      <c r="G257">
        <v>120.25756336876999</v>
      </c>
      <c r="I257" s="9">
        <f t="shared" si="26"/>
        <v>457.58237062463002</v>
      </c>
      <c r="J257" s="9">
        <f t="shared" si="27"/>
        <v>3396.0918600854197</v>
      </c>
      <c r="K257" s="9">
        <f t="shared" si="24"/>
        <v>457.58237062463002</v>
      </c>
      <c r="L257" s="10">
        <f t="shared" si="21"/>
        <v>0.13473792508460614</v>
      </c>
      <c r="M257" s="10">
        <f t="shared" si="28"/>
        <v>0.16135080717476549</v>
      </c>
      <c r="P257" s="8">
        <f t="shared" si="29"/>
        <v>-3.1498483762483009</v>
      </c>
    </row>
    <row r="258" spans="1:16" x14ac:dyDescent="0.2">
      <c r="A258" s="8">
        <v>128</v>
      </c>
      <c r="B258" s="8">
        <v>256</v>
      </c>
      <c r="D258">
        <v>3532.9678483100001</v>
      </c>
      <c r="E258">
        <v>573.29843363560997</v>
      </c>
      <c r="F258">
        <v>155.23466884710001</v>
      </c>
      <c r="G258">
        <v>120.07358953393</v>
      </c>
      <c r="I258" s="9">
        <f t="shared" si="26"/>
        <v>453.22484410167999</v>
      </c>
      <c r="J258" s="9">
        <f t="shared" si="27"/>
        <v>3377.7331794628999</v>
      </c>
      <c r="K258" s="9">
        <f t="shared" si="24"/>
        <v>453.22484410167999</v>
      </c>
      <c r="L258" s="10">
        <f t="shared" ref="L258:L321" si="30">K258/J258</f>
        <v>0.13418017943434721</v>
      </c>
      <c r="M258" s="10">
        <f t="shared" si="28"/>
        <v>0.16089742576799737</v>
      </c>
      <c r="P258" s="8">
        <f t="shared" si="29"/>
        <v>-3.4219886819445824</v>
      </c>
    </row>
    <row r="259" spans="1:16" x14ac:dyDescent="0.2">
      <c r="A259" s="8">
        <v>128.5</v>
      </c>
      <c r="B259" s="8">
        <v>257</v>
      </c>
      <c r="D259">
        <v>3518.3391232424001</v>
      </c>
      <c r="E259">
        <v>565.26881720430003</v>
      </c>
      <c r="F259">
        <v>154.85200327064999</v>
      </c>
      <c r="G259">
        <v>120.42681929681</v>
      </c>
      <c r="I259" s="9">
        <f t="shared" si="26"/>
        <v>444.84199790749005</v>
      </c>
      <c r="J259" s="9">
        <f t="shared" si="27"/>
        <v>3363.48711997175</v>
      </c>
      <c r="K259" s="9">
        <f t="shared" ref="K259:K322" si="31">I259*1</f>
        <v>444.84199790749005</v>
      </c>
      <c r="L259" s="10">
        <f t="shared" si="30"/>
        <v>0.13225619187482612</v>
      </c>
      <c r="M259" s="10">
        <f t="shared" si="28"/>
        <v>0.15907780245196712</v>
      </c>
      <c r="P259" s="8">
        <f t="shared" si="29"/>
        <v>-4.5142100171918296</v>
      </c>
    </row>
    <row r="260" spans="1:16" x14ac:dyDescent="0.2">
      <c r="A260" s="8">
        <v>129</v>
      </c>
      <c r="B260" s="8">
        <v>258</v>
      </c>
      <c r="D260">
        <v>3446.4408602151002</v>
      </c>
      <c r="E260">
        <v>564.62282878411997</v>
      </c>
      <c r="F260">
        <v>155.39411283729001</v>
      </c>
      <c r="G260">
        <v>119.97628781684</v>
      </c>
      <c r="I260" s="9">
        <f t="shared" si="26"/>
        <v>444.64654096727998</v>
      </c>
      <c r="J260" s="9">
        <f t="shared" si="27"/>
        <v>3291.0467473778103</v>
      </c>
      <c r="K260" s="9">
        <f t="shared" si="31"/>
        <v>444.64654096727998</v>
      </c>
      <c r="L260" s="10">
        <f t="shared" si="30"/>
        <v>0.13510793832435186</v>
      </c>
      <c r="M260" s="10">
        <f t="shared" si="28"/>
        <v>0.16203391314498367</v>
      </c>
      <c r="P260" s="8">
        <f t="shared" si="29"/>
        <v>-2.7398168558043978</v>
      </c>
    </row>
    <row r="261" spans="1:16" x14ac:dyDescent="0.2">
      <c r="A261" s="8">
        <v>129.5</v>
      </c>
      <c r="B261" s="8">
        <v>259</v>
      </c>
      <c r="D261">
        <v>3406.8138957816</v>
      </c>
      <c r="E261">
        <v>561.02812241521997</v>
      </c>
      <c r="F261">
        <v>155.34832379394999</v>
      </c>
      <c r="G261">
        <v>119.94358135732</v>
      </c>
      <c r="I261" s="9">
        <f t="shared" si="26"/>
        <v>441.08454105789997</v>
      </c>
      <c r="J261" s="9">
        <f t="shared" si="27"/>
        <v>3251.46557198765</v>
      </c>
      <c r="K261" s="9">
        <f t="shared" si="31"/>
        <v>441.08454105789997</v>
      </c>
      <c r="L261" s="10">
        <f t="shared" si="30"/>
        <v>0.13565714638284207</v>
      </c>
      <c r="M261" s="10">
        <f t="shared" si="28"/>
        <v>0.16268748544696471</v>
      </c>
      <c r="P261" s="8">
        <f t="shared" si="29"/>
        <v>-2.347512797012878</v>
      </c>
    </row>
    <row r="262" spans="1:16" x14ac:dyDescent="0.2">
      <c r="A262" s="8">
        <v>130</v>
      </c>
      <c r="B262" s="8">
        <v>260</v>
      </c>
      <c r="D262">
        <v>3318.6514900662</v>
      </c>
      <c r="E262">
        <v>538.33112582781996</v>
      </c>
      <c r="F262">
        <v>154.19051512674</v>
      </c>
      <c r="G262">
        <v>119.93704006541</v>
      </c>
      <c r="I262" s="9">
        <f t="shared" si="26"/>
        <v>418.39408576240999</v>
      </c>
      <c r="J262" s="9">
        <f t="shared" si="27"/>
        <v>3164.4609749394599</v>
      </c>
      <c r="K262" s="9">
        <f t="shared" si="31"/>
        <v>418.39408576240999</v>
      </c>
      <c r="L262" s="10">
        <f t="shared" si="30"/>
        <v>0.13221654148236553</v>
      </c>
      <c r="M262" s="10">
        <f t="shared" si="28"/>
        <v>0.15935124478997897</v>
      </c>
      <c r="P262" s="8">
        <f t="shared" si="29"/>
        <v>-4.3500773899027925</v>
      </c>
    </row>
    <row r="263" spans="1:16" x14ac:dyDescent="0.2">
      <c r="A263" s="8">
        <v>130.5</v>
      </c>
      <c r="B263" s="8">
        <v>261</v>
      </c>
      <c r="D263">
        <v>3336.4486754967002</v>
      </c>
      <c r="E263">
        <v>539.12582781457002</v>
      </c>
      <c r="F263">
        <v>155.22403924775</v>
      </c>
      <c r="G263">
        <v>119.86590351594</v>
      </c>
      <c r="I263" s="9">
        <f t="shared" si="26"/>
        <v>419.25992429863004</v>
      </c>
      <c r="J263" s="9">
        <f t="shared" si="27"/>
        <v>3181.22463624895</v>
      </c>
      <c r="K263" s="9">
        <f t="shared" si="31"/>
        <v>419.25992429863004</v>
      </c>
      <c r="L263" s="10">
        <f t="shared" si="30"/>
        <v>0.13179198963861552</v>
      </c>
      <c r="M263" s="10">
        <f t="shared" si="28"/>
        <v>0.1590310571897198</v>
      </c>
      <c r="P263" s="8">
        <f t="shared" si="29"/>
        <v>-4.5422686666378258</v>
      </c>
    </row>
    <row r="264" spans="1:16" x14ac:dyDescent="0.2">
      <c r="A264" s="8">
        <v>131</v>
      </c>
      <c r="B264" s="8">
        <v>262</v>
      </c>
      <c r="D264">
        <v>3385.7485667485998</v>
      </c>
      <c r="E264">
        <v>549.66584766585004</v>
      </c>
      <c r="F264">
        <v>154.91741618969999</v>
      </c>
      <c r="G264">
        <v>120.43990188062</v>
      </c>
      <c r="I264" s="9">
        <f t="shared" si="26"/>
        <v>429.22594578523001</v>
      </c>
      <c r="J264" s="9">
        <f t="shared" si="27"/>
        <v>3230.8311505588999</v>
      </c>
      <c r="K264" s="9">
        <f t="shared" si="31"/>
        <v>429.22594578523001</v>
      </c>
      <c r="L264" s="10">
        <f t="shared" si="30"/>
        <v>0.13285310366992667</v>
      </c>
      <c r="M264" s="10">
        <f t="shared" si="28"/>
        <v>0.16019653546452178</v>
      </c>
      <c r="P264" s="8">
        <f t="shared" si="29"/>
        <v>-3.8426951745356175</v>
      </c>
    </row>
    <row r="265" spans="1:16" x14ac:dyDescent="0.2">
      <c r="A265" s="8">
        <v>131.5</v>
      </c>
      <c r="B265" s="8">
        <v>263</v>
      </c>
      <c r="D265">
        <v>3349.7671913836002</v>
      </c>
      <c r="E265">
        <v>537.99005799503004</v>
      </c>
      <c r="F265">
        <v>154.67457072772001</v>
      </c>
      <c r="G265">
        <v>120.24202780049001</v>
      </c>
      <c r="I265" s="9">
        <f t="shared" si="26"/>
        <v>417.74803019454004</v>
      </c>
      <c r="J265" s="9">
        <f t="shared" si="27"/>
        <v>3195.0926206558802</v>
      </c>
      <c r="K265" s="9">
        <f t="shared" si="31"/>
        <v>417.74803019454004</v>
      </c>
      <c r="L265" s="10">
        <f t="shared" si="30"/>
        <v>0.13074676693058926</v>
      </c>
      <c r="M265" s="10">
        <f t="shared" si="28"/>
        <v>0.15819456296867518</v>
      </c>
      <c r="P265" s="8">
        <f t="shared" si="29"/>
        <v>-5.0443708473403577</v>
      </c>
    </row>
    <row r="266" spans="1:16" x14ac:dyDescent="0.2">
      <c r="A266" s="8">
        <v>132</v>
      </c>
      <c r="B266" s="8">
        <v>264</v>
      </c>
      <c r="D266">
        <v>3384.0753935377002</v>
      </c>
      <c r="E266">
        <v>542.21292460645998</v>
      </c>
      <c r="F266">
        <v>155.22403924775</v>
      </c>
      <c r="G266">
        <v>119.82992641046999</v>
      </c>
      <c r="I266" s="9">
        <f t="shared" si="26"/>
        <v>422.38299819599001</v>
      </c>
      <c r="J266" s="9">
        <f t="shared" si="27"/>
        <v>3228.85135428995</v>
      </c>
      <c r="K266" s="9">
        <f t="shared" si="31"/>
        <v>422.38299819599001</v>
      </c>
      <c r="L266" s="10">
        <f t="shared" si="30"/>
        <v>0.13081525033191729</v>
      </c>
      <c r="M266" s="10">
        <f t="shared" si="28"/>
        <v>0.15836741061349402</v>
      </c>
      <c r="P266" s="8">
        <f t="shared" si="29"/>
        <v>-4.9406197666879939</v>
      </c>
    </row>
    <row r="267" spans="1:16" x14ac:dyDescent="0.2">
      <c r="A267" s="8">
        <v>132.5</v>
      </c>
      <c r="B267" s="8">
        <v>265</v>
      </c>
      <c r="D267">
        <v>3363.3416046318998</v>
      </c>
      <c r="E267">
        <v>542.51033912323999</v>
      </c>
      <c r="F267">
        <v>154.63614063777999</v>
      </c>
      <c r="G267">
        <v>120.03924775143</v>
      </c>
      <c r="I267" s="9">
        <f t="shared" si="26"/>
        <v>422.47109137180996</v>
      </c>
      <c r="J267" s="9">
        <f t="shared" si="27"/>
        <v>3208.7054639941198</v>
      </c>
      <c r="K267" s="9">
        <f t="shared" si="31"/>
        <v>422.47109137180996</v>
      </c>
      <c r="L267" s="10">
        <f t="shared" si="30"/>
        <v>0.13166402965697202</v>
      </c>
      <c r="M267" s="10">
        <f t="shared" si="28"/>
        <v>0.15932055418203958</v>
      </c>
      <c r="P267" s="8">
        <f t="shared" si="29"/>
        <v>-4.3684992998045864</v>
      </c>
    </row>
    <row r="268" spans="1:16" x14ac:dyDescent="0.2">
      <c r="A268" s="8">
        <v>133</v>
      </c>
      <c r="B268" s="8">
        <v>266</v>
      </c>
      <c r="D268">
        <v>3376.0365556458</v>
      </c>
      <c r="E268">
        <v>546.95288383427999</v>
      </c>
      <c r="F268">
        <v>155.06459525756</v>
      </c>
      <c r="G268">
        <v>120.41291905151</v>
      </c>
      <c r="I268" s="9">
        <f t="shared" si="26"/>
        <v>426.53996478276997</v>
      </c>
      <c r="J268" s="9">
        <f t="shared" si="27"/>
        <v>3220.9719603882399</v>
      </c>
      <c r="K268" s="9">
        <f t="shared" si="31"/>
        <v>426.53996478276997</v>
      </c>
      <c r="L268" s="10">
        <f t="shared" si="30"/>
        <v>0.13242585468870613</v>
      </c>
      <c r="M268" s="10">
        <f t="shared" si="28"/>
        <v>0.16018674345726452</v>
      </c>
      <c r="P268" s="8">
        <f t="shared" si="29"/>
        <v>-3.8485727862077992</v>
      </c>
    </row>
    <row r="269" spans="1:16" x14ac:dyDescent="0.2">
      <c r="A269" s="8">
        <v>133.5</v>
      </c>
      <c r="B269" s="8">
        <v>267</v>
      </c>
      <c r="D269">
        <v>3341.0243704304999</v>
      </c>
      <c r="E269">
        <v>545.41023558082998</v>
      </c>
      <c r="F269">
        <v>154.52330335241001</v>
      </c>
      <c r="G269">
        <v>120.40392477514</v>
      </c>
      <c r="I269" s="9">
        <f t="shared" si="26"/>
        <v>425.00631080568996</v>
      </c>
      <c r="J269" s="9">
        <f t="shared" si="27"/>
        <v>3186.5010670780898</v>
      </c>
      <c r="K269" s="9">
        <f t="shared" si="31"/>
        <v>425.00631080568996</v>
      </c>
      <c r="L269" s="10">
        <f t="shared" si="30"/>
        <v>0.13337711234329067</v>
      </c>
      <c r="M269" s="10">
        <f t="shared" si="28"/>
        <v>0.16124236535533987</v>
      </c>
      <c r="P269" s="8">
        <f t="shared" si="29"/>
        <v>-3.2149401278027354</v>
      </c>
    </row>
    <row r="270" spans="1:16" x14ac:dyDescent="0.2">
      <c r="A270" s="8">
        <v>134</v>
      </c>
      <c r="B270" s="8">
        <v>268</v>
      </c>
      <c r="D270">
        <v>3394.3169533169998</v>
      </c>
      <c r="E270">
        <v>541.92956592957</v>
      </c>
      <c r="F270">
        <v>154.37530662306</v>
      </c>
      <c r="G270">
        <v>120.18969746525001</v>
      </c>
      <c r="I270" s="9">
        <f t="shared" si="26"/>
        <v>421.73986846432001</v>
      </c>
      <c r="J270" s="9">
        <f t="shared" si="27"/>
        <v>3239.9416466939397</v>
      </c>
      <c r="K270" s="9">
        <f t="shared" si="31"/>
        <v>421.73986846432001</v>
      </c>
      <c r="L270" s="10">
        <f t="shared" si="30"/>
        <v>0.13016897044879389</v>
      </c>
      <c r="M270" s="10">
        <f t="shared" si="28"/>
        <v>0.15813858770433392</v>
      </c>
      <c r="P270" s="8">
        <f t="shared" si="29"/>
        <v>-5.0779697671942774</v>
      </c>
    </row>
    <row r="271" spans="1:16" x14ac:dyDescent="0.2">
      <c r="A271" s="8">
        <v>134.5</v>
      </c>
      <c r="B271" s="8">
        <v>269</v>
      </c>
      <c r="D271">
        <v>3458.3611793611999</v>
      </c>
      <c r="E271">
        <v>556.45126945127004</v>
      </c>
      <c r="F271">
        <v>154.69419460342999</v>
      </c>
      <c r="G271">
        <v>119.83646770237</v>
      </c>
      <c r="I271" s="9">
        <f t="shared" si="26"/>
        <v>436.61480174890005</v>
      </c>
      <c r="J271" s="9">
        <f t="shared" si="27"/>
        <v>3303.66698475777</v>
      </c>
      <c r="K271" s="9">
        <f t="shared" si="31"/>
        <v>436.61480174890005</v>
      </c>
      <c r="L271" s="10">
        <f t="shared" si="30"/>
        <v>0.13216065776705799</v>
      </c>
      <c r="M271" s="10">
        <f t="shared" si="28"/>
        <v>0.16023463926608883</v>
      </c>
      <c r="P271" s="8">
        <f t="shared" si="29"/>
        <v>-3.8198235259592788</v>
      </c>
    </row>
    <row r="272" spans="1:16" x14ac:dyDescent="0.2">
      <c r="A272" s="8">
        <v>135</v>
      </c>
      <c r="B272" s="8">
        <v>270</v>
      </c>
      <c r="D272">
        <v>3473.0925470925999</v>
      </c>
      <c r="E272">
        <v>567.27272727272998</v>
      </c>
      <c r="F272">
        <v>154.59198691742</v>
      </c>
      <c r="G272">
        <v>119.74979558462999</v>
      </c>
      <c r="I272" s="9">
        <f t="shared" si="26"/>
        <v>447.52293168810002</v>
      </c>
      <c r="J272" s="9">
        <f t="shared" si="27"/>
        <v>3318.50056017518</v>
      </c>
      <c r="K272" s="9">
        <f t="shared" si="31"/>
        <v>447.52293168810002</v>
      </c>
      <c r="L272" s="10">
        <f t="shared" si="30"/>
        <v>0.13485697036148031</v>
      </c>
      <c r="M272" s="10">
        <f t="shared" si="28"/>
        <v>0.16303531610400199</v>
      </c>
      <c r="P272" s="8">
        <f t="shared" si="29"/>
        <v>-2.1387288902986001</v>
      </c>
    </row>
    <row r="273" spans="1:16" x14ac:dyDescent="0.2">
      <c r="A273" s="8">
        <v>135.5</v>
      </c>
      <c r="B273" s="8">
        <v>271</v>
      </c>
      <c r="D273">
        <v>3402.1441441441002</v>
      </c>
      <c r="E273">
        <v>569.42751842752</v>
      </c>
      <c r="F273">
        <v>154.56663941127999</v>
      </c>
      <c r="G273">
        <v>120.23712183156</v>
      </c>
      <c r="I273" s="9">
        <f t="shared" si="26"/>
        <v>449.19039659596001</v>
      </c>
      <c r="J273" s="9">
        <f t="shared" si="27"/>
        <v>3247.5775047328202</v>
      </c>
      <c r="K273" s="9">
        <f t="shared" si="31"/>
        <v>449.19039659596001</v>
      </c>
      <c r="L273" s="10">
        <f t="shared" si="30"/>
        <v>0.13831552778689268</v>
      </c>
      <c r="M273" s="10">
        <f t="shared" si="28"/>
        <v>0.16659823777290517</v>
      </c>
      <c r="P273" s="8">
        <f t="shared" si="29"/>
        <v>-9.9961823114812326E-5</v>
      </c>
    </row>
    <row r="274" spans="1:16" x14ac:dyDescent="0.2">
      <c r="A274" s="8">
        <v>136</v>
      </c>
      <c r="B274" s="8">
        <v>272</v>
      </c>
      <c r="D274">
        <v>3411.5508196720998</v>
      </c>
      <c r="E274">
        <v>566.51557377049005</v>
      </c>
      <c r="F274">
        <v>153.87653311528999</v>
      </c>
      <c r="G274">
        <v>120.01798855273999</v>
      </c>
      <c r="I274" s="9">
        <f t="shared" si="26"/>
        <v>446.49758521775004</v>
      </c>
      <c r="J274" s="9">
        <f t="shared" si="27"/>
        <v>3257.6742865568099</v>
      </c>
      <c r="K274" s="9">
        <f t="shared" si="31"/>
        <v>446.49758521775004</v>
      </c>
      <c r="L274" s="10">
        <f t="shared" si="30"/>
        <v>0.137060229458874</v>
      </c>
      <c r="M274" s="10">
        <f t="shared" si="28"/>
        <v>0.16544730368837732</v>
      </c>
      <c r="P274" s="8">
        <f t="shared" si="29"/>
        <v>-0.69094336414170665</v>
      </c>
    </row>
    <row r="275" spans="1:16" x14ac:dyDescent="0.2">
      <c r="A275" s="8">
        <v>136.5</v>
      </c>
      <c r="B275" s="8">
        <v>273</v>
      </c>
      <c r="D275">
        <v>3378.2</v>
      </c>
      <c r="E275">
        <v>555.76803278688999</v>
      </c>
      <c r="F275">
        <v>154.59116925593</v>
      </c>
      <c r="G275">
        <v>119.78331970564</v>
      </c>
      <c r="I275" s="9">
        <f>E275-G275</f>
        <v>435.98471308124999</v>
      </c>
      <c r="J275" s="9">
        <f>D275-F275</f>
        <v>3223.60883074407</v>
      </c>
      <c r="K275" s="9">
        <f t="shared" si="31"/>
        <v>435.98471308124999</v>
      </c>
      <c r="L275" s="10">
        <f t="shared" si="30"/>
        <v>0.1352474000329055</v>
      </c>
      <c r="M275" s="10">
        <f>L275+ABS($N$2)*A275</f>
        <v>0.16373883850589963</v>
      </c>
      <c r="O275" s="11"/>
      <c r="P275" s="8">
        <f>(M275-$O$2)/$O$2*100</f>
        <v>-1.7164424915656136</v>
      </c>
    </row>
    <row r="276" spans="1:16" x14ac:dyDescent="0.2">
      <c r="A276" s="8">
        <v>137</v>
      </c>
      <c r="B276" s="8">
        <v>274</v>
      </c>
      <c r="D276">
        <v>3287.0508196720998</v>
      </c>
      <c r="E276">
        <v>542.09590163934001</v>
      </c>
      <c r="F276">
        <v>154.96565821749999</v>
      </c>
      <c r="G276">
        <v>119.94276369583</v>
      </c>
      <c r="I276" s="9">
        <f t="shared" ref="I276:I291" si="32">E276-G276</f>
        <v>422.15313794351005</v>
      </c>
      <c r="J276" s="9">
        <f t="shared" ref="J276:J291" si="33">D276-F276</f>
        <v>3132.0851614546</v>
      </c>
      <c r="K276" s="9">
        <f t="shared" si="31"/>
        <v>422.15313794351005</v>
      </c>
      <c r="L276" s="10">
        <f t="shared" si="30"/>
        <v>0.13478341621702716</v>
      </c>
      <c r="M276" s="10">
        <f t="shared" ref="M276:M291" si="34">L276+ABS($N$2)*A276</f>
        <v>0.16337921893351212</v>
      </c>
      <c r="P276" s="8">
        <f t="shared" ref="P276:P291" si="35">(M276-$O$2)/$O$2*100</f>
        <v>-1.9323026457380907</v>
      </c>
    </row>
    <row r="277" spans="1:16" x14ac:dyDescent="0.2">
      <c r="A277" s="8">
        <v>137.5</v>
      </c>
      <c r="B277" s="8">
        <v>275</v>
      </c>
      <c r="D277">
        <v>3364.3680327869001</v>
      </c>
      <c r="E277">
        <v>538.65655737705004</v>
      </c>
      <c r="F277">
        <v>154.69174161897001</v>
      </c>
      <c r="G277">
        <v>120.06623058053999</v>
      </c>
      <c r="I277" s="9">
        <f t="shared" si="32"/>
        <v>418.59032679651006</v>
      </c>
      <c r="J277" s="9">
        <f t="shared" si="33"/>
        <v>3209.6762911679302</v>
      </c>
      <c r="K277" s="9">
        <f t="shared" si="31"/>
        <v>418.59032679651006</v>
      </c>
      <c r="L277" s="10">
        <f t="shared" si="30"/>
        <v>0.13041512253068807</v>
      </c>
      <c r="M277" s="10">
        <f t="shared" si="34"/>
        <v>0.15911528949066384</v>
      </c>
      <c r="N277" s="1"/>
      <c r="P277" s="8">
        <f t="shared" si="35"/>
        <v>-4.4917085779658716</v>
      </c>
    </row>
    <row r="278" spans="1:16" x14ac:dyDescent="0.2">
      <c r="A278" s="8">
        <v>138</v>
      </c>
      <c r="B278" s="8">
        <v>276</v>
      </c>
      <c r="D278">
        <v>3263.5417700579001</v>
      </c>
      <c r="E278">
        <v>539.16956162118004</v>
      </c>
      <c r="F278">
        <v>154.83483237940001</v>
      </c>
      <c r="G278">
        <v>119.74897792314</v>
      </c>
      <c r="I278" s="9">
        <f t="shared" si="32"/>
        <v>419.42058369804005</v>
      </c>
      <c r="J278" s="9">
        <f t="shared" si="33"/>
        <v>3108.7069376785003</v>
      </c>
      <c r="K278" s="9">
        <f t="shared" si="31"/>
        <v>419.42058369804005</v>
      </c>
      <c r="L278" s="10">
        <f t="shared" si="30"/>
        <v>0.1349180196481474</v>
      </c>
      <c r="M278" s="10">
        <f t="shared" si="34"/>
        <v>0.163722550851614</v>
      </c>
      <c r="P278" s="8">
        <f t="shared" si="35"/>
        <v>-1.7262190883783575</v>
      </c>
    </row>
    <row r="279" spans="1:16" x14ac:dyDescent="0.2">
      <c r="A279" s="8">
        <v>138.5</v>
      </c>
      <c r="B279" s="8">
        <v>277</v>
      </c>
      <c r="D279">
        <v>3316.4706368900002</v>
      </c>
      <c r="E279">
        <v>554.11497105045999</v>
      </c>
      <c r="F279">
        <v>154.21668029436</v>
      </c>
      <c r="G279">
        <v>119.99918233851</v>
      </c>
      <c r="I279" s="9">
        <f t="shared" si="32"/>
        <v>434.11578871195002</v>
      </c>
      <c r="J279" s="9">
        <f t="shared" si="33"/>
        <v>3162.2539565956404</v>
      </c>
      <c r="K279" s="9">
        <f t="shared" si="31"/>
        <v>434.11578871195002</v>
      </c>
      <c r="L279" s="10">
        <f t="shared" si="30"/>
        <v>0.1372804950742483</v>
      </c>
      <c r="M279" s="10">
        <f t="shared" si="34"/>
        <v>0.16618939052120571</v>
      </c>
      <c r="P279" s="8">
        <f t="shared" si="35"/>
        <v>-0.24550882597064622</v>
      </c>
    </row>
    <row r="280" spans="1:16" x14ac:dyDescent="0.2">
      <c r="A280" s="8">
        <v>139</v>
      </c>
      <c r="B280" s="8">
        <v>278</v>
      </c>
      <c r="D280">
        <v>3226.2034739454002</v>
      </c>
      <c r="E280">
        <v>553.97435897436003</v>
      </c>
      <c r="F280">
        <v>153.91823385119</v>
      </c>
      <c r="G280">
        <v>119.48977923139999</v>
      </c>
      <c r="I280" s="9">
        <f t="shared" si="32"/>
        <v>434.48457974296002</v>
      </c>
      <c r="J280" s="9">
        <f t="shared" si="33"/>
        <v>3072.2852400942102</v>
      </c>
      <c r="K280" s="9">
        <f t="shared" si="31"/>
        <v>434.48457974296002</v>
      </c>
      <c r="L280" s="10">
        <f t="shared" si="30"/>
        <v>0.14142065133562817</v>
      </c>
      <c r="M280" s="10">
        <f t="shared" si="34"/>
        <v>0.17043391102607641</v>
      </c>
      <c r="P280" s="8">
        <f t="shared" si="35"/>
        <v>2.3022469718766545</v>
      </c>
    </row>
    <row r="281" spans="1:16" x14ac:dyDescent="0.2">
      <c r="A281" s="8">
        <v>139.5</v>
      </c>
      <c r="B281" s="8">
        <v>279</v>
      </c>
      <c r="D281">
        <v>3321.2246732026001</v>
      </c>
      <c r="E281">
        <v>560.86683006535998</v>
      </c>
      <c r="F281">
        <v>153.52575633687999</v>
      </c>
      <c r="G281">
        <v>119.78495502862</v>
      </c>
      <c r="I281" s="9">
        <f t="shared" si="32"/>
        <v>441.08187503673997</v>
      </c>
      <c r="J281" s="9">
        <f t="shared" si="33"/>
        <v>3167.6989168657201</v>
      </c>
      <c r="K281" s="9">
        <f t="shared" si="31"/>
        <v>441.08187503673997</v>
      </c>
      <c r="L281" s="10">
        <f t="shared" si="30"/>
        <v>0.13924362340382035</v>
      </c>
      <c r="M281" s="10">
        <f t="shared" si="34"/>
        <v>0.1683612473377594</v>
      </c>
      <c r="P281" s="8">
        <f t="shared" si="35"/>
        <v>1.0581392045004405</v>
      </c>
    </row>
    <row r="282" spans="1:16" x14ac:dyDescent="0.2">
      <c r="A282" s="8">
        <v>140</v>
      </c>
      <c r="B282" s="8">
        <v>280</v>
      </c>
      <c r="D282">
        <v>3425.8455149502001</v>
      </c>
      <c r="E282">
        <v>574.91694352160005</v>
      </c>
      <c r="F282">
        <v>153.90678659035001</v>
      </c>
      <c r="G282">
        <v>119.93622240393</v>
      </c>
      <c r="I282" s="9">
        <f t="shared" si="32"/>
        <v>454.98072111767004</v>
      </c>
      <c r="J282" s="9">
        <f t="shared" si="33"/>
        <v>3271.9387283598503</v>
      </c>
      <c r="K282" s="9">
        <f t="shared" si="31"/>
        <v>454.98072111767004</v>
      </c>
      <c r="L282" s="10">
        <f t="shared" si="30"/>
        <v>0.13905539158605873</v>
      </c>
      <c r="M282" s="10">
        <f t="shared" si="34"/>
        <v>0.16827737976348861</v>
      </c>
      <c r="P282" s="8">
        <f t="shared" si="35"/>
        <v>1.007798041498734</v>
      </c>
    </row>
    <row r="283" spans="1:16" x14ac:dyDescent="0.2">
      <c r="A283" s="8">
        <v>140.5</v>
      </c>
      <c r="B283" s="8">
        <v>281</v>
      </c>
      <c r="D283">
        <v>3514.6930041152</v>
      </c>
      <c r="E283">
        <v>578.13909465021004</v>
      </c>
      <c r="F283">
        <v>153.88798037612</v>
      </c>
      <c r="G283">
        <v>120.03515944399</v>
      </c>
      <c r="I283" s="9">
        <f t="shared" si="32"/>
        <v>458.10393520622006</v>
      </c>
      <c r="J283" s="9">
        <f t="shared" si="33"/>
        <v>3360.8050237390798</v>
      </c>
      <c r="K283" s="9">
        <f t="shared" si="31"/>
        <v>458.10393520622006</v>
      </c>
      <c r="L283" s="10">
        <f t="shared" si="30"/>
        <v>0.13630779886675912</v>
      </c>
      <c r="M283" s="10">
        <f t="shared" si="34"/>
        <v>0.1656341512876798</v>
      </c>
      <c r="P283" s="8">
        <f t="shared" si="35"/>
        <v>-0.57878886897776805</v>
      </c>
    </row>
    <row r="284" spans="1:16" x14ac:dyDescent="0.2">
      <c r="A284" s="8">
        <v>141</v>
      </c>
      <c r="B284" s="8">
        <v>282</v>
      </c>
      <c r="D284">
        <v>3542.0057613169001</v>
      </c>
      <c r="E284">
        <v>577.83868312756999</v>
      </c>
      <c r="F284">
        <v>154.09975470155001</v>
      </c>
      <c r="G284">
        <v>119.49713818479</v>
      </c>
      <c r="I284" s="9">
        <f t="shared" si="32"/>
        <v>458.34154494277999</v>
      </c>
      <c r="J284" s="9">
        <f t="shared" si="33"/>
        <v>3387.9060066153502</v>
      </c>
      <c r="K284" s="9">
        <f t="shared" si="31"/>
        <v>458.34154494277999</v>
      </c>
      <c r="L284" s="10">
        <f t="shared" si="30"/>
        <v>0.13528756230184821</v>
      </c>
      <c r="M284" s="10">
        <f t="shared" si="34"/>
        <v>0.16471827896625973</v>
      </c>
      <c r="P284" s="8">
        <f t="shared" si="35"/>
        <v>-1.128537424629269</v>
      </c>
    </row>
    <row r="285" spans="1:16" x14ac:dyDescent="0.2">
      <c r="A285" s="8">
        <v>141.5</v>
      </c>
      <c r="B285" s="8">
        <v>283</v>
      </c>
      <c r="D285">
        <v>3266.8963815789998</v>
      </c>
      <c r="E285">
        <v>545.56907894737003</v>
      </c>
      <c r="F285">
        <v>154.34668847097001</v>
      </c>
      <c r="G285">
        <v>119.71300081766</v>
      </c>
      <c r="I285" s="9">
        <f t="shared" si="32"/>
        <v>425.85607812971</v>
      </c>
      <c r="J285" s="9">
        <f t="shared" si="33"/>
        <v>3112.5496931080297</v>
      </c>
      <c r="K285" s="9">
        <f t="shared" si="31"/>
        <v>425.85607812971</v>
      </c>
      <c r="L285" s="10">
        <f t="shared" si="30"/>
        <v>0.13681904551521307</v>
      </c>
      <c r="M285" s="10">
        <f t="shared" si="34"/>
        <v>0.16635412642311542</v>
      </c>
      <c r="P285" s="8">
        <f t="shared" si="35"/>
        <v>-0.14662678529668793</v>
      </c>
    </row>
    <row r="286" spans="1:16" x14ac:dyDescent="0.2">
      <c r="A286" s="8">
        <v>142</v>
      </c>
      <c r="B286" s="8">
        <v>284</v>
      </c>
      <c r="D286">
        <v>3218.0674342104999</v>
      </c>
      <c r="E286">
        <v>536.21217105262997</v>
      </c>
      <c r="F286">
        <v>153.79640228944999</v>
      </c>
      <c r="G286">
        <v>119.76124284546</v>
      </c>
      <c r="I286" s="9">
        <f t="shared" si="32"/>
        <v>416.45092820716997</v>
      </c>
      <c r="J286" s="9">
        <f t="shared" si="33"/>
        <v>3064.2710319210501</v>
      </c>
      <c r="K286" s="9">
        <f t="shared" si="31"/>
        <v>416.45092820716997</v>
      </c>
      <c r="L286" s="10">
        <f t="shared" si="30"/>
        <v>0.1359053829993912</v>
      </c>
      <c r="M286" s="10">
        <f t="shared" si="34"/>
        <v>0.16554482815078436</v>
      </c>
      <c r="P286" s="8">
        <f t="shared" si="35"/>
        <v>-0.63240471077806637</v>
      </c>
    </row>
    <row r="287" spans="1:16" x14ac:dyDescent="0.2">
      <c r="A287" s="8">
        <v>142.5</v>
      </c>
      <c r="B287" s="8">
        <v>285</v>
      </c>
      <c r="D287">
        <v>3138.1101973683999</v>
      </c>
      <c r="E287">
        <v>527.49177631579005</v>
      </c>
      <c r="F287">
        <v>154.01471790679</v>
      </c>
      <c r="G287">
        <v>120.00981193785999</v>
      </c>
      <c r="I287" s="9">
        <f t="shared" si="32"/>
        <v>407.48196437793007</v>
      </c>
      <c r="J287" s="9">
        <f t="shared" si="33"/>
        <v>2984.09547946161</v>
      </c>
      <c r="K287" s="9">
        <f t="shared" si="31"/>
        <v>407.48196437793007</v>
      </c>
      <c r="L287" s="10">
        <f t="shared" si="30"/>
        <v>0.13655124883988226</v>
      </c>
      <c r="M287" s="10">
        <f t="shared" si="34"/>
        <v>0.16629505823476626</v>
      </c>
      <c r="P287" s="8">
        <f t="shared" si="35"/>
        <v>-0.18208221993582532</v>
      </c>
    </row>
    <row r="288" spans="1:16" x14ac:dyDescent="0.2">
      <c r="A288" s="8">
        <v>143</v>
      </c>
      <c r="B288" s="8">
        <v>286</v>
      </c>
      <c r="D288">
        <v>3194.3569078946998</v>
      </c>
      <c r="E288">
        <v>527.84868421053</v>
      </c>
      <c r="F288">
        <v>153.66067048241999</v>
      </c>
      <c r="G288">
        <v>119.72035977106</v>
      </c>
      <c r="I288" s="9">
        <f t="shared" si="32"/>
        <v>408.12832443947002</v>
      </c>
      <c r="J288" s="9">
        <f t="shared" si="33"/>
        <v>3040.69623741228</v>
      </c>
      <c r="K288" s="9">
        <f t="shared" si="31"/>
        <v>408.12832443947002</v>
      </c>
      <c r="L288" s="10">
        <f t="shared" si="30"/>
        <v>0.13422199804699958</v>
      </c>
      <c r="M288" s="10">
        <f t="shared" si="34"/>
        <v>0.16407017168537438</v>
      </c>
      <c r="P288" s="8">
        <f t="shared" si="35"/>
        <v>-1.5175611272142571</v>
      </c>
    </row>
    <row r="289" spans="1:16" x14ac:dyDescent="0.2">
      <c r="A289" s="8">
        <v>143.5</v>
      </c>
      <c r="B289" s="8">
        <v>287</v>
      </c>
      <c r="D289">
        <v>3385.7602965403998</v>
      </c>
      <c r="E289">
        <v>545.69934102141997</v>
      </c>
      <c r="F289">
        <v>154.29762878168</v>
      </c>
      <c r="G289">
        <v>119.60752248569</v>
      </c>
      <c r="I289" s="9">
        <f t="shared" si="32"/>
        <v>426.09181853573</v>
      </c>
      <c r="J289" s="9">
        <f t="shared" si="33"/>
        <v>3231.4626677587198</v>
      </c>
      <c r="K289" s="9">
        <f t="shared" si="31"/>
        <v>426.09181853573</v>
      </c>
      <c r="L289" s="10">
        <f t="shared" si="30"/>
        <v>0.13185726166264489</v>
      </c>
      <c r="M289" s="10">
        <f t="shared" si="34"/>
        <v>0.16180979954451052</v>
      </c>
      <c r="P289" s="8">
        <f t="shared" si="35"/>
        <v>-2.8743401133376474</v>
      </c>
    </row>
    <row r="290" spans="1:16" x14ac:dyDescent="0.2">
      <c r="A290" s="8">
        <v>144</v>
      </c>
      <c r="B290" s="8">
        <v>288</v>
      </c>
      <c r="D290">
        <v>3437.6890343699001</v>
      </c>
      <c r="E290">
        <v>553.81751227496</v>
      </c>
      <c r="F290">
        <v>154.14227309894</v>
      </c>
      <c r="G290">
        <v>119.62224039247999</v>
      </c>
      <c r="I290" s="9">
        <f t="shared" si="32"/>
        <v>434.19527188248003</v>
      </c>
      <c r="J290" s="9">
        <f t="shared" si="33"/>
        <v>3283.5467612709599</v>
      </c>
      <c r="K290" s="9">
        <f t="shared" si="31"/>
        <v>434.19527188248003</v>
      </c>
      <c r="L290" s="10">
        <f t="shared" si="30"/>
        <v>0.13223361914736867</v>
      </c>
      <c r="M290" s="10">
        <f t="shared" si="34"/>
        <v>0.16229052127272511</v>
      </c>
      <c r="P290" s="8">
        <f t="shared" si="35"/>
        <v>-2.5857888932871265</v>
      </c>
    </row>
    <row r="291" spans="1:16" x14ac:dyDescent="0.2">
      <c r="A291" s="8">
        <v>144.5</v>
      </c>
      <c r="B291" s="8">
        <v>289</v>
      </c>
      <c r="D291">
        <v>3544.1437962201999</v>
      </c>
      <c r="E291">
        <v>570.93179950698004</v>
      </c>
      <c r="F291">
        <v>154.45870809485001</v>
      </c>
      <c r="G291">
        <v>119.50122649223</v>
      </c>
      <c r="I291" s="9">
        <f t="shared" si="32"/>
        <v>451.43057301475005</v>
      </c>
      <c r="J291" s="9">
        <f t="shared" si="33"/>
        <v>3389.6850881253499</v>
      </c>
      <c r="K291" s="9">
        <f t="shared" si="31"/>
        <v>451.43057301475005</v>
      </c>
      <c r="L291" s="10">
        <f t="shared" si="30"/>
        <v>0.13317773223128868</v>
      </c>
      <c r="M291" s="10">
        <f t="shared" si="34"/>
        <v>0.16333899860013595</v>
      </c>
      <c r="P291" s="8">
        <f t="shared" si="35"/>
        <v>-1.956444733739054</v>
      </c>
    </row>
    <row r="292" spans="1:16" x14ac:dyDescent="0.2">
      <c r="A292" s="8">
        <v>145</v>
      </c>
      <c r="B292" s="8">
        <v>290</v>
      </c>
      <c r="D292">
        <v>3537.3442892357998</v>
      </c>
      <c r="E292">
        <v>567.51027115858994</v>
      </c>
      <c r="F292">
        <v>153.91496320523001</v>
      </c>
      <c r="G292">
        <v>119.67457072772</v>
      </c>
      <c r="I292" s="9">
        <f>E292-G292</f>
        <v>447.83570043086996</v>
      </c>
      <c r="J292" s="9">
        <f>D292-F292</f>
        <v>3383.4293260305699</v>
      </c>
      <c r="K292" s="9">
        <f t="shared" si="31"/>
        <v>447.83570043086996</v>
      </c>
      <c r="L292" s="10">
        <f t="shared" si="30"/>
        <v>0.13236147626475461</v>
      </c>
      <c r="M292" s="10">
        <f>L292+ABS($N$2)*A292</f>
        <v>0.1626271068770927</v>
      </c>
      <c r="O292" s="11"/>
      <c r="P292" s="8">
        <f>(M292-$O$2)/$O$2*100</f>
        <v>-2.3837547827167094</v>
      </c>
    </row>
    <row r="293" spans="1:16" x14ac:dyDescent="0.2">
      <c r="A293" s="8">
        <v>145.5</v>
      </c>
      <c r="B293" s="8">
        <v>291</v>
      </c>
      <c r="D293">
        <v>3485.1045267489999</v>
      </c>
      <c r="E293">
        <v>557.05761316871997</v>
      </c>
      <c r="F293">
        <v>153.91169255928</v>
      </c>
      <c r="G293">
        <v>119.53147996729</v>
      </c>
      <c r="I293" s="9">
        <f t="shared" ref="I293:I301" si="36">E293-G293</f>
        <v>437.52613320142996</v>
      </c>
      <c r="J293" s="9">
        <f t="shared" ref="J293:J301" si="37">D293-F293</f>
        <v>3331.1928341897201</v>
      </c>
      <c r="K293" s="9">
        <f t="shared" si="31"/>
        <v>437.52613320142996</v>
      </c>
      <c r="L293" s="10">
        <f t="shared" si="30"/>
        <v>0.13134218130841227</v>
      </c>
      <c r="M293" s="10">
        <f t="shared" ref="M293:M301" si="38">L293+ABS($N$2)*A293</f>
        <v>0.16171217616424119</v>
      </c>
      <c r="P293" s="8">
        <f t="shared" ref="P293:P301" si="39">(M293-$O$2)/$O$2*100</f>
        <v>-2.9329381417371416</v>
      </c>
    </row>
    <row r="294" spans="1:16" x14ac:dyDescent="0.2">
      <c r="A294" s="8">
        <v>146</v>
      </c>
      <c r="B294" s="8">
        <v>292</v>
      </c>
      <c r="D294">
        <v>3511.0189300411998</v>
      </c>
      <c r="E294">
        <v>560.30205761316995</v>
      </c>
      <c r="F294">
        <v>153.42518397384001</v>
      </c>
      <c r="G294">
        <v>119.53147996729</v>
      </c>
      <c r="I294" s="9">
        <f t="shared" si="36"/>
        <v>440.77057764587994</v>
      </c>
      <c r="J294" s="9">
        <f t="shared" si="37"/>
        <v>3357.5937460673599</v>
      </c>
      <c r="K294" s="9">
        <f t="shared" si="31"/>
        <v>440.77057764587994</v>
      </c>
      <c r="L294" s="10">
        <f t="shared" si="30"/>
        <v>0.13127573225978878</v>
      </c>
      <c r="M294" s="10">
        <f t="shared" si="38"/>
        <v>0.16175009135910851</v>
      </c>
      <c r="N294" s="1"/>
      <c r="P294" s="8">
        <f t="shared" si="39"/>
        <v>-2.9101797035486903</v>
      </c>
    </row>
    <row r="295" spans="1:16" x14ac:dyDescent="0.2">
      <c r="A295" s="8">
        <v>146.5</v>
      </c>
      <c r="B295" s="8">
        <v>293</v>
      </c>
      <c r="D295">
        <v>3470.4888888889</v>
      </c>
      <c r="E295">
        <v>554.37037037036998</v>
      </c>
      <c r="F295">
        <v>153.22076860179999</v>
      </c>
      <c r="G295">
        <v>119.89779231398001</v>
      </c>
      <c r="I295" s="9">
        <f t="shared" si="36"/>
        <v>434.47257805638998</v>
      </c>
      <c r="J295" s="9">
        <f t="shared" si="37"/>
        <v>3317.2681202870999</v>
      </c>
      <c r="K295" s="9">
        <f t="shared" si="31"/>
        <v>434.47257805638998</v>
      </c>
      <c r="L295" s="10">
        <f t="shared" si="30"/>
        <v>0.13097300619124741</v>
      </c>
      <c r="M295" s="10">
        <f t="shared" si="38"/>
        <v>0.16155172953405797</v>
      </c>
      <c r="P295" s="8">
        <f t="shared" si="39"/>
        <v>-3.0292455648784071</v>
      </c>
    </row>
    <row r="296" spans="1:16" x14ac:dyDescent="0.2">
      <c r="A296" s="8">
        <v>147</v>
      </c>
      <c r="B296" s="8">
        <v>294</v>
      </c>
      <c r="D296">
        <v>3483.4072249589999</v>
      </c>
      <c r="E296">
        <v>559.39983579638999</v>
      </c>
      <c r="F296">
        <v>153.89206868356999</v>
      </c>
      <c r="G296">
        <v>119.61406377759999</v>
      </c>
      <c r="I296" s="9">
        <f t="shared" si="36"/>
        <v>439.78577201879</v>
      </c>
      <c r="J296" s="9">
        <f t="shared" si="37"/>
        <v>3329.5151562754299</v>
      </c>
      <c r="K296" s="9">
        <f t="shared" si="31"/>
        <v>439.78577201879</v>
      </c>
      <c r="L296" s="10">
        <f t="shared" si="30"/>
        <v>0.13208703110718301</v>
      </c>
      <c r="M296" s="10">
        <f t="shared" si="38"/>
        <v>0.16277011869348437</v>
      </c>
      <c r="P296" s="8">
        <f t="shared" si="39"/>
        <v>-2.297912534115377</v>
      </c>
    </row>
    <row r="297" spans="1:16" x14ac:dyDescent="0.2">
      <c r="A297" s="8">
        <v>147.5</v>
      </c>
      <c r="B297" s="8">
        <v>295</v>
      </c>
      <c r="D297">
        <v>3382.4683648316</v>
      </c>
      <c r="E297">
        <v>554.75677896467005</v>
      </c>
      <c r="F297">
        <v>153.67211774325</v>
      </c>
      <c r="G297">
        <v>120.02289452167</v>
      </c>
      <c r="I297" s="9">
        <f t="shared" si="36"/>
        <v>434.73388444300008</v>
      </c>
      <c r="J297" s="9">
        <f t="shared" si="37"/>
        <v>3228.7962470883499</v>
      </c>
      <c r="K297" s="9">
        <f t="shared" si="31"/>
        <v>434.73388444300008</v>
      </c>
      <c r="L297" s="10">
        <f t="shared" si="30"/>
        <v>0.13464271238392095</v>
      </c>
      <c r="M297" s="10">
        <f t="shared" si="38"/>
        <v>0.16543016421371315</v>
      </c>
      <c r="P297" s="8">
        <f t="shared" si="39"/>
        <v>-0.70123126259751167</v>
      </c>
    </row>
    <row r="298" spans="1:16" x14ac:dyDescent="0.2">
      <c r="A298" s="8">
        <v>148</v>
      </c>
      <c r="B298" s="8">
        <v>296</v>
      </c>
      <c r="D298">
        <v>3429.3896636587001</v>
      </c>
      <c r="E298">
        <v>579.79983593109</v>
      </c>
      <c r="F298">
        <v>154.55273916599</v>
      </c>
      <c r="G298">
        <v>119.84300899428</v>
      </c>
      <c r="I298" s="9">
        <f t="shared" si="36"/>
        <v>459.95682693680999</v>
      </c>
      <c r="J298" s="9">
        <f t="shared" si="37"/>
        <v>3274.8369244927103</v>
      </c>
      <c r="K298" s="9">
        <f t="shared" si="31"/>
        <v>459.95682693680999</v>
      </c>
      <c r="L298" s="10">
        <f t="shared" si="30"/>
        <v>0.14045182631744624</v>
      </c>
      <c r="M298" s="10">
        <f t="shared" si="38"/>
        <v>0.17134364239072924</v>
      </c>
      <c r="P298" s="8">
        <f t="shared" si="39"/>
        <v>2.8483094437431666</v>
      </c>
    </row>
    <row r="299" spans="1:16" x14ac:dyDescent="0.2">
      <c r="A299" s="8">
        <v>148.5</v>
      </c>
      <c r="B299" s="8">
        <v>297</v>
      </c>
      <c r="D299">
        <v>3398.4979218620001</v>
      </c>
      <c r="E299">
        <v>577.47963424771001</v>
      </c>
      <c r="F299">
        <v>153.20932134097001</v>
      </c>
      <c r="G299">
        <v>119.62305805397</v>
      </c>
      <c r="I299" s="9">
        <f t="shared" si="36"/>
        <v>457.85657619374001</v>
      </c>
      <c r="J299" s="9">
        <f t="shared" si="37"/>
        <v>3245.2886005210303</v>
      </c>
      <c r="K299" s="9">
        <f t="shared" si="31"/>
        <v>457.85657619374001</v>
      </c>
      <c r="L299" s="10">
        <f t="shared" si="30"/>
        <v>0.14108346977838312</v>
      </c>
      <c r="M299" s="10">
        <f t="shared" si="38"/>
        <v>0.17207965009515697</v>
      </c>
      <c r="P299" s="8">
        <f t="shared" si="39"/>
        <v>3.2900950103493836</v>
      </c>
    </row>
    <row r="300" spans="1:16" x14ac:dyDescent="0.2">
      <c r="A300" s="8">
        <v>149</v>
      </c>
      <c r="B300" s="8">
        <v>298</v>
      </c>
      <c r="D300">
        <v>3311.4324324324002</v>
      </c>
      <c r="E300">
        <v>559.95986895987005</v>
      </c>
      <c r="F300">
        <v>154.06950122648999</v>
      </c>
      <c r="G300">
        <v>118.91823385119</v>
      </c>
      <c r="I300" s="9">
        <f t="shared" si="36"/>
        <v>441.04163510868005</v>
      </c>
      <c r="J300" s="9">
        <f t="shared" si="37"/>
        <v>3157.3629312059102</v>
      </c>
      <c r="K300" s="9">
        <f t="shared" si="31"/>
        <v>441.04163510868005</v>
      </c>
      <c r="L300" s="10">
        <f t="shared" si="30"/>
        <v>0.13968670840771238</v>
      </c>
      <c r="M300" s="10">
        <f t="shared" si="38"/>
        <v>0.17078725296797703</v>
      </c>
      <c r="P300" s="8">
        <f t="shared" si="39"/>
        <v>2.5143390044317786</v>
      </c>
    </row>
    <row r="301" spans="1:16" x14ac:dyDescent="0.2">
      <c r="A301" s="8">
        <v>149.5</v>
      </c>
      <c r="B301" s="8">
        <v>299</v>
      </c>
      <c r="D301">
        <v>3247.6050488598999</v>
      </c>
      <c r="E301">
        <v>551.14576547231002</v>
      </c>
      <c r="F301">
        <v>153.46034341782999</v>
      </c>
      <c r="G301">
        <v>119.16353229763</v>
      </c>
      <c r="I301" s="9">
        <f t="shared" si="36"/>
        <v>431.98223317468</v>
      </c>
      <c r="J301" s="9">
        <f t="shared" si="37"/>
        <v>3094.1447054420701</v>
      </c>
      <c r="K301" s="9">
        <f t="shared" si="31"/>
        <v>431.98223317468</v>
      </c>
      <c r="L301" s="10">
        <f t="shared" si="30"/>
        <v>0.13961280880460999</v>
      </c>
      <c r="M301" s="10">
        <f t="shared" si="38"/>
        <v>0.17081771760836548</v>
      </c>
      <c r="P301" s="8">
        <f t="shared" si="39"/>
        <v>2.5326252782499696</v>
      </c>
    </row>
    <row r="302" spans="1:16" x14ac:dyDescent="0.2">
      <c r="A302" s="8">
        <v>150</v>
      </c>
      <c r="B302" s="8">
        <v>300</v>
      </c>
      <c r="D302">
        <v>3226.1042345277001</v>
      </c>
      <c r="E302">
        <v>550.63273615635001</v>
      </c>
      <c r="F302">
        <v>153.49959116925999</v>
      </c>
      <c r="G302">
        <v>119.49795584628001</v>
      </c>
      <c r="I302" s="9">
        <f>E302-G302</f>
        <v>431.13478031007003</v>
      </c>
      <c r="J302" s="9">
        <f>D302-F302</f>
        <v>3072.6046433584402</v>
      </c>
      <c r="K302" s="9">
        <f t="shared" si="31"/>
        <v>431.13478031007003</v>
      </c>
      <c r="L302" s="10">
        <f t="shared" si="30"/>
        <v>0.14031573545981108</v>
      </c>
      <c r="M302" s="10">
        <f>L302+ABS($N$2)*A302</f>
        <v>0.17162500850705736</v>
      </c>
      <c r="O302" s="11"/>
      <c r="P302" s="8">
        <f>(M302-$O$2)/$O$2*100</f>
        <v>3.0171982860447022</v>
      </c>
    </row>
    <row r="303" spans="1:16" x14ac:dyDescent="0.2">
      <c r="A303" s="8">
        <v>150.5</v>
      </c>
      <c r="B303" s="8">
        <v>301</v>
      </c>
      <c r="D303">
        <v>3326.0181818182</v>
      </c>
      <c r="E303">
        <v>563.87603305785001</v>
      </c>
      <c r="F303">
        <v>153.02861815208999</v>
      </c>
      <c r="G303">
        <v>118.96402289452</v>
      </c>
      <c r="I303" s="9">
        <f t="shared" ref="I303:I309" si="40">E303-G303</f>
        <v>444.91201016333002</v>
      </c>
      <c r="J303" s="9">
        <f t="shared" ref="J303:J309" si="41">D303-F303</f>
        <v>3172.9895636661099</v>
      </c>
      <c r="K303" s="9">
        <f t="shared" si="31"/>
        <v>444.91201016333002</v>
      </c>
      <c r="L303" s="10">
        <f t="shared" si="30"/>
        <v>0.14021855453229837</v>
      </c>
      <c r="M303" s="10">
        <f t="shared" ref="M303:M309" si="42">L303+ABS($N$2)*A303</f>
        <v>0.17163219182303549</v>
      </c>
      <c r="P303" s="8">
        <f t="shared" ref="P303:P309" si="43">(M303-$O$2)/$O$2*100</f>
        <v>3.0215100416152172</v>
      </c>
    </row>
    <row r="304" spans="1:16" x14ac:dyDescent="0.2">
      <c r="A304" s="8">
        <v>151</v>
      </c>
      <c r="B304" s="8">
        <v>302</v>
      </c>
      <c r="D304">
        <v>3387.8578512396998</v>
      </c>
      <c r="E304">
        <v>571.97355371901006</v>
      </c>
      <c r="F304">
        <v>153.44644317253</v>
      </c>
      <c r="G304">
        <v>119.48977923139999</v>
      </c>
      <c r="I304" s="9">
        <f t="shared" si="40"/>
        <v>452.48377448761005</v>
      </c>
      <c r="J304" s="9">
        <f t="shared" si="41"/>
        <v>3234.4114080671698</v>
      </c>
      <c r="K304" s="9">
        <f t="shared" si="31"/>
        <v>452.48377448761005</v>
      </c>
      <c r="L304" s="10">
        <f t="shared" si="30"/>
        <v>0.13989679029669475</v>
      </c>
      <c r="M304" s="10">
        <f t="shared" si="42"/>
        <v>0.17141479183092267</v>
      </c>
      <c r="N304" s="1"/>
      <c r="P304" s="8">
        <f t="shared" si="43"/>
        <v>2.8910165996064463</v>
      </c>
    </row>
    <row r="305" spans="1:16" x14ac:dyDescent="0.2">
      <c r="A305" s="8">
        <v>151.5</v>
      </c>
      <c r="B305" s="8">
        <v>303</v>
      </c>
      <c r="D305">
        <v>3451.8206611569999</v>
      </c>
      <c r="E305">
        <v>574.64132231404994</v>
      </c>
      <c r="F305">
        <v>153.06132461160999</v>
      </c>
      <c r="G305">
        <v>119.44480784955</v>
      </c>
      <c r="I305" s="9">
        <f t="shared" si="40"/>
        <v>455.19651446449996</v>
      </c>
      <c r="J305" s="9">
        <f t="shared" si="41"/>
        <v>3298.7593365453899</v>
      </c>
      <c r="K305" s="9">
        <f t="shared" si="31"/>
        <v>455.19651446449996</v>
      </c>
      <c r="L305" s="10">
        <f t="shared" si="30"/>
        <v>0.13799021632817943</v>
      </c>
      <c r="M305" s="10">
        <f t="shared" si="42"/>
        <v>0.16961258210589819</v>
      </c>
      <c r="P305" s="8">
        <f t="shared" si="43"/>
        <v>1.809247700010145</v>
      </c>
    </row>
    <row r="306" spans="1:16" x14ac:dyDescent="0.2">
      <c r="A306" s="8">
        <v>152</v>
      </c>
      <c r="B306" s="8">
        <v>304</v>
      </c>
      <c r="D306">
        <v>3469.5462809916999</v>
      </c>
      <c r="E306">
        <v>567.69090909091005</v>
      </c>
      <c r="F306">
        <v>153.69174161897001</v>
      </c>
      <c r="G306">
        <v>119.11529026983</v>
      </c>
      <c r="I306" s="9">
        <f t="shared" si="40"/>
        <v>448.57561882108007</v>
      </c>
      <c r="J306" s="9">
        <f t="shared" si="41"/>
        <v>3315.85453937273</v>
      </c>
      <c r="K306" s="9">
        <f t="shared" si="31"/>
        <v>448.57561882108007</v>
      </c>
      <c r="L306" s="10">
        <f t="shared" si="30"/>
        <v>0.13528205580029407</v>
      </c>
      <c r="M306" s="10">
        <f t="shared" si="42"/>
        <v>0.16700878582150364</v>
      </c>
      <c r="P306" s="8">
        <f t="shared" si="43"/>
        <v>0.24632979859655077</v>
      </c>
    </row>
    <row r="307" spans="1:16" x14ac:dyDescent="0.2">
      <c r="A307" s="8">
        <v>152.5</v>
      </c>
      <c r="B307" s="8">
        <v>305</v>
      </c>
      <c r="D307">
        <v>3414.7190082645002</v>
      </c>
      <c r="E307">
        <v>558.27851239668996</v>
      </c>
      <c r="F307">
        <v>153.60834014718</v>
      </c>
      <c r="G307">
        <v>119.14227309894</v>
      </c>
      <c r="I307" s="9">
        <f t="shared" si="40"/>
        <v>439.13623929774997</v>
      </c>
      <c r="J307" s="9">
        <f t="shared" si="41"/>
        <v>3261.1106681173201</v>
      </c>
      <c r="K307" s="9">
        <f t="shared" si="31"/>
        <v>439.13623929774997</v>
      </c>
      <c r="L307" s="10">
        <f t="shared" si="30"/>
        <v>0.13465849030853921</v>
      </c>
      <c r="M307" s="10">
        <f t="shared" si="42"/>
        <v>0.16648958457323962</v>
      </c>
      <c r="P307" s="8">
        <f t="shared" si="43"/>
        <v>-6.5318593488317117E-2</v>
      </c>
    </row>
    <row r="308" spans="1:16" x14ac:dyDescent="0.2">
      <c r="A308" s="8">
        <v>153</v>
      </c>
      <c r="B308" s="8">
        <v>306</v>
      </c>
      <c r="D308">
        <v>3468.1904761904998</v>
      </c>
      <c r="E308">
        <v>565.12315270936006</v>
      </c>
      <c r="F308">
        <v>152.93131643500001</v>
      </c>
      <c r="G308">
        <v>119.20196238757001</v>
      </c>
      <c r="I308" s="9">
        <f t="shared" si="40"/>
        <v>445.92119032179005</v>
      </c>
      <c r="J308" s="9">
        <f t="shared" si="41"/>
        <v>3315.2591597554997</v>
      </c>
      <c r="K308" s="9">
        <f t="shared" si="31"/>
        <v>445.92119032179005</v>
      </c>
      <c r="L308" s="10">
        <f t="shared" si="30"/>
        <v>0.13450568080314926</v>
      </c>
      <c r="M308" s="10">
        <f t="shared" si="42"/>
        <v>0.16644113931134047</v>
      </c>
      <c r="P308" s="8">
        <f t="shared" si="43"/>
        <v>-9.4397660662136423E-2</v>
      </c>
    </row>
    <row r="309" spans="1:16" x14ac:dyDescent="0.2">
      <c r="A309" s="8">
        <v>153.5</v>
      </c>
      <c r="B309" s="8">
        <v>307</v>
      </c>
      <c r="D309">
        <v>3483.6018062397002</v>
      </c>
      <c r="E309">
        <v>563.62725779967002</v>
      </c>
      <c r="F309">
        <v>153.23712183155999</v>
      </c>
      <c r="G309">
        <v>118.96402289452</v>
      </c>
      <c r="I309" s="9">
        <f t="shared" si="40"/>
        <v>444.66323490515003</v>
      </c>
      <c r="J309" s="9">
        <f t="shared" si="41"/>
        <v>3330.3646844081404</v>
      </c>
      <c r="K309" s="9">
        <f t="shared" si="31"/>
        <v>444.66323490515003</v>
      </c>
      <c r="L309" s="10">
        <f t="shared" si="30"/>
        <v>0.13351788078553142</v>
      </c>
      <c r="M309" s="10">
        <f t="shared" si="42"/>
        <v>0.16555770353721347</v>
      </c>
      <c r="P309" s="8">
        <f t="shared" si="43"/>
        <v>-0.62467631356885567</v>
      </c>
    </row>
    <row r="310" spans="1:16" x14ac:dyDescent="0.2">
      <c r="A310" s="8">
        <v>154</v>
      </c>
      <c r="B310" s="8">
        <v>308</v>
      </c>
      <c r="D310">
        <v>3443.7006578946998</v>
      </c>
      <c r="E310">
        <v>558.99917763157998</v>
      </c>
      <c r="F310">
        <v>153.19460343418001</v>
      </c>
      <c r="G310">
        <v>119.31398201144999</v>
      </c>
      <c r="I310" s="9">
        <f>E310-G310</f>
        <v>439.68519562013</v>
      </c>
      <c r="J310" s="9">
        <f>D310-F310</f>
        <v>3290.5060544605199</v>
      </c>
      <c r="K310" s="9">
        <f t="shared" si="31"/>
        <v>439.68519562013</v>
      </c>
      <c r="L310" s="10">
        <f t="shared" si="30"/>
        <v>0.13362236335171146</v>
      </c>
      <c r="M310" s="10">
        <f>L310+ABS($N$2)*A310</f>
        <v>0.16576655034688431</v>
      </c>
      <c r="O310" s="11"/>
      <c r="P310" s="8">
        <f>(M310-$O$2)/$O$2*100</f>
        <v>-0.49931688378398048</v>
      </c>
    </row>
    <row r="311" spans="1:16" x14ac:dyDescent="0.2">
      <c r="A311" s="8">
        <v>154.5</v>
      </c>
      <c r="B311" s="8">
        <v>309</v>
      </c>
      <c r="D311">
        <v>3559.4958402662</v>
      </c>
      <c r="E311">
        <v>578.17304492512994</v>
      </c>
      <c r="F311">
        <v>153.0964840556</v>
      </c>
      <c r="G311">
        <v>119.09157808667</v>
      </c>
      <c r="I311" s="9">
        <f t="shared" ref="I311:I319" si="44">E311-G311</f>
        <v>459.08146683845996</v>
      </c>
      <c r="J311" s="9">
        <f t="shared" ref="J311:J319" si="45">D311-F311</f>
        <v>3406.3993562106002</v>
      </c>
      <c r="K311" s="9">
        <f t="shared" si="31"/>
        <v>459.08146683845996</v>
      </c>
      <c r="L311" s="10">
        <f t="shared" si="30"/>
        <v>0.13477030108095092</v>
      </c>
      <c r="M311" s="10">
        <f t="shared" ref="M311:M319" si="46">L311+ABS($N$2)*A311</f>
        <v>0.16701885231961461</v>
      </c>
      <c r="P311" s="8">
        <f t="shared" ref="P311:P319" si="47">(M311-$O$2)/$O$2*100</f>
        <v>0.25237217226321523</v>
      </c>
    </row>
    <row r="312" spans="1:16" x14ac:dyDescent="0.2">
      <c r="A312" s="8">
        <v>155</v>
      </c>
      <c r="B312" s="8">
        <v>310</v>
      </c>
      <c r="D312">
        <v>3560.8194675540999</v>
      </c>
      <c r="E312">
        <v>575.96755407653995</v>
      </c>
      <c r="F312">
        <v>153.39165985282</v>
      </c>
      <c r="G312">
        <v>119.71381847915001</v>
      </c>
      <c r="I312" s="9">
        <f t="shared" si="44"/>
        <v>456.25373559738995</v>
      </c>
      <c r="J312" s="9">
        <f t="shared" si="45"/>
        <v>3407.42780770128</v>
      </c>
      <c r="K312" s="9">
        <f t="shared" si="31"/>
        <v>456.25373559738995</v>
      </c>
      <c r="L312" s="10">
        <f t="shared" si="30"/>
        <v>0.13389975117482766</v>
      </c>
      <c r="M312" s="10">
        <f t="shared" si="46"/>
        <v>0.16625266665698218</v>
      </c>
      <c r="N312" s="1"/>
      <c r="P312" s="8">
        <f t="shared" si="47"/>
        <v>-0.20752758837151333</v>
      </c>
    </row>
    <row r="313" spans="1:16" x14ac:dyDescent="0.2">
      <c r="A313" s="8">
        <v>155.5</v>
      </c>
      <c r="B313" s="8">
        <v>311</v>
      </c>
      <c r="D313">
        <v>3514.8951747087999</v>
      </c>
      <c r="E313">
        <v>569.13893510815001</v>
      </c>
      <c r="F313">
        <v>153.31643499590999</v>
      </c>
      <c r="G313">
        <v>119.24039247751</v>
      </c>
      <c r="I313" s="9">
        <f t="shared" si="44"/>
        <v>449.89854263064001</v>
      </c>
      <c r="J313" s="9">
        <f t="shared" si="45"/>
        <v>3361.5787397128897</v>
      </c>
      <c r="K313" s="9">
        <f t="shared" si="31"/>
        <v>449.89854263064001</v>
      </c>
      <c r="L313" s="10">
        <f t="shared" si="30"/>
        <v>0.13383549143610587</v>
      </c>
      <c r="M313" s="10">
        <f t="shared" si="46"/>
        <v>0.1662927711617512</v>
      </c>
      <c r="P313" s="8">
        <f t="shared" si="47"/>
        <v>-0.18345502601074529</v>
      </c>
    </row>
    <row r="314" spans="1:16" x14ac:dyDescent="0.2">
      <c r="A314" s="8">
        <v>156</v>
      </c>
      <c r="B314" s="8">
        <v>312</v>
      </c>
      <c r="D314">
        <v>3512.4064303380001</v>
      </c>
      <c r="E314">
        <v>566.70403957130998</v>
      </c>
      <c r="F314">
        <v>153.40392477514001</v>
      </c>
      <c r="G314">
        <v>119.03434178249999</v>
      </c>
      <c r="I314" s="9">
        <f t="shared" si="44"/>
        <v>447.66969778880997</v>
      </c>
      <c r="J314" s="9">
        <f t="shared" si="45"/>
        <v>3359.0025055628603</v>
      </c>
      <c r="K314" s="9">
        <f t="shared" si="31"/>
        <v>447.66969778880997</v>
      </c>
      <c r="L314" s="10">
        <f t="shared" si="30"/>
        <v>0.13327459477848619</v>
      </c>
      <c r="M314" s="10">
        <f t="shared" si="46"/>
        <v>0.16583623874762232</v>
      </c>
      <c r="P314" s="8">
        <f t="shared" si="47"/>
        <v>-0.45748671078346603</v>
      </c>
    </row>
    <row r="315" spans="1:16" x14ac:dyDescent="0.2">
      <c r="A315" s="8">
        <v>156.5</v>
      </c>
      <c r="B315" s="8">
        <v>313</v>
      </c>
      <c r="D315">
        <v>3389.6759639048</v>
      </c>
      <c r="E315">
        <v>540.83921246924001</v>
      </c>
      <c r="F315">
        <v>153.46197874079999</v>
      </c>
      <c r="G315">
        <v>118.77596075225</v>
      </c>
      <c r="I315" s="9">
        <f t="shared" si="44"/>
        <v>422.06325171699001</v>
      </c>
      <c r="J315" s="9">
        <f t="shared" si="45"/>
        <v>3236.213985164</v>
      </c>
      <c r="K315" s="9">
        <f t="shared" si="31"/>
        <v>422.06325171699001</v>
      </c>
      <c r="L315" s="10">
        <f t="shared" si="30"/>
        <v>0.13041883313399047</v>
      </c>
      <c r="M315" s="10">
        <f t="shared" si="46"/>
        <v>0.16308484134661744</v>
      </c>
      <c r="P315" s="8">
        <f t="shared" si="47"/>
        <v>-2.1090015691869421</v>
      </c>
    </row>
    <row r="316" spans="1:16" x14ac:dyDescent="0.2">
      <c r="A316" s="8">
        <v>157</v>
      </c>
      <c r="B316" s="8">
        <v>314</v>
      </c>
      <c r="D316">
        <v>3297.0123051681999</v>
      </c>
      <c r="E316">
        <v>535.57506152584006</v>
      </c>
      <c r="F316">
        <v>153.52820932134</v>
      </c>
      <c r="G316">
        <v>119.28536385936</v>
      </c>
      <c r="I316" s="9">
        <f t="shared" si="44"/>
        <v>416.28969766648004</v>
      </c>
      <c r="J316" s="9">
        <f t="shared" si="45"/>
        <v>3143.4840958468599</v>
      </c>
      <c r="K316" s="9">
        <f t="shared" si="31"/>
        <v>416.28969766648004</v>
      </c>
      <c r="L316" s="10">
        <f t="shared" si="30"/>
        <v>0.13242939521039024</v>
      </c>
      <c r="M316" s="10">
        <f t="shared" si="46"/>
        <v>0.16519976766650801</v>
      </c>
      <c r="P316" s="8">
        <f t="shared" si="47"/>
        <v>-0.83952583280215398</v>
      </c>
    </row>
    <row r="317" spans="1:16" x14ac:dyDescent="0.2">
      <c r="A317" s="8">
        <v>157.5</v>
      </c>
      <c r="B317" s="8">
        <v>315</v>
      </c>
      <c r="D317">
        <v>3356.0574241180998</v>
      </c>
      <c r="E317">
        <v>536.88761279738003</v>
      </c>
      <c r="F317">
        <v>153.19378577269001</v>
      </c>
      <c r="G317">
        <v>118.85609157809</v>
      </c>
      <c r="I317" s="9">
        <f t="shared" si="44"/>
        <v>418.03152121929003</v>
      </c>
      <c r="J317" s="9">
        <f t="shared" si="45"/>
        <v>3202.86363834541</v>
      </c>
      <c r="K317" s="9">
        <f t="shared" si="31"/>
        <v>418.03152121929003</v>
      </c>
      <c r="L317" s="10">
        <f t="shared" si="30"/>
        <v>0.13051805147572373</v>
      </c>
      <c r="M317" s="10">
        <f t="shared" si="46"/>
        <v>0.16339278817533234</v>
      </c>
      <c r="P317" s="8">
        <f t="shared" si="47"/>
        <v>-1.9241577647132044</v>
      </c>
    </row>
    <row r="318" spans="1:16" x14ac:dyDescent="0.2">
      <c r="A318" s="8">
        <v>158</v>
      </c>
      <c r="B318" s="8">
        <v>316</v>
      </c>
      <c r="D318">
        <v>3350.8673805601002</v>
      </c>
      <c r="E318">
        <v>540.91021416804006</v>
      </c>
      <c r="F318">
        <v>152.65821749796001</v>
      </c>
      <c r="G318">
        <v>119.33442354864999</v>
      </c>
      <c r="I318" s="9">
        <f t="shared" si="44"/>
        <v>421.57579061939009</v>
      </c>
      <c r="J318" s="9">
        <f t="shared" si="45"/>
        <v>3198.2091630621403</v>
      </c>
      <c r="K318" s="9">
        <f t="shared" si="31"/>
        <v>421.57579061939009</v>
      </c>
      <c r="L318" s="10">
        <f t="shared" si="30"/>
        <v>0.13181620373313871</v>
      </c>
      <c r="M318" s="10">
        <f t="shared" si="46"/>
        <v>0.16479530467623815</v>
      </c>
      <c r="P318" s="8">
        <f t="shared" si="47"/>
        <v>-1.0823030622423693</v>
      </c>
    </row>
    <row r="319" spans="1:16" x14ac:dyDescent="0.2">
      <c r="A319" s="8">
        <v>158.5</v>
      </c>
      <c r="B319" s="8">
        <v>317</v>
      </c>
      <c r="D319">
        <v>3415.3640856672</v>
      </c>
      <c r="E319">
        <v>548.1705107084</v>
      </c>
      <c r="F319">
        <v>152.92968111202001</v>
      </c>
      <c r="G319">
        <v>119.19215044971</v>
      </c>
      <c r="I319" s="9">
        <f t="shared" si="44"/>
        <v>428.97836025869003</v>
      </c>
      <c r="J319" s="9">
        <f t="shared" si="45"/>
        <v>3262.4344045551802</v>
      </c>
      <c r="K319" s="9">
        <f t="shared" si="31"/>
        <v>428.97836025869003</v>
      </c>
      <c r="L319" s="10">
        <f t="shared" si="30"/>
        <v>0.13149026373058356</v>
      </c>
      <c r="M319" s="10">
        <f t="shared" si="46"/>
        <v>0.16457372891717381</v>
      </c>
      <c r="P319" s="8">
        <f t="shared" si="47"/>
        <v>-1.2153029910142501</v>
      </c>
    </row>
    <row r="320" spans="1:16" x14ac:dyDescent="0.2">
      <c r="A320" s="8">
        <v>159</v>
      </c>
      <c r="B320" s="8">
        <v>318</v>
      </c>
      <c r="D320">
        <v>3438.8118323746999</v>
      </c>
      <c r="E320">
        <v>550.61955628595001</v>
      </c>
      <c r="F320">
        <v>152.75715453801999</v>
      </c>
      <c r="G320">
        <v>118.74161896974999</v>
      </c>
      <c r="I320" s="9">
        <f>E320-G320</f>
        <v>431.87793731620002</v>
      </c>
      <c r="J320" s="9">
        <f>D320-F320</f>
        <v>3286.0546778366797</v>
      </c>
      <c r="K320" s="9">
        <f t="shared" si="31"/>
        <v>431.87793731620002</v>
      </c>
      <c r="L320" s="10">
        <f t="shared" si="30"/>
        <v>0.13142749578364282</v>
      </c>
      <c r="M320" s="10">
        <f>L320+ABS($N$2)*A320</f>
        <v>0.16461532521372391</v>
      </c>
      <c r="O320" s="11"/>
      <c r="P320" s="8">
        <f>(M320-$O$2)/$O$2*100</f>
        <v>-1.1903349868350104</v>
      </c>
    </row>
    <row r="321" spans="1:16" x14ac:dyDescent="0.2">
      <c r="A321" s="8">
        <v>159.5</v>
      </c>
      <c r="B321" s="8">
        <v>319</v>
      </c>
      <c r="D321">
        <v>3376.7472984206001</v>
      </c>
      <c r="E321">
        <v>536.51704073150995</v>
      </c>
      <c r="F321">
        <v>152.80457890432999</v>
      </c>
      <c r="G321">
        <v>119.28209321340999</v>
      </c>
      <c r="I321" s="9">
        <f t="shared" ref="I321:I322" si="48">E321-G321</f>
        <v>417.23494751809994</v>
      </c>
      <c r="J321" s="9">
        <f t="shared" ref="J321:J322" si="49">D321-F321</f>
        <v>3223.9427195162702</v>
      </c>
      <c r="K321" s="9">
        <f t="shared" si="31"/>
        <v>417.23494751809994</v>
      </c>
      <c r="L321" s="10">
        <f t="shared" si="30"/>
        <v>0.12941760565172297</v>
      </c>
      <c r="M321" s="10">
        <f t="shared" ref="M321:M322" si="50">L321+ABS($N$2)*A321</f>
        <v>0.16270979932529486</v>
      </c>
      <c r="P321" s="8">
        <f t="shared" ref="P321:P322" si="51">(M321-$O$2)/$O$2*100</f>
        <v>-2.3341189842552597</v>
      </c>
    </row>
    <row r="322" spans="1:16" x14ac:dyDescent="0.2">
      <c r="A322" s="8">
        <v>160</v>
      </c>
      <c r="D322">
        <v>3373.3283458022001</v>
      </c>
      <c r="E322">
        <v>535.29758935993004</v>
      </c>
      <c r="F322">
        <v>153.36304170074001</v>
      </c>
      <c r="G322">
        <v>118.95257563369</v>
      </c>
      <c r="I322" s="9">
        <f t="shared" si="48"/>
        <v>416.34501372624004</v>
      </c>
      <c r="J322" s="9">
        <f t="shared" si="49"/>
        <v>3219.9653041014603</v>
      </c>
      <c r="K322" s="9">
        <f t="shared" si="31"/>
        <v>416.34501372624004</v>
      </c>
      <c r="L322" s="10">
        <f t="shared" ref="L322" si="52">K322/J322</f>
        <v>0.12930108693901662</v>
      </c>
      <c r="M322" s="10">
        <f t="shared" si="50"/>
        <v>0.16269764485607935</v>
      </c>
      <c r="P322" s="8">
        <f t="shared" si="51"/>
        <v>-2.3414146539022895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672A-27DE-F64B-B8CD-F3F6444488DE}">
  <dimension ref="A1:Y798"/>
  <sheetViews>
    <sheetView tabSelected="1" topLeftCell="E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3429.7750000000001</v>
      </c>
      <c r="E2">
        <v>706.11465517241004</v>
      </c>
      <c r="F2">
        <v>204.21904761905</v>
      </c>
      <c r="G2">
        <v>143.14718614719001</v>
      </c>
      <c r="H2" s="4"/>
      <c r="I2" s="5">
        <f>E2-G2</f>
        <v>562.96746902522</v>
      </c>
      <c r="J2" s="5">
        <f>D2-F2</f>
        <v>3225.5559523809502</v>
      </c>
      <c r="K2" s="9">
        <f>I2*1</f>
        <v>562.96746902522</v>
      </c>
      <c r="L2" s="6">
        <f t="shared" ref="L2:L65" si="0">K2/J2</f>
        <v>0.17453346875277873</v>
      </c>
      <c r="M2" s="6">
        <f>L2+ABS($N$2)*A2</f>
        <v>0.17453346875277873</v>
      </c>
      <c r="N2" s="4">
        <f>LINEST(V64:V103,U64:U103)</f>
        <v>-1.5546256740337497E-4</v>
      </c>
      <c r="O2" s="7">
        <f>AVERAGE(M62:M81)</f>
        <v>0.16586146718371844</v>
      </c>
      <c r="P2" s="4">
        <f>(M2-$O$2)/$O$2*100</f>
        <v>5.2284606643776019</v>
      </c>
    </row>
    <row r="3" spans="1:16" x14ac:dyDescent="0.2">
      <c r="A3" s="8">
        <v>0.5</v>
      </c>
      <c r="B3" s="8">
        <v>1</v>
      </c>
      <c r="D3">
        <v>3306.8534482759001</v>
      </c>
      <c r="E3">
        <v>678.36034482758998</v>
      </c>
      <c r="F3">
        <v>204.37402597402999</v>
      </c>
      <c r="G3">
        <v>143.96190476191001</v>
      </c>
      <c r="I3" s="9">
        <f t="shared" ref="I3:I66" si="1">E3-G3</f>
        <v>534.39844006568001</v>
      </c>
      <c r="J3" s="9">
        <f t="shared" ref="J3:J66" si="2">D3-F3</f>
        <v>3102.4794223018703</v>
      </c>
      <c r="K3" s="9">
        <f t="shared" ref="K3:K66" si="3">I3*1</f>
        <v>534.39844006568001</v>
      </c>
      <c r="L3" s="10">
        <f t="shared" si="0"/>
        <v>0.1722488266075865</v>
      </c>
      <c r="M3" s="10">
        <f t="shared" ref="M3:M66" si="4">L3+ABS($N$2)*A3</f>
        <v>0.1723265578912882</v>
      </c>
      <c r="P3" s="8">
        <f t="shared" ref="P3:P66" si="5">(M3-$O$2)/$O$2*100</f>
        <v>3.8978858787066106</v>
      </c>
    </row>
    <row r="4" spans="1:16" ht="16" x14ac:dyDescent="0.2">
      <c r="A4" s="8">
        <v>1</v>
      </c>
      <c r="B4" s="8">
        <v>2</v>
      </c>
      <c r="D4">
        <v>3119.4439655172</v>
      </c>
      <c r="E4">
        <v>643.11724137931003</v>
      </c>
      <c r="F4">
        <v>203.27012987013001</v>
      </c>
      <c r="G4">
        <v>143.76363636363999</v>
      </c>
      <c r="I4" s="9">
        <f t="shared" si="1"/>
        <v>499.35360501567004</v>
      </c>
      <c r="J4" s="9">
        <f t="shared" si="2"/>
        <v>2916.1738356470701</v>
      </c>
      <c r="K4" s="9">
        <f t="shared" si="3"/>
        <v>499.35360501567004</v>
      </c>
      <c r="L4" s="10">
        <f t="shared" si="0"/>
        <v>0.17123588412721233</v>
      </c>
      <c r="M4" s="10">
        <f t="shared" si="4"/>
        <v>0.1713913466946157</v>
      </c>
      <c r="N4" s="1" t="s">
        <v>7</v>
      </c>
      <c r="P4" s="8">
        <f t="shared" si="5"/>
        <v>3.3340350865050645</v>
      </c>
    </row>
    <row r="5" spans="1:16" x14ac:dyDescent="0.2">
      <c r="A5" s="8">
        <v>1.5</v>
      </c>
      <c r="B5" s="8">
        <v>3</v>
      </c>
      <c r="D5">
        <v>3255.0198275861999</v>
      </c>
      <c r="E5">
        <v>660.51206896552003</v>
      </c>
      <c r="F5">
        <v>204.05800865801001</v>
      </c>
      <c r="G5">
        <v>143.49696969697001</v>
      </c>
      <c r="I5" s="9">
        <f t="shared" si="1"/>
        <v>517.01509926854999</v>
      </c>
      <c r="J5" s="9">
        <f t="shared" si="2"/>
        <v>3050.96181892819</v>
      </c>
      <c r="K5" s="9">
        <f t="shared" si="3"/>
        <v>517.01509926854999</v>
      </c>
      <c r="L5" s="10">
        <f t="shared" si="0"/>
        <v>0.16945970810286265</v>
      </c>
      <c r="M5" s="10">
        <f t="shared" si="4"/>
        <v>0.16969290195396772</v>
      </c>
      <c r="N5" s="8">
        <f>RSQ(V64:V83,U64:U83)</f>
        <v>0.65047033995506243</v>
      </c>
      <c r="P5" s="8">
        <f t="shared" si="5"/>
        <v>2.3100210285764211</v>
      </c>
    </row>
    <row r="6" spans="1:16" x14ac:dyDescent="0.2">
      <c r="A6" s="8">
        <v>2</v>
      </c>
      <c r="B6" s="8">
        <v>4</v>
      </c>
      <c r="D6">
        <v>3632.9655172414</v>
      </c>
      <c r="E6">
        <v>796.54051724138003</v>
      </c>
      <c r="F6">
        <v>203.99134199133999</v>
      </c>
      <c r="G6">
        <v>143.94805194804999</v>
      </c>
      <c r="I6" s="9">
        <f t="shared" si="1"/>
        <v>652.59246529333006</v>
      </c>
      <c r="J6" s="9">
        <f t="shared" si="2"/>
        <v>3428.9741752500599</v>
      </c>
      <c r="K6" s="9">
        <f t="shared" si="3"/>
        <v>652.59246529333006</v>
      </c>
      <c r="L6" s="10">
        <f t="shared" si="0"/>
        <v>0.19031711291489659</v>
      </c>
      <c r="M6" s="10">
        <f t="shared" si="4"/>
        <v>0.19062803804970332</v>
      </c>
      <c r="P6" s="8">
        <f t="shared" si="5"/>
        <v>14.932082349513943</v>
      </c>
    </row>
    <row r="7" spans="1:16" x14ac:dyDescent="0.2">
      <c r="A7" s="8">
        <v>2.5</v>
      </c>
      <c r="B7" s="8">
        <v>5</v>
      </c>
      <c r="D7">
        <v>3522.2077586207001</v>
      </c>
      <c r="E7">
        <v>851.59051724137998</v>
      </c>
      <c r="F7">
        <v>204.22943722944001</v>
      </c>
      <c r="G7">
        <v>143.66580086580001</v>
      </c>
      <c r="I7" s="9">
        <f t="shared" si="1"/>
        <v>707.92471637557992</v>
      </c>
      <c r="J7" s="9">
        <f t="shared" si="2"/>
        <v>3317.9783213912601</v>
      </c>
      <c r="K7" s="9">
        <f t="shared" si="3"/>
        <v>707.92471637557992</v>
      </c>
      <c r="L7" s="10">
        <f t="shared" si="0"/>
        <v>0.21336025971343306</v>
      </c>
      <c r="M7" s="10">
        <f t="shared" si="4"/>
        <v>0.2137489161319415</v>
      </c>
      <c r="P7" s="8">
        <f t="shared" si="5"/>
        <v>28.871955470633782</v>
      </c>
    </row>
    <row r="8" spans="1:16" x14ac:dyDescent="0.2">
      <c r="A8" s="8">
        <v>3</v>
      </c>
      <c r="B8" s="8">
        <v>6</v>
      </c>
      <c r="D8">
        <v>3598.6741379310001</v>
      </c>
      <c r="E8">
        <v>841.80431034483001</v>
      </c>
      <c r="F8">
        <v>204.11688311687999</v>
      </c>
      <c r="G8">
        <v>143.27012987013001</v>
      </c>
      <c r="I8" s="9">
        <f t="shared" si="1"/>
        <v>698.53418047469995</v>
      </c>
      <c r="J8" s="9">
        <f t="shared" si="2"/>
        <v>3394.5572548141199</v>
      </c>
      <c r="K8" s="9">
        <f t="shared" si="3"/>
        <v>698.53418047469995</v>
      </c>
      <c r="L8" s="10">
        <f t="shared" si="0"/>
        <v>0.20578064473181215</v>
      </c>
      <c r="M8" s="10">
        <f t="shared" si="4"/>
        <v>0.20624703243402229</v>
      </c>
      <c r="P8" s="8">
        <f t="shared" si="5"/>
        <v>24.348973837045762</v>
      </c>
    </row>
    <row r="9" spans="1:16" x14ac:dyDescent="0.2">
      <c r="A9" s="8">
        <v>3.5</v>
      </c>
      <c r="B9" s="8">
        <v>7</v>
      </c>
      <c r="D9">
        <v>3601.5310344827999</v>
      </c>
      <c r="E9">
        <v>837.79568965517001</v>
      </c>
      <c r="F9">
        <v>204.32467532467999</v>
      </c>
      <c r="G9">
        <v>143.48311688312</v>
      </c>
      <c r="I9" s="9">
        <f t="shared" si="1"/>
        <v>694.31257277204998</v>
      </c>
      <c r="J9" s="9">
        <f t="shared" si="2"/>
        <v>3397.20635915812</v>
      </c>
      <c r="K9" s="9">
        <f t="shared" si="3"/>
        <v>694.31257277204998</v>
      </c>
      <c r="L9" s="10">
        <f t="shared" si="0"/>
        <v>0.20437750886116654</v>
      </c>
      <c r="M9" s="10">
        <f t="shared" si="4"/>
        <v>0.20492162784707835</v>
      </c>
      <c r="P9" s="8">
        <f t="shared" si="5"/>
        <v>23.549870459119024</v>
      </c>
    </row>
    <row r="10" spans="1:16" x14ac:dyDescent="0.2">
      <c r="A10" s="8">
        <v>4</v>
      </c>
      <c r="B10" s="8">
        <v>8</v>
      </c>
      <c r="D10">
        <v>3472.7603448276</v>
      </c>
      <c r="E10">
        <v>846.16810344828002</v>
      </c>
      <c r="F10">
        <v>203.41904761904999</v>
      </c>
      <c r="G10">
        <v>143.28225108225001</v>
      </c>
      <c r="I10" s="9">
        <f t="shared" si="1"/>
        <v>702.88585236603001</v>
      </c>
      <c r="J10" s="9">
        <f t="shared" si="2"/>
        <v>3269.3412972085498</v>
      </c>
      <c r="K10" s="9">
        <f t="shared" si="3"/>
        <v>702.88585236603001</v>
      </c>
      <c r="L10" s="10">
        <f t="shared" si="0"/>
        <v>0.21499310976378408</v>
      </c>
      <c r="M10" s="10">
        <f t="shared" si="4"/>
        <v>0.21561496003339758</v>
      </c>
      <c r="P10" s="8">
        <f t="shared" si="5"/>
        <v>29.997017206274375</v>
      </c>
    </row>
    <row r="11" spans="1:16" x14ac:dyDescent="0.2">
      <c r="A11" s="8">
        <v>4.5</v>
      </c>
      <c r="B11" s="8">
        <v>9</v>
      </c>
      <c r="D11">
        <v>3295.8241379310002</v>
      </c>
      <c r="E11">
        <v>859.41379310344996</v>
      </c>
      <c r="F11">
        <v>204.01991341991001</v>
      </c>
      <c r="G11">
        <v>143.80779220778999</v>
      </c>
      <c r="I11" s="9">
        <f t="shared" si="1"/>
        <v>715.60600089565992</v>
      </c>
      <c r="J11" s="9">
        <f t="shared" si="2"/>
        <v>3091.8042245110901</v>
      </c>
      <c r="K11" s="9">
        <f t="shared" si="3"/>
        <v>715.60600089565992</v>
      </c>
      <c r="L11" s="10">
        <f t="shared" si="0"/>
        <v>0.23145255938992043</v>
      </c>
      <c r="M11" s="10">
        <f t="shared" si="4"/>
        <v>0.23215214094323561</v>
      </c>
      <c r="P11" s="8">
        <f t="shared" si="5"/>
        <v>39.967495094016932</v>
      </c>
    </row>
    <row r="12" spans="1:16" x14ac:dyDescent="0.2">
      <c r="A12" s="8">
        <v>5</v>
      </c>
      <c r="B12" s="8">
        <v>10</v>
      </c>
      <c r="D12">
        <v>2751.4068965516999</v>
      </c>
      <c r="E12">
        <v>729.36465517241004</v>
      </c>
      <c r="F12">
        <v>202.92294372294</v>
      </c>
      <c r="G12">
        <v>143.10303030303001</v>
      </c>
      <c r="I12" s="9">
        <f t="shared" si="1"/>
        <v>586.26162486938006</v>
      </c>
      <c r="J12" s="9">
        <f t="shared" si="2"/>
        <v>2548.4839528287598</v>
      </c>
      <c r="K12" s="9">
        <f t="shared" si="3"/>
        <v>586.26162486938006</v>
      </c>
      <c r="L12" s="10">
        <f t="shared" si="0"/>
        <v>0.23004328680141103</v>
      </c>
      <c r="M12" s="10">
        <f t="shared" si="4"/>
        <v>0.23082059963842791</v>
      </c>
      <c r="P12" s="8">
        <f t="shared" si="5"/>
        <v>39.164691810399042</v>
      </c>
    </row>
    <row r="13" spans="1:16" x14ac:dyDescent="0.2">
      <c r="A13" s="8">
        <v>5.5</v>
      </c>
      <c r="B13" s="8">
        <v>11</v>
      </c>
      <c r="D13">
        <v>2641.2137931034999</v>
      </c>
      <c r="E13">
        <v>642.91293103448004</v>
      </c>
      <c r="F13">
        <v>203.68831168830999</v>
      </c>
      <c r="G13">
        <v>143.10735930736001</v>
      </c>
      <c r="I13" s="9">
        <f t="shared" si="1"/>
        <v>499.80557172712003</v>
      </c>
      <c r="J13" s="9">
        <f t="shared" si="2"/>
        <v>2437.5254814151899</v>
      </c>
      <c r="K13" s="9">
        <f t="shared" si="3"/>
        <v>499.80557172712003</v>
      </c>
      <c r="L13" s="10">
        <f t="shared" si="0"/>
        <v>0.20504629614659067</v>
      </c>
      <c r="M13" s="10">
        <f t="shared" si="4"/>
        <v>0.20590134026730925</v>
      </c>
      <c r="P13" s="8">
        <f t="shared" si="5"/>
        <v>24.140551608192492</v>
      </c>
    </row>
    <row r="14" spans="1:16" x14ac:dyDescent="0.2">
      <c r="A14" s="8">
        <v>6</v>
      </c>
      <c r="B14" s="8">
        <v>12</v>
      </c>
      <c r="D14">
        <v>3748.6870689655002</v>
      </c>
      <c r="E14">
        <v>792.47500000000002</v>
      </c>
      <c r="F14">
        <v>203.83549783550001</v>
      </c>
      <c r="G14">
        <v>143.00606060606</v>
      </c>
      <c r="I14" s="9">
        <f t="shared" si="1"/>
        <v>649.46893939393999</v>
      </c>
      <c r="J14" s="9">
        <f t="shared" si="2"/>
        <v>3544.8515711300001</v>
      </c>
      <c r="K14" s="9">
        <f t="shared" si="3"/>
        <v>649.46893939393999</v>
      </c>
      <c r="L14" s="10">
        <f t="shared" si="0"/>
        <v>0.18321470627524958</v>
      </c>
      <c r="M14" s="10">
        <f t="shared" si="4"/>
        <v>0.18414748167966982</v>
      </c>
      <c r="P14" s="8">
        <f t="shared" si="5"/>
        <v>11.024872025095894</v>
      </c>
    </row>
    <row r="15" spans="1:16" x14ac:dyDescent="0.2">
      <c r="A15" s="8">
        <v>6.5</v>
      </c>
      <c r="B15" s="8">
        <v>13</v>
      </c>
      <c r="D15">
        <v>3977.2689655171998</v>
      </c>
      <c r="E15">
        <v>823.96810344827998</v>
      </c>
      <c r="F15">
        <v>203.16796536797</v>
      </c>
      <c r="G15">
        <v>142.92554112554001</v>
      </c>
      <c r="I15" s="9">
        <f t="shared" si="1"/>
        <v>681.04256232273997</v>
      </c>
      <c r="J15" s="9">
        <f t="shared" si="2"/>
        <v>3774.10100014923</v>
      </c>
      <c r="K15" s="9">
        <f t="shared" si="3"/>
        <v>681.04256232273997</v>
      </c>
      <c r="L15" s="10">
        <f t="shared" si="0"/>
        <v>0.18045159954537815</v>
      </c>
      <c r="M15" s="10">
        <f t="shared" si="4"/>
        <v>0.18146210623350009</v>
      </c>
      <c r="P15" s="8">
        <f t="shared" si="5"/>
        <v>9.4058248215671547</v>
      </c>
    </row>
    <row r="16" spans="1:16" x14ac:dyDescent="0.2">
      <c r="A16" s="8">
        <v>7</v>
      </c>
      <c r="B16" s="8">
        <v>14</v>
      </c>
      <c r="D16">
        <v>4541.5793103448004</v>
      </c>
      <c r="E16">
        <v>978.61810344827995</v>
      </c>
      <c r="F16">
        <v>204.05194805195001</v>
      </c>
      <c r="G16">
        <v>142.69523809524</v>
      </c>
      <c r="I16" s="9">
        <f t="shared" si="1"/>
        <v>835.92286535303992</v>
      </c>
      <c r="J16" s="9">
        <f t="shared" si="2"/>
        <v>4337.5273622928507</v>
      </c>
      <c r="K16" s="9">
        <f t="shared" si="3"/>
        <v>835.92286535303992</v>
      </c>
      <c r="L16" s="10">
        <f t="shared" si="0"/>
        <v>0.19271875322791385</v>
      </c>
      <c r="M16" s="10">
        <f t="shared" si="4"/>
        <v>0.19380699119973746</v>
      </c>
      <c r="P16" s="8">
        <f t="shared" si="5"/>
        <v>16.848713863760064</v>
      </c>
    </row>
    <row r="17" spans="1:16" x14ac:dyDescent="0.2">
      <c r="A17" s="8">
        <v>7.5</v>
      </c>
      <c r="B17" s="8">
        <v>15</v>
      </c>
      <c r="D17">
        <v>4731.9250000000002</v>
      </c>
      <c r="E17">
        <v>1005.0086206897</v>
      </c>
      <c r="F17">
        <v>204.41645021644999</v>
      </c>
      <c r="G17">
        <v>144.25454545455</v>
      </c>
      <c r="I17" s="9">
        <f t="shared" si="1"/>
        <v>860.75407523515003</v>
      </c>
      <c r="J17" s="9">
        <f t="shared" si="2"/>
        <v>4527.5085497835498</v>
      </c>
      <c r="K17" s="9">
        <f t="shared" si="3"/>
        <v>860.75407523515003</v>
      </c>
      <c r="L17" s="10">
        <f t="shared" si="0"/>
        <v>0.1901164991231879</v>
      </c>
      <c r="M17" s="10">
        <f t="shared" si="4"/>
        <v>0.19128246837871321</v>
      </c>
      <c r="P17" s="8">
        <f t="shared" si="5"/>
        <v>15.326646765301366</v>
      </c>
    </row>
    <row r="18" spans="1:16" x14ac:dyDescent="0.2">
      <c r="A18" s="8">
        <v>8</v>
      </c>
      <c r="B18" s="8">
        <v>16</v>
      </c>
      <c r="D18">
        <v>4628.4344827586001</v>
      </c>
      <c r="E18">
        <v>971.09827586206995</v>
      </c>
      <c r="F18">
        <v>205.51428571429</v>
      </c>
      <c r="G18">
        <v>144.11255411254999</v>
      </c>
      <c r="I18" s="9">
        <f t="shared" si="1"/>
        <v>826.98572174951994</v>
      </c>
      <c r="J18" s="9">
        <f t="shared" si="2"/>
        <v>4422.92019704431</v>
      </c>
      <c r="K18" s="9">
        <f t="shared" si="3"/>
        <v>826.98572174951994</v>
      </c>
      <c r="L18" s="10">
        <f t="shared" si="0"/>
        <v>0.18697731021739142</v>
      </c>
      <c r="M18" s="10">
        <f t="shared" si="4"/>
        <v>0.18822101075661843</v>
      </c>
      <c r="P18" s="8">
        <f t="shared" si="5"/>
        <v>13.480854807664983</v>
      </c>
    </row>
    <row r="19" spans="1:16" x14ac:dyDescent="0.2">
      <c r="A19" s="8">
        <v>8.5</v>
      </c>
      <c r="B19" s="8">
        <v>17</v>
      </c>
      <c r="D19">
        <v>4815.6220880069004</v>
      </c>
      <c r="E19">
        <v>999.46419327006004</v>
      </c>
      <c r="F19">
        <v>203.68917748918</v>
      </c>
      <c r="G19">
        <v>143.34025974026</v>
      </c>
      <c r="I19" s="9">
        <f t="shared" si="1"/>
        <v>856.12393352980007</v>
      </c>
      <c r="J19" s="9">
        <f t="shared" si="2"/>
        <v>4611.9329105177203</v>
      </c>
      <c r="K19" s="9">
        <f t="shared" si="3"/>
        <v>856.12393352980007</v>
      </c>
      <c r="L19" s="10">
        <f t="shared" si="0"/>
        <v>0.18563234768167833</v>
      </c>
      <c r="M19" s="10">
        <f t="shared" si="4"/>
        <v>0.18695377950460701</v>
      </c>
      <c r="P19" s="8">
        <f t="shared" si="5"/>
        <v>12.716824877429437</v>
      </c>
    </row>
    <row r="20" spans="1:16" x14ac:dyDescent="0.2">
      <c r="A20" s="8">
        <v>9</v>
      </c>
      <c r="B20" s="8">
        <v>18</v>
      </c>
      <c r="D20">
        <v>4553.7100949094001</v>
      </c>
      <c r="E20">
        <v>921.70664365832999</v>
      </c>
      <c r="F20">
        <v>203.78441558442</v>
      </c>
      <c r="G20">
        <v>143.20432900432999</v>
      </c>
      <c r="I20" s="9">
        <f t="shared" si="1"/>
        <v>778.50231465399997</v>
      </c>
      <c r="J20" s="9">
        <f t="shared" si="2"/>
        <v>4349.9256793249806</v>
      </c>
      <c r="K20" s="9">
        <f t="shared" si="3"/>
        <v>778.50231465399997</v>
      </c>
      <c r="L20" s="10">
        <f t="shared" si="0"/>
        <v>0.17896910707099889</v>
      </c>
      <c r="M20" s="10">
        <f t="shared" si="4"/>
        <v>0.18036827017762927</v>
      </c>
      <c r="P20" s="8">
        <f t="shared" si="5"/>
        <v>8.7463370728791361</v>
      </c>
    </row>
    <row r="21" spans="1:16" x14ac:dyDescent="0.2">
      <c r="A21" s="8">
        <v>9.5</v>
      </c>
      <c r="B21" s="8">
        <v>19</v>
      </c>
      <c r="D21">
        <v>4801.9489177489004</v>
      </c>
      <c r="E21">
        <v>973.02424242424001</v>
      </c>
      <c r="F21">
        <v>203.50735930735999</v>
      </c>
      <c r="G21">
        <v>142.93246753247001</v>
      </c>
      <c r="I21" s="9">
        <f t="shared" si="1"/>
        <v>830.09177489177</v>
      </c>
      <c r="J21" s="9">
        <f t="shared" si="2"/>
        <v>4598.4415584415401</v>
      </c>
      <c r="K21" s="9">
        <f t="shared" si="3"/>
        <v>830.09177489177</v>
      </c>
      <c r="L21" s="10">
        <f t="shared" si="0"/>
        <v>0.18051589094743151</v>
      </c>
      <c r="M21" s="10">
        <f t="shared" si="4"/>
        <v>0.18199278533776356</v>
      </c>
      <c r="P21" s="8">
        <f t="shared" si="5"/>
        <v>9.7257780411269774</v>
      </c>
    </row>
    <row r="22" spans="1:16" x14ac:dyDescent="0.2">
      <c r="A22" s="8">
        <v>10</v>
      </c>
      <c r="B22" s="8">
        <v>20</v>
      </c>
      <c r="D22">
        <v>4688.6623376623002</v>
      </c>
      <c r="E22">
        <v>935.09437229437003</v>
      </c>
      <c r="F22">
        <v>202.37056277056001</v>
      </c>
      <c r="G22">
        <v>142.81558441557999</v>
      </c>
      <c r="I22" s="9">
        <f t="shared" si="1"/>
        <v>792.27878787879001</v>
      </c>
      <c r="J22" s="9">
        <f t="shared" si="2"/>
        <v>4486.2917748917398</v>
      </c>
      <c r="K22" s="9">
        <f t="shared" si="3"/>
        <v>792.27878787879001</v>
      </c>
      <c r="L22" s="10">
        <f t="shared" si="0"/>
        <v>0.17659992431007426</v>
      </c>
      <c r="M22" s="10">
        <f t="shared" si="4"/>
        <v>0.17815454998410801</v>
      </c>
      <c r="P22" s="8">
        <f t="shared" si="5"/>
        <v>7.4116568538327172</v>
      </c>
    </row>
    <row r="23" spans="1:16" x14ac:dyDescent="0.2">
      <c r="A23" s="8">
        <v>10.5</v>
      </c>
      <c r="B23" s="8">
        <v>21</v>
      </c>
      <c r="D23">
        <v>4626.4398268397999</v>
      </c>
      <c r="E23">
        <v>911.74285714285998</v>
      </c>
      <c r="F23">
        <v>202.60952380952</v>
      </c>
      <c r="G23">
        <v>142.07186147185999</v>
      </c>
      <c r="I23" s="9">
        <f t="shared" si="1"/>
        <v>769.67099567100001</v>
      </c>
      <c r="J23" s="9">
        <f t="shared" si="2"/>
        <v>4423.8303030302795</v>
      </c>
      <c r="K23" s="9">
        <f t="shared" si="3"/>
        <v>769.67099567100001</v>
      </c>
      <c r="L23" s="10">
        <f t="shared" si="0"/>
        <v>0.17398293852813093</v>
      </c>
      <c r="M23" s="10">
        <f t="shared" si="4"/>
        <v>0.17561529548586638</v>
      </c>
      <c r="P23" s="8">
        <f t="shared" si="5"/>
        <v>5.8807078387555753</v>
      </c>
    </row>
    <row r="24" spans="1:16" x14ac:dyDescent="0.2">
      <c r="A24" s="8">
        <v>11</v>
      </c>
      <c r="B24" s="8">
        <v>22</v>
      </c>
      <c r="D24">
        <v>4652.7645021645003</v>
      </c>
      <c r="E24">
        <v>940.23896103896004</v>
      </c>
      <c r="F24">
        <v>202.15411255410999</v>
      </c>
      <c r="G24">
        <v>141.91688311688</v>
      </c>
      <c r="I24" s="9">
        <f t="shared" si="1"/>
        <v>798.3220779220801</v>
      </c>
      <c r="J24" s="9">
        <f t="shared" si="2"/>
        <v>4450.6103896103905</v>
      </c>
      <c r="K24" s="9">
        <f t="shared" si="3"/>
        <v>798.3220779220801</v>
      </c>
      <c r="L24" s="10">
        <f t="shared" si="0"/>
        <v>0.17937361575969488</v>
      </c>
      <c r="M24" s="10">
        <f t="shared" si="4"/>
        <v>0.181083704001132</v>
      </c>
      <c r="P24" s="8">
        <f t="shared" si="5"/>
        <v>9.1776812757555426</v>
      </c>
    </row>
    <row r="25" spans="1:16" x14ac:dyDescent="0.2">
      <c r="A25" s="8">
        <v>11.5</v>
      </c>
      <c r="B25" s="8">
        <v>23</v>
      </c>
      <c r="D25">
        <v>4401.1370689654996</v>
      </c>
      <c r="E25">
        <v>907.51034482758996</v>
      </c>
      <c r="F25">
        <v>203.49090909091001</v>
      </c>
      <c r="G25">
        <v>142.74718614719001</v>
      </c>
      <c r="I25" s="9">
        <f t="shared" si="1"/>
        <v>764.76315868040001</v>
      </c>
      <c r="J25" s="9">
        <f t="shared" si="2"/>
        <v>4197.64615987459</v>
      </c>
      <c r="K25" s="9">
        <f t="shared" si="3"/>
        <v>764.76315868040001</v>
      </c>
      <c r="L25" s="10">
        <f t="shared" si="0"/>
        <v>0.18218857177405545</v>
      </c>
      <c r="M25" s="10">
        <f t="shared" si="4"/>
        <v>0.18397639129919427</v>
      </c>
      <c r="P25" s="8">
        <f t="shared" si="5"/>
        <v>10.921719446392339</v>
      </c>
    </row>
    <row r="26" spans="1:16" x14ac:dyDescent="0.2">
      <c r="A26" s="8">
        <v>12</v>
      </c>
      <c r="B26" s="8">
        <v>24</v>
      </c>
      <c r="D26">
        <v>4527.0336206897</v>
      </c>
      <c r="E26">
        <v>986.76206896552003</v>
      </c>
      <c r="F26">
        <v>204.78181818182</v>
      </c>
      <c r="G26">
        <v>143.72467532467999</v>
      </c>
      <c r="I26" s="9">
        <f t="shared" si="1"/>
        <v>843.03739364084004</v>
      </c>
      <c r="J26" s="9">
        <f t="shared" si="2"/>
        <v>4322.2518025078798</v>
      </c>
      <c r="K26" s="9">
        <f t="shared" si="3"/>
        <v>843.03739364084004</v>
      </c>
      <c r="L26" s="10">
        <f t="shared" si="0"/>
        <v>0.19504587704762791</v>
      </c>
      <c r="M26" s="10">
        <f t="shared" si="4"/>
        <v>0.1969114278564684</v>
      </c>
      <c r="P26" s="8">
        <f t="shared" si="5"/>
        <v>18.720418431097738</v>
      </c>
    </row>
    <row r="27" spans="1:16" x14ac:dyDescent="0.2">
      <c r="A27" s="8">
        <v>12.5</v>
      </c>
      <c r="B27" s="8">
        <v>25</v>
      </c>
      <c r="D27">
        <v>4536.7336206896998</v>
      </c>
      <c r="E27">
        <v>968.51896551723996</v>
      </c>
      <c r="F27">
        <v>205.51515151515</v>
      </c>
      <c r="G27">
        <v>143.94199134198999</v>
      </c>
      <c r="I27" s="9">
        <f t="shared" si="1"/>
        <v>824.57697417524992</v>
      </c>
      <c r="J27" s="9">
        <f t="shared" si="2"/>
        <v>4331.2184691745497</v>
      </c>
      <c r="K27" s="9">
        <f t="shared" si="3"/>
        <v>824.57697417524992</v>
      </c>
      <c r="L27" s="10">
        <f t="shared" si="0"/>
        <v>0.19037990811218514</v>
      </c>
      <c r="M27" s="10">
        <f t="shared" si="4"/>
        <v>0.19232319020472732</v>
      </c>
      <c r="P27" s="8">
        <f t="shared" si="5"/>
        <v>15.954111265456392</v>
      </c>
    </row>
    <row r="28" spans="1:16" x14ac:dyDescent="0.2">
      <c r="A28" s="8">
        <v>13</v>
      </c>
      <c r="B28" s="8">
        <v>26</v>
      </c>
      <c r="D28">
        <v>4779.3448275862002</v>
      </c>
      <c r="E28">
        <v>1007.3534482759</v>
      </c>
      <c r="F28">
        <v>205.48225108225</v>
      </c>
      <c r="G28">
        <v>144.16796536797</v>
      </c>
      <c r="I28" s="9">
        <f t="shared" si="1"/>
        <v>863.18548290793001</v>
      </c>
      <c r="J28" s="9">
        <f t="shared" si="2"/>
        <v>4573.8625765039505</v>
      </c>
      <c r="K28" s="9">
        <f t="shared" si="3"/>
        <v>863.18548290793001</v>
      </c>
      <c r="L28" s="10">
        <f t="shared" si="0"/>
        <v>0.1887213418571288</v>
      </c>
      <c r="M28" s="10">
        <f t="shared" si="4"/>
        <v>0.19074235523337268</v>
      </c>
      <c r="P28" s="8">
        <f t="shared" si="5"/>
        <v>15.001005641711002</v>
      </c>
    </row>
    <row r="29" spans="1:16" x14ac:dyDescent="0.2">
      <c r="A29" s="8">
        <v>13.5</v>
      </c>
      <c r="B29" s="8">
        <v>27</v>
      </c>
      <c r="D29">
        <v>4422.6155172414001</v>
      </c>
      <c r="E29">
        <v>907.05775862069004</v>
      </c>
      <c r="F29">
        <v>204.21298701299</v>
      </c>
      <c r="G29">
        <v>143.46320346319999</v>
      </c>
      <c r="I29" s="9">
        <f t="shared" si="1"/>
        <v>763.59455515749005</v>
      </c>
      <c r="J29" s="9">
        <f t="shared" si="2"/>
        <v>4218.4025302284099</v>
      </c>
      <c r="K29" s="9">
        <f t="shared" si="3"/>
        <v>763.59455515749005</v>
      </c>
      <c r="L29" s="10">
        <f t="shared" si="0"/>
        <v>0.18101509983594297</v>
      </c>
      <c r="M29" s="10">
        <f t="shared" si="4"/>
        <v>0.18311384449588852</v>
      </c>
      <c r="P29" s="8">
        <f t="shared" si="5"/>
        <v>10.401678946358455</v>
      </c>
    </row>
    <row r="30" spans="1:16" x14ac:dyDescent="0.2">
      <c r="A30" s="8">
        <v>14</v>
      </c>
      <c r="B30" s="8">
        <v>28</v>
      </c>
      <c r="D30">
        <v>4818.3802938633999</v>
      </c>
      <c r="E30">
        <v>1011.5799481417999</v>
      </c>
      <c r="F30">
        <v>202.83636363636001</v>
      </c>
      <c r="G30">
        <v>142.25108225107999</v>
      </c>
      <c r="I30" s="9">
        <f t="shared" si="1"/>
        <v>869.32886589071995</v>
      </c>
      <c r="J30" s="9">
        <f t="shared" si="2"/>
        <v>4615.5439302270397</v>
      </c>
      <c r="K30" s="9">
        <f t="shared" si="3"/>
        <v>869.32886589071995</v>
      </c>
      <c r="L30" s="10">
        <f t="shared" si="0"/>
        <v>0.18834808616976104</v>
      </c>
      <c r="M30" s="10">
        <f t="shared" si="4"/>
        <v>0.19052456211340829</v>
      </c>
      <c r="P30" s="8">
        <f t="shared" si="5"/>
        <v>14.869695384022785</v>
      </c>
    </row>
    <row r="31" spans="1:16" x14ac:dyDescent="0.2">
      <c r="A31" s="8">
        <v>14.5</v>
      </c>
      <c r="B31" s="8">
        <v>29</v>
      </c>
      <c r="D31">
        <v>4129.4330164217999</v>
      </c>
      <c r="E31">
        <v>892.56439066551002</v>
      </c>
      <c r="F31">
        <v>206.60346320346</v>
      </c>
      <c r="G31">
        <v>143.65108225108</v>
      </c>
      <c r="I31" s="9">
        <f t="shared" si="1"/>
        <v>748.91330841443005</v>
      </c>
      <c r="J31" s="9">
        <f t="shared" si="2"/>
        <v>3922.8295532183402</v>
      </c>
      <c r="K31" s="9">
        <f t="shared" si="3"/>
        <v>748.91330841443005</v>
      </c>
      <c r="L31" s="10">
        <f t="shared" si="0"/>
        <v>0.1909115087093223</v>
      </c>
      <c r="M31" s="10">
        <f t="shared" si="4"/>
        <v>0.19316571593667123</v>
      </c>
      <c r="P31" s="8">
        <f t="shared" si="5"/>
        <v>16.462080805488661</v>
      </c>
    </row>
    <row r="32" spans="1:16" x14ac:dyDescent="0.2">
      <c r="A32" s="8">
        <v>15</v>
      </c>
      <c r="B32" s="8">
        <v>30</v>
      </c>
      <c r="D32">
        <v>4254.7104580812002</v>
      </c>
      <c r="E32">
        <v>925.12445980985001</v>
      </c>
      <c r="F32">
        <v>205.23290043290001</v>
      </c>
      <c r="G32">
        <v>144.04502164502</v>
      </c>
      <c r="I32" s="9">
        <f t="shared" si="1"/>
        <v>781.07943816482998</v>
      </c>
      <c r="J32" s="9">
        <f t="shared" si="2"/>
        <v>4049.4775576483003</v>
      </c>
      <c r="K32" s="9">
        <f t="shared" si="3"/>
        <v>781.07943816482998</v>
      </c>
      <c r="L32" s="10">
        <f t="shared" si="0"/>
        <v>0.19288400220655508</v>
      </c>
      <c r="M32" s="10">
        <f t="shared" si="4"/>
        <v>0.1952159407176057</v>
      </c>
      <c r="P32" s="8">
        <f t="shared" si="5"/>
        <v>17.698187549114362</v>
      </c>
    </row>
    <row r="33" spans="1:16" x14ac:dyDescent="0.2">
      <c r="A33" s="8">
        <v>15.5</v>
      </c>
      <c r="B33" s="8">
        <v>31</v>
      </c>
      <c r="D33">
        <v>4643.8072601555996</v>
      </c>
      <c r="E33">
        <v>983.29213483145998</v>
      </c>
      <c r="F33">
        <v>202.09523809524001</v>
      </c>
      <c r="G33">
        <v>142.82424242424</v>
      </c>
      <c r="I33" s="9">
        <f t="shared" si="1"/>
        <v>840.46789240722001</v>
      </c>
      <c r="J33" s="9">
        <f t="shared" si="2"/>
        <v>4441.7120220603592</v>
      </c>
      <c r="K33" s="9">
        <f t="shared" si="3"/>
        <v>840.46789240722001</v>
      </c>
      <c r="L33" s="10">
        <f t="shared" si="0"/>
        <v>0.18922160829718887</v>
      </c>
      <c r="M33" s="10">
        <f t="shared" si="4"/>
        <v>0.19163127809194119</v>
      </c>
      <c r="P33" s="8">
        <f t="shared" si="5"/>
        <v>15.53694860282317</v>
      </c>
    </row>
    <row r="34" spans="1:16" x14ac:dyDescent="0.2">
      <c r="A34" s="8">
        <v>16</v>
      </c>
      <c r="B34" s="8">
        <v>32</v>
      </c>
      <c r="D34">
        <v>4744.7536732930002</v>
      </c>
      <c r="E34">
        <v>994.99654278306002</v>
      </c>
      <c r="F34">
        <v>201.99220779221</v>
      </c>
      <c r="G34">
        <v>141.98095238094999</v>
      </c>
      <c r="I34" s="9">
        <f t="shared" si="1"/>
        <v>853.01559040211009</v>
      </c>
      <c r="J34" s="9">
        <f t="shared" si="2"/>
        <v>4542.7614655007901</v>
      </c>
      <c r="K34" s="9">
        <f t="shared" si="3"/>
        <v>853.01559040211009</v>
      </c>
      <c r="L34" s="10">
        <f t="shared" si="0"/>
        <v>0.18777468217959237</v>
      </c>
      <c r="M34" s="10">
        <f t="shared" si="4"/>
        <v>0.19026208325804636</v>
      </c>
      <c r="P34" s="8">
        <f t="shared" si="5"/>
        <v>14.711443524914852</v>
      </c>
    </row>
    <row r="35" spans="1:16" x14ac:dyDescent="0.2">
      <c r="A35" s="8">
        <v>16.5</v>
      </c>
      <c r="B35" s="8">
        <v>33</v>
      </c>
      <c r="D35">
        <v>4731.6093344856999</v>
      </c>
      <c r="E35">
        <v>1000.5306828004</v>
      </c>
      <c r="F35">
        <v>201.12554112554</v>
      </c>
      <c r="G35">
        <v>142.63290043289999</v>
      </c>
      <c r="I35" s="9">
        <f t="shared" si="1"/>
        <v>857.89778236749999</v>
      </c>
      <c r="J35" s="9">
        <f t="shared" si="2"/>
        <v>4530.4837933601602</v>
      </c>
      <c r="K35" s="9">
        <f t="shared" si="3"/>
        <v>857.89778236749999</v>
      </c>
      <c r="L35" s="10">
        <f t="shared" si="0"/>
        <v>0.18936118558129</v>
      </c>
      <c r="M35" s="10">
        <f t="shared" si="4"/>
        <v>0.1919263179434457</v>
      </c>
      <c r="P35" s="8">
        <f t="shared" si="5"/>
        <v>15.714831902973708</v>
      </c>
    </row>
    <row r="36" spans="1:16" x14ac:dyDescent="0.2">
      <c r="A36" s="8">
        <v>17</v>
      </c>
      <c r="B36" s="8">
        <v>34</v>
      </c>
      <c r="D36">
        <v>4397.7776816609003</v>
      </c>
      <c r="E36">
        <v>928.61418685120998</v>
      </c>
      <c r="F36">
        <v>201.17142857143</v>
      </c>
      <c r="G36">
        <v>141.72640692640999</v>
      </c>
      <c r="I36" s="9">
        <f t="shared" si="1"/>
        <v>786.88777992480004</v>
      </c>
      <c r="J36" s="9">
        <f t="shared" si="2"/>
        <v>4196.6062530894706</v>
      </c>
      <c r="K36" s="9">
        <f t="shared" si="3"/>
        <v>786.88777992480004</v>
      </c>
      <c r="L36" s="10">
        <f t="shared" si="0"/>
        <v>0.18750574451570398</v>
      </c>
      <c r="M36" s="10">
        <f t="shared" si="4"/>
        <v>0.19014860816156134</v>
      </c>
      <c r="P36" s="8">
        <f t="shared" si="5"/>
        <v>14.643027937851871</v>
      </c>
    </row>
    <row r="37" spans="1:16" x14ac:dyDescent="0.2">
      <c r="A37" s="8">
        <v>17.5</v>
      </c>
      <c r="B37" s="8">
        <v>35</v>
      </c>
      <c r="D37">
        <v>4568.0648788927001</v>
      </c>
      <c r="E37">
        <v>987.19117647058999</v>
      </c>
      <c r="F37">
        <v>201.91601731602</v>
      </c>
      <c r="G37">
        <v>142.20606060605999</v>
      </c>
      <c r="I37" s="9">
        <f t="shared" si="1"/>
        <v>844.98511586453003</v>
      </c>
      <c r="J37" s="9">
        <f t="shared" si="2"/>
        <v>4366.1488615766802</v>
      </c>
      <c r="K37" s="9">
        <f t="shared" si="3"/>
        <v>844.98511586453003</v>
      </c>
      <c r="L37" s="10">
        <f t="shared" si="0"/>
        <v>0.19353099096108087</v>
      </c>
      <c r="M37" s="10">
        <f t="shared" si="4"/>
        <v>0.19625158589063993</v>
      </c>
      <c r="P37" s="8">
        <f t="shared" si="5"/>
        <v>18.32259127025538</v>
      </c>
    </row>
    <row r="38" spans="1:16" x14ac:dyDescent="0.2">
      <c r="A38" s="8">
        <v>18</v>
      </c>
      <c r="B38" s="8">
        <v>36</v>
      </c>
      <c r="D38">
        <v>4360.3651202748997</v>
      </c>
      <c r="E38">
        <v>913.11426116839004</v>
      </c>
      <c r="F38">
        <v>202.30216450217</v>
      </c>
      <c r="G38">
        <v>143.18961038961001</v>
      </c>
      <c r="I38" s="9">
        <f t="shared" si="1"/>
        <v>769.92465077878001</v>
      </c>
      <c r="J38" s="9">
        <f t="shared" si="2"/>
        <v>4158.0629557727298</v>
      </c>
      <c r="K38" s="9">
        <f t="shared" si="3"/>
        <v>769.92465077878001</v>
      </c>
      <c r="L38" s="10">
        <f t="shared" si="0"/>
        <v>0.18516426012979836</v>
      </c>
      <c r="M38" s="10">
        <f t="shared" si="4"/>
        <v>0.18796258634305912</v>
      </c>
      <c r="P38" s="8">
        <f t="shared" si="5"/>
        <v>13.325047423377795</v>
      </c>
    </row>
    <row r="39" spans="1:16" x14ac:dyDescent="0.2">
      <c r="A39" s="8">
        <v>18.5</v>
      </c>
      <c r="B39" s="8">
        <v>37</v>
      </c>
      <c r="D39">
        <v>4341.7096219931</v>
      </c>
      <c r="E39">
        <v>894.23024054983</v>
      </c>
      <c r="F39">
        <v>202.75584415584001</v>
      </c>
      <c r="G39">
        <v>141.77662337661999</v>
      </c>
      <c r="I39" s="9">
        <f t="shared" si="1"/>
        <v>752.45361717320998</v>
      </c>
      <c r="J39" s="9">
        <f t="shared" si="2"/>
        <v>4138.9537778372596</v>
      </c>
      <c r="K39" s="9">
        <f t="shared" si="3"/>
        <v>752.45361717320998</v>
      </c>
      <c r="L39" s="10">
        <f t="shared" si="0"/>
        <v>0.18179802374270337</v>
      </c>
      <c r="M39" s="10">
        <f t="shared" si="4"/>
        <v>0.1846740812396658</v>
      </c>
      <c r="P39" s="8">
        <f t="shared" si="5"/>
        <v>11.342365635237837</v>
      </c>
    </row>
    <row r="40" spans="1:16" x14ac:dyDescent="0.2">
      <c r="A40" s="8">
        <v>19</v>
      </c>
      <c r="B40" s="8">
        <v>38</v>
      </c>
      <c r="D40">
        <v>4195.2018900344001</v>
      </c>
      <c r="E40">
        <v>864.12027491409003</v>
      </c>
      <c r="F40">
        <v>202.07705627706</v>
      </c>
      <c r="G40">
        <v>141.74372294372</v>
      </c>
      <c r="I40" s="9">
        <f t="shared" si="1"/>
        <v>722.37655197036997</v>
      </c>
      <c r="J40" s="9">
        <f t="shared" si="2"/>
        <v>3993.1248337573402</v>
      </c>
      <c r="K40" s="9">
        <f t="shared" si="3"/>
        <v>722.37655197036997</v>
      </c>
      <c r="L40" s="10">
        <f t="shared" si="0"/>
        <v>0.18090507611069301</v>
      </c>
      <c r="M40" s="10">
        <f t="shared" si="4"/>
        <v>0.18385886489135714</v>
      </c>
      <c r="P40" s="8">
        <f t="shared" si="5"/>
        <v>10.850861271897266</v>
      </c>
    </row>
    <row r="41" spans="1:16" x14ac:dyDescent="0.2">
      <c r="A41" s="8">
        <v>19.5</v>
      </c>
      <c r="B41" s="8">
        <v>39</v>
      </c>
      <c r="D41">
        <v>4182.8273195876</v>
      </c>
      <c r="E41">
        <v>855.62800687285005</v>
      </c>
      <c r="F41">
        <v>201.21731601732</v>
      </c>
      <c r="G41">
        <v>141.55497835497999</v>
      </c>
      <c r="I41" s="9">
        <f t="shared" si="1"/>
        <v>714.07302851787006</v>
      </c>
      <c r="J41" s="9">
        <f t="shared" si="2"/>
        <v>3981.6100035702798</v>
      </c>
      <c r="K41" s="9">
        <f t="shared" si="3"/>
        <v>714.07302851787006</v>
      </c>
      <c r="L41" s="10">
        <f t="shared" si="0"/>
        <v>0.17934278542538473</v>
      </c>
      <c r="M41" s="10">
        <f t="shared" si="4"/>
        <v>0.18237430548975053</v>
      </c>
      <c r="P41" s="8">
        <f t="shared" si="5"/>
        <v>9.9558014205562575</v>
      </c>
    </row>
    <row r="42" spans="1:16" x14ac:dyDescent="0.2">
      <c r="A42" s="8">
        <v>20</v>
      </c>
      <c r="B42" s="8">
        <v>40</v>
      </c>
      <c r="D42">
        <v>4622.4633304572999</v>
      </c>
      <c r="E42">
        <v>935.24331320104</v>
      </c>
      <c r="F42">
        <v>200.43722943723</v>
      </c>
      <c r="G42">
        <v>141.76796536796999</v>
      </c>
      <c r="I42" s="9">
        <f t="shared" si="1"/>
        <v>793.47534783307003</v>
      </c>
      <c r="J42" s="9">
        <f t="shared" si="2"/>
        <v>4422.0261010200702</v>
      </c>
      <c r="K42" s="9">
        <f t="shared" si="3"/>
        <v>793.47534783307003</v>
      </c>
      <c r="L42" s="10">
        <f t="shared" si="0"/>
        <v>0.17943705661303799</v>
      </c>
      <c r="M42" s="10">
        <f t="shared" si="4"/>
        <v>0.18254630796110549</v>
      </c>
      <c r="P42" s="8">
        <f t="shared" si="5"/>
        <v>10.059503910517014</v>
      </c>
    </row>
    <row r="43" spans="1:16" x14ac:dyDescent="0.2">
      <c r="A43" s="8">
        <v>20.5</v>
      </c>
      <c r="B43" s="8">
        <v>41</v>
      </c>
      <c r="D43">
        <v>4584.9577221743002</v>
      </c>
      <c r="E43">
        <v>923.28817946506001</v>
      </c>
      <c r="F43">
        <v>201.08484848485</v>
      </c>
      <c r="G43">
        <v>141.43722943723</v>
      </c>
      <c r="I43" s="9">
        <f t="shared" si="1"/>
        <v>781.85095002782998</v>
      </c>
      <c r="J43" s="9">
        <f t="shared" si="2"/>
        <v>4383.87287368945</v>
      </c>
      <c r="K43" s="9">
        <f t="shared" si="3"/>
        <v>781.85095002782998</v>
      </c>
      <c r="L43" s="10">
        <f t="shared" si="0"/>
        <v>0.17834708545501854</v>
      </c>
      <c r="M43" s="10">
        <f t="shared" si="4"/>
        <v>0.18153406808678774</v>
      </c>
      <c r="P43" s="8">
        <f t="shared" si="5"/>
        <v>9.4492115433353501</v>
      </c>
    </row>
    <row r="44" spans="1:16" x14ac:dyDescent="0.2">
      <c r="A44" s="8">
        <v>21</v>
      </c>
      <c r="B44" s="8">
        <v>42</v>
      </c>
      <c r="D44">
        <v>4408.6583261431997</v>
      </c>
      <c r="E44">
        <v>869.91975841242004</v>
      </c>
      <c r="F44">
        <v>199.62337662338001</v>
      </c>
      <c r="G44">
        <v>140.74025974026</v>
      </c>
      <c r="I44" s="9">
        <f t="shared" si="1"/>
        <v>729.17949867215998</v>
      </c>
      <c r="J44" s="9">
        <f t="shared" si="2"/>
        <v>4209.0349495198197</v>
      </c>
      <c r="K44" s="9">
        <f t="shared" si="3"/>
        <v>729.17949867215998</v>
      </c>
      <c r="L44" s="10">
        <f t="shared" si="0"/>
        <v>0.17324149298293356</v>
      </c>
      <c r="M44" s="10">
        <f t="shared" si="4"/>
        <v>0.17650620689840443</v>
      </c>
      <c r="P44" s="8">
        <f t="shared" si="5"/>
        <v>6.4178497244903889</v>
      </c>
    </row>
    <row r="45" spans="1:16" x14ac:dyDescent="0.2">
      <c r="A45" s="8">
        <v>21.5</v>
      </c>
      <c r="B45" s="8">
        <v>43</v>
      </c>
      <c r="D45">
        <v>4603.5332182916</v>
      </c>
      <c r="E45">
        <v>918.58843830888998</v>
      </c>
      <c r="F45">
        <v>200.54805194804999</v>
      </c>
      <c r="G45">
        <v>141.49090909091001</v>
      </c>
      <c r="I45" s="9">
        <f t="shared" si="1"/>
        <v>777.09752921797997</v>
      </c>
      <c r="J45" s="9">
        <f t="shared" si="2"/>
        <v>4402.9851663435502</v>
      </c>
      <c r="K45" s="9">
        <f t="shared" si="3"/>
        <v>777.09752921797997</v>
      </c>
      <c r="L45" s="10">
        <f t="shared" si="0"/>
        <v>0.176493333467966</v>
      </c>
      <c r="M45" s="10">
        <f t="shared" si="4"/>
        <v>0.17983577866713857</v>
      </c>
      <c r="P45" s="8">
        <f t="shared" si="5"/>
        <v>8.4252911304235081</v>
      </c>
    </row>
    <row r="46" spans="1:16" x14ac:dyDescent="0.2">
      <c r="A46" s="8">
        <v>22</v>
      </c>
      <c r="B46" s="8">
        <v>44</v>
      </c>
      <c r="D46">
        <v>4377.4913644214002</v>
      </c>
      <c r="E46">
        <v>870.54576856648998</v>
      </c>
      <c r="F46">
        <v>199.11774891774999</v>
      </c>
      <c r="G46">
        <v>140.92034632035001</v>
      </c>
      <c r="I46" s="9">
        <f t="shared" si="1"/>
        <v>729.62542224614003</v>
      </c>
      <c r="J46" s="9">
        <f t="shared" si="2"/>
        <v>4178.3736155036504</v>
      </c>
      <c r="K46" s="9">
        <f t="shared" si="3"/>
        <v>729.62542224614003</v>
      </c>
      <c r="L46" s="10">
        <f t="shared" si="0"/>
        <v>0.1746194786265404</v>
      </c>
      <c r="M46" s="10">
        <f t="shared" si="4"/>
        <v>0.17803965510941464</v>
      </c>
      <c r="P46" s="8">
        <f t="shared" si="5"/>
        <v>7.3423852643283798</v>
      </c>
    </row>
    <row r="47" spans="1:16" x14ac:dyDescent="0.2">
      <c r="A47" s="8">
        <v>22.5</v>
      </c>
      <c r="B47" s="8">
        <v>45</v>
      </c>
      <c r="D47">
        <v>4580.6372294372004</v>
      </c>
      <c r="E47">
        <v>915.51774891775005</v>
      </c>
      <c r="F47">
        <v>199.50043290043001</v>
      </c>
      <c r="G47">
        <v>141.35670995671001</v>
      </c>
      <c r="I47" s="9">
        <f t="shared" si="1"/>
        <v>774.16103896104005</v>
      </c>
      <c r="J47" s="9">
        <f t="shared" si="2"/>
        <v>4381.1367965367708</v>
      </c>
      <c r="K47" s="9">
        <f t="shared" si="3"/>
        <v>774.16103896104005</v>
      </c>
      <c r="L47" s="10">
        <f t="shared" si="0"/>
        <v>0.17670323363858528</v>
      </c>
      <c r="M47" s="10">
        <f t="shared" si="4"/>
        <v>0.18020114140516122</v>
      </c>
      <c r="P47" s="8">
        <f t="shared" si="5"/>
        <v>8.6455729983138685</v>
      </c>
    </row>
    <row r="48" spans="1:16" x14ac:dyDescent="0.2">
      <c r="A48" s="8">
        <v>23</v>
      </c>
      <c r="B48" s="8">
        <v>46</v>
      </c>
      <c r="D48">
        <v>4317.1922077922</v>
      </c>
      <c r="E48">
        <v>845.04502164502003</v>
      </c>
      <c r="F48">
        <v>200.44415584416001</v>
      </c>
      <c r="G48">
        <v>139.67619047618999</v>
      </c>
      <c r="I48" s="9">
        <f t="shared" si="1"/>
        <v>705.36883116883007</v>
      </c>
      <c r="J48" s="9">
        <f t="shared" si="2"/>
        <v>4116.7480519480396</v>
      </c>
      <c r="K48" s="9">
        <f t="shared" si="3"/>
        <v>705.36883116883007</v>
      </c>
      <c r="L48" s="10">
        <f t="shared" si="0"/>
        <v>0.17134126797850807</v>
      </c>
      <c r="M48" s="10">
        <f t="shared" si="4"/>
        <v>0.17491690702878571</v>
      </c>
      <c r="P48" s="8">
        <f t="shared" si="5"/>
        <v>5.4596405053121213</v>
      </c>
    </row>
    <row r="49" spans="1:25" x14ac:dyDescent="0.2">
      <c r="A49" s="8">
        <v>23.5</v>
      </c>
      <c r="B49" s="8">
        <v>47</v>
      </c>
      <c r="D49">
        <v>4300.0311688312004</v>
      </c>
      <c r="E49">
        <v>838.68398268398005</v>
      </c>
      <c r="F49">
        <v>197.84415584416001</v>
      </c>
      <c r="G49">
        <v>140.74372294372</v>
      </c>
      <c r="I49" s="9">
        <f t="shared" si="1"/>
        <v>697.94025974025999</v>
      </c>
      <c r="J49" s="9">
        <f t="shared" si="2"/>
        <v>4102.1870129870404</v>
      </c>
      <c r="K49" s="9">
        <f t="shared" si="3"/>
        <v>697.94025974025999</v>
      </c>
      <c r="L49" s="10">
        <f t="shared" si="0"/>
        <v>0.1701385766983961</v>
      </c>
      <c r="M49" s="10">
        <f t="shared" si="4"/>
        <v>0.17379194703237541</v>
      </c>
      <c r="P49" s="8">
        <f t="shared" si="5"/>
        <v>4.7813877347851248</v>
      </c>
    </row>
    <row r="50" spans="1:25" x14ac:dyDescent="0.2">
      <c r="A50" s="8">
        <v>24</v>
      </c>
      <c r="B50" s="8">
        <v>48</v>
      </c>
      <c r="D50">
        <v>4565.2413494809998</v>
      </c>
      <c r="E50">
        <v>912.41262975779</v>
      </c>
      <c r="F50">
        <v>199.04502164502</v>
      </c>
      <c r="G50">
        <v>140.74199134199</v>
      </c>
      <c r="I50" s="9">
        <f t="shared" si="1"/>
        <v>771.6706384158</v>
      </c>
      <c r="J50" s="9">
        <f t="shared" si="2"/>
        <v>4366.1963278359799</v>
      </c>
      <c r="K50" s="9">
        <f t="shared" si="3"/>
        <v>771.6706384158</v>
      </c>
      <c r="L50" s="10">
        <f t="shared" si="0"/>
        <v>0.17673750341828159</v>
      </c>
      <c r="M50" s="10">
        <f t="shared" si="4"/>
        <v>0.1804686050359626</v>
      </c>
      <c r="P50" s="8">
        <f t="shared" si="5"/>
        <v>8.8068302422915306</v>
      </c>
    </row>
    <row r="51" spans="1:25" x14ac:dyDescent="0.2">
      <c r="A51" s="8">
        <v>24.5</v>
      </c>
      <c r="B51" s="8">
        <v>49</v>
      </c>
      <c r="D51">
        <v>4432.0456503015002</v>
      </c>
      <c r="E51">
        <v>878.48923341947</v>
      </c>
      <c r="F51">
        <v>199.27272727273001</v>
      </c>
      <c r="G51">
        <v>140.83376623377001</v>
      </c>
      <c r="I51" s="9">
        <f t="shared" si="1"/>
        <v>737.65546718569999</v>
      </c>
      <c r="J51" s="9">
        <f t="shared" si="2"/>
        <v>4232.7729230287705</v>
      </c>
      <c r="K51" s="9">
        <f t="shared" si="3"/>
        <v>737.65546718569999</v>
      </c>
      <c r="L51" s="10">
        <f t="shared" si="0"/>
        <v>0.1742723932040911</v>
      </c>
      <c r="M51" s="10">
        <f t="shared" si="4"/>
        <v>0.17808122610547378</v>
      </c>
      <c r="P51" s="8">
        <f t="shared" si="5"/>
        <v>7.3674489495622106</v>
      </c>
    </row>
    <row r="52" spans="1:25" x14ac:dyDescent="0.2">
      <c r="A52" s="8">
        <v>25</v>
      </c>
      <c r="B52" s="8">
        <v>50</v>
      </c>
      <c r="D52">
        <v>4502.7217915589999</v>
      </c>
      <c r="E52">
        <v>901.31610680448</v>
      </c>
      <c r="F52">
        <v>199.29004329003999</v>
      </c>
      <c r="G52">
        <v>139.84155844156001</v>
      </c>
      <c r="I52" s="9">
        <f t="shared" si="1"/>
        <v>761.47454836292002</v>
      </c>
      <c r="J52" s="9">
        <f t="shared" si="2"/>
        <v>4303.4317482689603</v>
      </c>
      <c r="K52" s="9">
        <f t="shared" si="3"/>
        <v>761.47454836292002</v>
      </c>
      <c r="L52" s="10">
        <f t="shared" si="0"/>
        <v>0.17694588712118425</v>
      </c>
      <c r="M52" s="10">
        <f t="shared" si="4"/>
        <v>0.18083245130626863</v>
      </c>
      <c r="P52" s="8">
        <f t="shared" si="5"/>
        <v>9.026197812399305</v>
      </c>
    </row>
    <row r="53" spans="1:25" x14ac:dyDescent="0.2">
      <c r="A53" s="8">
        <v>25.5</v>
      </c>
      <c r="B53" s="8">
        <v>51</v>
      </c>
      <c r="D53">
        <v>4449.8647717485001</v>
      </c>
      <c r="E53">
        <v>876.51076658053</v>
      </c>
      <c r="F53">
        <v>199.25974025974</v>
      </c>
      <c r="G53">
        <v>140.67359307359001</v>
      </c>
      <c r="I53" s="9">
        <f t="shared" si="1"/>
        <v>735.83717350693996</v>
      </c>
      <c r="J53" s="9">
        <f t="shared" si="2"/>
        <v>4250.6050314887598</v>
      </c>
      <c r="K53" s="9">
        <f t="shared" si="3"/>
        <v>735.83717350693996</v>
      </c>
      <c r="L53" s="10">
        <f t="shared" si="0"/>
        <v>0.17311351397173111</v>
      </c>
      <c r="M53" s="10">
        <f t="shared" si="4"/>
        <v>0.17707780944051718</v>
      </c>
      <c r="P53" s="8">
        <f t="shared" si="5"/>
        <v>6.7624762081567882</v>
      </c>
      <c r="S53" s="11"/>
      <c r="U53" s="12"/>
    </row>
    <row r="54" spans="1:25" x14ac:dyDescent="0.2">
      <c r="A54" s="8">
        <v>26</v>
      </c>
      <c r="B54" s="8">
        <v>52</v>
      </c>
      <c r="D54">
        <v>4312.3169681309</v>
      </c>
      <c r="E54">
        <v>847.89577950042997</v>
      </c>
      <c r="F54">
        <v>198.11601731601999</v>
      </c>
      <c r="G54">
        <v>140.60346320346</v>
      </c>
      <c r="I54" s="9">
        <f t="shared" si="1"/>
        <v>707.29231629696994</v>
      </c>
      <c r="J54" s="9">
        <f t="shared" si="2"/>
        <v>4114.2009508148803</v>
      </c>
      <c r="K54" s="9">
        <f t="shared" si="3"/>
        <v>707.29231629696994</v>
      </c>
      <c r="L54" s="10">
        <f t="shared" si="0"/>
        <v>0.1719148687078301</v>
      </c>
      <c r="M54" s="10">
        <f t="shared" si="4"/>
        <v>0.17595689546031784</v>
      </c>
      <c r="P54" s="8">
        <f t="shared" si="5"/>
        <v>6.0866628325535537</v>
      </c>
      <c r="S54" s="11"/>
    </row>
    <row r="55" spans="1:25" x14ac:dyDescent="0.2">
      <c r="A55" s="8">
        <v>26.5</v>
      </c>
      <c r="B55" s="8">
        <v>53</v>
      </c>
      <c r="D55">
        <v>4468.7967269595001</v>
      </c>
      <c r="E55">
        <v>873.21619293712001</v>
      </c>
      <c r="F55">
        <v>199.12294372293999</v>
      </c>
      <c r="G55">
        <v>140.15844155843999</v>
      </c>
      <c r="I55" s="9">
        <f t="shared" si="1"/>
        <v>733.05775137868</v>
      </c>
      <c r="J55" s="9">
        <f t="shared" si="2"/>
        <v>4269.6737832365598</v>
      </c>
      <c r="K55" s="9">
        <f t="shared" si="3"/>
        <v>733.05775137868</v>
      </c>
      <c r="L55" s="10">
        <f t="shared" si="0"/>
        <v>0.17168940499782093</v>
      </c>
      <c r="M55" s="10">
        <f t="shared" si="4"/>
        <v>0.17580916303401037</v>
      </c>
      <c r="P55" s="8">
        <f t="shared" si="5"/>
        <v>5.9975930631755725</v>
      </c>
      <c r="S55" s="11"/>
    </row>
    <row r="56" spans="1:25" x14ac:dyDescent="0.2">
      <c r="A56" s="8">
        <v>27</v>
      </c>
      <c r="B56" s="8">
        <v>54</v>
      </c>
      <c r="D56">
        <v>4465.2566752799003</v>
      </c>
      <c r="E56">
        <v>867.60034453057995</v>
      </c>
      <c r="F56">
        <v>198.90995670996</v>
      </c>
      <c r="G56">
        <v>139.87359307359</v>
      </c>
      <c r="I56" s="9">
        <f t="shared" si="1"/>
        <v>727.72675145698997</v>
      </c>
      <c r="J56" s="9">
        <f t="shared" si="2"/>
        <v>4266.3467185699401</v>
      </c>
      <c r="K56" s="9">
        <f t="shared" si="3"/>
        <v>727.72675145698997</v>
      </c>
      <c r="L56" s="10">
        <f t="shared" si="0"/>
        <v>0.17057374832885608</v>
      </c>
      <c r="M56" s="10">
        <f t="shared" si="4"/>
        <v>0.17477123764874719</v>
      </c>
      <c r="P56" s="8">
        <f t="shared" si="5"/>
        <v>5.3718145729168878</v>
      </c>
      <c r="S56" s="11"/>
    </row>
    <row r="57" spans="1:25" x14ac:dyDescent="0.2">
      <c r="A57" s="8">
        <v>27.5</v>
      </c>
      <c r="B57" s="8">
        <v>55</v>
      </c>
      <c r="D57">
        <v>4397.0869939707</v>
      </c>
      <c r="E57">
        <v>842.29543496985002</v>
      </c>
      <c r="F57">
        <v>198.46666666666999</v>
      </c>
      <c r="G57">
        <v>139.27878787879001</v>
      </c>
      <c r="I57" s="9">
        <f t="shared" si="1"/>
        <v>703.01664709106001</v>
      </c>
      <c r="J57" s="9">
        <f t="shared" si="2"/>
        <v>4198.6203273040301</v>
      </c>
      <c r="K57" s="9">
        <f t="shared" si="3"/>
        <v>703.01664709106001</v>
      </c>
      <c r="L57" s="10">
        <f t="shared" si="0"/>
        <v>0.16743991889890006</v>
      </c>
      <c r="M57" s="10">
        <f t="shared" si="4"/>
        <v>0.17171513950249287</v>
      </c>
      <c r="P57" s="8">
        <f t="shared" si="5"/>
        <v>3.5292539118145734</v>
      </c>
      <c r="S57" s="11"/>
    </row>
    <row r="58" spans="1:25" x14ac:dyDescent="0.2">
      <c r="A58" s="8">
        <v>28</v>
      </c>
      <c r="B58" s="8">
        <v>56</v>
      </c>
      <c r="D58">
        <v>4345.5590008612999</v>
      </c>
      <c r="E58">
        <v>822.39190353143999</v>
      </c>
      <c r="F58">
        <v>197.84588744589001</v>
      </c>
      <c r="G58">
        <v>139.33679653679999</v>
      </c>
      <c r="I58" s="9">
        <f t="shared" si="1"/>
        <v>683.05510699464003</v>
      </c>
      <c r="J58" s="9">
        <f t="shared" si="2"/>
        <v>4147.7131134154097</v>
      </c>
      <c r="K58" s="9">
        <f t="shared" si="3"/>
        <v>683.05510699464003</v>
      </c>
      <c r="L58" s="10">
        <f t="shared" si="0"/>
        <v>0.16468234140528162</v>
      </c>
      <c r="M58" s="10">
        <f t="shared" si="4"/>
        <v>0.16903529329257613</v>
      </c>
      <c r="P58" s="8">
        <f t="shared" si="5"/>
        <v>1.9135403555439221</v>
      </c>
      <c r="S58" s="11"/>
    </row>
    <row r="59" spans="1:25" x14ac:dyDescent="0.2">
      <c r="A59" s="8">
        <v>28.5</v>
      </c>
      <c r="B59" s="8">
        <v>57</v>
      </c>
      <c r="D59">
        <v>4527.4677002584003</v>
      </c>
      <c r="E59">
        <v>854.13264427217996</v>
      </c>
      <c r="F59">
        <v>198.24761904761999</v>
      </c>
      <c r="G59">
        <v>139.68571428570999</v>
      </c>
      <c r="I59" s="9">
        <f t="shared" si="1"/>
        <v>714.44692998646997</v>
      </c>
      <c r="J59" s="9">
        <f t="shared" si="2"/>
        <v>4329.2200812107803</v>
      </c>
      <c r="K59" s="9">
        <f t="shared" si="3"/>
        <v>714.44692998646997</v>
      </c>
      <c r="L59" s="10">
        <f t="shared" si="0"/>
        <v>0.16502901598540495</v>
      </c>
      <c r="M59" s="10">
        <f t="shared" si="4"/>
        <v>0.16945969915640113</v>
      </c>
      <c r="P59" s="8">
        <f t="shared" si="5"/>
        <v>2.1694200791658664</v>
      </c>
      <c r="R59" s="1"/>
      <c r="S59" s="11"/>
    </row>
    <row r="60" spans="1:25" x14ac:dyDescent="0.2">
      <c r="A60" s="8">
        <v>29</v>
      </c>
      <c r="B60" s="8">
        <v>58</v>
      </c>
      <c r="D60">
        <v>4114.3910422050003</v>
      </c>
      <c r="E60">
        <v>780.28509905253998</v>
      </c>
      <c r="F60">
        <v>197.32727272727001</v>
      </c>
      <c r="G60">
        <v>139.23463203463001</v>
      </c>
      <c r="I60" s="9">
        <f t="shared" si="1"/>
        <v>641.05046701791002</v>
      </c>
      <c r="J60" s="9">
        <f t="shared" si="2"/>
        <v>3917.0637694777301</v>
      </c>
      <c r="K60" s="9">
        <f t="shared" si="3"/>
        <v>641.05046701791002</v>
      </c>
      <c r="L60" s="10">
        <f t="shared" si="0"/>
        <v>0.16365586693100545</v>
      </c>
      <c r="M60" s="10">
        <f t="shared" si="4"/>
        <v>0.16816428138570333</v>
      </c>
      <c r="P60" s="8">
        <f t="shared" si="5"/>
        <v>1.3883961362973762</v>
      </c>
      <c r="S60" s="11"/>
    </row>
    <row r="61" spans="1:25" x14ac:dyDescent="0.2">
      <c r="A61" s="8">
        <v>29.5</v>
      </c>
      <c r="B61" s="8">
        <v>59</v>
      </c>
      <c r="C61" s="2"/>
      <c r="D61">
        <v>4683.3943054356996</v>
      </c>
      <c r="E61">
        <v>878.35547886108998</v>
      </c>
      <c r="F61">
        <v>195.82943722944</v>
      </c>
      <c r="G61">
        <v>139.48225108225</v>
      </c>
      <c r="I61" s="9">
        <f t="shared" si="1"/>
        <v>738.87322777883992</v>
      </c>
      <c r="J61" s="9">
        <f t="shared" si="2"/>
        <v>4487.5648682062592</v>
      </c>
      <c r="K61" s="9">
        <f t="shared" si="3"/>
        <v>738.87322777883992</v>
      </c>
      <c r="L61" s="10">
        <f t="shared" si="0"/>
        <v>0.16464903560807526</v>
      </c>
      <c r="M61" s="10">
        <f t="shared" si="4"/>
        <v>0.16923518134647481</v>
      </c>
      <c r="P61" s="8">
        <f t="shared" si="5"/>
        <v>2.03405541988811</v>
      </c>
      <c r="S61" s="11"/>
    </row>
    <row r="62" spans="1:25" x14ac:dyDescent="0.2">
      <c r="A62" s="8">
        <v>30</v>
      </c>
      <c r="B62" s="8">
        <v>60</v>
      </c>
      <c r="D62">
        <v>4456.0017256254996</v>
      </c>
      <c r="E62">
        <v>829.55133735978995</v>
      </c>
      <c r="F62">
        <v>195.71082251082001</v>
      </c>
      <c r="G62">
        <v>138.76709956709999</v>
      </c>
      <c r="I62" s="9">
        <f t="shared" si="1"/>
        <v>690.78423779268996</v>
      </c>
      <c r="J62" s="9">
        <f t="shared" si="2"/>
        <v>4260.2909031146792</v>
      </c>
      <c r="K62" s="9">
        <f t="shared" si="3"/>
        <v>690.78423779268996</v>
      </c>
      <c r="L62" s="10">
        <f t="shared" si="0"/>
        <v>0.16214485196014686</v>
      </c>
      <c r="M62" s="10">
        <f t="shared" si="4"/>
        <v>0.16680872898224811</v>
      </c>
      <c r="P62" s="8">
        <f t="shared" si="5"/>
        <v>0.57111625419327683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4640.3735979292996</v>
      </c>
      <c r="E63">
        <v>871.55478861086999</v>
      </c>
      <c r="F63">
        <v>196.10303030303001</v>
      </c>
      <c r="G63">
        <v>138.76190476190999</v>
      </c>
      <c r="I63" s="9">
        <f t="shared" si="1"/>
        <v>732.79288384895995</v>
      </c>
      <c r="J63" s="9">
        <f t="shared" si="2"/>
        <v>4444.2705676262694</v>
      </c>
      <c r="K63" s="9">
        <f t="shared" si="3"/>
        <v>732.79288384895995</v>
      </c>
      <c r="L63" s="10">
        <f t="shared" si="0"/>
        <v>0.16488484953794164</v>
      </c>
      <c r="M63" s="10">
        <f t="shared" si="4"/>
        <v>0.16962645784374458</v>
      </c>
      <c r="P63" s="8">
        <f t="shared" si="5"/>
        <v>2.2699610246759745</v>
      </c>
    </row>
    <row r="64" spans="1:25" x14ac:dyDescent="0.2">
      <c r="A64" s="8">
        <v>31</v>
      </c>
      <c r="B64" s="8">
        <v>62</v>
      </c>
      <c r="D64">
        <v>4473.9551337359999</v>
      </c>
      <c r="E64">
        <v>839.10353753235995</v>
      </c>
      <c r="F64">
        <v>196.24155844155999</v>
      </c>
      <c r="G64">
        <v>138.94025974025999</v>
      </c>
      <c r="I64" s="9">
        <f t="shared" si="1"/>
        <v>700.16327779209996</v>
      </c>
      <c r="J64" s="9">
        <f t="shared" si="2"/>
        <v>4277.7135752944396</v>
      </c>
      <c r="K64" s="9">
        <f t="shared" si="3"/>
        <v>700.16327779209996</v>
      </c>
      <c r="L64" s="10">
        <f t="shared" si="0"/>
        <v>0.16367698899613842</v>
      </c>
      <c r="M64" s="10">
        <f t="shared" si="4"/>
        <v>0.16849632858564303</v>
      </c>
      <c r="P64" s="8">
        <f t="shared" si="5"/>
        <v>1.5885916401583842</v>
      </c>
      <c r="U64" s="8">
        <v>30.5</v>
      </c>
      <c r="V64" s="10">
        <f>L62</f>
        <v>0.16214485196014686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4557.7765314927001</v>
      </c>
      <c r="E65">
        <v>849.27264883520002</v>
      </c>
      <c r="F65">
        <v>194.54718614718999</v>
      </c>
      <c r="G65">
        <v>138.75151515152001</v>
      </c>
      <c r="I65" s="9">
        <f t="shared" si="1"/>
        <v>710.52113368367998</v>
      </c>
      <c r="J65" s="9">
        <f t="shared" si="2"/>
        <v>4363.2293453455104</v>
      </c>
      <c r="K65" s="9">
        <f t="shared" si="3"/>
        <v>710.52113368367998</v>
      </c>
      <c r="L65" s="10">
        <f t="shared" si="0"/>
        <v>0.16284294898264534</v>
      </c>
      <c r="M65" s="10">
        <f t="shared" si="4"/>
        <v>0.16774001985585166</v>
      </c>
      <c r="P65" s="8">
        <f t="shared" si="5"/>
        <v>1.1326034334740416</v>
      </c>
      <c r="U65" s="8">
        <v>31</v>
      </c>
      <c r="V65" s="10">
        <f t="shared" ref="V65:V83" si="6">L63</f>
        <v>0.16488484953794164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4563.4236410699004</v>
      </c>
      <c r="E66">
        <v>856.04918032786998</v>
      </c>
      <c r="F66">
        <v>194.79567099567001</v>
      </c>
      <c r="G66">
        <v>138.68744588745</v>
      </c>
      <c r="I66" s="9">
        <f t="shared" si="1"/>
        <v>717.36173444041992</v>
      </c>
      <c r="J66" s="9">
        <f t="shared" si="2"/>
        <v>4368.6279700742307</v>
      </c>
      <c r="K66" s="9">
        <f t="shared" si="3"/>
        <v>717.36173444041992</v>
      </c>
      <c r="L66" s="10">
        <f t="shared" ref="L66:L129" si="7">K66/J66</f>
        <v>0.16420755883871491</v>
      </c>
      <c r="M66" s="10">
        <f t="shared" si="4"/>
        <v>0.16918236099562289</v>
      </c>
      <c r="P66" s="8">
        <f t="shared" si="5"/>
        <v>2.0022093547659408</v>
      </c>
      <c r="U66" s="8">
        <v>31.5</v>
      </c>
      <c r="V66" s="10">
        <f t="shared" si="6"/>
        <v>0.16367698899613842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4292.4322691976004</v>
      </c>
      <c r="E67">
        <v>806.17428817946995</v>
      </c>
      <c r="F67">
        <v>195.47705627706</v>
      </c>
      <c r="G67">
        <v>138.46666666666999</v>
      </c>
      <c r="I67" s="9">
        <f t="shared" ref="I67:I130" si="8">E67-G67</f>
        <v>667.70762151279996</v>
      </c>
      <c r="J67" s="9">
        <f t="shared" ref="J67:J130" si="9">D67-F67</f>
        <v>4096.9552129205404</v>
      </c>
      <c r="K67" s="9">
        <f t="shared" ref="K67:K130" si="10">I67*1</f>
        <v>667.70762151279996</v>
      </c>
      <c r="L67" s="10">
        <f t="shared" si="7"/>
        <v>0.16297654887880025</v>
      </c>
      <c r="M67" s="10">
        <f t="shared" ref="M67:M130" si="11">L67+ABS($N$2)*A67</f>
        <v>0.16802908231940994</v>
      </c>
      <c r="P67" s="8">
        <f t="shared" ref="P67:P130" si="12">(M67-$O$2)/$O$2*100</f>
        <v>1.3068828899786065</v>
      </c>
      <c r="U67" s="8">
        <v>32</v>
      </c>
      <c r="V67" s="10">
        <f t="shared" si="6"/>
        <v>0.16284294898264534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4735.4522569443998</v>
      </c>
      <c r="E68">
        <v>904.19184027777999</v>
      </c>
      <c r="F68">
        <v>194.51341991341999</v>
      </c>
      <c r="G68">
        <v>138.89783549783999</v>
      </c>
      <c r="I68" s="9">
        <f t="shared" si="8"/>
        <v>765.29400477994</v>
      </c>
      <c r="J68" s="9">
        <f t="shared" si="9"/>
        <v>4540.9388370309798</v>
      </c>
      <c r="K68" s="9">
        <f t="shared" si="10"/>
        <v>765.29400477994</v>
      </c>
      <c r="L68" s="10">
        <f t="shared" si="7"/>
        <v>0.16853211026297707</v>
      </c>
      <c r="M68" s="10">
        <f t="shared" si="11"/>
        <v>0.17366237498728845</v>
      </c>
      <c r="P68" s="8">
        <f t="shared" si="12"/>
        <v>4.7032670915235801</v>
      </c>
      <c r="U68" s="8">
        <v>32.5</v>
      </c>
      <c r="V68" s="10">
        <f t="shared" si="6"/>
        <v>0.16420755883871491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4740.1901041666997</v>
      </c>
      <c r="E69">
        <v>916.85243055555998</v>
      </c>
      <c r="F69">
        <v>194.27965367965001</v>
      </c>
      <c r="G69">
        <v>138.11168831168999</v>
      </c>
      <c r="I69" s="9">
        <f t="shared" si="8"/>
        <v>778.74074224387005</v>
      </c>
      <c r="J69" s="9">
        <f t="shared" si="9"/>
        <v>4545.9104504870493</v>
      </c>
      <c r="K69" s="9">
        <f t="shared" si="10"/>
        <v>778.74074224387005</v>
      </c>
      <c r="L69" s="10">
        <f t="shared" si="7"/>
        <v>0.17130578147671952</v>
      </c>
      <c r="M69" s="10">
        <f t="shared" si="11"/>
        <v>0.17651377748473257</v>
      </c>
      <c r="P69" s="8">
        <f t="shared" si="12"/>
        <v>6.4224141278184694</v>
      </c>
      <c r="U69" s="8">
        <v>33</v>
      </c>
      <c r="V69" s="10">
        <f t="shared" si="6"/>
        <v>0.16297654887880025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4687.4322916666997</v>
      </c>
      <c r="E70">
        <v>878.703125</v>
      </c>
      <c r="F70">
        <v>194.46839826839999</v>
      </c>
      <c r="G70">
        <v>137.96536796537001</v>
      </c>
      <c r="I70" s="9">
        <f t="shared" si="8"/>
        <v>740.73775703463002</v>
      </c>
      <c r="J70" s="9">
        <f t="shared" si="9"/>
        <v>4492.9638933982997</v>
      </c>
      <c r="K70" s="9">
        <f t="shared" si="10"/>
        <v>740.73775703463002</v>
      </c>
      <c r="L70" s="10">
        <f t="shared" si="7"/>
        <v>0.16486617177650306</v>
      </c>
      <c r="M70" s="10">
        <f t="shared" si="11"/>
        <v>0.17015189906821782</v>
      </c>
      <c r="P70" s="8">
        <f t="shared" si="12"/>
        <v>2.586756259515675</v>
      </c>
      <c r="U70" s="8">
        <v>33.5</v>
      </c>
      <c r="V70" s="10">
        <f t="shared" si="6"/>
        <v>0.16853211026297707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4676.4930795848004</v>
      </c>
      <c r="E71">
        <v>866.25432525951999</v>
      </c>
      <c r="F71">
        <v>193.99393939394</v>
      </c>
      <c r="G71">
        <v>138.34112554113</v>
      </c>
      <c r="I71" s="9">
        <f t="shared" si="8"/>
        <v>727.91319971838993</v>
      </c>
      <c r="J71" s="9">
        <f t="shared" si="9"/>
        <v>4482.4991401908601</v>
      </c>
      <c r="K71" s="9">
        <f t="shared" si="10"/>
        <v>727.91319971838993</v>
      </c>
      <c r="L71" s="10">
        <f t="shared" si="7"/>
        <v>0.1623900366632075</v>
      </c>
      <c r="M71" s="10">
        <f t="shared" si="11"/>
        <v>0.16775349523862393</v>
      </c>
      <c r="P71" s="8">
        <f t="shared" si="12"/>
        <v>1.1407279141030142</v>
      </c>
      <c r="U71" s="8">
        <v>34</v>
      </c>
      <c r="V71" s="10">
        <f t="shared" si="6"/>
        <v>0.17130578147671952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4688.6531141869</v>
      </c>
      <c r="E72">
        <v>857.60121107266002</v>
      </c>
      <c r="F72">
        <v>193.99826839827</v>
      </c>
      <c r="G72">
        <v>138.3038961039</v>
      </c>
      <c r="I72" s="9">
        <f t="shared" si="8"/>
        <v>719.29731496876002</v>
      </c>
      <c r="J72" s="9">
        <f t="shared" si="9"/>
        <v>4494.6548457886302</v>
      </c>
      <c r="K72" s="9">
        <f t="shared" si="10"/>
        <v>719.29731496876002</v>
      </c>
      <c r="L72" s="10">
        <f t="shared" si="7"/>
        <v>0.16003393801032845</v>
      </c>
      <c r="M72" s="10">
        <f t="shared" si="11"/>
        <v>0.16547512786944657</v>
      </c>
      <c r="P72" s="8">
        <f t="shared" si="12"/>
        <v>-0.23292891400986973</v>
      </c>
      <c r="U72" s="8">
        <v>34.5</v>
      </c>
      <c r="V72" s="10">
        <f t="shared" si="6"/>
        <v>0.16486617177650306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4776.5743944636997</v>
      </c>
      <c r="E73">
        <v>878.65743944636995</v>
      </c>
      <c r="F73">
        <v>194.40086580087001</v>
      </c>
      <c r="G73">
        <v>137.89783549783999</v>
      </c>
      <c r="I73" s="9">
        <f t="shared" si="8"/>
        <v>740.75960394852996</v>
      </c>
      <c r="J73" s="9">
        <f t="shared" si="9"/>
        <v>4582.17352866283</v>
      </c>
      <c r="K73" s="9">
        <f t="shared" si="10"/>
        <v>740.75960394852996</v>
      </c>
      <c r="L73" s="10">
        <f t="shared" si="7"/>
        <v>0.16166118531191864</v>
      </c>
      <c r="M73" s="10">
        <f t="shared" si="11"/>
        <v>0.16718010645473846</v>
      </c>
      <c r="P73" s="8">
        <f t="shared" si="12"/>
        <v>0.79502448242509272</v>
      </c>
      <c r="U73" s="8">
        <v>35</v>
      </c>
      <c r="V73" s="10">
        <f t="shared" si="6"/>
        <v>0.1623900366632075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4756.2673010381004</v>
      </c>
      <c r="E74">
        <v>867.27422145329001</v>
      </c>
      <c r="F74">
        <v>193.26147186147</v>
      </c>
      <c r="G74">
        <v>138.00086580087</v>
      </c>
      <c r="I74" s="9">
        <f t="shared" si="8"/>
        <v>729.27335565242004</v>
      </c>
      <c r="J74" s="9">
        <f t="shared" si="9"/>
        <v>4563.0058291766309</v>
      </c>
      <c r="K74" s="9">
        <f t="shared" si="10"/>
        <v>729.27335565242004</v>
      </c>
      <c r="L74" s="10">
        <f t="shared" si="7"/>
        <v>0.15982301644002356</v>
      </c>
      <c r="M74" s="10">
        <f t="shared" si="11"/>
        <v>0.16541966886654505</v>
      </c>
      <c r="P74" s="8">
        <f t="shared" si="12"/>
        <v>-0.26636585620216946</v>
      </c>
      <c r="U74" s="8">
        <v>35.5</v>
      </c>
      <c r="V74" s="10">
        <f t="shared" si="6"/>
        <v>0.16003393801032845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4751.5475778546997</v>
      </c>
      <c r="E75">
        <v>861.64359861592004</v>
      </c>
      <c r="F75">
        <v>193.51601731602</v>
      </c>
      <c r="G75">
        <v>137.93766233765999</v>
      </c>
      <c r="I75" s="9">
        <f t="shared" si="8"/>
        <v>723.70593627826008</v>
      </c>
      <c r="J75" s="9">
        <f t="shared" si="9"/>
        <v>4558.0315605386795</v>
      </c>
      <c r="K75" s="9">
        <f t="shared" si="10"/>
        <v>723.70593627826008</v>
      </c>
      <c r="L75" s="10">
        <f t="shared" si="7"/>
        <v>0.15877598183912767</v>
      </c>
      <c r="M75" s="10">
        <f t="shared" si="11"/>
        <v>0.16445036554935086</v>
      </c>
      <c r="P75" s="8">
        <f t="shared" si="12"/>
        <v>-0.85077122391818749</v>
      </c>
      <c r="U75" s="8">
        <v>36</v>
      </c>
      <c r="V75" s="10">
        <f t="shared" si="6"/>
        <v>0.16166118531191864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4703.8788927336</v>
      </c>
      <c r="E76">
        <v>853.70501730104002</v>
      </c>
      <c r="F76">
        <v>193.22424242424</v>
      </c>
      <c r="G76">
        <v>137.67359307359001</v>
      </c>
      <c r="I76" s="9">
        <f t="shared" si="8"/>
        <v>716.03142422744997</v>
      </c>
      <c r="J76" s="9">
        <f t="shared" si="9"/>
        <v>4510.6546503093596</v>
      </c>
      <c r="K76" s="9">
        <f t="shared" si="10"/>
        <v>716.03142422744997</v>
      </c>
      <c r="L76" s="10">
        <f t="shared" si="7"/>
        <v>0.15874224025959105</v>
      </c>
      <c r="M76" s="10">
        <f t="shared" si="11"/>
        <v>0.16449435525351591</v>
      </c>
      <c r="P76" s="8">
        <f t="shared" si="12"/>
        <v>-0.82424926863105119</v>
      </c>
      <c r="U76" s="8">
        <v>36.5</v>
      </c>
      <c r="V76" s="10">
        <f t="shared" si="6"/>
        <v>0.15982301644002356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4629.3623813632003</v>
      </c>
      <c r="E77">
        <v>823.49956859361998</v>
      </c>
      <c r="F77">
        <v>192.96623376623</v>
      </c>
      <c r="G77">
        <v>137.85714285713999</v>
      </c>
      <c r="I77" s="9">
        <f t="shared" si="8"/>
        <v>685.64242573647994</v>
      </c>
      <c r="J77" s="9">
        <f t="shared" si="9"/>
        <v>4436.39614759697</v>
      </c>
      <c r="K77" s="9">
        <f t="shared" si="10"/>
        <v>685.64242573647994</v>
      </c>
      <c r="L77" s="10">
        <f t="shared" si="7"/>
        <v>0.1545494141923883</v>
      </c>
      <c r="M77" s="10">
        <f t="shared" si="11"/>
        <v>0.16037926047001486</v>
      </c>
      <c r="P77" s="8">
        <f t="shared" si="12"/>
        <v>-3.305292547322733</v>
      </c>
      <c r="U77" s="8">
        <v>37</v>
      </c>
      <c r="V77" s="10">
        <f t="shared" si="6"/>
        <v>0.15877598183912767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4555.3270060396999</v>
      </c>
      <c r="E78">
        <v>805.15703192407</v>
      </c>
      <c r="F78">
        <v>192.63116883116999</v>
      </c>
      <c r="G78">
        <v>137.61991341991001</v>
      </c>
      <c r="I78" s="9">
        <f t="shared" si="8"/>
        <v>667.53711850415993</v>
      </c>
      <c r="J78" s="9">
        <f t="shared" si="9"/>
        <v>4362.6958372085301</v>
      </c>
      <c r="K78" s="9">
        <f t="shared" si="10"/>
        <v>667.53711850415993</v>
      </c>
      <c r="L78" s="10">
        <f t="shared" si="7"/>
        <v>0.1530102357379293</v>
      </c>
      <c r="M78" s="10">
        <f t="shared" si="11"/>
        <v>0.15891781329925755</v>
      </c>
      <c r="P78" s="8">
        <f t="shared" si="12"/>
        <v>-4.1864177390699586</v>
      </c>
      <c r="U78" s="8">
        <v>37.5</v>
      </c>
      <c r="V78" s="10">
        <f t="shared" si="6"/>
        <v>0.15874224025959105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4564.6807592752002</v>
      </c>
      <c r="E79">
        <v>803.66091458154006</v>
      </c>
      <c r="F79">
        <v>192.53852813853001</v>
      </c>
      <c r="G79">
        <v>137.76536796536999</v>
      </c>
      <c r="I79" s="9">
        <f t="shared" si="8"/>
        <v>665.89554661617012</v>
      </c>
      <c r="J79" s="9">
        <f t="shared" si="9"/>
        <v>4372.1422311366705</v>
      </c>
      <c r="K79" s="9">
        <f t="shared" si="10"/>
        <v>665.89554661617012</v>
      </c>
      <c r="L79" s="10">
        <f t="shared" si="7"/>
        <v>0.15230418211784716</v>
      </c>
      <c r="M79" s="10">
        <f t="shared" si="11"/>
        <v>0.15828949096287709</v>
      </c>
      <c r="P79" s="8">
        <f t="shared" si="12"/>
        <v>-4.565241312169368</v>
      </c>
      <c r="U79" s="8">
        <v>38</v>
      </c>
      <c r="V79" s="10">
        <f t="shared" si="6"/>
        <v>0.1545494141923883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4645.9006908462998</v>
      </c>
      <c r="E80">
        <v>809.15975820380004</v>
      </c>
      <c r="F80">
        <v>191.79134199134</v>
      </c>
      <c r="G80">
        <v>137.46493506493999</v>
      </c>
      <c r="I80" s="9">
        <f t="shared" si="8"/>
        <v>671.6948231388601</v>
      </c>
      <c r="J80" s="9">
        <f t="shared" si="9"/>
        <v>4454.1093488549595</v>
      </c>
      <c r="K80" s="9">
        <f t="shared" si="10"/>
        <v>671.6948231388601</v>
      </c>
      <c r="L80" s="10">
        <f t="shared" si="7"/>
        <v>0.1508033976111377</v>
      </c>
      <c r="M80" s="10">
        <f t="shared" si="11"/>
        <v>0.15686643773986933</v>
      </c>
      <c r="P80" s="8">
        <f t="shared" si="12"/>
        <v>-5.4232183017443463</v>
      </c>
      <c r="U80" s="8">
        <v>38.5</v>
      </c>
      <c r="V80" s="10">
        <f t="shared" si="6"/>
        <v>0.1530102357379293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4648.7720207253997</v>
      </c>
      <c r="E81">
        <v>813.70898100172997</v>
      </c>
      <c r="F81">
        <v>192.30649350649</v>
      </c>
      <c r="G81">
        <v>137.87965367965</v>
      </c>
      <c r="I81" s="9">
        <f t="shared" si="8"/>
        <v>675.82932732207996</v>
      </c>
      <c r="J81" s="9">
        <f t="shared" si="9"/>
        <v>4456.4655272189093</v>
      </c>
      <c r="K81" s="9">
        <f t="shared" si="10"/>
        <v>675.82932732207996</v>
      </c>
      <c r="L81" s="10">
        <f t="shared" si="7"/>
        <v>0.15165142043493743</v>
      </c>
      <c r="M81" s="10">
        <f t="shared" si="11"/>
        <v>0.15779219184737073</v>
      </c>
      <c r="P81" s="8">
        <f t="shared" si="12"/>
        <v>-4.8650693095640376</v>
      </c>
      <c r="U81" s="8">
        <v>39</v>
      </c>
      <c r="V81" s="10">
        <f t="shared" si="6"/>
        <v>0.15230418211784716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4607.9481865284997</v>
      </c>
      <c r="E82">
        <v>800.33765112262995</v>
      </c>
      <c r="F82">
        <v>192.80259740259999</v>
      </c>
      <c r="G82">
        <v>137.53160173160001</v>
      </c>
      <c r="H82" s="13"/>
      <c r="I82" s="14">
        <f t="shared" si="8"/>
        <v>662.80604939103</v>
      </c>
      <c r="J82" s="14">
        <f t="shared" si="9"/>
        <v>4415.1455891258993</v>
      </c>
      <c r="K82" s="9">
        <f t="shared" si="10"/>
        <v>662.80604939103</v>
      </c>
      <c r="L82" s="15">
        <f t="shared" si="7"/>
        <v>0.15012099510907653</v>
      </c>
      <c r="M82" s="15">
        <f t="shared" si="11"/>
        <v>0.15633949780521153</v>
      </c>
      <c r="N82" s="13"/>
      <c r="O82" s="13"/>
      <c r="P82" s="13">
        <f t="shared" si="12"/>
        <v>-5.7409171281234288</v>
      </c>
      <c r="U82" s="8">
        <v>39.5</v>
      </c>
      <c r="V82" s="10">
        <f t="shared" si="6"/>
        <v>0.1508033976111377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4591.2659758203999</v>
      </c>
      <c r="E83">
        <v>795.76683937823998</v>
      </c>
      <c r="F83">
        <v>192.20432900432999</v>
      </c>
      <c r="G83">
        <v>136.85714285713999</v>
      </c>
      <c r="I83" s="9">
        <f t="shared" si="8"/>
        <v>658.90969652109993</v>
      </c>
      <c r="J83" s="9">
        <f t="shared" si="9"/>
        <v>4399.0616468160697</v>
      </c>
      <c r="K83" s="9">
        <f t="shared" si="10"/>
        <v>658.90969652109993</v>
      </c>
      <c r="L83" s="10">
        <f t="shared" si="7"/>
        <v>0.14978414703463003</v>
      </c>
      <c r="M83" s="10">
        <f t="shared" si="11"/>
        <v>0.15608038101446672</v>
      </c>
      <c r="P83" s="8">
        <f t="shared" si="12"/>
        <v>-5.8971419554715387</v>
      </c>
      <c r="U83" s="8">
        <v>40</v>
      </c>
      <c r="V83" s="10">
        <f t="shared" si="6"/>
        <v>0.15165142043493743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4525.8324697754997</v>
      </c>
      <c r="E84">
        <v>786.46632124352004</v>
      </c>
      <c r="F84">
        <v>192.20606060605999</v>
      </c>
      <c r="G84">
        <v>136.9974025974</v>
      </c>
      <c r="I84" s="9">
        <f t="shared" si="8"/>
        <v>649.46891864612007</v>
      </c>
      <c r="J84" s="9">
        <f t="shared" si="9"/>
        <v>4333.6264091694393</v>
      </c>
      <c r="K84" s="9">
        <f t="shared" si="10"/>
        <v>649.46891864612007</v>
      </c>
      <c r="L84" s="10">
        <f t="shared" si="7"/>
        <v>0.14986730680612453</v>
      </c>
      <c r="M84" s="10">
        <f t="shared" si="11"/>
        <v>0.1562412720696629</v>
      </c>
      <c r="P84" s="8">
        <f t="shared" si="12"/>
        <v>-5.800138680432398</v>
      </c>
      <c r="U84" s="8">
        <v>150.5</v>
      </c>
      <c r="V84" s="10">
        <f>L302</f>
        <v>0.14030551069619224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4657.4438687392003</v>
      </c>
      <c r="E85">
        <v>808.10103626942998</v>
      </c>
      <c r="F85">
        <v>190.92207792208001</v>
      </c>
      <c r="G85">
        <v>137.08138528139</v>
      </c>
      <c r="I85" s="9">
        <f t="shared" si="8"/>
        <v>671.01965098803998</v>
      </c>
      <c r="J85" s="9">
        <f t="shared" si="9"/>
        <v>4466.5217908171198</v>
      </c>
      <c r="K85" s="9">
        <f t="shared" si="10"/>
        <v>671.01965098803998</v>
      </c>
      <c r="L85" s="10">
        <f t="shared" si="7"/>
        <v>0.15023315286799072</v>
      </c>
      <c r="M85" s="10">
        <f t="shared" si="11"/>
        <v>0.15668484941523078</v>
      </c>
      <c r="P85" s="8">
        <f t="shared" si="12"/>
        <v>-5.5327002252567015</v>
      </c>
      <c r="U85" s="8">
        <v>151</v>
      </c>
      <c r="V85" s="10">
        <f t="shared" ref="V85:V103" si="13">L303</f>
        <v>0.13939556152995375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4616.4542314335004</v>
      </c>
      <c r="E86">
        <v>798.24179620035</v>
      </c>
      <c r="F86">
        <v>192.27359307359001</v>
      </c>
      <c r="G86">
        <v>137.21818181818</v>
      </c>
      <c r="I86" s="9">
        <f t="shared" si="8"/>
        <v>661.02361438216997</v>
      </c>
      <c r="J86" s="9">
        <f t="shared" si="9"/>
        <v>4424.1806383599105</v>
      </c>
      <c r="K86" s="9">
        <f t="shared" si="10"/>
        <v>661.02361438216997</v>
      </c>
      <c r="L86" s="10">
        <f t="shared" si="7"/>
        <v>0.14941153366360246</v>
      </c>
      <c r="M86" s="10">
        <f t="shared" si="11"/>
        <v>0.1559409614945442</v>
      </c>
      <c r="P86" s="8">
        <f t="shared" si="12"/>
        <v>-5.9811997672646138</v>
      </c>
      <c r="U86" s="8">
        <v>151.5</v>
      </c>
      <c r="V86" s="10">
        <f t="shared" si="13"/>
        <v>0.14010082914093031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4614.8048359240001</v>
      </c>
      <c r="E87">
        <v>794.75215889465005</v>
      </c>
      <c r="F87">
        <v>191.49696969697001</v>
      </c>
      <c r="G87">
        <v>137.4303030303</v>
      </c>
      <c r="I87" s="9">
        <f t="shared" si="8"/>
        <v>657.32185586435003</v>
      </c>
      <c r="J87" s="9">
        <f t="shared" si="9"/>
        <v>4423.30786622703</v>
      </c>
      <c r="K87" s="9">
        <f t="shared" si="10"/>
        <v>657.32185586435003</v>
      </c>
      <c r="L87" s="10">
        <f t="shared" si="7"/>
        <v>0.14860413874493186</v>
      </c>
      <c r="M87" s="10">
        <f t="shared" si="11"/>
        <v>0.1552112978595753</v>
      </c>
      <c r="P87" s="8">
        <f t="shared" si="12"/>
        <v>-6.4211233054789973</v>
      </c>
      <c r="U87" s="8">
        <v>152</v>
      </c>
      <c r="V87" s="10">
        <f t="shared" si="13"/>
        <v>0.13983282190810498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4602.5492227979003</v>
      </c>
      <c r="E88">
        <v>790.20552677029002</v>
      </c>
      <c r="F88">
        <v>191.46493506493999</v>
      </c>
      <c r="G88">
        <v>137.11601731601999</v>
      </c>
      <c r="I88" s="9">
        <f t="shared" si="8"/>
        <v>653.08950945427</v>
      </c>
      <c r="J88" s="9">
        <f t="shared" si="9"/>
        <v>4411.0842877329605</v>
      </c>
      <c r="K88" s="9">
        <f t="shared" si="10"/>
        <v>653.08950945427</v>
      </c>
      <c r="L88" s="10">
        <f t="shared" si="7"/>
        <v>0.14805645661101613</v>
      </c>
      <c r="M88" s="10">
        <f t="shared" si="11"/>
        <v>0.15474134700936126</v>
      </c>
      <c r="P88" s="8">
        <f t="shared" si="12"/>
        <v>-6.7044626839336017</v>
      </c>
      <c r="U88" s="8">
        <v>152.5</v>
      </c>
      <c r="V88" s="10">
        <f t="shared" si="13"/>
        <v>0.1419718563704134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4597.7512953367996</v>
      </c>
      <c r="E89">
        <v>792.33937823834003</v>
      </c>
      <c r="F89">
        <v>191.43896103896</v>
      </c>
      <c r="G89">
        <v>136.91688311688</v>
      </c>
      <c r="I89" s="9">
        <f t="shared" si="8"/>
        <v>655.42249512146009</v>
      </c>
      <c r="J89" s="9">
        <f t="shared" si="9"/>
        <v>4406.3123342978397</v>
      </c>
      <c r="K89" s="9">
        <f t="shared" si="10"/>
        <v>655.42249512146009</v>
      </c>
      <c r="L89" s="10">
        <f t="shared" si="7"/>
        <v>0.1487462634048396</v>
      </c>
      <c r="M89" s="10">
        <f t="shared" si="11"/>
        <v>0.1555088850868864</v>
      </c>
      <c r="P89" s="8">
        <f t="shared" si="12"/>
        <v>-6.2417041598726968</v>
      </c>
      <c r="U89" s="8">
        <v>153</v>
      </c>
      <c r="V89" s="10">
        <f t="shared" si="13"/>
        <v>0.14229905197453144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4605.115716753</v>
      </c>
      <c r="E90">
        <v>790.36442141624002</v>
      </c>
      <c r="F90">
        <v>190.87792207792</v>
      </c>
      <c r="G90">
        <v>136.92294372294</v>
      </c>
      <c r="I90" s="9">
        <f t="shared" si="8"/>
        <v>653.44147769330004</v>
      </c>
      <c r="J90" s="9">
        <f t="shared" si="9"/>
        <v>4414.2377946750803</v>
      </c>
      <c r="K90" s="9">
        <f t="shared" si="10"/>
        <v>653.44147769330004</v>
      </c>
      <c r="L90" s="10">
        <f t="shared" si="7"/>
        <v>0.14803042067229594</v>
      </c>
      <c r="M90" s="10">
        <f t="shared" si="11"/>
        <v>0.15487077363804444</v>
      </c>
      <c r="P90" s="8">
        <f t="shared" si="12"/>
        <v>-6.62642971408183</v>
      </c>
      <c r="U90" s="8">
        <v>153.5</v>
      </c>
      <c r="V90" s="10">
        <f t="shared" si="13"/>
        <v>0.14234742184956439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4599.1943005181001</v>
      </c>
      <c r="E91">
        <v>791.51813471502999</v>
      </c>
      <c r="F91">
        <v>191.70995670996001</v>
      </c>
      <c r="G91">
        <v>137.06060606061001</v>
      </c>
      <c r="I91" s="9">
        <f t="shared" si="8"/>
        <v>654.45752865442</v>
      </c>
      <c r="J91" s="9">
        <f t="shared" si="9"/>
        <v>4407.4843438081398</v>
      </c>
      <c r="K91" s="9">
        <f t="shared" si="10"/>
        <v>654.45752865442</v>
      </c>
      <c r="L91" s="10">
        <f t="shared" si="7"/>
        <v>0.14848777161825555</v>
      </c>
      <c r="M91" s="10">
        <f t="shared" si="11"/>
        <v>0.15540585586770572</v>
      </c>
      <c r="P91" s="8">
        <f t="shared" si="12"/>
        <v>-6.3038217939019177</v>
      </c>
      <c r="U91" s="8">
        <v>154</v>
      </c>
      <c r="V91" s="10">
        <f t="shared" si="13"/>
        <v>0.1431551230431839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4586.8117443868996</v>
      </c>
      <c r="E92">
        <v>792.4585492228</v>
      </c>
      <c r="F92">
        <v>191.8</v>
      </c>
      <c r="G92">
        <v>136.53766233766001</v>
      </c>
      <c r="I92" s="9">
        <f t="shared" si="8"/>
        <v>655.92088688514002</v>
      </c>
      <c r="J92" s="9">
        <f t="shared" si="9"/>
        <v>4395.0117443868994</v>
      </c>
      <c r="K92" s="9">
        <f t="shared" si="10"/>
        <v>655.92088688514002</v>
      </c>
      <c r="L92" s="10">
        <f t="shared" si="7"/>
        <v>0.14924212380611976</v>
      </c>
      <c r="M92" s="10">
        <f t="shared" si="11"/>
        <v>0.15623793933927163</v>
      </c>
      <c r="P92" s="8">
        <f t="shared" si="12"/>
        <v>-5.8021480262122571</v>
      </c>
      <c r="U92" s="8">
        <v>154.5</v>
      </c>
      <c r="V92" s="10">
        <f t="shared" si="13"/>
        <v>0.14265661974886693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4579.0604490501</v>
      </c>
      <c r="E93">
        <v>789.27979274611005</v>
      </c>
      <c r="F93">
        <v>190.76623376622999</v>
      </c>
      <c r="G93">
        <v>136.93333333333001</v>
      </c>
      <c r="I93" s="9">
        <f t="shared" si="8"/>
        <v>652.34645941278006</v>
      </c>
      <c r="J93" s="9">
        <f t="shared" si="9"/>
        <v>4388.2942152838705</v>
      </c>
      <c r="K93" s="9">
        <f t="shared" si="10"/>
        <v>652.34645941278006</v>
      </c>
      <c r="L93" s="10">
        <f t="shared" si="7"/>
        <v>0.14865604433283902</v>
      </c>
      <c r="M93" s="10">
        <f t="shared" si="11"/>
        <v>0.15572959114969259</v>
      </c>
      <c r="P93" s="8">
        <f t="shared" si="12"/>
        <v>-6.1086376516874505</v>
      </c>
      <c r="U93" s="8">
        <v>155</v>
      </c>
      <c r="V93" s="10">
        <f t="shared" si="13"/>
        <v>0.14293767227767734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4575.2815198618</v>
      </c>
      <c r="E94">
        <v>785.75043177892996</v>
      </c>
      <c r="F94">
        <v>191.34891774892</v>
      </c>
      <c r="G94">
        <v>136.69523809524</v>
      </c>
      <c r="I94" s="9">
        <f t="shared" si="8"/>
        <v>649.05519368368994</v>
      </c>
      <c r="J94" s="9">
        <f t="shared" si="9"/>
        <v>4383.93260211288</v>
      </c>
      <c r="K94" s="9">
        <f t="shared" si="10"/>
        <v>649.05519368368994</v>
      </c>
      <c r="L94" s="10">
        <f t="shared" si="7"/>
        <v>0.14805318707930668</v>
      </c>
      <c r="M94" s="10">
        <f t="shared" si="11"/>
        <v>0.15520446517986192</v>
      </c>
      <c r="P94" s="8">
        <f t="shared" si="12"/>
        <v>-6.4252428154709191</v>
      </c>
      <c r="U94" s="8">
        <v>155.5</v>
      </c>
      <c r="V94" s="10">
        <f t="shared" si="13"/>
        <v>0.14261919468741968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4562.3618307426996</v>
      </c>
      <c r="E95">
        <v>780.37392055268003</v>
      </c>
      <c r="F95">
        <v>191.2987012987</v>
      </c>
      <c r="G95">
        <v>136.81038961038999</v>
      </c>
      <c r="I95" s="9">
        <f t="shared" si="8"/>
        <v>643.56353094229007</v>
      </c>
      <c r="J95" s="9">
        <f t="shared" si="9"/>
        <v>4371.063129444</v>
      </c>
      <c r="K95" s="9">
        <f t="shared" si="10"/>
        <v>643.56353094229007</v>
      </c>
      <c r="L95" s="10">
        <f t="shared" si="7"/>
        <v>0.14723272391267236</v>
      </c>
      <c r="M95" s="10">
        <f t="shared" si="11"/>
        <v>0.1544617332969293</v>
      </c>
      <c r="P95" s="8">
        <f t="shared" si="12"/>
        <v>-6.873045367530775</v>
      </c>
      <c r="U95" s="8">
        <v>156</v>
      </c>
      <c r="V95" s="10">
        <f t="shared" si="13"/>
        <v>0.14254840106203936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4560.7987910190004</v>
      </c>
      <c r="E96">
        <v>779.97582037996995</v>
      </c>
      <c r="F96">
        <v>190.78441558442</v>
      </c>
      <c r="G96">
        <v>136.36969696969999</v>
      </c>
      <c r="I96" s="9">
        <f t="shared" si="8"/>
        <v>643.6061234102699</v>
      </c>
      <c r="J96" s="9">
        <f t="shared" si="9"/>
        <v>4370.0143754345809</v>
      </c>
      <c r="K96" s="9">
        <f t="shared" si="10"/>
        <v>643.6061234102699</v>
      </c>
      <c r="L96" s="10">
        <f t="shared" si="7"/>
        <v>0.14727780462879272</v>
      </c>
      <c r="M96" s="10">
        <f t="shared" si="11"/>
        <v>0.15458454529675134</v>
      </c>
      <c r="P96" s="8">
        <f t="shared" si="12"/>
        <v>-6.7990004420231553</v>
      </c>
      <c r="U96" s="8">
        <v>156.5</v>
      </c>
      <c r="V96" s="10">
        <f t="shared" si="13"/>
        <v>0.14252174968553025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4552.0276338514996</v>
      </c>
      <c r="E97">
        <v>775.70034542313999</v>
      </c>
      <c r="F97">
        <v>190.62770562770999</v>
      </c>
      <c r="G97">
        <v>136.37142857142999</v>
      </c>
      <c r="I97" s="9">
        <f t="shared" si="8"/>
        <v>639.32891685171001</v>
      </c>
      <c r="J97" s="9">
        <f t="shared" si="9"/>
        <v>4361.3999282237892</v>
      </c>
      <c r="K97" s="9">
        <f t="shared" si="10"/>
        <v>639.32891685171001</v>
      </c>
      <c r="L97" s="10">
        <f t="shared" si="7"/>
        <v>0.14658800554254175</v>
      </c>
      <c r="M97" s="10">
        <f t="shared" si="11"/>
        <v>0.15397247749420206</v>
      </c>
      <c r="P97" s="8">
        <f t="shared" si="12"/>
        <v>-7.1680239487737047</v>
      </c>
      <c r="U97" s="8">
        <v>157</v>
      </c>
      <c r="V97" s="10">
        <f t="shared" si="13"/>
        <v>0.14299557860122641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4548.3108808289999</v>
      </c>
      <c r="E98">
        <v>775.84369602763002</v>
      </c>
      <c r="F98">
        <v>190.25021645021999</v>
      </c>
      <c r="G98">
        <v>136.35757575758001</v>
      </c>
      <c r="I98" s="9">
        <f t="shared" si="8"/>
        <v>639.48612027005004</v>
      </c>
      <c r="J98" s="9">
        <f t="shared" si="9"/>
        <v>4358.0606643787796</v>
      </c>
      <c r="K98" s="9">
        <f t="shared" si="10"/>
        <v>639.48612027005004</v>
      </c>
      <c r="L98" s="10">
        <f t="shared" si="7"/>
        <v>0.14673639710823203</v>
      </c>
      <c r="M98" s="10">
        <f t="shared" si="11"/>
        <v>0.15419860034359403</v>
      </c>
      <c r="P98" s="8">
        <f t="shared" si="12"/>
        <v>-7.0316915906730131</v>
      </c>
      <c r="U98" s="8">
        <v>157.5</v>
      </c>
      <c r="V98" s="10">
        <f t="shared" si="13"/>
        <v>0.14256113618618446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4542.4948186529</v>
      </c>
      <c r="E99">
        <v>775.18652849740999</v>
      </c>
      <c r="F99">
        <v>190.29090909090999</v>
      </c>
      <c r="G99">
        <v>136.38614718615</v>
      </c>
      <c r="I99" s="9">
        <f t="shared" si="8"/>
        <v>638.80038131126003</v>
      </c>
      <c r="J99" s="9">
        <f t="shared" si="9"/>
        <v>4352.2039095619903</v>
      </c>
      <c r="K99" s="9">
        <f t="shared" si="10"/>
        <v>638.80038131126003</v>
      </c>
      <c r="L99" s="10">
        <f t="shared" si="7"/>
        <v>0.14677629876389442</v>
      </c>
      <c r="M99" s="10">
        <f t="shared" si="11"/>
        <v>0.1543162332829581</v>
      </c>
      <c r="P99" s="8">
        <f t="shared" si="12"/>
        <v>-6.9607691869577675</v>
      </c>
      <c r="U99" s="8">
        <v>158</v>
      </c>
      <c r="V99" s="10">
        <f t="shared" si="13"/>
        <v>0.14289486882649516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4529.7037996545996</v>
      </c>
      <c r="E100">
        <v>769.82469775474999</v>
      </c>
      <c r="F100">
        <v>190.15584415583999</v>
      </c>
      <c r="G100">
        <v>136.40173160173001</v>
      </c>
      <c r="I100" s="9">
        <f t="shared" si="8"/>
        <v>633.42296615301996</v>
      </c>
      <c r="J100" s="9">
        <f t="shared" si="9"/>
        <v>4339.5479554987596</v>
      </c>
      <c r="K100" s="9">
        <f t="shared" si="10"/>
        <v>633.42296615301996</v>
      </c>
      <c r="L100" s="10">
        <f t="shared" si="7"/>
        <v>0.14596519560301033</v>
      </c>
      <c r="M100" s="10">
        <f t="shared" si="11"/>
        <v>0.15358286140577571</v>
      </c>
      <c r="P100" s="8">
        <f t="shared" si="12"/>
        <v>-7.402928471832575</v>
      </c>
      <c r="U100" s="8">
        <v>158.5</v>
      </c>
      <c r="V100" s="10">
        <f t="shared" si="13"/>
        <v>0.14225833580283287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4529.7884283247004</v>
      </c>
      <c r="E101">
        <v>772.12780656304005</v>
      </c>
      <c r="F101">
        <v>189.68311688311999</v>
      </c>
      <c r="G101">
        <v>136.22077922078</v>
      </c>
      <c r="I101" s="9">
        <f t="shared" si="8"/>
        <v>635.90702734226011</v>
      </c>
      <c r="J101" s="9">
        <f t="shared" si="9"/>
        <v>4340.1053114415799</v>
      </c>
      <c r="K101" s="9">
        <f t="shared" si="10"/>
        <v>635.90702734226011</v>
      </c>
      <c r="L101" s="10">
        <f t="shared" si="7"/>
        <v>0.14651880120647154</v>
      </c>
      <c r="M101" s="10">
        <f t="shared" si="11"/>
        <v>0.15421419829293859</v>
      </c>
      <c r="P101" s="8">
        <f t="shared" si="12"/>
        <v>-7.0222873875091292</v>
      </c>
      <c r="U101" s="8">
        <v>159</v>
      </c>
      <c r="V101" s="10">
        <f t="shared" si="13"/>
        <v>0.14112492203818322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4526.2607944731999</v>
      </c>
      <c r="E102">
        <v>768.32987910190002</v>
      </c>
      <c r="F102">
        <v>190.44502164502001</v>
      </c>
      <c r="G102">
        <v>135.71255411255001</v>
      </c>
      <c r="I102" s="9">
        <f t="shared" si="8"/>
        <v>632.61732498934998</v>
      </c>
      <c r="J102" s="9">
        <f t="shared" si="9"/>
        <v>4335.8157728281803</v>
      </c>
      <c r="K102" s="9">
        <f t="shared" si="10"/>
        <v>632.61732498934998</v>
      </c>
      <c r="L102" s="10">
        <f t="shared" si="7"/>
        <v>0.1459050287500348</v>
      </c>
      <c r="M102" s="10">
        <f t="shared" si="11"/>
        <v>0.15367815712020355</v>
      </c>
      <c r="P102" s="8">
        <f t="shared" si="12"/>
        <v>-7.3454734667334769</v>
      </c>
      <c r="U102" s="8">
        <v>159.5</v>
      </c>
      <c r="V102" s="10">
        <f t="shared" si="13"/>
        <v>0.14215464405921724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4511.4222797927996</v>
      </c>
      <c r="E103">
        <v>768.29965457686001</v>
      </c>
      <c r="F103">
        <v>189.88744588745001</v>
      </c>
      <c r="G103">
        <v>136.23896103896001</v>
      </c>
      <c r="I103" s="9">
        <f t="shared" si="8"/>
        <v>632.06069353789997</v>
      </c>
      <c r="J103" s="9">
        <f t="shared" si="9"/>
        <v>4321.5348339053498</v>
      </c>
      <c r="K103" s="9">
        <f t="shared" si="10"/>
        <v>632.06069353789997</v>
      </c>
      <c r="L103" s="10">
        <f t="shared" si="7"/>
        <v>0.14625838222544416</v>
      </c>
      <c r="M103" s="10">
        <f t="shared" si="11"/>
        <v>0.1541092418793146</v>
      </c>
      <c r="P103" s="8">
        <f t="shared" si="12"/>
        <v>-7.085566951717813</v>
      </c>
      <c r="U103" s="8">
        <v>160</v>
      </c>
      <c r="V103" s="10">
        <f t="shared" si="13"/>
        <v>0.14218201530922484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4504.7702936097003</v>
      </c>
      <c r="E104">
        <v>766.63126079446999</v>
      </c>
      <c r="F104">
        <v>188.93593073592999</v>
      </c>
      <c r="G104">
        <v>135.69350649351</v>
      </c>
      <c r="I104" s="9">
        <f t="shared" si="8"/>
        <v>630.93775430096002</v>
      </c>
      <c r="J104" s="9">
        <f t="shared" si="9"/>
        <v>4315.8343628737703</v>
      </c>
      <c r="K104" s="9">
        <f t="shared" si="10"/>
        <v>630.93775430096002</v>
      </c>
      <c r="L104" s="10">
        <f t="shared" si="7"/>
        <v>0.14619137373030219</v>
      </c>
      <c r="M104" s="10">
        <f t="shared" si="11"/>
        <v>0.15411996466787431</v>
      </c>
      <c r="P104" s="8">
        <f t="shared" si="12"/>
        <v>-7.0791020453463833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4501.4715025906999</v>
      </c>
      <c r="E105">
        <v>763.33246977548004</v>
      </c>
      <c r="F105">
        <v>189.62077922078001</v>
      </c>
      <c r="G105">
        <v>135.69523809524</v>
      </c>
      <c r="I105" s="9">
        <f t="shared" si="8"/>
        <v>627.63723168024001</v>
      </c>
      <c r="J105" s="9">
        <f t="shared" si="9"/>
        <v>4311.8507233699202</v>
      </c>
      <c r="K105" s="9">
        <f t="shared" si="10"/>
        <v>627.63723168024001</v>
      </c>
      <c r="L105" s="10">
        <f t="shared" si="7"/>
        <v>0.14556098342609392</v>
      </c>
      <c r="M105" s="10">
        <f t="shared" si="11"/>
        <v>0.15356730564736773</v>
      </c>
      <c r="P105" s="8">
        <f t="shared" si="12"/>
        <v>-7.4123072375411558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4491.0155440415001</v>
      </c>
      <c r="E106">
        <v>757.78065630396998</v>
      </c>
      <c r="F106">
        <v>189.55324675324999</v>
      </c>
      <c r="G106">
        <v>135.95844155844</v>
      </c>
      <c r="I106" s="9">
        <f t="shared" si="8"/>
        <v>621.82221474553</v>
      </c>
      <c r="J106" s="9">
        <f t="shared" si="9"/>
        <v>4301.4622972882498</v>
      </c>
      <c r="K106" s="9">
        <f t="shared" si="10"/>
        <v>621.82221474553</v>
      </c>
      <c r="L106" s="10">
        <f t="shared" si="7"/>
        <v>0.14456065676491978</v>
      </c>
      <c r="M106" s="10">
        <f t="shared" si="11"/>
        <v>0.15264471026989526</v>
      </c>
      <c r="P106" s="8">
        <f t="shared" si="12"/>
        <v>-7.968551790985595</v>
      </c>
      <c r="X106" s="8">
        <v>-13</v>
      </c>
    </row>
    <row r="107" spans="1:25" x14ac:dyDescent="0.2">
      <c r="A107" s="8">
        <v>52.5</v>
      </c>
      <c r="B107" s="8">
        <v>105</v>
      </c>
      <c r="D107">
        <v>4487.9689119170998</v>
      </c>
      <c r="E107">
        <v>757.39032815199005</v>
      </c>
      <c r="F107">
        <v>189.37922077921999</v>
      </c>
      <c r="G107">
        <v>135.9974025974</v>
      </c>
      <c r="I107" s="9">
        <f t="shared" si="8"/>
        <v>621.39292555459008</v>
      </c>
      <c r="J107" s="9">
        <f t="shared" si="9"/>
        <v>4298.5896911378795</v>
      </c>
      <c r="K107" s="9">
        <f t="shared" si="10"/>
        <v>621.39292555459008</v>
      </c>
      <c r="L107" s="10">
        <f t="shared" si="7"/>
        <v>0.14455739444862001</v>
      </c>
      <c r="M107" s="10">
        <f t="shared" si="11"/>
        <v>0.15271917923729719</v>
      </c>
      <c r="P107" s="8">
        <f t="shared" si="12"/>
        <v>-7.923653498050899</v>
      </c>
      <c r="X107" s="8">
        <v>-13</v>
      </c>
    </row>
    <row r="108" spans="1:25" x14ac:dyDescent="0.2">
      <c r="A108" s="8">
        <v>53</v>
      </c>
      <c r="B108" s="8">
        <v>106</v>
      </c>
      <c r="D108">
        <v>4465.8696027633996</v>
      </c>
      <c r="E108">
        <v>755.35664939550998</v>
      </c>
      <c r="F108">
        <v>189.34718614719</v>
      </c>
      <c r="G108">
        <v>136.04069264069</v>
      </c>
      <c r="I108" s="9">
        <f t="shared" si="8"/>
        <v>619.31595675482004</v>
      </c>
      <c r="J108" s="9">
        <f t="shared" si="9"/>
        <v>4276.5224166162097</v>
      </c>
      <c r="K108" s="9">
        <f t="shared" si="10"/>
        <v>619.31595675482004</v>
      </c>
      <c r="L108" s="10">
        <f t="shared" si="7"/>
        <v>0.14481765706371594</v>
      </c>
      <c r="M108" s="10">
        <f t="shared" si="11"/>
        <v>0.15305717313609482</v>
      </c>
      <c r="P108" s="8">
        <f t="shared" si="12"/>
        <v>-7.7198726533877773</v>
      </c>
      <c r="X108" s="8">
        <v>-13</v>
      </c>
    </row>
    <row r="109" spans="1:25" x14ac:dyDescent="0.2">
      <c r="A109" s="8">
        <v>53.5</v>
      </c>
      <c r="B109" s="8">
        <v>107</v>
      </c>
      <c r="D109">
        <v>4465.0336787565002</v>
      </c>
      <c r="E109">
        <v>752.37305699481999</v>
      </c>
      <c r="F109">
        <v>188.82510822511</v>
      </c>
      <c r="G109">
        <v>135.66320346320001</v>
      </c>
      <c r="I109" s="9">
        <f t="shared" si="8"/>
        <v>616.70985353161996</v>
      </c>
      <c r="J109" s="9">
        <f t="shared" si="9"/>
        <v>4276.2085705313903</v>
      </c>
      <c r="K109" s="9">
        <f t="shared" si="10"/>
        <v>616.70985353161996</v>
      </c>
      <c r="L109" s="10">
        <f t="shared" si="7"/>
        <v>0.14421884324856107</v>
      </c>
      <c r="M109" s="10">
        <f t="shared" si="11"/>
        <v>0.15253609060464163</v>
      </c>
      <c r="P109" s="8">
        <f t="shared" si="12"/>
        <v>-8.0340399764562562</v>
      </c>
      <c r="X109" s="8">
        <v>-13</v>
      </c>
    </row>
    <row r="110" spans="1:25" x14ac:dyDescent="0.2">
      <c r="A110" s="8">
        <v>54</v>
      </c>
      <c r="B110" s="8">
        <v>108</v>
      </c>
      <c r="D110">
        <v>4453.5751295337004</v>
      </c>
      <c r="E110">
        <v>751.93868739206005</v>
      </c>
      <c r="F110">
        <v>189.16103896103999</v>
      </c>
      <c r="G110">
        <v>135.83116883117</v>
      </c>
      <c r="I110" s="9">
        <f t="shared" si="8"/>
        <v>616.10751856089007</v>
      </c>
      <c r="J110" s="9">
        <f t="shared" si="9"/>
        <v>4264.4140905726608</v>
      </c>
      <c r="K110" s="9">
        <f t="shared" si="10"/>
        <v>616.10751856089007</v>
      </c>
      <c r="L110" s="10">
        <f t="shared" si="7"/>
        <v>0.14447647566002533</v>
      </c>
      <c r="M110" s="10">
        <f t="shared" si="11"/>
        <v>0.15287145429980759</v>
      </c>
      <c r="P110" s="8">
        <f t="shared" si="12"/>
        <v>-7.8318449152040319</v>
      </c>
      <c r="X110" s="8">
        <v>-13</v>
      </c>
    </row>
    <row r="111" spans="1:25" x14ac:dyDescent="0.2">
      <c r="A111" s="8">
        <v>54.5</v>
      </c>
      <c r="B111" s="8">
        <v>109</v>
      </c>
      <c r="D111">
        <v>4428.3445595855001</v>
      </c>
      <c r="E111">
        <v>748.23229706389998</v>
      </c>
      <c r="F111">
        <v>189.22510822511001</v>
      </c>
      <c r="G111">
        <v>134.81298701298999</v>
      </c>
      <c r="I111" s="9">
        <f t="shared" si="8"/>
        <v>613.41931005090998</v>
      </c>
      <c r="J111" s="9">
        <f t="shared" si="9"/>
        <v>4239.1194513603905</v>
      </c>
      <c r="K111" s="9">
        <f t="shared" si="10"/>
        <v>613.41931005090998</v>
      </c>
      <c r="L111" s="10">
        <f t="shared" si="7"/>
        <v>0.1447044172945057</v>
      </c>
      <c r="M111" s="10">
        <f t="shared" si="11"/>
        <v>0.15317712721798962</v>
      </c>
      <c r="P111" s="8">
        <f t="shared" si="12"/>
        <v>-7.6475508031524031</v>
      </c>
      <c r="X111" s="8">
        <v>-13</v>
      </c>
    </row>
    <row r="112" spans="1:25" x14ac:dyDescent="0.2">
      <c r="A112" s="8">
        <v>55</v>
      </c>
      <c r="B112" s="8">
        <v>110</v>
      </c>
      <c r="D112">
        <v>4440.1753022453004</v>
      </c>
      <c r="E112">
        <v>748.25561312607999</v>
      </c>
      <c r="F112">
        <v>189.44242424242</v>
      </c>
      <c r="G112">
        <v>135.92813852814001</v>
      </c>
      <c r="I112" s="9">
        <f t="shared" si="8"/>
        <v>612.32747459793995</v>
      </c>
      <c r="J112" s="9">
        <f t="shared" si="9"/>
        <v>4250.7328780028802</v>
      </c>
      <c r="K112" s="9">
        <f t="shared" si="10"/>
        <v>612.32747459793995</v>
      </c>
      <c r="L112" s="10">
        <f t="shared" si="7"/>
        <v>0.14405221221184558</v>
      </c>
      <c r="M112" s="10">
        <f t="shared" si="11"/>
        <v>0.1526026534190312</v>
      </c>
      <c r="P112" s="8">
        <f t="shared" si="12"/>
        <v>-7.9939084042955884</v>
      </c>
      <c r="X112" s="8">
        <v>-13</v>
      </c>
    </row>
    <row r="113" spans="1:24" x14ac:dyDescent="0.2">
      <c r="A113" s="8">
        <v>55.5</v>
      </c>
      <c r="B113" s="8">
        <v>111</v>
      </c>
      <c r="D113">
        <v>4421.2936096719004</v>
      </c>
      <c r="E113">
        <v>745.50259067358002</v>
      </c>
      <c r="F113">
        <v>189.18787878788001</v>
      </c>
      <c r="G113">
        <v>135.20865800866</v>
      </c>
      <c r="I113" s="9">
        <f t="shared" si="8"/>
        <v>610.29393266492002</v>
      </c>
      <c r="J113" s="9">
        <f t="shared" si="9"/>
        <v>4232.10573088402</v>
      </c>
      <c r="K113" s="9">
        <f t="shared" si="10"/>
        <v>610.29393266492002</v>
      </c>
      <c r="L113" s="10">
        <f t="shared" si="7"/>
        <v>0.14420573857861516</v>
      </c>
      <c r="M113" s="10">
        <f t="shared" si="11"/>
        <v>0.15283391106950248</v>
      </c>
      <c r="P113" s="8">
        <f t="shared" si="12"/>
        <v>-7.8544802089480115</v>
      </c>
      <c r="X113" s="8">
        <v>-13</v>
      </c>
    </row>
    <row r="114" spans="1:24" x14ac:dyDescent="0.2">
      <c r="A114" s="8">
        <v>56</v>
      </c>
      <c r="B114" s="8">
        <v>112</v>
      </c>
      <c r="D114">
        <v>4454.3756476684002</v>
      </c>
      <c r="E114">
        <v>747.10189982729003</v>
      </c>
      <c r="F114">
        <v>188.23982683982999</v>
      </c>
      <c r="G114">
        <v>135.46926406925999</v>
      </c>
      <c r="I114" s="9">
        <f t="shared" si="8"/>
        <v>611.63263575803001</v>
      </c>
      <c r="J114" s="9">
        <f t="shared" si="9"/>
        <v>4266.1358208285701</v>
      </c>
      <c r="K114" s="9">
        <f t="shared" si="10"/>
        <v>611.63263575803001</v>
      </c>
      <c r="L114" s="10">
        <f t="shared" si="7"/>
        <v>0.14336923657513523</v>
      </c>
      <c r="M114" s="10">
        <f t="shared" si="11"/>
        <v>0.15207514034972422</v>
      </c>
      <c r="P114" s="8">
        <f t="shared" si="12"/>
        <v>-8.3119527808852869</v>
      </c>
      <c r="X114" s="8">
        <v>-13</v>
      </c>
    </row>
    <row r="115" spans="1:24" x14ac:dyDescent="0.2">
      <c r="A115" s="8">
        <v>56.5</v>
      </c>
      <c r="B115" s="8">
        <v>113</v>
      </c>
      <c r="D115">
        <v>4456.3402417961997</v>
      </c>
      <c r="E115">
        <v>748.41450777201999</v>
      </c>
      <c r="F115">
        <v>188.46320346319999</v>
      </c>
      <c r="G115">
        <v>135.40346320346001</v>
      </c>
      <c r="I115" s="9">
        <f t="shared" si="8"/>
        <v>613.01104456856001</v>
      </c>
      <c r="J115" s="9">
        <f t="shared" si="9"/>
        <v>4267.8770383329993</v>
      </c>
      <c r="K115" s="9">
        <f t="shared" si="10"/>
        <v>613.01104456856001</v>
      </c>
      <c r="L115" s="10">
        <f t="shared" si="7"/>
        <v>0.14363371743437048</v>
      </c>
      <c r="M115" s="10">
        <f t="shared" si="11"/>
        <v>0.15241735249266117</v>
      </c>
      <c r="P115" s="8">
        <f t="shared" si="12"/>
        <v>-8.105628702877528</v>
      </c>
      <c r="X115" s="8">
        <v>-13</v>
      </c>
    </row>
    <row r="116" spans="1:24" x14ac:dyDescent="0.2">
      <c r="A116" s="8">
        <v>57</v>
      </c>
      <c r="B116" s="8">
        <v>114</v>
      </c>
      <c r="D116">
        <v>4427.4326424870997</v>
      </c>
      <c r="E116">
        <v>743.37910189982995</v>
      </c>
      <c r="F116">
        <v>188.85367965367999</v>
      </c>
      <c r="G116">
        <v>135.27186147186001</v>
      </c>
      <c r="I116" s="9">
        <f t="shared" si="8"/>
        <v>608.10724042796994</v>
      </c>
      <c r="J116" s="9">
        <f t="shared" si="9"/>
        <v>4238.5789628334196</v>
      </c>
      <c r="K116" s="9">
        <f t="shared" si="10"/>
        <v>608.10724042796994</v>
      </c>
      <c r="L116" s="10">
        <f t="shared" si="7"/>
        <v>0.14346960284572835</v>
      </c>
      <c r="M116" s="10">
        <f t="shared" si="11"/>
        <v>0.15233096918772071</v>
      </c>
      <c r="P116" s="8">
        <f t="shared" si="12"/>
        <v>-8.157710302303375</v>
      </c>
      <c r="X116" s="8">
        <v>-13</v>
      </c>
    </row>
    <row r="117" spans="1:24" x14ac:dyDescent="0.2">
      <c r="A117" s="8">
        <v>57.5</v>
      </c>
      <c r="B117" s="8">
        <v>115</v>
      </c>
      <c r="D117">
        <v>4412.3022452504001</v>
      </c>
      <c r="E117">
        <v>741.00518134715003</v>
      </c>
      <c r="F117">
        <v>188.10995670995999</v>
      </c>
      <c r="G117">
        <v>135.0380952381</v>
      </c>
      <c r="I117" s="9">
        <f t="shared" si="8"/>
        <v>605.96708610905</v>
      </c>
      <c r="J117" s="9">
        <f t="shared" si="9"/>
        <v>4224.1922885404401</v>
      </c>
      <c r="K117" s="9">
        <f t="shared" si="10"/>
        <v>605.96708610905</v>
      </c>
      <c r="L117" s="10">
        <f t="shared" si="7"/>
        <v>0.14345158665076446</v>
      </c>
      <c r="M117" s="10">
        <f t="shared" si="11"/>
        <v>0.15239068427645852</v>
      </c>
      <c r="P117" s="8">
        <f t="shared" si="12"/>
        <v>-8.1217073115233234</v>
      </c>
      <c r="X117" s="8">
        <v>-13</v>
      </c>
    </row>
    <row r="118" spans="1:24" x14ac:dyDescent="0.2">
      <c r="A118" s="8">
        <v>58</v>
      </c>
      <c r="B118" s="8">
        <v>116</v>
      </c>
      <c r="D118">
        <v>4385.4317789291999</v>
      </c>
      <c r="E118">
        <v>732.98272884283006</v>
      </c>
      <c r="F118">
        <v>187.80346320346001</v>
      </c>
      <c r="G118">
        <v>135.7341991342</v>
      </c>
      <c r="I118" s="9">
        <f t="shared" si="8"/>
        <v>597.24852970863003</v>
      </c>
      <c r="J118" s="9">
        <f t="shared" si="9"/>
        <v>4197.6283157257403</v>
      </c>
      <c r="K118" s="9">
        <f t="shared" si="10"/>
        <v>597.24852970863003</v>
      </c>
      <c r="L118" s="10">
        <f t="shared" si="7"/>
        <v>0.14228237585284392</v>
      </c>
      <c r="M118" s="10">
        <f t="shared" si="11"/>
        <v>0.15129920476223968</v>
      </c>
      <c r="P118" s="8">
        <f t="shared" si="12"/>
        <v>-8.7797742711082467</v>
      </c>
      <c r="X118" s="8">
        <v>-13</v>
      </c>
    </row>
    <row r="119" spans="1:24" x14ac:dyDescent="0.2">
      <c r="A119" s="8">
        <v>58.5</v>
      </c>
      <c r="B119" s="8">
        <v>117</v>
      </c>
      <c r="D119">
        <v>4384.0621761658003</v>
      </c>
      <c r="E119">
        <v>729.06649395509999</v>
      </c>
      <c r="F119">
        <v>188.27186147186001</v>
      </c>
      <c r="G119">
        <v>135.09437229437</v>
      </c>
      <c r="I119" s="9">
        <f t="shared" si="8"/>
        <v>593.97212166072995</v>
      </c>
      <c r="J119" s="9">
        <f t="shared" si="9"/>
        <v>4195.7903146939407</v>
      </c>
      <c r="K119" s="9">
        <f t="shared" si="10"/>
        <v>593.97212166072995</v>
      </c>
      <c r="L119" s="10">
        <f t="shared" si="7"/>
        <v>0.14156382400250067</v>
      </c>
      <c r="M119" s="10">
        <f t="shared" si="11"/>
        <v>0.1506583841955981</v>
      </c>
      <c r="P119" s="8">
        <f t="shared" si="12"/>
        <v>-9.1661331870894802</v>
      </c>
      <c r="X119" s="8">
        <v>-13</v>
      </c>
    </row>
    <row r="120" spans="1:24" x14ac:dyDescent="0.2">
      <c r="A120" s="8">
        <v>59</v>
      </c>
      <c r="B120" s="8">
        <v>118</v>
      </c>
      <c r="D120">
        <v>4326.9559585491997</v>
      </c>
      <c r="E120">
        <v>717.34542314334999</v>
      </c>
      <c r="F120">
        <v>187.27012987013001</v>
      </c>
      <c r="G120">
        <v>134.59653679653999</v>
      </c>
      <c r="I120" s="9">
        <f t="shared" si="8"/>
        <v>582.74888634680997</v>
      </c>
      <c r="J120" s="9">
        <f t="shared" si="9"/>
        <v>4139.6858286790693</v>
      </c>
      <c r="K120" s="9">
        <f t="shared" si="10"/>
        <v>582.74888634680997</v>
      </c>
      <c r="L120" s="10">
        <f t="shared" si="7"/>
        <v>0.14077128324802346</v>
      </c>
      <c r="M120" s="10">
        <f t="shared" si="11"/>
        <v>0.14994357472482259</v>
      </c>
      <c r="P120" s="8">
        <f t="shared" si="12"/>
        <v>-9.5971009597209278</v>
      </c>
      <c r="X120" s="8">
        <v>-13</v>
      </c>
    </row>
    <row r="121" spans="1:24" x14ac:dyDescent="0.2">
      <c r="A121" s="8">
        <v>59.5</v>
      </c>
      <c r="B121" s="8">
        <v>119</v>
      </c>
      <c r="D121">
        <v>4246.1830742660004</v>
      </c>
      <c r="E121">
        <v>704.13989637305997</v>
      </c>
      <c r="F121">
        <v>187.83722943723001</v>
      </c>
      <c r="G121">
        <v>134.96536796537001</v>
      </c>
      <c r="I121" s="9">
        <f t="shared" si="8"/>
        <v>569.17452840768999</v>
      </c>
      <c r="J121" s="9">
        <f t="shared" si="9"/>
        <v>4058.3458448287702</v>
      </c>
      <c r="K121" s="9">
        <f t="shared" si="10"/>
        <v>569.17452840768999</v>
      </c>
      <c r="L121" s="10">
        <f t="shared" si="7"/>
        <v>0.14024791138314252</v>
      </c>
      <c r="M121" s="10">
        <f t="shared" si="11"/>
        <v>0.14949793414364332</v>
      </c>
      <c r="P121" s="8">
        <f t="shared" si="12"/>
        <v>-9.8657833660363448</v>
      </c>
      <c r="X121" s="8">
        <v>-13</v>
      </c>
    </row>
    <row r="122" spans="1:24" x14ac:dyDescent="0.2">
      <c r="A122" s="8">
        <v>60</v>
      </c>
      <c r="B122" s="8">
        <v>120</v>
      </c>
      <c r="D122">
        <v>4395.4283246978002</v>
      </c>
      <c r="E122">
        <v>731.84974093263997</v>
      </c>
      <c r="F122">
        <v>187.16103896103999</v>
      </c>
      <c r="G122">
        <v>134.90735930736</v>
      </c>
      <c r="I122" s="9">
        <f t="shared" si="8"/>
        <v>596.94238162527995</v>
      </c>
      <c r="J122" s="9">
        <f t="shared" si="9"/>
        <v>4208.2672857367606</v>
      </c>
      <c r="K122" s="9">
        <f t="shared" si="10"/>
        <v>596.94238162527995</v>
      </c>
      <c r="L122" s="10">
        <f t="shared" si="7"/>
        <v>0.14184992090414963</v>
      </c>
      <c r="M122" s="10">
        <f t="shared" si="11"/>
        <v>0.15117767494835213</v>
      </c>
      <c r="P122" s="8">
        <f t="shared" si="12"/>
        <v>-8.8530461503162954</v>
      </c>
      <c r="X122" s="8">
        <v>-13</v>
      </c>
    </row>
    <row r="123" spans="1:24" x14ac:dyDescent="0.2">
      <c r="A123" s="8">
        <v>60.5</v>
      </c>
      <c r="B123" s="8">
        <v>121</v>
      </c>
      <c r="D123">
        <v>4342.2141623488997</v>
      </c>
      <c r="E123">
        <v>721.01122625215999</v>
      </c>
      <c r="F123">
        <v>187.75757575758001</v>
      </c>
      <c r="G123">
        <v>134.76623376622999</v>
      </c>
      <c r="I123" s="9">
        <f t="shared" si="8"/>
        <v>586.24499248592997</v>
      </c>
      <c r="J123" s="9">
        <f t="shared" si="9"/>
        <v>4154.45658659132</v>
      </c>
      <c r="K123" s="9">
        <f t="shared" si="10"/>
        <v>586.24499248592997</v>
      </c>
      <c r="L123" s="10">
        <f t="shared" si="7"/>
        <v>0.14111231644062905</v>
      </c>
      <c r="M123" s="10">
        <f t="shared" si="11"/>
        <v>0.15051780176853324</v>
      </c>
      <c r="P123" s="8">
        <f t="shared" si="12"/>
        <v>-9.2508921304727174</v>
      </c>
      <c r="X123" s="8">
        <v>-13</v>
      </c>
    </row>
    <row r="124" spans="1:24" x14ac:dyDescent="0.2">
      <c r="A124" s="8">
        <v>61</v>
      </c>
      <c r="B124" s="8">
        <v>122</v>
      </c>
      <c r="D124">
        <v>4334.4732297064002</v>
      </c>
      <c r="E124">
        <v>717.97841105353996</v>
      </c>
      <c r="F124">
        <v>186.89004329004001</v>
      </c>
      <c r="G124">
        <v>134.71341991342001</v>
      </c>
      <c r="I124" s="9">
        <f t="shared" si="8"/>
        <v>583.26499114011995</v>
      </c>
      <c r="J124" s="9">
        <f t="shared" si="9"/>
        <v>4147.5831864163601</v>
      </c>
      <c r="K124" s="9">
        <f t="shared" si="10"/>
        <v>583.26499114011995</v>
      </c>
      <c r="L124" s="10">
        <f t="shared" si="7"/>
        <v>0.14062767759555869</v>
      </c>
      <c r="M124" s="10">
        <f t="shared" si="11"/>
        <v>0.15011089420716456</v>
      </c>
      <c r="P124" s="8">
        <f t="shared" si="12"/>
        <v>-9.4962219037334172</v>
      </c>
      <c r="X124" s="8">
        <v>-13</v>
      </c>
    </row>
    <row r="125" spans="1:24" x14ac:dyDescent="0.2">
      <c r="A125" s="8">
        <v>61.5</v>
      </c>
      <c r="B125" s="8">
        <v>123</v>
      </c>
      <c r="D125">
        <v>4295.1373056994998</v>
      </c>
      <c r="E125">
        <v>714.42314335060996</v>
      </c>
      <c r="F125">
        <v>187.43463203463</v>
      </c>
      <c r="G125">
        <v>134.80346320346001</v>
      </c>
      <c r="I125" s="9">
        <f t="shared" si="8"/>
        <v>579.61968014714989</v>
      </c>
      <c r="J125" s="9">
        <f t="shared" si="9"/>
        <v>4107.7026736648695</v>
      </c>
      <c r="K125" s="9">
        <f t="shared" si="10"/>
        <v>579.61968014714989</v>
      </c>
      <c r="L125" s="10">
        <f t="shared" si="7"/>
        <v>0.14110555855543858</v>
      </c>
      <c r="M125" s="10">
        <f t="shared" si="11"/>
        <v>0.15066650645074614</v>
      </c>
      <c r="P125" s="8">
        <f t="shared" si="12"/>
        <v>-9.1612361755738121</v>
      </c>
      <c r="X125" s="8">
        <v>-13</v>
      </c>
    </row>
    <row r="126" spans="1:24" x14ac:dyDescent="0.2">
      <c r="A126" s="8">
        <v>62</v>
      </c>
      <c r="B126" s="8">
        <v>124</v>
      </c>
      <c r="D126">
        <v>4297.2107081173999</v>
      </c>
      <c r="E126">
        <v>718.79015544041999</v>
      </c>
      <c r="F126">
        <v>186.67012987013001</v>
      </c>
      <c r="G126">
        <v>134.84935064934999</v>
      </c>
      <c r="I126" s="9">
        <f t="shared" si="8"/>
        <v>583.94080479107004</v>
      </c>
      <c r="J126" s="9">
        <f t="shared" si="9"/>
        <v>4110.5405782472699</v>
      </c>
      <c r="K126" s="9">
        <f t="shared" si="10"/>
        <v>583.94080479107004</v>
      </c>
      <c r="L126" s="10">
        <f t="shared" si="7"/>
        <v>0.14205936997222438</v>
      </c>
      <c r="M126" s="10">
        <f t="shared" si="11"/>
        <v>0.15169804915123364</v>
      </c>
      <c r="P126" s="8">
        <f t="shared" si="12"/>
        <v>-8.5393058876034917</v>
      </c>
      <c r="X126" s="8">
        <v>-13</v>
      </c>
    </row>
    <row r="127" spans="1:24" x14ac:dyDescent="0.2">
      <c r="A127" s="8">
        <v>62.5</v>
      </c>
      <c r="B127" s="8">
        <v>125</v>
      </c>
      <c r="D127">
        <v>4334.0811744387001</v>
      </c>
      <c r="E127">
        <v>725.63557858376998</v>
      </c>
      <c r="F127">
        <v>187.09956709957001</v>
      </c>
      <c r="G127">
        <v>134.47186147186</v>
      </c>
      <c r="I127" s="9">
        <f t="shared" si="8"/>
        <v>591.16371711191005</v>
      </c>
      <c r="J127" s="9">
        <f t="shared" si="9"/>
        <v>4146.9816073391303</v>
      </c>
      <c r="K127" s="9">
        <f t="shared" si="10"/>
        <v>591.16371711191005</v>
      </c>
      <c r="L127" s="10">
        <f t="shared" si="7"/>
        <v>0.14255277044530332</v>
      </c>
      <c r="M127" s="10">
        <f t="shared" si="11"/>
        <v>0.15226918090801425</v>
      </c>
      <c r="P127" s="8">
        <f t="shared" si="12"/>
        <v>-8.1949632464353712</v>
      </c>
      <c r="X127" s="8">
        <v>-13</v>
      </c>
    </row>
    <row r="128" spans="1:24" x14ac:dyDescent="0.2">
      <c r="A128" s="8">
        <v>63</v>
      </c>
      <c r="B128" s="8">
        <v>126</v>
      </c>
      <c r="D128">
        <v>4288.7417962004001</v>
      </c>
      <c r="E128">
        <v>719.52245250431997</v>
      </c>
      <c r="F128">
        <v>186.64761904762</v>
      </c>
      <c r="G128">
        <v>134.87012987013</v>
      </c>
      <c r="I128" s="9">
        <f t="shared" si="8"/>
        <v>584.65232263419</v>
      </c>
      <c r="J128" s="9">
        <f t="shared" si="9"/>
        <v>4102.0941771527805</v>
      </c>
      <c r="K128" s="9">
        <f t="shared" si="10"/>
        <v>584.65232263419</v>
      </c>
      <c r="L128" s="10">
        <f t="shared" si="7"/>
        <v>0.14252532910884821</v>
      </c>
      <c r="M128" s="10">
        <f t="shared" si="11"/>
        <v>0.15231947085526085</v>
      </c>
      <c r="P128" s="8">
        <f t="shared" si="12"/>
        <v>-8.1646427940117281</v>
      </c>
      <c r="X128" s="8">
        <v>-13</v>
      </c>
    </row>
    <row r="129" spans="1:24" x14ac:dyDescent="0.2">
      <c r="A129" s="8">
        <v>63.5</v>
      </c>
      <c r="B129" s="8">
        <v>127</v>
      </c>
      <c r="D129">
        <v>4314.9274611398996</v>
      </c>
      <c r="E129">
        <v>721.86096718479996</v>
      </c>
      <c r="F129">
        <v>186.58268398268001</v>
      </c>
      <c r="G129">
        <v>134.52554112554</v>
      </c>
      <c r="I129" s="9">
        <f t="shared" si="8"/>
        <v>587.33542605925993</v>
      </c>
      <c r="J129" s="9">
        <f t="shared" si="9"/>
        <v>4128.3447771572191</v>
      </c>
      <c r="K129" s="9">
        <f t="shared" si="10"/>
        <v>587.33542605925993</v>
      </c>
      <c r="L129" s="10">
        <f t="shared" si="7"/>
        <v>0.14226898618281089</v>
      </c>
      <c r="M129" s="10">
        <f t="shared" si="11"/>
        <v>0.15214085921292519</v>
      </c>
      <c r="P129" s="8">
        <f t="shared" si="12"/>
        <v>-8.2723300376907023</v>
      </c>
      <c r="X129" s="8">
        <v>-13</v>
      </c>
    </row>
    <row r="130" spans="1:24" x14ac:dyDescent="0.2">
      <c r="A130" s="8">
        <v>64</v>
      </c>
      <c r="B130" s="8">
        <v>128</v>
      </c>
      <c r="D130">
        <v>4274.0811744387001</v>
      </c>
      <c r="E130">
        <v>717.31519861830998</v>
      </c>
      <c r="F130">
        <v>186.70562770563001</v>
      </c>
      <c r="G130">
        <v>134.49523809524001</v>
      </c>
      <c r="I130" s="9">
        <f t="shared" si="8"/>
        <v>582.81996052306999</v>
      </c>
      <c r="J130" s="9">
        <f t="shared" si="9"/>
        <v>4087.3755467330702</v>
      </c>
      <c r="K130" s="9">
        <f t="shared" si="10"/>
        <v>582.81996052306999</v>
      </c>
      <c r="L130" s="10">
        <f t="shared" ref="L130:L193" si="14">K130/J130</f>
        <v>0.14259026454980442</v>
      </c>
      <c r="M130" s="10">
        <f t="shared" si="11"/>
        <v>0.15253986886362042</v>
      </c>
      <c r="P130" s="8">
        <f t="shared" si="12"/>
        <v>-8.0317620157924896</v>
      </c>
      <c r="X130" s="8">
        <v>-13</v>
      </c>
    </row>
    <row r="131" spans="1:24" x14ac:dyDescent="0.2">
      <c r="A131" s="8">
        <v>64.5</v>
      </c>
      <c r="B131" s="8">
        <v>129</v>
      </c>
      <c r="D131">
        <v>4320.6753022453004</v>
      </c>
      <c r="E131">
        <v>722.21848013816998</v>
      </c>
      <c r="F131">
        <v>186.05194805195001</v>
      </c>
      <c r="G131">
        <v>134.18181818182001</v>
      </c>
      <c r="I131" s="9">
        <f t="shared" ref="I131:I194" si="15">E131-G131</f>
        <v>588.03666195634992</v>
      </c>
      <c r="J131" s="9">
        <f t="shared" ref="J131:J194" si="16">D131-F131</f>
        <v>4134.6233541933507</v>
      </c>
      <c r="K131" s="9">
        <f t="shared" ref="K131:K194" si="17">I131*1</f>
        <v>588.03666195634992</v>
      </c>
      <c r="L131" s="10">
        <f t="shared" si="14"/>
        <v>0.14222254642855459</v>
      </c>
      <c r="M131" s="10">
        <f t="shared" ref="M131:M181" si="18">L131+ABS($N$2)*A131</f>
        <v>0.15224988202607226</v>
      </c>
      <c r="P131" s="8">
        <f t="shared" ref="P131:P194" si="19">(M131-$O$2)/$O$2*100</f>
        <v>-8.2065987891986669</v>
      </c>
      <c r="X131" s="8">
        <v>-13</v>
      </c>
    </row>
    <row r="132" spans="1:24" x14ac:dyDescent="0.2">
      <c r="A132" s="8">
        <v>65</v>
      </c>
      <c r="B132" s="8">
        <v>130</v>
      </c>
      <c r="D132">
        <v>4266.9525043178</v>
      </c>
      <c r="E132">
        <v>714.93696027633996</v>
      </c>
      <c r="F132">
        <v>186.18268398268</v>
      </c>
      <c r="G132">
        <v>134.14891774892001</v>
      </c>
      <c r="I132" s="9">
        <f t="shared" si="15"/>
        <v>580.78804252741998</v>
      </c>
      <c r="J132" s="9">
        <f t="shared" si="16"/>
        <v>4080.7698203351201</v>
      </c>
      <c r="K132" s="9">
        <f t="shared" si="17"/>
        <v>580.78804252741998</v>
      </c>
      <c r="L132" s="10">
        <f t="shared" si="14"/>
        <v>0.14232315668314874</v>
      </c>
      <c r="M132" s="10">
        <f t="shared" si="18"/>
        <v>0.15242822356436811</v>
      </c>
      <c r="P132" s="8">
        <f t="shared" si="19"/>
        <v>-8.0990743947000308</v>
      </c>
      <c r="X132" s="8">
        <v>-13</v>
      </c>
    </row>
    <row r="133" spans="1:24" x14ac:dyDescent="0.2">
      <c r="A133" s="8">
        <v>65.5</v>
      </c>
      <c r="B133" s="8">
        <v>131</v>
      </c>
      <c r="D133">
        <v>4302.5181347150001</v>
      </c>
      <c r="E133">
        <v>720.27461139896002</v>
      </c>
      <c r="F133">
        <v>186.46580086579999</v>
      </c>
      <c r="G133">
        <v>134.49264069264001</v>
      </c>
      <c r="I133" s="9">
        <f t="shared" si="15"/>
        <v>585.78197070631995</v>
      </c>
      <c r="J133" s="9">
        <f t="shared" si="16"/>
        <v>4116.0523338492003</v>
      </c>
      <c r="K133" s="9">
        <f t="shared" si="17"/>
        <v>585.78197070631995</v>
      </c>
      <c r="L133" s="10">
        <f t="shared" si="14"/>
        <v>0.14231645353219197</v>
      </c>
      <c r="M133" s="10">
        <f t="shared" si="18"/>
        <v>0.15249925169711304</v>
      </c>
      <c r="P133" s="8">
        <f t="shared" si="19"/>
        <v>-8.0562506249897012</v>
      </c>
      <c r="X133" s="8">
        <v>-13</v>
      </c>
    </row>
    <row r="134" spans="1:24" x14ac:dyDescent="0.2">
      <c r="A134" s="8">
        <v>66</v>
      </c>
      <c r="B134" s="8">
        <v>132</v>
      </c>
      <c r="D134">
        <v>4217.8739205526999</v>
      </c>
      <c r="E134">
        <v>709.61053540587</v>
      </c>
      <c r="F134">
        <v>186.79826839827001</v>
      </c>
      <c r="G134">
        <v>134.10216450216001</v>
      </c>
      <c r="I134" s="9">
        <f t="shared" si="15"/>
        <v>575.50837090370999</v>
      </c>
      <c r="J134" s="9">
        <f t="shared" si="16"/>
        <v>4031.0756521544299</v>
      </c>
      <c r="K134" s="9">
        <f t="shared" si="17"/>
        <v>575.50837090370999</v>
      </c>
      <c r="L134" s="10">
        <f t="shared" si="14"/>
        <v>0.1427679410075389</v>
      </c>
      <c r="M134" s="10">
        <f t="shared" si="18"/>
        <v>0.15302847045616164</v>
      </c>
      <c r="P134" s="8">
        <f t="shared" si="19"/>
        <v>-7.7371778662383246</v>
      </c>
      <c r="X134" s="8">
        <v>-13</v>
      </c>
    </row>
    <row r="135" spans="1:24" x14ac:dyDescent="0.2">
      <c r="A135" s="8">
        <v>66.5</v>
      </c>
      <c r="B135" s="8">
        <v>133</v>
      </c>
      <c r="D135">
        <v>4291.7720207253997</v>
      </c>
      <c r="E135">
        <v>721.16753022452997</v>
      </c>
      <c r="F135">
        <v>187.20779220778999</v>
      </c>
      <c r="G135">
        <v>134.09004329004</v>
      </c>
      <c r="I135" s="9">
        <f t="shared" si="15"/>
        <v>587.07748693449003</v>
      </c>
      <c r="J135" s="9">
        <f t="shared" si="16"/>
        <v>4104.56422851761</v>
      </c>
      <c r="K135" s="9">
        <f t="shared" si="17"/>
        <v>587.07748693449003</v>
      </c>
      <c r="L135" s="10">
        <f t="shared" si="14"/>
        <v>0.14303040572628994</v>
      </c>
      <c r="M135" s="10">
        <f t="shared" si="18"/>
        <v>0.15336866645861438</v>
      </c>
      <c r="P135" s="8">
        <f t="shared" si="19"/>
        <v>-7.5320693451157394</v>
      </c>
      <c r="X135" s="8">
        <v>-13</v>
      </c>
    </row>
    <row r="136" spans="1:24" x14ac:dyDescent="0.2">
      <c r="A136" s="8">
        <v>67</v>
      </c>
      <c r="B136" s="8">
        <v>134</v>
      </c>
      <c r="D136">
        <v>4243.0250431779004</v>
      </c>
      <c r="E136">
        <v>714.84110535406001</v>
      </c>
      <c r="F136">
        <v>185.3012987013</v>
      </c>
      <c r="G136">
        <v>133.89264069263999</v>
      </c>
      <c r="I136" s="9">
        <f t="shared" si="15"/>
        <v>580.94846466142008</v>
      </c>
      <c r="J136" s="9">
        <f t="shared" si="16"/>
        <v>4057.7237444766006</v>
      </c>
      <c r="K136" s="9">
        <f t="shared" si="17"/>
        <v>580.94846466142008</v>
      </c>
      <c r="L136" s="10">
        <f t="shared" si="14"/>
        <v>0.14317102426014358</v>
      </c>
      <c r="M136" s="10">
        <f t="shared" si="18"/>
        <v>0.15358701627616972</v>
      </c>
      <c r="P136" s="8">
        <f t="shared" si="19"/>
        <v>-7.40042344732956</v>
      </c>
      <c r="X136" s="8">
        <v>-13</v>
      </c>
    </row>
    <row r="137" spans="1:24" x14ac:dyDescent="0.2">
      <c r="A137" s="8">
        <v>67.5</v>
      </c>
      <c r="B137" s="8">
        <v>135</v>
      </c>
      <c r="D137">
        <v>4237.9421416235</v>
      </c>
      <c r="E137">
        <v>715.43523316061999</v>
      </c>
      <c r="F137">
        <v>185.74891774892001</v>
      </c>
      <c r="G137">
        <v>134.18528138528001</v>
      </c>
      <c r="I137" s="9">
        <f t="shared" si="15"/>
        <v>581.24995177533992</v>
      </c>
      <c r="J137" s="9">
        <f t="shared" si="16"/>
        <v>4052.1932238745799</v>
      </c>
      <c r="K137" s="9">
        <f t="shared" si="17"/>
        <v>581.24995177533992</v>
      </c>
      <c r="L137" s="10">
        <f t="shared" si="14"/>
        <v>0.14344082812999895</v>
      </c>
      <c r="M137" s="10">
        <f t="shared" si="18"/>
        <v>0.15393455142972676</v>
      </c>
      <c r="P137" s="8">
        <f t="shared" si="19"/>
        <v>-7.1908900581355004</v>
      </c>
      <c r="X137" s="8">
        <v>-13</v>
      </c>
    </row>
    <row r="138" spans="1:24" x14ac:dyDescent="0.2">
      <c r="A138" s="8">
        <v>68</v>
      </c>
      <c r="B138" s="8">
        <v>136</v>
      </c>
      <c r="D138">
        <v>4186.5621761658003</v>
      </c>
      <c r="E138">
        <v>707.26683937823998</v>
      </c>
      <c r="F138">
        <v>185.76190476190999</v>
      </c>
      <c r="G138">
        <v>134.04155844156</v>
      </c>
      <c r="I138" s="9">
        <f t="shared" si="15"/>
        <v>573.22528093667995</v>
      </c>
      <c r="J138" s="9">
        <f t="shared" si="16"/>
        <v>4000.8002714038903</v>
      </c>
      <c r="K138" s="9">
        <f t="shared" si="17"/>
        <v>573.22528093667995</v>
      </c>
      <c r="L138" s="10">
        <f t="shared" si="14"/>
        <v>0.14327765498164541</v>
      </c>
      <c r="M138" s="10">
        <f t="shared" si="18"/>
        <v>0.15384910956507492</v>
      </c>
      <c r="P138" s="8">
        <f t="shared" si="19"/>
        <v>-7.2424040511699417</v>
      </c>
      <c r="X138" s="8">
        <v>-13</v>
      </c>
    </row>
    <row r="139" spans="1:24" x14ac:dyDescent="0.2">
      <c r="A139" s="8">
        <v>68.5</v>
      </c>
      <c r="B139" s="8">
        <v>137</v>
      </c>
      <c r="D139">
        <v>4277.3126079447002</v>
      </c>
      <c r="E139">
        <v>719.68048359240004</v>
      </c>
      <c r="F139">
        <v>186.04069264069</v>
      </c>
      <c r="G139">
        <v>134.16796536797</v>
      </c>
      <c r="I139" s="9">
        <f t="shared" si="15"/>
        <v>585.5125182244301</v>
      </c>
      <c r="J139" s="9">
        <f t="shared" si="16"/>
        <v>4091.2719153040102</v>
      </c>
      <c r="K139" s="9">
        <f t="shared" si="17"/>
        <v>585.5125182244301</v>
      </c>
      <c r="L139" s="10">
        <f t="shared" si="14"/>
        <v>0.14311258951873465</v>
      </c>
      <c r="M139" s="10">
        <f t="shared" si="18"/>
        <v>0.15376177538586583</v>
      </c>
      <c r="P139" s="8">
        <f t="shared" si="19"/>
        <v>-7.2950589448544099</v>
      </c>
      <c r="X139" s="8">
        <v>-13</v>
      </c>
    </row>
    <row r="140" spans="1:24" x14ac:dyDescent="0.2">
      <c r="A140" s="8">
        <v>69</v>
      </c>
      <c r="B140" s="8">
        <v>138</v>
      </c>
      <c r="D140">
        <v>4342.3808290155002</v>
      </c>
      <c r="E140">
        <v>726.37564766839</v>
      </c>
      <c r="F140">
        <v>185.52121212121</v>
      </c>
      <c r="G140">
        <v>134.00432900433</v>
      </c>
      <c r="I140" s="9">
        <f t="shared" si="15"/>
        <v>592.37131866406003</v>
      </c>
      <c r="J140" s="9">
        <f t="shared" si="16"/>
        <v>4156.8596168942904</v>
      </c>
      <c r="K140" s="9">
        <f t="shared" si="17"/>
        <v>592.37131866406003</v>
      </c>
      <c r="L140" s="10">
        <f t="shared" si="14"/>
        <v>0.14250452823967091</v>
      </c>
      <c r="M140" s="10">
        <f t="shared" si="18"/>
        <v>0.15323144539050379</v>
      </c>
      <c r="P140" s="8">
        <f t="shared" si="19"/>
        <v>-7.6148016821923186</v>
      </c>
      <c r="X140" s="8">
        <v>-13</v>
      </c>
    </row>
    <row r="141" spans="1:24" x14ac:dyDescent="0.2">
      <c r="A141" s="8">
        <v>69.5</v>
      </c>
      <c r="B141" s="8">
        <v>139</v>
      </c>
      <c r="D141">
        <v>4290.7806563040003</v>
      </c>
      <c r="E141">
        <v>720.70034542313999</v>
      </c>
      <c r="F141">
        <v>185.64155844155999</v>
      </c>
      <c r="G141">
        <v>134.01298701299001</v>
      </c>
      <c r="I141" s="9">
        <f t="shared" si="15"/>
        <v>586.68735841014995</v>
      </c>
      <c r="J141" s="9">
        <f t="shared" si="16"/>
        <v>4105.1390978624404</v>
      </c>
      <c r="K141" s="9">
        <f t="shared" si="17"/>
        <v>586.68735841014995</v>
      </c>
      <c r="L141" s="10">
        <f t="shared" si="14"/>
        <v>0.14291534206858911</v>
      </c>
      <c r="M141" s="10">
        <f t="shared" si="18"/>
        <v>0.15371999050312368</v>
      </c>
      <c r="P141" s="8">
        <f t="shared" si="19"/>
        <v>-7.3202515851051215</v>
      </c>
      <c r="X141" s="8">
        <v>-13</v>
      </c>
    </row>
    <row r="142" spans="1:24" x14ac:dyDescent="0.2">
      <c r="A142" s="8">
        <v>70</v>
      </c>
      <c r="B142" s="8">
        <v>140</v>
      </c>
      <c r="D142">
        <v>4317.9870466320999</v>
      </c>
      <c r="E142">
        <v>723.48013816926004</v>
      </c>
      <c r="F142">
        <v>184.77142857142999</v>
      </c>
      <c r="G142">
        <v>133.71948051947999</v>
      </c>
      <c r="I142" s="9">
        <f t="shared" si="15"/>
        <v>589.76065764978011</v>
      </c>
      <c r="J142" s="9">
        <f t="shared" si="16"/>
        <v>4133.2156180606698</v>
      </c>
      <c r="K142" s="9">
        <f t="shared" si="17"/>
        <v>589.76065764978011</v>
      </c>
      <c r="L142" s="10">
        <f t="shared" si="14"/>
        <v>0.14268809376233302</v>
      </c>
      <c r="M142" s="10">
        <f t="shared" si="18"/>
        <v>0.15357047348056926</v>
      </c>
      <c r="P142" s="8">
        <f t="shared" si="19"/>
        <v>-7.4103973103860898</v>
      </c>
      <c r="X142" s="8">
        <v>-13</v>
      </c>
    </row>
    <row r="143" spans="1:24" x14ac:dyDescent="0.2">
      <c r="A143" s="8">
        <v>70.5</v>
      </c>
      <c r="B143" s="8">
        <v>141</v>
      </c>
      <c r="D143">
        <v>4455.8134715025999</v>
      </c>
      <c r="E143">
        <v>743.72020725388995</v>
      </c>
      <c r="F143">
        <v>185.21731601732</v>
      </c>
      <c r="G143">
        <v>133.80259740259999</v>
      </c>
      <c r="I143" s="9">
        <f t="shared" si="15"/>
        <v>609.91760985128997</v>
      </c>
      <c r="J143" s="9">
        <f t="shared" si="16"/>
        <v>4270.5961554852802</v>
      </c>
      <c r="K143" s="9">
        <f t="shared" si="17"/>
        <v>609.91760985128997</v>
      </c>
      <c r="L143" s="10">
        <f t="shared" si="14"/>
        <v>0.14281790823697851</v>
      </c>
      <c r="M143" s="10">
        <f t="shared" si="18"/>
        <v>0.15377801923891646</v>
      </c>
      <c r="P143" s="8">
        <f t="shared" si="19"/>
        <v>-7.2852653180847646</v>
      </c>
      <c r="X143" s="8">
        <v>-13</v>
      </c>
    </row>
    <row r="144" spans="1:24" x14ac:dyDescent="0.2">
      <c r="A144" s="8">
        <v>71</v>
      </c>
      <c r="B144" s="8">
        <v>142</v>
      </c>
      <c r="D144">
        <v>4461.4568221071004</v>
      </c>
      <c r="E144">
        <v>747.68652849740999</v>
      </c>
      <c r="F144">
        <v>184.05714285714001</v>
      </c>
      <c r="G144">
        <v>133.59134199133999</v>
      </c>
      <c r="I144" s="9">
        <f t="shared" si="15"/>
        <v>614.09518650607004</v>
      </c>
      <c r="J144" s="9">
        <f t="shared" si="16"/>
        <v>4277.3996792499602</v>
      </c>
      <c r="K144" s="9">
        <f t="shared" si="17"/>
        <v>614.09518650607004</v>
      </c>
      <c r="L144" s="10">
        <f t="shared" si="14"/>
        <v>0.14356740836847665</v>
      </c>
      <c r="M144" s="10">
        <f t="shared" si="18"/>
        <v>0.15460525065411626</v>
      </c>
      <c r="P144" s="8">
        <f t="shared" si="19"/>
        <v>-6.7865169172379849</v>
      </c>
    </row>
    <row r="145" spans="1:16" x14ac:dyDescent="0.2">
      <c r="A145" s="8">
        <v>71.5</v>
      </c>
      <c r="B145" s="8">
        <v>143</v>
      </c>
      <c r="D145">
        <v>4465.8341968912</v>
      </c>
      <c r="E145">
        <v>745.98100172711997</v>
      </c>
      <c r="F145">
        <v>184.64761904762</v>
      </c>
      <c r="G145">
        <v>133.44588744589001</v>
      </c>
      <c r="I145" s="9">
        <f t="shared" si="15"/>
        <v>612.53511428122999</v>
      </c>
      <c r="J145" s="9">
        <f t="shared" si="16"/>
        <v>4281.1865778435804</v>
      </c>
      <c r="K145" s="9">
        <f t="shared" si="17"/>
        <v>612.53511428122999</v>
      </c>
      <c r="L145" s="10">
        <f t="shared" si="14"/>
        <v>0.14307601482525481</v>
      </c>
      <c r="M145" s="10">
        <f t="shared" si="18"/>
        <v>0.15419158839459612</v>
      </c>
      <c r="P145" s="8">
        <f t="shared" si="19"/>
        <v>-7.0359191844095035</v>
      </c>
    </row>
    <row r="146" spans="1:16" x14ac:dyDescent="0.2">
      <c r="A146" s="8">
        <v>72</v>
      </c>
      <c r="B146" s="8">
        <v>144</v>
      </c>
      <c r="D146">
        <v>4440.8834196891003</v>
      </c>
      <c r="E146">
        <v>744.84974093263997</v>
      </c>
      <c r="F146">
        <v>184.18441558442001</v>
      </c>
      <c r="G146">
        <v>133.60865800866</v>
      </c>
      <c r="I146" s="9">
        <f t="shared" si="15"/>
        <v>611.24108292398</v>
      </c>
      <c r="J146" s="9">
        <f t="shared" si="16"/>
        <v>4256.6990041046802</v>
      </c>
      <c r="K146" s="9">
        <f t="shared" si="17"/>
        <v>611.24108292398</v>
      </c>
      <c r="L146" s="10">
        <f t="shared" si="14"/>
        <v>0.14359509148628269</v>
      </c>
      <c r="M146" s="10">
        <f t="shared" si="18"/>
        <v>0.15478839633932567</v>
      </c>
      <c r="P146" s="8">
        <f t="shared" si="19"/>
        <v>-6.6760960411181873</v>
      </c>
    </row>
    <row r="147" spans="1:16" x14ac:dyDescent="0.2">
      <c r="A147" s="8">
        <v>72.5</v>
      </c>
      <c r="B147" s="8">
        <v>145</v>
      </c>
      <c r="D147">
        <v>4446.8540587219004</v>
      </c>
      <c r="E147">
        <v>745.35578583765005</v>
      </c>
      <c r="F147">
        <v>184.61038961039</v>
      </c>
      <c r="G147">
        <v>133.26839826840001</v>
      </c>
      <c r="I147" s="9">
        <f t="shared" si="15"/>
        <v>612.08738756925004</v>
      </c>
      <c r="J147" s="9">
        <f t="shared" si="16"/>
        <v>4262.2436691115108</v>
      </c>
      <c r="K147" s="9">
        <f t="shared" si="17"/>
        <v>612.08738756925004</v>
      </c>
      <c r="L147" s="10">
        <f t="shared" si="14"/>
        <v>0.14360685007406984</v>
      </c>
      <c r="M147" s="10">
        <f t="shared" si="18"/>
        <v>0.15487788621081452</v>
      </c>
      <c r="P147" s="8">
        <f t="shared" si="19"/>
        <v>-6.6221414529860763</v>
      </c>
    </row>
    <row r="148" spans="1:16" x14ac:dyDescent="0.2">
      <c r="A148" s="8">
        <v>73</v>
      </c>
      <c r="B148" s="8">
        <v>146</v>
      </c>
      <c r="D148">
        <v>4421.5086355785998</v>
      </c>
      <c r="E148">
        <v>741.25474956821995</v>
      </c>
      <c r="F148">
        <v>184.6051948052</v>
      </c>
      <c r="G148">
        <v>133.30216450217</v>
      </c>
      <c r="I148" s="9">
        <f t="shared" si="15"/>
        <v>607.95258506605001</v>
      </c>
      <c r="J148" s="9">
        <f t="shared" si="16"/>
        <v>4236.9034407733998</v>
      </c>
      <c r="K148" s="9">
        <f t="shared" si="17"/>
        <v>607.95258506605001</v>
      </c>
      <c r="L148" s="10">
        <f t="shared" si="14"/>
        <v>0.14348983722769831</v>
      </c>
      <c r="M148" s="10">
        <f t="shared" si="18"/>
        <v>0.1548386046481447</v>
      </c>
      <c r="P148" s="8">
        <f t="shared" si="19"/>
        <v>-6.6458248095467169</v>
      </c>
    </row>
    <row r="149" spans="1:16" x14ac:dyDescent="0.2">
      <c r="A149" s="8">
        <v>73.5</v>
      </c>
      <c r="B149" s="8">
        <v>147</v>
      </c>
      <c r="D149">
        <v>4435.6675302245003</v>
      </c>
      <c r="E149">
        <v>744.08981001727</v>
      </c>
      <c r="F149">
        <v>184.15151515151999</v>
      </c>
      <c r="G149">
        <v>133.38095238094999</v>
      </c>
      <c r="I149" s="9">
        <f t="shared" si="15"/>
        <v>610.70885763631998</v>
      </c>
      <c r="J149" s="9">
        <f t="shared" si="16"/>
        <v>4251.5160150729807</v>
      </c>
      <c r="K149" s="9">
        <f t="shared" si="17"/>
        <v>610.70885763631998</v>
      </c>
      <c r="L149" s="10">
        <f t="shared" si="14"/>
        <v>0.14364496228431511</v>
      </c>
      <c r="M149" s="10">
        <f t="shared" si="18"/>
        <v>0.15507146098846317</v>
      </c>
      <c r="P149" s="8">
        <f t="shared" si="19"/>
        <v>-6.5054327436423769</v>
      </c>
    </row>
    <row r="150" spans="1:16" x14ac:dyDescent="0.2">
      <c r="A150" s="8">
        <v>74</v>
      </c>
      <c r="B150" s="8">
        <v>148</v>
      </c>
      <c r="D150">
        <v>4415.3937823834003</v>
      </c>
      <c r="E150">
        <v>740.34024179619996</v>
      </c>
      <c r="F150">
        <v>184.09004329004</v>
      </c>
      <c r="G150">
        <v>132.90735930736</v>
      </c>
      <c r="I150" s="9">
        <f t="shared" si="15"/>
        <v>607.43288248883994</v>
      </c>
      <c r="J150" s="9">
        <f t="shared" si="16"/>
        <v>4231.3037390933605</v>
      </c>
      <c r="K150" s="9">
        <f t="shared" si="17"/>
        <v>607.43288248883994</v>
      </c>
      <c r="L150" s="10">
        <f t="shared" si="14"/>
        <v>0.14355690821169798</v>
      </c>
      <c r="M150" s="10">
        <f t="shared" si="18"/>
        <v>0.15506113819954773</v>
      </c>
      <c r="P150" s="8">
        <f t="shared" si="19"/>
        <v>-6.5116564851121215</v>
      </c>
    </row>
    <row r="151" spans="1:16" x14ac:dyDescent="0.2">
      <c r="A151" s="8">
        <v>74.5</v>
      </c>
      <c r="B151" s="8">
        <v>149</v>
      </c>
      <c r="D151">
        <v>4413.3739205526999</v>
      </c>
      <c r="E151">
        <v>739.26683937823998</v>
      </c>
      <c r="F151">
        <v>183.74112554113</v>
      </c>
      <c r="G151">
        <v>132.98874458875</v>
      </c>
      <c r="I151" s="9">
        <f t="shared" si="15"/>
        <v>606.27809478948996</v>
      </c>
      <c r="J151" s="9">
        <f t="shared" si="16"/>
        <v>4229.6327950115701</v>
      </c>
      <c r="K151" s="9">
        <f t="shared" si="17"/>
        <v>606.27809478948996</v>
      </c>
      <c r="L151" s="10">
        <f t="shared" si="14"/>
        <v>0.14334059814945035</v>
      </c>
      <c r="M151" s="10">
        <f t="shared" si="18"/>
        <v>0.1549225594210018</v>
      </c>
      <c r="P151" s="8">
        <f t="shared" si="19"/>
        <v>-6.5952074031758237</v>
      </c>
    </row>
    <row r="152" spans="1:16" x14ac:dyDescent="0.2">
      <c r="A152" s="8">
        <v>75</v>
      </c>
      <c r="B152" s="8">
        <v>150</v>
      </c>
      <c r="D152">
        <v>4427.0440414508003</v>
      </c>
      <c r="E152">
        <v>743.43436960275994</v>
      </c>
      <c r="F152">
        <v>183.60952380952</v>
      </c>
      <c r="G152">
        <v>133.05454545455001</v>
      </c>
      <c r="I152" s="9">
        <f t="shared" si="15"/>
        <v>610.37982414820999</v>
      </c>
      <c r="J152" s="9">
        <f t="shared" si="16"/>
        <v>4243.4345176412799</v>
      </c>
      <c r="K152" s="9">
        <f t="shared" si="17"/>
        <v>610.37982414820999</v>
      </c>
      <c r="L152" s="10">
        <f t="shared" si="14"/>
        <v>0.14384099050207347</v>
      </c>
      <c r="M152" s="10">
        <f t="shared" si="18"/>
        <v>0.15550068305732659</v>
      </c>
      <c r="P152" s="8">
        <f t="shared" si="19"/>
        <v>-6.2466492684015673</v>
      </c>
    </row>
    <row r="153" spans="1:16" x14ac:dyDescent="0.2">
      <c r="A153" s="8">
        <v>75.5</v>
      </c>
      <c r="B153" s="8">
        <v>151</v>
      </c>
      <c r="D153">
        <v>4403.7495682211002</v>
      </c>
      <c r="E153">
        <v>739.40241796199996</v>
      </c>
      <c r="F153">
        <v>183.70909090909001</v>
      </c>
      <c r="G153">
        <v>133.35064935065</v>
      </c>
      <c r="I153" s="9">
        <f t="shared" si="15"/>
        <v>606.05176861134998</v>
      </c>
      <c r="J153" s="9">
        <f t="shared" si="16"/>
        <v>4220.0404773120099</v>
      </c>
      <c r="K153" s="9">
        <f t="shared" si="17"/>
        <v>606.05176861134998</v>
      </c>
      <c r="L153" s="10">
        <f t="shared" si="14"/>
        <v>0.14361278567578567</v>
      </c>
      <c r="M153" s="10">
        <f t="shared" si="18"/>
        <v>0.15535020951474049</v>
      </c>
      <c r="P153" s="8">
        <f t="shared" si="19"/>
        <v>-6.3373716918439129</v>
      </c>
    </row>
    <row r="154" spans="1:16" x14ac:dyDescent="0.2">
      <c r="A154" s="8">
        <v>76</v>
      </c>
      <c r="B154" s="8">
        <v>152</v>
      </c>
      <c r="D154">
        <v>4420.7150259067002</v>
      </c>
      <c r="E154">
        <v>741.84715025906996</v>
      </c>
      <c r="F154">
        <v>183.19653679653999</v>
      </c>
      <c r="G154">
        <v>132.84502164502001</v>
      </c>
      <c r="I154" s="9">
        <f t="shared" si="15"/>
        <v>609.00212861404998</v>
      </c>
      <c r="J154" s="9">
        <f t="shared" si="16"/>
        <v>4237.5184891101599</v>
      </c>
      <c r="K154" s="9">
        <f t="shared" si="17"/>
        <v>609.00212861404998</v>
      </c>
      <c r="L154" s="10">
        <f t="shared" si="14"/>
        <v>0.14371668942073096</v>
      </c>
      <c r="M154" s="10">
        <f t="shared" si="18"/>
        <v>0.15553184454338745</v>
      </c>
      <c r="P154" s="8">
        <f t="shared" si="19"/>
        <v>-6.2278616098875226</v>
      </c>
    </row>
    <row r="155" spans="1:16" x14ac:dyDescent="0.2">
      <c r="A155" s="8">
        <v>76.5</v>
      </c>
      <c r="B155" s="8">
        <v>153</v>
      </c>
      <c r="D155">
        <v>4412.9810017271002</v>
      </c>
      <c r="E155">
        <v>741.49740932642999</v>
      </c>
      <c r="F155">
        <v>183.82597402597</v>
      </c>
      <c r="G155">
        <v>132.72640692640999</v>
      </c>
      <c r="I155" s="9">
        <f t="shared" si="15"/>
        <v>608.77100240002005</v>
      </c>
      <c r="J155" s="9">
        <f t="shared" si="16"/>
        <v>4229.1550277011302</v>
      </c>
      <c r="K155" s="9">
        <f t="shared" si="17"/>
        <v>608.77100240002005</v>
      </c>
      <c r="L155" s="10">
        <f t="shared" si="14"/>
        <v>0.14394624893449076</v>
      </c>
      <c r="M155" s="10">
        <f t="shared" si="18"/>
        <v>0.15583913534084895</v>
      </c>
      <c r="P155" s="8">
        <f t="shared" si="19"/>
        <v>-6.0425920577249785</v>
      </c>
    </row>
    <row r="156" spans="1:16" x14ac:dyDescent="0.2">
      <c r="A156" s="8">
        <v>77</v>
      </c>
      <c r="B156" s="8">
        <v>154</v>
      </c>
      <c r="D156">
        <v>4386.4265975819999</v>
      </c>
      <c r="E156">
        <v>739.81951640759996</v>
      </c>
      <c r="F156">
        <v>183.64069264068999</v>
      </c>
      <c r="G156">
        <v>133.56190476191</v>
      </c>
      <c r="I156" s="9">
        <f t="shared" si="15"/>
        <v>606.25761164568996</v>
      </c>
      <c r="J156" s="9">
        <f t="shared" si="16"/>
        <v>4202.78590494131</v>
      </c>
      <c r="K156" s="9">
        <f t="shared" si="17"/>
        <v>606.25761164568996</v>
      </c>
      <c r="L156" s="10">
        <f t="shared" si="14"/>
        <v>0.14425136691662052</v>
      </c>
      <c r="M156" s="10">
        <f t="shared" si="18"/>
        <v>0.15622198460668041</v>
      </c>
      <c r="P156" s="8">
        <f t="shared" si="19"/>
        <v>-5.8117673385589583</v>
      </c>
    </row>
    <row r="157" spans="1:16" x14ac:dyDescent="0.2">
      <c r="A157" s="8">
        <v>77.5</v>
      </c>
      <c r="B157" s="8">
        <v>155</v>
      </c>
      <c r="D157">
        <v>4415.1917098446002</v>
      </c>
      <c r="E157">
        <v>741.50690846287</v>
      </c>
      <c r="F157">
        <v>183.24935064934999</v>
      </c>
      <c r="G157">
        <v>133.28571428570999</v>
      </c>
      <c r="I157" s="9">
        <f t="shared" si="15"/>
        <v>608.22119417715999</v>
      </c>
      <c r="J157" s="9">
        <f t="shared" si="16"/>
        <v>4231.94235919525</v>
      </c>
      <c r="K157" s="9">
        <f t="shared" si="17"/>
        <v>608.22119417715999</v>
      </c>
      <c r="L157" s="10">
        <f t="shared" si="14"/>
        <v>0.14372152136136843</v>
      </c>
      <c r="M157" s="10">
        <f t="shared" si="18"/>
        <v>0.15576987033512998</v>
      </c>
      <c r="P157" s="8">
        <f t="shared" si="19"/>
        <v>-6.0843528156002504</v>
      </c>
    </row>
    <row r="158" spans="1:16" x14ac:dyDescent="0.2">
      <c r="A158" s="8">
        <v>78</v>
      </c>
      <c r="B158" s="8">
        <v>156</v>
      </c>
      <c r="D158">
        <v>4371.7392055268001</v>
      </c>
      <c r="E158">
        <v>736.30915371330002</v>
      </c>
      <c r="F158">
        <v>183.56796536797</v>
      </c>
      <c r="G158">
        <v>132.79393939394001</v>
      </c>
      <c r="I158" s="9">
        <f t="shared" si="15"/>
        <v>603.51521431935998</v>
      </c>
      <c r="J158" s="9">
        <f t="shared" si="16"/>
        <v>4188.1712401588302</v>
      </c>
      <c r="K158" s="9">
        <f t="shared" si="17"/>
        <v>603.51521431935998</v>
      </c>
      <c r="L158" s="10">
        <f t="shared" si="14"/>
        <v>0.14409993758910214</v>
      </c>
      <c r="M158" s="10">
        <f t="shared" si="18"/>
        <v>0.1562260178465654</v>
      </c>
      <c r="P158" s="8">
        <f t="shared" si="19"/>
        <v>-5.809335646645537</v>
      </c>
    </row>
    <row r="159" spans="1:16" x14ac:dyDescent="0.2">
      <c r="A159" s="8">
        <v>78.5</v>
      </c>
      <c r="B159" s="8">
        <v>157</v>
      </c>
      <c r="D159">
        <v>4387.1692573401997</v>
      </c>
      <c r="E159">
        <v>738.38687392054999</v>
      </c>
      <c r="F159">
        <v>183.43722943723</v>
      </c>
      <c r="G159">
        <v>132.81818181817999</v>
      </c>
      <c r="I159" s="9">
        <f t="shared" si="15"/>
        <v>605.56869210237005</v>
      </c>
      <c r="J159" s="9">
        <f t="shared" si="16"/>
        <v>4203.73202790297</v>
      </c>
      <c r="K159" s="9">
        <f t="shared" si="17"/>
        <v>605.56869210237005</v>
      </c>
      <c r="L159" s="10">
        <f t="shared" si="14"/>
        <v>0.14405501779913829</v>
      </c>
      <c r="M159" s="10">
        <f t="shared" si="18"/>
        <v>0.15625882934030322</v>
      </c>
      <c r="P159" s="8">
        <f t="shared" si="19"/>
        <v>-5.7895531773987905</v>
      </c>
    </row>
    <row r="160" spans="1:16" x14ac:dyDescent="0.2">
      <c r="A160" s="8">
        <v>79</v>
      </c>
      <c r="B160" s="8">
        <v>158</v>
      </c>
      <c r="D160">
        <v>4383.7132987909999</v>
      </c>
      <c r="E160">
        <v>739.67962003453999</v>
      </c>
      <c r="F160">
        <v>182.72380952380999</v>
      </c>
      <c r="G160">
        <v>132.75844155844001</v>
      </c>
      <c r="I160" s="9">
        <f t="shared" si="15"/>
        <v>606.92117847609995</v>
      </c>
      <c r="J160" s="9">
        <f t="shared" si="16"/>
        <v>4200.98948926719</v>
      </c>
      <c r="K160" s="9">
        <f t="shared" si="17"/>
        <v>606.92117847609995</v>
      </c>
      <c r="L160" s="10">
        <f t="shared" si="14"/>
        <v>0.14447100618239581</v>
      </c>
      <c r="M160" s="10">
        <f t="shared" si="18"/>
        <v>0.15675254900726243</v>
      </c>
      <c r="P160" s="8">
        <f t="shared" si="19"/>
        <v>-5.4918832753157831</v>
      </c>
    </row>
    <row r="161" spans="1:16" x14ac:dyDescent="0.2">
      <c r="A161" s="8">
        <v>79.5</v>
      </c>
      <c r="B161" s="8">
        <v>159</v>
      </c>
      <c r="D161">
        <v>4357.5319516407999</v>
      </c>
      <c r="E161">
        <v>735.04490500863994</v>
      </c>
      <c r="F161">
        <v>183.47532467533</v>
      </c>
      <c r="G161">
        <v>132.60779220779</v>
      </c>
      <c r="I161" s="9">
        <f t="shared" si="15"/>
        <v>602.43711280084995</v>
      </c>
      <c r="J161" s="9">
        <f t="shared" si="16"/>
        <v>4174.0566269654701</v>
      </c>
      <c r="K161" s="9">
        <f t="shared" si="17"/>
        <v>602.43711280084995</v>
      </c>
      <c r="L161" s="10">
        <f t="shared" si="14"/>
        <v>0.14432892666308181</v>
      </c>
      <c r="M161" s="10">
        <f t="shared" si="18"/>
        <v>0.15668820077165013</v>
      </c>
      <c r="P161" s="8">
        <f t="shared" si="19"/>
        <v>-5.5306796496062773</v>
      </c>
    </row>
    <row r="162" spans="1:16" x14ac:dyDescent="0.2">
      <c r="A162" s="8">
        <v>80</v>
      </c>
      <c r="B162" s="4">
        <v>160</v>
      </c>
      <c r="C162" s="4" t="s">
        <v>6</v>
      </c>
      <c r="D162">
        <v>4355.2184801382</v>
      </c>
      <c r="E162">
        <v>729.09499136442003</v>
      </c>
      <c r="F162">
        <v>183.41645021644999</v>
      </c>
      <c r="G162">
        <v>132.68051948051999</v>
      </c>
      <c r="H162" s="4"/>
      <c r="I162" s="5">
        <f t="shared" si="15"/>
        <v>596.41447188389998</v>
      </c>
      <c r="J162" s="5">
        <f t="shared" si="16"/>
        <v>4171.8020299217496</v>
      </c>
      <c r="K162" s="9">
        <f t="shared" si="17"/>
        <v>596.41447188389998</v>
      </c>
      <c r="L162" s="6">
        <f t="shared" si="14"/>
        <v>0.14296327285096194</v>
      </c>
      <c r="M162" s="6">
        <f t="shared" si="18"/>
        <v>0.15540027824323194</v>
      </c>
      <c r="N162" s="4"/>
      <c r="O162" s="4"/>
      <c r="P162" s="4">
        <f t="shared" si="19"/>
        <v>-6.3071846150372242</v>
      </c>
    </row>
    <row r="163" spans="1:16" x14ac:dyDescent="0.2">
      <c r="A163" s="8">
        <v>80.5</v>
      </c>
      <c r="B163" s="8">
        <v>161</v>
      </c>
      <c r="D163">
        <v>4486.1669550173001</v>
      </c>
      <c r="E163">
        <v>744.07352941176998</v>
      </c>
      <c r="F163">
        <v>182.89004329004001</v>
      </c>
      <c r="G163">
        <v>132.58701298701001</v>
      </c>
      <c r="I163" s="9">
        <f t="shared" si="15"/>
        <v>611.48651642476</v>
      </c>
      <c r="J163" s="9">
        <f t="shared" si="16"/>
        <v>4303.2769117272601</v>
      </c>
      <c r="K163" s="9">
        <f t="shared" si="17"/>
        <v>611.48651642476</v>
      </c>
      <c r="L163" s="10">
        <f t="shared" si="14"/>
        <v>0.14209787772623725</v>
      </c>
      <c r="M163" s="10">
        <f t="shared" si="18"/>
        <v>0.15461261440220894</v>
      </c>
      <c r="P163" s="8">
        <f t="shared" si="19"/>
        <v>-6.7820772193276051</v>
      </c>
    </row>
    <row r="164" spans="1:16" x14ac:dyDescent="0.2">
      <c r="A164" s="8">
        <v>81</v>
      </c>
      <c r="B164" s="8">
        <v>162</v>
      </c>
      <c r="D164">
        <v>4394.9195501730001</v>
      </c>
      <c r="E164">
        <v>728.96799307958997</v>
      </c>
      <c r="F164">
        <v>183.63203463203999</v>
      </c>
      <c r="G164">
        <v>132.84069264069001</v>
      </c>
      <c r="I164" s="9">
        <f t="shared" si="15"/>
        <v>596.12730043889997</v>
      </c>
      <c r="J164" s="9">
        <f t="shared" si="16"/>
        <v>4211.2875155409602</v>
      </c>
      <c r="K164" s="9">
        <f t="shared" si="17"/>
        <v>596.12730043889997</v>
      </c>
      <c r="L164" s="10">
        <f t="shared" si="14"/>
        <v>0.14155464290647574</v>
      </c>
      <c r="M164" s="10">
        <f t="shared" si="18"/>
        <v>0.1541471108661491</v>
      </c>
      <c r="P164" s="8">
        <f t="shared" si="19"/>
        <v>-7.0627352551957063</v>
      </c>
    </row>
    <row r="165" spans="1:16" x14ac:dyDescent="0.2">
      <c r="A165" s="8">
        <v>81.5</v>
      </c>
      <c r="B165" s="8">
        <v>163</v>
      </c>
      <c r="D165">
        <v>4433.4896193772001</v>
      </c>
      <c r="E165">
        <v>735.39532871972006</v>
      </c>
      <c r="F165">
        <v>182.79480519481001</v>
      </c>
      <c r="G165">
        <v>132.2632034632</v>
      </c>
      <c r="I165" s="9">
        <f t="shared" si="15"/>
        <v>603.13212525652011</v>
      </c>
      <c r="J165" s="9">
        <f t="shared" si="16"/>
        <v>4250.6948141823905</v>
      </c>
      <c r="K165" s="9">
        <f t="shared" si="17"/>
        <v>603.13212525652011</v>
      </c>
      <c r="L165" s="10">
        <f t="shared" si="14"/>
        <v>0.14189024421235261</v>
      </c>
      <c r="M165" s="10">
        <f t="shared" si="18"/>
        <v>0.15456044345572767</v>
      </c>
      <c r="P165" s="8">
        <f t="shared" si="19"/>
        <v>-6.8135317502485719</v>
      </c>
    </row>
    <row r="166" spans="1:16" x14ac:dyDescent="0.2">
      <c r="A166" s="8">
        <v>82</v>
      </c>
      <c r="B166" s="8">
        <v>164</v>
      </c>
      <c r="D166">
        <v>4422.1903114186998</v>
      </c>
      <c r="E166">
        <v>734.32179930795996</v>
      </c>
      <c r="F166">
        <v>182.43203463204</v>
      </c>
      <c r="G166">
        <v>132.58354978355001</v>
      </c>
      <c r="I166" s="9">
        <f t="shared" si="15"/>
        <v>601.73824952440998</v>
      </c>
      <c r="J166" s="9">
        <f t="shared" si="16"/>
        <v>4239.7582767866597</v>
      </c>
      <c r="K166" s="9">
        <f t="shared" si="17"/>
        <v>601.73824952440998</v>
      </c>
      <c r="L166" s="10">
        <f t="shared" si="14"/>
        <v>0.14192748978615624</v>
      </c>
      <c r="M166" s="10">
        <f t="shared" si="18"/>
        <v>0.154675420313233</v>
      </c>
      <c r="P166" s="8">
        <f t="shared" si="19"/>
        <v>-6.7442107322583125</v>
      </c>
    </row>
    <row r="167" spans="1:16" x14ac:dyDescent="0.2">
      <c r="A167" s="8">
        <v>82.5</v>
      </c>
      <c r="B167" s="8">
        <v>165</v>
      </c>
      <c r="D167">
        <v>4438.3044982699003</v>
      </c>
      <c r="E167">
        <v>747.85640138407996</v>
      </c>
      <c r="F167">
        <v>183.06320346320001</v>
      </c>
      <c r="G167">
        <v>132.89004329004001</v>
      </c>
      <c r="I167" s="9">
        <f t="shared" si="15"/>
        <v>614.96635809403995</v>
      </c>
      <c r="J167" s="9">
        <f t="shared" si="16"/>
        <v>4255.2412948067004</v>
      </c>
      <c r="K167" s="9">
        <f t="shared" si="17"/>
        <v>614.96635809403995</v>
      </c>
      <c r="L167" s="10">
        <f t="shared" si="14"/>
        <v>0.14451973824482628</v>
      </c>
      <c r="M167" s="10">
        <f t="shared" si="18"/>
        <v>0.15734540005560471</v>
      </c>
      <c r="P167" s="8">
        <f t="shared" si="19"/>
        <v>-5.1344457954666511</v>
      </c>
    </row>
    <row r="168" spans="1:16" x14ac:dyDescent="0.2">
      <c r="A168" s="8">
        <v>83</v>
      </c>
      <c r="B168" s="8">
        <v>166</v>
      </c>
      <c r="D168">
        <v>4424.2889273356004</v>
      </c>
      <c r="E168">
        <v>750.26038062283999</v>
      </c>
      <c r="F168">
        <v>181.92207792208001</v>
      </c>
      <c r="G168">
        <v>132.05627705628001</v>
      </c>
      <c r="I168" s="9">
        <f t="shared" si="15"/>
        <v>618.20410356655998</v>
      </c>
      <c r="J168" s="9">
        <f t="shared" si="16"/>
        <v>4242.36684941352</v>
      </c>
      <c r="K168" s="9">
        <f t="shared" si="17"/>
        <v>618.20410356655998</v>
      </c>
      <c r="L168" s="10">
        <f t="shared" si="14"/>
        <v>0.14572151006979106</v>
      </c>
      <c r="M168" s="10">
        <f t="shared" si="18"/>
        <v>0.15862490316427119</v>
      </c>
      <c r="P168" s="8">
        <f t="shared" si="19"/>
        <v>-4.3630170058917805</v>
      </c>
    </row>
    <row r="169" spans="1:16" x14ac:dyDescent="0.2">
      <c r="A169" s="8">
        <v>83.5</v>
      </c>
      <c r="B169" s="8">
        <v>167</v>
      </c>
      <c r="D169">
        <v>4404.8823529412002</v>
      </c>
      <c r="E169">
        <v>746.18252595156002</v>
      </c>
      <c r="F169">
        <v>182.67186147186001</v>
      </c>
      <c r="G169">
        <v>132.58961038960999</v>
      </c>
      <c r="I169" s="9">
        <f t="shared" si="15"/>
        <v>613.59291556195001</v>
      </c>
      <c r="J169" s="9">
        <f t="shared" si="16"/>
        <v>4222.21049146934</v>
      </c>
      <c r="K169" s="9">
        <f t="shared" si="17"/>
        <v>613.59291556195001</v>
      </c>
      <c r="L169" s="10">
        <f t="shared" si="14"/>
        <v>0.14532504165807661</v>
      </c>
      <c r="M169" s="10">
        <f t="shared" si="18"/>
        <v>0.15830616603625841</v>
      </c>
      <c r="P169" s="8">
        <f t="shared" si="19"/>
        <v>-4.5551876971468666</v>
      </c>
    </row>
    <row r="170" spans="1:16" x14ac:dyDescent="0.2">
      <c r="A170" s="8">
        <v>84</v>
      </c>
      <c r="B170" s="8">
        <v>168</v>
      </c>
      <c r="D170">
        <v>4398.4186851210998</v>
      </c>
      <c r="E170">
        <v>748.33737024222</v>
      </c>
      <c r="F170">
        <v>182.72987012986999</v>
      </c>
      <c r="G170">
        <v>132.85108225107999</v>
      </c>
      <c r="I170" s="9">
        <f t="shared" si="15"/>
        <v>615.48628799113999</v>
      </c>
      <c r="J170" s="9">
        <f t="shared" si="16"/>
        <v>4215.6888149912302</v>
      </c>
      <c r="K170" s="9">
        <f t="shared" si="17"/>
        <v>615.48628799113999</v>
      </c>
      <c r="L170" s="10">
        <f t="shared" si="14"/>
        <v>0.14599898498258115</v>
      </c>
      <c r="M170" s="10">
        <f t="shared" si="18"/>
        <v>0.15905784064446465</v>
      </c>
      <c r="P170" s="8">
        <f t="shared" si="19"/>
        <v>-4.1019934616384823</v>
      </c>
    </row>
    <row r="171" spans="1:16" x14ac:dyDescent="0.2">
      <c r="A171" s="8">
        <v>84.5</v>
      </c>
      <c r="B171" s="8">
        <v>169</v>
      </c>
      <c r="D171">
        <v>4398.973183391</v>
      </c>
      <c r="E171">
        <v>750.14100346020996</v>
      </c>
      <c r="F171">
        <v>181.90216450217</v>
      </c>
      <c r="G171">
        <v>132.05021645022001</v>
      </c>
      <c r="I171" s="9">
        <f t="shared" si="15"/>
        <v>618.09078700998998</v>
      </c>
      <c r="J171" s="9">
        <f t="shared" si="16"/>
        <v>4217.0710188888297</v>
      </c>
      <c r="K171" s="9">
        <f t="shared" si="17"/>
        <v>618.09078700998998</v>
      </c>
      <c r="L171" s="10">
        <f t="shared" si="14"/>
        <v>0.14656874030375064</v>
      </c>
      <c r="M171" s="10">
        <f t="shared" si="18"/>
        <v>0.15970532724933584</v>
      </c>
      <c r="P171" s="8">
        <f t="shared" si="19"/>
        <v>-3.7116155059473104</v>
      </c>
    </row>
    <row r="172" spans="1:16" x14ac:dyDescent="0.2">
      <c r="A172" s="8">
        <v>85</v>
      </c>
      <c r="B172" s="8">
        <v>170</v>
      </c>
      <c r="D172">
        <v>4292.8875432526002</v>
      </c>
      <c r="E172">
        <v>720.38494809688996</v>
      </c>
      <c r="F172">
        <v>182.41558441558001</v>
      </c>
      <c r="G172">
        <v>132.31948051948001</v>
      </c>
      <c r="I172" s="9">
        <f t="shared" si="15"/>
        <v>588.06546757740989</v>
      </c>
      <c r="J172" s="9">
        <f t="shared" si="16"/>
        <v>4110.4719588370199</v>
      </c>
      <c r="K172" s="9">
        <f t="shared" si="17"/>
        <v>588.06546757740989</v>
      </c>
      <c r="L172" s="10">
        <f t="shared" si="14"/>
        <v>0.14306519384304275</v>
      </c>
      <c r="M172" s="10">
        <f t="shared" si="18"/>
        <v>0.15627951207232962</v>
      </c>
      <c r="P172" s="8">
        <f t="shared" si="19"/>
        <v>-5.7770832937196017</v>
      </c>
    </row>
    <row r="173" spans="1:16" x14ac:dyDescent="0.2">
      <c r="A173" s="8">
        <v>85.5</v>
      </c>
      <c r="B173" s="8">
        <v>171</v>
      </c>
      <c r="D173">
        <v>4303.7802768166002</v>
      </c>
      <c r="E173">
        <v>721.51989619377002</v>
      </c>
      <c r="F173">
        <v>182.38181818181999</v>
      </c>
      <c r="G173">
        <v>132.17229437229</v>
      </c>
      <c r="I173" s="9">
        <f t="shared" si="15"/>
        <v>589.34760182148</v>
      </c>
      <c r="J173" s="9">
        <f t="shared" si="16"/>
        <v>4121.3984586347806</v>
      </c>
      <c r="K173" s="9">
        <f t="shared" si="17"/>
        <v>589.34760182148</v>
      </c>
      <c r="L173" s="10">
        <f t="shared" si="14"/>
        <v>0.14299699670793353</v>
      </c>
      <c r="M173" s="10">
        <f t="shared" si="18"/>
        <v>0.1562890462209221</v>
      </c>
      <c r="P173" s="8">
        <f t="shared" si="19"/>
        <v>-5.771335033587599</v>
      </c>
    </row>
    <row r="174" spans="1:16" x14ac:dyDescent="0.2">
      <c r="A174" s="8">
        <v>86</v>
      </c>
      <c r="B174" s="8">
        <v>172</v>
      </c>
      <c r="D174">
        <v>4320.4489619377</v>
      </c>
      <c r="E174">
        <v>724.00259515570997</v>
      </c>
      <c r="F174">
        <v>182.16103896103999</v>
      </c>
      <c r="G174">
        <v>132.58701298701001</v>
      </c>
      <c r="I174" s="9">
        <f t="shared" si="15"/>
        <v>591.41558216869998</v>
      </c>
      <c r="J174" s="9">
        <f t="shared" si="16"/>
        <v>4138.2879229766604</v>
      </c>
      <c r="K174" s="9">
        <f t="shared" si="17"/>
        <v>591.41558216869998</v>
      </c>
      <c r="L174" s="10">
        <f t="shared" si="14"/>
        <v>0.14291310638030624</v>
      </c>
      <c r="M174" s="10">
        <f t="shared" si="18"/>
        <v>0.15628288717699648</v>
      </c>
      <c r="P174" s="8">
        <f t="shared" si="19"/>
        <v>-5.7750483999470053</v>
      </c>
    </row>
    <row r="175" spans="1:16" x14ac:dyDescent="0.2">
      <c r="A175" s="8">
        <v>86.5</v>
      </c>
      <c r="B175" s="8">
        <v>173</v>
      </c>
      <c r="D175">
        <v>4340.9775086504997</v>
      </c>
      <c r="E175">
        <v>729.22923875433003</v>
      </c>
      <c r="F175">
        <v>181.10303030303001</v>
      </c>
      <c r="G175">
        <v>132.59047619047999</v>
      </c>
      <c r="I175" s="9">
        <f t="shared" si="15"/>
        <v>596.63876256385004</v>
      </c>
      <c r="J175" s="9">
        <f t="shared" si="16"/>
        <v>4159.8744783474694</v>
      </c>
      <c r="K175" s="9">
        <f t="shared" si="17"/>
        <v>596.63876256385004</v>
      </c>
      <c r="L175" s="10">
        <f t="shared" si="14"/>
        <v>0.14342710715657644</v>
      </c>
      <c r="M175" s="10">
        <f t="shared" si="18"/>
        <v>0.15687461923696838</v>
      </c>
      <c r="P175" s="8">
        <f t="shared" si="19"/>
        <v>-5.4182855724986867</v>
      </c>
    </row>
    <row r="176" spans="1:16" x14ac:dyDescent="0.2">
      <c r="A176" s="8">
        <v>87</v>
      </c>
      <c r="B176" s="8">
        <v>174</v>
      </c>
      <c r="D176">
        <v>4330.2344290657002</v>
      </c>
      <c r="E176">
        <v>729.90224913495001</v>
      </c>
      <c r="F176">
        <v>181.49090909091001</v>
      </c>
      <c r="G176">
        <v>132.35757575758001</v>
      </c>
      <c r="I176" s="9">
        <f t="shared" si="15"/>
        <v>597.54467337737003</v>
      </c>
      <c r="J176" s="9">
        <f t="shared" si="16"/>
        <v>4148.7435199747906</v>
      </c>
      <c r="K176" s="9">
        <f t="shared" si="17"/>
        <v>597.54467337737003</v>
      </c>
      <c r="L176" s="10">
        <f t="shared" si="14"/>
        <v>0.14403027579323605</v>
      </c>
      <c r="M176" s="10">
        <f t="shared" si="18"/>
        <v>0.15755551915732968</v>
      </c>
      <c r="P176" s="8">
        <f t="shared" si="19"/>
        <v>-5.0077623015287678</v>
      </c>
    </row>
    <row r="177" spans="1:16" x14ac:dyDescent="0.2">
      <c r="A177" s="8">
        <v>87.5</v>
      </c>
      <c r="B177" s="8">
        <v>175</v>
      </c>
      <c r="D177">
        <v>4336.0986159169997</v>
      </c>
      <c r="E177">
        <v>730.43079584775001</v>
      </c>
      <c r="F177">
        <v>181.59220779220999</v>
      </c>
      <c r="G177">
        <v>132.54718614718999</v>
      </c>
      <c r="I177" s="9">
        <f t="shared" si="15"/>
        <v>597.88360970055999</v>
      </c>
      <c r="J177" s="9">
        <f t="shared" si="16"/>
        <v>4154.5064081247901</v>
      </c>
      <c r="K177" s="9">
        <f t="shared" si="17"/>
        <v>597.88360970055999</v>
      </c>
      <c r="L177" s="10">
        <f t="shared" si="14"/>
        <v>0.14391206823783076</v>
      </c>
      <c r="M177" s="10">
        <f t="shared" si="18"/>
        <v>0.15751504288562607</v>
      </c>
      <c r="P177" s="8">
        <f t="shared" si="19"/>
        <v>-5.0321659634466869</v>
      </c>
    </row>
    <row r="178" spans="1:16" x14ac:dyDescent="0.2">
      <c r="A178" s="8">
        <v>88</v>
      </c>
      <c r="B178" s="8">
        <v>176</v>
      </c>
      <c r="D178">
        <v>4329.0596885813002</v>
      </c>
      <c r="E178">
        <v>728.97577854670999</v>
      </c>
      <c r="F178">
        <v>181.73160173159999</v>
      </c>
      <c r="G178">
        <v>132.17662337662</v>
      </c>
      <c r="I178" s="9">
        <f t="shared" si="15"/>
        <v>596.79915517008999</v>
      </c>
      <c r="J178" s="9">
        <f t="shared" si="16"/>
        <v>4147.3280868497004</v>
      </c>
      <c r="K178" s="9">
        <f t="shared" si="17"/>
        <v>596.79915517008999</v>
      </c>
      <c r="L178" s="10">
        <f t="shared" si="14"/>
        <v>0.14389967291529546</v>
      </c>
      <c r="M178" s="10">
        <f t="shared" si="18"/>
        <v>0.15758037884679246</v>
      </c>
      <c r="P178" s="8">
        <f t="shared" si="19"/>
        <v>-4.9927740767862208</v>
      </c>
    </row>
    <row r="179" spans="1:16" x14ac:dyDescent="0.2">
      <c r="A179" s="8">
        <v>88.5</v>
      </c>
      <c r="B179" s="8">
        <v>177</v>
      </c>
      <c r="D179">
        <v>4273.5025951557</v>
      </c>
      <c r="E179">
        <v>718.41522491349997</v>
      </c>
      <c r="F179">
        <v>181.98701298700999</v>
      </c>
      <c r="G179">
        <v>132.56536796537</v>
      </c>
      <c r="I179" s="9">
        <f t="shared" si="15"/>
        <v>585.84985694812997</v>
      </c>
      <c r="J179" s="9">
        <f t="shared" si="16"/>
        <v>4091.5155821686899</v>
      </c>
      <c r="K179" s="9">
        <f t="shared" si="17"/>
        <v>585.84985694812997</v>
      </c>
      <c r="L179" s="10">
        <f t="shared" si="14"/>
        <v>0.14318651491914955</v>
      </c>
      <c r="M179" s="10">
        <f t="shared" si="18"/>
        <v>0.15694495213434823</v>
      </c>
      <c r="P179" s="8">
        <f t="shared" si="19"/>
        <v>-5.3758809690823073</v>
      </c>
    </row>
    <row r="180" spans="1:16" x14ac:dyDescent="0.2">
      <c r="A180" s="8">
        <v>89</v>
      </c>
      <c r="B180" s="8">
        <v>178</v>
      </c>
      <c r="D180">
        <v>4436.6474137931</v>
      </c>
      <c r="E180">
        <v>739.26896551723996</v>
      </c>
      <c r="F180">
        <v>181.98268398267999</v>
      </c>
      <c r="G180">
        <v>131.80000000000001</v>
      </c>
      <c r="I180" s="9">
        <f t="shared" si="15"/>
        <v>607.46896551723989</v>
      </c>
      <c r="J180" s="9">
        <f t="shared" si="16"/>
        <v>4254.6647298104199</v>
      </c>
      <c r="K180" s="9">
        <f t="shared" si="17"/>
        <v>607.46896551723989</v>
      </c>
      <c r="L180" s="10">
        <f t="shared" si="14"/>
        <v>0.14277716438171795</v>
      </c>
      <c r="M180" s="10">
        <f t="shared" si="18"/>
        <v>0.15661333288061832</v>
      </c>
      <c r="P180" s="8">
        <f t="shared" si="19"/>
        <v>-5.5758184586998212</v>
      </c>
    </row>
    <row r="181" spans="1:16" x14ac:dyDescent="0.2">
      <c r="A181" s="8">
        <v>89.5</v>
      </c>
      <c r="B181" s="8">
        <v>179</v>
      </c>
      <c r="D181">
        <v>4440.4439655172</v>
      </c>
      <c r="E181">
        <v>739.59224137931005</v>
      </c>
      <c r="F181">
        <v>181.18181818182001</v>
      </c>
      <c r="G181">
        <v>132.28398268398001</v>
      </c>
      <c r="I181" s="9">
        <f t="shared" si="15"/>
        <v>607.3082586953301</v>
      </c>
      <c r="J181" s="9">
        <f t="shared" si="16"/>
        <v>4259.2621473353802</v>
      </c>
      <c r="K181" s="9">
        <f t="shared" si="17"/>
        <v>607.3082586953301</v>
      </c>
      <c r="L181" s="10">
        <f t="shared" si="14"/>
        <v>0.14258532057606874</v>
      </c>
      <c r="M181" s="10">
        <f t="shared" si="18"/>
        <v>0.15649922035867081</v>
      </c>
      <c r="P181" s="8">
        <f t="shared" si="19"/>
        <v>-5.6446183577270705</v>
      </c>
    </row>
    <row r="182" spans="1:16" x14ac:dyDescent="0.2">
      <c r="A182" s="8">
        <v>90</v>
      </c>
      <c r="B182" s="8">
        <v>180</v>
      </c>
      <c r="D182">
        <v>4261.8810344827998</v>
      </c>
      <c r="E182">
        <v>718.53017241378996</v>
      </c>
      <c r="F182">
        <v>181.1670995671</v>
      </c>
      <c r="G182">
        <v>132.54458874458999</v>
      </c>
      <c r="I182" s="9">
        <f t="shared" si="15"/>
        <v>585.98558366919997</v>
      </c>
      <c r="J182" s="9">
        <f t="shared" si="16"/>
        <v>4080.7139349156996</v>
      </c>
      <c r="K182" s="9">
        <f t="shared" si="17"/>
        <v>585.98558366919997</v>
      </c>
      <c r="L182" s="10">
        <f t="shared" si="14"/>
        <v>0.14359879006841125</v>
      </c>
      <c r="M182" s="10">
        <f>L182+ABS($N$2)*A182</f>
        <v>0.157590421134715</v>
      </c>
      <c r="P182" s="8">
        <f t="shared" si="19"/>
        <v>-4.9867194529528192</v>
      </c>
    </row>
    <row r="183" spans="1:16" x14ac:dyDescent="0.2">
      <c r="A183" s="8">
        <v>90.5</v>
      </c>
      <c r="B183" s="8">
        <v>181</v>
      </c>
      <c r="D183">
        <v>4237.0948275862002</v>
      </c>
      <c r="E183">
        <v>713.50517241378998</v>
      </c>
      <c r="F183">
        <v>181.79826839827001</v>
      </c>
      <c r="G183">
        <v>132.00346320346</v>
      </c>
      <c r="I183" s="9">
        <f t="shared" si="15"/>
        <v>581.50170921032998</v>
      </c>
      <c r="J183" s="9">
        <f t="shared" si="16"/>
        <v>4055.2965591879301</v>
      </c>
      <c r="K183" s="9">
        <f t="shared" si="17"/>
        <v>581.50170921032998</v>
      </c>
      <c r="L183" s="10">
        <f t="shared" si="14"/>
        <v>0.14339314048262236</v>
      </c>
      <c r="M183" s="10">
        <f t="shared" ref="M183:M241" si="20">L183+ABS($N$2)*A183</f>
        <v>0.1574625028326278</v>
      </c>
      <c r="P183" s="8">
        <f t="shared" si="19"/>
        <v>-5.0638430334077684</v>
      </c>
    </row>
    <row r="184" spans="1:16" x14ac:dyDescent="0.2">
      <c r="A184" s="8">
        <v>91</v>
      </c>
      <c r="B184" s="8">
        <v>182</v>
      </c>
      <c r="D184">
        <v>4298.8249999999998</v>
      </c>
      <c r="E184">
        <v>724.19741379310005</v>
      </c>
      <c r="F184">
        <v>181.53939393939001</v>
      </c>
      <c r="G184">
        <v>132.85108225107999</v>
      </c>
      <c r="I184" s="9">
        <f t="shared" si="15"/>
        <v>591.34633154202004</v>
      </c>
      <c r="J184" s="9">
        <f t="shared" si="16"/>
        <v>4117.28560606061</v>
      </c>
      <c r="K184" s="9">
        <f t="shared" si="17"/>
        <v>591.34633154202004</v>
      </c>
      <c r="L184" s="10">
        <f t="shared" si="14"/>
        <v>0.1436252881441023</v>
      </c>
      <c r="M184" s="10">
        <f t="shared" si="20"/>
        <v>0.15777238177780942</v>
      </c>
      <c r="P184" s="8">
        <f t="shared" si="19"/>
        <v>-4.8770130538813161</v>
      </c>
    </row>
    <row r="185" spans="1:16" x14ac:dyDescent="0.2">
      <c r="A185" s="8">
        <v>91.5</v>
      </c>
      <c r="B185" s="8">
        <v>183</v>
      </c>
      <c r="D185">
        <v>4317.5793103448004</v>
      </c>
      <c r="E185">
        <v>728.91120689654997</v>
      </c>
      <c r="F185">
        <v>181.8303030303</v>
      </c>
      <c r="G185">
        <v>132.33160173159999</v>
      </c>
      <c r="I185" s="9">
        <f t="shared" si="15"/>
        <v>596.57960516494995</v>
      </c>
      <c r="J185" s="9">
        <f t="shared" si="16"/>
        <v>4135.7490073145</v>
      </c>
      <c r="K185" s="9">
        <f t="shared" si="17"/>
        <v>596.57960516494995</v>
      </c>
      <c r="L185" s="10">
        <f t="shared" si="14"/>
        <v>0.14424947067866961</v>
      </c>
      <c r="M185" s="10">
        <f t="shared" si="20"/>
        <v>0.15847429559607842</v>
      </c>
      <c r="P185" s="8">
        <f t="shared" si="19"/>
        <v>-4.4538202350866269</v>
      </c>
    </row>
    <row r="186" spans="1:16" x14ac:dyDescent="0.2">
      <c r="A186" s="8">
        <v>92</v>
      </c>
      <c r="B186" s="8">
        <v>184</v>
      </c>
      <c r="D186">
        <v>4304.5905172414004</v>
      </c>
      <c r="E186">
        <v>726.64568965517003</v>
      </c>
      <c r="F186">
        <v>180.88917748918001</v>
      </c>
      <c r="G186">
        <v>131.86666666667</v>
      </c>
      <c r="I186" s="9">
        <f t="shared" si="15"/>
        <v>594.77902298850006</v>
      </c>
      <c r="J186" s="9">
        <f t="shared" si="16"/>
        <v>4123.7013397522205</v>
      </c>
      <c r="K186" s="9">
        <f t="shared" si="17"/>
        <v>594.77902298850006</v>
      </c>
      <c r="L186" s="10">
        <f t="shared" si="14"/>
        <v>0.14423426285867694</v>
      </c>
      <c r="M186" s="10">
        <f t="shared" si="20"/>
        <v>0.15853681905978745</v>
      </c>
      <c r="P186" s="8">
        <f t="shared" si="19"/>
        <v>-4.4161240391161858</v>
      </c>
    </row>
    <row r="187" spans="1:16" x14ac:dyDescent="0.2">
      <c r="A187" s="8">
        <v>92.5</v>
      </c>
      <c r="B187" s="8">
        <v>185</v>
      </c>
      <c r="D187">
        <v>4297.5758620690003</v>
      </c>
      <c r="E187">
        <v>723.98620689655002</v>
      </c>
      <c r="F187">
        <v>182.05281385281</v>
      </c>
      <c r="G187">
        <v>131.59307359306999</v>
      </c>
      <c r="I187" s="9">
        <f t="shared" si="15"/>
        <v>592.39313330348</v>
      </c>
      <c r="J187" s="9">
        <f t="shared" si="16"/>
        <v>4115.5230482161905</v>
      </c>
      <c r="K187" s="9">
        <f t="shared" si="17"/>
        <v>592.39313330348</v>
      </c>
      <c r="L187" s="10">
        <f t="shared" si="14"/>
        <v>0.14394115313246603</v>
      </c>
      <c r="M187" s="10">
        <f t="shared" si="20"/>
        <v>0.15832144061727821</v>
      </c>
      <c r="P187" s="8">
        <f t="shared" si="19"/>
        <v>-4.5459784568819908</v>
      </c>
    </row>
    <row r="188" spans="1:16" x14ac:dyDescent="0.2">
      <c r="A188" s="8">
        <v>93</v>
      </c>
      <c r="B188" s="8">
        <v>186</v>
      </c>
      <c r="D188">
        <v>4327.5327586207004</v>
      </c>
      <c r="E188">
        <v>728.66206896552001</v>
      </c>
      <c r="F188">
        <v>181.63203463203999</v>
      </c>
      <c r="G188">
        <v>132.45454545454999</v>
      </c>
      <c r="I188" s="9">
        <f t="shared" si="15"/>
        <v>596.20752351097008</v>
      </c>
      <c r="J188" s="9">
        <f t="shared" si="16"/>
        <v>4145.9007239886605</v>
      </c>
      <c r="K188" s="9">
        <f t="shared" si="17"/>
        <v>596.20752351097008</v>
      </c>
      <c r="L188" s="10">
        <f t="shared" si="14"/>
        <v>0.14380651231257047</v>
      </c>
      <c r="M188" s="10">
        <f t="shared" si="20"/>
        <v>0.15826453108108435</v>
      </c>
      <c r="P188" s="8">
        <f t="shared" si="19"/>
        <v>-4.5802899441491478</v>
      </c>
    </row>
    <row r="189" spans="1:16" x14ac:dyDescent="0.2">
      <c r="A189" s="8">
        <v>93.5</v>
      </c>
      <c r="B189" s="8">
        <v>187</v>
      </c>
      <c r="D189">
        <v>4326.7689655171998</v>
      </c>
      <c r="E189">
        <v>730.06896551724003</v>
      </c>
      <c r="F189">
        <v>181.54545454545999</v>
      </c>
      <c r="G189">
        <v>131.99134199133999</v>
      </c>
      <c r="I189" s="9">
        <f t="shared" si="15"/>
        <v>598.07762352589998</v>
      </c>
      <c r="J189" s="9">
        <f t="shared" si="16"/>
        <v>4145.2235109717394</v>
      </c>
      <c r="K189" s="9">
        <f t="shared" si="17"/>
        <v>598.07762352589998</v>
      </c>
      <c r="L189" s="10">
        <f t="shared" si="14"/>
        <v>0.14428115201578029</v>
      </c>
      <c r="M189" s="10">
        <f t="shared" si="20"/>
        <v>0.15881690206799584</v>
      </c>
      <c r="P189" s="8">
        <f t="shared" si="19"/>
        <v>-4.2472584110929175</v>
      </c>
    </row>
    <row r="190" spans="1:16" x14ac:dyDescent="0.2">
      <c r="A190" s="8">
        <v>94</v>
      </c>
      <c r="B190" s="8">
        <v>188</v>
      </c>
      <c r="D190">
        <v>4315.3155172413999</v>
      </c>
      <c r="E190">
        <v>727.99051724137996</v>
      </c>
      <c r="F190">
        <v>180.38874458875</v>
      </c>
      <c r="G190">
        <v>132.23376623377001</v>
      </c>
      <c r="I190" s="9">
        <f t="shared" si="15"/>
        <v>595.75675100760998</v>
      </c>
      <c r="J190" s="9">
        <f t="shared" si="16"/>
        <v>4134.9267726526496</v>
      </c>
      <c r="K190" s="9">
        <f t="shared" si="17"/>
        <v>595.75675100760998</v>
      </c>
      <c r="L190" s="10">
        <f t="shared" si="14"/>
        <v>0.14407915393999068</v>
      </c>
      <c r="M190" s="10">
        <f t="shared" si="20"/>
        <v>0.15869263527590793</v>
      </c>
      <c r="P190" s="8">
        <f t="shared" si="19"/>
        <v>-4.322180449465014</v>
      </c>
    </row>
    <row r="191" spans="1:16" x14ac:dyDescent="0.2">
      <c r="A191" s="8">
        <v>94.5</v>
      </c>
      <c r="B191" s="8">
        <v>189</v>
      </c>
      <c r="D191">
        <v>4322.3568965516997</v>
      </c>
      <c r="E191">
        <v>728.12586206897004</v>
      </c>
      <c r="F191">
        <v>182.14891774892001</v>
      </c>
      <c r="G191">
        <v>131.75324675325001</v>
      </c>
      <c r="I191" s="9">
        <f t="shared" si="15"/>
        <v>596.37261531572005</v>
      </c>
      <c r="J191" s="9">
        <f t="shared" si="16"/>
        <v>4140.2079788027795</v>
      </c>
      <c r="K191" s="9">
        <f t="shared" si="17"/>
        <v>596.37261531572005</v>
      </c>
      <c r="L191" s="10">
        <f t="shared" si="14"/>
        <v>0.14404412009470419</v>
      </c>
      <c r="M191" s="10">
        <f t="shared" si="20"/>
        <v>0.15873533271432311</v>
      </c>
      <c r="P191" s="8">
        <f t="shared" si="19"/>
        <v>-4.2964376177270793</v>
      </c>
    </row>
    <row r="192" spans="1:16" x14ac:dyDescent="0.2">
      <c r="A192" s="8">
        <v>95</v>
      </c>
      <c r="B192" s="8">
        <v>190</v>
      </c>
      <c r="D192">
        <v>4324.2318965516997</v>
      </c>
      <c r="E192">
        <v>727.79396551724005</v>
      </c>
      <c r="F192">
        <v>180.42597402596999</v>
      </c>
      <c r="G192">
        <v>131.94805194804999</v>
      </c>
      <c r="I192" s="9">
        <f t="shared" si="15"/>
        <v>595.84591356919009</v>
      </c>
      <c r="J192" s="9">
        <f t="shared" si="16"/>
        <v>4143.8059225257293</v>
      </c>
      <c r="K192" s="9">
        <f t="shared" si="17"/>
        <v>595.84591356919009</v>
      </c>
      <c r="L192" s="10">
        <f t="shared" si="14"/>
        <v>0.14379194506436019</v>
      </c>
      <c r="M192" s="10">
        <f t="shared" si="20"/>
        <v>0.15856088896768081</v>
      </c>
      <c r="P192" s="8">
        <f t="shared" si="19"/>
        <v>-4.401611983783468</v>
      </c>
    </row>
    <row r="193" spans="1:16" x14ac:dyDescent="0.2">
      <c r="A193" s="8">
        <v>95.5</v>
      </c>
      <c r="B193" s="8">
        <v>191</v>
      </c>
      <c r="D193">
        <v>4307.7362068966004</v>
      </c>
      <c r="E193">
        <v>725.29482758620998</v>
      </c>
      <c r="F193">
        <v>181.12380952381</v>
      </c>
      <c r="G193">
        <v>131.95151515152</v>
      </c>
      <c r="I193" s="9">
        <f t="shared" si="15"/>
        <v>593.34331243469001</v>
      </c>
      <c r="J193" s="9">
        <f t="shared" si="16"/>
        <v>4126.6123973727899</v>
      </c>
      <c r="K193" s="9">
        <f t="shared" si="17"/>
        <v>593.34331243469001</v>
      </c>
      <c r="L193" s="10">
        <f t="shared" si="14"/>
        <v>0.14378459988450631</v>
      </c>
      <c r="M193" s="10">
        <f t="shared" si="20"/>
        <v>0.15863127507152863</v>
      </c>
      <c r="P193" s="8">
        <f t="shared" si="19"/>
        <v>-4.35917530150701</v>
      </c>
    </row>
    <row r="194" spans="1:16" x14ac:dyDescent="0.2">
      <c r="A194" s="8">
        <v>96</v>
      </c>
      <c r="B194" s="8">
        <v>192</v>
      </c>
      <c r="D194">
        <v>4304.0086206897004</v>
      </c>
      <c r="E194">
        <v>724.45948275861997</v>
      </c>
      <c r="F194">
        <v>180.72034632034999</v>
      </c>
      <c r="G194">
        <v>131.65541125541</v>
      </c>
      <c r="I194" s="9">
        <f t="shared" si="15"/>
        <v>592.80407150321003</v>
      </c>
      <c r="J194" s="9">
        <f t="shared" si="16"/>
        <v>4123.2882743693508</v>
      </c>
      <c r="K194" s="9">
        <f t="shared" si="17"/>
        <v>592.80407150321003</v>
      </c>
      <c r="L194" s="10">
        <f t="shared" ref="L194:L257" si="21">K194/J194</f>
        <v>0.14376973717508953</v>
      </c>
      <c r="M194" s="10">
        <f t="shared" si="20"/>
        <v>0.15869414364581352</v>
      </c>
      <c r="P194" s="8">
        <f t="shared" si="19"/>
        <v>-4.3212710339562754</v>
      </c>
    </row>
    <row r="195" spans="1:16" x14ac:dyDescent="0.2">
      <c r="A195" s="8">
        <v>96.5</v>
      </c>
      <c r="B195" s="8">
        <v>193</v>
      </c>
      <c r="D195">
        <v>4274.7301724137997</v>
      </c>
      <c r="E195">
        <v>723.33534482759001</v>
      </c>
      <c r="F195">
        <v>181.42077922077999</v>
      </c>
      <c r="G195">
        <v>131.76450216449999</v>
      </c>
      <c r="I195" s="9">
        <f t="shared" ref="I195:I241" si="22">E195-G195</f>
        <v>591.57084266309005</v>
      </c>
      <c r="J195" s="9">
        <f t="shared" ref="J195:J241" si="23">D195-F195</f>
        <v>4093.3093931930198</v>
      </c>
      <c r="K195" s="9">
        <f t="shared" ref="K195:K258" si="24">I195*1</f>
        <v>591.57084266309005</v>
      </c>
      <c r="L195" s="10">
        <f t="shared" si="21"/>
        <v>0.1445214094118672</v>
      </c>
      <c r="M195" s="10">
        <f t="shared" si="20"/>
        <v>0.15952354716629288</v>
      </c>
      <c r="P195" s="8">
        <f t="shared" ref="P195:P241" si="25">(M195-$O$2)/$O$2*100</f>
        <v>-3.8212130430543487</v>
      </c>
    </row>
    <row r="196" spans="1:16" x14ac:dyDescent="0.2">
      <c r="A196" s="8">
        <v>97</v>
      </c>
      <c r="B196" s="8">
        <v>194</v>
      </c>
      <c r="D196">
        <v>4177.2879310344997</v>
      </c>
      <c r="E196">
        <v>710.10775862068999</v>
      </c>
      <c r="F196">
        <v>180.85714285713999</v>
      </c>
      <c r="G196">
        <v>131.60692640693</v>
      </c>
      <c r="I196" s="9">
        <f t="shared" si="22"/>
        <v>578.50083221375996</v>
      </c>
      <c r="J196" s="9">
        <f t="shared" si="23"/>
        <v>3996.4307881773598</v>
      </c>
      <c r="K196" s="9">
        <f t="shared" si="24"/>
        <v>578.50083221375996</v>
      </c>
      <c r="L196" s="10">
        <f t="shared" si="21"/>
        <v>0.14475437280814141</v>
      </c>
      <c r="M196" s="10">
        <f t="shared" si="20"/>
        <v>0.15983424184626877</v>
      </c>
      <c r="P196" s="8">
        <f t="shared" si="25"/>
        <v>-3.6338912465868569</v>
      </c>
    </row>
    <row r="197" spans="1:16" x14ac:dyDescent="0.2">
      <c r="A197" s="8">
        <v>97.5</v>
      </c>
      <c r="B197" s="8">
        <v>195</v>
      </c>
      <c r="D197">
        <v>4221.6568965516999</v>
      </c>
      <c r="E197">
        <v>714.50172413792995</v>
      </c>
      <c r="F197">
        <v>180.41558441558001</v>
      </c>
      <c r="G197">
        <v>131.45714285714001</v>
      </c>
      <c r="I197" s="9">
        <f t="shared" si="22"/>
        <v>583.04458128079</v>
      </c>
      <c r="J197" s="9">
        <f t="shared" si="23"/>
        <v>4041.2413121361201</v>
      </c>
      <c r="K197" s="9">
        <f t="shared" si="24"/>
        <v>583.04458128079</v>
      </c>
      <c r="L197" s="10">
        <f t="shared" si="21"/>
        <v>0.14427363679814612</v>
      </c>
      <c r="M197" s="10">
        <f t="shared" si="20"/>
        <v>0.15943123711997517</v>
      </c>
      <c r="P197" s="8">
        <f t="shared" si="25"/>
        <v>-3.8768679506619512</v>
      </c>
    </row>
    <row r="198" spans="1:16" x14ac:dyDescent="0.2">
      <c r="A198" s="8">
        <v>98</v>
      </c>
      <c r="B198" s="8">
        <v>196</v>
      </c>
      <c r="D198">
        <v>4250.4068965516999</v>
      </c>
      <c r="E198">
        <v>718.28448275862002</v>
      </c>
      <c r="F198">
        <v>179.89437229436999</v>
      </c>
      <c r="G198">
        <v>131.62424242424001</v>
      </c>
      <c r="I198" s="9">
        <f t="shared" si="22"/>
        <v>586.66024033437998</v>
      </c>
      <c r="J198" s="9">
        <f t="shared" si="23"/>
        <v>4070.5125242573299</v>
      </c>
      <c r="K198" s="9">
        <f t="shared" si="24"/>
        <v>586.66024033437998</v>
      </c>
      <c r="L198" s="10">
        <f t="shared" si="21"/>
        <v>0.14412441598897105</v>
      </c>
      <c r="M198" s="10">
        <f t="shared" si="20"/>
        <v>0.1593597475945018</v>
      </c>
      <c r="P198" s="8">
        <f t="shared" si="25"/>
        <v>-3.9199698999496544</v>
      </c>
    </row>
    <row r="199" spans="1:16" x14ac:dyDescent="0.2">
      <c r="A199" s="8">
        <v>98.5</v>
      </c>
      <c r="B199" s="8">
        <v>197</v>
      </c>
      <c r="D199">
        <v>4303.3120689654997</v>
      </c>
      <c r="E199">
        <v>719.83706896551996</v>
      </c>
      <c r="F199">
        <v>180.74458874459</v>
      </c>
      <c r="G199">
        <v>131.94632034631999</v>
      </c>
      <c r="I199" s="9">
        <f t="shared" si="22"/>
        <v>587.89074861919994</v>
      </c>
      <c r="J199" s="9">
        <f t="shared" si="23"/>
        <v>4122.5674802209096</v>
      </c>
      <c r="K199" s="9">
        <f t="shared" si="24"/>
        <v>587.89074861919994</v>
      </c>
      <c r="L199" s="10">
        <f t="shared" si="21"/>
        <v>0.14260306263991041</v>
      </c>
      <c r="M199" s="10">
        <f t="shared" si="20"/>
        <v>0.15791612552914283</v>
      </c>
      <c r="P199" s="8">
        <f t="shared" si="25"/>
        <v>-4.7903481076619547</v>
      </c>
    </row>
    <row r="200" spans="1:16" x14ac:dyDescent="0.2">
      <c r="A200" s="8">
        <v>99</v>
      </c>
      <c r="B200" s="8">
        <v>198</v>
      </c>
      <c r="D200">
        <v>4299.9646551723999</v>
      </c>
      <c r="E200">
        <v>719.87241379310001</v>
      </c>
      <c r="F200">
        <v>179.85541125540999</v>
      </c>
      <c r="G200">
        <v>131.40865800866001</v>
      </c>
      <c r="I200" s="9">
        <f t="shared" si="22"/>
        <v>588.46375578443997</v>
      </c>
      <c r="J200" s="9">
        <f t="shared" si="23"/>
        <v>4120.1092439169897</v>
      </c>
      <c r="K200" s="9">
        <f t="shared" si="24"/>
        <v>588.46375578443997</v>
      </c>
      <c r="L200" s="10">
        <f t="shared" si="21"/>
        <v>0.14282722154837507</v>
      </c>
      <c r="M200" s="10">
        <f t="shared" si="20"/>
        <v>0.1582180157213092</v>
      </c>
      <c r="P200" s="8">
        <f t="shared" si="25"/>
        <v>-4.6083346495077633</v>
      </c>
    </row>
    <row r="201" spans="1:16" x14ac:dyDescent="0.2">
      <c r="A201" s="8">
        <v>99.5</v>
      </c>
      <c r="B201" s="8">
        <v>199</v>
      </c>
      <c r="D201">
        <v>4287.6646551723998</v>
      </c>
      <c r="E201">
        <v>718.56465517240997</v>
      </c>
      <c r="F201">
        <v>180.40606060606001</v>
      </c>
      <c r="G201">
        <v>131.70043290043</v>
      </c>
      <c r="I201" s="9">
        <f t="shared" si="22"/>
        <v>586.86422227198</v>
      </c>
      <c r="J201" s="9">
        <f t="shared" si="23"/>
        <v>4107.2585945663395</v>
      </c>
      <c r="K201" s="9">
        <f t="shared" si="24"/>
        <v>586.86422227198</v>
      </c>
      <c r="L201" s="10">
        <f t="shared" si="21"/>
        <v>0.14288465378059387</v>
      </c>
      <c r="M201" s="10">
        <f t="shared" si="20"/>
        <v>0.15835317923722969</v>
      </c>
      <c r="P201" s="8">
        <f t="shared" si="25"/>
        <v>-4.5268428369635165</v>
      </c>
    </row>
    <row r="202" spans="1:16" x14ac:dyDescent="0.2">
      <c r="A202" s="8">
        <v>100</v>
      </c>
      <c r="B202" s="8">
        <v>200</v>
      </c>
      <c r="D202">
        <v>4285.2155172414004</v>
      </c>
      <c r="E202">
        <v>719.35431034482997</v>
      </c>
      <c r="F202">
        <v>180.61212121212</v>
      </c>
      <c r="G202">
        <v>130.95584415584</v>
      </c>
      <c r="I202" s="9">
        <f t="shared" si="22"/>
        <v>588.39846618898991</v>
      </c>
      <c r="J202" s="9">
        <f t="shared" si="23"/>
        <v>4104.6033960292807</v>
      </c>
      <c r="K202" s="9">
        <f t="shared" si="24"/>
        <v>588.39846618898991</v>
      </c>
      <c r="L202" s="10">
        <f t="shared" si="21"/>
        <v>0.14335086960123747</v>
      </c>
      <c r="M202" s="10">
        <f t="shared" si="20"/>
        <v>0.15889712634157496</v>
      </c>
      <c r="P202" s="8">
        <f t="shared" si="25"/>
        <v>-4.1988901704513104</v>
      </c>
    </row>
    <row r="203" spans="1:16" x14ac:dyDescent="0.2">
      <c r="A203" s="8">
        <v>100.5</v>
      </c>
      <c r="B203" s="8">
        <v>201</v>
      </c>
      <c r="D203">
        <v>4287.0405172414003</v>
      </c>
      <c r="E203">
        <v>716.68448275861999</v>
      </c>
      <c r="F203">
        <v>180.47619047619</v>
      </c>
      <c r="G203">
        <v>131.51168831168999</v>
      </c>
      <c r="I203" s="9">
        <f t="shared" si="22"/>
        <v>585.17279444692997</v>
      </c>
      <c r="J203" s="9">
        <f t="shared" si="23"/>
        <v>4106.5643267652104</v>
      </c>
      <c r="K203" s="9">
        <f t="shared" si="24"/>
        <v>585.17279444692997</v>
      </c>
      <c r="L203" s="10">
        <f t="shared" si="21"/>
        <v>0.14249692635592479</v>
      </c>
      <c r="M203" s="10">
        <f t="shared" si="20"/>
        <v>0.15812091437996398</v>
      </c>
      <c r="P203" s="8">
        <f t="shared" si="25"/>
        <v>-4.6668782901700414</v>
      </c>
    </row>
    <row r="204" spans="1:16" x14ac:dyDescent="0.2">
      <c r="A204" s="8">
        <v>101</v>
      </c>
      <c r="B204" s="8">
        <v>202</v>
      </c>
      <c r="D204">
        <v>4274.2422413793001</v>
      </c>
      <c r="E204">
        <v>713.55</v>
      </c>
      <c r="F204">
        <v>180.84588744589001</v>
      </c>
      <c r="G204">
        <v>131.25108225107999</v>
      </c>
      <c r="I204" s="9">
        <f t="shared" si="22"/>
        <v>582.29891774891996</v>
      </c>
      <c r="J204" s="9">
        <f t="shared" si="23"/>
        <v>4093.39635393341</v>
      </c>
      <c r="K204" s="9">
        <f t="shared" si="24"/>
        <v>582.29891774891996</v>
      </c>
      <c r="L204" s="10">
        <f t="shared" si="21"/>
        <v>0.14225324581368223</v>
      </c>
      <c r="M204" s="10">
        <f t="shared" si="20"/>
        <v>0.1579549651214231</v>
      </c>
      <c r="P204" s="8">
        <f t="shared" si="25"/>
        <v>-4.7669312207021619</v>
      </c>
    </row>
    <row r="205" spans="1:16" x14ac:dyDescent="0.2">
      <c r="A205" s="8">
        <v>101.5</v>
      </c>
      <c r="B205" s="8">
        <v>203</v>
      </c>
      <c r="D205">
        <v>4111.7715517241004</v>
      </c>
      <c r="E205">
        <v>689.16982758620998</v>
      </c>
      <c r="F205">
        <v>180.27445887446001</v>
      </c>
      <c r="G205">
        <v>131.58528138528001</v>
      </c>
      <c r="I205" s="9">
        <f t="shared" si="22"/>
        <v>557.58454620092994</v>
      </c>
      <c r="J205" s="9">
        <f t="shared" si="23"/>
        <v>3931.4970928496405</v>
      </c>
      <c r="K205" s="9">
        <f t="shared" si="24"/>
        <v>557.58454620092994</v>
      </c>
      <c r="L205" s="10">
        <f t="shared" si="21"/>
        <v>0.14182499262559028</v>
      </c>
      <c r="M205" s="10">
        <f t="shared" si="20"/>
        <v>0.15760444321703285</v>
      </c>
      <c r="P205" s="8">
        <f t="shared" si="25"/>
        <v>-4.9782653601753104</v>
      </c>
    </row>
    <row r="206" spans="1:16" x14ac:dyDescent="0.2">
      <c r="A206" s="8">
        <v>102</v>
      </c>
      <c r="B206" s="8">
        <v>204</v>
      </c>
      <c r="D206">
        <v>4372.7043103448004</v>
      </c>
      <c r="E206">
        <v>724.07241379310005</v>
      </c>
      <c r="F206">
        <v>180.90995670996</v>
      </c>
      <c r="G206">
        <v>131.59913419912999</v>
      </c>
      <c r="I206" s="9">
        <f t="shared" si="22"/>
        <v>592.47327959397012</v>
      </c>
      <c r="J206" s="9">
        <f t="shared" si="23"/>
        <v>4191.7943536348403</v>
      </c>
      <c r="K206" s="9">
        <f t="shared" si="24"/>
        <v>592.47327959397012</v>
      </c>
      <c r="L206" s="10">
        <f t="shared" si="21"/>
        <v>0.14134120846844916</v>
      </c>
      <c r="M206" s="10">
        <f t="shared" si="20"/>
        <v>0.1571983903435934</v>
      </c>
      <c r="P206" s="8">
        <f t="shared" si="25"/>
        <v>-5.2230798311516704</v>
      </c>
    </row>
    <row r="207" spans="1:16" x14ac:dyDescent="0.2">
      <c r="A207" s="8">
        <v>102.5</v>
      </c>
      <c r="B207" s="8">
        <v>205</v>
      </c>
      <c r="D207">
        <v>4408.8534482758996</v>
      </c>
      <c r="E207">
        <v>738.03620689654997</v>
      </c>
      <c r="F207">
        <v>179.59307359306999</v>
      </c>
      <c r="G207">
        <v>131.52034632035</v>
      </c>
      <c r="I207" s="9">
        <f t="shared" si="22"/>
        <v>606.5158605762</v>
      </c>
      <c r="J207" s="9">
        <f t="shared" si="23"/>
        <v>4229.2603746828299</v>
      </c>
      <c r="K207" s="9">
        <f t="shared" si="24"/>
        <v>606.5158605762</v>
      </c>
      <c r="L207" s="10">
        <f t="shared" si="21"/>
        <v>0.14340943967576958</v>
      </c>
      <c r="M207" s="10">
        <f t="shared" si="20"/>
        <v>0.15934435283461551</v>
      </c>
      <c r="P207" s="8">
        <f t="shared" si="25"/>
        <v>-3.9292515975902784</v>
      </c>
    </row>
    <row r="208" spans="1:16" x14ac:dyDescent="0.2">
      <c r="A208" s="8">
        <v>103</v>
      </c>
      <c r="B208" s="8">
        <v>206</v>
      </c>
      <c r="D208">
        <v>4381.8164502165</v>
      </c>
      <c r="E208">
        <v>728.48571428570995</v>
      </c>
      <c r="F208">
        <v>179.88744588745001</v>
      </c>
      <c r="G208">
        <v>130.98441558441999</v>
      </c>
      <c r="I208" s="9">
        <f t="shared" si="22"/>
        <v>597.5012987012899</v>
      </c>
      <c r="J208" s="9">
        <f t="shared" si="23"/>
        <v>4201.9290043290503</v>
      </c>
      <c r="K208" s="9">
        <f t="shared" si="24"/>
        <v>597.5012987012899</v>
      </c>
      <c r="L208" s="10">
        <f t="shared" si="21"/>
        <v>0.14219690482293068</v>
      </c>
      <c r="M208" s="10">
        <f t="shared" si="20"/>
        <v>0.15820954926547831</v>
      </c>
      <c r="P208" s="8">
        <f t="shared" si="25"/>
        <v>-4.613439184017583</v>
      </c>
    </row>
    <row r="209" spans="1:16" x14ac:dyDescent="0.2">
      <c r="A209" s="8">
        <v>103.5</v>
      </c>
      <c r="B209" s="8">
        <v>207</v>
      </c>
      <c r="D209">
        <v>4390.0857142857003</v>
      </c>
      <c r="E209">
        <v>733.03290043289996</v>
      </c>
      <c r="F209">
        <v>179.38181818181999</v>
      </c>
      <c r="G209">
        <v>131.40952380952001</v>
      </c>
      <c r="I209" s="9">
        <f t="shared" si="22"/>
        <v>601.62337662337995</v>
      </c>
      <c r="J209" s="9">
        <f t="shared" si="23"/>
        <v>4210.7038961038807</v>
      </c>
      <c r="K209" s="9">
        <f t="shared" si="24"/>
        <v>601.62337662337995</v>
      </c>
      <c r="L209" s="10">
        <f t="shared" si="21"/>
        <v>0.14287952595765654</v>
      </c>
      <c r="M209" s="10">
        <f t="shared" si="20"/>
        <v>0.15896990168390585</v>
      </c>
      <c r="P209" s="8">
        <f t="shared" si="25"/>
        <v>-4.1550129857340954</v>
      </c>
    </row>
    <row r="210" spans="1:16" x14ac:dyDescent="0.2">
      <c r="A210" s="8">
        <v>104</v>
      </c>
      <c r="B210" s="8">
        <v>208</v>
      </c>
      <c r="D210">
        <v>4388.2450216449997</v>
      </c>
      <c r="E210">
        <v>731.55324675325005</v>
      </c>
      <c r="F210">
        <v>179.84155844156001</v>
      </c>
      <c r="G210">
        <v>131.25800865801</v>
      </c>
      <c r="I210" s="9">
        <f t="shared" si="22"/>
        <v>600.29523809524005</v>
      </c>
      <c r="J210" s="9">
        <f t="shared" si="23"/>
        <v>4208.40346320344</v>
      </c>
      <c r="K210" s="9">
        <f t="shared" si="24"/>
        <v>600.29523809524005</v>
      </c>
      <c r="L210" s="10">
        <f t="shared" si="21"/>
        <v>0.14264203595115732</v>
      </c>
      <c r="M210" s="10">
        <f t="shared" si="20"/>
        <v>0.15881014296110832</v>
      </c>
      <c r="P210" s="8">
        <f t="shared" si="25"/>
        <v>-4.251333563087103</v>
      </c>
    </row>
    <row r="211" spans="1:16" x14ac:dyDescent="0.2">
      <c r="A211" s="8">
        <v>104.5</v>
      </c>
      <c r="B211" s="8">
        <v>209</v>
      </c>
      <c r="D211">
        <v>4390.2701298701004</v>
      </c>
      <c r="E211">
        <v>733.01991341991004</v>
      </c>
      <c r="F211">
        <v>180.12034632035</v>
      </c>
      <c r="G211">
        <v>131.4</v>
      </c>
      <c r="I211" s="9">
        <f t="shared" si="22"/>
        <v>601.61991341991006</v>
      </c>
      <c r="J211" s="9">
        <f t="shared" si="23"/>
        <v>4210.1497835497503</v>
      </c>
      <c r="K211" s="9">
        <f t="shared" si="24"/>
        <v>601.61991341991006</v>
      </c>
      <c r="L211" s="10">
        <f t="shared" si="21"/>
        <v>0.14289750824795111</v>
      </c>
      <c r="M211" s="10">
        <f t="shared" si="20"/>
        <v>0.15914334654160378</v>
      </c>
      <c r="P211" s="8">
        <f t="shared" si="25"/>
        <v>-4.0504408625984558</v>
      </c>
    </row>
    <row r="212" spans="1:16" x14ac:dyDescent="0.2">
      <c r="A212" s="8">
        <v>105</v>
      </c>
      <c r="B212" s="8">
        <v>210</v>
      </c>
      <c r="D212">
        <v>4388.1575757576002</v>
      </c>
      <c r="E212">
        <v>732.45021645021995</v>
      </c>
      <c r="F212">
        <v>179.59826839826999</v>
      </c>
      <c r="G212">
        <v>130.69177489178</v>
      </c>
      <c r="I212" s="9">
        <f t="shared" si="22"/>
        <v>601.75844155843993</v>
      </c>
      <c r="J212" s="9">
        <f t="shared" si="23"/>
        <v>4208.55930735933</v>
      </c>
      <c r="K212" s="9">
        <f t="shared" si="24"/>
        <v>601.75844155843993</v>
      </c>
      <c r="L212" s="10">
        <f t="shared" si="21"/>
        <v>0.14298442711884096</v>
      </c>
      <c r="M212" s="10">
        <f t="shared" si="20"/>
        <v>0.15930799669619533</v>
      </c>
      <c r="P212" s="8">
        <f t="shared" si="25"/>
        <v>-3.9511711784534507</v>
      </c>
    </row>
    <row r="213" spans="1:16" x14ac:dyDescent="0.2">
      <c r="A213" s="8">
        <v>105.5</v>
      </c>
      <c r="B213" s="8">
        <v>211</v>
      </c>
      <c r="D213">
        <v>4382.1281385281</v>
      </c>
      <c r="E213">
        <v>732.71168831168995</v>
      </c>
      <c r="F213">
        <v>179.27272727273001</v>
      </c>
      <c r="G213">
        <v>131.23982683982999</v>
      </c>
      <c r="I213" s="9">
        <f t="shared" si="22"/>
        <v>601.47186147185994</v>
      </c>
      <c r="J213" s="9">
        <f t="shared" si="23"/>
        <v>4202.8554112553702</v>
      </c>
      <c r="K213" s="9">
        <f t="shared" si="24"/>
        <v>601.47186147185994</v>
      </c>
      <c r="L213" s="10">
        <f t="shared" si="21"/>
        <v>0.14311029112757498</v>
      </c>
      <c r="M213" s="10">
        <f t="shared" si="20"/>
        <v>0.15951159198863105</v>
      </c>
      <c r="P213" s="8">
        <f t="shared" si="25"/>
        <v>-3.8284209725782059</v>
      </c>
    </row>
    <row r="214" spans="1:16" x14ac:dyDescent="0.2">
      <c r="A214" s="8">
        <v>106</v>
      </c>
      <c r="B214" s="8">
        <v>212</v>
      </c>
      <c r="D214">
        <v>4381.2389610390001</v>
      </c>
      <c r="E214">
        <v>732.32121212121001</v>
      </c>
      <c r="F214">
        <v>179.74545454546001</v>
      </c>
      <c r="G214">
        <v>130.49870129870001</v>
      </c>
      <c r="I214" s="9">
        <f t="shared" si="22"/>
        <v>601.82251082251003</v>
      </c>
      <c r="J214" s="9">
        <f t="shared" si="23"/>
        <v>4201.4935064935398</v>
      </c>
      <c r="K214" s="9">
        <f t="shared" si="24"/>
        <v>601.82251082251003</v>
      </c>
      <c r="L214" s="10">
        <f t="shared" si="21"/>
        <v>0.14324013827282478</v>
      </c>
      <c r="M214" s="10">
        <f t="shared" si="20"/>
        <v>0.15971917041758252</v>
      </c>
      <c r="P214" s="8">
        <f t="shared" si="25"/>
        <v>-3.7032692827516929</v>
      </c>
    </row>
    <row r="215" spans="1:16" x14ac:dyDescent="0.2">
      <c r="A215" s="8">
        <v>106.5</v>
      </c>
      <c r="B215" s="8">
        <v>213</v>
      </c>
      <c r="D215">
        <v>4368.0138528138996</v>
      </c>
      <c r="E215">
        <v>730.97402597403004</v>
      </c>
      <c r="F215">
        <v>179.53852813853001</v>
      </c>
      <c r="G215">
        <v>131.10995670995999</v>
      </c>
      <c r="I215" s="9">
        <f t="shared" si="22"/>
        <v>599.86406926407005</v>
      </c>
      <c r="J215" s="9">
        <f t="shared" si="23"/>
        <v>4188.4753246753698</v>
      </c>
      <c r="K215" s="9">
        <f t="shared" si="24"/>
        <v>599.86406926407005</v>
      </c>
      <c r="L215" s="10">
        <f t="shared" si="21"/>
        <v>0.14321776368840441</v>
      </c>
      <c r="M215" s="10">
        <f t="shared" si="20"/>
        <v>0.15977452711686385</v>
      </c>
      <c r="P215" s="8">
        <f t="shared" si="25"/>
        <v>-3.6698940207205077</v>
      </c>
    </row>
    <row r="216" spans="1:16" x14ac:dyDescent="0.2">
      <c r="A216" s="8">
        <v>107</v>
      </c>
      <c r="B216" s="8">
        <v>214</v>
      </c>
      <c r="D216">
        <v>4364.6008658008996</v>
      </c>
      <c r="E216">
        <v>730.47272727273003</v>
      </c>
      <c r="F216">
        <v>179.46666666666999</v>
      </c>
      <c r="G216">
        <v>131.22770562771001</v>
      </c>
      <c r="I216" s="9">
        <f t="shared" si="22"/>
        <v>599.24502164501996</v>
      </c>
      <c r="J216" s="9">
        <f t="shared" si="23"/>
        <v>4185.1341991342297</v>
      </c>
      <c r="K216" s="9">
        <f t="shared" si="24"/>
        <v>599.24502164501996</v>
      </c>
      <c r="L216" s="10">
        <f t="shared" si="21"/>
        <v>0.14318418314255837</v>
      </c>
      <c r="M216" s="10">
        <f t="shared" si="20"/>
        <v>0.15981867785471948</v>
      </c>
      <c r="P216" s="8">
        <f t="shared" si="25"/>
        <v>-3.6432749761616376</v>
      </c>
    </row>
    <row r="217" spans="1:16" x14ac:dyDescent="0.2">
      <c r="A217" s="8">
        <v>107.5</v>
      </c>
      <c r="B217" s="8">
        <v>215</v>
      </c>
      <c r="D217">
        <v>4350.9419913419997</v>
      </c>
      <c r="E217">
        <v>727.75670995670998</v>
      </c>
      <c r="F217">
        <v>179.63809523809999</v>
      </c>
      <c r="G217">
        <v>130.87532467533001</v>
      </c>
      <c r="I217" s="9">
        <f t="shared" si="22"/>
        <v>596.88138528137995</v>
      </c>
      <c r="J217" s="9">
        <f t="shared" si="23"/>
        <v>4171.3038961039001</v>
      </c>
      <c r="K217" s="9">
        <f t="shared" si="24"/>
        <v>596.88138528137995</v>
      </c>
      <c r="L217" s="10">
        <f t="shared" si="21"/>
        <v>0.14309228005154018</v>
      </c>
      <c r="M217" s="10">
        <f t="shared" si="20"/>
        <v>0.15980450604740298</v>
      </c>
      <c r="P217" s="8">
        <f t="shared" si="25"/>
        <v>-3.6518193400558752</v>
      </c>
    </row>
    <row r="218" spans="1:16" x14ac:dyDescent="0.2">
      <c r="A218" s="8">
        <v>108</v>
      </c>
      <c r="B218" s="8">
        <v>216</v>
      </c>
      <c r="D218">
        <v>4355.5593073593</v>
      </c>
      <c r="E218">
        <v>726.92380952380995</v>
      </c>
      <c r="F218">
        <v>178.58787878787999</v>
      </c>
      <c r="G218">
        <v>130.98528138527999</v>
      </c>
      <c r="I218" s="9">
        <f t="shared" si="22"/>
        <v>595.93852813852993</v>
      </c>
      <c r="J218" s="9">
        <f t="shared" si="23"/>
        <v>4176.9714285714199</v>
      </c>
      <c r="K218" s="9">
        <f t="shared" si="24"/>
        <v>595.93852813852993</v>
      </c>
      <c r="L218" s="10">
        <f t="shared" si="21"/>
        <v>0.14267239753237884</v>
      </c>
      <c r="M218" s="10">
        <f t="shared" si="20"/>
        <v>0.15946235481194335</v>
      </c>
      <c r="P218" s="8">
        <f t="shared" si="25"/>
        <v>-3.8581066961665313</v>
      </c>
    </row>
    <row r="219" spans="1:16" x14ac:dyDescent="0.2">
      <c r="A219" s="8">
        <v>108.5</v>
      </c>
      <c r="B219" s="8">
        <v>217</v>
      </c>
      <c r="D219">
        <v>4350.0779220779004</v>
      </c>
      <c r="E219">
        <v>727.38354978355005</v>
      </c>
      <c r="F219">
        <v>179.84675324675001</v>
      </c>
      <c r="G219">
        <v>130.93419913420001</v>
      </c>
      <c r="I219" s="9">
        <f t="shared" si="22"/>
        <v>596.44935064934998</v>
      </c>
      <c r="J219" s="9">
        <f t="shared" si="23"/>
        <v>4170.2311688311502</v>
      </c>
      <c r="K219" s="9">
        <f t="shared" si="24"/>
        <v>596.44935064934998</v>
      </c>
      <c r="L219" s="10">
        <f t="shared" si="21"/>
        <v>0.14302548863652689</v>
      </c>
      <c r="M219" s="10">
        <f t="shared" si="20"/>
        <v>0.15989317719979307</v>
      </c>
      <c r="P219" s="8">
        <f t="shared" si="25"/>
        <v>-3.5983583681401572</v>
      </c>
    </row>
    <row r="220" spans="1:16" x14ac:dyDescent="0.2">
      <c r="A220" s="8">
        <v>109</v>
      </c>
      <c r="B220" s="8">
        <v>218</v>
      </c>
      <c r="D220">
        <v>4340.0545454546</v>
      </c>
      <c r="E220">
        <v>724.34718614718997</v>
      </c>
      <c r="F220">
        <v>178.82424242424</v>
      </c>
      <c r="G220">
        <v>131.00346320346</v>
      </c>
      <c r="I220" s="9">
        <f t="shared" si="22"/>
        <v>593.34372294372997</v>
      </c>
      <c r="J220" s="9">
        <f t="shared" si="23"/>
        <v>4161.2303030303601</v>
      </c>
      <c r="K220" s="9">
        <f t="shared" si="24"/>
        <v>593.34372294372997</v>
      </c>
      <c r="L220" s="10">
        <f t="shared" si="21"/>
        <v>0.14258853265382485</v>
      </c>
      <c r="M220" s="10">
        <f t="shared" si="20"/>
        <v>0.15953395250079272</v>
      </c>
      <c r="P220" s="8">
        <f t="shared" si="25"/>
        <v>-3.8149395337959811</v>
      </c>
    </row>
    <row r="221" spans="1:16" x14ac:dyDescent="0.2">
      <c r="A221" s="8">
        <v>109.5</v>
      </c>
      <c r="B221" s="8">
        <v>219</v>
      </c>
      <c r="D221">
        <v>4320.6632034632003</v>
      </c>
      <c r="E221">
        <v>712.95064935065</v>
      </c>
      <c r="F221">
        <v>179.5696969697</v>
      </c>
      <c r="G221">
        <v>130.89696969696999</v>
      </c>
      <c r="I221" s="9">
        <f t="shared" si="22"/>
        <v>582.05367965367998</v>
      </c>
      <c r="J221" s="9">
        <f t="shared" si="23"/>
        <v>4141.0935064935002</v>
      </c>
      <c r="K221" s="9">
        <f t="shared" si="24"/>
        <v>582.05367965367998</v>
      </c>
      <c r="L221" s="10">
        <f t="shared" si="21"/>
        <v>0.14055555102558839</v>
      </c>
      <c r="M221" s="10">
        <f t="shared" si="20"/>
        <v>0.15757870215625797</v>
      </c>
      <c r="P221" s="8">
        <f t="shared" si="25"/>
        <v>-4.9937849749550161</v>
      </c>
    </row>
    <row r="222" spans="1:16" x14ac:dyDescent="0.2">
      <c r="A222" s="8">
        <v>110</v>
      </c>
      <c r="B222" s="8">
        <v>220</v>
      </c>
      <c r="D222">
        <v>4307.8077922078</v>
      </c>
      <c r="E222">
        <v>716.26406926407003</v>
      </c>
      <c r="F222">
        <v>178.61991341991001</v>
      </c>
      <c r="G222">
        <v>130.89783549783999</v>
      </c>
      <c r="I222" s="9">
        <f t="shared" si="22"/>
        <v>585.36623376623004</v>
      </c>
      <c r="J222" s="9">
        <f t="shared" si="23"/>
        <v>4129.1878787878904</v>
      </c>
      <c r="K222" s="9">
        <f t="shared" si="24"/>
        <v>585.36623376623004</v>
      </c>
      <c r="L222" s="10">
        <f t="shared" si="21"/>
        <v>0.14176304177713087</v>
      </c>
      <c r="M222" s="10">
        <f t="shared" si="20"/>
        <v>0.15886392419150211</v>
      </c>
      <c r="P222" s="8">
        <f t="shared" si="25"/>
        <v>-4.2189081713990984</v>
      </c>
    </row>
    <row r="223" spans="1:16" x14ac:dyDescent="0.2">
      <c r="A223" s="8">
        <v>110.5</v>
      </c>
      <c r="B223" s="8">
        <v>221</v>
      </c>
      <c r="D223">
        <v>4302.1471861472</v>
      </c>
      <c r="E223">
        <v>711.75411255410995</v>
      </c>
      <c r="F223">
        <v>178.77489177488999</v>
      </c>
      <c r="G223">
        <v>130.88484848485001</v>
      </c>
      <c r="I223" s="9">
        <f t="shared" si="22"/>
        <v>580.86926406926</v>
      </c>
      <c r="J223" s="9">
        <f t="shared" si="23"/>
        <v>4123.3722943723096</v>
      </c>
      <c r="K223" s="9">
        <f t="shared" si="24"/>
        <v>580.86926406926</v>
      </c>
      <c r="L223" s="10">
        <f t="shared" si="21"/>
        <v>0.14087237886863771</v>
      </c>
      <c r="M223" s="10">
        <f t="shared" si="20"/>
        <v>0.15805099256671065</v>
      </c>
      <c r="P223" s="8">
        <f t="shared" si="25"/>
        <v>-4.7090350457086112</v>
      </c>
    </row>
    <row r="224" spans="1:16" x14ac:dyDescent="0.2">
      <c r="A224" s="8">
        <v>111</v>
      </c>
      <c r="B224" s="8">
        <v>222</v>
      </c>
      <c r="D224">
        <v>4307.8398268397996</v>
      </c>
      <c r="E224">
        <v>713.12121212120996</v>
      </c>
      <c r="F224">
        <v>179.57489177489001</v>
      </c>
      <c r="G224">
        <v>130.82770562771</v>
      </c>
      <c r="I224" s="9">
        <f t="shared" si="22"/>
        <v>582.29350649349999</v>
      </c>
      <c r="J224" s="9">
        <f t="shared" si="23"/>
        <v>4128.2649350649099</v>
      </c>
      <c r="K224" s="9">
        <f t="shared" si="24"/>
        <v>582.29350649349999</v>
      </c>
      <c r="L224" s="10">
        <f t="shared" si="21"/>
        <v>0.14105042085540095</v>
      </c>
      <c r="M224" s="10">
        <f t="shared" si="20"/>
        <v>0.15830676583717557</v>
      </c>
      <c r="P224" s="8">
        <f t="shared" si="25"/>
        <v>-4.5548260695022185</v>
      </c>
    </row>
    <row r="225" spans="1:16" x14ac:dyDescent="0.2">
      <c r="A225" s="8">
        <v>111.5</v>
      </c>
      <c r="B225" s="8">
        <v>223</v>
      </c>
      <c r="D225">
        <v>4311.0865800866004</v>
      </c>
      <c r="E225">
        <v>715.21818181818003</v>
      </c>
      <c r="F225">
        <v>179.19567099567001</v>
      </c>
      <c r="G225">
        <v>130.71861471861999</v>
      </c>
      <c r="I225" s="9">
        <f t="shared" si="22"/>
        <v>584.49956709956007</v>
      </c>
      <c r="J225" s="9">
        <f t="shared" si="23"/>
        <v>4131.8909090909301</v>
      </c>
      <c r="K225" s="9">
        <f t="shared" si="24"/>
        <v>584.49956709956007</v>
      </c>
      <c r="L225" s="10">
        <f t="shared" si="21"/>
        <v>0.14146055158754364</v>
      </c>
      <c r="M225" s="10">
        <f t="shared" si="20"/>
        <v>0.15879462785301995</v>
      </c>
      <c r="P225" s="8">
        <f t="shared" si="25"/>
        <v>-4.2606878201980569</v>
      </c>
    </row>
    <row r="226" spans="1:16" x14ac:dyDescent="0.2">
      <c r="A226" s="8">
        <v>112</v>
      </c>
      <c r="B226" s="8">
        <v>224</v>
      </c>
      <c r="D226">
        <v>4291.0995670995999</v>
      </c>
      <c r="E226">
        <v>717.01471861471998</v>
      </c>
      <c r="F226">
        <v>178.02597402596999</v>
      </c>
      <c r="G226">
        <v>130.61904761905001</v>
      </c>
      <c r="I226" s="9">
        <f t="shared" si="22"/>
        <v>586.39567099567</v>
      </c>
      <c r="J226" s="9">
        <f t="shared" si="23"/>
        <v>4113.07359307363</v>
      </c>
      <c r="K226" s="9">
        <f t="shared" si="24"/>
        <v>586.39567099567</v>
      </c>
      <c r="L226" s="10">
        <f t="shared" si="21"/>
        <v>0.14256872816065186</v>
      </c>
      <c r="M226" s="10">
        <f t="shared" si="20"/>
        <v>0.15998053570982984</v>
      </c>
      <c r="P226" s="8">
        <f t="shared" si="25"/>
        <v>-3.5456888050884761</v>
      </c>
    </row>
    <row r="227" spans="1:16" x14ac:dyDescent="0.2">
      <c r="A227" s="8">
        <v>112.5</v>
      </c>
      <c r="B227" s="8">
        <v>225</v>
      </c>
      <c r="D227">
        <v>4317.5385281384997</v>
      </c>
      <c r="E227">
        <v>721.62510822511001</v>
      </c>
      <c r="F227">
        <v>179.38008658008999</v>
      </c>
      <c r="G227">
        <v>130.71861471861999</v>
      </c>
      <c r="I227" s="9">
        <f t="shared" si="22"/>
        <v>590.90649350649005</v>
      </c>
      <c r="J227" s="9">
        <f t="shared" si="23"/>
        <v>4138.1584415584093</v>
      </c>
      <c r="K227" s="9">
        <f t="shared" si="24"/>
        <v>590.90649350649005</v>
      </c>
      <c r="L227" s="10">
        <f t="shared" si="21"/>
        <v>0.14279455507845604</v>
      </c>
      <c r="M227" s="10">
        <f t="shared" si="20"/>
        <v>0.16028409391133572</v>
      </c>
      <c r="P227" s="8">
        <f t="shared" si="25"/>
        <v>-3.3626696827689817</v>
      </c>
    </row>
    <row r="228" spans="1:16" x14ac:dyDescent="0.2">
      <c r="A228" s="8">
        <v>113</v>
      </c>
      <c r="B228" s="8">
        <v>226</v>
      </c>
      <c r="D228">
        <v>4338.0216450216003</v>
      </c>
      <c r="E228">
        <v>724.02943722943996</v>
      </c>
      <c r="F228">
        <v>178.09090909091</v>
      </c>
      <c r="G228">
        <v>130.38268398267999</v>
      </c>
      <c r="I228" s="9">
        <f t="shared" si="22"/>
        <v>593.64675324676</v>
      </c>
      <c r="J228" s="9">
        <f t="shared" si="23"/>
        <v>4159.9307359306904</v>
      </c>
      <c r="K228" s="9">
        <f t="shared" si="24"/>
        <v>593.64675324676</v>
      </c>
      <c r="L228" s="10">
        <f t="shared" si="21"/>
        <v>0.14270592250953548</v>
      </c>
      <c r="M228" s="10">
        <f t="shared" si="20"/>
        <v>0.16027319262611686</v>
      </c>
      <c r="P228" s="8">
        <f t="shared" si="25"/>
        <v>-3.3692422070592567</v>
      </c>
    </row>
    <row r="229" spans="1:16" x14ac:dyDescent="0.2">
      <c r="A229" s="8">
        <v>113.5</v>
      </c>
      <c r="B229" s="8">
        <v>227</v>
      </c>
      <c r="D229">
        <v>4313.2277056276998</v>
      </c>
      <c r="E229">
        <v>720.02337662338005</v>
      </c>
      <c r="F229">
        <v>177.60692640693</v>
      </c>
      <c r="G229">
        <v>130.61471861472</v>
      </c>
      <c r="I229" s="9">
        <f t="shared" si="22"/>
        <v>589.40865800866004</v>
      </c>
      <c r="J229" s="9">
        <f t="shared" si="23"/>
        <v>4135.6207792207697</v>
      </c>
      <c r="K229" s="9">
        <f t="shared" si="24"/>
        <v>589.40865800866004</v>
      </c>
      <c r="L229" s="10">
        <f t="shared" si="21"/>
        <v>0.14251999626515949</v>
      </c>
      <c r="M229" s="10">
        <f t="shared" si="20"/>
        <v>0.16016499766544254</v>
      </c>
      <c r="P229" s="8">
        <f t="shared" si="25"/>
        <v>-3.4344743327069098</v>
      </c>
    </row>
    <row r="230" spans="1:16" x14ac:dyDescent="0.2">
      <c r="A230" s="8">
        <v>114</v>
      </c>
      <c r="B230" s="8">
        <v>228</v>
      </c>
      <c r="D230">
        <v>4321.9584415584004</v>
      </c>
      <c r="E230">
        <v>719.43290043290006</v>
      </c>
      <c r="F230">
        <v>178.10303030303001</v>
      </c>
      <c r="G230">
        <v>130.41298701298999</v>
      </c>
      <c r="I230" s="9">
        <f t="shared" si="22"/>
        <v>589.01991341991004</v>
      </c>
      <c r="J230" s="9">
        <f t="shared" si="23"/>
        <v>4143.8554112553702</v>
      </c>
      <c r="K230" s="9">
        <f t="shared" si="24"/>
        <v>589.01991341991004</v>
      </c>
      <c r="L230" s="10">
        <f t="shared" si="21"/>
        <v>0.14214296952061559</v>
      </c>
      <c r="M230" s="10">
        <f t="shared" si="20"/>
        <v>0.15986570220460034</v>
      </c>
      <c r="P230" s="8">
        <f t="shared" si="25"/>
        <v>-3.6149233941581054</v>
      </c>
    </row>
    <row r="231" spans="1:16" x14ac:dyDescent="0.2">
      <c r="A231" s="8">
        <v>114.5</v>
      </c>
      <c r="B231" s="8">
        <v>229</v>
      </c>
      <c r="D231">
        <v>4366.6043290042999</v>
      </c>
      <c r="E231">
        <v>724.61298701298995</v>
      </c>
      <c r="F231">
        <v>178.53419913420001</v>
      </c>
      <c r="G231">
        <v>130.95757575758</v>
      </c>
      <c r="I231" s="9">
        <f t="shared" si="22"/>
        <v>593.65541125540994</v>
      </c>
      <c r="J231" s="9">
        <f t="shared" si="23"/>
        <v>4188.0701298700997</v>
      </c>
      <c r="K231" s="9">
        <f t="shared" si="24"/>
        <v>593.65541125540994</v>
      </c>
      <c r="L231" s="10">
        <f t="shared" si="21"/>
        <v>0.14174915721237533</v>
      </c>
      <c r="M231" s="10">
        <f t="shared" si="20"/>
        <v>0.15954962118006177</v>
      </c>
      <c r="P231" s="8">
        <f t="shared" si="25"/>
        <v>-3.8054926866559526</v>
      </c>
    </row>
    <row r="232" spans="1:16" x14ac:dyDescent="0.2">
      <c r="A232" s="8">
        <v>115</v>
      </c>
      <c r="B232" s="8">
        <v>230</v>
      </c>
      <c r="D232">
        <v>4366.2874458875003</v>
      </c>
      <c r="E232">
        <v>729.91082251082003</v>
      </c>
      <c r="F232">
        <v>178.26233766234</v>
      </c>
      <c r="G232">
        <v>130.50562770562999</v>
      </c>
      <c r="I232" s="9">
        <f t="shared" si="22"/>
        <v>599.40519480519004</v>
      </c>
      <c r="J232" s="9">
        <f t="shared" si="23"/>
        <v>4188.0251082251607</v>
      </c>
      <c r="K232" s="9">
        <f t="shared" si="24"/>
        <v>599.40519480519004</v>
      </c>
      <c r="L232" s="10">
        <f t="shared" si="21"/>
        <v>0.14312359150568976</v>
      </c>
      <c r="M232" s="10">
        <f t="shared" si="20"/>
        <v>0.16100178675707788</v>
      </c>
      <c r="P232" s="8">
        <f t="shared" si="25"/>
        <v>-2.9299634864906134</v>
      </c>
    </row>
    <row r="233" spans="1:16" x14ac:dyDescent="0.2">
      <c r="A233" s="8">
        <v>115.5</v>
      </c>
      <c r="B233" s="8">
        <v>231</v>
      </c>
      <c r="D233">
        <v>4356.6839826839996</v>
      </c>
      <c r="E233">
        <v>727.65800865800998</v>
      </c>
      <c r="F233">
        <v>178.21991341991</v>
      </c>
      <c r="G233">
        <v>130.38008658008999</v>
      </c>
      <c r="I233" s="9">
        <f t="shared" si="22"/>
        <v>597.27792207792004</v>
      </c>
      <c r="J233" s="9">
        <f t="shared" si="23"/>
        <v>4178.4640692640896</v>
      </c>
      <c r="K233" s="9">
        <f t="shared" si="24"/>
        <v>597.27792207792004</v>
      </c>
      <c r="L233" s="10">
        <f t="shared" si="21"/>
        <v>0.14294197872164843</v>
      </c>
      <c r="M233" s="10">
        <f t="shared" si="20"/>
        <v>0.16089790525673825</v>
      </c>
      <c r="P233" s="8">
        <f t="shared" si="25"/>
        <v>-2.9925949717315858</v>
      </c>
    </row>
    <row r="234" spans="1:16" x14ac:dyDescent="0.2">
      <c r="A234" s="8">
        <v>116</v>
      </c>
      <c r="B234" s="8">
        <v>232</v>
      </c>
      <c r="D234">
        <v>4362.5887445887001</v>
      </c>
      <c r="E234">
        <v>727.97575757575999</v>
      </c>
      <c r="F234">
        <v>177.35844155844001</v>
      </c>
      <c r="G234">
        <v>130.01558441558001</v>
      </c>
      <c r="I234" s="9">
        <f t="shared" si="22"/>
        <v>597.96017316017992</v>
      </c>
      <c r="J234" s="9">
        <f t="shared" si="23"/>
        <v>4185.2303030302601</v>
      </c>
      <c r="K234" s="9">
        <f t="shared" si="24"/>
        <v>597.96017316017992</v>
      </c>
      <c r="L234" s="10">
        <f t="shared" si="21"/>
        <v>0.14287389937113731</v>
      </c>
      <c r="M234" s="10">
        <f t="shared" si="20"/>
        <v>0.1609075571899288</v>
      </c>
      <c r="P234" s="8">
        <f t="shared" si="25"/>
        <v>-2.9867756977588908</v>
      </c>
    </row>
    <row r="235" spans="1:16" x14ac:dyDescent="0.2">
      <c r="A235" s="8">
        <v>116.5</v>
      </c>
      <c r="B235" s="8">
        <v>233</v>
      </c>
      <c r="D235">
        <v>4358.0207792208003</v>
      </c>
      <c r="E235">
        <v>728.28225108225001</v>
      </c>
      <c r="F235">
        <v>177.45281385281001</v>
      </c>
      <c r="G235">
        <v>130.69696969697</v>
      </c>
      <c r="I235" s="9">
        <f t="shared" si="22"/>
        <v>597.58528138528004</v>
      </c>
      <c r="J235" s="9">
        <f t="shared" si="23"/>
        <v>4180.5679653679899</v>
      </c>
      <c r="K235" s="9">
        <f t="shared" si="24"/>
        <v>597.58528138528004</v>
      </c>
      <c r="L235" s="10">
        <f t="shared" si="21"/>
        <v>0.14294356325162105</v>
      </c>
      <c r="M235" s="10">
        <f t="shared" si="20"/>
        <v>0.16105495235411424</v>
      </c>
      <c r="P235" s="8">
        <f t="shared" si="25"/>
        <v>-2.8979092680280036</v>
      </c>
    </row>
    <row r="236" spans="1:16" x14ac:dyDescent="0.2">
      <c r="A236" s="8">
        <v>117</v>
      </c>
      <c r="B236" s="8">
        <v>234</v>
      </c>
      <c r="D236">
        <v>4351.8320346319997</v>
      </c>
      <c r="E236">
        <v>725.86753246753005</v>
      </c>
      <c r="F236">
        <v>177.66147186147001</v>
      </c>
      <c r="G236">
        <v>130.64069264068999</v>
      </c>
      <c r="I236" s="9">
        <f t="shared" si="22"/>
        <v>595.22683982684009</v>
      </c>
      <c r="J236" s="9">
        <f t="shared" si="23"/>
        <v>4174.1705627705296</v>
      </c>
      <c r="K236" s="9">
        <f t="shared" si="24"/>
        <v>595.22683982684009</v>
      </c>
      <c r="L236" s="10">
        <f t="shared" si="21"/>
        <v>0.14259763248192933</v>
      </c>
      <c r="M236" s="10">
        <f t="shared" si="20"/>
        <v>0.16078675286812422</v>
      </c>
      <c r="P236" s="8">
        <f t="shared" si="25"/>
        <v>-3.0596101685107833</v>
      </c>
    </row>
    <row r="237" spans="1:16" x14ac:dyDescent="0.2">
      <c r="A237" s="8">
        <v>117.5</v>
      </c>
      <c r="B237" s="8">
        <v>235</v>
      </c>
      <c r="D237">
        <v>4351.2424242424004</v>
      </c>
      <c r="E237">
        <v>725.20173160172999</v>
      </c>
      <c r="F237">
        <v>177.76883116882999</v>
      </c>
      <c r="G237">
        <v>130.10043290043001</v>
      </c>
      <c r="I237" s="9">
        <f t="shared" si="22"/>
        <v>595.10129870130004</v>
      </c>
      <c r="J237" s="9">
        <f t="shared" si="23"/>
        <v>4173.4735930735706</v>
      </c>
      <c r="K237" s="9">
        <f t="shared" si="24"/>
        <v>595.10129870130004</v>
      </c>
      <c r="L237" s="10">
        <f t="shared" si="21"/>
        <v>0.1425913655447465</v>
      </c>
      <c r="M237" s="10">
        <f t="shared" si="20"/>
        <v>0.16085821721464305</v>
      </c>
      <c r="P237" s="8">
        <f t="shared" si="25"/>
        <v>-3.0165233999368164</v>
      </c>
    </row>
    <row r="238" spans="1:16" x14ac:dyDescent="0.2">
      <c r="A238" s="8">
        <v>118</v>
      </c>
      <c r="B238" s="8">
        <v>236</v>
      </c>
      <c r="D238">
        <v>4351.7125541125997</v>
      </c>
      <c r="E238">
        <v>723.45800865801004</v>
      </c>
      <c r="F238">
        <v>177.98268398267999</v>
      </c>
      <c r="G238">
        <v>130.02077922078001</v>
      </c>
      <c r="I238" s="9">
        <f t="shared" si="22"/>
        <v>593.43722943723003</v>
      </c>
      <c r="J238" s="9">
        <f t="shared" si="23"/>
        <v>4173.7298701299196</v>
      </c>
      <c r="K238" s="9">
        <f t="shared" si="24"/>
        <v>593.43722943723003</v>
      </c>
      <c r="L238" s="10">
        <f t="shared" si="21"/>
        <v>0.14218390933353758</v>
      </c>
      <c r="M238" s="10">
        <f t="shared" si="20"/>
        <v>0.16052849228713584</v>
      </c>
      <c r="P238" s="8">
        <f t="shared" si="25"/>
        <v>-3.2153187760454753</v>
      </c>
    </row>
    <row r="239" spans="1:16" x14ac:dyDescent="0.2">
      <c r="A239" s="8">
        <v>118.5</v>
      </c>
      <c r="B239" s="8">
        <v>237</v>
      </c>
      <c r="D239">
        <v>4346.3168831168996</v>
      </c>
      <c r="E239">
        <v>720.71601731602004</v>
      </c>
      <c r="F239">
        <v>177.70043290043</v>
      </c>
      <c r="G239">
        <v>130.11774891774999</v>
      </c>
      <c r="I239" s="9">
        <f t="shared" si="22"/>
        <v>590.59826839827008</v>
      </c>
      <c r="J239" s="9">
        <f t="shared" si="23"/>
        <v>4168.6164502164693</v>
      </c>
      <c r="K239" s="9">
        <f t="shared" si="24"/>
        <v>590.59826839827008</v>
      </c>
      <c r="L239" s="10">
        <f t="shared" si="21"/>
        <v>0.14167728680521838</v>
      </c>
      <c r="M239" s="10">
        <f t="shared" si="20"/>
        <v>0.1600996010425183</v>
      </c>
      <c r="P239" s="8">
        <f t="shared" si="25"/>
        <v>-3.4739027931170652</v>
      </c>
    </row>
    <row r="240" spans="1:16" x14ac:dyDescent="0.2">
      <c r="A240" s="8">
        <v>119</v>
      </c>
      <c r="B240" s="8">
        <v>238</v>
      </c>
      <c r="D240">
        <v>4351.6805194805002</v>
      </c>
      <c r="E240">
        <v>720.29177489178005</v>
      </c>
      <c r="F240">
        <v>178.37489177488999</v>
      </c>
      <c r="G240">
        <v>130.38181818181999</v>
      </c>
      <c r="I240" s="9">
        <f t="shared" si="22"/>
        <v>589.90995670996006</v>
      </c>
      <c r="J240" s="9">
        <f t="shared" si="23"/>
        <v>4173.3056277056103</v>
      </c>
      <c r="K240" s="9">
        <f t="shared" si="24"/>
        <v>589.90995670996006</v>
      </c>
      <c r="L240" s="10">
        <f t="shared" si="21"/>
        <v>0.14135316445402044</v>
      </c>
      <c r="M240" s="10">
        <f t="shared" si="20"/>
        <v>0.15985320997502206</v>
      </c>
      <c r="P240" s="8">
        <f t="shared" si="25"/>
        <v>-3.6224551191514931</v>
      </c>
    </row>
    <row r="241" spans="1:16" x14ac:dyDescent="0.2">
      <c r="A241" s="8">
        <v>119.5</v>
      </c>
      <c r="B241" s="8">
        <v>239</v>
      </c>
      <c r="D241">
        <v>4359.6112554112997</v>
      </c>
      <c r="E241">
        <v>725.01385281385001</v>
      </c>
      <c r="F241">
        <v>177.39220779221</v>
      </c>
      <c r="G241">
        <v>130.17575757576</v>
      </c>
      <c r="I241" s="9">
        <f t="shared" si="22"/>
        <v>594.83809523808998</v>
      </c>
      <c r="J241" s="9">
        <f t="shared" si="23"/>
        <v>4182.2190476190899</v>
      </c>
      <c r="K241" s="9">
        <f t="shared" si="24"/>
        <v>594.83809523808998</v>
      </c>
      <c r="L241" s="10">
        <f t="shared" si="21"/>
        <v>0.14223025825888469</v>
      </c>
      <c r="M241" s="10">
        <f t="shared" si="20"/>
        <v>0.16080803506358798</v>
      </c>
      <c r="P241" s="8">
        <f t="shared" si="25"/>
        <v>-3.0467788606578305</v>
      </c>
    </row>
    <row r="242" spans="1:16" x14ac:dyDescent="0.2">
      <c r="A242" s="8">
        <v>120</v>
      </c>
      <c r="B242" s="8">
        <v>240</v>
      </c>
      <c r="D242">
        <v>4348.5956709956999</v>
      </c>
      <c r="E242">
        <v>723.18441558441998</v>
      </c>
      <c r="F242">
        <v>177.32034632035001</v>
      </c>
      <c r="G242">
        <v>129.95844155844</v>
      </c>
      <c r="I242" s="9">
        <f>E242-G242</f>
        <v>593.22597402598001</v>
      </c>
      <c r="J242" s="9">
        <f>D242-F242</f>
        <v>4171.27532467535</v>
      </c>
      <c r="K242" s="9">
        <f t="shared" si="24"/>
        <v>593.22597402598001</v>
      </c>
      <c r="L242" s="10">
        <f t="shared" si="21"/>
        <v>0.14221693075897615</v>
      </c>
      <c r="M242" s="10">
        <f>L242+ABS($N$2)*A242</f>
        <v>0.16087243884738114</v>
      </c>
      <c r="O242" s="11"/>
      <c r="P242" s="8">
        <f>(M242-$O$2)/$O$2*100</f>
        <v>-3.0079489956586123</v>
      </c>
    </row>
    <row r="243" spans="1:16" x14ac:dyDescent="0.2">
      <c r="A243" s="8">
        <v>120.5</v>
      </c>
      <c r="B243" s="8">
        <v>241</v>
      </c>
      <c r="D243">
        <v>4348.4043290043001</v>
      </c>
      <c r="E243">
        <v>723.24329004329002</v>
      </c>
      <c r="F243">
        <v>177.94112554112999</v>
      </c>
      <c r="G243">
        <v>129.95497835498</v>
      </c>
      <c r="I243" s="9">
        <f t="shared" ref="I243:I274" si="26">E243-G243</f>
        <v>593.28831168831005</v>
      </c>
      <c r="J243" s="9">
        <f t="shared" ref="J243:J274" si="27">D243-F243</f>
        <v>4170.4632034631704</v>
      </c>
      <c r="K243" s="9">
        <f t="shared" si="24"/>
        <v>593.28831168831005</v>
      </c>
      <c r="L243" s="10">
        <f t="shared" si="21"/>
        <v>0.1422595723169649</v>
      </c>
      <c r="M243" s="10">
        <f t="shared" ref="M243:M274" si="28">L243+ABS($N$2)*A243</f>
        <v>0.16099281168907159</v>
      </c>
      <c r="P243" s="8">
        <f t="shared" ref="P243:P274" si="29">(M243-$O$2)/$O$2*100</f>
        <v>-2.9353746697863383</v>
      </c>
    </row>
    <row r="244" spans="1:16" x14ac:dyDescent="0.2">
      <c r="A244" s="8">
        <v>121</v>
      </c>
      <c r="B244" s="8">
        <v>242</v>
      </c>
      <c r="D244">
        <v>4348.8129870129997</v>
      </c>
      <c r="E244">
        <v>726.01991341991004</v>
      </c>
      <c r="F244">
        <v>176.38008658008999</v>
      </c>
      <c r="G244">
        <v>130.00173160173</v>
      </c>
      <c r="I244" s="9">
        <f t="shared" si="26"/>
        <v>596.01818181817998</v>
      </c>
      <c r="J244" s="9">
        <f t="shared" si="27"/>
        <v>4172.4329004329093</v>
      </c>
      <c r="K244" s="9">
        <f t="shared" si="24"/>
        <v>596.01818181817998</v>
      </c>
      <c r="L244" s="10">
        <f t="shared" si="21"/>
        <v>0.14284667867429104</v>
      </c>
      <c r="M244" s="10">
        <f t="shared" si="28"/>
        <v>0.16165764933009941</v>
      </c>
      <c r="N244" s="1"/>
      <c r="P244" s="8">
        <f t="shared" si="29"/>
        <v>-2.5345355524695958</v>
      </c>
    </row>
    <row r="245" spans="1:16" x14ac:dyDescent="0.2">
      <c r="A245" s="8">
        <v>121.5</v>
      </c>
      <c r="B245" s="8">
        <v>243</v>
      </c>
      <c r="D245">
        <v>4337.2034632035002</v>
      </c>
      <c r="E245">
        <v>723.01904761904996</v>
      </c>
      <c r="F245">
        <v>176.96536796537001</v>
      </c>
      <c r="G245">
        <v>130.45454545454999</v>
      </c>
      <c r="I245" s="9">
        <f t="shared" si="26"/>
        <v>592.56450216450003</v>
      </c>
      <c r="J245" s="9">
        <f t="shared" si="27"/>
        <v>4160.23809523813</v>
      </c>
      <c r="K245" s="9">
        <f t="shared" si="24"/>
        <v>592.56450216450003</v>
      </c>
      <c r="L245" s="10">
        <f t="shared" si="21"/>
        <v>0.14243523774342581</v>
      </c>
      <c r="M245" s="10">
        <f t="shared" si="28"/>
        <v>0.16132393968293587</v>
      </c>
      <c r="P245" s="8">
        <f t="shared" si="29"/>
        <v>-2.735733367025218</v>
      </c>
    </row>
    <row r="246" spans="1:16" x14ac:dyDescent="0.2">
      <c r="A246" s="8">
        <v>122</v>
      </c>
      <c r="B246" s="8">
        <v>244</v>
      </c>
      <c r="D246">
        <v>4340.6848484848997</v>
      </c>
      <c r="E246">
        <v>723.17922077922003</v>
      </c>
      <c r="F246">
        <v>176.89090909090999</v>
      </c>
      <c r="G246">
        <v>130.58787878787999</v>
      </c>
      <c r="I246" s="9">
        <f t="shared" si="26"/>
        <v>592.59134199134007</v>
      </c>
      <c r="J246" s="9">
        <f t="shared" si="27"/>
        <v>4163.7939393939896</v>
      </c>
      <c r="K246" s="9">
        <f t="shared" si="24"/>
        <v>592.59134199134007</v>
      </c>
      <c r="L246" s="10">
        <f t="shared" si="21"/>
        <v>0.14232004528004752</v>
      </c>
      <c r="M246" s="10">
        <f t="shared" si="28"/>
        <v>0.16128647850325928</v>
      </c>
      <c r="P246" s="8">
        <f t="shared" si="29"/>
        <v>-2.7583191913958065</v>
      </c>
    </row>
    <row r="247" spans="1:16" x14ac:dyDescent="0.2">
      <c r="A247" s="8">
        <v>122.5</v>
      </c>
      <c r="B247" s="8">
        <v>245</v>
      </c>
      <c r="D247">
        <v>4334.1463203462999</v>
      </c>
      <c r="E247">
        <v>722.97142857143001</v>
      </c>
      <c r="F247">
        <v>177.76883116882999</v>
      </c>
      <c r="G247">
        <v>130.00432900433</v>
      </c>
      <c r="I247" s="9">
        <f t="shared" si="26"/>
        <v>592.96709956710004</v>
      </c>
      <c r="J247" s="9">
        <f t="shared" si="27"/>
        <v>4156.3774891774701</v>
      </c>
      <c r="K247" s="9">
        <f t="shared" si="24"/>
        <v>592.96709956710004</v>
      </c>
      <c r="L247" s="10">
        <f t="shared" si="21"/>
        <v>0.14266439973536807</v>
      </c>
      <c r="M247" s="10">
        <f t="shared" si="28"/>
        <v>0.1617085642422815</v>
      </c>
      <c r="P247" s="8">
        <f t="shared" si="29"/>
        <v>-2.5038383006927885</v>
      </c>
    </row>
    <row r="248" spans="1:16" x14ac:dyDescent="0.2">
      <c r="A248" s="8">
        <v>123</v>
      </c>
      <c r="B248" s="8">
        <v>246</v>
      </c>
      <c r="D248">
        <v>4329.4069264069003</v>
      </c>
      <c r="E248">
        <v>721.94199134199005</v>
      </c>
      <c r="F248">
        <v>177.84935064934999</v>
      </c>
      <c r="G248">
        <v>129.59913419912999</v>
      </c>
      <c r="I248" s="9">
        <f t="shared" si="26"/>
        <v>592.34285714286011</v>
      </c>
      <c r="J248" s="9">
        <f t="shared" si="27"/>
        <v>4151.5575757575507</v>
      </c>
      <c r="K248" s="9">
        <f t="shared" si="24"/>
        <v>592.34285714286011</v>
      </c>
      <c r="L248" s="10">
        <f t="shared" si="21"/>
        <v>0.14267966813269428</v>
      </c>
      <c r="M248" s="10">
        <f t="shared" si="28"/>
        <v>0.16180156392330941</v>
      </c>
      <c r="P248" s="8">
        <f t="shared" si="29"/>
        <v>-2.4477676034977014</v>
      </c>
    </row>
    <row r="249" spans="1:16" x14ac:dyDescent="0.2">
      <c r="A249" s="8">
        <v>123.5</v>
      </c>
      <c r="B249" s="8">
        <v>247</v>
      </c>
      <c r="D249">
        <v>4329.5030303029998</v>
      </c>
      <c r="E249">
        <v>722.33073593074005</v>
      </c>
      <c r="F249">
        <v>176.22770562771001</v>
      </c>
      <c r="G249">
        <v>130.03982683983</v>
      </c>
      <c r="I249" s="9">
        <f t="shared" si="26"/>
        <v>592.29090909091008</v>
      </c>
      <c r="J249" s="9">
        <f t="shared" si="27"/>
        <v>4153.27532467529</v>
      </c>
      <c r="K249" s="9">
        <f t="shared" si="24"/>
        <v>592.29090909091008</v>
      </c>
      <c r="L249" s="10">
        <f t="shared" si="21"/>
        <v>0.14260814966251156</v>
      </c>
      <c r="M249" s="10">
        <f t="shared" si="28"/>
        <v>0.16180777673682836</v>
      </c>
      <c r="P249" s="8">
        <f t="shared" si="29"/>
        <v>-2.4440218187627392</v>
      </c>
    </row>
    <row r="250" spans="1:16" x14ac:dyDescent="0.2">
      <c r="A250" s="8">
        <v>124</v>
      </c>
      <c r="B250" s="8">
        <v>248</v>
      </c>
      <c r="D250">
        <v>4321.0294372294002</v>
      </c>
      <c r="E250">
        <v>722.44329004328995</v>
      </c>
      <c r="F250">
        <v>176.37922077921999</v>
      </c>
      <c r="G250">
        <v>129.67965367964999</v>
      </c>
      <c r="I250" s="9">
        <f t="shared" si="26"/>
        <v>592.76363636363999</v>
      </c>
      <c r="J250" s="9">
        <f t="shared" si="27"/>
        <v>4144.6502164501799</v>
      </c>
      <c r="K250" s="9">
        <f t="shared" si="24"/>
        <v>592.76363636363999</v>
      </c>
      <c r="L250" s="10">
        <f t="shared" si="21"/>
        <v>0.14301897757522505</v>
      </c>
      <c r="M250" s="10">
        <f t="shared" si="28"/>
        <v>0.16229633593324355</v>
      </c>
      <c r="P250" s="8">
        <f t="shared" si="29"/>
        <v>-2.1494632303752201</v>
      </c>
    </row>
    <row r="251" spans="1:16" x14ac:dyDescent="0.2">
      <c r="A251" s="8">
        <v>124.5</v>
      </c>
      <c r="B251" s="8">
        <v>249</v>
      </c>
      <c r="D251">
        <v>4318.1809523809998</v>
      </c>
      <c r="E251">
        <v>719.31688311688004</v>
      </c>
      <c r="F251">
        <v>176.35670995671001</v>
      </c>
      <c r="G251">
        <v>129.52554112554</v>
      </c>
      <c r="I251" s="9">
        <f t="shared" si="26"/>
        <v>589.79134199134</v>
      </c>
      <c r="J251" s="9">
        <f t="shared" si="27"/>
        <v>4141.8242424242899</v>
      </c>
      <c r="K251" s="9">
        <f t="shared" si="24"/>
        <v>589.79134199134</v>
      </c>
      <c r="L251" s="10">
        <f t="shared" si="21"/>
        <v>0.14239893039162949</v>
      </c>
      <c r="M251" s="10">
        <f t="shared" si="28"/>
        <v>0.16175402003334965</v>
      </c>
      <c r="P251" s="8">
        <f t="shared" si="29"/>
        <v>-2.4764324228599301</v>
      </c>
    </row>
    <row r="252" spans="1:16" x14ac:dyDescent="0.2">
      <c r="A252" s="8">
        <v>125</v>
      </c>
      <c r="B252" s="8">
        <v>250</v>
      </c>
      <c r="D252">
        <v>4317.5896103896002</v>
      </c>
      <c r="E252">
        <v>723.03809523810003</v>
      </c>
      <c r="F252">
        <v>176.02597402596999</v>
      </c>
      <c r="G252">
        <v>129.56190476191</v>
      </c>
      <c r="I252" s="9">
        <f t="shared" si="26"/>
        <v>593.47619047619003</v>
      </c>
      <c r="J252" s="9">
        <f t="shared" si="27"/>
        <v>4141.5636363636304</v>
      </c>
      <c r="K252" s="9">
        <f t="shared" si="24"/>
        <v>593.47619047619003</v>
      </c>
      <c r="L252" s="10">
        <f t="shared" si="21"/>
        <v>0.14329761476205957</v>
      </c>
      <c r="M252" s="10">
        <f t="shared" si="28"/>
        <v>0.16273043568748144</v>
      </c>
      <c r="P252" s="8">
        <f t="shared" si="29"/>
        <v>-1.8877389362345853</v>
      </c>
    </row>
    <row r="253" spans="1:16" x14ac:dyDescent="0.2">
      <c r="A253" s="8">
        <v>125.5</v>
      </c>
      <c r="B253" s="8">
        <v>251</v>
      </c>
      <c r="D253">
        <v>4324.6640692641004</v>
      </c>
      <c r="E253">
        <v>721.45714285713996</v>
      </c>
      <c r="F253">
        <v>176.98008658008999</v>
      </c>
      <c r="G253">
        <v>129.36450216450001</v>
      </c>
      <c r="I253" s="9">
        <f t="shared" si="26"/>
        <v>592.09264069263997</v>
      </c>
      <c r="J253" s="9">
        <f t="shared" si="27"/>
        <v>4147.6839826840105</v>
      </c>
      <c r="K253" s="9">
        <f t="shared" si="24"/>
        <v>592.09264069263997</v>
      </c>
      <c r="L253" s="10">
        <f t="shared" si="21"/>
        <v>0.14275259232972964</v>
      </c>
      <c r="M253" s="10">
        <f t="shared" si="28"/>
        <v>0.16226314453885321</v>
      </c>
      <c r="P253" s="8">
        <f t="shared" si="29"/>
        <v>-2.1694747465844535</v>
      </c>
    </row>
    <row r="254" spans="1:16" x14ac:dyDescent="0.2">
      <c r="A254" s="8">
        <v>126</v>
      </c>
      <c r="B254" s="8">
        <v>252</v>
      </c>
      <c r="D254">
        <v>4330.9177489178001</v>
      </c>
      <c r="E254">
        <v>722.19826839826999</v>
      </c>
      <c r="F254">
        <v>176.17662337662</v>
      </c>
      <c r="G254">
        <v>129.88225108225001</v>
      </c>
      <c r="I254" s="9">
        <f t="shared" si="26"/>
        <v>592.31601731601995</v>
      </c>
      <c r="J254" s="9">
        <f t="shared" si="27"/>
        <v>4154.7411255411798</v>
      </c>
      <c r="K254" s="9">
        <f t="shared" si="24"/>
        <v>592.31601731601995</v>
      </c>
      <c r="L254" s="10">
        <f t="shared" si="21"/>
        <v>0.14256388049661392</v>
      </c>
      <c r="M254" s="10">
        <f t="shared" si="28"/>
        <v>0.16215216398943916</v>
      </c>
      <c r="P254" s="8">
        <f t="shared" si="29"/>
        <v>-2.23638633931209</v>
      </c>
    </row>
    <row r="255" spans="1:16" x14ac:dyDescent="0.2">
      <c r="A255" s="8">
        <v>126.5</v>
      </c>
      <c r="B255" s="8">
        <v>253</v>
      </c>
      <c r="D255">
        <v>4324.9662337662003</v>
      </c>
      <c r="E255">
        <v>720.57142857143003</v>
      </c>
      <c r="F255">
        <v>176.94978354977999</v>
      </c>
      <c r="G255">
        <v>129.57662337662001</v>
      </c>
      <c r="I255" s="9">
        <f t="shared" si="26"/>
        <v>590.99480519481006</v>
      </c>
      <c r="J255" s="9">
        <f t="shared" si="27"/>
        <v>4148.0164502164207</v>
      </c>
      <c r="K255" s="9">
        <f t="shared" si="24"/>
        <v>590.99480519481006</v>
      </c>
      <c r="L255" s="10">
        <f t="shared" si="21"/>
        <v>0.14247648539676722</v>
      </c>
      <c r="M255" s="10">
        <f t="shared" si="28"/>
        <v>0.16214250017329415</v>
      </c>
      <c r="P255" s="8">
        <f t="shared" si="29"/>
        <v>-2.2422127776700127</v>
      </c>
    </row>
    <row r="256" spans="1:16" x14ac:dyDescent="0.2">
      <c r="A256" s="8">
        <v>127</v>
      </c>
      <c r="B256" s="8">
        <v>254</v>
      </c>
      <c r="D256">
        <v>4322.4450216450005</v>
      </c>
      <c r="E256">
        <v>723.17748917748997</v>
      </c>
      <c r="F256">
        <v>176.77489177488999</v>
      </c>
      <c r="G256">
        <v>129.93246753247001</v>
      </c>
      <c r="I256" s="9">
        <f t="shared" si="26"/>
        <v>593.24502164501996</v>
      </c>
      <c r="J256" s="9">
        <f t="shared" si="27"/>
        <v>4145.67012987011</v>
      </c>
      <c r="K256" s="9">
        <f t="shared" si="24"/>
        <v>593.24502164501996</v>
      </c>
      <c r="L256" s="10">
        <f t="shared" si="21"/>
        <v>0.14309990980001278</v>
      </c>
      <c r="M256" s="10">
        <f t="shared" si="28"/>
        <v>0.16284365586024141</v>
      </c>
      <c r="P256" s="8">
        <f t="shared" si="29"/>
        <v>-1.8194770459460103</v>
      </c>
    </row>
    <row r="257" spans="1:16" x14ac:dyDescent="0.2">
      <c r="A257" s="8">
        <v>127.5</v>
      </c>
      <c r="B257" s="8">
        <v>255</v>
      </c>
      <c r="D257">
        <v>4317.6484848484997</v>
      </c>
      <c r="E257">
        <v>721.19740259740001</v>
      </c>
      <c r="F257">
        <v>176.34112554113</v>
      </c>
      <c r="G257">
        <v>130.21298701299</v>
      </c>
      <c r="I257" s="9">
        <f t="shared" si="26"/>
        <v>590.98441558441004</v>
      </c>
      <c r="J257" s="9">
        <f t="shared" si="27"/>
        <v>4141.3073593073696</v>
      </c>
      <c r="K257" s="9">
        <f t="shared" si="24"/>
        <v>590.98441558441004</v>
      </c>
      <c r="L257" s="10">
        <f t="shared" si="21"/>
        <v>0.14270479447901971</v>
      </c>
      <c r="M257" s="10">
        <f t="shared" si="28"/>
        <v>0.16252627182295001</v>
      </c>
      <c r="P257" s="8">
        <f t="shared" si="29"/>
        <v>-2.0108319414985996</v>
      </c>
    </row>
    <row r="258" spans="1:16" x14ac:dyDescent="0.2">
      <c r="A258" s="8">
        <v>128</v>
      </c>
      <c r="B258" s="8">
        <v>256</v>
      </c>
      <c r="D258">
        <v>4315.9870129869996</v>
      </c>
      <c r="E258">
        <v>719.72727272727002</v>
      </c>
      <c r="F258">
        <v>176.42683982683999</v>
      </c>
      <c r="G258">
        <v>129.71948051947999</v>
      </c>
      <c r="I258" s="9">
        <f t="shared" si="26"/>
        <v>590.00779220779009</v>
      </c>
      <c r="J258" s="9">
        <f t="shared" si="27"/>
        <v>4139.56017316016</v>
      </c>
      <c r="K258" s="9">
        <f t="shared" si="24"/>
        <v>590.00779220779009</v>
      </c>
      <c r="L258" s="10">
        <f t="shared" ref="L258:L321" si="30">K258/J258</f>
        <v>0.142529101529493</v>
      </c>
      <c r="M258" s="10">
        <f t="shared" si="28"/>
        <v>0.162428310157125</v>
      </c>
      <c r="P258" s="8">
        <f t="shared" si="29"/>
        <v>-2.0698942827936424</v>
      </c>
    </row>
    <row r="259" spans="1:16" x14ac:dyDescent="0.2">
      <c r="A259" s="8">
        <v>128.5</v>
      </c>
      <c r="B259" s="8">
        <v>257</v>
      </c>
      <c r="D259">
        <v>4317.6138528138999</v>
      </c>
      <c r="E259">
        <v>721.07272727273005</v>
      </c>
      <c r="F259">
        <v>175.76277056276999</v>
      </c>
      <c r="G259">
        <v>129.26493506494</v>
      </c>
      <c r="I259" s="9">
        <f t="shared" si="26"/>
        <v>591.80779220779004</v>
      </c>
      <c r="J259" s="9">
        <f t="shared" si="27"/>
        <v>4141.8510822511298</v>
      </c>
      <c r="K259" s="9">
        <f t="shared" ref="K259:K322" si="31">I259*1</f>
        <v>591.80779220779004</v>
      </c>
      <c r="L259" s="10">
        <f t="shared" si="30"/>
        <v>0.14288485521457658</v>
      </c>
      <c r="M259" s="10">
        <f t="shared" si="28"/>
        <v>0.16286179512591026</v>
      </c>
      <c r="P259" s="8">
        <f t="shared" si="29"/>
        <v>-1.8085406506657515</v>
      </c>
    </row>
    <row r="260" spans="1:16" x14ac:dyDescent="0.2">
      <c r="A260" s="8">
        <v>129</v>
      </c>
      <c r="B260" s="8">
        <v>258</v>
      </c>
      <c r="D260">
        <v>4312.7264069264002</v>
      </c>
      <c r="E260">
        <v>721.40432900432995</v>
      </c>
      <c r="F260">
        <v>175.85887445886999</v>
      </c>
      <c r="G260">
        <v>129.25800865801</v>
      </c>
      <c r="I260" s="9">
        <f t="shared" si="26"/>
        <v>592.14632034631995</v>
      </c>
      <c r="J260" s="9">
        <f t="shared" si="27"/>
        <v>4136.8675324675305</v>
      </c>
      <c r="K260" s="9">
        <f t="shared" si="31"/>
        <v>592.14632034631995</v>
      </c>
      <c r="L260" s="10">
        <f t="shared" si="30"/>
        <v>0.14313881595167263</v>
      </c>
      <c r="M260" s="10">
        <f t="shared" si="28"/>
        <v>0.16319348714670801</v>
      </c>
      <c r="P260" s="8">
        <f t="shared" si="29"/>
        <v>-1.6085592888523146</v>
      </c>
    </row>
    <row r="261" spans="1:16" x14ac:dyDescent="0.2">
      <c r="A261" s="8">
        <v>129.5</v>
      </c>
      <c r="B261" s="8">
        <v>259</v>
      </c>
      <c r="D261">
        <v>4304.2510822511003</v>
      </c>
      <c r="E261">
        <v>721.23982683983002</v>
      </c>
      <c r="F261">
        <v>176.00692640693001</v>
      </c>
      <c r="G261">
        <v>129.51255411254999</v>
      </c>
      <c r="I261" s="9">
        <f t="shared" si="26"/>
        <v>591.72727272728002</v>
      </c>
      <c r="J261" s="9">
        <f t="shared" si="27"/>
        <v>4128.2441558441706</v>
      </c>
      <c r="K261" s="9">
        <f t="shared" si="31"/>
        <v>591.72727272728002</v>
      </c>
      <c r="L261" s="10">
        <f t="shared" si="30"/>
        <v>0.14333630725052882</v>
      </c>
      <c r="M261" s="10">
        <f t="shared" si="28"/>
        <v>0.16346870972926586</v>
      </c>
      <c r="P261" s="8">
        <f t="shared" si="29"/>
        <v>-1.4426240736205569</v>
      </c>
    </row>
    <row r="262" spans="1:16" x14ac:dyDescent="0.2">
      <c r="A262" s="8">
        <v>130</v>
      </c>
      <c r="B262" s="8">
        <v>260</v>
      </c>
      <c r="D262">
        <v>4314.0233766233996</v>
      </c>
      <c r="E262">
        <v>720.05800865800995</v>
      </c>
      <c r="F262">
        <v>176.41818181817999</v>
      </c>
      <c r="G262">
        <v>129.40346320346001</v>
      </c>
      <c r="I262" s="9">
        <f t="shared" si="26"/>
        <v>590.65454545454998</v>
      </c>
      <c r="J262" s="9">
        <f t="shared" si="27"/>
        <v>4137.60519480522</v>
      </c>
      <c r="K262" s="9">
        <f t="shared" si="31"/>
        <v>590.65454545454998</v>
      </c>
      <c r="L262" s="10">
        <f t="shared" si="30"/>
        <v>0.14275275615859123</v>
      </c>
      <c r="M262" s="10">
        <f t="shared" si="28"/>
        <v>0.16296288992102997</v>
      </c>
      <c r="P262" s="8">
        <f t="shared" si="29"/>
        <v>-1.7475893056449476</v>
      </c>
    </row>
    <row r="263" spans="1:16" x14ac:dyDescent="0.2">
      <c r="A263" s="8">
        <v>130.5</v>
      </c>
      <c r="B263" s="8">
        <v>261</v>
      </c>
      <c r="D263">
        <v>4308.3757575758</v>
      </c>
      <c r="E263">
        <v>718.43203463203997</v>
      </c>
      <c r="F263">
        <v>175.46493506493999</v>
      </c>
      <c r="G263">
        <v>129.61038961039</v>
      </c>
      <c r="I263" s="9">
        <f t="shared" si="26"/>
        <v>588.82164502164994</v>
      </c>
      <c r="J263" s="9">
        <f t="shared" si="27"/>
        <v>4132.9108225108603</v>
      </c>
      <c r="K263" s="9">
        <f t="shared" si="31"/>
        <v>588.82164502164994</v>
      </c>
      <c r="L263" s="10">
        <f t="shared" si="30"/>
        <v>0.14247141308118624</v>
      </c>
      <c r="M263" s="10">
        <f t="shared" si="28"/>
        <v>0.16275927812732668</v>
      </c>
      <c r="P263" s="8">
        <f t="shared" si="29"/>
        <v>-1.8703494603454704</v>
      </c>
    </row>
    <row r="264" spans="1:16" x14ac:dyDescent="0.2">
      <c r="A264" s="8">
        <v>131</v>
      </c>
      <c r="B264" s="8">
        <v>262</v>
      </c>
      <c r="D264">
        <v>4305.4735930735997</v>
      </c>
      <c r="E264">
        <v>716.23376623376998</v>
      </c>
      <c r="F264">
        <v>175.40779220779001</v>
      </c>
      <c r="G264">
        <v>129.34718614719</v>
      </c>
      <c r="I264" s="9">
        <f t="shared" si="26"/>
        <v>586.88658008658001</v>
      </c>
      <c r="J264" s="9">
        <f t="shared" si="27"/>
        <v>4130.0658008658093</v>
      </c>
      <c r="K264" s="9">
        <f t="shared" si="31"/>
        <v>586.88658008658001</v>
      </c>
      <c r="L264" s="10">
        <f t="shared" si="30"/>
        <v>0.14210102414434841</v>
      </c>
      <c r="M264" s="10">
        <f t="shared" si="28"/>
        <v>0.16246662047419053</v>
      </c>
      <c r="P264" s="8">
        <f t="shared" si="29"/>
        <v>-2.0467965026304591</v>
      </c>
    </row>
    <row r="265" spans="1:16" x14ac:dyDescent="0.2">
      <c r="A265" s="8">
        <v>131.5</v>
      </c>
      <c r="B265" s="8">
        <v>263</v>
      </c>
      <c r="D265">
        <v>4297.1108225108001</v>
      </c>
      <c r="E265">
        <v>717.44415584416004</v>
      </c>
      <c r="F265">
        <v>176.0380952381</v>
      </c>
      <c r="G265">
        <v>129.70995670996001</v>
      </c>
      <c r="I265" s="9">
        <f t="shared" si="26"/>
        <v>587.73419913420003</v>
      </c>
      <c r="J265" s="9">
        <f t="shared" si="27"/>
        <v>4121.0727272726999</v>
      </c>
      <c r="K265" s="9">
        <f t="shared" si="31"/>
        <v>587.73419913420003</v>
      </c>
      <c r="L265" s="10">
        <f t="shared" si="30"/>
        <v>0.14261679859339896</v>
      </c>
      <c r="M265" s="10">
        <f t="shared" si="28"/>
        <v>0.16306012620694277</v>
      </c>
      <c r="P265" s="8">
        <f t="shared" si="29"/>
        <v>-1.6889643051768828</v>
      </c>
    </row>
    <row r="266" spans="1:16" x14ac:dyDescent="0.2">
      <c r="A266" s="8">
        <v>132</v>
      </c>
      <c r="B266" s="8">
        <v>264</v>
      </c>
      <c r="D266">
        <v>4303.8848484849004</v>
      </c>
      <c r="E266">
        <v>718.57316017315998</v>
      </c>
      <c r="F266">
        <v>176.20086580086999</v>
      </c>
      <c r="G266">
        <v>129.11255411254999</v>
      </c>
      <c r="I266" s="9">
        <f t="shared" si="26"/>
        <v>589.46060606060996</v>
      </c>
      <c r="J266" s="9">
        <f t="shared" si="27"/>
        <v>4127.6839826840305</v>
      </c>
      <c r="K266" s="9">
        <f t="shared" si="31"/>
        <v>589.46060606060996</v>
      </c>
      <c r="L266" s="10">
        <f t="shared" si="30"/>
        <v>0.14280662195396862</v>
      </c>
      <c r="M266" s="10">
        <f t="shared" si="28"/>
        <v>0.16332768085121413</v>
      </c>
      <c r="P266" s="8">
        <f t="shared" si="29"/>
        <v>-1.527652188014069</v>
      </c>
    </row>
    <row r="267" spans="1:16" x14ac:dyDescent="0.2">
      <c r="A267" s="8">
        <v>132.5</v>
      </c>
      <c r="B267" s="8">
        <v>265</v>
      </c>
      <c r="D267">
        <v>4295.6926406926004</v>
      </c>
      <c r="E267">
        <v>714.23549783550004</v>
      </c>
      <c r="F267">
        <v>175.84588744589001</v>
      </c>
      <c r="G267">
        <v>128.75064935065001</v>
      </c>
      <c r="I267" s="9">
        <f t="shared" si="26"/>
        <v>585.48484848485009</v>
      </c>
      <c r="J267" s="9">
        <f t="shared" si="27"/>
        <v>4119.8467532467103</v>
      </c>
      <c r="K267" s="9">
        <f t="shared" si="31"/>
        <v>585.48484848485009</v>
      </c>
      <c r="L267" s="10">
        <f t="shared" si="30"/>
        <v>0.14211325895154947</v>
      </c>
      <c r="M267" s="10">
        <f t="shared" si="28"/>
        <v>0.16271204913249665</v>
      </c>
      <c r="P267" s="8">
        <f t="shared" si="29"/>
        <v>-1.8988244254063549</v>
      </c>
    </row>
    <row r="268" spans="1:16" x14ac:dyDescent="0.2">
      <c r="A268" s="8">
        <v>133</v>
      </c>
      <c r="B268" s="8">
        <v>266</v>
      </c>
      <c r="D268">
        <v>4296.3645021644998</v>
      </c>
      <c r="E268">
        <v>716.84415584416001</v>
      </c>
      <c r="F268">
        <v>175.64935064935</v>
      </c>
      <c r="G268">
        <v>129.65541125541</v>
      </c>
      <c r="I268" s="9">
        <f t="shared" si="26"/>
        <v>587.18874458875007</v>
      </c>
      <c r="J268" s="9">
        <f t="shared" si="27"/>
        <v>4120.71515151515</v>
      </c>
      <c r="K268" s="9">
        <f t="shared" si="31"/>
        <v>587.18874458875007</v>
      </c>
      <c r="L268" s="10">
        <f t="shared" si="30"/>
        <v>0.14249680528702549</v>
      </c>
      <c r="M268" s="10">
        <f t="shared" si="28"/>
        <v>0.16317332675167437</v>
      </c>
      <c r="P268" s="8">
        <f t="shared" si="29"/>
        <v>-1.6207142488776625</v>
      </c>
    </row>
    <row r="269" spans="1:16" x14ac:dyDescent="0.2">
      <c r="A269" s="8">
        <v>133.5</v>
      </c>
      <c r="B269" s="8">
        <v>267</v>
      </c>
      <c r="D269">
        <v>4292.7359307359002</v>
      </c>
      <c r="E269">
        <v>714.22770562770995</v>
      </c>
      <c r="F269">
        <v>175.39220779221</v>
      </c>
      <c r="G269">
        <v>129.48744588745001</v>
      </c>
      <c r="I269" s="9">
        <f t="shared" si="26"/>
        <v>584.74025974025994</v>
      </c>
      <c r="J269" s="9">
        <f t="shared" si="27"/>
        <v>4117.3437229436904</v>
      </c>
      <c r="K269" s="9">
        <f t="shared" si="31"/>
        <v>584.74025974025994</v>
      </c>
      <c r="L269" s="10">
        <f t="shared" si="30"/>
        <v>0.14201881093429833</v>
      </c>
      <c r="M269" s="10">
        <f t="shared" si="28"/>
        <v>0.16277306368264888</v>
      </c>
      <c r="P269" s="8">
        <f t="shared" si="29"/>
        <v>-1.862037972718918</v>
      </c>
    </row>
    <row r="270" spans="1:16" x14ac:dyDescent="0.2">
      <c r="A270" s="8">
        <v>134</v>
      </c>
      <c r="B270" s="8">
        <v>268</v>
      </c>
      <c r="D270">
        <v>4292.2753246753</v>
      </c>
      <c r="E270">
        <v>715.46320346319999</v>
      </c>
      <c r="F270">
        <v>175.57316017316001</v>
      </c>
      <c r="G270">
        <v>129.20952380951999</v>
      </c>
      <c r="I270" s="9">
        <f t="shared" si="26"/>
        <v>586.25367965368002</v>
      </c>
      <c r="J270" s="9">
        <f t="shared" si="27"/>
        <v>4116.7021645021396</v>
      </c>
      <c r="K270" s="9">
        <f t="shared" si="31"/>
        <v>586.25367965368002</v>
      </c>
      <c r="L270" s="10">
        <f t="shared" si="30"/>
        <v>0.14240857274273561</v>
      </c>
      <c r="M270" s="10">
        <f t="shared" si="28"/>
        <v>0.16324055677478785</v>
      </c>
      <c r="P270" s="8">
        <f t="shared" si="29"/>
        <v>-1.5801804080434818</v>
      </c>
    </row>
    <row r="271" spans="1:16" x14ac:dyDescent="0.2">
      <c r="A271" s="8">
        <v>134.5</v>
      </c>
      <c r="B271" s="8">
        <v>269</v>
      </c>
      <c r="D271">
        <v>4290.3212121212</v>
      </c>
      <c r="E271">
        <v>715.81298701298999</v>
      </c>
      <c r="F271">
        <v>175.92987012987001</v>
      </c>
      <c r="G271">
        <v>129.2632034632</v>
      </c>
      <c r="I271" s="9">
        <f t="shared" si="26"/>
        <v>586.54978354978994</v>
      </c>
      <c r="J271" s="9">
        <f t="shared" si="27"/>
        <v>4114.3913419913297</v>
      </c>
      <c r="K271" s="9">
        <f t="shared" si="31"/>
        <v>586.54978354978994</v>
      </c>
      <c r="L271" s="10">
        <f t="shared" si="30"/>
        <v>0.14256052348824574</v>
      </c>
      <c r="M271" s="10">
        <f t="shared" si="28"/>
        <v>0.16347023880399969</v>
      </c>
      <c r="P271" s="8">
        <f t="shared" si="29"/>
        <v>-1.441702174906049</v>
      </c>
    </row>
    <row r="272" spans="1:16" x14ac:dyDescent="0.2">
      <c r="A272" s="8">
        <v>135</v>
      </c>
      <c r="B272" s="8">
        <v>270</v>
      </c>
      <c r="D272">
        <v>4288.5515151515001</v>
      </c>
      <c r="E272">
        <v>717.96709956710004</v>
      </c>
      <c r="F272">
        <v>175.80779220778999</v>
      </c>
      <c r="G272">
        <v>129.16796536797</v>
      </c>
      <c r="I272" s="9">
        <f t="shared" si="26"/>
        <v>588.79913419913009</v>
      </c>
      <c r="J272" s="9">
        <f t="shared" si="27"/>
        <v>4112.7437229437101</v>
      </c>
      <c r="K272" s="9">
        <f t="shared" si="31"/>
        <v>588.79913419913009</v>
      </c>
      <c r="L272" s="10">
        <f t="shared" si="30"/>
        <v>0.14316455725514915</v>
      </c>
      <c r="M272" s="10">
        <f t="shared" si="28"/>
        <v>0.16415200385460477</v>
      </c>
      <c r="P272" s="8">
        <f t="shared" si="29"/>
        <v>-1.0306573058467929</v>
      </c>
    </row>
    <row r="273" spans="1:16" x14ac:dyDescent="0.2">
      <c r="A273" s="8">
        <v>135.5</v>
      </c>
      <c r="B273" s="8">
        <v>271</v>
      </c>
      <c r="D273">
        <v>4284.0753246753002</v>
      </c>
      <c r="E273">
        <v>717.07359307359002</v>
      </c>
      <c r="F273">
        <v>175.86753246753</v>
      </c>
      <c r="G273">
        <v>128.76363636363999</v>
      </c>
      <c r="I273" s="9">
        <f t="shared" si="26"/>
        <v>588.30995670995003</v>
      </c>
      <c r="J273" s="9">
        <f t="shared" si="27"/>
        <v>4108.2077922077706</v>
      </c>
      <c r="K273" s="9">
        <f t="shared" si="31"/>
        <v>588.30995670995003</v>
      </c>
      <c r="L273" s="10">
        <f t="shared" si="30"/>
        <v>0.1432035540718814</v>
      </c>
      <c r="M273" s="10">
        <f t="shared" si="28"/>
        <v>0.16426873195503872</v>
      </c>
      <c r="P273" s="8">
        <f t="shared" si="29"/>
        <v>-0.96028044109576904</v>
      </c>
    </row>
    <row r="274" spans="1:16" x14ac:dyDescent="0.2">
      <c r="A274" s="8">
        <v>136</v>
      </c>
      <c r="B274" s="8">
        <v>272</v>
      </c>
      <c r="D274">
        <v>4290.3696969697003</v>
      </c>
      <c r="E274">
        <v>716.21818181818003</v>
      </c>
      <c r="F274">
        <v>174.91168831169</v>
      </c>
      <c r="G274">
        <v>129.41385281385001</v>
      </c>
      <c r="I274" s="9">
        <f t="shared" si="26"/>
        <v>586.80432900433004</v>
      </c>
      <c r="J274" s="9">
        <f t="shared" si="27"/>
        <v>4115.4580086580099</v>
      </c>
      <c r="K274" s="9">
        <f t="shared" si="31"/>
        <v>586.80432900433004</v>
      </c>
      <c r="L274" s="10">
        <f t="shared" si="30"/>
        <v>0.14258542494415544</v>
      </c>
      <c r="M274" s="10">
        <f t="shared" si="28"/>
        <v>0.16372833411101442</v>
      </c>
      <c r="P274" s="8">
        <f t="shared" si="29"/>
        <v>-1.2860932131639884</v>
      </c>
    </row>
    <row r="275" spans="1:16" x14ac:dyDescent="0.2">
      <c r="A275" s="8">
        <v>136.5</v>
      </c>
      <c r="B275" s="8">
        <v>273</v>
      </c>
      <c r="D275">
        <v>4283.8831168831002</v>
      </c>
      <c r="E275">
        <v>716.56277056276997</v>
      </c>
      <c r="F275">
        <v>175.35064935065</v>
      </c>
      <c r="G275">
        <v>129.57316017316001</v>
      </c>
      <c r="I275" s="9">
        <f>E275-G275</f>
        <v>586.98961038960999</v>
      </c>
      <c r="J275" s="9">
        <f>D275-F275</f>
        <v>4108.53246753245</v>
      </c>
      <c r="K275" s="9">
        <f t="shared" si="31"/>
        <v>586.98961038960999</v>
      </c>
      <c r="L275" s="10">
        <f t="shared" si="30"/>
        <v>0.14287087056711298</v>
      </c>
      <c r="M275" s="10">
        <f>L275+ABS($N$2)*A275</f>
        <v>0.16409151101767366</v>
      </c>
      <c r="O275" s="11"/>
      <c r="P275" s="8">
        <f>(M275-$O$2)/$O$2*100</f>
        <v>-1.0671292109602919</v>
      </c>
    </row>
    <row r="276" spans="1:16" x14ac:dyDescent="0.2">
      <c r="A276" s="8">
        <v>137</v>
      </c>
      <c r="B276" s="8">
        <v>274</v>
      </c>
      <c r="D276">
        <v>4283.4025974025999</v>
      </c>
      <c r="E276">
        <v>715.10562770563001</v>
      </c>
      <c r="F276">
        <v>175.71861471861999</v>
      </c>
      <c r="G276">
        <v>129.05367965368001</v>
      </c>
      <c r="I276" s="9">
        <f t="shared" ref="I276:I291" si="32">E276-G276</f>
        <v>586.05194805195003</v>
      </c>
      <c r="J276" s="9">
        <f t="shared" ref="J276:J291" si="33">D276-F276</f>
        <v>4107.6839826839796</v>
      </c>
      <c r="K276" s="9">
        <f t="shared" si="31"/>
        <v>586.05194805195003</v>
      </c>
      <c r="L276" s="10">
        <f t="shared" si="30"/>
        <v>0.14267211171123759</v>
      </c>
      <c r="M276" s="10">
        <f t="shared" ref="M276:M291" si="34">L276+ABS($N$2)*A276</f>
        <v>0.16397048344549997</v>
      </c>
      <c r="P276" s="8">
        <f t="shared" ref="P276:P291" si="35">(M276-$O$2)/$O$2*100</f>
        <v>-1.1400982822151817</v>
      </c>
    </row>
    <row r="277" spans="1:16" x14ac:dyDescent="0.2">
      <c r="A277" s="8">
        <v>137.5</v>
      </c>
      <c r="B277" s="8">
        <v>275</v>
      </c>
      <c r="D277">
        <v>4276.9645021645001</v>
      </c>
      <c r="E277">
        <v>713.26493506494</v>
      </c>
      <c r="F277">
        <v>174.92640692641001</v>
      </c>
      <c r="G277">
        <v>129.22251082251</v>
      </c>
      <c r="I277" s="9">
        <f t="shared" si="32"/>
        <v>584.04242424243</v>
      </c>
      <c r="J277" s="9">
        <f t="shared" si="33"/>
        <v>4102.0380952380901</v>
      </c>
      <c r="K277" s="9">
        <f t="shared" si="31"/>
        <v>584.04242424243</v>
      </c>
      <c r="L277" s="10">
        <f t="shared" si="30"/>
        <v>0.14237859587906412</v>
      </c>
      <c r="M277" s="10">
        <f t="shared" si="34"/>
        <v>0.16375469889702818</v>
      </c>
      <c r="N277" s="1"/>
      <c r="P277" s="8">
        <f t="shared" si="35"/>
        <v>-1.2701975464600688</v>
      </c>
    </row>
    <row r="278" spans="1:16" x14ac:dyDescent="0.2">
      <c r="A278" s="8">
        <v>138</v>
      </c>
      <c r="B278" s="8">
        <v>276</v>
      </c>
      <c r="D278">
        <v>4201.6606060606</v>
      </c>
      <c r="E278">
        <v>694.52121212121006</v>
      </c>
      <c r="F278">
        <v>175.87012987013</v>
      </c>
      <c r="G278">
        <v>128.78701298701</v>
      </c>
      <c r="I278" s="9">
        <f t="shared" si="32"/>
        <v>565.73419913420003</v>
      </c>
      <c r="J278" s="9">
        <f t="shared" si="33"/>
        <v>4025.7904761904701</v>
      </c>
      <c r="K278" s="9">
        <f t="shared" si="31"/>
        <v>565.73419913420003</v>
      </c>
      <c r="L278" s="10">
        <f t="shared" si="30"/>
        <v>0.14052748211316343</v>
      </c>
      <c r="M278" s="10">
        <f t="shared" si="34"/>
        <v>0.16198131641482919</v>
      </c>
      <c r="P278" s="8">
        <f t="shared" si="35"/>
        <v>-2.3393925272536995</v>
      </c>
    </row>
    <row r="279" spans="1:16" x14ac:dyDescent="0.2">
      <c r="A279" s="8">
        <v>138.5</v>
      </c>
      <c r="B279" s="8">
        <v>277</v>
      </c>
      <c r="D279">
        <v>4084.1264069263998</v>
      </c>
      <c r="E279">
        <v>678.63203463204002</v>
      </c>
      <c r="F279">
        <v>175.02857142856999</v>
      </c>
      <c r="G279">
        <v>129.21038961039</v>
      </c>
      <c r="I279" s="9">
        <f t="shared" si="32"/>
        <v>549.42164502164997</v>
      </c>
      <c r="J279" s="9">
        <f t="shared" si="33"/>
        <v>3909.0978354978297</v>
      </c>
      <c r="K279" s="9">
        <f t="shared" si="31"/>
        <v>549.42164502164997</v>
      </c>
      <c r="L279" s="10">
        <f t="shared" si="30"/>
        <v>0.14054947410946042</v>
      </c>
      <c r="M279" s="10">
        <f t="shared" si="34"/>
        <v>0.16208103969482784</v>
      </c>
      <c r="P279" s="8">
        <f t="shared" si="35"/>
        <v>-2.2792680862416113</v>
      </c>
    </row>
    <row r="280" spans="1:16" x14ac:dyDescent="0.2">
      <c r="A280" s="8">
        <v>139</v>
      </c>
      <c r="B280" s="8">
        <v>278</v>
      </c>
      <c r="D280">
        <v>4096.7939393938996</v>
      </c>
      <c r="E280">
        <v>678.96017316017003</v>
      </c>
      <c r="F280">
        <v>175.70735930736001</v>
      </c>
      <c r="G280">
        <v>128.70303030303</v>
      </c>
      <c r="I280" s="9">
        <f t="shared" si="32"/>
        <v>550.25714285714002</v>
      </c>
      <c r="J280" s="9">
        <f t="shared" si="33"/>
        <v>3921.0865800865395</v>
      </c>
      <c r="K280" s="9">
        <f t="shared" si="31"/>
        <v>550.25714285714002</v>
      </c>
      <c r="L280" s="10">
        <f t="shared" si="30"/>
        <v>0.14033282143058307</v>
      </c>
      <c r="M280" s="10">
        <f t="shared" si="34"/>
        <v>0.16194211829965219</v>
      </c>
      <c r="P280" s="8">
        <f t="shared" si="35"/>
        <v>-2.3630255722535844</v>
      </c>
    </row>
    <row r="281" spans="1:16" x14ac:dyDescent="0.2">
      <c r="A281" s="8">
        <v>139.5</v>
      </c>
      <c r="B281" s="8">
        <v>279</v>
      </c>
      <c r="D281">
        <v>4119.4086580086996</v>
      </c>
      <c r="E281">
        <v>683.32640692640996</v>
      </c>
      <c r="F281">
        <v>174.45281385281001</v>
      </c>
      <c r="G281">
        <v>129.38095238094999</v>
      </c>
      <c r="I281" s="9">
        <f t="shared" si="32"/>
        <v>553.94545454545994</v>
      </c>
      <c r="J281" s="9">
        <f t="shared" si="33"/>
        <v>3944.9558441558897</v>
      </c>
      <c r="K281" s="9">
        <f t="shared" si="31"/>
        <v>553.94545454545994</v>
      </c>
      <c r="L281" s="10">
        <f t="shared" si="30"/>
        <v>0.14041867043102196</v>
      </c>
      <c r="M281" s="10">
        <f t="shared" si="34"/>
        <v>0.16210569858379278</v>
      </c>
      <c r="P281" s="8">
        <f t="shared" si="35"/>
        <v>-2.2644009266875322</v>
      </c>
    </row>
    <row r="282" spans="1:16" x14ac:dyDescent="0.2">
      <c r="A282" s="8">
        <v>140</v>
      </c>
      <c r="B282" s="8">
        <v>280</v>
      </c>
      <c r="D282">
        <v>4109.1463203462999</v>
      </c>
      <c r="E282">
        <v>680.88658008658001</v>
      </c>
      <c r="F282">
        <v>175.49870129870001</v>
      </c>
      <c r="G282">
        <v>129.00952380952</v>
      </c>
      <c r="I282" s="9">
        <f t="shared" si="32"/>
        <v>551.87705627705998</v>
      </c>
      <c r="J282" s="9">
        <f t="shared" si="33"/>
        <v>3933.6476190476001</v>
      </c>
      <c r="K282" s="9">
        <f t="shared" si="31"/>
        <v>551.87705627705998</v>
      </c>
      <c r="L282" s="10">
        <f t="shared" si="30"/>
        <v>0.14029651603889176</v>
      </c>
      <c r="M282" s="10">
        <f t="shared" si="34"/>
        <v>0.16206127547536425</v>
      </c>
      <c r="P282" s="8">
        <f t="shared" si="35"/>
        <v>-2.2911841869485339</v>
      </c>
    </row>
    <row r="283" spans="1:16" x14ac:dyDescent="0.2">
      <c r="A283" s="8">
        <v>140.5</v>
      </c>
      <c r="B283" s="8">
        <v>281</v>
      </c>
      <c r="D283">
        <v>4140.9523809523998</v>
      </c>
      <c r="E283">
        <v>685.73679653680006</v>
      </c>
      <c r="F283">
        <v>175.24588744588999</v>
      </c>
      <c r="G283">
        <v>129.14632034632001</v>
      </c>
      <c r="I283" s="9">
        <f t="shared" si="32"/>
        <v>556.5904761904801</v>
      </c>
      <c r="J283" s="9">
        <f t="shared" si="33"/>
        <v>3965.70649350651</v>
      </c>
      <c r="K283" s="9">
        <f t="shared" si="31"/>
        <v>556.5904761904801</v>
      </c>
      <c r="L283" s="10">
        <f t="shared" si="30"/>
        <v>0.14035090017424318</v>
      </c>
      <c r="M283" s="10">
        <f t="shared" si="34"/>
        <v>0.16219339089441737</v>
      </c>
      <c r="P283" s="8">
        <f t="shared" si="35"/>
        <v>-2.2115301109920162</v>
      </c>
    </row>
    <row r="284" spans="1:16" x14ac:dyDescent="0.2">
      <c r="A284" s="8">
        <v>141</v>
      </c>
      <c r="B284" s="8">
        <v>282</v>
      </c>
      <c r="D284">
        <v>4227.5965367965</v>
      </c>
      <c r="E284">
        <v>699.10562770563001</v>
      </c>
      <c r="F284">
        <v>175.23030303030001</v>
      </c>
      <c r="G284">
        <v>129.08398268398</v>
      </c>
      <c r="I284" s="9">
        <f t="shared" si="32"/>
        <v>570.02164502164999</v>
      </c>
      <c r="J284" s="9">
        <f t="shared" si="33"/>
        <v>4052.3662337661999</v>
      </c>
      <c r="K284" s="9">
        <f t="shared" si="31"/>
        <v>570.02164502164999</v>
      </c>
      <c r="L284" s="10">
        <f t="shared" si="30"/>
        <v>0.14066390156742611</v>
      </c>
      <c r="M284" s="10">
        <f t="shared" si="34"/>
        <v>0.16258412357130198</v>
      </c>
      <c r="P284" s="8">
        <f t="shared" si="35"/>
        <v>-1.9759523824700513</v>
      </c>
    </row>
    <row r="285" spans="1:16" x14ac:dyDescent="0.2">
      <c r="A285" s="8">
        <v>141.5</v>
      </c>
      <c r="B285" s="8">
        <v>283</v>
      </c>
      <c r="D285">
        <v>4246.7238095237999</v>
      </c>
      <c r="E285">
        <v>700.59740259739999</v>
      </c>
      <c r="F285">
        <v>174.53852813853001</v>
      </c>
      <c r="G285">
        <v>128.29523809523999</v>
      </c>
      <c r="I285" s="9">
        <f t="shared" si="32"/>
        <v>572.30216450215994</v>
      </c>
      <c r="J285" s="9">
        <f t="shared" si="33"/>
        <v>4072.1852813852697</v>
      </c>
      <c r="K285" s="9">
        <f t="shared" si="31"/>
        <v>572.30216450215994</v>
      </c>
      <c r="L285" s="10">
        <f t="shared" si="30"/>
        <v>0.14053932347289341</v>
      </c>
      <c r="M285" s="10">
        <f t="shared" si="34"/>
        <v>0.16253727676047097</v>
      </c>
      <c r="P285" s="8">
        <f t="shared" si="35"/>
        <v>-2.0041969239096327</v>
      </c>
    </row>
    <row r="286" spans="1:16" x14ac:dyDescent="0.2">
      <c r="A286" s="8">
        <v>142</v>
      </c>
      <c r="B286" s="8">
        <v>284</v>
      </c>
      <c r="D286">
        <v>4250.8909090909001</v>
      </c>
      <c r="E286">
        <v>703.59480519480996</v>
      </c>
      <c r="F286">
        <v>174.27186147186001</v>
      </c>
      <c r="G286">
        <v>128.65021645022</v>
      </c>
      <c r="I286" s="9">
        <f t="shared" si="32"/>
        <v>574.94458874458996</v>
      </c>
      <c r="J286" s="9">
        <f t="shared" si="33"/>
        <v>4076.61904761904</v>
      </c>
      <c r="K286" s="9">
        <f t="shared" si="31"/>
        <v>574.94458874458996</v>
      </c>
      <c r="L286" s="10">
        <f t="shared" si="30"/>
        <v>0.14103466181869209</v>
      </c>
      <c r="M286" s="10">
        <f t="shared" si="34"/>
        <v>0.16311034638997135</v>
      </c>
      <c r="P286" s="8">
        <f t="shared" si="35"/>
        <v>-1.6586859144925925</v>
      </c>
    </row>
    <row r="287" spans="1:16" x14ac:dyDescent="0.2">
      <c r="A287" s="8">
        <v>142.5</v>
      </c>
      <c r="B287" s="8">
        <v>285</v>
      </c>
      <c r="D287">
        <v>4255.1497835498003</v>
      </c>
      <c r="E287">
        <v>706.19220779220996</v>
      </c>
      <c r="F287">
        <v>174.19826839826999</v>
      </c>
      <c r="G287">
        <v>128.50735930735999</v>
      </c>
      <c r="I287" s="9">
        <f t="shared" si="32"/>
        <v>577.68484848484991</v>
      </c>
      <c r="J287" s="9">
        <f t="shared" si="33"/>
        <v>4080.9515151515302</v>
      </c>
      <c r="K287" s="9">
        <f t="shared" si="31"/>
        <v>577.68484848484991</v>
      </c>
      <c r="L287" s="10">
        <f t="shared" si="30"/>
        <v>0.14155641064101196</v>
      </c>
      <c r="M287" s="10">
        <f t="shared" si="34"/>
        <v>0.16370982649599289</v>
      </c>
      <c r="P287" s="8">
        <f t="shared" si="35"/>
        <v>-1.2972516909803185</v>
      </c>
    </row>
    <row r="288" spans="1:16" x14ac:dyDescent="0.2">
      <c r="A288" s="8">
        <v>143</v>
      </c>
      <c r="B288" s="8">
        <v>286</v>
      </c>
      <c r="D288">
        <v>4265.6458874459004</v>
      </c>
      <c r="E288">
        <v>707.64588744589003</v>
      </c>
      <c r="F288">
        <v>174.99913419913</v>
      </c>
      <c r="G288">
        <v>128.96536796537001</v>
      </c>
      <c r="I288" s="9">
        <f t="shared" si="32"/>
        <v>578.68051948052005</v>
      </c>
      <c r="J288" s="9">
        <f t="shared" si="33"/>
        <v>4090.6467532467705</v>
      </c>
      <c r="K288" s="9">
        <f t="shared" si="31"/>
        <v>578.68051948052005</v>
      </c>
      <c r="L288" s="10">
        <f t="shared" si="30"/>
        <v>0.14146430977478511</v>
      </c>
      <c r="M288" s="10">
        <f t="shared" si="34"/>
        <v>0.16369545691346774</v>
      </c>
      <c r="P288" s="8">
        <f t="shared" si="35"/>
        <v>-1.3059152960774785</v>
      </c>
    </row>
    <row r="289" spans="1:16" x14ac:dyDescent="0.2">
      <c r="A289" s="8">
        <v>143.5</v>
      </c>
      <c r="B289" s="8">
        <v>287</v>
      </c>
      <c r="D289">
        <v>4267.2813852813997</v>
      </c>
      <c r="E289">
        <v>711.24069264068999</v>
      </c>
      <c r="F289">
        <v>174.74372294372</v>
      </c>
      <c r="G289">
        <v>129.02077922078001</v>
      </c>
      <c r="I289" s="9">
        <f t="shared" si="32"/>
        <v>582.21991341990997</v>
      </c>
      <c r="J289" s="9">
        <f t="shared" si="33"/>
        <v>4092.5376623376796</v>
      </c>
      <c r="K289" s="9">
        <f t="shared" si="31"/>
        <v>582.21991341990997</v>
      </c>
      <c r="L289" s="10">
        <f t="shared" si="30"/>
        <v>0.14226378874356962</v>
      </c>
      <c r="M289" s="10">
        <f t="shared" si="34"/>
        <v>0.16457266716595392</v>
      </c>
      <c r="P289" s="8">
        <f t="shared" si="35"/>
        <v>-0.77703401498128788</v>
      </c>
    </row>
    <row r="290" spans="1:16" x14ac:dyDescent="0.2">
      <c r="A290" s="8">
        <v>144</v>
      </c>
      <c r="B290" s="8">
        <v>288</v>
      </c>
      <c r="D290">
        <v>4260.4017316016998</v>
      </c>
      <c r="E290">
        <v>708.46666666666999</v>
      </c>
      <c r="F290">
        <v>174.27792207792001</v>
      </c>
      <c r="G290">
        <v>128.74458874459</v>
      </c>
      <c r="I290" s="9">
        <f t="shared" si="32"/>
        <v>579.72207792207996</v>
      </c>
      <c r="J290" s="9">
        <f t="shared" si="33"/>
        <v>4086.12380952378</v>
      </c>
      <c r="K290" s="9">
        <f t="shared" si="31"/>
        <v>579.72207792207996</v>
      </c>
      <c r="L290" s="10">
        <f t="shared" si="30"/>
        <v>0.14187579842071502</v>
      </c>
      <c r="M290" s="10">
        <f t="shared" si="34"/>
        <v>0.16426240812680101</v>
      </c>
      <c r="P290" s="8">
        <f t="shared" si="35"/>
        <v>-0.96409315802458928</v>
      </c>
    </row>
    <row r="291" spans="1:16" x14ac:dyDescent="0.2">
      <c r="A291" s="8">
        <v>144.5</v>
      </c>
      <c r="B291" s="8">
        <v>289</v>
      </c>
      <c r="D291">
        <v>4252.303030303</v>
      </c>
      <c r="E291">
        <v>709.27359307358995</v>
      </c>
      <c r="F291">
        <v>174.57056277056</v>
      </c>
      <c r="G291">
        <v>128.58095238095001</v>
      </c>
      <c r="I291" s="9">
        <f t="shared" si="32"/>
        <v>580.69264069264</v>
      </c>
      <c r="J291" s="9">
        <f t="shared" si="33"/>
        <v>4077.7324675324398</v>
      </c>
      <c r="K291" s="9">
        <f t="shared" si="31"/>
        <v>580.69264069264</v>
      </c>
      <c r="L291" s="10">
        <f t="shared" si="30"/>
        <v>0.14240577215798436</v>
      </c>
      <c r="M291" s="10">
        <f t="shared" si="34"/>
        <v>0.16487011314777206</v>
      </c>
      <c r="P291" s="8">
        <f t="shared" si="35"/>
        <v>-0.59770002808928446</v>
      </c>
    </row>
    <row r="292" spans="1:16" x14ac:dyDescent="0.2">
      <c r="A292" s="8">
        <v>145</v>
      </c>
      <c r="B292" s="8">
        <v>290</v>
      </c>
      <c r="D292">
        <v>4249.3636363635997</v>
      </c>
      <c r="E292">
        <v>705.86060606061005</v>
      </c>
      <c r="F292">
        <v>174.48831168831001</v>
      </c>
      <c r="G292">
        <v>128.40259740260001</v>
      </c>
      <c r="I292" s="9">
        <f>E292-G292</f>
        <v>577.45800865801004</v>
      </c>
      <c r="J292" s="9">
        <f>D292-F292</f>
        <v>4074.8753246752894</v>
      </c>
      <c r="K292" s="9">
        <f t="shared" si="31"/>
        <v>577.45800865801004</v>
      </c>
      <c r="L292" s="10">
        <f t="shared" si="30"/>
        <v>0.14171182248478373</v>
      </c>
      <c r="M292" s="10">
        <f>L292+ABS($N$2)*A292</f>
        <v>0.16425389475827309</v>
      </c>
      <c r="O292" s="11"/>
      <c r="P292" s="8">
        <f>(M292-$O$2)/$O$2*100</f>
        <v>-0.96922597679948186</v>
      </c>
    </row>
    <row r="293" spans="1:16" x14ac:dyDescent="0.2">
      <c r="A293" s="8">
        <v>145.5</v>
      </c>
      <c r="B293" s="8">
        <v>291</v>
      </c>
      <c r="D293">
        <v>4250.7930735931004</v>
      </c>
      <c r="E293">
        <v>709.64675324675</v>
      </c>
      <c r="F293">
        <v>174.31515151515001</v>
      </c>
      <c r="G293">
        <v>128.83203463204001</v>
      </c>
      <c r="I293" s="9">
        <f t="shared" ref="I293:I301" si="36">E293-G293</f>
        <v>580.81471861471005</v>
      </c>
      <c r="J293" s="9">
        <f t="shared" ref="J293:J301" si="37">D293-F293</f>
        <v>4076.4779220779506</v>
      </c>
      <c r="K293" s="9">
        <f t="shared" si="31"/>
        <v>580.81471861471005</v>
      </c>
      <c r="L293" s="10">
        <f t="shared" si="30"/>
        <v>0.14247954477296534</v>
      </c>
      <c r="M293" s="10">
        <f t="shared" ref="M293:M301" si="38">L293+ABS($N$2)*A293</f>
        <v>0.16509934833015641</v>
      </c>
      <c r="P293" s="8">
        <f t="shared" ref="P293:P301" si="39">(M293-$O$2)/$O$2*100</f>
        <v>-0.45949120461949283</v>
      </c>
    </row>
    <row r="294" spans="1:16" x14ac:dyDescent="0.2">
      <c r="A294" s="8">
        <v>146</v>
      </c>
      <c r="B294" s="8">
        <v>292</v>
      </c>
      <c r="D294">
        <v>4241.2173160172997</v>
      </c>
      <c r="E294">
        <v>710.83463203462998</v>
      </c>
      <c r="F294">
        <v>174.46580086579999</v>
      </c>
      <c r="G294">
        <v>128.87012987013</v>
      </c>
      <c r="I294" s="9">
        <f t="shared" si="36"/>
        <v>581.9645021645</v>
      </c>
      <c r="J294" s="9">
        <f t="shared" si="37"/>
        <v>4066.7515151514999</v>
      </c>
      <c r="K294" s="9">
        <f t="shared" si="31"/>
        <v>581.9645021645</v>
      </c>
      <c r="L294" s="10">
        <f t="shared" si="30"/>
        <v>0.14310303936600854</v>
      </c>
      <c r="M294" s="10">
        <f t="shared" si="38"/>
        <v>0.16580057420690128</v>
      </c>
      <c r="N294" s="1"/>
      <c r="P294" s="8">
        <f t="shared" si="39"/>
        <v>-3.6713154568754014E-2</v>
      </c>
    </row>
    <row r="295" spans="1:16" x14ac:dyDescent="0.2">
      <c r="A295" s="8">
        <v>146.5</v>
      </c>
      <c r="B295" s="8">
        <v>293</v>
      </c>
      <c r="D295">
        <v>4245.5134199134</v>
      </c>
      <c r="E295">
        <v>705.73593073592997</v>
      </c>
      <c r="F295">
        <v>174.25974025974</v>
      </c>
      <c r="G295">
        <v>128.44415584416001</v>
      </c>
      <c r="I295" s="9">
        <f t="shared" si="36"/>
        <v>577.29177489176993</v>
      </c>
      <c r="J295" s="9">
        <f t="shared" si="37"/>
        <v>4071.2536796536601</v>
      </c>
      <c r="K295" s="9">
        <f t="shared" si="31"/>
        <v>577.29177489176993</v>
      </c>
      <c r="L295" s="10">
        <f t="shared" si="30"/>
        <v>0.14179705327054931</v>
      </c>
      <c r="M295" s="10">
        <f t="shared" si="38"/>
        <v>0.16457231939514375</v>
      </c>
      <c r="P295" s="8">
        <f t="shared" si="39"/>
        <v>-0.77724369045087249</v>
      </c>
    </row>
    <row r="296" spans="1:16" x14ac:dyDescent="0.2">
      <c r="A296" s="8">
        <v>147</v>
      </c>
      <c r="B296" s="8">
        <v>294</v>
      </c>
      <c r="D296">
        <v>4252.6199134198996</v>
      </c>
      <c r="E296">
        <v>703.90043290043002</v>
      </c>
      <c r="F296">
        <v>175.00692640693001</v>
      </c>
      <c r="G296">
        <v>128.66493506494001</v>
      </c>
      <c r="I296" s="9">
        <f t="shared" si="36"/>
        <v>575.23549783549004</v>
      </c>
      <c r="J296" s="9">
        <f t="shared" si="37"/>
        <v>4077.6129870129698</v>
      </c>
      <c r="K296" s="9">
        <f t="shared" si="31"/>
        <v>575.23549783549004</v>
      </c>
      <c r="L296" s="10">
        <f t="shared" si="30"/>
        <v>0.14107162687277863</v>
      </c>
      <c r="M296" s="10">
        <f t="shared" si="38"/>
        <v>0.16392462428107477</v>
      </c>
      <c r="P296" s="8">
        <f t="shared" si="39"/>
        <v>-1.1677473590043124</v>
      </c>
    </row>
    <row r="297" spans="1:16" x14ac:dyDescent="0.2">
      <c r="A297" s="8">
        <v>147.5</v>
      </c>
      <c r="B297" s="8">
        <v>295</v>
      </c>
      <c r="D297">
        <v>4231.4225108225</v>
      </c>
      <c r="E297">
        <v>705.47272727273003</v>
      </c>
      <c r="F297">
        <v>173.63030303030001</v>
      </c>
      <c r="G297">
        <v>128.88138528139001</v>
      </c>
      <c r="I297" s="9">
        <f t="shared" si="36"/>
        <v>576.59134199133996</v>
      </c>
      <c r="J297" s="9">
        <f t="shared" si="37"/>
        <v>4057.7922077921999</v>
      </c>
      <c r="K297" s="9">
        <f t="shared" si="31"/>
        <v>576.59134199133996</v>
      </c>
      <c r="L297" s="10">
        <f t="shared" si="30"/>
        <v>0.14209484184136106</v>
      </c>
      <c r="M297" s="10">
        <f t="shared" si="38"/>
        <v>0.16502557053335887</v>
      </c>
      <c r="P297" s="8">
        <f t="shared" si="39"/>
        <v>-0.50397278195645256</v>
      </c>
    </row>
    <row r="298" spans="1:16" x14ac:dyDescent="0.2">
      <c r="A298" s="8">
        <v>148</v>
      </c>
      <c r="B298" s="8">
        <v>296</v>
      </c>
      <c r="D298">
        <v>4180.8034632034996</v>
      </c>
      <c r="E298">
        <v>692.10995670995999</v>
      </c>
      <c r="F298">
        <v>174.44761904762001</v>
      </c>
      <c r="G298">
        <v>128.2632034632</v>
      </c>
      <c r="I298" s="9">
        <f t="shared" si="36"/>
        <v>563.84675324676004</v>
      </c>
      <c r="J298" s="9">
        <f t="shared" si="37"/>
        <v>4006.3558441558798</v>
      </c>
      <c r="K298" s="9">
        <f t="shared" si="31"/>
        <v>563.84675324676004</v>
      </c>
      <c r="L298" s="10">
        <f t="shared" si="30"/>
        <v>0.14073806101603537</v>
      </c>
      <c r="M298" s="10">
        <f t="shared" si="38"/>
        <v>0.16374652099173487</v>
      </c>
      <c r="P298" s="8">
        <f t="shared" si="39"/>
        <v>-1.2751281101601066</v>
      </c>
    </row>
    <row r="299" spans="1:16" x14ac:dyDescent="0.2">
      <c r="A299" s="8">
        <v>148.5</v>
      </c>
      <c r="B299" s="8">
        <v>297</v>
      </c>
      <c r="D299">
        <v>3857.6380952381</v>
      </c>
      <c r="E299">
        <v>651.58787878787996</v>
      </c>
      <c r="F299">
        <v>174.80259740259999</v>
      </c>
      <c r="G299">
        <v>128.41558441558001</v>
      </c>
      <c r="I299" s="9">
        <f t="shared" si="36"/>
        <v>523.17229437229992</v>
      </c>
      <c r="J299" s="9">
        <f t="shared" si="37"/>
        <v>3682.8354978355001</v>
      </c>
      <c r="K299" s="9">
        <f t="shared" si="31"/>
        <v>523.17229437229992</v>
      </c>
      <c r="L299" s="10">
        <f t="shared" si="30"/>
        <v>0.14205692724526581</v>
      </c>
      <c r="M299" s="10">
        <f t="shared" si="38"/>
        <v>0.16514311850466698</v>
      </c>
      <c r="P299" s="8">
        <f t="shared" si="39"/>
        <v>-0.43310160656891694</v>
      </c>
    </row>
    <row r="300" spans="1:16" x14ac:dyDescent="0.2">
      <c r="A300" s="8">
        <v>149</v>
      </c>
      <c r="B300" s="8">
        <v>298</v>
      </c>
      <c r="D300">
        <v>3984.4813852814</v>
      </c>
      <c r="E300">
        <v>664.17489177489006</v>
      </c>
      <c r="F300">
        <v>175.10909090909001</v>
      </c>
      <c r="G300">
        <v>128.82337662338</v>
      </c>
      <c r="I300" s="9">
        <f t="shared" si="36"/>
        <v>535.35151515151006</v>
      </c>
      <c r="J300" s="9">
        <f t="shared" si="37"/>
        <v>3809.3722943723101</v>
      </c>
      <c r="K300" s="9">
        <f t="shared" si="31"/>
        <v>535.35151515151006</v>
      </c>
      <c r="L300" s="10">
        <f t="shared" si="30"/>
        <v>0.14053536220190385</v>
      </c>
      <c r="M300" s="10">
        <f t="shared" si="38"/>
        <v>0.16369928474500672</v>
      </c>
      <c r="P300" s="8">
        <f t="shared" si="39"/>
        <v>-1.3036074474831163</v>
      </c>
    </row>
    <row r="301" spans="1:16" x14ac:dyDescent="0.2">
      <c r="A301" s="8">
        <v>149.5</v>
      </c>
      <c r="B301" s="8">
        <v>299</v>
      </c>
      <c r="D301">
        <v>4045.6337662338001</v>
      </c>
      <c r="E301">
        <v>671.30562770562995</v>
      </c>
      <c r="F301">
        <v>173.34285714286</v>
      </c>
      <c r="G301">
        <v>128.62597402597001</v>
      </c>
      <c r="I301" s="9">
        <f t="shared" si="36"/>
        <v>542.67965367965996</v>
      </c>
      <c r="J301" s="9">
        <f t="shared" si="37"/>
        <v>3872.2909090909402</v>
      </c>
      <c r="K301" s="9">
        <f t="shared" si="31"/>
        <v>542.67965367965996</v>
      </c>
      <c r="L301" s="10">
        <f t="shared" si="30"/>
        <v>0.140144339983759</v>
      </c>
      <c r="M301" s="10">
        <f t="shared" si="38"/>
        <v>0.16338599381056357</v>
      </c>
      <c r="P301" s="8">
        <f t="shared" si="39"/>
        <v>-1.4924945589760679</v>
      </c>
    </row>
    <row r="302" spans="1:16" x14ac:dyDescent="0.2">
      <c r="A302" s="8">
        <v>150</v>
      </c>
      <c r="B302" s="8">
        <v>300</v>
      </c>
      <c r="D302">
        <v>4087.8658008657999</v>
      </c>
      <c r="E302">
        <v>677.22510822511003</v>
      </c>
      <c r="F302">
        <v>174.18614718615001</v>
      </c>
      <c r="G302">
        <v>128.11428571428999</v>
      </c>
      <c r="I302" s="9">
        <f>E302-G302</f>
        <v>549.11082251082007</v>
      </c>
      <c r="J302" s="9">
        <f>D302-F302</f>
        <v>3913.6796536796501</v>
      </c>
      <c r="K302" s="9">
        <f t="shared" si="31"/>
        <v>549.11082251082007</v>
      </c>
      <c r="L302" s="10">
        <f t="shared" si="30"/>
        <v>0.14030551069619224</v>
      </c>
      <c r="M302" s="10">
        <f>L302+ABS($N$2)*A302</f>
        <v>0.16362489580669848</v>
      </c>
      <c r="O302" s="11"/>
      <c r="P302" s="8">
        <f>(M302-$O$2)/$O$2*100</f>
        <v>-1.348457489853625</v>
      </c>
    </row>
    <row r="303" spans="1:16" x14ac:dyDescent="0.2">
      <c r="A303" s="8">
        <v>150.5</v>
      </c>
      <c r="B303" s="8">
        <v>301</v>
      </c>
      <c r="D303">
        <v>4084.6588744588998</v>
      </c>
      <c r="E303">
        <v>673.80432900433004</v>
      </c>
      <c r="F303">
        <v>173.79134199134</v>
      </c>
      <c r="G303">
        <v>128.64675324675</v>
      </c>
      <c r="I303" s="9">
        <f t="shared" ref="I303:I309" si="40">E303-G303</f>
        <v>545.15757575758005</v>
      </c>
      <c r="J303" s="9">
        <f t="shared" ref="J303:J309" si="41">D303-F303</f>
        <v>3910.8675324675596</v>
      </c>
      <c r="K303" s="9">
        <f t="shared" si="31"/>
        <v>545.15757575758005</v>
      </c>
      <c r="L303" s="10">
        <f t="shared" si="30"/>
        <v>0.13939556152995375</v>
      </c>
      <c r="M303" s="10">
        <f t="shared" ref="M303:M309" si="42">L303+ABS($N$2)*A303</f>
        <v>0.16279267792416169</v>
      </c>
      <c r="P303" s="8">
        <f t="shared" ref="P303:P309" si="43">(M303-$O$2)/$O$2*100</f>
        <v>-1.850212295636799</v>
      </c>
    </row>
    <row r="304" spans="1:16" x14ac:dyDescent="0.2">
      <c r="A304" s="8">
        <v>151</v>
      </c>
      <c r="B304" s="8">
        <v>302</v>
      </c>
      <c r="D304">
        <v>4104.0935064935002</v>
      </c>
      <c r="E304">
        <v>679.23549783550004</v>
      </c>
      <c r="F304">
        <v>173.56623376623</v>
      </c>
      <c r="G304">
        <v>128.56536796537</v>
      </c>
      <c r="I304" s="9">
        <f t="shared" si="40"/>
        <v>550.67012987013004</v>
      </c>
      <c r="J304" s="9">
        <f t="shared" si="41"/>
        <v>3930.52727272727</v>
      </c>
      <c r="K304" s="9">
        <f t="shared" si="31"/>
        <v>550.67012987013004</v>
      </c>
      <c r="L304" s="10">
        <f t="shared" si="30"/>
        <v>0.14010082914093031</v>
      </c>
      <c r="M304" s="10">
        <f t="shared" si="42"/>
        <v>0.16357567681883992</v>
      </c>
      <c r="N304" s="1"/>
      <c r="P304" s="8">
        <f t="shared" si="43"/>
        <v>-1.378132247164221</v>
      </c>
    </row>
    <row r="305" spans="1:16" x14ac:dyDescent="0.2">
      <c r="A305" s="8">
        <v>151.5</v>
      </c>
      <c r="B305" s="8">
        <v>303</v>
      </c>
      <c r="D305">
        <v>4192.5056277056001</v>
      </c>
      <c r="E305">
        <v>690.82510822510994</v>
      </c>
      <c r="F305">
        <v>174.08311688312</v>
      </c>
      <c r="G305">
        <v>128.91774891775</v>
      </c>
      <c r="I305" s="9">
        <f t="shared" si="40"/>
        <v>561.90735930735991</v>
      </c>
      <c r="J305" s="9">
        <f t="shared" si="41"/>
        <v>4018.42251082248</v>
      </c>
      <c r="K305" s="9">
        <f t="shared" si="31"/>
        <v>561.90735930735991</v>
      </c>
      <c r="L305" s="10">
        <f t="shared" si="30"/>
        <v>0.13983282190810498</v>
      </c>
      <c r="M305" s="10">
        <f t="shared" si="42"/>
        <v>0.16338540086971629</v>
      </c>
      <c r="P305" s="8">
        <f t="shared" si="43"/>
        <v>-1.4928520505968466</v>
      </c>
    </row>
    <row r="306" spans="1:16" x14ac:dyDescent="0.2">
      <c r="A306" s="8">
        <v>152</v>
      </c>
      <c r="B306" s="8">
        <v>304</v>
      </c>
      <c r="D306">
        <v>4227.3229437229002</v>
      </c>
      <c r="E306">
        <v>704.07012987013002</v>
      </c>
      <c r="F306">
        <v>172.85800865800999</v>
      </c>
      <c r="G306">
        <v>128.45021645022001</v>
      </c>
      <c r="I306" s="9">
        <f t="shared" si="40"/>
        <v>575.61991341991006</v>
      </c>
      <c r="J306" s="9">
        <f t="shared" si="41"/>
        <v>4054.4649350648901</v>
      </c>
      <c r="K306" s="9">
        <f t="shared" si="31"/>
        <v>575.61991341991006</v>
      </c>
      <c r="L306" s="10">
        <f t="shared" si="30"/>
        <v>0.1419718563704134</v>
      </c>
      <c r="M306" s="10">
        <f t="shared" si="42"/>
        <v>0.16560216661572641</v>
      </c>
      <c r="P306" s="8">
        <f t="shared" si="43"/>
        <v>-0.15633562900104761</v>
      </c>
    </row>
    <row r="307" spans="1:16" x14ac:dyDescent="0.2">
      <c r="A307" s="8">
        <v>152.5</v>
      </c>
      <c r="B307" s="8">
        <v>305</v>
      </c>
      <c r="D307">
        <v>4227.1679653680003</v>
      </c>
      <c r="E307">
        <v>705.13679653680003</v>
      </c>
      <c r="F307">
        <v>172.35151515152</v>
      </c>
      <c r="G307">
        <v>128.14025974026001</v>
      </c>
      <c r="I307" s="9">
        <f t="shared" si="40"/>
        <v>576.99653679654</v>
      </c>
      <c r="J307" s="9">
        <f t="shared" si="41"/>
        <v>4054.8164502164805</v>
      </c>
      <c r="K307" s="9">
        <f t="shared" si="31"/>
        <v>576.99653679654</v>
      </c>
      <c r="L307" s="10">
        <f t="shared" si="30"/>
        <v>0.14229905197453144</v>
      </c>
      <c r="M307" s="10">
        <f t="shared" si="42"/>
        <v>0.16600709350354612</v>
      </c>
      <c r="P307" s="8">
        <f t="shared" si="43"/>
        <v>8.7799970843360151E-2</v>
      </c>
    </row>
    <row r="308" spans="1:16" x14ac:dyDescent="0.2">
      <c r="A308" s="8">
        <v>153</v>
      </c>
      <c r="B308" s="8">
        <v>306</v>
      </c>
      <c r="D308">
        <v>4228.1445887445998</v>
      </c>
      <c r="E308">
        <v>705.82770562770997</v>
      </c>
      <c r="F308">
        <v>172.66839826840001</v>
      </c>
      <c r="G308">
        <v>128.54112554112999</v>
      </c>
      <c r="I308" s="9">
        <f t="shared" si="40"/>
        <v>577.28658008657999</v>
      </c>
      <c r="J308" s="9">
        <f t="shared" si="41"/>
        <v>4055.4761904761999</v>
      </c>
      <c r="K308" s="9">
        <f t="shared" si="31"/>
        <v>577.28658008657999</v>
      </c>
      <c r="L308" s="10">
        <f t="shared" si="30"/>
        <v>0.14234742184956439</v>
      </c>
      <c r="M308" s="10">
        <f t="shared" si="42"/>
        <v>0.16613319466228077</v>
      </c>
      <c r="P308" s="8">
        <f t="shared" si="43"/>
        <v>0.16382797232906773</v>
      </c>
    </row>
    <row r="309" spans="1:16" x14ac:dyDescent="0.2">
      <c r="A309" s="8">
        <v>153.5</v>
      </c>
      <c r="B309" s="8">
        <v>307</v>
      </c>
      <c r="D309">
        <v>4228.6181818182004</v>
      </c>
      <c r="E309">
        <v>708.56969696969998</v>
      </c>
      <c r="F309">
        <v>173.69437229437</v>
      </c>
      <c r="G309">
        <v>128.08658008658</v>
      </c>
      <c r="I309" s="9">
        <f t="shared" si="40"/>
        <v>580.48311688311992</v>
      </c>
      <c r="J309" s="9">
        <f t="shared" si="41"/>
        <v>4054.9238095238302</v>
      </c>
      <c r="K309" s="9">
        <f t="shared" si="31"/>
        <v>580.48311688311992</v>
      </c>
      <c r="L309" s="10">
        <f t="shared" si="30"/>
        <v>0.1431551230431839</v>
      </c>
      <c r="M309" s="10">
        <f t="shared" si="42"/>
        <v>0.16701862713960194</v>
      </c>
      <c r="P309" s="8">
        <f t="shared" si="43"/>
        <v>0.69766653794383726</v>
      </c>
    </row>
    <row r="310" spans="1:16" x14ac:dyDescent="0.2">
      <c r="A310" s="8">
        <v>154</v>
      </c>
      <c r="B310" s="8">
        <v>308</v>
      </c>
      <c r="D310">
        <v>4219.9108225108002</v>
      </c>
      <c r="E310">
        <v>705.43203463203997</v>
      </c>
      <c r="F310">
        <v>172.98181818181999</v>
      </c>
      <c r="G310">
        <v>128.11082251081999</v>
      </c>
      <c r="I310" s="9">
        <f>E310-G310</f>
        <v>577.32121212122001</v>
      </c>
      <c r="J310" s="9">
        <f>D310-F310</f>
        <v>4046.9290043289802</v>
      </c>
      <c r="K310" s="9">
        <f t="shared" si="31"/>
        <v>577.32121212122001</v>
      </c>
      <c r="L310" s="10">
        <f t="shared" si="30"/>
        <v>0.14265661974886693</v>
      </c>
      <c r="M310" s="10">
        <f>L310+ABS($N$2)*A310</f>
        <v>0.16659785512898667</v>
      </c>
      <c r="O310" s="11"/>
      <c r="P310" s="8">
        <f>(M310-$O$2)/$O$2*100</f>
        <v>0.44397771090048355</v>
      </c>
    </row>
    <row r="311" spans="1:16" x14ac:dyDescent="0.2">
      <c r="A311" s="8">
        <v>154.5</v>
      </c>
      <c r="B311" s="8">
        <v>309</v>
      </c>
      <c r="D311">
        <v>4217.8051948051998</v>
      </c>
      <c r="E311">
        <v>706.28225108225001</v>
      </c>
      <c r="F311">
        <v>173.75757575758001</v>
      </c>
      <c r="G311">
        <v>128.23549783550001</v>
      </c>
      <c r="I311" s="9">
        <f t="shared" ref="I311:I319" si="44">E311-G311</f>
        <v>578.04675324674997</v>
      </c>
      <c r="J311" s="9">
        <f t="shared" ref="J311:J319" si="45">D311-F311</f>
        <v>4044.0476190476197</v>
      </c>
      <c r="K311" s="9">
        <f t="shared" si="31"/>
        <v>578.04675324674997</v>
      </c>
      <c r="L311" s="10">
        <f t="shared" si="30"/>
        <v>0.14293767227767734</v>
      </c>
      <c r="M311" s="10">
        <f t="shared" ref="M311:M319" si="46">L311+ABS($N$2)*A311</f>
        <v>0.16695663894149879</v>
      </c>
      <c r="P311" s="8">
        <f t="shared" ref="P311:P319" si="47">(M311-$O$2)/$O$2*100</f>
        <v>0.66029306045343505</v>
      </c>
    </row>
    <row r="312" spans="1:16" x14ac:dyDescent="0.2">
      <c r="A312" s="8">
        <v>155</v>
      </c>
      <c r="B312" s="8">
        <v>310</v>
      </c>
      <c r="D312">
        <v>4220.0917748918</v>
      </c>
      <c r="E312">
        <v>705.4380952381</v>
      </c>
      <c r="F312">
        <v>173.43636363636</v>
      </c>
      <c r="G312">
        <v>128.30735930736</v>
      </c>
      <c r="I312" s="9">
        <f t="shared" si="44"/>
        <v>577.13073593074</v>
      </c>
      <c r="J312" s="9">
        <f t="shared" si="45"/>
        <v>4046.65541125544</v>
      </c>
      <c r="K312" s="9">
        <f t="shared" si="31"/>
        <v>577.13073593074</v>
      </c>
      <c r="L312" s="10">
        <f t="shared" si="30"/>
        <v>0.14261919468741968</v>
      </c>
      <c r="M312" s="10">
        <f t="shared" si="46"/>
        <v>0.1667158926349428</v>
      </c>
      <c r="N312" s="1"/>
      <c r="P312" s="8">
        <f t="shared" si="47"/>
        <v>0.51514403298865119</v>
      </c>
    </row>
    <row r="313" spans="1:16" x14ac:dyDescent="0.2">
      <c r="A313" s="8">
        <v>155.5</v>
      </c>
      <c r="B313" s="8">
        <v>311</v>
      </c>
      <c r="D313">
        <v>4219.2389610390001</v>
      </c>
      <c r="E313">
        <v>704.97662337661995</v>
      </c>
      <c r="F313">
        <v>173.45281385281001</v>
      </c>
      <c r="G313">
        <v>128.25627705628</v>
      </c>
      <c r="I313" s="9">
        <f t="shared" si="44"/>
        <v>576.72034632034001</v>
      </c>
      <c r="J313" s="9">
        <f t="shared" si="45"/>
        <v>4045.7861471861902</v>
      </c>
      <c r="K313" s="9">
        <f t="shared" si="31"/>
        <v>576.72034632034001</v>
      </c>
      <c r="L313" s="10">
        <f t="shared" si="30"/>
        <v>0.14254840106203936</v>
      </c>
      <c r="M313" s="10">
        <f t="shared" si="46"/>
        <v>0.16672283029326418</v>
      </c>
      <c r="P313" s="8">
        <f t="shared" si="47"/>
        <v>0.51932683592605522</v>
      </c>
    </row>
    <row r="314" spans="1:16" x14ac:dyDescent="0.2">
      <c r="A314" s="8">
        <v>156</v>
      </c>
      <c r="B314" s="8">
        <v>312</v>
      </c>
      <c r="D314">
        <v>4203.4580086579999</v>
      </c>
      <c r="E314">
        <v>702.10995670995999</v>
      </c>
      <c r="F314">
        <v>173.44502164502001</v>
      </c>
      <c r="G314">
        <v>127.74545454546001</v>
      </c>
      <c r="I314" s="9">
        <f t="shared" si="44"/>
        <v>574.36450216449998</v>
      </c>
      <c r="J314" s="9">
        <f t="shared" si="45"/>
        <v>4030.0129870129799</v>
      </c>
      <c r="K314" s="9">
        <f t="shared" si="31"/>
        <v>574.36450216449998</v>
      </c>
      <c r="L314" s="10">
        <f t="shared" si="30"/>
        <v>0.14252174968553025</v>
      </c>
      <c r="M314" s="10">
        <f t="shared" si="46"/>
        <v>0.16677391020045673</v>
      </c>
      <c r="P314" s="8">
        <f t="shared" si="47"/>
        <v>0.5501235653050216</v>
      </c>
    </row>
    <row r="315" spans="1:16" x14ac:dyDescent="0.2">
      <c r="A315" s="8">
        <v>156.5</v>
      </c>
      <c r="B315" s="8">
        <v>313</v>
      </c>
      <c r="D315">
        <v>4211.8337662337999</v>
      </c>
      <c r="E315">
        <v>705.61731601732004</v>
      </c>
      <c r="F315">
        <v>173.42597402596999</v>
      </c>
      <c r="G315">
        <v>128.14285714286001</v>
      </c>
      <c r="I315" s="9">
        <f t="shared" si="44"/>
        <v>577.47445887445997</v>
      </c>
      <c r="J315" s="9">
        <f t="shared" si="45"/>
        <v>4038.40779220783</v>
      </c>
      <c r="K315" s="9">
        <f t="shared" si="31"/>
        <v>577.47445887445997</v>
      </c>
      <c r="L315" s="10">
        <f t="shared" si="30"/>
        <v>0.14299557860122641</v>
      </c>
      <c r="M315" s="10">
        <f t="shared" si="46"/>
        <v>0.1673254703998546</v>
      </c>
      <c r="P315" s="8">
        <f t="shared" si="47"/>
        <v>0.88266626419898686</v>
      </c>
    </row>
    <row r="316" spans="1:16" x14ac:dyDescent="0.2">
      <c r="A316" s="8">
        <v>157</v>
      </c>
      <c r="B316" s="8">
        <v>314</v>
      </c>
      <c r="D316">
        <v>4219.2632034631997</v>
      </c>
      <c r="E316">
        <v>704.52121212121006</v>
      </c>
      <c r="F316">
        <v>174.07532467532999</v>
      </c>
      <c r="G316">
        <v>127.83463203463</v>
      </c>
      <c r="I316" s="9">
        <f t="shared" si="44"/>
        <v>576.68658008658008</v>
      </c>
      <c r="J316" s="9">
        <f t="shared" si="45"/>
        <v>4045.1878787878695</v>
      </c>
      <c r="K316" s="9">
        <f t="shared" si="31"/>
        <v>576.68658008658008</v>
      </c>
      <c r="L316" s="10">
        <f t="shared" si="30"/>
        <v>0.14256113618618446</v>
      </c>
      <c r="M316" s="10">
        <f t="shared" si="46"/>
        <v>0.16696875926851434</v>
      </c>
      <c r="P316" s="8">
        <f t="shared" si="47"/>
        <v>0.66760056063497664</v>
      </c>
    </row>
    <row r="317" spans="1:16" x14ac:dyDescent="0.2">
      <c r="A317" s="8">
        <v>157.5</v>
      </c>
      <c r="B317" s="8">
        <v>315</v>
      </c>
      <c r="D317">
        <v>4205.8380952381003</v>
      </c>
      <c r="E317">
        <v>703.72900432899996</v>
      </c>
      <c r="F317">
        <v>173.24242424241999</v>
      </c>
      <c r="G317">
        <v>127.49177489178</v>
      </c>
      <c r="I317" s="9">
        <f t="shared" si="44"/>
        <v>576.23722943721998</v>
      </c>
      <c r="J317" s="9">
        <f t="shared" si="45"/>
        <v>4032.5956709956804</v>
      </c>
      <c r="K317" s="9">
        <f t="shared" si="31"/>
        <v>576.23722943721998</v>
      </c>
      <c r="L317" s="10">
        <f t="shared" si="30"/>
        <v>0.14289486882649516</v>
      </c>
      <c r="M317" s="10">
        <f t="shared" si="46"/>
        <v>0.16738022319252671</v>
      </c>
      <c r="P317" s="8">
        <f t="shared" si="47"/>
        <v>0.91567742321126433</v>
      </c>
    </row>
    <row r="318" spans="1:16" x14ac:dyDescent="0.2">
      <c r="A318" s="8">
        <v>158</v>
      </c>
      <c r="B318" s="8">
        <v>316</v>
      </c>
      <c r="D318">
        <v>4209.0458874459</v>
      </c>
      <c r="E318">
        <v>702.18268398268003</v>
      </c>
      <c r="F318">
        <v>171.33333333332999</v>
      </c>
      <c r="G318">
        <v>127.78441558442</v>
      </c>
      <c r="I318" s="9">
        <f t="shared" si="44"/>
        <v>574.39826839826003</v>
      </c>
      <c r="J318" s="9">
        <f t="shared" si="45"/>
        <v>4037.7125541125702</v>
      </c>
      <c r="K318" s="9">
        <f t="shared" si="31"/>
        <v>574.39826839826003</v>
      </c>
      <c r="L318" s="10">
        <f t="shared" si="30"/>
        <v>0.14225833580283287</v>
      </c>
      <c r="M318" s="10">
        <f t="shared" si="46"/>
        <v>0.16682142145256612</v>
      </c>
      <c r="P318" s="8">
        <f t="shared" si="47"/>
        <v>0.5787687068898133</v>
      </c>
    </row>
    <row r="319" spans="1:16" x14ac:dyDescent="0.2">
      <c r="A319" s="8">
        <v>158.5</v>
      </c>
      <c r="B319" s="8">
        <v>317</v>
      </c>
      <c r="D319">
        <v>4181.8545454546002</v>
      </c>
      <c r="E319">
        <v>693.67965367964996</v>
      </c>
      <c r="F319">
        <v>172.78787878788</v>
      </c>
      <c r="G319">
        <v>127.90043290043</v>
      </c>
      <c r="I319" s="9">
        <f t="shared" si="44"/>
        <v>565.77922077921994</v>
      </c>
      <c r="J319" s="9">
        <f t="shared" si="45"/>
        <v>4009.0666666667203</v>
      </c>
      <c r="K319" s="9">
        <f t="shared" si="31"/>
        <v>565.77922077921994</v>
      </c>
      <c r="L319" s="10">
        <f t="shared" si="30"/>
        <v>0.14112492203818322</v>
      </c>
      <c r="M319" s="10">
        <f t="shared" si="46"/>
        <v>0.16576573897161814</v>
      </c>
      <c r="P319" s="8">
        <f t="shared" si="47"/>
        <v>-5.7715763477640299E-2</v>
      </c>
    </row>
    <row r="320" spans="1:16" x14ac:dyDescent="0.2">
      <c r="A320" s="8">
        <v>159</v>
      </c>
      <c r="B320" s="8">
        <v>318</v>
      </c>
      <c r="D320">
        <v>4188.4623376623003</v>
      </c>
      <c r="E320">
        <v>698.61212121211997</v>
      </c>
      <c r="F320">
        <v>173.28744588744999</v>
      </c>
      <c r="G320">
        <v>127.83636363636001</v>
      </c>
      <c r="I320" s="9">
        <f>E320-G320</f>
        <v>570.77575757575994</v>
      </c>
      <c r="J320" s="9">
        <f>D320-F320</f>
        <v>4015.1748917748505</v>
      </c>
      <c r="K320" s="9">
        <f t="shared" si="31"/>
        <v>570.77575757575994</v>
      </c>
      <c r="L320" s="10">
        <f t="shared" si="30"/>
        <v>0.14215464405921724</v>
      </c>
      <c r="M320" s="10">
        <f>L320+ABS($N$2)*A320</f>
        <v>0.16687319227635386</v>
      </c>
      <c r="O320" s="11"/>
      <c r="P320" s="8">
        <f>(M320-$O$2)/$O$2*100</f>
        <v>0.60998199872111869</v>
      </c>
    </row>
    <row r="321" spans="1:16" x14ac:dyDescent="0.2">
      <c r="A321" s="8">
        <v>159.5</v>
      </c>
      <c r="B321" s="8">
        <v>319</v>
      </c>
      <c r="D321">
        <v>4195.6900432900002</v>
      </c>
      <c r="E321">
        <v>699.72900432899996</v>
      </c>
      <c r="F321">
        <v>172.53766233766001</v>
      </c>
      <c r="G321">
        <v>127.70909090908999</v>
      </c>
      <c r="I321" s="9">
        <f t="shared" ref="I321:I322" si="48">E321-G321</f>
        <v>572.01991341990993</v>
      </c>
      <c r="J321" s="9">
        <f t="shared" ref="J321:J322" si="49">D321-F321</f>
        <v>4023.1523809523401</v>
      </c>
      <c r="K321" s="9">
        <f t="shared" si="31"/>
        <v>572.01991341990993</v>
      </c>
      <c r="L321" s="10">
        <f t="shared" si="30"/>
        <v>0.14218201530922484</v>
      </c>
      <c r="M321" s="10">
        <f t="shared" ref="M321:M322" si="50">L321+ABS($N$2)*A321</f>
        <v>0.16697829481006315</v>
      </c>
      <c r="P321" s="8">
        <f t="shared" ref="P321:P322" si="51">(M321-$O$2)/$O$2*100</f>
        <v>0.67334966059816981</v>
      </c>
    </row>
    <row r="322" spans="1:16" x14ac:dyDescent="0.2">
      <c r="A322" s="8">
        <v>160</v>
      </c>
      <c r="D322">
        <v>4205.0597402597004</v>
      </c>
      <c r="E322">
        <v>702.05627705628001</v>
      </c>
      <c r="F322">
        <v>172.78701298701</v>
      </c>
      <c r="G322">
        <v>128.04242424242</v>
      </c>
      <c r="I322" s="9">
        <f t="shared" si="48"/>
        <v>574.01385281386001</v>
      </c>
      <c r="J322" s="9">
        <f t="shared" si="49"/>
        <v>4032.2727272726906</v>
      </c>
      <c r="K322" s="9">
        <f t="shared" si="31"/>
        <v>574.01385281386001</v>
      </c>
      <c r="L322" s="10">
        <f t="shared" ref="L322" si="52">K322/J322</f>
        <v>0.14235491784359186</v>
      </c>
      <c r="M322" s="10">
        <f t="shared" si="50"/>
        <v>0.16722892862813185</v>
      </c>
      <c r="P322" s="8">
        <f t="shared" si="51"/>
        <v>0.82445999521921753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240823A001</vt:lpstr>
      <vt:lpstr>240823A002</vt:lpstr>
      <vt:lpstr>240823A003</vt:lpstr>
      <vt:lpstr>240823A005</vt:lpstr>
      <vt:lpstr>240823A006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2024-08-24T16:49:44Z</dcterms:modified>
</cp:coreProperties>
</file>